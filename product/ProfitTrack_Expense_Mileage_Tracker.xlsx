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Expenses" sheetId="3" state="visible" r:id="rId5"/>
    <sheet name="Mileage" sheetId="4" state="visible" r:id="rId6"/>
    <sheet name="Settings" sheetId="5" state="visible" r:id="rId7"/>
    <sheet name="Quick Start Guide" sheetId="6" state="visible" r:id="rId8"/>
  </sheets>
  <definedNames>
    <definedName function="false" hidden="false" localSheetId="2" name="_xlnm.Print_Titles" vbProcedure="false">Expenses!$5:$5</definedName>
    <definedName function="false" hidden="true" localSheetId="2" name="_xlnm._FilterDatabase" vbProcedure="false">Expenses!$B$5:$L$505</definedName>
    <definedName function="false" hidden="false" localSheetId="3" name="_xlnm.Print_Titles" vbProcedure="false">Mileage!$5:$5</definedName>
    <definedName function="false" hidden="true" localSheetId="3" name="_xlnm._FilterDatabase" vbProcedure="false">Mileage!$B$5:$N$505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Shows the year of your latest entry. Type any year (e.g. 2027) to change it.
Muestra el año de tu último registro. Escribe otro año (ej. 2027) para cambiarlo.</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Rows 6–23 are EXAMPLES. Select B6:K23 and press Delete to start fresh.
Las filas 6–23 son EJEMPLOS. Selecciona B6:K23 y presiona Suprimir.</t>
        </r>
      </text>
    </comment>
    <comment ref="H5" authorId="0">
      <text>
        <r>
          <rPr>
            <sz val="10"/>
            <rFont val="Arial"/>
            <family val="2"/>
          </rPr>
          <t xml:space="preserve">Blank = 100%. For mixed personal/business items (e.g. your phone) enter the business share, e.g. 50%.
Vacío = 100%. Para artículos de uso mixto (ej. tu teléfono) escribe la parte del negocio, ej. 50%.</t>
        </r>
      </text>
    </comment>
    <comment ref="I5" authorId="0">
      <text>
        <r>
          <rPr>
            <sz val="10"/>
            <rFont val="Arial"/>
            <family val="2"/>
          </rPr>
          <t xml:space="preserve">Auto: Amount × Business Use %
Auto: Monto × % Uso del Negocio</t>
        </r>
      </text>
    </comment>
    <comment ref="L5" authorId="0">
      <text>
        <r>
          <rPr>
            <sz val="10"/>
            <rFont val="Arial"/>
            <family val="2"/>
          </rPr>
          <t xml:space="preserve">Flags a missing date, category or receipt.
Marca si falta la fecha, la categoría o el recibo.</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Rows 6–21 are EXAMPLES. Select B6:I21 (and N) and press Delete.
Las filas 6–21 son EJEMPLOS. Selecciona B6:I21 (y N) y presiona Suprimir.</t>
        </r>
      </text>
    </comment>
    <comment ref="H5" authorId="0">
      <text>
        <r>
          <rPr>
            <sz val="10"/>
            <rFont val="Arial"/>
            <family val="2"/>
          </rPr>
          <t xml:space="preserve">Use this when you don't record the odometer (e.g. miles from Google Maps).
Úsalo si no anotas el odómetro (ej. millas de Google Maps).</t>
        </r>
      </text>
    </comment>
    <comment ref="I5" authorId="0">
      <text>
        <r>
          <rPr>
            <sz val="10"/>
            <rFont val="Arial"/>
            <family val="2"/>
          </rPr>
          <t xml:space="preserve">'Yes' doubles the miles typed in 'Miles (no odometer)'. Odometer trips are never doubled.
'Sí' duplica las millas escritas en 'Millas (sin odómetro)'. Los viajes con odómetro no se duplican.</t>
        </r>
      </text>
    </comment>
    <comment ref="K5" authorId="0">
      <text>
        <r>
          <rPr>
            <sz val="10"/>
            <rFont val="Arial"/>
            <family val="2"/>
          </rPr>
          <t xml:space="preserve">Auto: the IRS rate in effect on the trip date (from Settings).
Auto: la tarifa del IRS vigente en la fecha del viaje (de Configuración).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Rates as published by the IRS (verify at irs.gov before filing).
Tarifas publicadas por el IRS (verifica en irs.gov antes de declarar).</t>
        </r>
      </text>
    </comment>
  </commentList>
</comments>
</file>

<file path=xl/sharedStrings.xml><?xml version="1.0" encoding="utf-8"?>
<sst xmlns="http://schemas.openxmlformats.org/spreadsheetml/2006/main" count="327" uniqueCount="223">
  <si>
    <t xml:space="preserve">RESELLER TOOLKIT  •  KIT PARA REVENDEDORES</t>
  </si>
  <si>
    <t xml:space="preserve">ProfitTrack</t>
  </si>
  <si>
    <t xml:space="preserve">Reseller Expense &amp; Mileage Tracker</t>
  </si>
  <si>
    <t xml:space="preserve">Registro de Gastos y Millaje para Revendedores</t>
  </si>
  <si>
    <t xml:space="preserve">eBay  •  Facebook Marketplace  •  Etsy  •  Poshmark  •  Mercari  •  Depop</t>
  </si>
  <si>
    <t xml:space="preserve">WHAT'S INSIDE  /  CONTENIDO   (click to open • clic para abrir)</t>
  </si>
  <si>
    <t xml:space="preserve">📊  Dashboard / Panel</t>
  </si>
  <si>
    <t xml:space="preserve">Tax-year totals, deductions by category, monthly chart / Totales del año fiscal, deducciones por categoría, gráfica mensual</t>
  </si>
  <si>
    <t xml:space="preserve">🧾  Expenses / Gastos</t>
  </si>
  <si>
    <t xml:space="preserve">Log every business expense – deductible amount auto-calculated / Registra cada gasto – monto deducible automático</t>
  </si>
  <si>
    <t xml:space="preserve">🚗  Mileage / Millaje</t>
  </si>
  <si>
    <t xml:space="preserve">Log trips – miles × IRS rate by date, automatically / Registra viajes – millas × tarifa del IRS por fecha, automático</t>
  </si>
  <si>
    <t xml:space="preserve">⚙️  Settings / Configuración</t>
  </si>
  <si>
    <t xml:space="preserve">IRS mileage rates &amp; your expense categories / Tarifas del IRS y tus categorías de gastos</t>
  </si>
  <si>
    <t xml:space="preserve">🚀  Quick Start Guide / Guía Rápida</t>
  </si>
  <si>
    <t xml:space="preserve">Step-by-step setup in 5 minutes / Configuración paso a paso en 5 minutos</t>
  </si>
  <si>
    <t xml:space="preserve">💻 PC / Mac  •  📱 iPhone / Android  —  Excel • Google Sheets   |   Computadora y celular — Excel • Google Sheets</t>
  </si>
  <si>
    <t xml:space="preserve">Start here → Quick Start Guide   |   Empieza aquí → Guía Rápida</t>
  </si>
  <si>
    <t xml:space="preserve">© ProfitTrack  •  v1.0  •  For personal use only – do not resell or redistribute / Solo para uso personal – prohibida su reventa o distribución</t>
  </si>
  <si>
    <t xml:space="preserve">Dashboard  /  Panel de Control</t>
  </si>
  <si>
    <t xml:space="preserve">Your tax-year deductions at a glance. Updates automatically.  •  Tus deducciones del año fiscal de un vistazo. Se actualiza solo.</t>
  </si>
  <si>
    <t xml:space="preserve">Tax Year / Año Fiscal:</t>
  </si>
  <si>
    <t xml:space="preserve">← type a year to change / escribe un año para cambiar</t>
  </si>
  <si>
    <t xml:space="preserve">DEDUCTIBLE EXPENSES</t>
  </si>
  <si>
    <t xml:space="preserve">BUSINESS MILES</t>
  </si>
  <si>
    <t xml:space="preserve">MILEAGE DEDUCTION</t>
  </si>
  <si>
    <t xml:space="preserve">TOTAL DEDUCTIONS</t>
  </si>
  <si>
    <t xml:space="preserve">Gastos Deducibles</t>
  </si>
  <si>
    <t xml:space="preserve">Millas de Negocio</t>
  </si>
  <si>
    <t xml:space="preserve">Deducción por Millaje</t>
  </si>
  <si>
    <t xml:space="preserve">Deducciones Totales</t>
  </si>
  <si>
    <t xml:space="preserve">Deductible Expenses by Category  /  Gastos Deducibles por Categoría</t>
  </si>
  <si>
    <t xml:space="preserve">Category
Categoría</t>
  </si>
  <si>
    <t xml:space="preserve">Entries
Registros</t>
  </si>
  <si>
    <t xml:space="preserve">Spent
Gastado</t>
  </si>
  <si>
    <t xml:space="preserve">Deductible
Deducible</t>
  </si>
  <si>
    <t xml:space="preserve">% of Total
% del Total</t>
  </si>
  <si>
    <t xml:space="preserve">Uncategorized / Sin categoría</t>
  </si>
  <si>
    <t xml:space="preserve">TOTAL</t>
  </si>
  <si>
    <t xml:space="preserve">Categories come from the Settings sheet. / Las categorías vienen de la hoja Configuración.</t>
  </si>
  <si>
    <t xml:space="preserve">Monthly Deductions  /  Deducciones Mensuales</t>
  </si>
  <si>
    <t xml:space="preserve">Month
Mes</t>
  </si>
  <si>
    <t xml:space="preserve">Expenses
Gastos</t>
  </si>
  <si>
    <t xml:space="preserve">Miles
Millas</t>
  </si>
  <si>
    <t xml:space="preserve">Mileage $
Millaje $</t>
  </si>
  <si>
    <t xml:space="preserve">Total
Total</t>
  </si>
  <si>
    <t xml:space="preserve">Jan / Ene</t>
  </si>
  <si>
    <t xml:space="preserve">Feb / Feb</t>
  </si>
  <si>
    <t xml:space="preserve">Mar / Mar</t>
  </si>
  <si>
    <t xml:space="preserve">Apr / Abr</t>
  </si>
  <si>
    <t xml:space="preserve">May / May</t>
  </si>
  <si>
    <t xml:space="preserve">Jun / Jun</t>
  </si>
  <si>
    <t xml:space="preserve">Jul / Jul</t>
  </si>
  <si>
    <t xml:space="preserve">Aug / Ago</t>
  </si>
  <si>
    <t xml:space="preserve">Sep / Sep</t>
  </si>
  <si>
    <t xml:space="preserve">Oct / Oct</t>
  </si>
  <si>
    <t xml:space="preserve">Nov / Nov</t>
  </si>
  <si>
    <t xml:space="preserve">Dec / Dic</t>
  </si>
  <si>
    <t xml:space="preserve">YEAR / AÑO</t>
  </si>
  <si>
    <t xml:space="preserve">Expenses  /  Gastos</t>
  </si>
  <si>
    <t xml:space="preserve">Type in the light-teal columns only. Grey columns calculate automatically.  •  Escribe solo en las columnas verde claro. Las columnas grises se calculan solas.</t>
  </si>
  <si>
    <t xml:space="preserve">Date
Fecha</t>
  </si>
  <si>
    <t xml:space="preserve">Vendor / Store
Proveedor / Tienda</t>
  </si>
  <si>
    <t xml:space="preserve">Description
Descripción</t>
  </si>
  <si>
    <t xml:space="preserve">Payment Method
Método de Pago</t>
  </si>
  <si>
    <t xml:space="preserve">Amount
Monto</t>
  </si>
  <si>
    <t xml:space="preserve">Business Use %
% Uso del Negocio</t>
  </si>
  <si>
    <t xml:space="preserve">Deductible $
Deducible $</t>
  </si>
  <si>
    <t xml:space="preserve">Receipt Saved?
¿Recibo Guardado?</t>
  </si>
  <si>
    <t xml:space="preserve">Notes
Notas</t>
  </si>
  <si>
    <t xml:space="preserve">Check
Revisar</t>
  </si>
  <si>
    <t xml:space="preserve">Helper – do not edit: valid (1/0)</t>
  </si>
  <si>
    <t xml:space="preserve">Helper – do not edit: year</t>
  </si>
  <si>
    <t xml:space="preserve">Helper – do not edit: year-month</t>
  </si>
  <si>
    <t xml:space="preserve">Helper – do not edit: no receipt (1/0)</t>
  </si>
  <si>
    <t xml:space="preserve">Uline</t>
  </si>
  <si>
    <t xml:space="preserve">Poly mailers 100-pack</t>
  </si>
  <si>
    <t xml:space="preserve">Shipping Supplies / Materiales de Envío</t>
  </si>
  <si>
    <t xml:space="preserve">Card / Tarjeta</t>
  </si>
  <si>
    <t xml:space="preserve">Yes / Sí</t>
  </si>
  <si>
    <t xml:space="preserve">eBay</t>
  </si>
  <si>
    <t xml:space="preserve">Store subscription – January</t>
  </si>
  <si>
    <t xml:space="preserve">Platform &amp; Subscription Fees / Tarifas y Suscripciones</t>
  </si>
  <si>
    <t xml:space="preserve">Basic store</t>
  </si>
  <si>
    <t xml:space="preserve">Staples</t>
  </si>
  <si>
    <t xml:space="preserve">Printer ink + labels</t>
  </si>
  <si>
    <t xml:space="preserve">Office Supplies / Artículos de Oficina</t>
  </si>
  <si>
    <t xml:space="preserve">Verizon</t>
  </si>
  <si>
    <t xml:space="preserve">Phone bill – February</t>
  </si>
  <si>
    <t xml:space="preserve">Phone &amp; Internet / Teléfono e Internet</t>
  </si>
  <si>
    <t xml:space="preserve">50% business</t>
  </si>
  <si>
    <t xml:space="preserve">Amazon</t>
  </si>
  <si>
    <t xml:space="preserve">Digital shipping scale</t>
  </si>
  <si>
    <t xml:space="preserve">Equipment &amp; Tools / Equipo y Herramientas</t>
  </si>
  <si>
    <t xml:space="preserve">Poshmark</t>
  </si>
  <si>
    <t xml:space="preserve">Closet promotion</t>
  </si>
  <si>
    <t xml:space="preserve">Advertising &amp; Promoted Listings / Publicidad</t>
  </si>
  <si>
    <t xml:space="preserve">PayPal</t>
  </si>
  <si>
    <t xml:space="preserve">No</t>
  </si>
  <si>
    <t xml:space="preserve">USPS</t>
  </si>
  <si>
    <t xml:space="preserve">Postage – unreimbursed labels</t>
  </si>
  <si>
    <t xml:space="preserve">Postage &amp; Shipping Labels / Envíos y Etiquetas</t>
  </si>
  <si>
    <t xml:space="preserve">Cash / Efectivo</t>
  </si>
  <si>
    <t xml:space="preserve">U-Haul</t>
  </si>
  <si>
    <t xml:space="preserve">Storage unit – April</t>
  </si>
  <si>
    <t xml:space="preserve">Storage &amp; Rent / Almacenaje y Renta</t>
  </si>
  <si>
    <t xml:space="preserve">Bank / Banco</t>
  </si>
  <si>
    <t xml:space="preserve">Home Depot</t>
  </si>
  <si>
    <t xml:space="preserve">Shelving + bins</t>
  </si>
  <si>
    <t xml:space="preserve">Inventory shelves</t>
  </si>
  <si>
    <t xml:space="preserve">Vendoo</t>
  </si>
  <si>
    <t xml:space="preserve">Crosslisting app – monthly</t>
  </si>
  <si>
    <t xml:space="preserve">Software &amp; Apps / Software y Aplicaciones</t>
  </si>
  <si>
    <t xml:space="preserve">Dollar Tree</t>
  </si>
  <si>
    <t xml:space="preserve">Tissue paper &amp; tape</t>
  </si>
  <si>
    <t xml:space="preserve">Udemy</t>
  </si>
  <si>
    <t xml:space="preserve">Reselling course</t>
  </si>
  <si>
    <t xml:space="preserve">Education &amp; Courses / Educación y Cursos</t>
  </si>
  <si>
    <t xml:space="preserve">Walmart</t>
  </si>
  <si>
    <t xml:space="preserve">Steamer for clothes</t>
  </si>
  <si>
    <t xml:space="preserve">Cleaning &amp; Repairs / Limpieza y Reparaciones</t>
  </si>
  <si>
    <t xml:space="preserve">Comcast</t>
  </si>
  <si>
    <t xml:space="preserve">Internet – July</t>
  </si>
  <si>
    <t xml:space="preserve">30% business</t>
  </si>
  <si>
    <t xml:space="preserve">Boxes – assorted</t>
  </si>
  <si>
    <t xml:space="preserve">Facebook</t>
  </si>
  <si>
    <t xml:space="preserve">Boosted Marketplace post</t>
  </si>
  <si>
    <t xml:space="preserve">Canva</t>
  </si>
  <si>
    <t xml:space="preserve">Canva Pro – photo editing</t>
  </si>
  <si>
    <t xml:space="preserve">Office Depot</t>
  </si>
  <si>
    <t xml:space="preserve">Label printer paper</t>
  </si>
  <si>
    <t xml:space="preserve">Mileage Log  /  Registro de Millaje</t>
  </si>
  <si>
    <t xml:space="preserve">Enter odometer readings OR the trip miles. The IRS rate for the trip date is applied automatically.  •  Escribe el odómetro O las millas del viaje. La tarifa del IRS de esa fecha se aplica sola.</t>
  </si>
  <si>
    <t xml:space="preserve">From
Desde</t>
  </si>
  <si>
    <t xml:space="preserve">To
Hasta</t>
  </si>
  <si>
    <t xml:space="preserve">Purpose
Propósito</t>
  </si>
  <si>
    <t xml:space="preserve">Odometer Start
Odómetro Inicial</t>
  </si>
  <si>
    <t xml:space="preserve">Odometer End
Odómetro Final</t>
  </si>
  <si>
    <t xml:space="preserve">Miles (no odometer)
Millas (sin odómetro)</t>
  </si>
  <si>
    <t xml:space="preserve">Round Trip?
¿Ida y Vuelta?</t>
  </si>
  <si>
    <t xml:space="preserve">Total Miles
Millas Totales</t>
  </si>
  <si>
    <t xml:space="preserve">Rate $/mile
Tarifa $/milla</t>
  </si>
  <si>
    <t xml:space="preserve">Deduction $
Deducción $</t>
  </si>
  <si>
    <t xml:space="preserve">Home</t>
  </si>
  <si>
    <t xml:space="preserve">Goodwill – Main St</t>
  </si>
  <si>
    <t xml:space="preserve">Sourcing / Compras</t>
  </si>
  <si>
    <t xml:space="preserve">Estate sale – Oak Ave</t>
  </si>
  <si>
    <t xml:space="preserve">Post office</t>
  </si>
  <si>
    <t xml:space="preserve">Post Office / Correo</t>
  </si>
  <si>
    <t xml:space="preserve">Flea market</t>
  </si>
  <si>
    <t xml:space="preserve">Salvation Army + Savers</t>
  </si>
  <si>
    <t xml:space="preserve">Supplies / Materiales</t>
  </si>
  <si>
    <t xml:space="preserve">Garage sales route</t>
  </si>
  <si>
    <t xml:space="preserve">Bins outlet</t>
  </si>
  <si>
    <t xml:space="preserve">Bank deposit</t>
  </si>
  <si>
    <t xml:space="preserve">Estate sale – Pine Rd</t>
  </si>
  <si>
    <t xml:space="preserve">Antique mall</t>
  </si>
  <si>
    <t xml:space="preserve">Uline pickup</t>
  </si>
  <si>
    <t xml:space="preserve">Settings  /  Configuración</t>
  </si>
  <si>
    <t xml:space="preserve">Mileage rates and expense categories.  •  Tarifas por milla y categorías de gastos.</t>
  </si>
  <si>
    <t xml:space="preserve">IRS Mileage Rates  /  Tarifas por Milla del IRS</t>
  </si>
  <si>
    <t xml:space="preserve">Expense Categories  /  Categorías de Gastos</t>
  </si>
  <si>
    <t xml:space="preserve">Effective From
Vigente Desde</t>
  </si>
  <si>
    <t xml:space="preserve">Rate $ / mile
Tarifa $ / milla</t>
  </si>
  <si>
    <t xml:space="preserve">Source / Fuente</t>
  </si>
  <si>
    <t xml:space="preserve">Category (edit or add your own)
Categoría (edita o agrega)</t>
  </si>
  <si>
    <t xml:space="preserve">IRS – 2025 business rate</t>
  </si>
  <si>
    <t xml:space="preserve">IRS Notice 2026-10</t>
  </si>
  <si>
    <t xml:space="preserve">IRS Announcement 2026-11 (mid-year increase)</t>
  </si>
  <si>
    <t xml:space="preserve">Keep dates oldest → newest. When the IRS announces a new rate, add it on the next empty row – each trip uses the rate in effect on its date.  Using kilometres? Enter your rate per km and log km in the Mileage sheet.
Mantén las fechas de la más antigua a la más reciente. Cuando el IRS anuncie una nueva tarifa, agrégala en la siguiente fila vacía. ¿Usas kilómetros? Escribe tu tarifa por km.</t>
  </si>
  <si>
    <t xml:space="preserve">Other / Otro</t>
  </si>
  <si>
    <t xml:space="preserve">Rows 20–21 are free for your own categories. / Las filas 20–21 son para tus propias categorías.</t>
  </si>
  <si>
    <t xml:space="preserve">Quick Start Guide  /  Guía Rápida</t>
  </si>
  <si>
    <t xml:space="preserve">Up and running in 5 minutes.  •  Listo en 5 minutos.</t>
  </si>
  <si>
    <t xml:space="preserve">#</t>
  </si>
  <si>
    <t xml:space="preserve">ENGLISH</t>
  </si>
  <si>
    <t xml:space="preserve">ESPAÑOL</t>
  </si>
  <si>
    <t xml:space="preserve">Clear the example data: on Expenses select B6:K23 and press Delete; on Mileage select B6:I21 and press Delete. Never delete whole rows or the grey columns.</t>
  </si>
  <si>
    <t xml:space="preserve">Borra los datos de ejemplo: en Expenses selecciona B6:K23 y presiona Suprimir; en Mileage selecciona B6:I21 y presiona Suprimir. Nunca borres filas completas ni las columnas grises.</t>
  </si>
  <si>
    <t xml:space="preserve">Check Settings. The IRS mileage table is filled in (2026: 72.5¢/mile Jan 1 – Jun 30 and 76¢/mile from Jul 1). When the IRS announces a new rate, add it on the next empty row. Rename or add expense categories if you like.</t>
  </si>
  <si>
    <t xml:space="preserve">Revisa Settings (Configuración). La tabla de tarifas del IRS ya está llena (2026: 72.5¢/milla del 1 ene al 30 jun y 76¢/milla desde el 1 jul). Cuando el IRS anuncie una nueva tarifa, agrégala en la siguiente fila vacía. Puedes renombrar o agregar categorías.</t>
  </si>
  <si>
    <t xml:space="preserve">Log every business expense on Expenses: date, vendor, description, category (dropdown), payment method and amount. For mixed-use items (like your phone) enter the Business Use % – blank means 100%.</t>
  </si>
  <si>
    <t xml:space="preserve">Registra cada gasto del negocio en Expenses: fecha, proveedor, descripción, categoría (lista), método de pago y monto. Para artículos de uso mixto (como tu teléfono) escribe el % de Uso del Negocio – vacío significa 100%.</t>
  </si>
  <si>
    <t xml:space="preserve">Mark 'Receipt Saved?' Yes or No. The Check column flags anything missing: date, category or receipt.</t>
  </si>
  <si>
    <t xml:space="preserve">Marca '¿Recibo Guardado?' Sí o No. La columna Revisar marca lo que falte: fecha, categoría o recibo.</t>
  </si>
  <si>
    <t xml:space="preserve">Log every business trip on Mileage: date, from, to and purpose. Enter the odometer start &amp; end, OR just the miles (e.g. from Google Maps). 'Round Trip? = Yes' doubles the miles you typed.</t>
  </si>
  <si>
    <t xml:space="preserve">Registra cada viaje de negocio en Mileage: fecha, desde, hasta y propósito. Escribe el odómetro inicial y final, O solo las millas (ej. de Google Maps). '¿Ida y Vuelta? = Sí' duplica las millas escritas.</t>
  </si>
  <si>
    <t xml:space="preserve">The correct IRS rate for each trip date is applied automatically, and Deduction $ = Total Miles × Rate.</t>
  </si>
  <si>
    <t xml:space="preserve">La tarifa correcta del IRS para la fecha de cada viaje se aplica sola, y Deducción $ = Millas Totales × Tarifa.</t>
  </si>
  <si>
    <t xml:space="preserve">Open the Dashboard: deductible expenses, business miles, mileage deduction and total deductions for the tax year, plus category and monthly charts. It's locked to protect formulas – only the yellow Tax Year cell can be changed.</t>
  </si>
  <si>
    <t xml:space="preserve">Abre el Dashboard (Panel): gastos deducibles, millas de negocio, deducción por millaje y deducciones totales del año fiscal, más gráficas por categoría y por mes. Está bloqueado para proteger las fórmulas – solo se puede cambiar la celda amarilla del Año Fiscal.</t>
  </si>
  <si>
    <t xml:space="preserve">At tax time, share the Dashboard totals (and your receipts) with your tax preparer.</t>
  </si>
  <si>
    <t xml:space="preserve">En temporada de impuestos, comparte los totales del Panel (y tus recibos) con tu preparador de impuestos.</t>
  </si>
  <si>
    <t xml:space="preserve">Don't log inventory purchases here – those are your cost of goods. Track them per item in ProfitTrack Profit Tracker or ProfitTrack Inventory.</t>
  </si>
  <si>
    <t xml:space="preserve">No registres aquí la compra de mercancía – eso es tu costo de ventas. Regístrala por artículo en ProfitTrack Profit Tracker o ProfitTrack Inventory.</t>
  </si>
  <si>
    <t xml:space="preserve">Google Sheets: upload to Google Drive → Open with Google Sheets → File → Save as Google Sheets. Tip: save a blank copy first and back up monthly.</t>
  </si>
  <si>
    <t xml:space="preserve">Google Sheets: súbelo a Google Drive → Abrir con Google Sheets → Archivo → Guardar como Hojas de cálculo de Google. Consejo: guarda una copia en blanco y respalda cada mes.</t>
  </si>
  <si>
    <t xml:space="preserve">Color Legend  /  Leyenda de Colores</t>
  </si>
  <si>
    <t xml:space="preserve">Light teal = type your data here</t>
  </si>
  <si>
    <t xml:space="preserve">Verde claro = escribe tus datos aquí</t>
  </si>
  <si>
    <t xml:space="preserve">Grey = automatic formula – don't type here</t>
  </si>
  <si>
    <t xml:space="preserve">Gris = fórmula automática – no escribas aquí</t>
  </si>
  <si>
    <t xml:space="preserve">Yellow = settings you can change</t>
  </si>
  <si>
    <t xml:space="preserve">Amarillo = ajustes que puedes cambiar</t>
  </si>
  <si>
    <t xml:space="preserve">FAQ  /  Preguntas Frecuentes</t>
  </si>
  <si>
    <t xml:space="preserve">Q: I use kilometres.  A: Put your rate per km in Settings and type km in the Mileage sheet – the math is the same.</t>
  </si>
  <si>
    <t xml:space="preserve">P: Uso kilómetros.  R: Pon tu tarifa por km en Settings y escribe km en la hoja Mileage – el cálculo es igual.</t>
  </si>
  <si>
    <t xml:space="preserve">Q: Which trips count?  A: Generally trips for business – sourcing, post office, supplies, bank. Regular commuting usually doesn't. Ask your tax professional about your situation.</t>
  </si>
  <si>
    <t xml:space="preserve">P: ¿Qué viajes cuentan?  R: En general los viajes de negocio – compras, correo, materiales, banco. El traslado habitual normalmente no. Consulta a tu profesional de impuestos.</t>
  </si>
  <si>
    <t xml:space="preserve">Q: Why can't I type on the Dashboard?  A: It's locked so formulas can't be erased by accident. To unlock (no password): Excel → Review → Unprotect Sheet.</t>
  </si>
  <si>
    <t xml:space="preserve">P: ¿Por qué no puedo escribir en el Panel?  R: Está bloqueado para no borrar fórmulas por accidente. Para desbloquear (sin contraseña): Excel → Revisar → Desproteger hoja.</t>
  </si>
  <si>
    <t xml:space="preserve">Q: How many rows?  A: 500 expenses and 500 trips per file. Start a fresh copy each tax year.</t>
  </si>
  <si>
    <t xml:space="preserve">P: ¿Cuántas filas?  R: 500 gastos y 500 viajes por archivo. Usa una copia nueva cada año fiscal.</t>
  </si>
  <si>
    <t xml:space="preserve">Important  /  Importante</t>
  </si>
  <si>
    <t xml:space="preserve">This template helps you organize records. It is not tax, legal or accounting advice. Deduction rules depend on your situation – consult a qualified tax professional. Mileage rates: IRS Notice 2026-10 and Announcement 2026-11 (verify at irs.gov).</t>
  </si>
  <si>
    <t xml:space="preserve">Esta plantilla te ayuda a organizar tus registros. No es asesoría fiscal, legal ni contable. Las reglas de deducción dependen de tu situación – consulta a un profesional de impuestos calificado. Tarifas: IRS Notice 2026-10 y Announcement 2026-11 (verifica en irs.gov).</t>
  </si>
  <si>
    <t xml:space="preserve">Phone, Tablet &amp; Computer  /  Celular, Tableta y Computadora</t>
  </si>
  <si>
    <t xml:space="preserve">💻 Computer (Windows / Mac): open in Microsoft Excel, or in Google Sheets from any browser. Everything works.</t>
  </si>
  <si>
    <t xml:space="preserve">💻 Computadora (Windows / Mac): ábrelo en Microsoft Excel o en Google Sheets desde cualquier navegador. Todo funciona.</t>
  </si>
  <si>
    <t xml:space="preserve">📱 iPhone, iPad &amp; Android — RECOMMENDED: the free Microsoft Excel app or the free Google Sheets app. Formulas, dropdowns, charts and alerts all work.</t>
  </si>
  <si>
    <t xml:space="preserve">📱 iPhone, iPad y Android — RECOMENDADO: la app gratuita Microsoft Excel o la app gratuita Google Sheets. Fórmulas, listas, gráficas y alertas funcionan.</t>
  </si>
  <si>
    <t xml:space="preserve">🍎 Apple Numbers: formulas, Dashboard, charts and alerts work, but Numbers removes dropdown lists from Excel files (you'll see a message – this is normal). Type the option exactly as listed, or re-add a menu: select the cells → Format → Cell → Data Format → Pop-Up Menu.</t>
  </si>
  <si>
    <t xml:space="preserve">🍎 Apple Numbers: las fórmulas, el Panel, las gráficas y las alertas funcionan, pero Numbers elimina las listas desplegables de los archivos de Excel (verás un aviso – es normal). Escribe la opción tal como aparece, o vuelve a crear el menú: selecciona las celdas → Formato → Celda → Formato de datos → Menú desplegable.</t>
  </si>
</sst>
</file>

<file path=xl/styles.xml><?xml version="1.0" encoding="utf-8"?>
<styleSheet xmlns="http://schemas.openxmlformats.org/spreadsheetml/2006/main">
  <numFmts count="17">
    <numFmt numFmtId="164" formatCode="General"/>
    <numFmt numFmtId="165" formatCode="0"/>
    <numFmt numFmtId="166" formatCode="\$#,##0;[RED]&quot;-$&quot;#,##0;\-"/>
    <numFmt numFmtId="167" formatCode="#,##0"/>
    <numFmt numFmtId="168" formatCode="\$#,##0&quot; spent in total / gastado en total&quot;"/>
    <numFmt numFmtId="169" formatCode="0&quot; trips / viajes&quot;"/>
    <numFmt numFmtId="170" formatCode="\$0.000&quot; avg / mile · prom / milla&quot;"/>
    <numFmt numFmtId="171" formatCode="0&quot; missing receipts / recibos faltantes&quot;"/>
    <numFmt numFmtId="172" formatCode="\$#,##0.00"/>
    <numFmt numFmtId="173" formatCode="0.0%"/>
    <numFmt numFmtId="174" formatCode="#,##0.0"/>
    <numFmt numFmtId="175" formatCode="\$#,##0"/>
    <numFmt numFmtId="176" formatCode="yyyy\-mm\-dd"/>
    <numFmt numFmtId="177" formatCode="\$#,##0.00;[RED]&quot;-$&quot;#,##0.00;\-"/>
    <numFmt numFmtId="178" formatCode="0%"/>
    <numFmt numFmtId="179" formatCode="#,##0.0;[RED]\-#,##0.0;\-"/>
    <numFmt numFmtId="180" formatCode="\$0.000"/>
  </numFmts>
  <fonts count="34">
    <font>
      <sz val="11"/>
      <color theme="1"/>
      <name val="Calibri"/>
      <family val="2"/>
      <charset val="1"/>
    </font>
    <font>
      <sz val="10"/>
      <name val="Arial"/>
      <family val="0"/>
    </font>
    <font>
      <sz val="10"/>
      <name val="Arial"/>
      <family val="0"/>
    </font>
    <font>
      <sz val="10"/>
      <name val="Arial"/>
      <family val="0"/>
    </font>
    <font>
      <b val="true"/>
      <sz val="11"/>
      <color rgb="FF14B8A6"/>
      <name val="Arial"/>
      <family val="0"/>
      <charset val="1"/>
    </font>
    <font>
      <b val="true"/>
      <sz val="48"/>
      <color rgb="FFFFFFFF"/>
      <name val="Arial"/>
      <family val="0"/>
      <charset val="1"/>
    </font>
    <font>
      <b val="true"/>
      <sz val="18"/>
      <color rgb="FFCCFBF1"/>
      <name val="Arial"/>
      <family val="0"/>
      <charset val="1"/>
    </font>
    <font>
      <i val="true"/>
      <sz val="14"/>
      <color rgb="FFC7D2FE"/>
      <name val="Arial"/>
      <family val="0"/>
      <charset val="1"/>
    </font>
    <font>
      <sz val="10"/>
      <color rgb="FF94A3B8"/>
      <name val="Arial"/>
      <family val="0"/>
      <charset val="1"/>
    </font>
    <font>
      <b val="true"/>
      <sz val="12"/>
      <color rgb="FF14B8A6"/>
      <name val="Arial"/>
      <family val="0"/>
      <charset val="1"/>
    </font>
    <font>
      <b val="true"/>
      <u val="single"/>
      <sz val="13"/>
      <color rgb="FFFFFFFF"/>
      <name val="Arial"/>
      <family val="0"/>
      <charset val="1"/>
    </font>
    <font>
      <sz val="9"/>
      <color rgb="FF94A3B8"/>
      <name val="Arial"/>
      <family val="0"/>
      <charset val="1"/>
    </font>
    <font>
      <b val="true"/>
      <u val="single"/>
      <sz val="11"/>
      <color rgb="FF14B8A6"/>
      <name val="Arial"/>
      <family val="0"/>
      <charset val="1"/>
    </font>
    <font>
      <sz val="8"/>
      <color rgb="FF64748B"/>
      <name val="Arial"/>
      <family val="0"/>
      <charset val="1"/>
    </font>
    <font>
      <b val="true"/>
      <sz val="9"/>
      <color rgb="FF14B8A6"/>
      <name val="Arial"/>
      <family val="0"/>
      <charset val="1"/>
    </font>
    <font>
      <b val="true"/>
      <sz val="18"/>
      <color rgb="FFFFFFFF"/>
      <name val="Arial"/>
      <family val="0"/>
      <charset val="1"/>
    </font>
    <font>
      <i val="true"/>
      <sz val="10"/>
      <color rgb="FFC7D2FE"/>
      <name val="Arial"/>
      <family val="0"/>
      <charset val="1"/>
    </font>
    <font>
      <b val="true"/>
      <sz val="11"/>
      <color rgb="FF0B1F3A"/>
      <name val="Arial"/>
      <family val="0"/>
      <charset val="1"/>
    </font>
    <font>
      <b val="true"/>
      <sz val="11"/>
      <color rgb="FF1E3A8A"/>
      <name val="Arial"/>
      <family val="0"/>
      <charset val="1"/>
    </font>
    <font>
      <i val="true"/>
      <sz val="8"/>
      <color rgb="FF475569"/>
      <name val="Arial"/>
      <family val="0"/>
      <charset val="1"/>
    </font>
    <font>
      <i val="true"/>
      <sz val="8"/>
      <color rgb="FFC7D2FE"/>
      <name val="Arial"/>
      <family val="0"/>
      <charset val="1"/>
    </font>
    <font>
      <b val="true"/>
      <sz val="22"/>
      <color rgb="FFFFFFFF"/>
      <name val="Arial"/>
      <family val="0"/>
      <charset val="1"/>
    </font>
    <font>
      <sz val="7"/>
      <color rgb="FFFFFFFF"/>
      <name val="Arial"/>
      <family val="0"/>
      <charset val="1"/>
    </font>
    <font>
      <b val="true"/>
      <sz val="12"/>
      <color rgb="FF0B1F3A"/>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10"/>
      <name val="Arial"/>
      <family val="2"/>
    </font>
    <font>
      <b val="true"/>
      <sz val="12"/>
      <color rgb="FF0B1F3A"/>
      <name val="Arial"/>
      <family val="2"/>
    </font>
    <font>
      <sz val="10"/>
      <color rgb="FF000000"/>
      <name val="Calibri"/>
      <family val="2"/>
    </font>
    <font>
      <sz val="7.5"/>
      <color rgb="FF000000"/>
      <name val="Calibri"/>
      <family val="2"/>
    </font>
    <font>
      <sz val="8"/>
      <color rgb="FF94A3B8"/>
      <name val="Arial"/>
      <family val="0"/>
      <charset val="1"/>
    </font>
    <font>
      <sz val="10"/>
      <color rgb="FF1E3A8A"/>
      <name val="Arial"/>
      <family val="0"/>
      <charset val="1"/>
    </font>
    <font>
      <b val="true"/>
      <sz val="14"/>
      <color rgb="FFFFFFFF"/>
      <name val="Arial"/>
      <family val="0"/>
      <charset val="1"/>
    </font>
  </fonts>
  <fills count="11">
    <fill>
      <patternFill patternType="none"/>
    </fill>
    <fill>
      <patternFill patternType="gray125"/>
    </fill>
    <fill>
      <patternFill patternType="solid">
        <fgColor rgb="FF0B1F3A"/>
        <bgColor rgb="FF16325C"/>
      </patternFill>
    </fill>
    <fill>
      <patternFill patternType="solid">
        <fgColor rgb="FF14B8A6"/>
        <bgColor rgb="FF00CCFF"/>
      </patternFill>
    </fill>
    <fill>
      <patternFill patternType="solid">
        <fgColor rgb="FFFEF9C3"/>
        <bgColor rgb="FFFEF3C7"/>
      </patternFill>
    </fill>
    <fill>
      <patternFill patternType="solid">
        <fgColor rgb="FF16325C"/>
        <bgColor rgb="FF1E3A8A"/>
      </patternFill>
    </fill>
    <fill>
      <patternFill patternType="solid">
        <fgColor rgb="FFCCFBF1"/>
        <bgColor rgb="FFDCFCE7"/>
      </patternFill>
    </fill>
    <fill>
      <patternFill patternType="solid">
        <fgColor rgb="FFFFFFFF"/>
        <bgColor rgb="FFF0FDFA"/>
      </patternFill>
    </fill>
    <fill>
      <patternFill patternType="solid">
        <fgColor rgb="FFF0FDFA"/>
        <bgColor rgb="FFF1F5F9"/>
      </patternFill>
    </fill>
    <fill>
      <patternFill patternType="solid">
        <fgColor rgb="FFF1F5F9"/>
        <bgColor rgb="FFF0FDFA"/>
      </patternFill>
    </fill>
    <fill>
      <patternFill patternType="solid">
        <fgColor rgb="FF0F766E"/>
        <bgColor rgb="FF008080"/>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right/>
      <top/>
      <bottom style="medium">
        <color rgb="FF14B8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true" indent="0" shrinkToFit="false"/>
      <protection locked="true" hidden="false"/>
    </xf>
    <xf numFmtId="164" fontId="11" fillId="2" borderId="0" xfId="0" applyFont="true" applyBorder="true" applyAlignment="true" applyProtection="false">
      <alignment horizontal="left" vertical="center" textRotation="0" wrapText="tru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16" fillId="2" borderId="0" xfId="0" applyFont="true" applyBorder="tru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5" fontId="18" fillId="4" borderId="1" xfId="0" applyFont="true" applyBorder="true" applyAlignment="true" applyProtection="true">
      <alignment horizontal="center" vertical="center" textRotation="0" wrapText="false" indent="0" shrinkToFit="false"/>
      <protection locked="fals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20" fillId="2" borderId="0" xfId="0" applyFont="true" applyBorder="false" applyAlignment="true" applyProtection="false">
      <alignment horizontal="center" vertical="center"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6" fontId="21" fillId="2" borderId="0" xfId="0" applyFont="true" applyBorder="false" applyAlignment="true" applyProtection="false">
      <alignment horizontal="center" vertical="center" textRotation="0" wrapText="false" indent="0" shrinkToFit="false"/>
      <protection locked="true" hidden="false"/>
    </xf>
    <xf numFmtId="167" fontId="21" fillId="2" borderId="0" xfId="0" applyFont="true" applyBorder="true" applyAlignment="true" applyProtection="false">
      <alignment horizontal="center" vertical="center" textRotation="0" wrapText="false" indent="0" shrinkToFit="false"/>
      <protection locked="true" hidden="false"/>
    </xf>
    <xf numFmtId="166" fontId="21" fillId="2" borderId="0" xfId="0" applyFont="true" applyBorder="true" applyAlignment="true" applyProtection="false">
      <alignment horizontal="center" vertical="center" textRotation="0" wrapText="false" indent="0" shrinkToFit="false"/>
      <protection locked="true" hidden="false"/>
    </xf>
    <xf numFmtId="168" fontId="22" fillId="3" borderId="0" xfId="0" applyFont="true" applyBorder="false" applyAlignment="true" applyProtection="false">
      <alignment horizontal="center" vertical="center" textRotation="0" wrapText="false" indent="0" shrinkToFit="false"/>
      <protection locked="true" hidden="false"/>
    </xf>
    <xf numFmtId="169" fontId="22" fillId="3" borderId="0" xfId="0" applyFont="true" applyBorder="true" applyAlignment="true" applyProtection="false">
      <alignment horizontal="center" vertical="center" textRotation="0" wrapText="false" indent="0" shrinkToFit="false"/>
      <protection locked="true" hidden="false"/>
    </xf>
    <xf numFmtId="170" fontId="22" fillId="3" borderId="0" xfId="0" applyFont="true" applyBorder="true" applyAlignment="true" applyProtection="false">
      <alignment horizontal="center" vertical="center" textRotation="0" wrapText="false" indent="0" shrinkToFit="false"/>
      <protection locked="true" hidden="false"/>
    </xf>
    <xf numFmtId="171" fontId="22" fillId="3" borderId="0"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general" vertical="center" textRotation="0" wrapText="false" indent="0" shrinkToFit="false"/>
      <protection locked="true" hidden="false"/>
    </xf>
    <xf numFmtId="164" fontId="24" fillId="5" borderId="1" xfId="0" applyFont="true" applyBorder="true" applyAlignment="true" applyProtection="false">
      <alignment horizontal="center" vertical="center" textRotation="0" wrapText="true" indent="0" shrinkToFit="false"/>
      <protection locked="true" hidden="false"/>
    </xf>
    <xf numFmtId="164" fontId="25" fillId="6" borderId="1" xfId="0" applyFont="true" applyBorder="true" applyAlignment="false" applyProtection="false">
      <alignment horizontal="general" vertical="bottom" textRotation="0" wrapText="false" indent="0" shrinkToFit="false"/>
      <protection locked="true" hidden="false"/>
    </xf>
    <xf numFmtId="167" fontId="25" fillId="6" borderId="1" xfId="0" applyFont="true" applyBorder="true" applyAlignment="true" applyProtection="false">
      <alignment horizontal="center" vertical="bottom" textRotation="0" wrapText="false" indent="0" shrinkToFit="false"/>
      <protection locked="true" hidden="false"/>
    </xf>
    <xf numFmtId="172" fontId="25" fillId="6" borderId="1" xfId="0" applyFont="true" applyBorder="true" applyAlignment="false" applyProtection="false">
      <alignment horizontal="general" vertical="bottom" textRotation="0" wrapText="false" indent="0" shrinkToFit="false"/>
      <protection locked="true" hidden="false"/>
    </xf>
    <xf numFmtId="173" fontId="25" fillId="6" borderId="1" xfId="0" applyFont="true" applyBorder="true" applyAlignment="false" applyProtection="false">
      <alignment horizontal="general" vertical="bottom" textRotation="0" wrapText="false" indent="0" shrinkToFit="false"/>
      <protection locked="true" hidden="false"/>
    </xf>
    <xf numFmtId="164" fontId="25" fillId="7" borderId="1" xfId="0" applyFont="true" applyBorder="true" applyAlignment="false" applyProtection="false">
      <alignment horizontal="general" vertical="bottom" textRotation="0" wrapText="false" indent="0" shrinkToFit="false"/>
      <protection locked="true" hidden="false"/>
    </xf>
    <xf numFmtId="167" fontId="25" fillId="7" borderId="1" xfId="0" applyFont="true" applyBorder="true" applyAlignment="true" applyProtection="false">
      <alignment horizontal="center" vertical="bottom" textRotation="0" wrapText="false" indent="0" shrinkToFit="false"/>
      <protection locked="true" hidden="false"/>
    </xf>
    <xf numFmtId="172" fontId="25" fillId="7" borderId="1" xfId="0" applyFont="true" applyBorder="true" applyAlignment="false" applyProtection="false">
      <alignment horizontal="general" vertical="bottom" textRotation="0" wrapText="false" indent="0" shrinkToFit="false"/>
      <protection locked="true" hidden="false"/>
    </xf>
    <xf numFmtId="173" fontId="25" fillId="7" borderId="1" xfId="0" applyFont="true" applyBorder="true" applyAlignment="false" applyProtection="false">
      <alignment horizontal="general" vertical="bottom" textRotation="0" wrapText="false" indent="0" shrinkToFit="false"/>
      <protection locked="true" hidden="false"/>
    </xf>
    <xf numFmtId="164" fontId="24" fillId="2" borderId="1" xfId="0" applyFont="true" applyBorder="true" applyAlignment="false" applyProtection="false">
      <alignment horizontal="general" vertical="bottom" textRotation="0" wrapText="false" indent="0" shrinkToFit="false"/>
      <protection locked="true" hidden="false"/>
    </xf>
    <xf numFmtId="167" fontId="24" fillId="2" borderId="1" xfId="0" applyFont="true" applyBorder="true" applyAlignment="true" applyProtection="false">
      <alignment horizontal="center" vertical="bottom" textRotation="0" wrapText="false" indent="0" shrinkToFit="false"/>
      <protection locked="true" hidden="false"/>
    </xf>
    <xf numFmtId="172" fontId="24" fillId="2" borderId="1" xfId="0" applyFont="true" applyBorder="true" applyAlignment="false" applyProtection="false">
      <alignment horizontal="general" vertical="bottom" textRotation="0" wrapText="false" indent="0" shrinkToFit="false"/>
      <protection locked="true" hidden="false"/>
    </xf>
    <xf numFmtId="173" fontId="24" fillId="2"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6" fillId="6" borderId="1" xfId="0" applyFont="true" applyBorder="true" applyAlignment="false" applyProtection="false">
      <alignment horizontal="general" vertical="bottom" textRotation="0" wrapText="false" indent="0" shrinkToFit="false"/>
      <protection locked="true" hidden="false"/>
    </xf>
    <xf numFmtId="174" fontId="25" fillId="6" borderId="1" xfId="0" applyFont="true" applyBorder="true" applyAlignment="false" applyProtection="false">
      <alignment horizontal="general" vertical="bottom" textRotation="0" wrapText="false" indent="0" shrinkToFit="false"/>
      <protection locked="true" hidden="false"/>
    </xf>
    <xf numFmtId="164" fontId="26" fillId="7" borderId="1" xfId="0" applyFont="true" applyBorder="true" applyAlignment="false" applyProtection="false">
      <alignment horizontal="general" vertical="bottom" textRotation="0" wrapText="false" indent="0" shrinkToFit="false"/>
      <protection locked="true" hidden="false"/>
    </xf>
    <xf numFmtId="174" fontId="25" fillId="7" borderId="1" xfId="0" applyFont="true" applyBorder="true" applyAlignment="false" applyProtection="false">
      <alignment horizontal="general" vertical="bottom" textRotation="0" wrapText="false" indent="0" shrinkToFit="false"/>
      <protection locked="true" hidden="false"/>
    </xf>
    <xf numFmtId="174" fontId="24" fillId="2" borderId="1"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76" fontId="32" fillId="8" borderId="1" xfId="0" applyFont="true" applyBorder="true" applyAlignment="true" applyProtection="false">
      <alignment horizontal="center" vertical="center" textRotation="0" wrapText="false" indent="0" shrinkToFit="false"/>
      <protection locked="true" hidden="false"/>
    </xf>
    <xf numFmtId="164" fontId="32" fillId="8" borderId="1" xfId="0" applyFont="true" applyBorder="true" applyAlignment="true" applyProtection="false">
      <alignment horizontal="left" vertical="center" textRotation="0" wrapText="false" indent="0" shrinkToFit="false"/>
      <protection locked="true" hidden="false"/>
    </xf>
    <xf numFmtId="177" fontId="32" fillId="8" borderId="1" xfId="0" applyFont="true" applyBorder="true" applyAlignment="true" applyProtection="false">
      <alignment horizontal="right" vertical="center" textRotation="0" wrapText="false" indent="0" shrinkToFit="false"/>
      <protection locked="true" hidden="false"/>
    </xf>
    <xf numFmtId="178" fontId="32" fillId="8" borderId="1" xfId="0" applyFont="true" applyBorder="true" applyAlignment="true" applyProtection="false">
      <alignment horizontal="right" vertical="center" textRotation="0" wrapText="false" indent="0" shrinkToFit="false"/>
      <protection locked="true" hidden="false"/>
    </xf>
    <xf numFmtId="177" fontId="25" fillId="9" borderId="1" xfId="0" applyFont="true" applyBorder="true" applyAlignment="true" applyProtection="false">
      <alignment horizontal="right" vertical="center" textRotation="0" wrapText="false" indent="0" shrinkToFit="false"/>
      <protection locked="true" hidden="false"/>
    </xf>
    <xf numFmtId="164" fontId="32" fillId="8" borderId="1" xfId="0" applyFont="true" applyBorder="true" applyAlignment="true" applyProtection="false">
      <alignment horizontal="center" vertical="center" textRotation="0" wrapText="false" indent="0" shrinkToFit="false"/>
      <protection locked="true" hidden="false"/>
    </xf>
    <xf numFmtId="164" fontId="25" fillId="9" borderId="1" xfId="0" applyFont="true" applyBorder="true" applyAlignment="true" applyProtection="false">
      <alignment horizontal="center" vertical="center" textRotation="0" wrapText="false" indent="0" shrinkToFit="false"/>
      <protection locked="true" hidden="false"/>
    </xf>
    <xf numFmtId="179" fontId="32" fillId="8" borderId="1" xfId="0" applyFont="true" applyBorder="true" applyAlignment="true" applyProtection="false">
      <alignment horizontal="right" vertical="center" textRotation="0" wrapText="false" indent="0" shrinkToFit="false"/>
      <protection locked="true" hidden="false"/>
    </xf>
    <xf numFmtId="179" fontId="25" fillId="9" borderId="1" xfId="0" applyFont="true" applyBorder="true" applyAlignment="true" applyProtection="false">
      <alignment horizontal="right" vertical="center" textRotation="0" wrapText="false" indent="0" shrinkToFit="false"/>
      <protection locked="true" hidden="false"/>
    </xf>
    <xf numFmtId="180" fontId="25" fillId="9" borderId="1" xfId="0" applyFont="true" applyBorder="true" applyAlignment="true" applyProtection="false">
      <alignment horizontal="left" vertical="center" textRotation="0" wrapText="false" indent="0" shrinkToFit="false"/>
      <protection locked="true" hidden="false"/>
    </xf>
    <xf numFmtId="176" fontId="32" fillId="4" borderId="1" xfId="0" applyFont="true" applyBorder="true" applyAlignment="true" applyProtection="false">
      <alignment horizontal="center" vertical="bottom" textRotation="0" wrapText="false" indent="0" shrinkToFit="false"/>
      <protection locked="true" hidden="false"/>
    </xf>
    <xf numFmtId="180" fontId="32" fillId="4" borderId="1" xfId="0" applyFont="true" applyBorder="true" applyAlignment="true" applyProtection="false">
      <alignment horizontal="center" vertical="bottom" textRotation="0" wrapText="false" indent="0" shrinkToFit="false"/>
      <protection locked="true" hidden="false"/>
    </xf>
    <xf numFmtId="164" fontId="32" fillId="4"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33" fillId="10" borderId="1" xfId="0" applyFont="true" applyBorder="true" applyAlignment="true" applyProtection="false">
      <alignment horizontal="center" vertical="center" textRotation="0" wrapText="true" indent="0" shrinkToFit="false"/>
      <protection locked="true" hidden="false"/>
    </xf>
    <xf numFmtId="164" fontId="25" fillId="6" borderId="1" xfId="0" applyFont="true" applyBorder="true" applyAlignment="true" applyProtection="false">
      <alignment horizontal="general" vertical="top" textRotation="0" wrapText="true" indent="0" shrinkToFit="false"/>
      <protection locked="true" hidden="false"/>
    </xf>
    <xf numFmtId="164" fontId="25" fillId="7" borderId="1" xfId="0" applyFont="true" applyBorder="true" applyAlignment="true" applyProtection="false">
      <alignment horizontal="general" vertical="top" textRotation="0" wrapText="true" indent="0" shrinkToFit="false"/>
      <protection locked="true" hidden="false"/>
    </xf>
    <xf numFmtId="164" fontId="23" fillId="0" borderId="2"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6325C"/>
          <bgColor rgb="FF000000"/>
        </patternFill>
      </fill>
    </dxf>
    <dxf>
      <fill>
        <patternFill patternType="solid">
          <fgColor rgb="FFF0FDFA"/>
          <bgColor rgb="FF000000"/>
        </patternFill>
      </fill>
    </dxf>
    <dxf>
      <fill>
        <patternFill patternType="solid">
          <fgColor rgb="FF1E3A8A"/>
          <bgColor rgb="FF000000"/>
        </patternFill>
      </fill>
    </dxf>
    <dxf>
      <fill>
        <patternFill patternType="solid">
          <fgColor rgb="FFFFFFFF"/>
          <bgColor rgb="FF000000"/>
        </patternFill>
      </fill>
    </dxf>
    <dxf>
      <fill>
        <patternFill patternType="solid">
          <fgColor rgb="FFF1F5F9"/>
          <bgColor rgb="FF000000"/>
        </patternFill>
      </fill>
    </dxf>
    <dxf>
      <fill>
        <patternFill patternType="solid">
          <fgColor rgb="FF000000"/>
          <bgColor rgb="FF000000"/>
        </patternFill>
      </fill>
    </dxf>
    <dxf>
      <fill>
        <patternFill patternType="solid">
          <fgColor rgb="FFDCFCE7"/>
          <bgColor rgb="FF000000"/>
        </patternFill>
      </fill>
    </dxf>
    <dxf>
      <fill>
        <patternFill patternType="solid">
          <fgColor rgb="FFFEF3C7"/>
          <bgColor rgb="FF000000"/>
        </patternFill>
      </fill>
    </dxf>
    <dxf>
      <fill>
        <patternFill patternType="solid">
          <fgColor rgb="FF15803D"/>
          <bgColor rgb="FF000000"/>
        </patternFill>
      </fill>
    </dxf>
    <dxf>
      <fill>
        <patternFill patternType="solid">
          <fgColor rgb="FFB45309"/>
          <bgColor rgb="FF000000"/>
        </patternFill>
      </fill>
    </dxf>
    <dxf>
      <font>
        <name val="Arial"/>
        <charset val="1"/>
        <family val="0"/>
        <b val="1"/>
        <color rgb="FFDC2626"/>
      </font>
      <fill>
        <patternFill>
          <bgColor rgb="FFFEE2E2"/>
        </patternFill>
      </fill>
    </dxf>
    <dxf>
      <font>
        <name val="Arial"/>
        <charset val="1"/>
        <family val="0"/>
        <b val="1"/>
        <color rgb="FFB45309"/>
      </font>
      <fill>
        <patternFill>
          <bgColor rgb="FFFEF3C7"/>
        </patternFill>
      </fill>
    </dxf>
    <dxf>
      <font>
        <name val="Arial"/>
        <charset val="1"/>
        <family val="0"/>
        <color rgb="FF15803D"/>
      </font>
      <fill>
        <patternFill>
          <bgColor rgb="FFDCFCE7"/>
        </patternFill>
      </fill>
    </dxf>
  </dxfs>
  <colors>
    <indexedColors>
      <rgbColor rgb="FF000000"/>
      <rgbColor rgb="FFFFFFFF"/>
      <rgbColor rgb="FFDC2626"/>
      <rgbColor rgb="FF00FF00"/>
      <rgbColor rgb="FF0000FF"/>
      <rgbColor rgb="FFFFFF00"/>
      <rgbColor rgb="FFFF00FF"/>
      <rgbColor rgb="FF00FFFF"/>
      <rgbColor rgb="FF800000"/>
      <rgbColor rgb="FF15803D"/>
      <rgbColor rgb="FF000080"/>
      <rgbColor rgb="FF808000"/>
      <rgbColor rgb="FF800080"/>
      <rgbColor rgb="FF0F766E"/>
      <rgbColor rgb="FFCBD5E1"/>
      <rgbColor rgb="FF878787"/>
      <rgbColor rgb="FF9999FF"/>
      <rgbColor rgb="FF993366"/>
      <rgbColor rgb="FFFEF9C3"/>
      <rgbColor rgb="FFCCFBF1"/>
      <rgbColor rgb="FF660066"/>
      <rgbColor rgb="FFFF8080"/>
      <rgbColor rgb="FF0066CC"/>
      <rgbColor rgb="FFC7D2FE"/>
      <rgbColor rgb="FF000080"/>
      <rgbColor rgb="FFFF00FF"/>
      <rgbColor rgb="FFFFFF00"/>
      <rgbColor rgb="FF00FFFF"/>
      <rgbColor rgb="FF800080"/>
      <rgbColor rgb="FF800000"/>
      <rgbColor rgb="FF008080"/>
      <rgbColor rgb="FF0000FF"/>
      <rgbColor rgb="FF00CCFF"/>
      <rgbColor rgb="FFDCFCE7"/>
      <rgbColor rgb="FFF0FDFA"/>
      <rgbColor rgb="FFFEF3C7"/>
      <rgbColor rgb="FFD9D9D9"/>
      <rgbColor rgb="FFF1F5F9"/>
      <rgbColor rgb="FFCC99FF"/>
      <rgbColor rgb="FFFEE2E2"/>
      <rgbColor rgb="FF3366FF"/>
      <rgbColor rgb="FF14B8A6"/>
      <rgbColor rgb="FF99CC00"/>
      <rgbColor rgb="FFFFCC00"/>
      <rgbColor rgb="FFFF9900"/>
      <rgbColor rgb="FFFF6600"/>
      <rgbColor rgb="FF64748B"/>
      <rgbColor rgb="FF94A3B8"/>
      <rgbColor rgb="FF16325C"/>
      <rgbColor rgb="FF339966"/>
      <rgbColor rgb="FF0B1F3A"/>
      <rgbColor rgb="FF333300"/>
      <rgbColor rgb="FFB45309"/>
      <rgbColor rgb="FF993366"/>
      <rgbColor rgb="FF1E3A8A"/>
      <rgbColor rgb="FF47556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b1f3a"/>
                </a:solidFill>
                <a:latin typeface="Arial"/>
              </a:defRPr>
            </a:pPr>
            <a:r>
              <a:rPr b="1" sz="1200" spc="-1" strike="noStrike">
                <a:solidFill>
                  <a:srgbClr val="0b1f3a"/>
                </a:solidFill>
                <a:latin typeface="Arial"/>
              </a:rPr>
              <a:t>Deductible by Category / Deducible por Categoría</a:t>
            </a:r>
          </a:p>
        </c:rich>
      </c:tx>
      <c:overlay val="0"/>
      <c:spPr>
        <a:noFill/>
        <a:ln w="0">
          <a:noFill/>
        </a:ln>
      </c:spPr>
    </c:title>
    <c:autoTitleDeleted val="0"/>
    <c:plotArea>
      <c:barChart>
        <c:barDir val="bar"/>
        <c:grouping val="clustered"/>
        <c:varyColors val="0"/>
        <c:ser>
          <c:idx val="0"/>
          <c:order val="0"/>
          <c:tx>
            <c:strRef>
              <c:f>Dashboard!E14</c:f>
              <c:strCache>
                <c:ptCount val="1"/>
                <c:pt idx="0">
                  <c:v>Deductible
Deducible</c:v>
                </c:pt>
              </c:strCache>
            </c:strRef>
          </c:tx>
          <c:spPr>
            <a:solidFill>
              <a:srgbClr val="14b8a6"/>
            </a:solidFill>
            <a:ln w="9360">
              <a:solidFill>
                <a:srgbClr val="0f766e"/>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Dashboard!$B$15:$B$29</c:f>
              <c:strCache>
                <c:ptCount val="15"/>
                <c:pt idx="0">
                  <c:v>Shipping Supplies / Materiales de Envío</c:v>
                </c:pt>
                <c:pt idx="1">
                  <c:v>Postage &amp; Shipping Labels / Envíos y Etiquetas</c:v>
                </c:pt>
                <c:pt idx="2">
                  <c:v>Platform &amp; Subscription Fees / Tarifas y Suscripciones</c:v>
                </c:pt>
                <c:pt idx="3">
                  <c:v>Advertising &amp; Promoted Listings / Publicidad</c:v>
                </c:pt>
                <c:pt idx="4">
                  <c:v>Office Supplies / Artículos de Oficina</c:v>
                </c:pt>
                <c:pt idx="5">
                  <c:v>Equipment &amp; Tools / Equipo y Herramientas</c:v>
                </c:pt>
                <c:pt idx="6">
                  <c:v>Phone &amp; Internet / Teléfono e Internet</c:v>
                </c:pt>
                <c:pt idx="7">
                  <c:v>Storage &amp; Rent / Almacenaje y Renta</c:v>
                </c:pt>
                <c:pt idx="8">
                  <c:v>Cleaning &amp; Repairs / Limpieza y Reparaciones</c:v>
                </c:pt>
                <c:pt idx="9">
                  <c:v>Software &amp; Apps / Software y Aplicaciones</c:v>
                </c:pt>
                <c:pt idx="10">
                  <c:v>Education &amp; Courses / Educación y Cursos</c:v>
                </c:pt>
                <c:pt idx="11">
                  <c:v>Other / Otro</c:v>
                </c:pt>
                <c:pt idx="12">
                  <c:v/>
                </c:pt>
                <c:pt idx="13">
                  <c:v/>
                </c:pt>
                <c:pt idx="14">
                  <c:v>Uncategorized / Sin categoría</c:v>
                </c:pt>
              </c:strCache>
            </c:strRef>
          </c:cat>
          <c:val>
            <c:numRef>
              <c:f>Dashboard!$E$15:$E$29</c:f>
              <c:numCache>
                <c:formatCode>\$#,##0.00</c:formatCode>
                <c:ptCount val="15"/>
                <c:pt idx="0">
                  <c:v>94.84</c:v>
                </c:pt>
                <c:pt idx="1">
                  <c:v>42.75</c:v>
                </c:pt>
                <c:pt idx="2">
                  <c:v>27.95</c:v>
                </c:pt>
                <c:pt idx="3">
                  <c:v>25</c:v>
                </c:pt>
                <c:pt idx="4">
                  <c:v>60.89</c:v>
                </c:pt>
                <c:pt idx="5">
                  <c:v>142.47</c:v>
                </c:pt>
                <c:pt idx="6">
                  <c:v>61</c:v>
                </c:pt>
                <c:pt idx="7">
                  <c:v>65</c:v>
                </c:pt>
                <c:pt idx="8">
                  <c:v>34.97</c:v>
                </c:pt>
                <c:pt idx="9">
                  <c:v>43.99</c:v>
                </c:pt>
                <c:pt idx="10">
                  <c:v>19.99</c:v>
                </c:pt>
                <c:pt idx="11">
                  <c:v>0</c:v>
                </c:pt>
                <c:pt idx="12">
                  <c:v>0</c:v>
                </c:pt>
                <c:pt idx="13">
                  <c:v>0</c:v>
                </c:pt>
                <c:pt idx="14">
                  <c:v>0</c:v>
                </c:pt>
              </c:numCache>
            </c:numRef>
          </c:val>
        </c:ser>
        <c:gapWidth val="40"/>
        <c:overlap val="0"/>
        <c:axId val="47451672"/>
        <c:axId val="84368984"/>
      </c:barChart>
      <c:catAx>
        <c:axId val="4745167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750" spc="-1" strike="noStrike">
                <a:solidFill>
                  <a:srgbClr val="000000"/>
                </a:solidFill>
                <a:latin typeface="Calibri"/>
              </a:defRPr>
            </a:pPr>
          </a:p>
        </c:txPr>
        <c:crossAx val="84368984"/>
        <c:crosses val="autoZero"/>
        <c:auto val="1"/>
        <c:lblAlgn val="ctr"/>
        <c:lblOffset val="100"/>
        <c:noMultiLvlLbl val="0"/>
      </c:catAx>
      <c:valAx>
        <c:axId val="84368984"/>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51672"/>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b1f3a"/>
                </a:solidFill>
                <a:latin typeface="Arial"/>
              </a:defRPr>
            </a:pPr>
            <a:r>
              <a:rPr b="1" sz="1200" spc="-1" strike="noStrike">
                <a:solidFill>
                  <a:srgbClr val="0b1f3a"/>
                </a:solidFill>
                <a:latin typeface="Arial"/>
              </a:rPr>
              <a:t>Monthly Deductions / Deducciones Mensuales</a:t>
            </a:r>
          </a:p>
        </c:rich>
      </c:tx>
      <c:overlay val="0"/>
      <c:spPr>
        <a:noFill/>
        <a:ln w="0">
          <a:noFill/>
        </a:ln>
      </c:spPr>
    </c:title>
    <c:autoTitleDeleted val="0"/>
    <c:plotArea>
      <c:barChart>
        <c:barDir val="col"/>
        <c:grouping val="stacked"/>
        <c:varyColors val="0"/>
        <c:ser>
          <c:idx val="0"/>
          <c:order val="0"/>
          <c:tx>
            <c:strRef>
              <c:f>"Expenses / Gastos"</c:f>
              <c:strCache>
                <c:ptCount val="1"/>
                <c:pt idx="0">
                  <c:v>Expenses / Gastos</c:v>
                </c:pt>
              </c:strCache>
            </c:strRef>
          </c:tx>
          <c:spPr>
            <a:solidFill>
              <a:srgbClr val="14b8a6"/>
            </a:solidFill>
            <a:ln w="9360">
              <a:solidFill>
                <a:srgbClr val="0f766e"/>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Dashboard!$B$35:$B$46</c:f>
              <c:strCache>
                <c:ptCount val="12"/>
                <c:pt idx="0">
                  <c:v>Jan / Ene</c:v>
                </c:pt>
                <c:pt idx="1">
                  <c:v>Feb / Feb</c:v>
                </c:pt>
                <c:pt idx="2">
                  <c:v>Mar / Mar</c:v>
                </c:pt>
                <c:pt idx="3">
                  <c:v>Apr / Abr</c:v>
                </c:pt>
                <c:pt idx="4">
                  <c:v>May / May</c:v>
                </c:pt>
                <c:pt idx="5">
                  <c:v>Jun / Jun</c:v>
                </c:pt>
                <c:pt idx="6">
                  <c:v>Jul / Jul</c:v>
                </c:pt>
                <c:pt idx="7">
                  <c:v>Aug / Ago</c:v>
                </c:pt>
                <c:pt idx="8">
                  <c:v>Sep / Sep</c:v>
                </c:pt>
                <c:pt idx="9">
                  <c:v>Oct / Oct</c:v>
                </c:pt>
                <c:pt idx="10">
                  <c:v>Nov / Nov</c:v>
                </c:pt>
                <c:pt idx="11">
                  <c:v>Dec / Dic</c:v>
                </c:pt>
              </c:strCache>
            </c:strRef>
          </c:cat>
          <c:val>
            <c:numRef>
              <c:f>Dashboard!$C$35:$C$46</c:f>
              <c:numCache>
                <c:formatCode>\$#,##0.00</c:formatCode>
                <c:ptCount val="12"/>
                <c:pt idx="0">
                  <c:v>91.34</c:v>
                </c:pt>
                <c:pt idx="1">
                  <c:v>69.99</c:v>
                </c:pt>
                <c:pt idx="2">
                  <c:v>57.75</c:v>
                </c:pt>
                <c:pt idx="3">
                  <c:v>177.48</c:v>
                </c:pt>
                <c:pt idx="4">
                  <c:v>40.25</c:v>
                </c:pt>
                <c:pt idx="5">
                  <c:v>19.99</c:v>
                </c:pt>
                <c:pt idx="6">
                  <c:v>55.97</c:v>
                </c:pt>
                <c:pt idx="7">
                  <c:v>68.6</c:v>
                </c:pt>
                <c:pt idx="8">
                  <c:v>37.48</c:v>
                </c:pt>
                <c:pt idx="9">
                  <c:v>0</c:v>
                </c:pt>
                <c:pt idx="10">
                  <c:v>0</c:v>
                </c:pt>
                <c:pt idx="11">
                  <c:v>0</c:v>
                </c:pt>
              </c:numCache>
            </c:numRef>
          </c:val>
        </c:ser>
        <c:ser>
          <c:idx val="1"/>
          <c:order val="1"/>
          <c:tx>
            <c:strRef>
              <c:f>"Mileage / Millaje"</c:f>
              <c:strCache>
                <c:ptCount val="1"/>
                <c:pt idx="0">
                  <c:v>Mileage / Millaje</c:v>
                </c:pt>
              </c:strCache>
            </c:strRef>
          </c:tx>
          <c:spPr>
            <a:solidFill>
              <a:srgbClr val="16325c"/>
            </a:solidFill>
            <a:ln w="9360">
              <a:solidFill>
                <a:srgbClr val="0b1f3a"/>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Dashboard!$B$35:$B$46</c:f>
              <c:strCache>
                <c:ptCount val="12"/>
                <c:pt idx="0">
                  <c:v>Jan / Ene</c:v>
                </c:pt>
                <c:pt idx="1">
                  <c:v>Feb / Feb</c:v>
                </c:pt>
                <c:pt idx="2">
                  <c:v>Mar / Mar</c:v>
                </c:pt>
                <c:pt idx="3">
                  <c:v>Apr / Abr</c:v>
                </c:pt>
                <c:pt idx="4">
                  <c:v>May / May</c:v>
                </c:pt>
                <c:pt idx="5">
                  <c:v>Jun / Jun</c:v>
                </c:pt>
                <c:pt idx="6">
                  <c:v>Jul / Jul</c:v>
                </c:pt>
                <c:pt idx="7">
                  <c:v>Aug / Ago</c:v>
                </c:pt>
                <c:pt idx="8">
                  <c:v>Sep / Sep</c:v>
                </c:pt>
                <c:pt idx="9">
                  <c:v>Oct / Oct</c:v>
                </c:pt>
                <c:pt idx="10">
                  <c:v>Nov / Nov</c:v>
                </c:pt>
                <c:pt idx="11">
                  <c:v>Dec / Dic</c:v>
                </c:pt>
              </c:strCache>
            </c:strRef>
          </c:cat>
          <c:val>
            <c:numRef>
              <c:f>Dashboard!$E$35:$E$46</c:f>
              <c:numCache>
                <c:formatCode>\$#,##0.00</c:formatCode>
                <c:ptCount val="12"/>
                <c:pt idx="0">
                  <c:v>27.84</c:v>
                </c:pt>
                <c:pt idx="1">
                  <c:v>23.93</c:v>
                </c:pt>
                <c:pt idx="2">
                  <c:v>28.28</c:v>
                </c:pt>
                <c:pt idx="3">
                  <c:v>22.26</c:v>
                </c:pt>
                <c:pt idx="4">
                  <c:v>3.63</c:v>
                </c:pt>
                <c:pt idx="5">
                  <c:v>38.43</c:v>
                </c:pt>
                <c:pt idx="6">
                  <c:v>38.3</c:v>
                </c:pt>
                <c:pt idx="7">
                  <c:v>31.77</c:v>
                </c:pt>
                <c:pt idx="8">
                  <c:v>38</c:v>
                </c:pt>
                <c:pt idx="9">
                  <c:v>0</c:v>
                </c:pt>
                <c:pt idx="10">
                  <c:v>0</c:v>
                </c:pt>
                <c:pt idx="11">
                  <c:v>0</c:v>
                </c:pt>
              </c:numCache>
            </c:numRef>
          </c:val>
        </c:ser>
        <c:gapWidth val="150"/>
        <c:overlap val="100"/>
        <c:axId val="22418804"/>
        <c:axId val="66462946"/>
      </c:barChart>
      <c:catAx>
        <c:axId val="224188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62946"/>
        <c:crosses val="autoZero"/>
        <c:auto val="1"/>
        <c:lblAlgn val="ctr"/>
        <c:lblOffset val="100"/>
        <c:noMultiLvlLbl val="0"/>
      </c:catAx>
      <c:valAx>
        <c:axId val="6646294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418804"/>
        <c:crosses val="autoZero"/>
        <c:crossBetween val="between"/>
      </c:valAx>
      <c:spPr>
        <a:noFill/>
        <a:ln w="0">
          <a:noFill/>
        </a:ln>
      </c:spPr>
    </c:plotArea>
    <c:legend>
      <c:legendPos val="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12</xdr:row>
      <xdr:rowOff>0</xdr:rowOff>
    </xdr:from>
    <xdr:to>
      <xdr:col>12</xdr:col>
      <xdr:colOff>340920</xdr:colOff>
      <xdr:row>30</xdr:row>
      <xdr:rowOff>160200</xdr:rowOff>
    </xdr:to>
    <xdr:graphicFrame>
      <xdr:nvGraphicFramePr>
        <xdr:cNvPr id="0" name="Chart 1"/>
        <xdr:cNvGraphicFramePr/>
      </xdr:nvGraphicFramePr>
      <xdr:xfrm>
        <a:off x="8489880" y="2905200"/>
        <a:ext cx="6119640" cy="37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12</xdr:col>
      <xdr:colOff>340920</xdr:colOff>
      <xdr:row>47</xdr:row>
      <xdr:rowOff>11520</xdr:rowOff>
    </xdr:to>
    <xdr:graphicFrame>
      <xdr:nvGraphicFramePr>
        <xdr:cNvPr id="1" name="Chart 2"/>
        <xdr:cNvGraphicFramePr/>
      </xdr:nvGraphicFramePr>
      <xdr:xfrm>
        <a:off x="8489880" y="690552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rofitTrack_Expense_Mileage_Tracker.xlsx" TargetMode="External"/><Relationship Id="rId2" Type="http://schemas.openxmlformats.org/officeDocument/2006/relationships/hyperlink" Target="ProfitTrack_Expense_Mileage_Tracker.xlsx" TargetMode="External"/><Relationship Id="rId3" Type="http://schemas.openxmlformats.org/officeDocument/2006/relationships/hyperlink" Target="ProfitTrack_Expense_Mileage_Tracker.xlsx" TargetMode="External"/><Relationship Id="rId4" Type="http://schemas.openxmlformats.org/officeDocument/2006/relationships/hyperlink" Target="ProfitTrack_Expense_Mileage_Tracker.xlsx" TargetMode="External"/><Relationship Id="rId5" Type="http://schemas.openxmlformats.org/officeDocument/2006/relationships/hyperlink" Target="ProfitTrack_Expense_Mileage_Tracker.xlsx" TargetMode="External"/><Relationship Id="rId6" Type="http://schemas.openxmlformats.org/officeDocument/2006/relationships/hyperlink" Target="ProfitTrack_Expense_Mileage_Tracker.xlsx"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L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2" min="1" style="0" width="11"/>
  </cols>
  <sheetData>
    <row r="1" customFormat="false" ht="15" hidden="false" customHeight="false" outlineLevel="0" collapsed="false">
      <c r="A1" s="1"/>
      <c r="B1" s="1"/>
      <c r="C1" s="1"/>
      <c r="D1" s="1"/>
      <c r="E1" s="1"/>
      <c r="F1" s="1"/>
      <c r="G1" s="1"/>
      <c r="H1" s="1"/>
      <c r="I1" s="1"/>
      <c r="J1" s="1"/>
      <c r="K1" s="1"/>
      <c r="L1" s="1"/>
    </row>
    <row r="2" customFormat="false" ht="15" hidden="false" customHeight="false" outlineLevel="0" collapsed="false">
      <c r="A2" s="1"/>
      <c r="B2" s="1"/>
      <c r="C2" s="1"/>
      <c r="D2" s="1"/>
      <c r="E2" s="1"/>
      <c r="F2" s="1"/>
      <c r="G2" s="1"/>
      <c r="H2" s="1"/>
      <c r="I2" s="1"/>
      <c r="J2" s="1"/>
      <c r="K2" s="1"/>
      <c r="L2" s="1"/>
    </row>
    <row r="3" customFormat="false" ht="15" hidden="false" customHeight="false" outlineLevel="0" collapsed="false">
      <c r="A3" s="1"/>
      <c r="B3" s="1"/>
      <c r="C3" s="1"/>
      <c r="D3" s="1"/>
      <c r="E3" s="1"/>
      <c r="F3" s="1"/>
      <c r="G3" s="1"/>
      <c r="H3" s="1"/>
      <c r="I3" s="1"/>
      <c r="J3" s="1"/>
      <c r="K3" s="1"/>
      <c r="L3" s="1"/>
    </row>
    <row r="4" customFormat="false" ht="15" hidden="false" customHeight="true" outlineLevel="0" collapsed="false">
      <c r="A4" s="1"/>
      <c r="B4" s="2" t="s">
        <v>0</v>
      </c>
      <c r="C4" s="2"/>
      <c r="D4" s="2"/>
      <c r="E4" s="2"/>
      <c r="F4" s="2"/>
      <c r="G4" s="2"/>
      <c r="H4" s="2"/>
      <c r="I4" s="2"/>
      <c r="J4" s="2"/>
      <c r="K4" s="2"/>
      <c r="L4" s="1"/>
    </row>
    <row r="5" customFormat="false" ht="15" hidden="false" customHeight="false" outlineLevel="0" collapsed="false">
      <c r="A5" s="1"/>
      <c r="B5" s="1"/>
      <c r="C5" s="1"/>
      <c r="D5" s="1"/>
      <c r="E5" s="1"/>
      <c r="F5" s="1"/>
      <c r="G5" s="1"/>
      <c r="H5" s="1"/>
      <c r="I5" s="1"/>
      <c r="J5" s="1"/>
      <c r="K5" s="1"/>
      <c r="L5" s="1"/>
    </row>
    <row r="6" customFormat="false" ht="21.75" hidden="false" customHeight="true" outlineLevel="0" collapsed="false">
      <c r="A6" s="1"/>
      <c r="B6" s="3" t="s">
        <v>1</v>
      </c>
      <c r="C6" s="3"/>
      <c r="D6" s="3"/>
      <c r="E6" s="3"/>
      <c r="F6" s="3"/>
      <c r="G6" s="3"/>
      <c r="H6" s="3"/>
      <c r="I6" s="3"/>
      <c r="J6" s="3"/>
      <c r="K6" s="3"/>
      <c r="L6" s="1"/>
    </row>
    <row r="7" customFormat="false" ht="21.75" hidden="false" customHeight="true" outlineLevel="0" collapsed="false">
      <c r="A7" s="1"/>
      <c r="B7" s="3"/>
      <c r="C7" s="3"/>
      <c r="D7" s="3"/>
      <c r="E7" s="3"/>
      <c r="F7" s="3"/>
      <c r="G7" s="3"/>
      <c r="H7" s="3"/>
      <c r="I7" s="3"/>
      <c r="J7" s="3"/>
      <c r="K7" s="3"/>
      <c r="L7" s="1"/>
    </row>
    <row r="8" customFormat="false" ht="21.75" hidden="false" customHeight="true" outlineLevel="0" collapsed="false">
      <c r="A8" s="1"/>
      <c r="B8" s="3"/>
      <c r="C8" s="3"/>
      <c r="D8" s="3"/>
      <c r="E8" s="3"/>
      <c r="F8" s="3"/>
      <c r="G8" s="3"/>
      <c r="H8" s="3"/>
      <c r="I8" s="3"/>
      <c r="J8" s="3"/>
      <c r="K8" s="3"/>
      <c r="L8" s="1"/>
    </row>
    <row r="9" customFormat="false" ht="27.75" hidden="false" customHeight="true" outlineLevel="0" collapsed="false">
      <c r="A9" s="1"/>
      <c r="B9" s="4" t="s">
        <v>2</v>
      </c>
      <c r="C9" s="4"/>
      <c r="D9" s="4"/>
      <c r="E9" s="4"/>
      <c r="F9" s="4"/>
      <c r="G9" s="4"/>
      <c r="H9" s="4"/>
      <c r="I9" s="4"/>
      <c r="J9" s="4"/>
      <c r="K9" s="4"/>
      <c r="L9" s="1"/>
    </row>
    <row r="10" customFormat="false" ht="21.75" hidden="false" customHeight="true" outlineLevel="0" collapsed="false">
      <c r="A10" s="1"/>
      <c r="B10" s="5" t="s">
        <v>3</v>
      </c>
      <c r="C10" s="5"/>
      <c r="D10" s="5"/>
      <c r="E10" s="5"/>
      <c r="F10" s="5"/>
      <c r="G10" s="5"/>
      <c r="H10" s="5"/>
      <c r="I10" s="5"/>
      <c r="J10" s="5"/>
      <c r="K10" s="5"/>
      <c r="L10" s="1"/>
    </row>
    <row r="11" customFormat="false" ht="15" hidden="false" customHeight="true" outlineLevel="0" collapsed="false">
      <c r="A11" s="1"/>
      <c r="B11" s="6" t="s">
        <v>4</v>
      </c>
      <c r="C11" s="6"/>
      <c r="D11" s="6"/>
      <c r="E11" s="6"/>
      <c r="F11" s="6"/>
      <c r="G11" s="6"/>
      <c r="H11" s="6"/>
      <c r="I11" s="6"/>
      <c r="J11" s="6"/>
      <c r="K11" s="6"/>
      <c r="L11" s="1"/>
    </row>
    <row r="12" customFormat="false" ht="15" hidden="false" customHeight="false" outlineLevel="0" collapsed="false">
      <c r="A12" s="1"/>
      <c r="B12" s="1"/>
      <c r="C12" s="1"/>
      <c r="D12" s="1"/>
      <c r="E12" s="1"/>
      <c r="F12" s="1"/>
      <c r="G12" s="1"/>
      <c r="H12" s="1"/>
      <c r="I12" s="1"/>
      <c r="J12" s="1"/>
      <c r="K12" s="1"/>
      <c r="L12" s="1"/>
    </row>
    <row r="13" customFormat="false" ht="4.5" hidden="false" customHeight="true" outlineLevel="0" collapsed="false">
      <c r="A13" s="7"/>
      <c r="B13" s="7"/>
      <c r="C13" s="7"/>
      <c r="D13" s="7"/>
      <c r="E13" s="7"/>
      <c r="F13" s="7"/>
      <c r="G13" s="7"/>
      <c r="H13" s="7"/>
      <c r="I13" s="7"/>
      <c r="J13" s="7"/>
      <c r="K13" s="7"/>
      <c r="L13" s="7"/>
    </row>
    <row r="14" customFormat="false" ht="15" hidden="false" customHeight="false" outlineLevel="0" collapsed="false">
      <c r="A14" s="1"/>
      <c r="B14" s="1"/>
      <c r="C14" s="1"/>
      <c r="D14" s="1"/>
      <c r="E14" s="1"/>
      <c r="F14" s="1"/>
      <c r="G14" s="1"/>
      <c r="H14" s="1"/>
      <c r="I14" s="1"/>
      <c r="J14" s="1"/>
      <c r="K14" s="1"/>
      <c r="L14" s="1"/>
    </row>
    <row r="15" customFormat="false" ht="15" hidden="false" customHeight="true" outlineLevel="0" collapsed="false">
      <c r="A15" s="1"/>
      <c r="B15" s="8" t="s">
        <v>5</v>
      </c>
      <c r="C15" s="8"/>
      <c r="D15" s="8"/>
      <c r="E15" s="8"/>
      <c r="F15" s="8"/>
      <c r="G15" s="8"/>
      <c r="H15" s="8"/>
      <c r="I15" s="8"/>
      <c r="J15" s="8"/>
      <c r="K15" s="8"/>
      <c r="L15" s="1"/>
    </row>
    <row r="16" customFormat="false" ht="15" hidden="false" customHeight="false" outlineLevel="0" collapsed="false">
      <c r="A16" s="1"/>
      <c r="B16" s="1"/>
      <c r="C16" s="1"/>
      <c r="D16" s="1"/>
      <c r="E16" s="1"/>
      <c r="F16" s="1"/>
      <c r="G16" s="1"/>
      <c r="H16" s="1"/>
      <c r="I16" s="1"/>
      <c r="J16" s="1"/>
      <c r="K16" s="1"/>
      <c r="L16" s="1"/>
    </row>
    <row r="17" customFormat="false" ht="21.75" hidden="false" customHeight="true" outlineLevel="0" collapsed="false">
      <c r="A17" s="1"/>
      <c r="B17" s="1"/>
      <c r="C17" s="9" t="s">
        <v>6</v>
      </c>
      <c r="D17" s="9"/>
      <c r="E17" s="9"/>
      <c r="F17" s="9"/>
      <c r="G17" s="9"/>
      <c r="H17" s="9"/>
      <c r="I17" s="9"/>
      <c r="J17" s="9"/>
      <c r="K17" s="1"/>
      <c r="L17" s="1"/>
    </row>
    <row r="18" customFormat="false" ht="25.5" hidden="false" customHeight="true" outlineLevel="0" collapsed="false">
      <c r="A18" s="1"/>
      <c r="B18" s="1"/>
      <c r="C18" s="10" t="s">
        <v>7</v>
      </c>
      <c r="D18" s="10"/>
      <c r="E18" s="10"/>
      <c r="F18" s="10"/>
      <c r="G18" s="10"/>
      <c r="H18" s="10"/>
      <c r="I18" s="10"/>
      <c r="J18" s="10"/>
      <c r="K18" s="1"/>
      <c r="L18" s="1"/>
    </row>
    <row r="19" customFormat="false" ht="15" hidden="false" customHeight="false" outlineLevel="0" collapsed="false">
      <c r="A19" s="1"/>
      <c r="B19" s="1"/>
      <c r="C19" s="1"/>
      <c r="D19" s="1"/>
      <c r="E19" s="1"/>
      <c r="F19" s="1"/>
      <c r="G19" s="1"/>
      <c r="H19" s="1"/>
      <c r="I19" s="1"/>
      <c r="J19" s="1"/>
      <c r="K19" s="1"/>
      <c r="L19" s="1"/>
    </row>
    <row r="20" customFormat="false" ht="21.75" hidden="false" customHeight="true" outlineLevel="0" collapsed="false">
      <c r="A20" s="1"/>
      <c r="B20" s="1"/>
      <c r="C20" s="9" t="s">
        <v>8</v>
      </c>
      <c r="D20" s="9"/>
      <c r="E20" s="9"/>
      <c r="F20" s="9"/>
      <c r="G20" s="9"/>
      <c r="H20" s="9"/>
      <c r="I20" s="9"/>
      <c r="J20" s="9"/>
      <c r="K20" s="1"/>
      <c r="L20" s="1"/>
    </row>
    <row r="21" customFormat="false" ht="25.5" hidden="false" customHeight="true" outlineLevel="0" collapsed="false">
      <c r="A21" s="1"/>
      <c r="B21" s="1"/>
      <c r="C21" s="10" t="s">
        <v>9</v>
      </c>
      <c r="D21" s="10"/>
      <c r="E21" s="10"/>
      <c r="F21" s="10"/>
      <c r="G21" s="10"/>
      <c r="H21" s="10"/>
      <c r="I21" s="10"/>
      <c r="J21" s="10"/>
      <c r="K21" s="1"/>
      <c r="L21" s="1"/>
    </row>
    <row r="22" customFormat="false" ht="15" hidden="false" customHeight="false" outlineLevel="0" collapsed="false">
      <c r="A22" s="1"/>
      <c r="B22" s="1"/>
      <c r="C22" s="1"/>
      <c r="D22" s="1"/>
      <c r="E22" s="1"/>
      <c r="F22" s="1"/>
      <c r="G22" s="1"/>
      <c r="H22" s="1"/>
      <c r="I22" s="1"/>
      <c r="J22" s="1"/>
      <c r="K22" s="1"/>
      <c r="L22" s="1"/>
    </row>
    <row r="23" customFormat="false" ht="21.75" hidden="false" customHeight="true" outlineLevel="0" collapsed="false">
      <c r="A23" s="1"/>
      <c r="B23" s="1"/>
      <c r="C23" s="9" t="s">
        <v>10</v>
      </c>
      <c r="D23" s="9"/>
      <c r="E23" s="9"/>
      <c r="F23" s="9"/>
      <c r="G23" s="9"/>
      <c r="H23" s="9"/>
      <c r="I23" s="9"/>
      <c r="J23" s="9"/>
      <c r="K23" s="1"/>
      <c r="L23" s="1"/>
    </row>
    <row r="24" customFormat="false" ht="25.5" hidden="false" customHeight="true" outlineLevel="0" collapsed="false">
      <c r="A24" s="1"/>
      <c r="B24" s="1"/>
      <c r="C24" s="10" t="s">
        <v>11</v>
      </c>
      <c r="D24" s="10"/>
      <c r="E24" s="10"/>
      <c r="F24" s="10"/>
      <c r="G24" s="10"/>
      <c r="H24" s="10"/>
      <c r="I24" s="10"/>
      <c r="J24" s="10"/>
      <c r="K24" s="1"/>
      <c r="L24" s="1"/>
    </row>
    <row r="25" customFormat="false" ht="15" hidden="false" customHeight="false" outlineLevel="0" collapsed="false">
      <c r="A25" s="1"/>
      <c r="B25" s="1"/>
      <c r="C25" s="1"/>
      <c r="D25" s="1"/>
      <c r="E25" s="1"/>
      <c r="F25" s="1"/>
      <c r="G25" s="1"/>
      <c r="H25" s="1"/>
      <c r="I25" s="1"/>
      <c r="J25" s="1"/>
      <c r="K25" s="1"/>
      <c r="L25" s="1"/>
    </row>
    <row r="26" customFormat="false" ht="21.75" hidden="false" customHeight="true" outlineLevel="0" collapsed="false">
      <c r="A26" s="1"/>
      <c r="B26" s="1"/>
      <c r="C26" s="9" t="s">
        <v>12</v>
      </c>
      <c r="D26" s="9"/>
      <c r="E26" s="9"/>
      <c r="F26" s="9"/>
      <c r="G26" s="9"/>
      <c r="H26" s="9"/>
      <c r="I26" s="9"/>
      <c r="J26" s="9"/>
      <c r="K26" s="1"/>
      <c r="L26" s="1"/>
    </row>
    <row r="27" customFormat="false" ht="25.5" hidden="false" customHeight="true" outlineLevel="0" collapsed="false">
      <c r="A27" s="1"/>
      <c r="B27" s="1"/>
      <c r="C27" s="10" t="s">
        <v>13</v>
      </c>
      <c r="D27" s="10"/>
      <c r="E27" s="10"/>
      <c r="F27" s="10"/>
      <c r="G27" s="10"/>
      <c r="H27" s="10"/>
      <c r="I27" s="10"/>
      <c r="J27" s="10"/>
      <c r="K27" s="1"/>
      <c r="L27" s="1"/>
    </row>
    <row r="28" customFormat="false" ht="15" hidden="false" customHeight="false" outlineLevel="0" collapsed="false">
      <c r="A28" s="1"/>
      <c r="B28" s="1"/>
      <c r="C28" s="1"/>
      <c r="D28" s="1"/>
      <c r="E28" s="1"/>
      <c r="F28" s="1"/>
      <c r="G28" s="1"/>
      <c r="H28" s="1"/>
      <c r="I28" s="1"/>
      <c r="J28" s="1"/>
      <c r="K28" s="1"/>
      <c r="L28" s="1"/>
    </row>
    <row r="29" customFormat="false" ht="21.75" hidden="false" customHeight="true" outlineLevel="0" collapsed="false">
      <c r="A29" s="1"/>
      <c r="B29" s="1"/>
      <c r="C29" s="9" t="s">
        <v>14</v>
      </c>
      <c r="D29" s="9"/>
      <c r="E29" s="9"/>
      <c r="F29" s="9"/>
      <c r="G29" s="9"/>
      <c r="H29" s="9"/>
      <c r="I29" s="9"/>
      <c r="J29" s="9"/>
      <c r="K29" s="1"/>
      <c r="L29" s="1"/>
    </row>
    <row r="30" customFormat="false" ht="25.5" hidden="false" customHeight="true" outlineLevel="0" collapsed="false">
      <c r="A30" s="1"/>
      <c r="B30" s="1"/>
      <c r="C30" s="10" t="s">
        <v>15</v>
      </c>
      <c r="D30" s="10"/>
      <c r="E30" s="10"/>
      <c r="F30" s="10"/>
      <c r="G30" s="10"/>
      <c r="H30" s="10"/>
      <c r="I30" s="10"/>
      <c r="J30" s="10"/>
      <c r="K30" s="1"/>
      <c r="L30" s="1"/>
    </row>
    <row r="31" customFormat="false" ht="15" hidden="false" customHeight="false" outlineLevel="0" collapsed="false">
      <c r="A31" s="1"/>
      <c r="B31" s="1"/>
      <c r="C31" s="1"/>
      <c r="D31" s="1"/>
      <c r="E31" s="1"/>
      <c r="F31" s="1"/>
      <c r="G31" s="1"/>
      <c r="H31" s="1"/>
      <c r="I31" s="1"/>
      <c r="J31" s="1"/>
      <c r="K31" s="1"/>
      <c r="L31" s="1"/>
    </row>
    <row r="32" customFormat="false" ht="15" hidden="false" customHeight="false" outlineLevel="0" collapsed="false">
      <c r="A32" s="1"/>
      <c r="B32" s="1"/>
      <c r="C32" s="1"/>
      <c r="D32" s="1"/>
      <c r="E32" s="1"/>
      <c r="F32" s="1"/>
      <c r="G32" s="1"/>
      <c r="H32" s="1"/>
      <c r="I32" s="1"/>
      <c r="J32" s="1"/>
      <c r="K32" s="1"/>
      <c r="L32" s="1"/>
    </row>
    <row r="33" customFormat="false" ht="15" hidden="false" customHeight="true" outlineLevel="0" collapsed="false">
      <c r="A33" s="1"/>
      <c r="B33" s="11" t="s">
        <v>16</v>
      </c>
      <c r="C33" s="11"/>
      <c r="D33" s="11"/>
      <c r="E33" s="11"/>
      <c r="F33" s="11"/>
      <c r="G33" s="11"/>
      <c r="H33" s="11"/>
      <c r="I33" s="11"/>
      <c r="J33" s="11"/>
      <c r="K33" s="11"/>
      <c r="L33" s="1"/>
    </row>
    <row r="34" customFormat="false" ht="15" hidden="false" customHeight="false" outlineLevel="0" collapsed="false">
      <c r="A34" s="1"/>
      <c r="B34" s="1"/>
      <c r="C34" s="1"/>
      <c r="D34" s="1"/>
      <c r="E34" s="1"/>
      <c r="F34" s="1"/>
      <c r="G34" s="1"/>
      <c r="H34" s="1"/>
      <c r="I34" s="1"/>
      <c r="J34" s="1"/>
      <c r="K34" s="1"/>
      <c r="L34" s="1"/>
    </row>
    <row r="35" customFormat="false" ht="15" hidden="false" customHeight="true" outlineLevel="0" collapsed="false">
      <c r="A35" s="1"/>
      <c r="B35" s="12" t="s">
        <v>17</v>
      </c>
      <c r="C35" s="12"/>
      <c r="D35" s="12"/>
      <c r="E35" s="12"/>
      <c r="F35" s="12"/>
      <c r="G35" s="12"/>
      <c r="H35" s="12"/>
      <c r="I35" s="12"/>
      <c r="J35" s="12"/>
      <c r="K35" s="12"/>
      <c r="L35" s="1"/>
    </row>
    <row r="36" customFormat="false" ht="15" hidden="false" customHeight="false" outlineLevel="0" collapsed="false">
      <c r="A36" s="1"/>
      <c r="B36" s="1"/>
      <c r="C36" s="1"/>
      <c r="D36" s="1"/>
      <c r="E36" s="1"/>
      <c r="F36" s="1"/>
      <c r="G36" s="1"/>
      <c r="H36" s="1"/>
      <c r="I36" s="1"/>
      <c r="J36" s="1"/>
      <c r="K36" s="1"/>
      <c r="L36" s="1"/>
    </row>
    <row r="37" customFormat="false" ht="15" hidden="false" customHeight="false" outlineLevel="0" collapsed="false">
      <c r="A37" s="1"/>
      <c r="B37" s="1"/>
      <c r="C37" s="1"/>
      <c r="D37" s="1"/>
      <c r="E37" s="1"/>
      <c r="F37" s="1"/>
      <c r="G37" s="1"/>
      <c r="H37" s="1"/>
      <c r="I37" s="1"/>
      <c r="J37" s="1"/>
      <c r="K37" s="1"/>
      <c r="L37" s="1"/>
    </row>
    <row r="38" customFormat="false" ht="15" hidden="false" customHeight="true" outlineLevel="0" collapsed="false">
      <c r="A38" s="1"/>
      <c r="B38" s="13" t="s">
        <v>18</v>
      </c>
      <c r="C38" s="13"/>
      <c r="D38" s="13"/>
      <c r="E38" s="13"/>
      <c r="F38" s="13"/>
      <c r="G38" s="13"/>
      <c r="H38" s="13"/>
      <c r="I38" s="13"/>
      <c r="J38" s="13"/>
      <c r="K38" s="13"/>
      <c r="L38" s="1"/>
    </row>
    <row r="39" customFormat="false" ht="15" hidden="false" customHeight="false" outlineLevel="0" collapsed="false">
      <c r="A39" s="1"/>
      <c r="B39" s="1"/>
      <c r="C39" s="1"/>
      <c r="D39" s="1"/>
      <c r="E39" s="1"/>
      <c r="F39" s="1"/>
      <c r="G39" s="1"/>
      <c r="H39" s="1"/>
      <c r="I39" s="1"/>
      <c r="J39" s="1"/>
      <c r="K39" s="1"/>
      <c r="L39" s="1"/>
    </row>
    <row r="40" customFormat="false" ht="15" hidden="false" customHeight="false" outlineLevel="0" collapsed="false">
      <c r="A40" s="1"/>
      <c r="B40" s="1"/>
      <c r="C40" s="1"/>
      <c r="D40" s="1"/>
      <c r="E40" s="1"/>
      <c r="F40" s="1"/>
      <c r="G40" s="1"/>
      <c r="H40" s="1"/>
      <c r="I40" s="1"/>
      <c r="J40" s="1"/>
      <c r="K40" s="1"/>
      <c r="L40" s="1"/>
    </row>
    <row r="41" customFormat="false" ht="15" hidden="false" customHeight="false" outlineLevel="0" collapsed="false">
      <c r="A41" s="1"/>
      <c r="B41" s="1"/>
      <c r="C41" s="1"/>
      <c r="D41" s="1"/>
      <c r="E41" s="1"/>
      <c r="F41" s="1"/>
      <c r="G41" s="1"/>
      <c r="H41" s="1"/>
      <c r="I41" s="1"/>
      <c r="J41" s="1"/>
      <c r="K41" s="1"/>
      <c r="L41" s="1"/>
    </row>
    <row r="42" customFormat="false" ht="15" hidden="false" customHeight="false" outlineLevel="0" collapsed="false">
      <c r="A42" s="1"/>
      <c r="B42" s="1"/>
      <c r="C42" s="1"/>
      <c r="D42" s="1"/>
      <c r="E42" s="1"/>
      <c r="F42" s="1"/>
      <c r="G42" s="1"/>
      <c r="H42" s="1"/>
      <c r="I42" s="1"/>
      <c r="J42" s="1"/>
      <c r="K42" s="1"/>
      <c r="L42" s="1"/>
    </row>
    <row r="43" customFormat="false" ht="15" hidden="false" customHeight="false" outlineLevel="0" collapsed="false">
      <c r="A43" s="1"/>
      <c r="B43" s="1"/>
      <c r="C43" s="1"/>
      <c r="D43" s="1"/>
      <c r="E43" s="1"/>
      <c r="F43" s="1"/>
      <c r="G43" s="1"/>
      <c r="H43" s="1"/>
      <c r="I43" s="1"/>
      <c r="J43" s="1"/>
      <c r="K43" s="1"/>
      <c r="L43" s="1"/>
    </row>
    <row r="44" customFormat="false" ht="15" hidden="false" customHeight="false" outlineLevel="0" collapsed="false">
      <c r="A44" s="1"/>
      <c r="B44" s="1"/>
      <c r="C44" s="1"/>
      <c r="D44" s="1"/>
      <c r="E44" s="1"/>
      <c r="F44" s="1"/>
      <c r="G44" s="1"/>
      <c r="H44" s="1"/>
      <c r="I44" s="1"/>
      <c r="J44" s="1"/>
      <c r="K44" s="1"/>
      <c r="L44" s="1"/>
    </row>
    <row r="45" customFormat="false" ht="15" hidden="false" customHeight="false" outlineLevel="0" collapsed="false">
      <c r="A45" s="1"/>
      <c r="B45" s="1"/>
      <c r="C45" s="1"/>
      <c r="D45" s="1"/>
      <c r="E45" s="1"/>
      <c r="F45" s="1"/>
      <c r="G45" s="1"/>
      <c r="H45" s="1"/>
      <c r="I45" s="1"/>
      <c r="J45" s="1"/>
      <c r="K45" s="1"/>
      <c r="L45" s="1"/>
    </row>
    <row r="46" customFormat="false" ht="15" hidden="false" customHeight="false" outlineLevel="0" collapsed="false">
      <c r="A46" s="1"/>
      <c r="B46" s="1"/>
      <c r="C46" s="1"/>
      <c r="D46" s="1"/>
      <c r="E46" s="1"/>
      <c r="F46" s="1"/>
      <c r="G46" s="1"/>
      <c r="H46" s="1"/>
      <c r="I46" s="1"/>
      <c r="J46" s="1"/>
      <c r="K46" s="1"/>
      <c r="L46" s="1"/>
    </row>
    <row r="47" customFormat="false" ht="15" hidden="false" customHeight="false" outlineLevel="0" collapsed="false">
      <c r="A47" s="1"/>
      <c r="B47" s="1"/>
      <c r="C47" s="1"/>
      <c r="D47" s="1"/>
      <c r="E47" s="1"/>
      <c r="F47" s="1"/>
      <c r="G47" s="1"/>
      <c r="H47" s="1"/>
      <c r="I47" s="1"/>
      <c r="J47" s="1"/>
      <c r="K47" s="1"/>
      <c r="L47" s="1"/>
    </row>
    <row r="48" customFormat="false" ht="15" hidden="false" customHeight="false" outlineLevel="0" collapsed="false">
      <c r="A48" s="1"/>
      <c r="B48" s="1"/>
      <c r="C48" s="1"/>
      <c r="D48" s="1"/>
      <c r="E48" s="1"/>
      <c r="F48" s="1"/>
      <c r="G48" s="1"/>
      <c r="H48" s="1"/>
      <c r="I48" s="1"/>
      <c r="J48" s="1"/>
      <c r="K48" s="1"/>
      <c r="L48" s="1"/>
    </row>
  </sheetData>
  <mergeCells count="19">
    <mergeCell ref="B4:K4"/>
    <mergeCell ref="B6:K8"/>
    <mergeCell ref="B9:K9"/>
    <mergeCell ref="B10:K10"/>
    <mergeCell ref="B11:K11"/>
    <mergeCell ref="B15:K15"/>
    <mergeCell ref="C17:J17"/>
    <mergeCell ref="C18:J18"/>
    <mergeCell ref="C20:J20"/>
    <mergeCell ref="C21:J21"/>
    <mergeCell ref="C23:J23"/>
    <mergeCell ref="C24:J24"/>
    <mergeCell ref="C26:J26"/>
    <mergeCell ref="C27:J27"/>
    <mergeCell ref="C29:J29"/>
    <mergeCell ref="C30:J30"/>
    <mergeCell ref="B33:K33"/>
    <mergeCell ref="B35:K35"/>
    <mergeCell ref="B38:K38"/>
  </mergeCells>
  <hyperlinks>
    <hyperlink ref="C17" r:id="rId1" location="'Dashboard'!A1" display="📊  Dashboard / Panel"/>
    <hyperlink ref="C20" r:id="rId2" location="'Expenses'!A1" display="🧾  Expenses / Gastos"/>
    <hyperlink ref="C23" r:id="rId3" location="'Mileage'!A1" display="🚗  Mileage / Millaje"/>
    <hyperlink ref="C26" r:id="rId4" location="'Settings'!A1" display="⚙️  Settings / Configuración"/>
    <hyperlink ref="C29" r:id="rId5" location="'Quick%20Start%20Guide'!A1" display="🚀  Quick Start Guide / Guía Rápida"/>
    <hyperlink ref="B35" r:id="rId6" location="'Quick%20Start%20Guide'!A1" display="Start here → Quick Start Guide   |   Empieza aquí → Guía Rápida"/>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34"/>
    <col collapsed="false" customWidth="true" hidden="false" outlineLevel="0" max="3" min="3" style="0" width="13"/>
    <col collapsed="false" customWidth="true" hidden="false" outlineLevel="0" max="5" min="4" style="0" width="15"/>
    <col collapsed="false" customWidth="true" hidden="false" outlineLevel="0" max="6" min="6" style="0" width="13"/>
    <col collapsed="false" customWidth="true" hidden="false" outlineLevel="0" max="7" min="7" style="0" width="3"/>
    <col collapsed="false" customWidth="true" hidden="false" outlineLevel="0" max="13" min="8" style="0" width="13"/>
    <col collapsed="false" customWidth="true" hidden="false" outlineLevel="0" max="14" min="14" style="0" width="3"/>
  </cols>
  <sheetData>
    <row r="1" customFormat="false" ht="18" hidden="false" customHeight="true" outlineLevel="0" collapsed="false">
      <c r="A1" s="1"/>
      <c r="B1" s="14" t="s">
        <v>1</v>
      </c>
      <c r="C1" s="14"/>
      <c r="D1" s="14"/>
      <c r="E1" s="14"/>
      <c r="F1" s="14"/>
      <c r="G1" s="14"/>
      <c r="H1" s="14"/>
      <c r="I1" s="14"/>
      <c r="J1" s="14"/>
      <c r="K1" s="14"/>
      <c r="L1" s="14"/>
      <c r="M1" s="14"/>
      <c r="N1" s="14"/>
    </row>
    <row r="2" customFormat="false" ht="30" hidden="false" customHeight="true" outlineLevel="0" collapsed="false">
      <c r="A2" s="1"/>
      <c r="B2" s="15" t="s">
        <v>19</v>
      </c>
      <c r="C2" s="15"/>
      <c r="D2" s="15"/>
      <c r="E2" s="15"/>
      <c r="F2" s="15"/>
      <c r="G2" s="15"/>
      <c r="H2" s="15"/>
      <c r="I2" s="15"/>
      <c r="J2" s="15"/>
      <c r="K2" s="15"/>
      <c r="L2" s="15"/>
      <c r="M2" s="15"/>
      <c r="N2" s="15"/>
    </row>
    <row r="3" customFormat="false" ht="19.5" hidden="false" customHeight="true" outlineLevel="0" collapsed="false">
      <c r="A3" s="1"/>
      <c r="B3" s="16" t="s">
        <v>20</v>
      </c>
      <c r="C3" s="16"/>
      <c r="D3" s="16"/>
      <c r="E3" s="16"/>
      <c r="F3" s="16"/>
      <c r="G3" s="16"/>
      <c r="H3" s="16"/>
      <c r="I3" s="16"/>
      <c r="J3" s="16"/>
      <c r="K3" s="16"/>
      <c r="L3" s="16"/>
      <c r="M3" s="16"/>
      <c r="N3" s="16"/>
    </row>
    <row r="4" customFormat="false" ht="3.75" hidden="false" customHeight="true" outlineLevel="0" collapsed="false">
      <c r="A4" s="7"/>
      <c r="B4" s="7"/>
      <c r="C4" s="7"/>
      <c r="D4" s="7"/>
      <c r="E4" s="7"/>
      <c r="F4" s="7"/>
      <c r="G4" s="7"/>
      <c r="H4" s="7"/>
      <c r="I4" s="7"/>
      <c r="J4" s="7"/>
      <c r="K4" s="7"/>
      <c r="L4" s="7"/>
      <c r="M4" s="7"/>
      <c r="N4" s="7"/>
    </row>
    <row r="6" customFormat="false" ht="21.75" hidden="false" customHeight="true" outlineLevel="0" collapsed="false">
      <c r="B6" s="17" t="s">
        <v>21</v>
      </c>
      <c r="C6" s="18" t="n">
        <f aca="true">IF(COUNT(Expenses!$B$6:$B$505,Mileage!$B$6:$B$505)=0,YEAR(TODAY()),YEAR(MAX(Expenses!$B$6:$B$505,Mileage!$B$6:$B$505)))</f>
        <v>2026</v>
      </c>
      <c r="D6" s="19" t="s">
        <v>22</v>
      </c>
      <c r="E6" s="19"/>
      <c r="F6" s="19"/>
    </row>
    <row r="8" customFormat="false" ht="19.5" hidden="false" customHeight="true" outlineLevel="0" collapsed="false">
      <c r="B8" s="20" t="s">
        <v>23</v>
      </c>
      <c r="C8" s="21" t="s">
        <v>24</v>
      </c>
      <c r="D8" s="21"/>
      <c r="E8" s="21" t="s">
        <v>25</v>
      </c>
      <c r="F8" s="21"/>
      <c r="H8" s="21" t="s">
        <v>26</v>
      </c>
      <c r="I8" s="21"/>
      <c r="J8" s="21"/>
    </row>
    <row r="9" customFormat="false" ht="15.75" hidden="false" customHeight="true" outlineLevel="0" collapsed="false">
      <c r="B9" s="22" t="s">
        <v>27</v>
      </c>
      <c r="C9" s="23" t="s">
        <v>28</v>
      </c>
      <c r="D9" s="23"/>
      <c r="E9" s="23" t="s">
        <v>29</v>
      </c>
      <c r="F9" s="23"/>
      <c r="H9" s="23" t="s">
        <v>30</v>
      </c>
      <c r="I9" s="23"/>
      <c r="J9" s="23"/>
    </row>
    <row r="10" customFormat="false" ht="37.5" hidden="false" customHeight="true" outlineLevel="0" collapsed="false">
      <c r="B10" s="24" t="n">
        <f aca="false">ROUND(SUMIFS(Expenses!$I$6:$I$505,Expenses!$O$6:$O$505,$C$6),2)</f>
        <v>618.85</v>
      </c>
      <c r="C10" s="25" t="n">
        <f aca="false">SUMIFS(Mileage!$J$6:$J$505,Mileage!$Q$6:$Q$505,$C$6)</f>
        <v>341.3</v>
      </c>
      <c r="D10" s="25"/>
      <c r="E10" s="26" t="n">
        <f aca="false">ROUND(SUMIFS(Mileage!$L$6:$L$505,Mileage!$Q$6:$Q$505,$C$6),2)</f>
        <v>252.44</v>
      </c>
      <c r="F10" s="26"/>
      <c r="H10" s="26" t="n">
        <f aca="false">B10+E10</f>
        <v>871.29</v>
      </c>
      <c r="I10" s="26"/>
      <c r="J10" s="26"/>
    </row>
    <row r="11" customFormat="false" ht="18" hidden="false" customHeight="true" outlineLevel="0" collapsed="false">
      <c r="B11" s="27" t="n">
        <f aca="false">SUMIFS(Expenses!$G$6:$G$505,Expenses!$O$6:$O$505,$C$6)</f>
        <v>707.85</v>
      </c>
      <c r="C11" s="28" t="n">
        <f aca="false">COUNTIF(Mileage!$Q$6:$Q$505,$C$6)</f>
        <v>16</v>
      </c>
      <c r="D11" s="28"/>
      <c r="E11" s="29" t="n">
        <f aca="false">IF(C10=0,0,E10/C10)</f>
        <v>0.739642543217111</v>
      </c>
      <c r="F11" s="29"/>
      <c r="H11" s="30" t="n">
        <f aca="false">SUMIFS(Expenses!$Q$6:$Q$505,Expenses!$O$6:$O$505,$C$6)</f>
        <v>2</v>
      </c>
      <c r="I11" s="30"/>
      <c r="J11" s="30"/>
    </row>
    <row r="13" customFormat="false" ht="15" hidden="false" customHeight="false" outlineLevel="0" collapsed="false">
      <c r="B13" s="31" t="s">
        <v>31</v>
      </c>
      <c r="C13" s="31"/>
      <c r="D13" s="31"/>
      <c r="E13" s="31"/>
      <c r="F13" s="31"/>
    </row>
    <row r="14" customFormat="false" ht="30" hidden="false" customHeight="true" outlineLevel="0" collapsed="false">
      <c r="B14" s="32" t="s">
        <v>32</v>
      </c>
      <c r="C14" s="32" t="s">
        <v>33</v>
      </c>
      <c r="D14" s="32" t="s">
        <v>34</v>
      </c>
      <c r="E14" s="32" t="s">
        <v>35</v>
      </c>
      <c r="F14" s="32" t="s">
        <v>36</v>
      </c>
    </row>
    <row r="15" customFormat="false" ht="15" hidden="false" customHeight="false" outlineLevel="0" collapsed="false">
      <c r="B15" s="33" t="str">
        <f aca="false">IF(Settings!$F$8="","",Settings!$F$8)</f>
        <v>Shipping Supplies / Materiales de Envío</v>
      </c>
      <c r="C15" s="34" t="n">
        <f aca="false">IF($B15="",0,COUNTIFS(Expenses!$O$6:$O$505,$C$6,Expenses!$E$6:$E$505,$B15))</f>
        <v>3</v>
      </c>
      <c r="D15" s="35" t="n">
        <f aca="false">IF($B15="",0,ROUND(SUMIFS(Expenses!$G$6:$G$505,Expenses!$O$6:$O$505,$C$6,Expenses!$E$6:$E$505,$B15),2))</f>
        <v>94.84</v>
      </c>
      <c r="E15" s="35" t="n">
        <f aca="false">IF($B15="",0,ROUND(SUMIFS(Expenses!$I$6:$I$505,Expenses!$O$6:$O$505,$C$6,Expenses!$E$6:$E$505,$B15),2))</f>
        <v>94.84</v>
      </c>
      <c r="F15" s="36" t="n">
        <f aca="false">IF($E$30=0,0,E15/$E$30)</f>
        <v>0.15325199967682</v>
      </c>
    </row>
    <row r="16" customFormat="false" ht="15" hidden="false" customHeight="false" outlineLevel="0" collapsed="false">
      <c r="B16" s="37" t="str">
        <f aca="false">IF(Settings!$F$9="","",Settings!$F$9)</f>
        <v>Postage &amp; Shipping Labels / Envíos y Etiquetas</v>
      </c>
      <c r="C16" s="38" t="n">
        <f aca="false">IF($B16="",0,COUNTIFS(Expenses!$O$6:$O$505,$C$6,Expenses!$E$6:$E$505,$B16))</f>
        <v>1</v>
      </c>
      <c r="D16" s="39" t="n">
        <f aca="false">IF($B16="",0,ROUND(SUMIFS(Expenses!$G$6:$G$505,Expenses!$O$6:$O$505,$C$6,Expenses!$E$6:$E$505,$B16),2))</f>
        <v>42.75</v>
      </c>
      <c r="E16" s="39" t="n">
        <f aca="false">IF($B16="",0,ROUND(SUMIFS(Expenses!$I$6:$I$505,Expenses!$O$6:$O$505,$C$6,Expenses!$E$6:$E$505,$B16),2))</f>
        <v>42.75</v>
      </c>
      <c r="F16" s="40" t="n">
        <f aca="false">IF($E$30=0,0,E16/$E$30)</f>
        <v>0.0690797446877272</v>
      </c>
    </row>
    <row r="17" customFormat="false" ht="15" hidden="false" customHeight="false" outlineLevel="0" collapsed="false">
      <c r="B17" s="33" t="str">
        <f aca="false">IF(Settings!$F$10="","",Settings!$F$10)</f>
        <v>Platform &amp; Subscription Fees / Tarifas y Suscripciones</v>
      </c>
      <c r="C17" s="34" t="n">
        <f aca="false">IF($B17="",0,COUNTIFS(Expenses!$O$6:$O$505,$C$6,Expenses!$E$6:$E$505,$B17))</f>
        <v>1</v>
      </c>
      <c r="D17" s="35" t="n">
        <f aca="false">IF($B17="",0,ROUND(SUMIFS(Expenses!$G$6:$G$505,Expenses!$O$6:$O$505,$C$6,Expenses!$E$6:$E$505,$B17),2))</f>
        <v>27.95</v>
      </c>
      <c r="E17" s="35" t="n">
        <f aca="false">IF($B17="",0,ROUND(SUMIFS(Expenses!$I$6:$I$505,Expenses!$O$6:$O$505,$C$6,Expenses!$E$6:$E$505,$B17),2))</f>
        <v>27.95</v>
      </c>
      <c r="F17" s="36" t="n">
        <f aca="false">IF($E$30=0,0,E17/$E$30)</f>
        <v>0.0451644178718591</v>
      </c>
    </row>
    <row r="18" customFormat="false" ht="15" hidden="false" customHeight="false" outlineLevel="0" collapsed="false">
      <c r="B18" s="37" t="str">
        <f aca="false">IF(Settings!$F$11="","",Settings!$F$11)</f>
        <v>Advertising &amp; Promoted Listings / Publicidad</v>
      </c>
      <c r="C18" s="38" t="n">
        <f aca="false">IF($B18="",0,COUNTIFS(Expenses!$O$6:$O$505,$C$6,Expenses!$E$6:$E$505,$B18))</f>
        <v>2</v>
      </c>
      <c r="D18" s="39" t="n">
        <f aca="false">IF($B18="",0,ROUND(SUMIFS(Expenses!$G$6:$G$505,Expenses!$O$6:$O$505,$C$6,Expenses!$E$6:$E$505,$B18),2))</f>
        <v>25</v>
      </c>
      <c r="E18" s="39" t="n">
        <f aca="false">IF($B18="",0,ROUND(SUMIFS(Expenses!$I$6:$I$505,Expenses!$O$6:$O$505,$C$6,Expenses!$E$6:$E$505,$B18),2))</f>
        <v>25</v>
      </c>
      <c r="F18" s="40" t="n">
        <f aca="false">IF($E$30=0,0,E18/$E$30)</f>
        <v>0.0403975115132908</v>
      </c>
    </row>
    <row r="19" customFormat="false" ht="15" hidden="false" customHeight="false" outlineLevel="0" collapsed="false">
      <c r="B19" s="33" t="str">
        <f aca="false">IF(Settings!$F$12="","",Settings!$F$12)</f>
        <v>Office Supplies / Artículos de Oficina</v>
      </c>
      <c r="C19" s="34" t="n">
        <f aca="false">IF($B19="",0,COUNTIFS(Expenses!$O$6:$O$505,$C$6,Expenses!$E$6:$E$505,$B19))</f>
        <v>2</v>
      </c>
      <c r="D19" s="35" t="n">
        <f aca="false">IF($B19="",0,ROUND(SUMIFS(Expenses!$G$6:$G$505,Expenses!$O$6:$O$505,$C$6,Expenses!$E$6:$E$505,$B19),2))</f>
        <v>60.89</v>
      </c>
      <c r="E19" s="35" t="n">
        <f aca="false">IF($B19="",0,ROUND(SUMIFS(Expenses!$I$6:$I$505,Expenses!$O$6:$O$505,$C$6,Expenses!$E$6:$E$505,$B19),2))</f>
        <v>60.89</v>
      </c>
      <c r="F19" s="36" t="n">
        <f aca="false">IF($E$30=0,0,E19/$E$30)</f>
        <v>0.098392179041771</v>
      </c>
    </row>
    <row r="20" customFormat="false" ht="15" hidden="false" customHeight="false" outlineLevel="0" collapsed="false">
      <c r="B20" s="37" t="str">
        <f aca="false">IF(Settings!$F$13="","",Settings!$F$13)</f>
        <v>Equipment &amp; Tools / Equipo y Herramientas</v>
      </c>
      <c r="C20" s="38" t="n">
        <f aca="false">IF($B20="",0,COUNTIFS(Expenses!$O$6:$O$505,$C$6,Expenses!$E$6:$E$505,$B20))</f>
        <v>2</v>
      </c>
      <c r="D20" s="39" t="n">
        <f aca="false">IF($B20="",0,ROUND(SUMIFS(Expenses!$G$6:$G$505,Expenses!$O$6:$O$505,$C$6,Expenses!$E$6:$E$505,$B20),2))</f>
        <v>142.47</v>
      </c>
      <c r="E20" s="39" t="n">
        <f aca="false">IF($B20="",0,ROUND(SUMIFS(Expenses!$I$6:$I$505,Expenses!$O$6:$O$505,$C$6,Expenses!$E$6:$E$505,$B20),2))</f>
        <v>142.47</v>
      </c>
      <c r="F20" s="40" t="n">
        <f aca="false">IF($E$30=0,0,E20/$E$30)</f>
        <v>0.230217338611942</v>
      </c>
    </row>
    <row r="21" customFormat="false" ht="15" hidden="false" customHeight="false" outlineLevel="0" collapsed="false">
      <c r="B21" s="33" t="str">
        <f aca="false">IF(Settings!$F$14="","",Settings!$F$14)</f>
        <v>Phone &amp; Internet / Teléfono e Internet</v>
      </c>
      <c r="C21" s="34" t="n">
        <f aca="false">IF($B21="",0,COUNTIFS(Expenses!$O$6:$O$505,$C$6,Expenses!$E$6:$E$505,$B21))</f>
        <v>2</v>
      </c>
      <c r="D21" s="35" t="n">
        <f aca="false">IF($B21="",0,ROUND(SUMIFS(Expenses!$G$6:$G$505,Expenses!$O$6:$O$505,$C$6,Expenses!$E$6:$E$505,$B21),2))</f>
        <v>150</v>
      </c>
      <c r="E21" s="35" t="n">
        <f aca="false">IF($B21="",0,ROUND(SUMIFS(Expenses!$I$6:$I$505,Expenses!$O$6:$O$505,$C$6,Expenses!$E$6:$E$505,$B21),2))</f>
        <v>61</v>
      </c>
      <c r="F21" s="36" t="n">
        <f aca="false">IF($E$30=0,0,E21/$E$30)</f>
        <v>0.0985699280924295</v>
      </c>
    </row>
    <row r="22" customFormat="false" ht="15" hidden="false" customHeight="false" outlineLevel="0" collapsed="false">
      <c r="B22" s="37" t="str">
        <f aca="false">IF(Settings!$F$15="","",Settings!$F$15)</f>
        <v>Storage &amp; Rent / Almacenaje y Renta</v>
      </c>
      <c r="C22" s="38" t="n">
        <f aca="false">IF($B22="",0,COUNTIFS(Expenses!$O$6:$O$505,$C$6,Expenses!$E$6:$E$505,$B22))</f>
        <v>1</v>
      </c>
      <c r="D22" s="39" t="n">
        <f aca="false">IF($B22="",0,ROUND(SUMIFS(Expenses!$G$6:$G$505,Expenses!$O$6:$O$505,$C$6,Expenses!$E$6:$E$505,$B22),2))</f>
        <v>65</v>
      </c>
      <c r="E22" s="39" t="n">
        <f aca="false">IF($B22="",0,ROUND(SUMIFS(Expenses!$I$6:$I$505,Expenses!$O$6:$O$505,$C$6,Expenses!$E$6:$E$505,$B22),2))</f>
        <v>65</v>
      </c>
      <c r="F22" s="40" t="n">
        <f aca="false">IF($E$30=0,0,E22/$E$30)</f>
        <v>0.105033529934556</v>
      </c>
    </row>
    <row r="23" customFormat="false" ht="15" hidden="false" customHeight="false" outlineLevel="0" collapsed="false">
      <c r="B23" s="33" t="str">
        <f aca="false">IF(Settings!$F$16="","",Settings!$F$16)</f>
        <v>Cleaning &amp; Repairs / Limpieza y Reparaciones</v>
      </c>
      <c r="C23" s="34" t="n">
        <f aca="false">IF($B23="",0,COUNTIFS(Expenses!$O$6:$O$505,$C$6,Expenses!$E$6:$E$505,$B23))</f>
        <v>1</v>
      </c>
      <c r="D23" s="35" t="n">
        <f aca="false">IF($B23="",0,ROUND(SUMIFS(Expenses!$G$6:$G$505,Expenses!$O$6:$O$505,$C$6,Expenses!$E$6:$E$505,$B23),2))</f>
        <v>34.97</v>
      </c>
      <c r="E23" s="35" t="n">
        <f aca="false">IF($B23="",0,ROUND(SUMIFS(Expenses!$I$6:$I$505,Expenses!$O$6:$O$505,$C$6,Expenses!$E$6:$E$505,$B23),2))</f>
        <v>34.97</v>
      </c>
      <c r="F23" s="36" t="n">
        <f aca="false">IF($E$30=0,0,E23/$E$30)</f>
        <v>0.0565080391047911</v>
      </c>
    </row>
    <row r="24" customFormat="false" ht="15" hidden="false" customHeight="false" outlineLevel="0" collapsed="false">
      <c r="B24" s="37" t="str">
        <f aca="false">IF(Settings!$F$17="","",Settings!$F$17)</f>
        <v>Software &amp; Apps / Software y Aplicaciones</v>
      </c>
      <c r="C24" s="38" t="n">
        <f aca="false">IF($B24="",0,COUNTIFS(Expenses!$O$6:$O$505,$C$6,Expenses!$E$6:$E$505,$B24))</f>
        <v>2</v>
      </c>
      <c r="D24" s="39" t="n">
        <f aca="false">IF($B24="",0,ROUND(SUMIFS(Expenses!$G$6:$G$505,Expenses!$O$6:$O$505,$C$6,Expenses!$E$6:$E$505,$B24),2))</f>
        <v>43.99</v>
      </c>
      <c r="E24" s="39" t="n">
        <f aca="false">IF($B24="",0,ROUND(SUMIFS(Expenses!$I$6:$I$505,Expenses!$O$6:$O$505,$C$6,Expenses!$E$6:$E$505,$B24),2))</f>
        <v>43.99</v>
      </c>
      <c r="F24" s="40" t="n">
        <f aca="false">IF($E$30=0,0,E24/$E$30)</f>
        <v>0.0710834612587865</v>
      </c>
    </row>
    <row r="25" customFormat="false" ht="15" hidden="false" customHeight="false" outlineLevel="0" collapsed="false">
      <c r="B25" s="33" t="str">
        <f aca="false">IF(Settings!$F$18="","",Settings!$F$18)</f>
        <v>Education &amp; Courses / Educación y Cursos</v>
      </c>
      <c r="C25" s="34" t="n">
        <f aca="false">IF($B25="",0,COUNTIFS(Expenses!$O$6:$O$505,$C$6,Expenses!$E$6:$E$505,$B25))</f>
        <v>1</v>
      </c>
      <c r="D25" s="35" t="n">
        <f aca="false">IF($B25="",0,ROUND(SUMIFS(Expenses!$G$6:$G$505,Expenses!$O$6:$O$505,$C$6,Expenses!$E$6:$E$505,$B25),2))</f>
        <v>19.99</v>
      </c>
      <c r="E25" s="35" t="n">
        <f aca="false">IF($B25="",0,ROUND(SUMIFS(Expenses!$I$6:$I$505,Expenses!$O$6:$O$505,$C$6,Expenses!$E$6:$E$505,$B25),2))</f>
        <v>19.99</v>
      </c>
      <c r="F25" s="36" t="n">
        <f aca="false">IF($E$30=0,0,E25/$E$30)</f>
        <v>0.0323018502060273</v>
      </c>
    </row>
    <row r="26" customFormat="false" ht="15" hidden="false" customHeight="false" outlineLevel="0" collapsed="false">
      <c r="B26" s="37" t="str">
        <f aca="false">IF(Settings!$F$19="","",Settings!$F$19)</f>
        <v>Other / Otro</v>
      </c>
      <c r="C26" s="38" t="n">
        <f aca="false">IF($B26="",0,COUNTIFS(Expenses!$O$6:$O$505,$C$6,Expenses!$E$6:$E$505,$B26))</f>
        <v>0</v>
      </c>
      <c r="D26" s="39" t="n">
        <f aca="false">IF($B26="",0,ROUND(SUMIFS(Expenses!$G$6:$G$505,Expenses!$O$6:$O$505,$C$6,Expenses!$E$6:$E$505,$B26),2))</f>
        <v>0</v>
      </c>
      <c r="E26" s="39" t="n">
        <f aca="false">IF($B26="",0,ROUND(SUMIFS(Expenses!$I$6:$I$505,Expenses!$O$6:$O$505,$C$6,Expenses!$E$6:$E$505,$B26),2))</f>
        <v>0</v>
      </c>
      <c r="F26" s="40" t="n">
        <f aca="false">IF($E$30=0,0,E26/$E$30)</f>
        <v>0</v>
      </c>
    </row>
    <row r="27" customFormat="false" ht="15" hidden="false" customHeight="false" outlineLevel="0" collapsed="false">
      <c r="B27" s="33" t="str">
        <f aca="false">IF(Settings!$F$20="","",Settings!$F$20)</f>
        <v/>
      </c>
      <c r="C27" s="34" t="n">
        <f aca="false">IF($B27="",0,COUNTIFS(Expenses!$O$6:$O$505,$C$6,Expenses!$E$6:$E$505,$B27))</f>
        <v>0</v>
      </c>
      <c r="D27" s="35" t="n">
        <f aca="false">IF($B27="",0,ROUND(SUMIFS(Expenses!$G$6:$G$505,Expenses!$O$6:$O$505,$C$6,Expenses!$E$6:$E$505,$B27),2))</f>
        <v>0</v>
      </c>
      <c r="E27" s="35" t="n">
        <f aca="false">IF($B27="",0,ROUND(SUMIFS(Expenses!$I$6:$I$505,Expenses!$O$6:$O$505,$C$6,Expenses!$E$6:$E$505,$B27),2))</f>
        <v>0</v>
      </c>
      <c r="F27" s="36" t="n">
        <f aca="false">IF($E$30=0,0,E27/$E$30)</f>
        <v>0</v>
      </c>
    </row>
    <row r="28" customFormat="false" ht="15" hidden="false" customHeight="false" outlineLevel="0" collapsed="false">
      <c r="B28" s="37" t="str">
        <f aca="false">IF(Settings!$F$21="","",Settings!$F$21)</f>
        <v/>
      </c>
      <c r="C28" s="38" t="n">
        <f aca="false">IF($B28="",0,COUNTIFS(Expenses!$O$6:$O$505,$C$6,Expenses!$E$6:$E$505,$B28))</f>
        <v>0</v>
      </c>
      <c r="D28" s="39" t="n">
        <f aca="false">IF($B28="",0,ROUND(SUMIFS(Expenses!$G$6:$G$505,Expenses!$O$6:$O$505,$C$6,Expenses!$E$6:$E$505,$B28),2))</f>
        <v>0</v>
      </c>
      <c r="E28" s="39" t="n">
        <f aca="false">IF($B28="",0,ROUND(SUMIFS(Expenses!$I$6:$I$505,Expenses!$O$6:$O$505,$C$6,Expenses!$E$6:$E$505,$B28),2))</f>
        <v>0</v>
      </c>
      <c r="F28" s="40" t="n">
        <f aca="false">IF($E$30=0,0,E28/$E$30)</f>
        <v>0</v>
      </c>
    </row>
    <row r="29" customFormat="false" ht="15" hidden="false" customHeight="false" outlineLevel="0" collapsed="false">
      <c r="B29" s="33" t="s">
        <v>37</v>
      </c>
      <c r="C29" s="34" t="n">
        <f aca="false">C30-SUM(C15:C28)</f>
        <v>0</v>
      </c>
      <c r="D29" s="35" t="n">
        <f aca="false">ROUND(D30-SUM(D15:D28),2)</f>
        <v>0</v>
      </c>
      <c r="E29" s="35" t="n">
        <f aca="false">ROUND(E30-SUM(E15:E28),2)</f>
        <v>0</v>
      </c>
      <c r="F29" s="36" t="n">
        <f aca="false">IF($E$30=0,0,E29/$E$30)</f>
        <v>0</v>
      </c>
    </row>
    <row r="30" customFormat="false" ht="15" hidden="false" customHeight="false" outlineLevel="0" collapsed="false">
      <c r="B30" s="41" t="s">
        <v>38</v>
      </c>
      <c r="C30" s="42" t="n">
        <f aca="false">COUNTIF(Expenses!$O$6:$O$505,$C$6)</f>
        <v>18</v>
      </c>
      <c r="D30" s="43" t="n">
        <f aca="false">ROUND(SUMIFS(Expenses!$G$6:$G$505,Expenses!$O$6:$O$505,$C$6),2)</f>
        <v>707.85</v>
      </c>
      <c r="E30" s="43" t="n">
        <f aca="false">ROUND(SUMIFS(Expenses!$I$6:$I$505,Expenses!$O$6:$O$505,$C$6),2)</f>
        <v>618.85</v>
      </c>
      <c r="F30" s="44" t="n">
        <f aca="false">IF(E30=0,0,1)</f>
        <v>1</v>
      </c>
    </row>
    <row r="31" customFormat="false" ht="15" hidden="false" customHeight="false" outlineLevel="0" collapsed="false">
      <c r="B31" s="45" t="s">
        <v>39</v>
      </c>
    </row>
    <row r="33" customFormat="false" ht="15" hidden="false" customHeight="false" outlineLevel="0" collapsed="false">
      <c r="B33" s="31" t="s">
        <v>40</v>
      </c>
      <c r="C33" s="31"/>
      <c r="D33" s="31"/>
      <c r="E33" s="31"/>
      <c r="F33" s="31"/>
    </row>
    <row r="34" customFormat="false" ht="30" hidden="false" customHeight="true" outlineLevel="0" collapsed="false">
      <c r="B34" s="32" t="s">
        <v>41</v>
      </c>
      <c r="C34" s="32" t="s">
        <v>42</v>
      </c>
      <c r="D34" s="32" t="s">
        <v>43</v>
      </c>
      <c r="E34" s="32" t="s">
        <v>44</v>
      </c>
      <c r="F34" s="32" t="s">
        <v>45</v>
      </c>
    </row>
    <row r="35" customFormat="false" ht="15" hidden="false" customHeight="false" outlineLevel="0" collapsed="false">
      <c r="B35" s="46" t="s">
        <v>46</v>
      </c>
      <c r="C35" s="35" t="n">
        <f aca="false">ROUND(SUMIFS(Expenses!$I$6:$I$505,Expenses!$P$6:$P$505,$C$6*100+1),2)</f>
        <v>91.34</v>
      </c>
      <c r="D35" s="47" t="n">
        <f aca="false">SUMIFS(Mileage!$J$6:$J$505,Mileage!$R$6:$R$505,$C$6*100+1)</f>
        <v>38.4</v>
      </c>
      <c r="E35" s="35" t="n">
        <f aca="false">ROUND(SUMIFS(Mileage!$L$6:$L$505,Mileage!$R$6:$R$505,$C$6*100+1),2)</f>
        <v>27.84</v>
      </c>
      <c r="F35" s="35" t="n">
        <f aca="false">C35+E35</f>
        <v>119.18</v>
      </c>
    </row>
    <row r="36" customFormat="false" ht="15" hidden="false" customHeight="false" outlineLevel="0" collapsed="false">
      <c r="B36" s="48" t="s">
        <v>47</v>
      </c>
      <c r="C36" s="39" t="n">
        <f aca="false">ROUND(SUMIFS(Expenses!$I$6:$I$505,Expenses!$P$6:$P$505,$C$6*100+2),2)</f>
        <v>69.99</v>
      </c>
      <c r="D36" s="49" t="n">
        <f aca="false">SUMIFS(Mileage!$J$6:$J$505,Mileage!$R$6:$R$505,$C$6*100+2)</f>
        <v>33</v>
      </c>
      <c r="E36" s="39" t="n">
        <f aca="false">ROUND(SUMIFS(Mileage!$L$6:$L$505,Mileage!$R$6:$R$505,$C$6*100+2),2)</f>
        <v>23.93</v>
      </c>
      <c r="F36" s="39" t="n">
        <f aca="false">C36+E36</f>
        <v>93.92</v>
      </c>
    </row>
    <row r="37" customFormat="false" ht="15" hidden="false" customHeight="false" outlineLevel="0" collapsed="false">
      <c r="B37" s="46" t="s">
        <v>48</v>
      </c>
      <c r="C37" s="35" t="n">
        <f aca="false">ROUND(SUMIFS(Expenses!$I$6:$I$505,Expenses!$P$6:$P$505,$C$6*100+3),2)</f>
        <v>57.75</v>
      </c>
      <c r="D37" s="47" t="n">
        <f aca="false">SUMIFS(Mileage!$J$6:$J$505,Mileage!$R$6:$R$505,$C$6*100+3)</f>
        <v>39</v>
      </c>
      <c r="E37" s="35" t="n">
        <f aca="false">ROUND(SUMIFS(Mileage!$L$6:$L$505,Mileage!$R$6:$R$505,$C$6*100+3),2)</f>
        <v>28.28</v>
      </c>
      <c r="F37" s="35" t="n">
        <f aca="false">C37+E37</f>
        <v>86.03</v>
      </c>
    </row>
    <row r="38" customFormat="false" ht="15" hidden="false" customHeight="false" outlineLevel="0" collapsed="false">
      <c r="B38" s="48" t="s">
        <v>49</v>
      </c>
      <c r="C38" s="39" t="n">
        <f aca="false">ROUND(SUMIFS(Expenses!$I$6:$I$505,Expenses!$P$6:$P$505,$C$6*100+4),2)</f>
        <v>177.48</v>
      </c>
      <c r="D38" s="49" t="n">
        <f aca="false">SUMIFS(Mileage!$J$6:$J$505,Mileage!$R$6:$R$505,$C$6*100+4)</f>
        <v>30.7</v>
      </c>
      <c r="E38" s="39" t="n">
        <f aca="false">ROUND(SUMIFS(Mileage!$L$6:$L$505,Mileage!$R$6:$R$505,$C$6*100+4),2)</f>
        <v>22.26</v>
      </c>
      <c r="F38" s="39" t="n">
        <f aca="false">C38+E38</f>
        <v>199.74</v>
      </c>
    </row>
    <row r="39" customFormat="false" ht="15" hidden="false" customHeight="false" outlineLevel="0" collapsed="false">
      <c r="B39" s="46" t="s">
        <v>50</v>
      </c>
      <c r="C39" s="35" t="n">
        <f aca="false">ROUND(SUMIFS(Expenses!$I$6:$I$505,Expenses!$P$6:$P$505,$C$6*100+5),2)</f>
        <v>40.25</v>
      </c>
      <c r="D39" s="47" t="n">
        <f aca="false">SUMIFS(Mileage!$J$6:$J$505,Mileage!$R$6:$R$505,$C$6*100+5)</f>
        <v>5</v>
      </c>
      <c r="E39" s="35" t="n">
        <f aca="false">ROUND(SUMIFS(Mileage!$L$6:$L$505,Mileage!$R$6:$R$505,$C$6*100+5),2)</f>
        <v>3.63</v>
      </c>
      <c r="F39" s="35" t="n">
        <f aca="false">C39+E39</f>
        <v>43.88</v>
      </c>
    </row>
    <row r="40" customFormat="false" ht="15" hidden="false" customHeight="false" outlineLevel="0" collapsed="false">
      <c r="B40" s="48" t="s">
        <v>51</v>
      </c>
      <c r="C40" s="39" t="n">
        <f aca="false">ROUND(SUMIFS(Expenses!$I$6:$I$505,Expenses!$P$6:$P$505,$C$6*100+6),2)</f>
        <v>19.99</v>
      </c>
      <c r="D40" s="49" t="n">
        <f aca="false">SUMIFS(Mileage!$J$6:$J$505,Mileage!$R$6:$R$505,$C$6*100+6)</f>
        <v>53</v>
      </c>
      <c r="E40" s="39" t="n">
        <f aca="false">ROUND(SUMIFS(Mileage!$L$6:$L$505,Mileage!$R$6:$R$505,$C$6*100+6),2)</f>
        <v>38.43</v>
      </c>
      <c r="F40" s="39" t="n">
        <f aca="false">C40+E40</f>
        <v>58.42</v>
      </c>
    </row>
    <row r="41" customFormat="false" ht="15" hidden="false" customHeight="false" outlineLevel="0" collapsed="false">
      <c r="B41" s="46" t="s">
        <v>52</v>
      </c>
      <c r="C41" s="35" t="n">
        <f aca="false">ROUND(SUMIFS(Expenses!$I$6:$I$505,Expenses!$P$6:$P$505,$C$6*100+7),2)</f>
        <v>55.97</v>
      </c>
      <c r="D41" s="47" t="n">
        <f aca="false">SUMIFS(Mileage!$J$6:$J$505,Mileage!$R$6:$R$505,$C$6*100+7)</f>
        <v>50.4</v>
      </c>
      <c r="E41" s="35" t="n">
        <f aca="false">ROUND(SUMIFS(Mileage!$L$6:$L$505,Mileage!$R$6:$R$505,$C$6*100+7),2)</f>
        <v>38.3</v>
      </c>
      <c r="F41" s="35" t="n">
        <f aca="false">C41+E41</f>
        <v>94.27</v>
      </c>
    </row>
    <row r="42" customFormat="false" ht="15" hidden="false" customHeight="false" outlineLevel="0" collapsed="false">
      <c r="B42" s="48" t="s">
        <v>53</v>
      </c>
      <c r="C42" s="39" t="n">
        <f aca="false">ROUND(SUMIFS(Expenses!$I$6:$I$505,Expenses!$P$6:$P$505,$C$6*100+8),2)</f>
        <v>68.6</v>
      </c>
      <c r="D42" s="49" t="n">
        <f aca="false">SUMIFS(Mileage!$J$6:$J$505,Mileage!$R$6:$R$505,$C$6*100+8)</f>
        <v>41.8</v>
      </c>
      <c r="E42" s="39" t="n">
        <f aca="false">ROUND(SUMIFS(Mileage!$L$6:$L$505,Mileage!$R$6:$R$505,$C$6*100+8),2)</f>
        <v>31.77</v>
      </c>
      <c r="F42" s="39" t="n">
        <f aca="false">C42+E42</f>
        <v>100.37</v>
      </c>
    </row>
    <row r="43" customFormat="false" ht="15" hidden="false" customHeight="false" outlineLevel="0" collapsed="false">
      <c r="B43" s="46" t="s">
        <v>54</v>
      </c>
      <c r="C43" s="35" t="n">
        <f aca="false">ROUND(SUMIFS(Expenses!$I$6:$I$505,Expenses!$P$6:$P$505,$C$6*100+9),2)</f>
        <v>37.48</v>
      </c>
      <c r="D43" s="47" t="n">
        <f aca="false">SUMIFS(Mileage!$J$6:$J$505,Mileage!$R$6:$R$505,$C$6*100+9)</f>
        <v>50</v>
      </c>
      <c r="E43" s="35" t="n">
        <f aca="false">ROUND(SUMIFS(Mileage!$L$6:$L$505,Mileage!$R$6:$R$505,$C$6*100+9),2)</f>
        <v>38</v>
      </c>
      <c r="F43" s="35" t="n">
        <f aca="false">C43+E43</f>
        <v>75.48</v>
      </c>
    </row>
    <row r="44" customFormat="false" ht="15" hidden="false" customHeight="false" outlineLevel="0" collapsed="false">
      <c r="B44" s="48" t="s">
        <v>55</v>
      </c>
      <c r="C44" s="39" t="n">
        <f aca="false">ROUND(SUMIFS(Expenses!$I$6:$I$505,Expenses!$P$6:$P$505,$C$6*100+10),2)</f>
        <v>0</v>
      </c>
      <c r="D44" s="49" t="n">
        <f aca="false">SUMIFS(Mileage!$J$6:$J$505,Mileage!$R$6:$R$505,$C$6*100+10)</f>
        <v>0</v>
      </c>
      <c r="E44" s="39" t="n">
        <f aca="false">ROUND(SUMIFS(Mileage!$L$6:$L$505,Mileage!$R$6:$R$505,$C$6*100+10),2)</f>
        <v>0</v>
      </c>
      <c r="F44" s="39" t="n">
        <f aca="false">C44+E44</f>
        <v>0</v>
      </c>
    </row>
    <row r="45" customFormat="false" ht="15" hidden="false" customHeight="false" outlineLevel="0" collapsed="false">
      <c r="B45" s="46" t="s">
        <v>56</v>
      </c>
      <c r="C45" s="35" t="n">
        <f aca="false">ROUND(SUMIFS(Expenses!$I$6:$I$505,Expenses!$P$6:$P$505,$C$6*100+11),2)</f>
        <v>0</v>
      </c>
      <c r="D45" s="47" t="n">
        <f aca="false">SUMIFS(Mileage!$J$6:$J$505,Mileage!$R$6:$R$505,$C$6*100+11)</f>
        <v>0</v>
      </c>
      <c r="E45" s="35" t="n">
        <f aca="false">ROUND(SUMIFS(Mileage!$L$6:$L$505,Mileage!$R$6:$R$505,$C$6*100+11),2)</f>
        <v>0</v>
      </c>
      <c r="F45" s="35" t="n">
        <f aca="false">C45+E45</f>
        <v>0</v>
      </c>
    </row>
    <row r="46" customFormat="false" ht="15" hidden="false" customHeight="false" outlineLevel="0" collapsed="false">
      <c r="B46" s="48" t="s">
        <v>57</v>
      </c>
      <c r="C46" s="39" t="n">
        <f aca="false">ROUND(SUMIFS(Expenses!$I$6:$I$505,Expenses!$P$6:$P$505,$C$6*100+12),2)</f>
        <v>0</v>
      </c>
      <c r="D46" s="49" t="n">
        <f aca="false">SUMIFS(Mileage!$J$6:$J$505,Mileage!$R$6:$R$505,$C$6*100+12)</f>
        <v>0</v>
      </c>
      <c r="E46" s="39" t="n">
        <f aca="false">ROUND(SUMIFS(Mileage!$L$6:$L$505,Mileage!$R$6:$R$505,$C$6*100+12),2)</f>
        <v>0</v>
      </c>
      <c r="F46" s="39" t="n">
        <f aca="false">C46+E46</f>
        <v>0</v>
      </c>
    </row>
    <row r="47" customFormat="false" ht="15" hidden="false" customHeight="false" outlineLevel="0" collapsed="false">
      <c r="B47" s="41" t="s">
        <v>58</v>
      </c>
      <c r="C47" s="43" t="n">
        <f aca="false">B10</f>
        <v>618.85</v>
      </c>
      <c r="D47" s="50" t="n">
        <f aca="false">C10</f>
        <v>341.3</v>
      </c>
      <c r="E47" s="43" t="n">
        <f aca="false">E10</f>
        <v>252.44</v>
      </c>
      <c r="F47" s="43" t="n">
        <f aca="false">C47+E47</f>
        <v>871.29</v>
      </c>
    </row>
  </sheetData>
  <sheetProtection sheet="true"/>
  <mergeCells count="18">
    <mergeCell ref="B1:N1"/>
    <mergeCell ref="B2:N2"/>
    <mergeCell ref="B3:N3"/>
    <mergeCell ref="D6:F6"/>
    <mergeCell ref="C8:D8"/>
    <mergeCell ref="E8:F8"/>
    <mergeCell ref="H8:J8"/>
    <mergeCell ref="C9:D9"/>
    <mergeCell ref="E9:F9"/>
    <mergeCell ref="H9:J9"/>
    <mergeCell ref="C10:D10"/>
    <mergeCell ref="E10:F10"/>
    <mergeCell ref="H10:J10"/>
    <mergeCell ref="C11:D11"/>
    <mergeCell ref="E11:F11"/>
    <mergeCell ref="H11:J11"/>
    <mergeCell ref="B13:F13"/>
    <mergeCell ref="B33:F3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true"/>
  </sheetPr>
  <dimension ref="A1:Q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3"/>
    <col collapsed="false" customWidth="true" hidden="false" outlineLevel="0" max="3" min="3" style="0" width="20"/>
    <col collapsed="false" customWidth="true" hidden="false" outlineLevel="0" max="4" min="4" style="0" width="26"/>
    <col collapsed="false" customWidth="true" hidden="false" outlineLevel="0" max="5" min="5" style="0" width="36"/>
    <col collapsed="false" customWidth="true" hidden="false" outlineLevel="0" max="6" min="6" style="0" width="16"/>
    <col collapsed="false" customWidth="true" hidden="false" outlineLevel="0" max="7" min="7" style="0" width="13"/>
    <col collapsed="false" customWidth="true" hidden="false" outlineLevel="0" max="10" min="8" style="0" width="14"/>
    <col collapsed="false" customWidth="true" hidden="false" outlineLevel="0" max="11" min="11" style="0" width="22"/>
    <col collapsed="false" customWidth="true" hidden="false" outlineLevel="0" max="12" min="12" style="0" width="30"/>
    <col collapsed="false" customWidth="true" hidden="true" outlineLevel="0" max="17" min="14" style="0" width="13"/>
  </cols>
  <sheetData>
    <row r="1" customFormat="false" ht="18" hidden="false" customHeight="true" outlineLevel="0" collapsed="false">
      <c r="A1" s="1"/>
      <c r="B1" s="14" t="s">
        <v>1</v>
      </c>
      <c r="C1" s="14"/>
      <c r="D1" s="14"/>
      <c r="E1" s="14"/>
      <c r="F1" s="14"/>
      <c r="G1" s="14"/>
      <c r="H1" s="14"/>
      <c r="I1" s="14"/>
      <c r="J1" s="14"/>
      <c r="K1" s="14"/>
      <c r="L1" s="14"/>
    </row>
    <row r="2" customFormat="false" ht="30" hidden="false" customHeight="true" outlineLevel="0" collapsed="false">
      <c r="A2" s="1"/>
      <c r="B2" s="15" t="s">
        <v>59</v>
      </c>
      <c r="C2" s="15"/>
      <c r="D2" s="15"/>
      <c r="E2" s="15"/>
      <c r="F2" s="15"/>
      <c r="G2" s="15"/>
      <c r="H2" s="15"/>
      <c r="I2" s="15"/>
      <c r="J2" s="15"/>
      <c r="K2" s="15"/>
      <c r="L2" s="15"/>
    </row>
    <row r="3" customFormat="false" ht="19.5" hidden="false" customHeight="true" outlineLevel="0" collapsed="false">
      <c r="A3" s="1"/>
      <c r="B3" s="16" t="s">
        <v>60</v>
      </c>
      <c r="C3" s="16"/>
      <c r="D3" s="16"/>
      <c r="E3" s="16"/>
      <c r="F3" s="16"/>
      <c r="G3" s="16"/>
      <c r="H3" s="16"/>
      <c r="I3" s="16"/>
      <c r="J3" s="16"/>
      <c r="K3" s="16"/>
      <c r="L3" s="16"/>
    </row>
    <row r="4" customFormat="false" ht="3.75" hidden="false" customHeight="true" outlineLevel="0" collapsed="false">
      <c r="A4" s="7"/>
      <c r="B4" s="7"/>
      <c r="C4" s="7"/>
      <c r="D4" s="7"/>
      <c r="E4" s="7"/>
      <c r="F4" s="7"/>
      <c r="G4" s="7"/>
      <c r="H4" s="7"/>
      <c r="I4" s="7"/>
      <c r="J4" s="7"/>
      <c r="K4" s="7"/>
      <c r="L4" s="7"/>
    </row>
    <row r="5" customFormat="false" ht="48" hidden="false" customHeight="true" outlineLevel="0" collapsed="false">
      <c r="B5" s="32" t="s">
        <v>61</v>
      </c>
      <c r="C5" s="32" t="s">
        <v>62</v>
      </c>
      <c r="D5" s="32" t="s">
        <v>63</v>
      </c>
      <c r="E5" s="32" t="s">
        <v>32</v>
      </c>
      <c r="F5" s="32" t="s">
        <v>64</v>
      </c>
      <c r="G5" s="32" t="s">
        <v>65</v>
      </c>
      <c r="H5" s="32" t="s">
        <v>66</v>
      </c>
      <c r="I5" s="32" t="s">
        <v>67</v>
      </c>
      <c r="J5" s="32" t="s">
        <v>68</v>
      </c>
      <c r="K5" s="32" t="s">
        <v>69</v>
      </c>
      <c r="L5" s="32" t="s">
        <v>70</v>
      </c>
      <c r="N5" s="51" t="s">
        <v>71</v>
      </c>
      <c r="O5" s="51" t="s">
        <v>72</v>
      </c>
      <c r="P5" s="51" t="s">
        <v>73</v>
      </c>
      <c r="Q5" s="51" t="s">
        <v>74</v>
      </c>
    </row>
    <row r="6" customFormat="false" ht="15" hidden="false" customHeight="false" outlineLevel="0" collapsed="false">
      <c r="B6" s="52" t="n">
        <v>46027</v>
      </c>
      <c r="C6" s="53" t="s">
        <v>75</v>
      </c>
      <c r="D6" s="53" t="s">
        <v>76</v>
      </c>
      <c r="E6" s="53" t="s">
        <v>77</v>
      </c>
      <c r="F6" s="53" t="s">
        <v>78</v>
      </c>
      <c r="G6" s="54" t="n">
        <v>24.99</v>
      </c>
      <c r="H6" s="55"/>
      <c r="I6" s="56" t="n">
        <f aca="false">IF(G6="","",G6*IF(H6="",1,H6))</f>
        <v>24.99</v>
      </c>
      <c r="J6" s="57" t="s">
        <v>79</v>
      </c>
      <c r="K6" s="53"/>
      <c r="L6" s="58" t="str">
        <f aca="false">IF(G6="","",IF(ISNUMBER(B6),IF(E6="","⚠ ADD CATEGORY / AGREGA CATEGORÍA",IF(J6="No","⚠ SAVE RECEIPT / GUARDA RECIBO","✔ OK")),"⚠ ADD DATE / AGREGA FECHA"))</f>
        <v>✔ OK</v>
      </c>
      <c r="N6" s="51" t="n">
        <f aca="false">IF(G6="",0,IF(ISNUMBER(B6),1,0))</f>
        <v>1</v>
      </c>
      <c r="O6" s="51" t="n">
        <f aca="false">IF(N6=1,YEAR(B6),0)</f>
        <v>2026</v>
      </c>
      <c r="P6" s="51" t="n">
        <f aca="false">IF(N6=1,YEAR(B6)*100+MONTH(B6),0)</f>
        <v>202601</v>
      </c>
      <c r="Q6" s="51" t="n">
        <f aca="false">IF(N6=1,IF(J6="No",1,0),0)</f>
        <v>0</v>
      </c>
    </row>
    <row r="7" customFormat="false" ht="15" hidden="false" customHeight="false" outlineLevel="0" collapsed="false">
      <c r="B7" s="52" t="n">
        <v>46034</v>
      </c>
      <c r="C7" s="53" t="s">
        <v>80</v>
      </c>
      <c r="D7" s="53" t="s">
        <v>81</v>
      </c>
      <c r="E7" s="53" t="s">
        <v>82</v>
      </c>
      <c r="F7" s="53" t="s">
        <v>78</v>
      </c>
      <c r="G7" s="54" t="n">
        <v>27.95</v>
      </c>
      <c r="H7" s="55"/>
      <c r="I7" s="56" t="n">
        <f aca="false">IF(G7="","",G7*IF(H7="",1,H7))</f>
        <v>27.95</v>
      </c>
      <c r="J7" s="57" t="s">
        <v>79</v>
      </c>
      <c r="K7" s="53" t="s">
        <v>83</v>
      </c>
      <c r="L7" s="58" t="str">
        <f aca="false">IF(G7="","",IF(ISNUMBER(B7),IF(E7="","⚠ ADD CATEGORY / AGREGA CATEGORÍA",IF(J7="No","⚠ SAVE RECEIPT / GUARDA RECIBO","✔ OK")),"⚠ ADD DATE / AGREGA FECHA"))</f>
        <v>✔ OK</v>
      </c>
      <c r="N7" s="51" t="n">
        <f aca="false">IF(G7="",0,IF(ISNUMBER(B7),1,0))</f>
        <v>1</v>
      </c>
      <c r="O7" s="51" t="n">
        <f aca="false">IF(N7=1,YEAR(B7),0)</f>
        <v>2026</v>
      </c>
      <c r="P7" s="51" t="n">
        <f aca="false">IF(N7=1,YEAR(B7)*100+MONTH(B7),0)</f>
        <v>202601</v>
      </c>
      <c r="Q7" s="51" t="n">
        <f aca="false">IF(N7=1,IF(J7="No",1,0),0)</f>
        <v>0</v>
      </c>
    </row>
    <row r="8" customFormat="false" ht="15" hidden="false" customHeight="false" outlineLevel="0" collapsed="false">
      <c r="B8" s="52" t="n">
        <v>46042</v>
      </c>
      <c r="C8" s="53" t="s">
        <v>84</v>
      </c>
      <c r="D8" s="53" t="s">
        <v>85</v>
      </c>
      <c r="E8" s="53" t="s">
        <v>86</v>
      </c>
      <c r="F8" s="53" t="s">
        <v>78</v>
      </c>
      <c r="G8" s="54" t="n">
        <v>38.4</v>
      </c>
      <c r="H8" s="55"/>
      <c r="I8" s="56" t="n">
        <f aca="false">IF(G8="","",G8*IF(H8="",1,H8))</f>
        <v>38.4</v>
      </c>
      <c r="J8" s="57" t="s">
        <v>79</v>
      </c>
      <c r="K8" s="53"/>
      <c r="L8" s="58" t="str">
        <f aca="false">IF(G8="","",IF(ISNUMBER(B8),IF(E8="","⚠ ADD CATEGORY / AGREGA CATEGORÍA",IF(J8="No","⚠ SAVE RECEIPT / GUARDA RECIBO","✔ OK")),"⚠ ADD DATE / AGREGA FECHA"))</f>
        <v>✔ OK</v>
      </c>
      <c r="N8" s="51" t="n">
        <f aca="false">IF(G8="",0,IF(ISNUMBER(B8),1,0))</f>
        <v>1</v>
      </c>
      <c r="O8" s="51" t="n">
        <f aca="false">IF(N8=1,YEAR(B8),0)</f>
        <v>2026</v>
      </c>
      <c r="P8" s="51" t="n">
        <f aca="false">IF(N8=1,YEAR(B8)*100+MONTH(B8),0)</f>
        <v>202601</v>
      </c>
      <c r="Q8" s="51" t="n">
        <f aca="false">IF(N8=1,IF(J8="No",1,0),0)</f>
        <v>0</v>
      </c>
    </row>
    <row r="9" customFormat="false" ht="15" hidden="false" customHeight="false" outlineLevel="0" collapsed="false">
      <c r="B9" s="52" t="n">
        <v>46055</v>
      </c>
      <c r="C9" s="53" t="s">
        <v>87</v>
      </c>
      <c r="D9" s="53" t="s">
        <v>88</v>
      </c>
      <c r="E9" s="53" t="s">
        <v>89</v>
      </c>
      <c r="F9" s="53" t="s">
        <v>78</v>
      </c>
      <c r="G9" s="54" t="n">
        <v>80</v>
      </c>
      <c r="H9" s="55" t="n">
        <v>0.5</v>
      </c>
      <c r="I9" s="56" t="n">
        <f aca="false">IF(G9="","",G9*IF(H9="",1,H9))</f>
        <v>40</v>
      </c>
      <c r="J9" s="57" t="s">
        <v>79</v>
      </c>
      <c r="K9" s="53" t="s">
        <v>90</v>
      </c>
      <c r="L9" s="58" t="str">
        <f aca="false">IF(G9="","",IF(ISNUMBER(B9),IF(E9="","⚠ ADD CATEGORY / AGREGA CATEGORÍA",IF(J9="No","⚠ SAVE RECEIPT / GUARDA RECIBO","✔ OK")),"⚠ ADD DATE / AGREGA FECHA"))</f>
        <v>✔ OK</v>
      </c>
      <c r="N9" s="51" t="n">
        <f aca="false">IF(G9="",0,IF(ISNUMBER(B9),1,0))</f>
        <v>1</v>
      </c>
      <c r="O9" s="51" t="n">
        <f aca="false">IF(N9=1,YEAR(B9),0)</f>
        <v>2026</v>
      </c>
      <c r="P9" s="51" t="n">
        <f aca="false">IF(N9=1,YEAR(B9)*100+MONTH(B9),0)</f>
        <v>202602</v>
      </c>
      <c r="Q9" s="51" t="n">
        <f aca="false">IF(N9=1,IF(J9="No",1,0),0)</f>
        <v>0</v>
      </c>
    </row>
    <row r="10" customFormat="false" ht="15" hidden="false" customHeight="false" outlineLevel="0" collapsed="false">
      <c r="B10" s="52" t="n">
        <v>46067</v>
      </c>
      <c r="C10" s="53" t="s">
        <v>91</v>
      </c>
      <c r="D10" s="53" t="s">
        <v>92</v>
      </c>
      <c r="E10" s="53" t="s">
        <v>93</v>
      </c>
      <c r="F10" s="53" t="s">
        <v>78</v>
      </c>
      <c r="G10" s="54" t="n">
        <v>29.99</v>
      </c>
      <c r="H10" s="55"/>
      <c r="I10" s="56" t="n">
        <f aca="false">IF(G10="","",G10*IF(H10="",1,H10))</f>
        <v>29.99</v>
      </c>
      <c r="J10" s="57" t="s">
        <v>79</v>
      </c>
      <c r="K10" s="53"/>
      <c r="L10" s="58" t="str">
        <f aca="false">IF(G10="","",IF(ISNUMBER(B10),IF(E10="","⚠ ADD CATEGORY / AGREGA CATEGORÍA",IF(J10="No","⚠ SAVE RECEIPT / GUARDA RECIBO","✔ OK")),"⚠ ADD DATE / AGREGA FECHA"))</f>
        <v>✔ OK</v>
      </c>
      <c r="N10" s="51" t="n">
        <f aca="false">IF(G10="",0,IF(ISNUMBER(B10),1,0))</f>
        <v>1</v>
      </c>
      <c r="O10" s="51" t="n">
        <f aca="false">IF(N10=1,YEAR(B10),0)</f>
        <v>2026</v>
      </c>
      <c r="P10" s="51" t="n">
        <f aca="false">IF(N10=1,YEAR(B10)*100+MONTH(B10),0)</f>
        <v>202602</v>
      </c>
      <c r="Q10" s="51" t="n">
        <f aca="false">IF(N10=1,IF(J10="No",1,0),0)</f>
        <v>0</v>
      </c>
    </row>
    <row r="11" customFormat="false" ht="15" hidden="false" customHeight="false" outlineLevel="0" collapsed="false">
      <c r="B11" s="52" t="n">
        <v>46082</v>
      </c>
      <c r="C11" s="53" t="s">
        <v>94</v>
      </c>
      <c r="D11" s="53" t="s">
        <v>95</v>
      </c>
      <c r="E11" s="53" t="s">
        <v>96</v>
      </c>
      <c r="F11" s="53" t="s">
        <v>97</v>
      </c>
      <c r="G11" s="54" t="n">
        <v>15</v>
      </c>
      <c r="H11" s="55"/>
      <c r="I11" s="56" t="n">
        <f aca="false">IF(G11="","",G11*IF(H11="",1,H11))</f>
        <v>15</v>
      </c>
      <c r="J11" s="57" t="s">
        <v>98</v>
      </c>
      <c r="K11" s="53"/>
      <c r="L11" s="58" t="str">
        <f aca="false">IF(G11="","",IF(ISNUMBER(B11),IF(E11="","⚠ ADD CATEGORY / AGREGA CATEGORÍA",IF(J11="No","⚠ SAVE RECEIPT / GUARDA RECIBO","✔ OK")),"⚠ ADD DATE / AGREGA FECHA"))</f>
        <v>⚠ SAVE RECEIPT / GUARDA RECIBO</v>
      </c>
      <c r="N11" s="51" t="n">
        <f aca="false">IF(G11="",0,IF(ISNUMBER(B11),1,0))</f>
        <v>1</v>
      </c>
      <c r="O11" s="51" t="n">
        <f aca="false">IF(N11=1,YEAR(B11),0)</f>
        <v>2026</v>
      </c>
      <c r="P11" s="51" t="n">
        <f aca="false">IF(N11=1,YEAR(B11)*100+MONTH(B11),0)</f>
        <v>202603</v>
      </c>
      <c r="Q11" s="51" t="n">
        <f aca="false">IF(N11=1,IF(J11="No",1,0),0)</f>
        <v>1</v>
      </c>
    </row>
    <row r="12" customFormat="false" ht="15" hidden="false" customHeight="false" outlineLevel="0" collapsed="false">
      <c r="B12" s="52" t="n">
        <v>46099</v>
      </c>
      <c r="C12" s="53" t="s">
        <v>99</v>
      </c>
      <c r="D12" s="53" t="s">
        <v>100</v>
      </c>
      <c r="E12" s="53" t="s">
        <v>101</v>
      </c>
      <c r="F12" s="53" t="s">
        <v>102</v>
      </c>
      <c r="G12" s="54" t="n">
        <v>42.75</v>
      </c>
      <c r="H12" s="55"/>
      <c r="I12" s="56" t="n">
        <f aca="false">IF(G12="","",G12*IF(H12="",1,H12))</f>
        <v>42.75</v>
      </c>
      <c r="J12" s="57" t="s">
        <v>79</v>
      </c>
      <c r="K12" s="53"/>
      <c r="L12" s="58" t="str">
        <f aca="false">IF(G12="","",IF(ISNUMBER(B12),IF(E12="","⚠ ADD CATEGORY / AGREGA CATEGORÍA",IF(J12="No","⚠ SAVE RECEIPT / GUARDA RECIBO","✔ OK")),"⚠ ADD DATE / AGREGA FECHA"))</f>
        <v>✔ OK</v>
      </c>
      <c r="N12" s="51" t="n">
        <f aca="false">IF(G12="",0,IF(ISNUMBER(B12),1,0))</f>
        <v>1</v>
      </c>
      <c r="O12" s="51" t="n">
        <f aca="false">IF(N12=1,YEAR(B12),0)</f>
        <v>2026</v>
      </c>
      <c r="P12" s="51" t="n">
        <f aca="false">IF(N12=1,YEAR(B12)*100+MONTH(B12),0)</f>
        <v>202603</v>
      </c>
      <c r="Q12" s="51" t="n">
        <f aca="false">IF(N12=1,IF(J12="No",1,0),0)</f>
        <v>0</v>
      </c>
    </row>
    <row r="13" customFormat="false" ht="15" hidden="false" customHeight="false" outlineLevel="0" collapsed="false">
      <c r="B13" s="52" t="n">
        <v>46115</v>
      </c>
      <c r="C13" s="53" t="s">
        <v>103</v>
      </c>
      <c r="D13" s="53" t="s">
        <v>104</v>
      </c>
      <c r="E13" s="53" t="s">
        <v>105</v>
      </c>
      <c r="F13" s="53" t="s">
        <v>106</v>
      </c>
      <c r="G13" s="54" t="n">
        <v>65</v>
      </c>
      <c r="H13" s="55"/>
      <c r="I13" s="56" t="n">
        <f aca="false">IF(G13="","",G13*IF(H13="",1,H13))</f>
        <v>65</v>
      </c>
      <c r="J13" s="57" t="s">
        <v>79</v>
      </c>
      <c r="K13" s="53"/>
      <c r="L13" s="58" t="str">
        <f aca="false">IF(G13="","",IF(ISNUMBER(B13),IF(E13="","⚠ ADD CATEGORY / AGREGA CATEGORÍA",IF(J13="No","⚠ SAVE RECEIPT / GUARDA RECIBO","✔ OK")),"⚠ ADD DATE / AGREGA FECHA"))</f>
        <v>✔ OK</v>
      </c>
      <c r="N13" s="51" t="n">
        <f aca="false">IF(G13="",0,IF(ISNUMBER(B13),1,0))</f>
        <v>1</v>
      </c>
      <c r="O13" s="51" t="n">
        <f aca="false">IF(N13=1,YEAR(B13),0)</f>
        <v>2026</v>
      </c>
      <c r="P13" s="51" t="n">
        <f aca="false">IF(N13=1,YEAR(B13)*100+MONTH(B13),0)</f>
        <v>202604</v>
      </c>
      <c r="Q13" s="51" t="n">
        <f aca="false">IF(N13=1,IF(J13="No",1,0),0)</f>
        <v>0</v>
      </c>
    </row>
    <row r="14" customFormat="false" ht="15" hidden="false" customHeight="false" outlineLevel="0" collapsed="false">
      <c r="B14" s="52" t="n">
        <v>46134</v>
      </c>
      <c r="C14" s="53" t="s">
        <v>107</v>
      </c>
      <c r="D14" s="53" t="s">
        <v>108</v>
      </c>
      <c r="E14" s="53" t="s">
        <v>93</v>
      </c>
      <c r="F14" s="53" t="s">
        <v>78</v>
      </c>
      <c r="G14" s="54" t="n">
        <v>112.48</v>
      </c>
      <c r="H14" s="55"/>
      <c r="I14" s="56" t="n">
        <f aca="false">IF(G14="","",G14*IF(H14="",1,H14))</f>
        <v>112.48</v>
      </c>
      <c r="J14" s="57" t="s">
        <v>79</v>
      </c>
      <c r="K14" s="53" t="s">
        <v>109</v>
      </c>
      <c r="L14" s="58" t="str">
        <f aca="false">IF(G14="","",IF(ISNUMBER(B14),IF(E14="","⚠ ADD CATEGORY / AGREGA CATEGORÍA",IF(J14="No","⚠ SAVE RECEIPT / GUARDA RECIBO","✔ OK")),"⚠ ADD DATE / AGREGA FECHA"))</f>
        <v>✔ OK</v>
      </c>
      <c r="N14" s="51" t="n">
        <f aca="false">IF(G14="",0,IF(ISNUMBER(B14),1,0))</f>
        <v>1</v>
      </c>
      <c r="O14" s="51" t="n">
        <f aca="false">IF(N14=1,YEAR(B14),0)</f>
        <v>2026</v>
      </c>
      <c r="P14" s="51" t="n">
        <f aca="false">IF(N14=1,YEAR(B14)*100+MONTH(B14),0)</f>
        <v>202604</v>
      </c>
      <c r="Q14" s="51" t="n">
        <f aca="false">IF(N14=1,IF(J14="No",1,0),0)</f>
        <v>0</v>
      </c>
    </row>
    <row r="15" customFormat="false" ht="15" hidden="false" customHeight="false" outlineLevel="0" collapsed="false">
      <c r="B15" s="52" t="n">
        <v>46151</v>
      </c>
      <c r="C15" s="53" t="s">
        <v>110</v>
      </c>
      <c r="D15" s="53" t="s">
        <v>111</v>
      </c>
      <c r="E15" s="53" t="s">
        <v>112</v>
      </c>
      <c r="F15" s="53" t="s">
        <v>78</v>
      </c>
      <c r="G15" s="54" t="n">
        <v>29</v>
      </c>
      <c r="H15" s="55"/>
      <c r="I15" s="56" t="n">
        <f aca="false">IF(G15="","",G15*IF(H15="",1,H15))</f>
        <v>29</v>
      </c>
      <c r="J15" s="57" t="s">
        <v>79</v>
      </c>
      <c r="K15" s="53"/>
      <c r="L15" s="58" t="str">
        <f aca="false">IF(G15="","",IF(ISNUMBER(B15),IF(E15="","⚠ ADD CATEGORY / AGREGA CATEGORÍA",IF(J15="No","⚠ SAVE RECEIPT / GUARDA RECIBO","✔ OK")),"⚠ ADD DATE / AGREGA FECHA"))</f>
        <v>✔ OK</v>
      </c>
      <c r="N15" s="51" t="n">
        <f aca="false">IF(G15="",0,IF(ISNUMBER(B15),1,0))</f>
        <v>1</v>
      </c>
      <c r="O15" s="51" t="n">
        <f aca="false">IF(N15=1,YEAR(B15),0)</f>
        <v>2026</v>
      </c>
      <c r="P15" s="51" t="n">
        <f aca="false">IF(N15=1,YEAR(B15)*100+MONTH(B15),0)</f>
        <v>202605</v>
      </c>
      <c r="Q15" s="51" t="n">
        <f aca="false">IF(N15=1,IF(J15="No",1,0),0)</f>
        <v>0</v>
      </c>
    </row>
    <row r="16" customFormat="false" ht="15" hidden="false" customHeight="false" outlineLevel="0" collapsed="false">
      <c r="B16" s="52" t="n">
        <v>46169</v>
      </c>
      <c r="C16" s="53" t="s">
        <v>113</v>
      </c>
      <c r="D16" s="53" t="s">
        <v>114</v>
      </c>
      <c r="E16" s="53" t="s">
        <v>77</v>
      </c>
      <c r="F16" s="53" t="s">
        <v>102</v>
      </c>
      <c r="G16" s="54" t="n">
        <v>11.25</v>
      </c>
      <c r="H16" s="55"/>
      <c r="I16" s="56" t="n">
        <f aca="false">IF(G16="","",G16*IF(H16="",1,H16))</f>
        <v>11.25</v>
      </c>
      <c r="J16" s="57" t="s">
        <v>98</v>
      </c>
      <c r="K16" s="53"/>
      <c r="L16" s="58" t="str">
        <f aca="false">IF(G16="","",IF(ISNUMBER(B16),IF(E16="","⚠ ADD CATEGORY / AGREGA CATEGORÍA",IF(J16="No","⚠ SAVE RECEIPT / GUARDA RECIBO","✔ OK")),"⚠ ADD DATE / AGREGA FECHA"))</f>
        <v>⚠ SAVE RECEIPT / GUARDA RECIBO</v>
      </c>
      <c r="N16" s="51" t="n">
        <f aca="false">IF(G16="",0,IF(ISNUMBER(B16),1,0))</f>
        <v>1</v>
      </c>
      <c r="O16" s="51" t="n">
        <f aca="false">IF(N16=1,YEAR(B16),0)</f>
        <v>2026</v>
      </c>
      <c r="P16" s="51" t="n">
        <f aca="false">IF(N16=1,YEAR(B16)*100+MONTH(B16),0)</f>
        <v>202605</v>
      </c>
      <c r="Q16" s="51" t="n">
        <f aca="false">IF(N16=1,IF(J16="No",1,0),0)</f>
        <v>1</v>
      </c>
    </row>
    <row r="17" customFormat="false" ht="15" hidden="false" customHeight="false" outlineLevel="0" collapsed="false">
      <c r="B17" s="52" t="n">
        <v>46188</v>
      </c>
      <c r="C17" s="53" t="s">
        <v>115</v>
      </c>
      <c r="D17" s="53" t="s">
        <v>116</v>
      </c>
      <c r="E17" s="53" t="s">
        <v>117</v>
      </c>
      <c r="F17" s="53" t="s">
        <v>78</v>
      </c>
      <c r="G17" s="54" t="n">
        <v>19.99</v>
      </c>
      <c r="H17" s="55"/>
      <c r="I17" s="56" t="n">
        <f aca="false">IF(G17="","",G17*IF(H17="",1,H17))</f>
        <v>19.99</v>
      </c>
      <c r="J17" s="57" t="s">
        <v>79</v>
      </c>
      <c r="K17" s="53"/>
      <c r="L17" s="58" t="str">
        <f aca="false">IF(G17="","",IF(ISNUMBER(B17),IF(E17="","⚠ ADD CATEGORY / AGREGA CATEGORÍA",IF(J17="No","⚠ SAVE RECEIPT / GUARDA RECIBO","✔ OK")),"⚠ ADD DATE / AGREGA FECHA"))</f>
        <v>✔ OK</v>
      </c>
      <c r="N17" s="51" t="n">
        <f aca="false">IF(G17="",0,IF(ISNUMBER(B17),1,0))</f>
        <v>1</v>
      </c>
      <c r="O17" s="51" t="n">
        <f aca="false">IF(N17=1,YEAR(B17),0)</f>
        <v>2026</v>
      </c>
      <c r="P17" s="51" t="n">
        <f aca="false">IF(N17=1,YEAR(B17)*100+MONTH(B17),0)</f>
        <v>202606</v>
      </c>
      <c r="Q17" s="51" t="n">
        <f aca="false">IF(N17=1,IF(J17="No",1,0),0)</f>
        <v>0</v>
      </c>
    </row>
    <row r="18" customFormat="false" ht="15" hidden="false" customHeight="false" outlineLevel="0" collapsed="false">
      <c r="B18" s="52" t="n">
        <v>46211</v>
      </c>
      <c r="C18" s="53" t="s">
        <v>118</v>
      </c>
      <c r="D18" s="53" t="s">
        <v>119</v>
      </c>
      <c r="E18" s="53" t="s">
        <v>120</v>
      </c>
      <c r="F18" s="53" t="s">
        <v>78</v>
      </c>
      <c r="G18" s="54" t="n">
        <v>34.97</v>
      </c>
      <c r="H18" s="55"/>
      <c r="I18" s="56" t="n">
        <f aca="false">IF(G18="","",G18*IF(H18="",1,H18))</f>
        <v>34.97</v>
      </c>
      <c r="J18" s="57" t="s">
        <v>79</v>
      </c>
      <c r="K18" s="53"/>
      <c r="L18" s="58" t="str">
        <f aca="false">IF(G18="","",IF(ISNUMBER(B18),IF(E18="","⚠ ADD CATEGORY / AGREGA CATEGORÍA",IF(J18="No","⚠ SAVE RECEIPT / GUARDA RECIBO","✔ OK")),"⚠ ADD DATE / AGREGA FECHA"))</f>
        <v>✔ OK</v>
      </c>
      <c r="N18" s="51" t="n">
        <f aca="false">IF(G18="",0,IF(ISNUMBER(B18),1,0))</f>
        <v>1</v>
      </c>
      <c r="O18" s="51" t="n">
        <f aca="false">IF(N18=1,YEAR(B18),0)</f>
        <v>2026</v>
      </c>
      <c r="P18" s="51" t="n">
        <f aca="false">IF(N18=1,YEAR(B18)*100+MONTH(B18),0)</f>
        <v>202607</v>
      </c>
      <c r="Q18" s="51" t="n">
        <f aca="false">IF(N18=1,IF(J18="No",1,0),0)</f>
        <v>0</v>
      </c>
    </row>
    <row r="19" customFormat="false" ht="15" hidden="false" customHeight="false" outlineLevel="0" collapsed="false">
      <c r="B19" s="52" t="n">
        <v>46233</v>
      </c>
      <c r="C19" s="53" t="s">
        <v>121</v>
      </c>
      <c r="D19" s="53" t="s">
        <v>122</v>
      </c>
      <c r="E19" s="53" t="s">
        <v>89</v>
      </c>
      <c r="F19" s="53" t="s">
        <v>78</v>
      </c>
      <c r="G19" s="54" t="n">
        <v>70</v>
      </c>
      <c r="H19" s="55" t="n">
        <v>0.3</v>
      </c>
      <c r="I19" s="56" t="n">
        <f aca="false">IF(G19="","",G19*IF(H19="",1,H19))</f>
        <v>21</v>
      </c>
      <c r="J19" s="57" t="s">
        <v>79</v>
      </c>
      <c r="K19" s="53" t="s">
        <v>123</v>
      </c>
      <c r="L19" s="58" t="str">
        <f aca="false">IF(G19="","",IF(ISNUMBER(B19),IF(E19="","⚠ ADD CATEGORY / AGREGA CATEGORÍA",IF(J19="No","⚠ SAVE RECEIPT / GUARDA RECIBO","✔ OK")),"⚠ ADD DATE / AGREGA FECHA"))</f>
        <v>✔ OK</v>
      </c>
      <c r="N19" s="51" t="n">
        <f aca="false">IF(G19="",0,IF(ISNUMBER(B19),1,0))</f>
        <v>1</v>
      </c>
      <c r="O19" s="51" t="n">
        <f aca="false">IF(N19=1,YEAR(B19),0)</f>
        <v>2026</v>
      </c>
      <c r="P19" s="51" t="n">
        <f aca="false">IF(N19=1,YEAR(B19)*100+MONTH(B19),0)</f>
        <v>202607</v>
      </c>
      <c r="Q19" s="51" t="n">
        <f aca="false">IF(N19=1,IF(J19="No",1,0),0)</f>
        <v>0</v>
      </c>
    </row>
    <row r="20" customFormat="false" ht="15" hidden="false" customHeight="false" outlineLevel="0" collapsed="false">
      <c r="B20" s="52" t="n">
        <v>46246</v>
      </c>
      <c r="C20" s="53" t="s">
        <v>75</v>
      </c>
      <c r="D20" s="53" t="s">
        <v>124</v>
      </c>
      <c r="E20" s="53" t="s">
        <v>77</v>
      </c>
      <c r="F20" s="53" t="s">
        <v>78</v>
      </c>
      <c r="G20" s="54" t="n">
        <v>58.6</v>
      </c>
      <c r="H20" s="55"/>
      <c r="I20" s="56" t="n">
        <f aca="false">IF(G20="","",G20*IF(H20="",1,H20))</f>
        <v>58.6</v>
      </c>
      <c r="J20" s="57" t="s">
        <v>79</v>
      </c>
      <c r="K20" s="53"/>
      <c r="L20" s="58" t="str">
        <f aca="false">IF(G20="","",IF(ISNUMBER(B20),IF(E20="","⚠ ADD CATEGORY / AGREGA CATEGORÍA",IF(J20="No","⚠ SAVE RECEIPT / GUARDA RECIBO","✔ OK")),"⚠ ADD DATE / AGREGA FECHA"))</f>
        <v>✔ OK</v>
      </c>
      <c r="N20" s="51" t="n">
        <f aca="false">IF(G20="",0,IF(ISNUMBER(B20),1,0))</f>
        <v>1</v>
      </c>
      <c r="O20" s="51" t="n">
        <f aca="false">IF(N20=1,YEAR(B20),0)</f>
        <v>2026</v>
      </c>
      <c r="P20" s="51" t="n">
        <f aca="false">IF(N20=1,YEAR(B20)*100+MONTH(B20),0)</f>
        <v>202608</v>
      </c>
      <c r="Q20" s="51" t="n">
        <f aca="false">IF(N20=1,IF(J20="No",1,0),0)</f>
        <v>0</v>
      </c>
    </row>
    <row r="21" customFormat="false" ht="15" hidden="false" customHeight="false" outlineLevel="0" collapsed="false">
      <c r="B21" s="52" t="n">
        <v>46259</v>
      </c>
      <c r="C21" s="53" t="s">
        <v>125</v>
      </c>
      <c r="D21" s="53" t="s">
        <v>126</v>
      </c>
      <c r="E21" s="53" t="s">
        <v>96</v>
      </c>
      <c r="F21" s="53" t="s">
        <v>78</v>
      </c>
      <c r="G21" s="54" t="n">
        <v>10</v>
      </c>
      <c r="H21" s="55"/>
      <c r="I21" s="56" t="n">
        <f aca="false">IF(G21="","",G21*IF(H21="",1,H21))</f>
        <v>10</v>
      </c>
      <c r="J21" s="57" t="s">
        <v>79</v>
      </c>
      <c r="K21" s="53"/>
      <c r="L21" s="58" t="str">
        <f aca="false">IF(G21="","",IF(ISNUMBER(B21),IF(E21="","⚠ ADD CATEGORY / AGREGA CATEGORÍA",IF(J21="No","⚠ SAVE RECEIPT / GUARDA RECIBO","✔ OK")),"⚠ ADD DATE / AGREGA FECHA"))</f>
        <v>✔ OK</v>
      </c>
      <c r="N21" s="51" t="n">
        <f aca="false">IF(G21="",0,IF(ISNUMBER(B21),1,0))</f>
        <v>1</v>
      </c>
      <c r="O21" s="51" t="n">
        <f aca="false">IF(N21=1,YEAR(B21),0)</f>
        <v>2026</v>
      </c>
      <c r="P21" s="51" t="n">
        <f aca="false">IF(N21=1,YEAR(B21)*100+MONTH(B21),0)</f>
        <v>202608</v>
      </c>
      <c r="Q21" s="51" t="n">
        <f aca="false">IF(N21=1,IF(J21="No",1,0),0)</f>
        <v>0</v>
      </c>
    </row>
    <row r="22" customFormat="false" ht="15" hidden="false" customHeight="false" outlineLevel="0" collapsed="false">
      <c r="B22" s="52" t="n">
        <v>46275</v>
      </c>
      <c r="C22" s="53" t="s">
        <v>127</v>
      </c>
      <c r="D22" s="53" t="s">
        <v>128</v>
      </c>
      <c r="E22" s="53" t="s">
        <v>112</v>
      </c>
      <c r="F22" s="53" t="s">
        <v>78</v>
      </c>
      <c r="G22" s="54" t="n">
        <v>14.99</v>
      </c>
      <c r="H22" s="55"/>
      <c r="I22" s="56" t="n">
        <f aca="false">IF(G22="","",G22*IF(H22="",1,H22))</f>
        <v>14.99</v>
      </c>
      <c r="J22" s="57" t="s">
        <v>79</v>
      </c>
      <c r="K22" s="53"/>
      <c r="L22" s="58" t="str">
        <f aca="false">IF(G22="","",IF(ISNUMBER(B22),IF(E22="","⚠ ADD CATEGORY / AGREGA CATEGORÍA",IF(J22="No","⚠ SAVE RECEIPT / GUARDA RECIBO","✔ OK")),"⚠ ADD DATE / AGREGA FECHA"))</f>
        <v>✔ OK</v>
      </c>
      <c r="N22" s="51" t="n">
        <f aca="false">IF(G22="",0,IF(ISNUMBER(B22),1,0))</f>
        <v>1</v>
      </c>
      <c r="O22" s="51" t="n">
        <f aca="false">IF(N22=1,YEAR(B22),0)</f>
        <v>2026</v>
      </c>
      <c r="P22" s="51" t="n">
        <f aca="false">IF(N22=1,YEAR(B22)*100+MONTH(B22),0)</f>
        <v>202609</v>
      </c>
      <c r="Q22" s="51" t="n">
        <f aca="false">IF(N22=1,IF(J22="No",1,0),0)</f>
        <v>0</v>
      </c>
    </row>
    <row r="23" customFormat="false" ht="15" hidden="false" customHeight="false" outlineLevel="0" collapsed="false">
      <c r="B23" s="52" t="n">
        <v>46289</v>
      </c>
      <c r="C23" s="53" t="s">
        <v>129</v>
      </c>
      <c r="D23" s="53" t="s">
        <v>130</v>
      </c>
      <c r="E23" s="53" t="s">
        <v>86</v>
      </c>
      <c r="F23" s="53" t="s">
        <v>78</v>
      </c>
      <c r="G23" s="54" t="n">
        <v>22.49</v>
      </c>
      <c r="H23" s="55"/>
      <c r="I23" s="56" t="n">
        <f aca="false">IF(G23="","",G23*IF(H23="",1,H23))</f>
        <v>22.49</v>
      </c>
      <c r="J23" s="57"/>
      <c r="K23" s="53"/>
      <c r="L23" s="58" t="str">
        <f aca="false">IF(G23="","",IF(ISNUMBER(B23),IF(E23="","⚠ ADD CATEGORY / AGREGA CATEGORÍA",IF(J23="No","⚠ SAVE RECEIPT / GUARDA RECIBO","✔ OK")),"⚠ ADD DATE / AGREGA FECHA"))</f>
        <v>✔ OK</v>
      </c>
      <c r="N23" s="51" t="n">
        <f aca="false">IF(G23="",0,IF(ISNUMBER(B23),1,0))</f>
        <v>1</v>
      </c>
      <c r="O23" s="51" t="n">
        <f aca="false">IF(N23=1,YEAR(B23),0)</f>
        <v>2026</v>
      </c>
      <c r="P23" s="51" t="n">
        <f aca="false">IF(N23=1,YEAR(B23)*100+MONTH(B23),0)</f>
        <v>202609</v>
      </c>
      <c r="Q23" s="51" t="n">
        <f aca="false">IF(N23=1,IF(J23="No",1,0),0)</f>
        <v>0</v>
      </c>
    </row>
    <row r="24" customFormat="false" ht="15" hidden="false" customHeight="false" outlineLevel="0" collapsed="false">
      <c r="B24" s="52"/>
      <c r="C24" s="53"/>
      <c r="D24" s="53"/>
      <c r="E24" s="53"/>
      <c r="F24" s="53"/>
      <c r="G24" s="54"/>
      <c r="H24" s="55"/>
      <c r="I24" s="56" t="str">
        <f aca="false">IF(G24="","",G24*IF(H24="",1,H24))</f>
        <v/>
      </c>
      <c r="J24" s="57"/>
      <c r="K24" s="53"/>
      <c r="L24" s="58" t="str">
        <f aca="false">IF(G24="","",IF(ISNUMBER(B24),IF(E24="","⚠ ADD CATEGORY / AGREGA CATEGORÍA",IF(J24="No","⚠ SAVE RECEIPT / GUARDA RECIBO","✔ OK")),"⚠ ADD DATE / AGREGA FECHA"))</f>
        <v/>
      </c>
      <c r="N24" s="51" t="n">
        <f aca="false">IF(G24="",0,IF(ISNUMBER(B24),1,0))</f>
        <v>0</v>
      </c>
      <c r="O24" s="51" t="n">
        <f aca="false">IF(N24=1,YEAR(B24),0)</f>
        <v>0</v>
      </c>
      <c r="P24" s="51" t="n">
        <f aca="false">IF(N24=1,YEAR(B24)*100+MONTH(B24),0)</f>
        <v>0</v>
      </c>
      <c r="Q24" s="51" t="n">
        <f aca="false">IF(N24=1,IF(J24="No",1,0),0)</f>
        <v>0</v>
      </c>
    </row>
    <row r="25" customFormat="false" ht="15" hidden="false" customHeight="false" outlineLevel="0" collapsed="false">
      <c r="B25" s="52"/>
      <c r="C25" s="53"/>
      <c r="D25" s="53"/>
      <c r="E25" s="53"/>
      <c r="F25" s="53"/>
      <c r="G25" s="54"/>
      <c r="H25" s="55"/>
      <c r="I25" s="56" t="str">
        <f aca="false">IF(G25="","",G25*IF(H25="",1,H25))</f>
        <v/>
      </c>
      <c r="J25" s="57"/>
      <c r="K25" s="53"/>
      <c r="L25" s="58" t="str">
        <f aca="false">IF(G25="","",IF(ISNUMBER(B25),IF(E25="","⚠ ADD CATEGORY / AGREGA CATEGORÍA",IF(J25="No","⚠ SAVE RECEIPT / GUARDA RECIBO","✔ OK")),"⚠ ADD DATE / AGREGA FECHA"))</f>
        <v/>
      </c>
      <c r="N25" s="51" t="n">
        <f aca="false">IF(G25="",0,IF(ISNUMBER(B25),1,0))</f>
        <v>0</v>
      </c>
      <c r="O25" s="51" t="n">
        <f aca="false">IF(N25=1,YEAR(B25),0)</f>
        <v>0</v>
      </c>
      <c r="P25" s="51" t="n">
        <f aca="false">IF(N25=1,YEAR(B25)*100+MONTH(B25),0)</f>
        <v>0</v>
      </c>
      <c r="Q25" s="51" t="n">
        <f aca="false">IF(N25=1,IF(J25="No",1,0),0)</f>
        <v>0</v>
      </c>
    </row>
    <row r="26" customFormat="false" ht="15" hidden="false" customHeight="false" outlineLevel="0" collapsed="false">
      <c r="B26" s="52"/>
      <c r="C26" s="53"/>
      <c r="D26" s="53"/>
      <c r="E26" s="53"/>
      <c r="F26" s="53"/>
      <c r="G26" s="54"/>
      <c r="H26" s="55"/>
      <c r="I26" s="56" t="str">
        <f aca="false">IF(G26="","",G26*IF(H26="",1,H26))</f>
        <v/>
      </c>
      <c r="J26" s="57"/>
      <c r="K26" s="53"/>
      <c r="L26" s="58" t="str">
        <f aca="false">IF(G26="","",IF(ISNUMBER(B26),IF(E26="","⚠ ADD CATEGORY / AGREGA CATEGORÍA",IF(J26="No","⚠ SAVE RECEIPT / GUARDA RECIBO","✔ OK")),"⚠ ADD DATE / AGREGA FECHA"))</f>
        <v/>
      </c>
      <c r="N26" s="51" t="n">
        <f aca="false">IF(G26="",0,IF(ISNUMBER(B26),1,0))</f>
        <v>0</v>
      </c>
      <c r="O26" s="51" t="n">
        <f aca="false">IF(N26=1,YEAR(B26),0)</f>
        <v>0</v>
      </c>
      <c r="P26" s="51" t="n">
        <f aca="false">IF(N26=1,YEAR(B26)*100+MONTH(B26),0)</f>
        <v>0</v>
      </c>
      <c r="Q26" s="51" t="n">
        <f aca="false">IF(N26=1,IF(J26="No",1,0),0)</f>
        <v>0</v>
      </c>
    </row>
    <row r="27" customFormat="false" ht="15" hidden="false" customHeight="false" outlineLevel="0" collapsed="false">
      <c r="B27" s="52"/>
      <c r="C27" s="53"/>
      <c r="D27" s="53"/>
      <c r="E27" s="53"/>
      <c r="F27" s="53"/>
      <c r="G27" s="54"/>
      <c r="H27" s="55"/>
      <c r="I27" s="56" t="str">
        <f aca="false">IF(G27="","",G27*IF(H27="",1,H27))</f>
        <v/>
      </c>
      <c r="J27" s="57"/>
      <c r="K27" s="53"/>
      <c r="L27" s="58" t="str">
        <f aca="false">IF(G27="","",IF(ISNUMBER(B27),IF(E27="","⚠ ADD CATEGORY / AGREGA CATEGORÍA",IF(J27="No","⚠ SAVE RECEIPT / GUARDA RECIBO","✔ OK")),"⚠ ADD DATE / AGREGA FECHA"))</f>
        <v/>
      </c>
      <c r="N27" s="51" t="n">
        <f aca="false">IF(G27="",0,IF(ISNUMBER(B27),1,0))</f>
        <v>0</v>
      </c>
      <c r="O27" s="51" t="n">
        <f aca="false">IF(N27=1,YEAR(B27),0)</f>
        <v>0</v>
      </c>
      <c r="P27" s="51" t="n">
        <f aca="false">IF(N27=1,YEAR(B27)*100+MONTH(B27),0)</f>
        <v>0</v>
      </c>
      <c r="Q27" s="51" t="n">
        <f aca="false">IF(N27=1,IF(J27="No",1,0),0)</f>
        <v>0</v>
      </c>
    </row>
    <row r="28" customFormat="false" ht="15" hidden="false" customHeight="false" outlineLevel="0" collapsed="false">
      <c r="B28" s="52"/>
      <c r="C28" s="53"/>
      <c r="D28" s="53"/>
      <c r="E28" s="53"/>
      <c r="F28" s="53"/>
      <c r="G28" s="54"/>
      <c r="H28" s="55"/>
      <c r="I28" s="56" t="str">
        <f aca="false">IF(G28="","",G28*IF(H28="",1,H28))</f>
        <v/>
      </c>
      <c r="J28" s="57"/>
      <c r="K28" s="53"/>
      <c r="L28" s="58" t="str">
        <f aca="false">IF(G28="","",IF(ISNUMBER(B28),IF(E28="","⚠ ADD CATEGORY / AGREGA CATEGORÍA",IF(J28="No","⚠ SAVE RECEIPT / GUARDA RECIBO","✔ OK")),"⚠ ADD DATE / AGREGA FECHA"))</f>
        <v/>
      </c>
      <c r="N28" s="51" t="n">
        <f aca="false">IF(G28="",0,IF(ISNUMBER(B28),1,0))</f>
        <v>0</v>
      </c>
      <c r="O28" s="51" t="n">
        <f aca="false">IF(N28=1,YEAR(B28),0)</f>
        <v>0</v>
      </c>
      <c r="P28" s="51" t="n">
        <f aca="false">IF(N28=1,YEAR(B28)*100+MONTH(B28),0)</f>
        <v>0</v>
      </c>
      <c r="Q28" s="51" t="n">
        <f aca="false">IF(N28=1,IF(J28="No",1,0),0)</f>
        <v>0</v>
      </c>
    </row>
    <row r="29" customFormat="false" ht="15" hidden="false" customHeight="false" outlineLevel="0" collapsed="false">
      <c r="B29" s="52"/>
      <c r="C29" s="53"/>
      <c r="D29" s="53"/>
      <c r="E29" s="53"/>
      <c r="F29" s="53"/>
      <c r="G29" s="54"/>
      <c r="H29" s="55"/>
      <c r="I29" s="56" t="str">
        <f aca="false">IF(G29="","",G29*IF(H29="",1,H29))</f>
        <v/>
      </c>
      <c r="J29" s="57"/>
      <c r="K29" s="53"/>
      <c r="L29" s="58" t="str">
        <f aca="false">IF(G29="","",IF(ISNUMBER(B29),IF(E29="","⚠ ADD CATEGORY / AGREGA CATEGORÍA",IF(J29="No","⚠ SAVE RECEIPT / GUARDA RECIBO","✔ OK")),"⚠ ADD DATE / AGREGA FECHA"))</f>
        <v/>
      </c>
      <c r="N29" s="51" t="n">
        <f aca="false">IF(G29="",0,IF(ISNUMBER(B29),1,0))</f>
        <v>0</v>
      </c>
      <c r="O29" s="51" t="n">
        <f aca="false">IF(N29=1,YEAR(B29),0)</f>
        <v>0</v>
      </c>
      <c r="P29" s="51" t="n">
        <f aca="false">IF(N29=1,YEAR(B29)*100+MONTH(B29),0)</f>
        <v>0</v>
      </c>
      <c r="Q29" s="51" t="n">
        <f aca="false">IF(N29=1,IF(J29="No",1,0),0)</f>
        <v>0</v>
      </c>
    </row>
    <row r="30" customFormat="false" ht="15" hidden="false" customHeight="false" outlineLevel="0" collapsed="false">
      <c r="B30" s="52"/>
      <c r="C30" s="53"/>
      <c r="D30" s="53"/>
      <c r="E30" s="53"/>
      <c r="F30" s="53"/>
      <c r="G30" s="54"/>
      <c r="H30" s="55"/>
      <c r="I30" s="56" t="str">
        <f aca="false">IF(G30="","",G30*IF(H30="",1,H30))</f>
        <v/>
      </c>
      <c r="J30" s="57"/>
      <c r="K30" s="53"/>
      <c r="L30" s="58" t="str">
        <f aca="false">IF(G30="","",IF(ISNUMBER(B30),IF(E30="","⚠ ADD CATEGORY / AGREGA CATEGORÍA",IF(J30="No","⚠ SAVE RECEIPT / GUARDA RECIBO","✔ OK")),"⚠ ADD DATE / AGREGA FECHA"))</f>
        <v/>
      </c>
      <c r="N30" s="51" t="n">
        <f aca="false">IF(G30="",0,IF(ISNUMBER(B30),1,0))</f>
        <v>0</v>
      </c>
      <c r="O30" s="51" t="n">
        <f aca="false">IF(N30=1,YEAR(B30),0)</f>
        <v>0</v>
      </c>
      <c r="P30" s="51" t="n">
        <f aca="false">IF(N30=1,YEAR(B30)*100+MONTH(B30),0)</f>
        <v>0</v>
      </c>
      <c r="Q30" s="51" t="n">
        <f aca="false">IF(N30=1,IF(J30="No",1,0),0)</f>
        <v>0</v>
      </c>
    </row>
    <row r="31" customFormat="false" ht="15" hidden="false" customHeight="false" outlineLevel="0" collapsed="false">
      <c r="B31" s="52"/>
      <c r="C31" s="53"/>
      <c r="D31" s="53"/>
      <c r="E31" s="53"/>
      <c r="F31" s="53"/>
      <c r="G31" s="54"/>
      <c r="H31" s="55"/>
      <c r="I31" s="56" t="str">
        <f aca="false">IF(G31="","",G31*IF(H31="",1,H31))</f>
        <v/>
      </c>
      <c r="J31" s="57"/>
      <c r="K31" s="53"/>
      <c r="L31" s="58" t="str">
        <f aca="false">IF(G31="","",IF(ISNUMBER(B31),IF(E31="","⚠ ADD CATEGORY / AGREGA CATEGORÍA",IF(J31="No","⚠ SAVE RECEIPT / GUARDA RECIBO","✔ OK")),"⚠ ADD DATE / AGREGA FECHA"))</f>
        <v/>
      </c>
      <c r="N31" s="51" t="n">
        <f aca="false">IF(G31="",0,IF(ISNUMBER(B31),1,0))</f>
        <v>0</v>
      </c>
      <c r="O31" s="51" t="n">
        <f aca="false">IF(N31=1,YEAR(B31),0)</f>
        <v>0</v>
      </c>
      <c r="P31" s="51" t="n">
        <f aca="false">IF(N31=1,YEAR(B31)*100+MONTH(B31),0)</f>
        <v>0</v>
      </c>
      <c r="Q31" s="51" t="n">
        <f aca="false">IF(N31=1,IF(J31="No",1,0),0)</f>
        <v>0</v>
      </c>
    </row>
    <row r="32" customFormat="false" ht="15" hidden="false" customHeight="false" outlineLevel="0" collapsed="false">
      <c r="B32" s="52"/>
      <c r="C32" s="53"/>
      <c r="D32" s="53"/>
      <c r="E32" s="53"/>
      <c r="F32" s="53"/>
      <c r="G32" s="54"/>
      <c r="H32" s="55"/>
      <c r="I32" s="56" t="str">
        <f aca="false">IF(G32="","",G32*IF(H32="",1,H32))</f>
        <v/>
      </c>
      <c r="J32" s="57"/>
      <c r="K32" s="53"/>
      <c r="L32" s="58" t="str">
        <f aca="false">IF(G32="","",IF(ISNUMBER(B32),IF(E32="","⚠ ADD CATEGORY / AGREGA CATEGORÍA",IF(J32="No","⚠ SAVE RECEIPT / GUARDA RECIBO","✔ OK")),"⚠ ADD DATE / AGREGA FECHA"))</f>
        <v/>
      </c>
      <c r="N32" s="51" t="n">
        <f aca="false">IF(G32="",0,IF(ISNUMBER(B32),1,0))</f>
        <v>0</v>
      </c>
      <c r="O32" s="51" t="n">
        <f aca="false">IF(N32=1,YEAR(B32),0)</f>
        <v>0</v>
      </c>
      <c r="P32" s="51" t="n">
        <f aca="false">IF(N32=1,YEAR(B32)*100+MONTH(B32),0)</f>
        <v>0</v>
      </c>
      <c r="Q32" s="51" t="n">
        <f aca="false">IF(N32=1,IF(J32="No",1,0),0)</f>
        <v>0</v>
      </c>
    </row>
    <row r="33" customFormat="false" ht="15" hidden="false" customHeight="false" outlineLevel="0" collapsed="false">
      <c r="B33" s="52"/>
      <c r="C33" s="53"/>
      <c r="D33" s="53"/>
      <c r="E33" s="53"/>
      <c r="F33" s="53"/>
      <c r="G33" s="54"/>
      <c r="H33" s="55"/>
      <c r="I33" s="56" t="str">
        <f aca="false">IF(G33="","",G33*IF(H33="",1,H33))</f>
        <v/>
      </c>
      <c r="J33" s="57"/>
      <c r="K33" s="53"/>
      <c r="L33" s="58" t="str">
        <f aca="false">IF(G33="","",IF(ISNUMBER(B33),IF(E33="","⚠ ADD CATEGORY / AGREGA CATEGORÍA",IF(J33="No","⚠ SAVE RECEIPT / GUARDA RECIBO","✔ OK")),"⚠ ADD DATE / AGREGA FECHA"))</f>
        <v/>
      </c>
      <c r="N33" s="51" t="n">
        <f aca="false">IF(G33="",0,IF(ISNUMBER(B33),1,0))</f>
        <v>0</v>
      </c>
      <c r="O33" s="51" t="n">
        <f aca="false">IF(N33=1,YEAR(B33),0)</f>
        <v>0</v>
      </c>
      <c r="P33" s="51" t="n">
        <f aca="false">IF(N33=1,YEAR(B33)*100+MONTH(B33),0)</f>
        <v>0</v>
      </c>
      <c r="Q33" s="51" t="n">
        <f aca="false">IF(N33=1,IF(J33="No",1,0),0)</f>
        <v>0</v>
      </c>
    </row>
    <row r="34" customFormat="false" ht="15" hidden="false" customHeight="false" outlineLevel="0" collapsed="false">
      <c r="B34" s="52"/>
      <c r="C34" s="53"/>
      <c r="D34" s="53"/>
      <c r="E34" s="53"/>
      <c r="F34" s="53"/>
      <c r="G34" s="54"/>
      <c r="H34" s="55"/>
      <c r="I34" s="56" t="str">
        <f aca="false">IF(G34="","",G34*IF(H34="",1,H34))</f>
        <v/>
      </c>
      <c r="J34" s="57"/>
      <c r="K34" s="53"/>
      <c r="L34" s="58" t="str">
        <f aca="false">IF(G34="","",IF(ISNUMBER(B34),IF(E34="","⚠ ADD CATEGORY / AGREGA CATEGORÍA",IF(J34="No","⚠ SAVE RECEIPT / GUARDA RECIBO","✔ OK")),"⚠ ADD DATE / AGREGA FECHA"))</f>
        <v/>
      </c>
      <c r="N34" s="51" t="n">
        <f aca="false">IF(G34="",0,IF(ISNUMBER(B34),1,0))</f>
        <v>0</v>
      </c>
      <c r="O34" s="51" t="n">
        <f aca="false">IF(N34=1,YEAR(B34),0)</f>
        <v>0</v>
      </c>
      <c r="P34" s="51" t="n">
        <f aca="false">IF(N34=1,YEAR(B34)*100+MONTH(B34),0)</f>
        <v>0</v>
      </c>
      <c r="Q34" s="51" t="n">
        <f aca="false">IF(N34=1,IF(J34="No",1,0),0)</f>
        <v>0</v>
      </c>
    </row>
    <row r="35" customFormat="false" ht="15" hidden="false" customHeight="false" outlineLevel="0" collapsed="false">
      <c r="B35" s="52"/>
      <c r="C35" s="53"/>
      <c r="D35" s="53"/>
      <c r="E35" s="53"/>
      <c r="F35" s="53"/>
      <c r="G35" s="54"/>
      <c r="H35" s="55"/>
      <c r="I35" s="56" t="str">
        <f aca="false">IF(G35="","",G35*IF(H35="",1,H35))</f>
        <v/>
      </c>
      <c r="J35" s="57"/>
      <c r="K35" s="53"/>
      <c r="L35" s="58" t="str">
        <f aca="false">IF(G35="","",IF(ISNUMBER(B35),IF(E35="","⚠ ADD CATEGORY / AGREGA CATEGORÍA",IF(J35="No","⚠ SAVE RECEIPT / GUARDA RECIBO","✔ OK")),"⚠ ADD DATE / AGREGA FECHA"))</f>
        <v/>
      </c>
      <c r="N35" s="51" t="n">
        <f aca="false">IF(G35="",0,IF(ISNUMBER(B35),1,0))</f>
        <v>0</v>
      </c>
      <c r="O35" s="51" t="n">
        <f aca="false">IF(N35=1,YEAR(B35),0)</f>
        <v>0</v>
      </c>
      <c r="P35" s="51" t="n">
        <f aca="false">IF(N35=1,YEAR(B35)*100+MONTH(B35),0)</f>
        <v>0</v>
      </c>
      <c r="Q35" s="51" t="n">
        <f aca="false">IF(N35=1,IF(J35="No",1,0),0)</f>
        <v>0</v>
      </c>
    </row>
    <row r="36" customFormat="false" ht="15" hidden="false" customHeight="false" outlineLevel="0" collapsed="false">
      <c r="B36" s="52"/>
      <c r="C36" s="53"/>
      <c r="D36" s="53"/>
      <c r="E36" s="53"/>
      <c r="F36" s="53"/>
      <c r="G36" s="54"/>
      <c r="H36" s="55"/>
      <c r="I36" s="56" t="str">
        <f aca="false">IF(G36="","",G36*IF(H36="",1,H36))</f>
        <v/>
      </c>
      <c r="J36" s="57"/>
      <c r="K36" s="53"/>
      <c r="L36" s="58" t="str">
        <f aca="false">IF(G36="","",IF(ISNUMBER(B36),IF(E36="","⚠ ADD CATEGORY / AGREGA CATEGORÍA",IF(J36="No","⚠ SAVE RECEIPT / GUARDA RECIBO","✔ OK")),"⚠ ADD DATE / AGREGA FECHA"))</f>
        <v/>
      </c>
      <c r="N36" s="51" t="n">
        <f aca="false">IF(G36="",0,IF(ISNUMBER(B36),1,0))</f>
        <v>0</v>
      </c>
      <c r="O36" s="51" t="n">
        <f aca="false">IF(N36=1,YEAR(B36),0)</f>
        <v>0</v>
      </c>
      <c r="P36" s="51" t="n">
        <f aca="false">IF(N36=1,YEAR(B36)*100+MONTH(B36),0)</f>
        <v>0</v>
      </c>
      <c r="Q36" s="51" t="n">
        <f aca="false">IF(N36=1,IF(J36="No",1,0),0)</f>
        <v>0</v>
      </c>
    </row>
    <row r="37" customFormat="false" ht="15" hidden="false" customHeight="false" outlineLevel="0" collapsed="false">
      <c r="B37" s="52"/>
      <c r="C37" s="53"/>
      <c r="D37" s="53"/>
      <c r="E37" s="53"/>
      <c r="F37" s="53"/>
      <c r="G37" s="54"/>
      <c r="H37" s="55"/>
      <c r="I37" s="56" t="str">
        <f aca="false">IF(G37="","",G37*IF(H37="",1,H37))</f>
        <v/>
      </c>
      <c r="J37" s="57"/>
      <c r="K37" s="53"/>
      <c r="L37" s="58" t="str">
        <f aca="false">IF(G37="","",IF(ISNUMBER(B37),IF(E37="","⚠ ADD CATEGORY / AGREGA CATEGORÍA",IF(J37="No","⚠ SAVE RECEIPT / GUARDA RECIBO","✔ OK")),"⚠ ADD DATE / AGREGA FECHA"))</f>
        <v/>
      </c>
      <c r="N37" s="51" t="n">
        <f aca="false">IF(G37="",0,IF(ISNUMBER(B37),1,0))</f>
        <v>0</v>
      </c>
      <c r="O37" s="51" t="n">
        <f aca="false">IF(N37=1,YEAR(B37),0)</f>
        <v>0</v>
      </c>
      <c r="P37" s="51" t="n">
        <f aca="false">IF(N37=1,YEAR(B37)*100+MONTH(B37),0)</f>
        <v>0</v>
      </c>
      <c r="Q37" s="51" t="n">
        <f aca="false">IF(N37=1,IF(J37="No",1,0),0)</f>
        <v>0</v>
      </c>
    </row>
    <row r="38" customFormat="false" ht="15" hidden="false" customHeight="false" outlineLevel="0" collapsed="false">
      <c r="B38" s="52"/>
      <c r="C38" s="53"/>
      <c r="D38" s="53"/>
      <c r="E38" s="53"/>
      <c r="F38" s="53"/>
      <c r="G38" s="54"/>
      <c r="H38" s="55"/>
      <c r="I38" s="56" t="str">
        <f aca="false">IF(G38="","",G38*IF(H38="",1,H38))</f>
        <v/>
      </c>
      <c r="J38" s="57"/>
      <c r="K38" s="53"/>
      <c r="L38" s="58" t="str">
        <f aca="false">IF(G38="","",IF(ISNUMBER(B38),IF(E38="","⚠ ADD CATEGORY / AGREGA CATEGORÍA",IF(J38="No","⚠ SAVE RECEIPT / GUARDA RECIBO","✔ OK")),"⚠ ADD DATE / AGREGA FECHA"))</f>
        <v/>
      </c>
      <c r="N38" s="51" t="n">
        <f aca="false">IF(G38="",0,IF(ISNUMBER(B38),1,0))</f>
        <v>0</v>
      </c>
      <c r="O38" s="51" t="n">
        <f aca="false">IF(N38=1,YEAR(B38),0)</f>
        <v>0</v>
      </c>
      <c r="P38" s="51" t="n">
        <f aca="false">IF(N38=1,YEAR(B38)*100+MONTH(B38),0)</f>
        <v>0</v>
      </c>
      <c r="Q38" s="51" t="n">
        <f aca="false">IF(N38=1,IF(J38="No",1,0),0)</f>
        <v>0</v>
      </c>
    </row>
    <row r="39" customFormat="false" ht="15" hidden="false" customHeight="false" outlineLevel="0" collapsed="false">
      <c r="B39" s="52"/>
      <c r="C39" s="53"/>
      <c r="D39" s="53"/>
      <c r="E39" s="53"/>
      <c r="F39" s="53"/>
      <c r="G39" s="54"/>
      <c r="H39" s="55"/>
      <c r="I39" s="56" t="str">
        <f aca="false">IF(G39="","",G39*IF(H39="",1,H39))</f>
        <v/>
      </c>
      <c r="J39" s="57"/>
      <c r="K39" s="53"/>
      <c r="L39" s="58" t="str">
        <f aca="false">IF(G39="","",IF(ISNUMBER(B39),IF(E39="","⚠ ADD CATEGORY / AGREGA CATEGORÍA",IF(J39="No","⚠ SAVE RECEIPT / GUARDA RECIBO","✔ OK")),"⚠ ADD DATE / AGREGA FECHA"))</f>
        <v/>
      </c>
      <c r="N39" s="51" t="n">
        <f aca="false">IF(G39="",0,IF(ISNUMBER(B39),1,0))</f>
        <v>0</v>
      </c>
      <c r="O39" s="51" t="n">
        <f aca="false">IF(N39=1,YEAR(B39),0)</f>
        <v>0</v>
      </c>
      <c r="P39" s="51" t="n">
        <f aca="false">IF(N39=1,YEAR(B39)*100+MONTH(B39),0)</f>
        <v>0</v>
      </c>
      <c r="Q39" s="51" t="n">
        <f aca="false">IF(N39=1,IF(J39="No",1,0),0)</f>
        <v>0</v>
      </c>
    </row>
    <row r="40" customFormat="false" ht="15" hidden="false" customHeight="false" outlineLevel="0" collapsed="false">
      <c r="B40" s="52"/>
      <c r="C40" s="53"/>
      <c r="D40" s="53"/>
      <c r="E40" s="53"/>
      <c r="F40" s="53"/>
      <c r="G40" s="54"/>
      <c r="H40" s="55"/>
      <c r="I40" s="56" t="str">
        <f aca="false">IF(G40="","",G40*IF(H40="",1,H40))</f>
        <v/>
      </c>
      <c r="J40" s="57"/>
      <c r="K40" s="53"/>
      <c r="L40" s="58" t="str">
        <f aca="false">IF(G40="","",IF(ISNUMBER(B40),IF(E40="","⚠ ADD CATEGORY / AGREGA CATEGORÍA",IF(J40="No","⚠ SAVE RECEIPT / GUARDA RECIBO","✔ OK")),"⚠ ADD DATE / AGREGA FECHA"))</f>
        <v/>
      </c>
      <c r="N40" s="51" t="n">
        <f aca="false">IF(G40="",0,IF(ISNUMBER(B40),1,0))</f>
        <v>0</v>
      </c>
      <c r="O40" s="51" t="n">
        <f aca="false">IF(N40=1,YEAR(B40),0)</f>
        <v>0</v>
      </c>
      <c r="P40" s="51" t="n">
        <f aca="false">IF(N40=1,YEAR(B40)*100+MONTH(B40),0)</f>
        <v>0</v>
      </c>
      <c r="Q40" s="51" t="n">
        <f aca="false">IF(N40=1,IF(J40="No",1,0),0)</f>
        <v>0</v>
      </c>
    </row>
    <row r="41" customFormat="false" ht="15" hidden="false" customHeight="false" outlineLevel="0" collapsed="false">
      <c r="B41" s="52"/>
      <c r="C41" s="53"/>
      <c r="D41" s="53"/>
      <c r="E41" s="53"/>
      <c r="F41" s="53"/>
      <c r="G41" s="54"/>
      <c r="H41" s="55"/>
      <c r="I41" s="56" t="str">
        <f aca="false">IF(G41="","",G41*IF(H41="",1,H41))</f>
        <v/>
      </c>
      <c r="J41" s="57"/>
      <c r="K41" s="53"/>
      <c r="L41" s="58" t="str">
        <f aca="false">IF(G41="","",IF(ISNUMBER(B41),IF(E41="","⚠ ADD CATEGORY / AGREGA CATEGORÍA",IF(J41="No","⚠ SAVE RECEIPT / GUARDA RECIBO","✔ OK")),"⚠ ADD DATE / AGREGA FECHA"))</f>
        <v/>
      </c>
      <c r="N41" s="51" t="n">
        <f aca="false">IF(G41="",0,IF(ISNUMBER(B41),1,0))</f>
        <v>0</v>
      </c>
      <c r="O41" s="51" t="n">
        <f aca="false">IF(N41=1,YEAR(B41),0)</f>
        <v>0</v>
      </c>
      <c r="P41" s="51" t="n">
        <f aca="false">IF(N41=1,YEAR(B41)*100+MONTH(B41),0)</f>
        <v>0</v>
      </c>
      <c r="Q41" s="51" t="n">
        <f aca="false">IF(N41=1,IF(J41="No",1,0),0)</f>
        <v>0</v>
      </c>
    </row>
    <row r="42" customFormat="false" ht="15" hidden="false" customHeight="false" outlineLevel="0" collapsed="false">
      <c r="B42" s="52"/>
      <c r="C42" s="53"/>
      <c r="D42" s="53"/>
      <c r="E42" s="53"/>
      <c r="F42" s="53"/>
      <c r="G42" s="54"/>
      <c r="H42" s="55"/>
      <c r="I42" s="56" t="str">
        <f aca="false">IF(G42="","",G42*IF(H42="",1,H42))</f>
        <v/>
      </c>
      <c r="J42" s="57"/>
      <c r="K42" s="53"/>
      <c r="L42" s="58" t="str">
        <f aca="false">IF(G42="","",IF(ISNUMBER(B42),IF(E42="","⚠ ADD CATEGORY / AGREGA CATEGORÍA",IF(J42="No","⚠ SAVE RECEIPT / GUARDA RECIBO","✔ OK")),"⚠ ADD DATE / AGREGA FECHA"))</f>
        <v/>
      </c>
      <c r="N42" s="51" t="n">
        <f aca="false">IF(G42="",0,IF(ISNUMBER(B42),1,0))</f>
        <v>0</v>
      </c>
      <c r="O42" s="51" t="n">
        <f aca="false">IF(N42=1,YEAR(B42),0)</f>
        <v>0</v>
      </c>
      <c r="P42" s="51" t="n">
        <f aca="false">IF(N42=1,YEAR(B42)*100+MONTH(B42),0)</f>
        <v>0</v>
      </c>
      <c r="Q42" s="51" t="n">
        <f aca="false">IF(N42=1,IF(J42="No",1,0),0)</f>
        <v>0</v>
      </c>
    </row>
    <row r="43" customFormat="false" ht="15" hidden="false" customHeight="false" outlineLevel="0" collapsed="false">
      <c r="B43" s="52"/>
      <c r="C43" s="53"/>
      <c r="D43" s="53"/>
      <c r="E43" s="53"/>
      <c r="F43" s="53"/>
      <c r="G43" s="54"/>
      <c r="H43" s="55"/>
      <c r="I43" s="56" t="str">
        <f aca="false">IF(G43="","",G43*IF(H43="",1,H43))</f>
        <v/>
      </c>
      <c r="J43" s="57"/>
      <c r="K43" s="53"/>
      <c r="L43" s="58" t="str">
        <f aca="false">IF(G43="","",IF(ISNUMBER(B43),IF(E43="","⚠ ADD CATEGORY / AGREGA CATEGORÍA",IF(J43="No","⚠ SAVE RECEIPT / GUARDA RECIBO","✔ OK")),"⚠ ADD DATE / AGREGA FECHA"))</f>
        <v/>
      </c>
      <c r="N43" s="51" t="n">
        <f aca="false">IF(G43="",0,IF(ISNUMBER(B43),1,0))</f>
        <v>0</v>
      </c>
      <c r="O43" s="51" t="n">
        <f aca="false">IF(N43=1,YEAR(B43),0)</f>
        <v>0</v>
      </c>
      <c r="P43" s="51" t="n">
        <f aca="false">IF(N43=1,YEAR(B43)*100+MONTH(B43),0)</f>
        <v>0</v>
      </c>
      <c r="Q43" s="51" t="n">
        <f aca="false">IF(N43=1,IF(J43="No",1,0),0)</f>
        <v>0</v>
      </c>
    </row>
    <row r="44" customFormat="false" ht="15" hidden="false" customHeight="false" outlineLevel="0" collapsed="false">
      <c r="B44" s="52"/>
      <c r="C44" s="53"/>
      <c r="D44" s="53"/>
      <c r="E44" s="53"/>
      <c r="F44" s="53"/>
      <c r="G44" s="54"/>
      <c r="H44" s="55"/>
      <c r="I44" s="56" t="str">
        <f aca="false">IF(G44="","",G44*IF(H44="",1,H44))</f>
        <v/>
      </c>
      <c r="J44" s="57"/>
      <c r="K44" s="53"/>
      <c r="L44" s="58" t="str">
        <f aca="false">IF(G44="","",IF(ISNUMBER(B44),IF(E44="","⚠ ADD CATEGORY / AGREGA CATEGORÍA",IF(J44="No","⚠ SAVE RECEIPT / GUARDA RECIBO","✔ OK")),"⚠ ADD DATE / AGREGA FECHA"))</f>
        <v/>
      </c>
      <c r="N44" s="51" t="n">
        <f aca="false">IF(G44="",0,IF(ISNUMBER(B44),1,0))</f>
        <v>0</v>
      </c>
      <c r="O44" s="51" t="n">
        <f aca="false">IF(N44=1,YEAR(B44),0)</f>
        <v>0</v>
      </c>
      <c r="P44" s="51" t="n">
        <f aca="false">IF(N44=1,YEAR(B44)*100+MONTH(B44),0)</f>
        <v>0</v>
      </c>
      <c r="Q44" s="51" t="n">
        <f aca="false">IF(N44=1,IF(J44="No",1,0),0)</f>
        <v>0</v>
      </c>
    </row>
    <row r="45" customFormat="false" ht="15" hidden="false" customHeight="false" outlineLevel="0" collapsed="false">
      <c r="B45" s="52"/>
      <c r="C45" s="53"/>
      <c r="D45" s="53"/>
      <c r="E45" s="53"/>
      <c r="F45" s="53"/>
      <c r="G45" s="54"/>
      <c r="H45" s="55"/>
      <c r="I45" s="56" t="str">
        <f aca="false">IF(G45="","",G45*IF(H45="",1,H45))</f>
        <v/>
      </c>
      <c r="J45" s="57"/>
      <c r="K45" s="53"/>
      <c r="L45" s="58" t="str">
        <f aca="false">IF(G45="","",IF(ISNUMBER(B45),IF(E45="","⚠ ADD CATEGORY / AGREGA CATEGORÍA",IF(J45="No","⚠ SAVE RECEIPT / GUARDA RECIBO","✔ OK")),"⚠ ADD DATE / AGREGA FECHA"))</f>
        <v/>
      </c>
      <c r="N45" s="51" t="n">
        <f aca="false">IF(G45="",0,IF(ISNUMBER(B45),1,0))</f>
        <v>0</v>
      </c>
      <c r="O45" s="51" t="n">
        <f aca="false">IF(N45=1,YEAR(B45),0)</f>
        <v>0</v>
      </c>
      <c r="P45" s="51" t="n">
        <f aca="false">IF(N45=1,YEAR(B45)*100+MONTH(B45),0)</f>
        <v>0</v>
      </c>
      <c r="Q45" s="51" t="n">
        <f aca="false">IF(N45=1,IF(J45="No",1,0),0)</f>
        <v>0</v>
      </c>
    </row>
    <row r="46" customFormat="false" ht="15" hidden="false" customHeight="false" outlineLevel="0" collapsed="false">
      <c r="B46" s="52"/>
      <c r="C46" s="53"/>
      <c r="D46" s="53"/>
      <c r="E46" s="53"/>
      <c r="F46" s="53"/>
      <c r="G46" s="54"/>
      <c r="H46" s="55"/>
      <c r="I46" s="56" t="str">
        <f aca="false">IF(G46="","",G46*IF(H46="",1,H46))</f>
        <v/>
      </c>
      <c r="J46" s="57"/>
      <c r="K46" s="53"/>
      <c r="L46" s="58" t="str">
        <f aca="false">IF(G46="","",IF(ISNUMBER(B46),IF(E46="","⚠ ADD CATEGORY / AGREGA CATEGORÍA",IF(J46="No","⚠ SAVE RECEIPT / GUARDA RECIBO","✔ OK")),"⚠ ADD DATE / AGREGA FECHA"))</f>
        <v/>
      </c>
      <c r="N46" s="51" t="n">
        <f aca="false">IF(G46="",0,IF(ISNUMBER(B46),1,0))</f>
        <v>0</v>
      </c>
      <c r="O46" s="51" t="n">
        <f aca="false">IF(N46=1,YEAR(B46),0)</f>
        <v>0</v>
      </c>
      <c r="P46" s="51" t="n">
        <f aca="false">IF(N46=1,YEAR(B46)*100+MONTH(B46),0)</f>
        <v>0</v>
      </c>
      <c r="Q46" s="51" t="n">
        <f aca="false">IF(N46=1,IF(J46="No",1,0),0)</f>
        <v>0</v>
      </c>
    </row>
    <row r="47" customFormat="false" ht="15" hidden="false" customHeight="false" outlineLevel="0" collapsed="false">
      <c r="B47" s="52"/>
      <c r="C47" s="53"/>
      <c r="D47" s="53"/>
      <c r="E47" s="53"/>
      <c r="F47" s="53"/>
      <c r="G47" s="54"/>
      <c r="H47" s="55"/>
      <c r="I47" s="56" t="str">
        <f aca="false">IF(G47="","",G47*IF(H47="",1,H47))</f>
        <v/>
      </c>
      <c r="J47" s="57"/>
      <c r="K47" s="53"/>
      <c r="L47" s="58" t="str">
        <f aca="false">IF(G47="","",IF(ISNUMBER(B47),IF(E47="","⚠ ADD CATEGORY / AGREGA CATEGORÍA",IF(J47="No","⚠ SAVE RECEIPT / GUARDA RECIBO","✔ OK")),"⚠ ADD DATE / AGREGA FECHA"))</f>
        <v/>
      </c>
      <c r="N47" s="51" t="n">
        <f aca="false">IF(G47="",0,IF(ISNUMBER(B47),1,0))</f>
        <v>0</v>
      </c>
      <c r="O47" s="51" t="n">
        <f aca="false">IF(N47=1,YEAR(B47),0)</f>
        <v>0</v>
      </c>
      <c r="P47" s="51" t="n">
        <f aca="false">IF(N47=1,YEAR(B47)*100+MONTH(B47),0)</f>
        <v>0</v>
      </c>
      <c r="Q47" s="51" t="n">
        <f aca="false">IF(N47=1,IF(J47="No",1,0),0)</f>
        <v>0</v>
      </c>
    </row>
    <row r="48" customFormat="false" ht="15" hidden="false" customHeight="false" outlineLevel="0" collapsed="false">
      <c r="B48" s="52"/>
      <c r="C48" s="53"/>
      <c r="D48" s="53"/>
      <c r="E48" s="53"/>
      <c r="F48" s="53"/>
      <c r="G48" s="54"/>
      <c r="H48" s="55"/>
      <c r="I48" s="56" t="str">
        <f aca="false">IF(G48="","",G48*IF(H48="",1,H48))</f>
        <v/>
      </c>
      <c r="J48" s="57"/>
      <c r="K48" s="53"/>
      <c r="L48" s="58" t="str">
        <f aca="false">IF(G48="","",IF(ISNUMBER(B48),IF(E48="","⚠ ADD CATEGORY / AGREGA CATEGORÍA",IF(J48="No","⚠ SAVE RECEIPT / GUARDA RECIBO","✔ OK")),"⚠ ADD DATE / AGREGA FECHA"))</f>
        <v/>
      </c>
      <c r="N48" s="51" t="n">
        <f aca="false">IF(G48="",0,IF(ISNUMBER(B48),1,0))</f>
        <v>0</v>
      </c>
      <c r="O48" s="51" t="n">
        <f aca="false">IF(N48=1,YEAR(B48),0)</f>
        <v>0</v>
      </c>
      <c r="P48" s="51" t="n">
        <f aca="false">IF(N48=1,YEAR(B48)*100+MONTH(B48),0)</f>
        <v>0</v>
      </c>
      <c r="Q48" s="51" t="n">
        <f aca="false">IF(N48=1,IF(J48="No",1,0),0)</f>
        <v>0</v>
      </c>
    </row>
    <row r="49" customFormat="false" ht="15" hidden="false" customHeight="false" outlineLevel="0" collapsed="false">
      <c r="B49" s="52"/>
      <c r="C49" s="53"/>
      <c r="D49" s="53"/>
      <c r="E49" s="53"/>
      <c r="F49" s="53"/>
      <c r="G49" s="54"/>
      <c r="H49" s="55"/>
      <c r="I49" s="56" t="str">
        <f aca="false">IF(G49="","",G49*IF(H49="",1,H49))</f>
        <v/>
      </c>
      <c r="J49" s="57"/>
      <c r="K49" s="53"/>
      <c r="L49" s="58" t="str">
        <f aca="false">IF(G49="","",IF(ISNUMBER(B49),IF(E49="","⚠ ADD CATEGORY / AGREGA CATEGORÍA",IF(J49="No","⚠ SAVE RECEIPT / GUARDA RECIBO","✔ OK")),"⚠ ADD DATE / AGREGA FECHA"))</f>
        <v/>
      </c>
      <c r="N49" s="51" t="n">
        <f aca="false">IF(G49="",0,IF(ISNUMBER(B49),1,0))</f>
        <v>0</v>
      </c>
      <c r="O49" s="51" t="n">
        <f aca="false">IF(N49=1,YEAR(B49),0)</f>
        <v>0</v>
      </c>
      <c r="P49" s="51" t="n">
        <f aca="false">IF(N49=1,YEAR(B49)*100+MONTH(B49),0)</f>
        <v>0</v>
      </c>
      <c r="Q49" s="51" t="n">
        <f aca="false">IF(N49=1,IF(J49="No",1,0),0)</f>
        <v>0</v>
      </c>
    </row>
    <row r="50" customFormat="false" ht="15" hidden="false" customHeight="false" outlineLevel="0" collapsed="false">
      <c r="B50" s="52"/>
      <c r="C50" s="53"/>
      <c r="D50" s="53"/>
      <c r="E50" s="53"/>
      <c r="F50" s="53"/>
      <c r="G50" s="54"/>
      <c r="H50" s="55"/>
      <c r="I50" s="56" t="str">
        <f aca="false">IF(G50="","",G50*IF(H50="",1,H50))</f>
        <v/>
      </c>
      <c r="J50" s="57"/>
      <c r="K50" s="53"/>
      <c r="L50" s="58" t="str">
        <f aca="false">IF(G50="","",IF(ISNUMBER(B50),IF(E50="","⚠ ADD CATEGORY / AGREGA CATEGORÍA",IF(J50="No","⚠ SAVE RECEIPT / GUARDA RECIBO","✔ OK")),"⚠ ADD DATE / AGREGA FECHA"))</f>
        <v/>
      </c>
      <c r="N50" s="51" t="n">
        <f aca="false">IF(G50="",0,IF(ISNUMBER(B50),1,0))</f>
        <v>0</v>
      </c>
      <c r="O50" s="51" t="n">
        <f aca="false">IF(N50=1,YEAR(B50),0)</f>
        <v>0</v>
      </c>
      <c r="P50" s="51" t="n">
        <f aca="false">IF(N50=1,YEAR(B50)*100+MONTH(B50),0)</f>
        <v>0</v>
      </c>
      <c r="Q50" s="51" t="n">
        <f aca="false">IF(N50=1,IF(J50="No",1,0),0)</f>
        <v>0</v>
      </c>
    </row>
    <row r="51" customFormat="false" ht="15" hidden="false" customHeight="false" outlineLevel="0" collapsed="false">
      <c r="B51" s="52"/>
      <c r="C51" s="53"/>
      <c r="D51" s="53"/>
      <c r="E51" s="53"/>
      <c r="F51" s="53"/>
      <c r="G51" s="54"/>
      <c r="H51" s="55"/>
      <c r="I51" s="56" t="str">
        <f aca="false">IF(G51="","",G51*IF(H51="",1,H51))</f>
        <v/>
      </c>
      <c r="J51" s="57"/>
      <c r="K51" s="53"/>
      <c r="L51" s="58" t="str">
        <f aca="false">IF(G51="","",IF(ISNUMBER(B51),IF(E51="","⚠ ADD CATEGORY / AGREGA CATEGORÍA",IF(J51="No","⚠ SAVE RECEIPT / GUARDA RECIBO","✔ OK")),"⚠ ADD DATE / AGREGA FECHA"))</f>
        <v/>
      </c>
      <c r="N51" s="51" t="n">
        <f aca="false">IF(G51="",0,IF(ISNUMBER(B51),1,0))</f>
        <v>0</v>
      </c>
      <c r="O51" s="51" t="n">
        <f aca="false">IF(N51=1,YEAR(B51),0)</f>
        <v>0</v>
      </c>
      <c r="P51" s="51" t="n">
        <f aca="false">IF(N51=1,YEAR(B51)*100+MONTH(B51),0)</f>
        <v>0</v>
      </c>
      <c r="Q51" s="51" t="n">
        <f aca="false">IF(N51=1,IF(J51="No",1,0),0)</f>
        <v>0</v>
      </c>
    </row>
    <row r="52" customFormat="false" ht="15" hidden="false" customHeight="false" outlineLevel="0" collapsed="false">
      <c r="B52" s="52"/>
      <c r="C52" s="53"/>
      <c r="D52" s="53"/>
      <c r="E52" s="53"/>
      <c r="F52" s="53"/>
      <c r="G52" s="54"/>
      <c r="H52" s="55"/>
      <c r="I52" s="56" t="str">
        <f aca="false">IF(G52="","",G52*IF(H52="",1,H52))</f>
        <v/>
      </c>
      <c r="J52" s="57"/>
      <c r="K52" s="53"/>
      <c r="L52" s="58" t="str">
        <f aca="false">IF(G52="","",IF(ISNUMBER(B52),IF(E52="","⚠ ADD CATEGORY / AGREGA CATEGORÍA",IF(J52="No","⚠ SAVE RECEIPT / GUARDA RECIBO","✔ OK")),"⚠ ADD DATE / AGREGA FECHA"))</f>
        <v/>
      </c>
      <c r="N52" s="51" t="n">
        <f aca="false">IF(G52="",0,IF(ISNUMBER(B52),1,0))</f>
        <v>0</v>
      </c>
      <c r="O52" s="51" t="n">
        <f aca="false">IF(N52=1,YEAR(B52),0)</f>
        <v>0</v>
      </c>
      <c r="P52" s="51" t="n">
        <f aca="false">IF(N52=1,YEAR(B52)*100+MONTH(B52),0)</f>
        <v>0</v>
      </c>
      <c r="Q52" s="51" t="n">
        <f aca="false">IF(N52=1,IF(J52="No",1,0),0)</f>
        <v>0</v>
      </c>
    </row>
    <row r="53" customFormat="false" ht="15" hidden="false" customHeight="false" outlineLevel="0" collapsed="false">
      <c r="B53" s="52"/>
      <c r="C53" s="53"/>
      <c r="D53" s="53"/>
      <c r="E53" s="53"/>
      <c r="F53" s="53"/>
      <c r="G53" s="54"/>
      <c r="H53" s="55"/>
      <c r="I53" s="56" t="str">
        <f aca="false">IF(G53="","",G53*IF(H53="",1,H53))</f>
        <v/>
      </c>
      <c r="J53" s="57"/>
      <c r="K53" s="53"/>
      <c r="L53" s="58" t="str">
        <f aca="false">IF(G53="","",IF(ISNUMBER(B53),IF(E53="","⚠ ADD CATEGORY / AGREGA CATEGORÍA",IF(J53="No","⚠ SAVE RECEIPT / GUARDA RECIBO","✔ OK")),"⚠ ADD DATE / AGREGA FECHA"))</f>
        <v/>
      </c>
      <c r="N53" s="51" t="n">
        <f aca="false">IF(G53="",0,IF(ISNUMBER(B53),1,0))</f>
        <v>0</v>
      </c>
      <c r="O53" s="51" t="n">
        <f aca="false">IF(N53=1,YEAR(B53),0)</f>
        <v>0</v>
      </c>
      <c r="P53" s="51" t="n">
        <f aca="false">IF(N53=1,YEAR(B53)*100+MONTH(B53),0)</f>
        <v>0</v>
      </c>
      <c r="Q53" s="51" t="n">
        <f aca="false">IF(N53=1,IF(J53="No",1,0),0)</f>
        <v>0</v>
      </c>
    </row>
    <row r="54" customFormat="false" ht="15" hidden="false" customHeight="false" outlineLevel="0" collapsed="false">
      <c r="B54" s="52"/>
      <c r="C54" s="53"/>
      <c r="D54" s="53"/>
      <c r="E54" s="53"/>
      <c r="F54" s="53"/>
      <c r="G54" s="54"/>
      <c r="H54" s="55"/>
      <c r="I54" s="56" t="str">
        <f aca="false">IF(G54="","",G54*IF(H54="",1,H54))</f>
        <v/>
      </c>
      <c r="J54" s="57"/>
      <c r="K54" s="53"/>
      <c r="L54" s="58" t="str">
        <f aca="false">IF(G54="","",IF(ISNUMBER(B54),IF(E54="","⚠ ADD CATEGORY / AGREGA CATEGORÍA",IF(J54="No","⚠ SAVE RECEIPT / GUARDA RECIBO","✔ OK")),"⚠ ADD DATE / AGREGA FECHA"))</f>
        <v/>
      </c>
      <c r="N54" s="51" t="n">
        <f aca="false">IF(G54="",0,IF(ISNUMBER(B54),1,0))</f>
        <v>0</v>
      </c>
      <c r="O54" s="51" t="n">
        <f aca="false">IF(N54=1,YEAR(B54),0)</f>
        <v>0</v>
      </c>
      <c r="P54" s="51" t="n">
        <f aca="false">IF(N54=1,YEAR(B54)*100+MONTH(B54),0)</f>
        <v>0</v>
      </c>
      <c r="Q54" s="51" t="n">
        <f aca="false">IF(N54=1,IF(J54="No",1,0),0)</f>
        <v>0</v>
      </c>
    </row>
    <row r="55" customFormat="false" ht="15" hidden="false" customHeight="false" outlineLevel="0" collapsed="false">
      <c r="B55" s="52"/>
      <c r="C55" s="53"/>
      <c r="D55" s="53"/>
      <c r="E55" s="53"/>
      <c r="F55" s="53"/>
      <c r="G55" s="54"/>
      <c r="H55" s="55"/>
      <c r="I55" s="56" t="str">
        <f aca="false">IF(G55="","",G55*IF(H55="",1,H55))</f>
        <v/>
      </c>
      <c r="J55" s="57"/>
      <c r="K55" s="53"/>
      <c r="L55" s="58" t="str">
        <f aca="false">IF(G55="","",IF(ISNUMBER(B55),IF(E55="","⚠ ADD CATEGORY / AGREGA CATEGORÍA",IF(J55="No","⚠ SAVE RECEIPT / GUARDA RECIBO","✔ OK")),"⚠ ADD DATE / AGREGA FECHA"))</f>
        <v/>
      </c>
      <c r="N55" s="51" t="n">
        <f aca="false">IF(G55="",0,IF(ISNUMBER(B55),1,0))</f>
        <v>0</v>
      </c>
      <c r="O55" s="51" t="n">
        <f aca="false">IF(N55=1,YEAR(B55),0)</f>
        <v>0</v>
      </c>
      <c r="P55" s="51" t="n">
        <f aca="false">IF(N55=1,YEAR(B55)*100+MONTH(B55),0)</f>
        <v>0</v>
      </c>
      <c r="Q55" s="51" t="n">
        <f aca="false">IF(N55=1,IF(J55="No",1,0),0)</f>
        <v>0</v>
      </c>
    </row>
    <row r="56" customFormat="false" ht="15" hidden="false" customHeight="false" outlineLevel="0" collapsed="false">
      <c r="B56" s="52"/>
      <c r="C56" s="53"/>
      <c r="D56" s="53"/>
      <c r="E56" s="53"/>
      <c r="F56" s="53"/>
      <c r="G56" s="54"/>
      <c r="H56" s="55"/>
      <c r="I56" s="56" t="str">
        <f aca="false">IF(G56="","",G56*IF(H56="",1,H56))</f>
        <v/>
      </c>
      <c r="J56" s="57"/>
      <c r="K56" s="53"/>
      <c r="L56" s="58" t="str">
        <f aca="false">IF(G56="","",IF(ISNUMBER(B56),IF(E56="","⚠ ADD CATEGORY / AGREGA CATEGORÍA",IF(J56="No","⚠ SAVE RECEIPT / GUARDA RECIBO","✔ OK")),"⚠ ADD DATE / AGREGA FECHA"))</f>
        <v/>
      </c>
      <c r="N56" s="51" t="n">
        <f aca="false">IF(G56="",0,IF(ISNUMBER(B56),1,0))</f>
        <v>0</v>
      </c>
      <c r="O56" s="51" t="n">
        <f aca="false">IF(N56=1,YEAR(B56),0)</f>
        <v>0</v>
      </c>
      <c r="P56" s="51" t="n">
        <f aca="false">IF(N56=1,YEAR(B56)*100+MONTH(B56),0)</f>
        <v>0</v>
      </c>
      <c r="Q56" s="51" t="n">
        <f aca="false">IF(N56=1,IF(J56="No",1,0),0)</f>
        <v>0</v>
      </c>
    </row>
    <row r="57" customFormat="false" ht="15" hidden="false" customHeight="false" outlineLevel="0" collapsed="false">
      <c r="B57" s="52"/>
      <c r="C57" s="53"/>
      <c r="D57" s="53"/>
      <c r="E57" s="53"/>
      <c r="F57" s="53"/>
      <c r="G57" s="54"/>
      <c r="H57" s="55"/>
      <c r="I57" s="56" t="str">
        <f aca="false">IF(G57="","",G57*IF(H57="",1,H57))</f>
        <v/>
      </c>
      <c r="J57" s="57"/>
      <c r="K57" s="53"/>
      <c r="L57" s="58" t="str">
        <f aca="false">IF(G57="","",IF(ISNUMBER(B57),IF(E57="","⚠ ADD CATEGORY / AGREGA CATEGORÍA",IF(J57="No","⚠ SAVE RECEIPT / GUARDA RECIBO","✔ OK")),"⚠ ADD DATE / AGREGA FECHA"))</f>
        <v/>
      </c>
      <c r="N57" s="51" t="n">
        <f aca="false">IF(G57="",0,IF(ISNUMBER(B57),1,0))</f>
        <v>0</v>
      </c>
      <c r="O57" s="51" t="n">
        <f aca="false">IF(N57=1,YEAR(B57),0)</f>
        <v>0</v>
      </c>
      <c r="P57" s="51" t="n">
        <f aca="false">IF(N57=1,YEAR(B57)*100+MONTH(B57),0)</f>
        <v>0</v>
      </c>
      <c r="Q57" s="51" t="n">
        <f aca="false">IF(N57=1,IF(J57="No",1,0),0)</f>
        <v>0</v>
      </c>
    </row>
    <row r="58" customFormat="false" ht="15" hidden="false" customHeight="false" outlineLevel="0" collapsed="false">
      <c r="B58" s="52"/>
      <c r="C58" s="53"/>
      <c r="D58" s="53"/>
      <c r="E58" s="53"/>
      <c r="F58" s="53"/>
      <c r="G58" s="54"/>
      <c r="H58" s="55"/>
      <c r="I58" s="56" t="str">
        <f aca="false">IF(G58="","",G58*IF(H58="",1,H58))</f>
        <v/>
      </c>
      <c r="J58" s="57"/>
      <c r="K58" s="53"/>
      <c r="L58" s="58" t="str">
        <f aca="false">IF(G58="","",IF(ISNUMBER(B58),IF(E58="","⚠ ADD CATEGORY / AGREGA CATEGORÍA",IF(J58="No","⚠ SAVE RECEIPT / GUARDA RECIBO","✔ OK")),"⚠ ADD DATE / AGREGA FECHA"))</f>
        <v/>
      </c>
      <c r="N58" s="51" t="n">
        <f aca="false">IF(G58="",0,IF(ISNUMBER(B58),1,0))</f>
        <v>0</v>
      </c>
      <c r="O58" s="51" t="n">
        <f aca="false">IF(N58=1,YEAR(B58),0)</f>
        <v>0</v>
      </c>
      <c r="P58" s="51" t="n">
        <f aca="false">IF(N58=1,YEAR(B58)*100+MONTH(B58),0)</f>
        <v>0</v>
      </c>
      <c r="Q58" s="51" t="n">
        <f aca="false">IF(N58=1,IF(J58="No",1,0),0)</f>
        <v>0</v>
      </c>
    </row>
    <row r="59" customFormat="false" ht="15" hidden="false" customHeight="false" outlineLevel="0" collapsed="false">
      <c r="B59" s="52"/>
      <c r="C59" s="53"/>
      <c r="D59" s="53"/>
      <c r="E59" s="53"/>
      <c r="F59" s="53"/>
      <c r="G59" s="54"/>
      <c r="H59" s="55"/>
      <c r="I59" s="56" t="str">
        <f aca="false">IF(G59="","",G59*IF(H59="",1,H59))</f>
        <v/>
      </c>
      <c r="J59" s="57"/>
      <c r="K59" s="53"/>
      <c r="L59" s="58" t="str">
        <f aca="false">IF(G59="","",IF(ISNUMBER(B59),IF(E59="","⚠ ADD CATEGORY / AGREGA CATEGORÍA",IF(J59="No","⚠ SAVE RECEIPT / GUARDA RECIBO","✔ OK")),"⚠ ADD DATE / AGREGA FECHA"))</f>
        <v/>
      </c>
      <c r="N59" s="51" t="n">
        <f aca="false">IF(G59="",0,IF(ISNUMBER(B59),1,0))</f>
        <v>0</v>
      </c>
      <c r="O59" s="51" t="n">
        <f aca="false">IF(N59=1,YEAR(B59),0)</f>
        <v>0</v>
      </c>
      <c r="P59" s="51" t="n">
        <f aca="false">IF(N59=1,YEAR(B59)*100+MONTH(B59),0)</f>
        <v>0</v>
      </c>
      <c r="Q59" s="51" t="n">
        <f aca="false">IF(N59=1,IF(J59="No",1,0),0)</f>
        <v>0</v>
      </c>
    </row>
    <row r="60" customFormat="false" ht="15" hidden="false" customHeight="false" outlineLevel="0" collapsed="false">
      <c r="B60" s="52"/>
      <c r="C60" s="53"/>
      <c r="D60" s="53"/>
      <c r="E60" s="53"/>
      <c r="F60" s="53"/>
      <c r="G60" s="54"/>
      <c r="H60" s="55"/>
      <c r="I60" s="56" t="str">
        <f aca="false">IF(G60="","",G60*IF(H60="",1,H60))</f>
        <v/>
      </c>
      <c r="J60" s="57"/>
      <c r="K60" s="53"/>
      <c r="L60" s="58" t="str">
        <f aca="false">IF(G60="","",IF(ISNUMBER(B60),IF(E60="","⚠ ADD CATEGORY / AGREGA CATEGORÍA",IF(J60="No","⚠ SAVE RECEIPT / GUARDA RECIBO","✔ OK")),"⚠ ADD DATE / AGREGA FECHA"))</f>
        <v/>
      </c>
      <c r="N60" s="51" t="n">
        <f aca="false">IF(G60="",0,IF(ISNUMBER(B60),1,0))</f>
        <v>0</v>
      </c>
      <c r="O60" s="51" t="n">
        <f aca="false">IF(N60=1,YEAR(B60),0)</f>
        <v>0</v>
      </c>
      <c r="P60" s="51" t="n">
        <f aca="false">IF(N60=1,YEAR(B60)*100+MONTH(B60),0)</f>
        <v>0</v>
      </c>
      <c r="Q60" s="51" t="n">
        <f aca="false">IF(N60=1,IF(J60="No",1,0),0)</f>
        <v>0</v>
      </c>
    </row>
    <row r="61" customFormat="false" ht="15" hidden="false" customHeight="false" outlineLevel="0" collapsed="false">
      <c r="B61" s="52"/>
      <c r="C61" s="53"/>
      <c r="D61" s="53"/>
      <c r="E61" s="53"/>
      <c r="F61" s="53"/>
      <c r="G61" s="54"/>
      <c r="H61" s="55"/>
      <c r="I61" s="56" t="str">
        <f aca="false">IF(G61="","",G61*IF(H61="",1,H61))</f>
        <v/>
      </c>
      <c r="J61" s="57"/>
      <c r="K61" s="53"/>
      <c r="L61" s="58" t="str">
        <f aca="false">IF(G61="","",IF(ISNUMBER(B61),IF(E61="","⚠ ADD CATEGORY / AGREGA CATEGORÍA",IF(J61="No","⚠ SAVE RECEIPT / GUARDA RECIBO","✔ OK")),"⚠ ADD DATE / AGREGA FECHA"))</f>
        <v/>
      </c>
      <c r="N61" s="51" t="n">
        <f aca="false">IF(G61="",0,IF(ISNUMBER(B61),1,0))</f>
        <v>0</v>
      </c>
      <c r="O61" s="51" t="n">
        <f aca="false">IF(N61=1,YEAR(B61),0)</f>
        <v>0</v>
      </c>
      <c r="P61" s="51" t="n">
        <f aca="false">IF(N61=1,YEAR(B61)*100+MONTH(B61),0)</f>
        <v>0</v>
      </c>
      <c r="Q61" s="51" t="n">
        <f aca="false">IF(N61=1,IF(J61="No",1,0),0)</f>
        <v>0</v>
      </c>
    </row>
    <row r="62" customFormat="false" ht="15" hidden="false" customHeight="false" outlineLevel="0" collapsed="false">
      <c r="B62" s="52"/>
      <c r="C62" s="53"/>
      <c r="D62" s="53"/>
      <c r="E62" s="53"/>
      <c r="F62" s="53"/>
      <c r="G62" s="54"/>
      <c r="H62" s="55"/>
      <c r="I62" s="56" t="str">
        <f aca="false">IF(G62="","",G62*IF(H62="",1,H62))</f>
        <v/>
      </c>
      <c r="J62" s="57"/>
      <c r="K62" s="53"/>
      <c r="L62" s="58" t="str">
        <f aca="false">IF(G62="","",IF(ISNUMBER(B62),IF(E62="","⚠ ADD CATEGORY / AGREGA CATEGORÍA",IF(J62="No","⚠ SAVE RECEIPT / GUARDA RECIBO","✔ OK")),"⚠ ADD DATE / AGREGA FECHA"))</f>
        <v/>
      </c>
      <c r="N62" s="51" t="n">
        <f aca="false">IF(G62="",0,IF(ISNUMBER(B62),1,0))</f>
        <v>0</v>
      </c>
      <c r="O62" s="51" t="n">
        <f aca="false">IF(N62=1,YEAR(B62),0)</f>
        <v>0</v>
      </c>
      <c r="P62" s="51" t="n">
        <f aca="false">IF(N62=1,YEAR(B62)*100+MONTH(B62),0)</f>
        <v>0</v>
      </c>
      <c r="Q62" s="51" t="n">
        <f aca="false">IF(N62=1,IF(J62="No",1,0),0)</f>
        <v>0</v>
      </c>
    </row>
    <row r="63" customFormat="false" ht="15" hidden="false" customHeight="false" outlineLevel="0" collapsed="false">
      <c r="B63" s="52"/>
      <c r="C63" s="53"/>
      <c r="D63" s="53"/>
      <c r="E63" s="53"/>
      <c r="F63" s="53"/>
      <c r="G63" s="54"/>
      <c r="H63" s="55"/>
      <c r="I63" s="56" t="str">
        <f aca="false">IF(G63="","",G63*IF(H63="",1,H63))</f>
        <v/>
      </c>
      <c r="J63" s="57"/>
      <c r="K63" s="53"/>
      <c r="L63" s="58" t="str">
        <f aca="false">IF(G63="","",IF(ISNUMBER(B63),IF(E63="","⚠ ADD CATEGORY / AGREGA CATEGORÍA",IF(J63="No","⚠ SAVE RECEIPT / GUARDA RECIBO","✔ OK")),"⚠ ADD DATE / AGREGA FECHA"))</f>
        <v/>
      </c>
      <c r="N63" s="51" t="n">
        <f aca="false">IF(G63="",0,IF(ISNUMBER(B63),1,0))</f>
        <v>0</v>
      </c>
      <c r="O63" s="51" t="n">
        <f aca="false">IF(N63=1,YEAR(B63),0)</f>
        <v>0</v>
      </c>
      <c r="P63" s="51" t="n">
        <f aca="false">IF(N63=1,YEAR(B63)*100+MONTH(B63),0)</f>
        <v>0</v>
      </c>
      <c r="Q63" s="51" t="n">
        <f aca="false">IF(N63=1,IF(J63="No",1,0),0)</f>
        <v>0</v>
      </c>
    </row>
    <row r="64" customFormat="false" ht="15" hidden="false" customHeight="false" outlineLevel="0" collapsed="false">
      <c r="B64" s="52"/>
      <c r="C64" s="53"/>
      <c r="D64" s="53"/>
      <c r="E64" s="53"/>
      <c r="F64" s="53"/>
      <c r="G64" s="54"/>
      <c r="H64" s="55"/>
      <c r="I64" s="56" t="str">
        <f aca="false">IF(G64="","",G64*IF(H64="",1,H64))</f>
        <v/>
      </c>
      <c r="J64" s="57"/>
      <c r="K64" s="53"/>
      <c r="L64" s="58" t="str">
        <f aca="false">IF(G64="","",IF(ISNUMBER(B64),IF(E64="","⚠ ADD CATEGORY / AGREGA CATEGORÍA",IF(J64="No","⚠ SAVE RECEIPT / GUARDA RECIBO","✔ OK")),"⚠ ADD DATE / AGREGA FECHA"))</f>
        <v/>
      </c>
      <c r="N64" s="51" t="n">
        <f aca="false">IF(G64="",0,IF(ISNUMBER(B64),1,0))</f>
        <v>0</v>
      </c>
      <c r="O64" s="51" t="n">
        <f aca="false">IF(N64=1,YEAR(B64),0)</f>
        <v>0</v>
      </c>
      <c r="P64" s="51" t="n">
        <f aca="false">IF(N64=1,YEAR(B64)*100+MONTH(B64),0)</f>
        <v>0</v>
      </c>
      <c r="Q64" s="51" t="n">
        <f aca="false">IF(N64=1,IF(J64="No",1,0),0)</f>
        <v>0</v>
      </c>
    </row>
    <row r="65" customFormat="false" ht="15" hidden="false" customHeight="false" outlineLevel="0" collapsed="false">
      <c r="B65" s="52"/>
      <c r="C65" s="53"/>
      <c r="D65" s="53"/>
      <c r="E65" s="53"/>
      <c r="F65" s="53"/>
      <c r="G65" s="54"/>
      <c r="H65" s="55"/>
      <c r="I65" s="56" t="str">
        <f aca="false">IF(G65="","",G65*IF(H65="",1,H65))</f>
        <v/>
      </c>
      <c r="J65" s="57"/>
      <c r="K65" s="53"/>
      <c r="L65" s="58" t="str">
        <f aca="false">IF(G65="","",IF(ISNUMBER(B65),IF(E65="","⚠ ADD CATEGORY / AGREGA CATEGORÍA",IF(J65="No","⚠ SAVE RECEIPT / GUARDA RECIBO","✔ OK")),"⚠ ADD DATE / AGREGA FECHA"))</f>
        <v/>
      </c>
      <c r="N65" s="51" t="n">
        <f aca="false">IF(G65="",0,IF(ISNUMBER(B65),1,0))</f>
        <v>0</v>
      </c>
      <c r="O65" s="51" t="n">
        <f aca="false">IF(N65=1,YEAR(B65),0)</f>
        <v>0</v>
      </c>
      <c r="P65" s="51" t="n">
        <f aca="false">IF(N65=1,YEAR(B65)*100+MONTH(B65),0)</f>
        <v>0</v>
      </c>
      <c r="Q65" s="51" t="n">
        <f aca="false">IF(N65=1,IF(J65="No",1,0),0)</f>
        <v>0</v>
      </c>
    </row>
    <row r="66" customFormat="false" ht="15" hidden="false" customHeight="false" outlineLevel="0" collapsed="false">
      <c r="B66" s="52"/>
      <c r="C66" s="53"/>
      <c r="D66" s="53"/>
      <c r="E66" s="53"/>
      <c r="F66" s="53"/>
      <c r="G66" s="54"/>
      <c r="H66" s="55"/>
      <c r="I66" s="56" t="str">
        <f aca="false">IF(G66="","",G66*IF(H66="",1,H66))</f>
        <v/>
      </c>
      <c r="J66" s="57"/>
      <c r="K66" s="53"/>
      <c r="L66" s="58" t="str">
        <f aca="false">IF(G66="","",IF(ISNUMBER(B66),IF(E66="","⚠ ADD CATEGORY / AGREGA CATEGORÍA",IF(J66="No","⚠ SAVE RECEIPT / GUARDA RECIBO","✔ OK")),"⚠ ADD DATE / AGREGA FECHA"))</f>
        <v/>
      </c>
      <c r="N66" s="51" t="n">
        <f aca="false">IF(G66="",0,IF(ISNUMBER(B66),1,0))</f>
        <v>0</v>
      </c>
      <c r="O66" s="51" t="n">
        <f aca="false">IF(N66=1,YEAR(B66),0)</f>
        <v>0</v>
      </c>
      <c r="P66" s="51" t="n">
        <f aca="false">IF(N66=1,YEAR(B66)*100+MONTH(B66),0)</f>
        <v>0</v>
      </c>
      <c r="Q66" s="51" t="n">
        <f aca="false">IF(N66=1,IF(J66="No",1,0),0)</f>
        <v>0</v>
      </c>
    </row>
    <row r="67" customFormat="false" ht="15" hidden="false" customHeight="false" outlineLevel="0" collapsed="false">
      <c r="B67" s="52"/>
      <c r="C67" s="53"/>
      <c r="D67" s="53"/>
      <c r="E67" s="53"/>
      <c r="F67" s="53"/>
      <c r="G67" s="54"/>
      <c r="H67" s="55"/>
      <c r="I67" s="56" t="str">
        <f aca="false">IF(G67="","",G67*IF(H67="",1,H67))</f>
        <v/>
      </c>
      <c r="J67" s="57"/>
      <c r="K67" s="53"/>
      <c r="L67" s="58" t="str">
        <f aca="false">IF(G67="","",IF(ISNUMBER(B67),IF(E67="","⚠ ADD CATEGORY / AGREGA CATEGORÍA",IF(J67="No","⚠ SAVE RECEIPT / GUARDA RECIBO","✔ OK")),"⚠ ADD DATE / AGREGA FECHA"))</f>
        <v/>
      </c>
      <c r="N67" s="51" t="n">
        <f aca="false">IF(G67="",0,IF(ISNUMBER(B67),1,0))</f>
        <v>0</v>
      </c>
      <c r="O67" s="51" t="n">
        <f aca="false">IF(N67=1,YEAR(B67),0)</f>
        <v>0</v>
      </c>
      <c r="P67" s="51" t="n">
        <f aca="false">IF(N67=1,YEAR(B67)*100+MONTH(B67),0)</f>
        <v>0</v>
      </c>
      <c r="Q67" s="51" t="n">
        <f aca="false">IF(N67=1,IF(J67="No",1,0),0)</f>
        <v>0</v>
      </c>
    </row>
    <row r="68" customFormat="false" ht="15" hidden="false" customHeight="false" outlineLevel="0" collapsed="false">
      <c r="B68" s="52"/>
      <c r="C68" s="53"/>
      <c r="D68" s="53"/>
      <c r="E68" s="53"/>
      <c r="F68" s="53"/>
      <c r="G68" s="54"/>
      <c r="H68" s="55"/>
      <c r="I68" s="56" t="str">
        <f aca="false">IF(G68="","",G68*IF(H68="",1,H68))</f>
        <v/>
      </c>
      <c r="J68" s="57"/>
      <c r="K68" s="53"/>
      <c r="L68" s="58" t="str">
        <f aca="false">IF(G68="","",IF(ISNUMBER(B68),IF(E68="","⚠ ADD CATEGORY / AGREGA CATEGORÍA",IF(J68="No","⚠ SAVE RECEIPT / GUARDA RECIBO","✔ OK")),"⚠ ADD DATE / AGREGA FECHA"))</f>
        <v/>
      </c>
      <c r="N68" s="51" t="n">
        <f aca="false">IF(G68="",0,IF(ISNUMBER(B68),1,0))</f>
        <v>0</v>
      </c>
      <c r="O68" s="51" t="n">
        <f aca="false">IF(N68=1,YEAR(B68),0)</f>
        <v>0</v>
      </c>
      <c r="P68" s="51" t="n">
        <f aca="false">IF(N68=1,YEAR(B68)*100+MONTH(B68),0)</f>
        <v>0</v>
      </c>
      <c r="Q68" s="51" t="n">
        <f aca="false">IF(N68=1,IF(J68="No",1,0),0)</f>
        <v>0</v>
      </c>
    </row>
    <row r="69" customFormat="false" ht="15" hidden="false" customHeight="false" outlineLevel="0" collapsed="false">
      <c r="B69" s="52"/>
      <c r="C69" s="53"/>
      <c r="D69" s="53"/>
      <c r="E69" s="53"/>
      <c r="F69" s="53"/>
      <c r="G69" s="54"/>
      <c r="H69" s="55"/>
      <c r="I69" s="56" t="str">
        <f aca="false">IF(G69="","",G69*IF(H69="",1,H69))</f>
        <v/>
      </c>
      <c r="J69" s="57"/>
      <c r="K69" s="53"/>
      <c r="L69" s="58" t="str">
        <f aca="false">IF(G69="","",IF(ISNUMBER(B69),IF(E69="","⚠ ADD CATEGORY / AGREGA CATEGORÍA",IF(J69="No","⚠ SAVE RECEIPT / GUARDA RECIBO","✔ OK")),"⚠ ADD DATE / AGREGA FECHA"))</f>
        <v/>
      </c>
      <c r="N69" s="51" t="n">
        <f aca="false">IF(G69="",0,IF(ISNUMBER(B69),1,0))</f>
        <v>0</v>
      </c>
      <c r="O69" s="51" t="n">
        <f aca="false">IF(N69=1,YEAR(B69),0)</f>
        <v>0</v>
      </c>
      <c r="P69" s="51" t="n">
        <f aca="false">IF(N69=1,YEAR(B69)*100+MONTH(B69),0)</f>
        <v>0</v>
      </c>
      <c r="Q69" s="51" t="n">
        <f aca="false">IF(N69=1,IF(J69="No",1,0),0)</f>
        <v>0</v>
      </c>
    </row>
    <row r="70" customFormat="false" ht="15" hidden="false" customHeight="false" outlineLevel="0" collapsed="false">
      <c r="B70" s="52"/>
      <c r="C70" s="53"/>
      <c r="D70" s="53"/>
      <c r="E70" s="53"/>
      <c r="F70" s="53"/>
      <c r="G70" s="54"/>
      <c r="H70" s="55"/>
      <c r="I70" s="56" t="str">
        <f aca="false">IF(G70="","",G70*IF(H70="",1,H70))</f>
        <v/>
      </c>
      <c r="J70" s="57"/>
      <c r="K70" s="53"/>
      <c r="L70" s="58" t="str">
        <f aca="false">IF(G70="","",IF(ISNUMBER(B70),IF(E70="","⚠ ADD CATEGORY / AGREGA CATEGORÍA",IF(J70="No","⚠ SAVE RECEIPT / GUARDA RECIBO","✔ OK")),"⚠ ADD DATE / AGREGA FECHA"))</f>
        <v/>
      </c>
      <c r="N70" s="51" t="n">
        <f aca="false">IF(G70="",0,IF(ISNUMBER(B70),1,0))</f>
        <v>0</v>
      </c>
      <c r="O70" s="51" t="n">
        <f aca="false">IF(N70=1,YEAR(B70),0)</f>
        <v>0</v>
      </c>
      <c r="P70" s="51" t="n">
        <f aca="false">IF(N70=1,YEAR(B70)*100+MONTH(B70),0)</f>
        <v>0</v>
      </c>
      <c r="Q70" s="51" t="n">
        <f aca="false">IF(N70=1,IF(J70="No",1,0),0)</f>
        <v>0</v>
      </c>
    </row>
    <row r="71" customFormat="false" ht="15" hidden="false" customHeight="false" outlineLevel="0" collapsed="false">
      <c r="B71" s="52"/>
      <c r="C71" s="53"/>
      <c r="D71" s="53"/>
      <c r="E71" s="53"/>
      <c r="F71" s="53"/>
      <c r="G71" s="54"/>
      <c r="H71" s="55"/>
      <c r="I71" s="56" t="str">
        <f aca="false">IF(G71="","",G71*IF(H71="",1,H71))</f>
        <v/>
      </c>
      <c r="J71" s="57"/>
      <c r="K71" s="53"/>
      <c r="L71" s="58" t="str">
        <f aca="false">IF(G71="","",IF(ISNUMBER(B71),IF(E71="","⚠ ADD CATEGORY / AGREGA CATEGORÍA",IF(J71="No","⚠ SAVE RECEIPT / GUARDA RECIBO","✔ OK")),"⚠ ADD DATE / AGREGA FECHA"))</f>
        <v/>
      </c>
      <c r="N71" s="51" t="n">
        <f aca="false">IF(G71="",0,IF(ISNUMBER(B71),1,0))</f>
        <v>0</v>
      </c>
      <c r="O71" s="51" t="n">
        <f aca="false">IF(N71=1,YEAR(B71),0)</f>
        <v>0</v>
      </c>
      <c r="P71" s="51" t="n">
        <f aca="false">IF(N71=1,YEAR(B71)*100+MONTH(B71),0)</f>
        <v>0</v>
      </c>
      <c r="Q71" s="51" t="n">
        <f aca="false">IF(N71=1,IF(J71="No",1,0),0)</f>
        <v>0</v>
      </c>
    </row>
    <row r="72" customFormat="false" ht="15" hidden="false" customHeight="false" outlineLevel="0" collapsed="false">
      <c r="B72" s="52"/>
      <c r="C72" s="53"/>
      <c r="D72" s="53"/>
      <c r="E72" s="53"/>
      <c r="F72" s="53"/>
      <c r="G72" s="54"/>
      <c r="H72" s="55"/>
      <c r="I72" s="56" t="str">
        <f aca="false">IF(G72="","",G72*IF(H72="",1,H72))</f>
        <v/>
      </c>
      <c r="J72" s="57"/>
      <c r="K72" s="53"/>
      <c r="L72" s="58" t="str">
        <f aca="false">IF(G72="","",IF(ISNUMBER(B72),IF(E72="","⚠ ADD CATEGORY / AGREGA CATEGORÍA",IF(J72="No","⚠ SAVE RECEIPT / GUARDA RECIBO","✔ OK")),"⚠ ADD DATE / AGREGA FECHA"))</f>
        <v/>
      </c>
      <c r="N72" s="51" t="n">
        <f aca="false">IF(G72="",0,IF(ISNUMBER(B72),1,0))</f>
        <v>0</v>
      </c>
      <c r="O72" s="51" t="n">
        <f aca="false">IF(N72=1,YEAR(B72),0)</f>
        <v>0</v>
      </c>
      <c r="P72" s="51" t="n">
        <f aca="false">IF(N72=1,YEAR(B72)*100+MONTH(B72),0)</f>
        <v>0</v>
      </c>
      <c r="Q72" s="51" t="n">
        <f aca="false">IF(N72=1,IF(J72="No",1,0),0)</f>
        <v>0</v>
      </c>
    </row>
    <row r="73" customFormat="false" ht="15" hidden="false" customHeight="false" outlineLevel="0" collapsed="false">
      <c r="B73" s="52"/>
      <c r="C73" s="53"/>
      <c r="D73" s="53"/>
      <c r="E73" s="53"/>
      <c r="F73" s="53"/>
      <c r="G73" s="54"/>
      <c r="H73" s="55"/>
      <c r="I73" s="56" t="str">
        <f aca="false">IF(G73="","",G73*IF(H73="",1,H73))</f>
        <v/>
      </c>
      <c r="J73" s="57"/>
      <c r="K73" s="53"/>
      <c r="L73" s="58" t="str">
        <f aca="false">IF(G73="","",IF(ISNUMBER(B73),IF(E73="","⚠ ADD CATEGORY / AGREGA CATEGORÍA",IF(J73="No","⚠ SAVE RECEIPT / GUARDA RECIBO","✔ OK")),"⚠ ADD DATE / AGREGA FECHA"))</f>
        <v/>
      </c>
      <c r="N73" s="51" t="n">
        <f aca="false">IF(G73="",0,IF(ISNUMBER(B73),1,0))</f>
        <v>0</v>
      </c>
      <c r="O73" s="51" t="n">
        <f aca="false">IF(N73=1,YEAR(B73),0)</f>
        <v>0</v>
      </c>
      <c r="P73" s="51" t="n">
        <f aca="false">IF(N73=1,YEAR(B73)*100+MONTH(B73),0)</f>
        <v>0</v>
      </c>
      <c r="Q73" s="51" t="n">
        <f aca="false">IF(N73=1,IF(J73="No",1,0),0)</f>
        <v>0</v>
      </c>
    </row>
    <row r="74" customFormat="false" ht="15" hidden="false" customHeight="false" outlineLevel="0" collapsed="false">
      <c r="B74" s="52"/>
      <c r="C74" s="53"/>
      <c r="D74" s="53"/>
      <c r="E74" s="53"/>
      <c r="F74" s="53"/>
      <c r="G74" s="54"/>
      <c r="H74" s="55"/>
      <c r="I74" s="56" t="str">
        <f aca="false">IF(G74="","",G74*IF(H74="",1,H74))</f>
        <v/>
      </c>
      <c r="J74" s="57"/>
      <c r="K74" s="53"/>
      <c r="L74" s="58" t="str">
        <f aca="false">IF(G74="","",IF(ISNUMBER(B74),IF(E74="","⚠ ADD CATEGORY / AGREGA CATEGORÍA",IF(J74="No","⚠ SAVE RECEIPT / GUARDA RECIBO","✔ OK")),"⚠ ADD DATE / AGREGA FECHA"))</f>
        <v/>
      </c>
      <c r="N74" s="51" t="n">
        <f aca="false">IF(G74="",0,IF(ISNUMBER(B74),1,0))</f>
        <v>0</v>
      </c>
      <c r="O74" s="51" t="n">
        <f aca="false">IF(N74=1,YEAR(B74),0)</f>
        <v>0</v>
      </c>
      <c r="P74" s="51" t="n">
        <f aca="false">IF(N74=1,YEAR(B74)*100+MONTH(B74),0)</f>
        <v>0</v>
      </c>
      <c r="Q74" s="51" t="n">
        <f aca="false">IF(N74=1,IF(J74="No",1,0),0)</f>
        <v>0</v>
      </c>
    </row>
    <row r="75" customFormat="false" ht="15" hidden="false" customHeight="false" outlineLevel="0" collapsed="false">
      <c r="B75" s="52"/>
      <c r="C75" s="53"/>
      <c r="D75" s="53"/>
      <c r="E75" s="53"/>
      <c r="F75" s="53"/>
      <c r="G75" s="54"/>
      <c r="H75" s="55"/>
      <c r="I75" s="56" t="str">
        <f aca="false">IF(G75="","",G75*IF(H75="",1,H75))</f>
        <v/>
      </c>
      <c r="J75" s="57"/>
      <c r="K75" s="53"/>
      <c r="L75" s="58" t="str">
        <f aca="false">IF(G75="","",IF(ISNUMBER(B75),IF(E75="","⚠ ADD CATEGORY / AGREGA CATEGORÍA",IF(J75="No","⚠ SAVE RECEIPT / GUARDA RECIBO","✔ OK")),"⚠ ADD DATE / AGREGA FECHA"))</f>
        <v/>
      </c>
      <c r="N75" s="51" t="n">
        <f aca="false">IF(G75="",0,IF(ISNUMBER(B75),1,0))</f>
        <v>0</v>
      </c>
      <c r="O75" s="51" t="n">
        <f aca="false">IF(N75=1,YEAR(B75),0)</f>
        <v>0</v>
      </c>
      <c r="P75" s="51" t="n">
        <f aca="false">IF(N75=1,YEAR(B75)*100+MONTH(B75),0)</f>
        <v>0</v>
      </c>
      <c r="Q75" s="51" t="n">
        <f aca="false">IF(N75=1,IF(J75="No",1,0),0)</f>
        <v>0</v>
      </c>
    </row>
    <row r="76" customFormat="false" ht="15" hidden="false" customHeight="false" outlineLevel="0" collapsed="false">
      <c r="B76" s="52"/>
      <c r="C76" s="53"/>
      <c r="D76" s="53"/>
      <c r="E76" s="53"/>
      <c r="F76" s="53"/>
      <c r="G76" s="54"/>
      <c r="H76" s="55"/>
      <c r="I76" s="56" t="str">
        <f aca="false">IF(G76="","",G76*IF(H76="",1,H76))</f>
        <v/>
      </c>
      <c r="J76" s="57"/>
      <c r="K76" s="53"/>
      <c r="L76" s="58" t="str">
        <f aca="false">IF(G76="","",IF(ISNUMBER(B76),IF(E76="","⚠ ADD CATEGORY / AGREGA CATEGORÍA",IF(J76="No","⚠ SAVE RECEIPT / GUARDA RECIBO","✔ OK")),"⚠ ADD DATE / AGREGA FECHA"))</f>
        <v/>
      </c>
      <c r="N76" s="51" t="n">
        <f aca="false">IF(G76="",0,IF(ISNUMBER(B76),1,0))</f>
        <v>0</v>
      </c>
      <c r="O76" s="51" t="n">
        <f aca="false">IF(N76=1,YEAR(B76),0)</f>
        <v>0</v>
      </c>
      <c r="P76" s="51" t="n">
        <f aca="false">IF(N76=1,YEAR(B76)*100+MONTH(B76),0)</f>
        <v>0</v>
      </c>
      <c r="Q76" s="51" t="n">
        <f aca="false">IF(N76=1,IF(J76="No",1,0),0)</f>
        <v>0</v>
      </c>
    </row>
    <row r="77" customFormat="false" ht="15" hidden="false" customHeight="false" outlineLevel="0" collapsed="false">
      <c r="B77" s="52"/>
      <c r="C77" s="53"/>
      <c r="D77" s="53"/>
      <c r="E77" s="53"/>
      <c r="F77" s="53"/>
      <c r="G77" s="54"/>
      <c r="H77" s="55"/>
      <c r="I77" s="56" t="str">
        <f aca="false">IF(G77="","",G77*IF(H77="",1,H77))</f>
        <v/>
      </c>
      <c r="J77" s="57"/>
      <c r="K77" s="53"/>
      <c r="L77" s="58" t="str">
        <f aca="false">IF(G77="","",IF(ISNUMBER(B77),IF(E77="","⚠ ADD CATEGORY / AGREGA CATEGORÍA",IF(J77="No","⚠ SAVE RECEIPT / GUARDA RECIBO","✔ OK")),"⚠ ADD DATE / AGREGA FECHA"))</f>
        <v/>
      </c>
      <c r="N77" s="51" t="n">
        <f aca="false">IF(G77="",0,IF(ISNUMBER(B77),1,0))</f>
        <v>0</v>
      </c>
      <c r="O77" s="51" t="n">
        <f aca="false">IF(N77=1,YEAR(B77),0)</f>
        <v>0</v>
      </c>
      <c r="P77" s="51" t="n">
        <f aca="false">IF(N77=1,YEAR(B77)*100+MONTH(B77),0)</f>
        <v>0</v>
      </c>
      <c r="Q77" s="51" t="n">
        <f aca="false">IF(N77=1,IF(J77="No",1,0),0)</f>
        <v>0</v>
      </c>
    </row>
    <row r="78" customFormat="false" ht="15" hidden="false" customHeight="false" outlineLevel="0" collapsed="false">
      <c r="B78" s="52"/>
      <c r="C78" s="53"/>
      <c r="D78" s="53"/>
      <c r="E78" s="53"/>
      <c r="F78" s="53"/>
      <c r="G78" s="54"/>
      <c r="H78" s="55"/>
      <c r="I78" s="56" t="str">
        <f aca="false">IF(G78="","",G78*IF(H78="",1,H78))</f>
        <v/>
      </c>
      <c r="J78" s="57"/>
      <c r="K78" s="53"/>
      <c r="L78" s="58" t="str">
        <f aca="false">IF(G78="","",IF(ISNUMBER(B78),IF(E78="","⚠ ADD CATEGORY / AGREGA CATEGORÍA",IF(J78="No","⚠ SAVE RECEIPT / GUARDA RECIBO","✔ OK")),"⚠ ADD DATE / AGREGA FECHA"))</f>
        <v/>
      </c>
      <c r="N78" s="51" t="n">
        <f aca="false">IF(G78="",0,IF(ISNUMBER(B78),1,0))</f>
        <v>0</v>
      </c>
      <c r="O78" s="51" t="n">
        <f aca="false">IF(N78=1,YEAR(B78),0)</f>
        <v>0</v>
      </c>
      <c r="P78" s="51" t="n">
        <f aca="false">IF(N78=1,YEAR(B78)*100+MONTH(B78),0)</f>
        <v>0</v>
      </c>
      <c r="Q78" s="51" t="n">
        <f aca="false">IF(N78=1,IF(J78="No",1,0),0)</f>
        <v>0</v>
      </c>
    </row>
    <row r="79" customFormat="false" ht="15" hidden="false" customHeight="false" outlineLevel="0" collapsed="false">
      <c r="B79" s="52"/>
      <c r="C79" s="53"/>
      <c r="D79" s="53"/>
      <c r="E79" s="53"/>
      <c r="F79" s="53"/>
      <c r="G79" s="54"/>
      <c r="H79" s="55"/>
      <c r="I79" s="56" t="str">
        <f aca="false">IF(G79="","",G79*IF(H79="",1,H79))</f>
        <v/>
      </c>
      <c r="J79" s="57"/>
      <c r="K79" s="53"/>
      <c r="L79" s="58" t="str">
        <f aca="false">IF(G79="","",IF(ISNUMBER(B79),IF(E79="","⚠ ADD CATEGORY / AGREGA CATEGORÍA",IF(J79="No","⚠ SAVE RECEIPT / GUARDA RECIBO","✔ OK")),"⚠ ADD DATE / AGREGA FECHA"))</f>
        <v/>
      </c>
      <c r="N79" s="51" t="n">
        <f aca="false">IF(G79="",0,IF(ISNUMBER(B79),1,0))</f>
        <v>0</v>
      </c>
      <c r="O79" s="51" t="n">
        <f aca="false">IF(N79=1,YEAR(B79),0)</f>
        <v>0</v>
      </c>
      <c r="P79" s="51" t="n">
        <f aca="false">IF(N79=1,YEAR(B79)*100+MONTH(B79),0)</f>
        <v>0</v>
      </c>
      <c r="Q79" s="51" t="n">
        <f aca="false">IF(N79=1,IF(J79="No",1,0),0)</f>
        <v>0</v>
      </c>
    </row>
    <row r="80" customFormat="false" ht="15" hidden="false" customHeight="false" outlineLevel="0" collapsed="false">
      <c r="B80" s="52"/>
      <c r="C80" s="53"/>
      <c r="D80" s="53"/>
      <c r="E80" s="53"/>
      <c r="F80" s="53"/>
      <c r="G80" s="54"/>
      <c r="H80" s="55"/>
      <c r="I80" s="56" t="str">
        <f aca="false">IF(G80="","",G80*IF(H80="",1,H80))</f>
        <v/>
      </c>
      <c r="J80" s="57"/>
      <c r="K80" s="53"/>
      <c r="L80" s="58" t="str">
        <f aca="false">IF(G80="","",IF(ISNUMBER(B80),IF(E80="","⚠ ADD CATEGORY / AGREGA CATEGORÍA",IF(J80="No","⚠ SAVE RECEIPT / GUARDA RECIBO","✔ OK")),"⚠ ADD DATE / AGREGA FECHA"))</f>
        <v/>
      </c>
      <c r="N80" s="51" t="n">
        <f aca="false">IF(G80="",0,IF(ISNUMBER(B80),1,0))</f>
        <v>0</v>
      </c>
      <c r="O80" s="51" t="n">
        <f aca="false">IF(N80=1,YEAR(B80),0)</f>
        <v>0</v>
      </c>
      <c r="P80" s="51" t="n">
        <f aca="false">IF(N80=1,YEAR(B80)*100+MONTH(B80),0)</f>
        <v>0</v>
      </c>
      <c r="Q80" s="51" t="n">
        <f aca="false">IF(N80=1,IF(J80="No",1,0),0)</f>
        <v>0</v>
      </c>
    </row>
    <row r="81" customFormat="false" ht="15" hidden="false" customHeight="false" outlineLevel="0" collapsed="false">
      <c r="B81" s="52"/>
      <c r="C81" s="53"/>
      <c r="D81" s="53"/>
      <c r="E81" s="53"/>
      <c r="F81" s="53"/>
      <c r="G81" s="54"/>
      <c r="H81" s="55"/>
      <c r="I81" s="56" t="str">
        <f aca="false">IF(G81="","",G81*IF(H81="",1,H81))</f>
        <v/>
      </c>
      <c r="J81" s="57"/>
      <c r="K81" s="53"/>
      <c r="L81" s="58" t="str">
        <f aca="false">IF(G81="","",IF(ISNUMBER(B81),IF(E81="","⚠ ADD CATEGORY / AGREGA CATEGORÍA",IF(J81="No","⚠ SAVE RECEIPT / GUARDA RECIBO","✔ OK")),"⚠ ADD DATE / AGREGA FECHA"))</f>
        <v/>
      </c>
      <c r="N81" s="51" t="n">
        <f aca="false">IF(G81="",0,IF(ISNUMBER(B81),1,0))</f>
        <v>0</v>
      </c>
      <c r="O81" s="51" t="n">
        <f aca="false">IF(N81=1,YEAR(B81),0)</f>
        <v>0</v>
      </c>
      <c r="P81" s="51" t="n">
        <f aca="false">IF(N81=1,YEAR(B81)*100+MONTH(B81),0)</f>
        <v>0</v>
      </c>
      <c r="Q81" s="51" t="n">
        <f aca="false">IF(N81=1,IF(J81="No",1,0),0)</f>
        <v>0</v>
      </c>
    </row>
    <row r="82" customFormat="false" ht="15" hidden="false" customHeight="false" outlineLevel="0" collapsed="false">
      <c r="B82" s="52"/>
      <c r="C82" s="53"/>
      <c r="D82" s="53"/>
      <c r="E82" s="53"/>
      <c r="F82" s="53"/>
      <c r="G82" s="54"/>
      <c r="H82" s="55"/>
      <c r="I82" s="56" t="str">
        <f aca="false">IF(G82="","",G82*IF(H82="",1,H82))</f>
        <v/>
      </c>
      <c r="J82" s="57"/>
      <c r="K82" s="53"/>
      <c r="L82" s="58" t="str">
        <f aca="false">IF(G82="","",IF(ISNUMBER(B82),IF(E82="","⚠ ADD CATEGORY / AGREGA CATEGORÍA",IF(J82="No","⚠ SAVE RECEIPT / GUARDA RECIBO","✔ OK")),"⚠ ADD DATE / AGREGA FECHA"))</f>
        <v/>
      </c>
      <c r="N82" s="51" t="n">
        <f aca="false">IF(G82="",0,IF(ISNUMBER(B82),1,0))</f>
        <v>0</v>
      </c>
      <c r="O82" s="51" t="n">
        <f aca="false">IF(N82=1,YEAR(B82),0)</f>
        <v>0</v>
      </c>
      <c r="P82" s="51" t="n">
        <f aca="false">IF(N82=1,YEAR(B82)*100+MONTH(B82),0)</f>
        <v>0</v>
      </c>
      <c r="Q82" s="51" t="n">
        <f aca="false">IF(N82=1,IF(J82="No",1,0),0)</f>
        <v>0</v>
      </c>
    </row>
    <row r="83" customFormat="false" ht="15" hidden="false" customHeight="false" outlineLevel="0" collapsed="false">
      <c r="B83" s="52"/>
      <c r="C83" s="53"/>
      <c r="D83" s="53"/>
      <c r="E83" s="53"/>
      <c r="F83" s="53"/>
      <c r="G83" s="54"/>
      <c r="H83" s="55"/>
      <c r="I83" s="56" t="str">
        <f aca="false">IF(G83="","",G83*IF(H83="",1,H83))</f>
        <v/>
      </c>
      <c r="J83" s="57"/>
      <c r="K83" s="53"/>
      <c r="L83" s="58" t="str">
        <f aca="false">IF(G83="","",IF(ISNUMBER(B83),IF(E83="","⚠ ADD CATEGORY / AGREGA CATEGORÍA",IF(J83="No","⚠ SAVE RECEIPT / GUARDA RECIBO","✔ OK")),"⚠ ADD DATE / AGREGA FECHA"))</f>
        <v/>
      </c>
      <c r="N83" s="51" t="n">
        <f aca="false">IF(G83="",0,IF(ISNUMBER(B83),1,0))</f>
        <v>0</v>
      </c>
      <c r="O83" s="51" t="n">
        <f aca="false">IF(N83=1,YEAR(B83),0)</f>
        <v>0</v>
      </c>
      <c r="P83" s="51" t="n">
        <f aca="false">IF(N83=1,YEAR(B83)*100+MONTH(B83),0)</f>
        <v>0</v>
      </c>
      <c r="Q83" s="51" t="n">
        <f aca="false">IF(N83=1,IF(J83="No",1,0),0)</f>
        <v>0</v>
      </c>
    </row>
    <row r="84" customFormat="false" ht="15" hidden="false" customHeight="false" outlineLevel="0" collapsed="false">
      <c r="B84" s="52"/>
      <c r="C84" s="53"/>
      <c r="D84" s="53"/>
      <c r="E84" s="53"/>
      <c r="F84" s="53"/>
      <c r="G84" s="54"/>
      <c r="H84" s="55"/>
      <c r="I84" s="56" t="str">
        <f aca="false">IF(G84="","",G84*IF(H84="",1,H84))</f>
        <v/>
      </c>
      <c r="J84" s="57"/>
      <c r="K84" s="53"/>
      <c r="L84" s="58" t="str">
        <f aca="false">IF(G84="","",IF(ISNUMBER(B84),IF(E84="","⚠ ADD CATEGORY / AGREGA CATEGORÍA",IF(J84="No","⚠ SAVE RECEIPT / GUARDA RECIBO","✔ OK")),"⚠ ADD DATE / AGREGA FECHA"))</f>
        <v/>
      </c>
      <c r="N84" s="51" t="n">
        <f aca="false">IF(G84="",0,IF(ISNUMBER(B84),1,0))</f>
        <v>0</v>
      </c>
      <c r="O84" s="51" t="n">
        <f aca="false">IF(N84=1,YEAR(B84),0)</f>
        <v>0</v>
      </c>
      <c r="P84" s="51" t="n">
        <f aca="false">IF(N84=1,YEAR(B84)*100+MONTH(B84),0)</f>
        <v>0</v>
      </c>
      <c r="Q84" s="51" t="n">
        <f aca="false">IF(N84=1,IF(J84="No",1,0),0)</f>
        <v>0</v>
      </c>
    </row>
    <row r="85" customFormat="false" ht="15" hidden="false" customHeight="false" outlineLevel="0" collapsed="false">
      <c r="B85" s="52"/>
      <c r="C85" s="53"/>
      <c r="D85" s="53"/>
      <c r="E85" s="53"/>
      <c r="F85" s="53"/>
      <c r="G85" s="54"/>
      <c r="H85" s="55"/>
      <c r="I85" s="56" t="str">
        <f aca="false">IF(G85="","",G85*IF(H85="",1,H85))</f>
        <v/>
      </c>
      <c r="J85" s="57"/>
      <c r="K85" s="53"/>
      <c r="L85" s="58" t="str">
        <f aca="false">IF(G85="","",IF(ISNUMBER(B85),IF(E85="","⚠ ADD CATEGORY / AGREGA CATEGORÍA",IF(J85="No","⚠ SAVE RECEIPT / GUARDA RECIBO","✔ OK")),"⚠ ADD DATE / AGREGA FECHA"))</f>
        <v/>
      </c>
      <c r="N85" s="51" t="n">
        <f aca="false">IF(G85="",0,IF(ISNUMBER(B85),1,0))</f>
        <v>0</v>
      </c>
      <c r="O85" s="51" t="n">
        <f aca="false">IF(N85=1,YEAR(B85),0)</f>
        <v>0</v>
      </c>
      <c r="P85" s="51" t="n">
        <f aca="false">IF(N85=1,YEAR(B85)*100+MONTH(B85),0)</f>
        <v>0</v>
      </c>
      <c r="Q85" s="51" t="n">
        <f aca="false">IF(N85=1,IF(J85="No",1,0),0)</f>
        <v>0</v>
      </c>
    </row>
    <row r="86" customFormat="false" ht="15" hidden="false" customHeight="false" outlineLevel="0" collapsed="false">
      <c r="B86" s="52"/>
      <c r="C86" s="53"/>
      <c r="D86" s="53"/>
      <c r="E86" s="53"/>
      <c r="F86" s="53"/>
      <c r="G86" s="54"/>
      <c r="H86" s="55"/>
      <c r="I86" s="56" t="str">
        <f aca="false">IF(G86="","",G86*IF(H86="",1,H86))</f>
        <v/>
      </c>
      <c r="J86" s="57"/>
      <c r="K86" s="53"/>
      <c r="L86" s="58" t="str">
        <f aca="false">IF(G86="","",IF(ISNUMBER(B86),IF(E86="","⚠ ADD CATEGORY / AGREGA CATEGORÍA",IF(J86="No","⚠ SAVE RECEIPT / GUARDA RECIBO","✔ OK")),"⚠ ADD DATE / AGREGA FECHA"))</f>
        <v/>
      </c>
      <c r="N86" s="51" t="n">
        <f aca="false">IF(G86="",0,IF(ISNUMBER(B86),1,0))</f>
        <v>0</v>
      </c>
      <c r="O86" s="51" t="n">
        <f aca="false">IF(N86=1,YEAR(B86),0)</f>
        <v>0</v>
      </c>
      <c r="P86" s="51" t="n">
        <f aca="false">IF(N86=1,YEAR(B86)*100+MONTH(B86),0)</f>
        <v>0</v>
      </c>
      <c r="Q86" s="51" t="n">
        <f aca="false">IF(N86=1,IF(J86="No",1,0),0)</f>
        <v>0</v>
      </c>
    </row>
    <row r="87" customFormat="false" ht="15" hidden="false" customHeight="false" outlineLevel="0" collapsed="false">
      <c r="B87" s="52"/>
      <c r="C87" s="53"/>
      <c r="D87" s="53"/>
      <c r="E87" s="53"/>
      <c r="F87" s="53"/>
      <c r="G87" s="54"/>
      <c r="H87" s="55"/>
      <c r="I87" s="56" t="str">
        <f aca="false">IF(G87="","",G87*IF(H87="",1,H87))</f>
        <v/>
      </c>
      <c r="J87" s="57"/>
      <c r="K87" s="53"/>
      <c r="L87" s="58" t="str">
        <f aca="false">IF(G87="","",IF(ISNUMBER(B87),IF(E87="","⚠ ADD CATEGORY / AGREGA CATEGORÍA",IF(J87="No","⚠ SAVE RECEIPT / GUARDA RECIBO","✔ OK")),"⚠ ADD DATE / AGREGA FECHA"))</f>
        <v/>
      </c>
      <c r="N87" s="51" t="n">
        <f aca="false">IF(G87="",0,IF(ISNUMBER(B87),1,0))</f>
        <v>0</v>
      </c>
      <c r="O87" s="51" t="n">
        <f aca="false">IF(N87=1,YEAR(B87),0)</f>
        <v>0</v>
      </c>
      <c r="P87" s="51" t="n">
        <f aca="false">IF(N87=1,YEAR(B87)*100+MONTH(B87),0)</f>
        <v>0</v>
      </c>
      <c r="Q87" s="51" t="n">
        <f aca="false">IF(N87=1,IF(J87="No",1,0),0)</f>
        <v>0</v>
      </c>
    </row>
    <row r="88" customFormat="false" ht="15" hidden="false" customHeight="false" outlineLevel="0" collapsed="false">
      <c r="B88" s="52"/>
      <c r="C88" s="53"/>
      <c r="D88" s="53"/>
      <c r="E88" s="53"/>
      <c r="F88" s="53"/>
      <c r="G88" s="54"/>
      <c r="H88" s="55"/>
      <c r="I88" s="56" t="str">
        <f aca="false">IF(G88="","",G88*IF(H88="",1,H88))</f>
        <v/>
      </c>
      <c r="J88" s="57"/>
      <c r="K88" s="53"/>
      <c r="L88" s="58" t="str">
        <f aca="false">IF(G88="","",IF(ISNUMBER(B88),IF(E88="","⚠ ADD CATEGORY / AGREGA CATEGORÍA",IF(J88="No","⚠ SAVE RECEIPT / GUARDA RECIBO","✔ OK")),"⚠ ADD DATE / AGREGA FECHA"))</f>
        <v/>
      </c>
      <c r="N88" s="51" t="n">
        <f aca="false">IF(G88="",0,IF(ISNUMBER(B88),1,0))</f>
        <v>0</v>
      </c>
      <c r="O88" s="51" t="n">
        <f aca="false">IF(N88=1,YEAR(B88),0)</f>
        <v>0</v>
      </c>
      <c r="P88" s="51" t="n">
        <f aca="false">IF(N88=1,YEAR(B88)*100+MONTH(B88),0)</f>
        <v>0</v>
      </c>
      <c r="Q88" s="51" t="n">
        <f aca="false">IF(N88=1,IF(J88="No",1,0),0)</f>
        <v>0</v>
      </c>
    </row>
    <row r="89" customFormat="false" ht="15" hidden="false" customHeight="false" outlineLevel="0" collapsed="false">
      <c r="B89" s="52"/>
      <c r="C89" s="53"/>
      <c r="D89" s="53"/>
      <c r="E89" s="53"/>
      <c r="F89" s="53"/>
      <c r="G89" s="54"/>
      <c r="H89" s="55"/>
      <c r="I89" s="56" t="str">
        <f aca="false">IF(G89="","",G89*IF(H89="",1,H89))</f>
        <v/>
      </c>
      <c r="J89" s="57"/>
      <c r="K89" s="53"/>
      <c r="L89" s="58" t="str">
        <f aca="false">IF(G89="","",IF(ISNUMBER(B89),IF(E89="","⚠ ADD CATEGORY / AGREGA CATEGORÍA",IF(J89="No","⚠ SAVE RECEIPT / GUARDA RECIBO","✔ OK")),"⚠ ADD DATE / AGREGA FECHA"))</f>
        <v/>
      </c>
      <c r="N89" s="51" t="n">
        <f aca="false">IF(G89="",0,IF(ISNUMBER(B89),1,0))</f>
        <v>0</v>
      </c>
      <c r="O89" s="51" t="n">
        <f aca="false">IF(N89=1,YEAR(B89),0)</f>
        <v>0</v>
      </c>
      <c r="P89" s="51" t="n">
        <f aca="false">IF(N89=1,YEAR(B89)*100+MONTH(B89),0)</f>
        <v>0</v>
      </c>
      <c r="Q89" s="51" t="n">
        <f aca="false">IF(N89=1,IF(J89="No",1,0),0)</f>
        <v>0</v>
      </c>
    </row>
    <row r="90" customFormat="false" ht="15" hidden="false" customHeight="false" outlineLevel="0" collapsed="false">
      <c r="B90" s="52"/>
      <c r="C90" s="53"/>
      <c r="D90" s="53"/>
      <c r="E90" s="53"/>
      <c r="F90" s="53"/>
      <c r="G90" s="54"/>
      <c r="H90" s="55"/>
      <c r="I90" s="56" t="str">
        <f aca="false">IF(G90="","",G90*IF(H90="",1,H90))</f>
        <v/>
      </c>
      <c r="J90" s="57"/>
      <c r="K90" s="53"/>
      <c r="L90" s="58" t="str">
        <f aca="false">IF(G90="","",IF(ISNUMBER(B90),IF(E90="","⚠ ADD CATEGORY / AGREGA CATEGORÍA",IF(J90="No","⚠ SAVE RECEIPT / GUARDA RECIBO","✔ OK")),"⚠ ADD DATE / AGREGA FECHA"))</f>
        <v/>
      </c>
      <c r="N90" s="51" t="n">
        <f aca="false">IF(G90="",0,IF(ISNUMBER(B90),1,0))</f>
        <v>0</v>
      </c>
      <c r="O90" s="51" t="n">
        <f aca="false">IF(N90=1,YEAR(B90),0)</f>
        <v>0</v>
      </c>
      <c r="P90" s="51" t="n">
        <f aca="false">IF(N90=1,YEAR(B90)*100+MONTH(B90),0)</f>
        <v>0</v>
      </c>
      <c r="Q90" s="51" t="n">
        <f aca="false">IF(N90=1,IF(J90="No",1,0),0)</f>
        <v>0</v>
      </c>
    </row>
    <row r="91" customFormat="false" ht="15" hidden="false" customHeight="false" outlineLevel="0" collapsed="false">
      <c r="B91" s="52"/>
      <c r="C91" s="53"/>
      <c r="D91" s="53"/>
      <c r="E91" s="53"/>
      <c r="F91" s="53"/>
      <c r="G91" s="54"/>
      <c r="H91" s="55"/>
      <c r="I91" s="56" t="str">
        <f aca="false">IF(G91="","",G91*IF(H91="",1,H91))</f>
        <v/>
      </c>
      <c r="J91" s="57"/>
      <c r="K91" s="53"/>
      <c r="L91" s="58" t="str">
        <f aca="false">IF(G91="","",IF(ISNUMBER(B91),IF(E91="","⚠ ADD CATEGORY / AGREGA CATEGORÍA",IF(J91="No","⚠ SAVE RECEIPT / GUARDA RECIBO","✔ OK")),"⚠ ADD DATE / AGREGA FECHA"))</f>
        <v/>
      </c>
      <c r="N91" s="51" t="n">
        <f aca="false">IF(G91="",0,IF(ISNUMBER(B91),1,0))</f>
        <v>0</v>
      </c>
      <c r="O91" s="51" t="n">
        <f aca="false">IF(N91=1,YEAR(B91),0)</f>
        <v>0</v>
      </c>
      <c r="P91" s="51" t="n">
        <f aca="false">IF(N91=1,YEAR(B91)*100+MONTH(B91),0)</f>
        <v>0</v>
      </c>
      <c r="Q91" s="51" t="n">
        <f aca="false">IF(N91=1,IF(J91="No",1,0),0)</f>
        <v>0</v>
      </c>
    </row>
    <row r="92" customFormat="false" ht="15" hidden="false" customHeight="false" outlineLevel="0" collapsed="false">
      <c r="B92" s="52"/>
      <c r="C92" s="53"/>
      <c r="D92" s="53"/>
      <c r="E92" s="53"/>
      <c r="F92" s="53"/>
      <c r="G92" s="54"/>
      <c r="H92" s="55"/>
      <c r="I92" s="56" t="str">
        <f aca="false">IF(G92="","",G92*IF(H92="",1,H92))</f>
        <v/>
      </c>
      <c r="J92" s="57"/>
      <c r="K92" s="53"/>
      <c r="L92" s="58" t="str">
        <f aca="false">IF(G92="","",IF(ISNUMBER(B92),IF(E92="","⚠ ADD CATEGORY / AGREGA CATEGORÍA",IF(J92="No","⚠ SAVE RECEIPT / GUARDA RECIBO","✔ OK")),"⚠ ADD DATE / AGREGA FECHA"))</f>
        <v/>
      </c>
      <c r="N92" s="51" t="n">
        <f aca="false">IF(G92="",0,IF(ISNUMBER(B92),1,0))</f>
        <v>0</v>
      </c>
      <c r="O92" s="51" t="n">
        <f aca="false">IF(N92=1,YEAR(B92),0)</f>
        <v>0</v>
      </c>
      <c r="P92" s="51" t="n">
        <f aca="false">IF(N92=1,YEAR(B92)*100+MONTH(B92),0)</f>
        <v>0</v>
      </c>
      <c r="Q92" s="51" t="n">
        <f aca="false">IF(N92=1,IF(J92="No",1,0),0)</f>
        <v>0</v>
      </c>
    </row>
    <row r="93" customFormat="false" ht="15" hidden="false" customHeight="false" outlineLevel="0" collapsed="false">
      <c r="B93" s="52"/>
      <c r="C93" s="53"/>
      <c r="D93" s="53"/>
      <c r="E93" s="53"/>
      <c r="F93" s="53"/>
      <c r="G93" s="54"/>
      <c r="H93" s="55"/>
      <c r="I93" s="56" t="str">
        <f aca="false">IF(G93="","",G93*IF(H93="",1,H93))</f>
        <v/>
      </c>
      <c r="J93" s="57"/>
      <c r="K93" s="53"/>
      <c r="L93" s="58" t="str">
        <f aca="false">IF(G93="","",IF(ISNUMBER(B93),IF(E93="","⚠ ADD CATEGORY / AGREGA CATEGORÍA",IF(J93="No","⚠ SAVE RECEIPT / GUARDA RECIBO","✔ OK")),"⚠ ADD DATE / AGREGA FECHA"))</f>
        <v/>
      </c>
      <c r="N93" s="51" t="n">
        <f aca="false">IF(G93="",0,IF(ISNUMBER(B93),1,0))</f>
        <v>0</v>
      </c>
      <c r="O93" s="51" t="n">
        <f aca="false">IF(N93=1,YEAR(B93),0)</f>
        <v>0</v>
      </c>
      <c r="P93" s="51" t="n">
        <f aca="false">IF(N93=1,YEAR(B93)*100+MONTH(B93),0)</f>
        <v>0</v>
      </c>
      <c r="Q93" s="51" t="n">
        <f aca="false">IF(N93=1,IF(J93="No",1,0),0)</f>
        <v>0</v>
      </c>
    </row>
    <row r="94" customFormat="false" ht="15" hidden="false" customHeight="false" outlineLevel="0" collapsed="false">
      <c r="B94" s="52"/>
      <c r="C94" s="53"/>
      <c r="D94" s="53"/>
      <c r="E94" s="53"/>
      <c r="F94" s="53"/>
      <c r="G94" s="54"/>
      <c r="H94" s="55"/>
      <c r="I94" s="56" t="str">
        <f aca="false">IF(G94="","",G94*IF(H94="",1,H94))</f>
        <v/>
      </c>
      <c r="J94" s="57"/>
      <c r="K94" s="53"/>
      <c r="L94" s="58" t="str">
        <f aca="false">IF(G94="","",IF(ISNUMBER(B94),IF(E94="","⚠ ADD CATEGORY / AGREGA CATEGORÍA",IF(J94="No","⚠ SAVE RECEIPT / GUARDA RECIBO","✔ OK")),"⚠ ADD DATE / AGREGA FECHA"))</f>
        <v/>
      </c>
      <c r="N94" s="51" t="n">
        <f aca="false">IF(G94="",0,IF(ISNUMBER(B94),1,0))</f>
        <v>0</v>
      </c>
      <c r="O94" s="51" t="n">
        <f aca="false">IF(N94=1,YEAR(B94),0)</f>
        <v>0</v>
      </c>
      <c r="P94" s="51" t="n">
        <f aca="false">IF(N94=1,YEAR(B94)*100+MONTH(B94),0)</f>
        <v>0</v>
      </c>
      <c r="Q94" s="51" t="n">
        <f aca="false">IF(N94=1,IF(J94="No",1,0),0)</f>
        <v>0</v>
      </c>
    </row>
    <row r="95" customFormat="false" ht="15" hidden="false" customHeight="false" outlineLevel="0" collapsed="false">
      <c r="B95" s="52"/>
      <c r="C95" s="53"/>
      <c r="D95" s="53"/>
      <c r="E95" s="53"/>
      <c r="F95" s="53"/>
      <c r="G95" s="54"/>
      <c r="H95" s="55"/>
      <c r="I95" s="56" t="str">
        <f aca="false">IF(G95="","",G95*IF(H95="",1,H95))</f>
        <v/>
      </c>
      <c r="J95" s="57"/>
      <c r="K95" s="53"/>
      <c r="L95" s="58" t="str">
        <f aca="false">IF(G95="","",IF(ISNUMBER(B95),IF(E95="","⚠ ADD CATEGORY / AGREGA CATEGORÍA",IF(J95="No","⚠ SAVE RECEIPT / GUARDA RECIBO","✔ OK")),"⚠ ADD DATE / AGREGA FECHA"))</f>
        <v/>
      </c>
      <c r="N95" s="51" t="n">
        <f aca="false">IF(G95="",0,IF(ISNUMBER(B95),1,0))</f>
        <v>0</v>
      </c>
      <c r="O95" s="51" t="n">
        <f aca="false">IF(N95=1,YEAR(B95),0)</f>
        <v>0</v>
      </c>
      <c r="P95" s="51" t="n">
        <f aca="false">IF(N95=1,YEAR(B95)*100+MONTH(B95),0)</f>
        <v>0</v>
      </c>
      <c r="Q95" s="51" t="n">
        <f aca="false">IF(N95=1,IF(J95="No",1,0),0)</f>
        <v>0</v>
      </c>
    </row>
    <row r="96" customFormat="false" ht="15" hidden="false" customHeight="false" outlineLevel="0" collapsed="false">
      <c r="B96" s="52"/>
      <c r="C96" s="53"/>
      <c r="D96" s="53"/>
      <c r="E96" s="53"/>
      <c r="F96" s="53"/>
      <c r="G96" s="54"/>
      <c r="H96" s="55"/>
      <c r="I96" s="56" t="str">
        <f aca="false">IF(G96="","",G96*IF(H96="",1,H96))</f>
        <v/>
      </c>
      <c r="J96" s="57"/>
      <c r="K96" s="53"/>
      <c r="L96" s="58" t="str">
        <f aca="false">IF(G96="","",IF(ISNUMBER(B96),IF(E96="","⚠ ADD CATEGORY / AGREGA CATEGORÍA",IF(J96="No","⚠ SAVE RECEIPT / GUARDA RECIBO","✔ OK")),"⚠ ADD DATE / AGREGA FECHA"))</f>
        <v/>
      </c>
      <c r="N96" s="51" t="n">
        <f aca="false">IF(G96="",0,IF(ISNUMBER(B96),1,0))</f>
        <v>0</v>
      </c>
      <c r="O96" s="51" t="n">
        <f aca="false">IF(N96=1,YEAR(B96),0)</f>
        <v>0</v>
      </c>
      <c r="P96" s="51" t="n">
        <f aca="false">IF(N96=1,YEAR(B96)*100+MONTH(B96),0)</f>
        <v>0</v>
      </c>
      <c r="Q96" s="51" t="n">
        <f aca="false">IF(N96=1,IF(J96="No",1,0),0)</f>
        <v>0</v>
      </c>
    </row>
    <row r="97" customFormat="false" ht="15" hidden="false" customHeight="false" outlineLevel="0" collapsed="false">
      <c r="B97" s="52"/>
      <c r="C97" s="53"/>
      <c r="D97" s="53"/>
      <c r="E97" s="53"/>
      <c r="F97" s="53"/>
      <c r="G97" s="54"/>
      <c r="H97" s="55"/>
      <c r="I97" s="56" t="str">
        <f aca="false">IF(G97="","",G97*IF(H97="",1,H97))</f>
        <v/>
      </c>
      <c r="J97" s="57"/>
      <c r="K97" s="53"/>
      <c r="L97" s="58" t="str">
        <f aca="false">IF(G97="","",IF(ISNUMBER(B97),IF(E97="","⚠ ADD CATEGORY / AGREGA CATEGORÍA",IF(J97="No","⚠ SAVE RECEIPT / GUARDA RECIBO","✔ OK")),"⚠ ADD DATE / AGREGA FECHA"))</f>
        <v/>
      </c>
      <c r="N97" s="51" t="n">
        <f aca="false">IF(G97="",0,IF(ISNUMBER(B97),1,0))</f>
        <v>0</v>
      </c>
      <c r="O97" s="51" t="n">
        <f aca="false">IF(N97=1,YEAR(B97),0)</f>
        <v>0</v>
      </c>
      <c r="P97" s="51" t="n">
        <f aca="false">IF(N97=1,YEAR(B97)*100+MONTH(B97),0)</f>
        <v>0</v>
      </c>
      <c r="Q97" s="51" t="n">
        <f aca="false">IF(N97=1,IF(J97="No",1,0),0)</f>
        <v>0</v>
      </c>
    </row>
    <row r="98" customFormat="false" ht="15" hidden="false" customHeight="false" outlineLevel="0" collapsed="false">
      <c r="B98" s="52"/>
      <c r="C98" s="53"/>
      <c r="D98" s="53"/>
      <c r="E98" s="53"/>
      <c r="F98" s="53"/>
      <c r="G98" s="54"/>
      <c r="H98" s="55"/>
      <c r="I98" s="56" t="str">
        <f aca="false">IF(G98="","",G98*IF(H98="",1,H98))</f>
        <v/>
      </c>
      <c r="J98" s="57"/>
      <c r="K98" s="53"/>
      <c r="L98" s="58" t="str">
        <f aca="false">IF(G98="","",IF(ISNUMBER(B98),IF(E98="","⚠ ADD CATEGORY / AGREGA CATEGORÍA",IF(J98="No","⚠ SAVE RECEIPT / GUARDA RECIBO","✔ OK")),"⚠ ADD DATE / AGREGA FECHA"))</f>
        <v/>
      </c>
      <c r="N98" s="51" t="n">
        <f aca="false">IF(G98="",0,IF(ISNUMBER(B98),1,0))</f>
        <v>0</v>
      </c>
      <c r="O98" s="51" t="n">
        <f aca="false">IF(N98=1,YEAR(B98),0)</f>
        <v>0</v>
      </c>
      <c r="P98" s="51" t="n">
        <f aca="false">IF(N98=1,YEAR(B98)*100+MONTH(B98),0)</f>
        <v>0</v>
      </c>
      <c r="Q98" s="51" t="n">
        <f aca="false">IF(N98=1,IF(J98="No",1,0),0)</f>
        <v>0</v>
      </c>
    </row>
    <row r="99" customFormat="false" ht="15" hidden="false" customHeight="false" outlineLevel="0" collapsed="false">
      <c r="B99" s="52"/>
      <c r="C99" s="53"/>
      <c r="D99" s="53"/>
      <c r="E99" s="53"/>
      <c r="F99" s="53"/>
      <c r="G99" s="54"/>
      <c r="H99" s="55"/>
      <c r="I99" s="56" t="str">
        <f aca="false">IF(G99="","",G99*IF(H99="",1,H99))</f>
        <v/>
      </c>
      <c r="J99" s="57"/>
      <c r="K99" s="53"/>
      <c r="L99" s="58" t="str">
        <f aca="false">IF(G99="","",IF(ISNUMBER(B99),IF(E99="","⚠ ADD CATEGORY / AGREGA CATEGORÍA",IF(J99="No","⚠ SAVE RECEIPT / GUARDA RECIBO","✔ OK")),"⚠ ADD DATE / AGREGA FECHA"))</f>
        <v/>
      </c>
      <c r="N99" s="51" t="n">
        <f aca="false">IF(G99="",0,IF(ISNUMBER(B99),1,0))</f>
        <v>0</v>
      </c>
      <c r="O99" s="51" t="n">
        <f aca="false">IF(N99=1,YEAR(B99),0)</f>
        <v>0</v>
      </c>
      <c r="P99" s="51" t="n">
        <f aca="false">IF(N99=1,YEAR(B99)*100+MONTH(B99),0)</f>
        <v>0</v>
      </c>
      <c r="Q99" s="51" t="n">
        <f aca="false">IF(N99=1,IF(J99="No",1,0),0)</f>
        <v>0</v>
      </c>
    </row>
    <row r="100" customFormat="false" ht="15" hidden="false" customHeight="false" outlineLevel="0" collapsed="false">
      <c r="B100" s="52"/>
      <c r="C100" s="53"/>
      <c r="D100" s="53"/>
      <c r="E100" s="53"/>
      <c r="F100" s="53"/>
      <c r="G100" s="54"/>
      <c r="H100" s="55"/>
      <c r="I100" s="56" t="str">
        <f aca="false">IF(G100="","",G100*IF(H100="",1,H100))</f>
        <v/>
      </c>
      <c r="J100" s="57"/>
      <c r="K100" s="53"/>
      <c r="L100" s="58" t="str">
        <f aca="false">IF(G100="","",IF(ISNUMBER(B100),IF(E100="","⚠ ADD CATEGORY / AGREGA CATEGORÍA",IF(J100="No","⚠ SAVE RECEIPT / GUARDA RECIBO","✔ OK")),"⚠ ADD DATE / AGREGA FECHA"))</f>
        <v/>
      </c>
      <c r="N100" s="51" t="n">
        <f aca="false">IF(G100="",0,IF(ISNUMBER(B100),1,0))</f>
        <v>0</v>
      </c>
      <c r="O100" s="51" t="n">
        <f aca="false">IF(N100=1,YEAR(B100),0)</f>
        <v>0</v>
      </c>
      <c r="P100" s="51" t="n">
        <f aca="false">IF(N100=1,YEAR(B100)*100+MONTH(B100),0)</f>
        <v>0</v>
      </c>
      <c r="Q100" s="51" t="n">
        <f aca="false">IF(N100=1,IF(J100="No",1,0),0)</f>
        <v>0</v>
      </c>
    </row>
    <row r="101" customFormat="false" ht="15" hidden="false" customHeight="false" outlineLevel="0" collapsed="false">
      <c r="B101" s="52"/>
      <c r="C101" s="53"/>
      <c r="D101" s="53"/>
      <c r="E101" s="53"/>
      <c r="F101" s="53"/>
      <c r="G101" s="54"/>
      <c r="H101" s="55"/>
      <c r="I101" s="56" t="str">
        <f aca="false">IF(G101="","",G101*IF(H101="",1,H101))</f>
        <v/>
      </c>
      <c r="J101" s="57"/>
      <c r="K101" s="53"/>
      <c r="L101" s="58" t="str">
        <f aca="false">IF(G101="","",IF(ISNUMBER(B101),IF(E101="","⚠ ADD CATEGORY / AGREGA CATEGORÍA",IF(J101="No","⚠ SAVE RECEIPT / GUARDA RECIBO","✔ OK")),"⚠ ADD DATE / AGREGA FECHA"))</f>
        <v/>
      </c>
      <c r="N101" s="51" t="n">
        <f aca="false">IF(G101="",0,IF(ISNUMBER(B101),1,0))</f>
        <v>0</v>
      </c>
      <c r="O101" s="51" t="n">
        <f aca="false">IF(N101=1,YEAR(B101),0)</f>
        <v>0</v>
      </c>
      <c r="P101" s="51" t="n">
        <f aca="false">IF(N101=1,YEAR(B101)*100+MONTH(B101),0)</f>
        <v>0</v>
      </c>
      <c r="Q101" s="51" t="n">
        <f aca="false">IF(N101=1,IF(J101="No",1,0),0)</f>
        <v>0</v>
      </c>
    </row>
    <row r="102" customFormat="false" ht="15" hidden="false" customHeight="false" outlineLevel="0" collapsed="false">
      <c r="B102" s="52"/>
      <c r="C102" s="53"/>
      <c r="D102" s="53"/>
      <c r="E102" s="53"/>
      <c r="F102" s="53"/>
      <c r="G102" s="54"/>
      <c r="H102" s="55"/>
      <c r="I102" s="56" t="str">
        <f aca="false">IF(G102="","",G102*IF(H102="",1,H102))</f>
        <v/>
      </c>
      <c r="J102" s="57"/>
      <c r="K102" s="53"/>
      <c r="L102" s="58" t="str">
        <f aca="false">IF(G102="","",IF(ISNUMBER(B102),IF(E102="","⚠ ADD CATEGORY / AGREGA CATEGORÍA",IF(J102="No","⚠ SAVE RECEIPT / GUARDA RECIBO","✔ OK")),"⚠ ADD DATE / AGREGA FECHA"))</f>
        <v/>
      </c>
      <c r="N102" s="51" t="n">
        <f aca="false">IF(G102="",0,IF(ISNUMBER(B102),1,0))</f>
        <v>0</v>
      </c>
      <c r="O102" s="51" t="n">
        <f aca="false">IF(N102=1,YEAR(B102),0)</f>
        <v>0</v>
      </c>
      <c r="P102" s="51" t="n">
        <f aca="false">IF(N102=1,YEAR(B102)*100+MONTH(B102),0)</f>
        <v>0</v>
      </c>
      <c r="Q102" s="51" t="n">
        <f aca="false">IF(N102=1,IF(J102="No",1,0),0)</f>
        <v>0</v>
      </c>
    </row>
    <row r="103" customFormat="false" ht="15" hidden="false" customHeight="false" outlineLevel="0" collapsed="false">
      <c r="B103" s="52"/>
      <c r="C103" s="53"/>
      <c r="D103" s="53"/>
      <c r="E103" s="53"/>
      <c r="F103" s="53"/>
      <c r="G103" s="54"/>
      <c r="H103" s="55"/>
      <c r="I103" s="56" t="str">
        <f aca="false">IF(G103="","",G103*IF(H103="",1,H103))</f>
        <v/>
      </c>
      <c r="J103" s="57"/>
      <c r="K103" s="53"/>
      <c r="L103" s="58" t="str">
        <f aca="false">IF(G103="","",IF(ISNUMBER(B103),IF(E103="","⚠ ADD CATEGORY / AGREGA CATEGORÍA",IF(J103="No","⚠ SAVE RECEIPT / GUARDA RECIBO","✔ OK")),"⚠ ADD DATE / AGREGA FECHA"))</f>
        <v/>
      </c>
      <c r="N103" s="51" t="n">
        <f aca="false">IF(G103="",0,IF(ISNUMBER(B103),1,0))</f>
        <v>0</v>
      </c>
      <c r="O103" s="51" t="n">
        <f aca="false">IF(N103=1,YEAR(B103),0)</f>
        <v>0</v>
      </c>
      <c r="P103" s="51" t="n">
        <f aca="false">IF(N103=1,YEAR(B103)*100+MONTH(B103),0)</f>
        <v>0</v>
      </c>
      <c r="Q103" s="51" t="n">
        <f aca="false">IF(N103=1,IF(J103="No",1,0),0)</f>
        <v>0</v>
      </c>
    </row>
    <row r="104" customFormat="false" ht="15" hidden="false" customHeight="false" outlineLevel="0" collapsed="false">
      <c r="B104" s="52"/>
      <c r="C104" s="53"/>
      <c r="D104" s="53"/>
      <c r="E104" s="53"/>
      <c r="F104" s="53"/>
      <c r="G104" s="54"/>
      <c r="H104" s="55"/>
      <c r="I104" s="56" t="str">
        <f aca="false">IF(G104="","",G104*IF(H104="",1,H104))</f>
        <v/>
      </c>
      <c r="J104" s="57"/>
      <c r="K104" s="53"/>
      <c r="L104" s="58" t="str">
        <f aca="false">IF(G104="","",IF(ISNUMBER(B104),IF(E104="","⚠ ADD CATEGORY / AGREGA CATEGORÍA",IF(J104="No","⚠ SAVE RECEIPT / GUARDA RECIBO","✔ OK")),"⚠ ADD DATE / AGREGA FECHA"))</f>
        <v/>
      </c>
      <c r="N104" s="51" t="n">
        <f aca="false">IF(G104="",0,IF(ISNUMBER(B104),1,0))</f>
        <v>0</v>
      </c>
      <c r="O104" s="51" t="n">
        <f aca="false">IF(N104=1,YEAR(B104),0)</f>
        <v>0</v>
      </c>
      <c r="P104" s="51" t="n">
        <f aca="false">IF(N104=1,YEAR(B104)*100+MONTH(B104),0)</f>
        <v>0</v>
      </c>
      <c r="Q104" s="51" t="n">
        <f aca="false">IF(N104=1,IF(J104="No",1,0),0)</f>
        <v>0</v>
      </c>
    </row>
    <row r="105" customFormat="false" ht="15" hidden="false" customHeight="false" outlineLevel="0" collapsed="false">
      <c r="B105" s="52"/>
      <c r="C105" s="53"/>
      <c r="D105" s="53"/>
      <c r="E105" s="53"/>
      <c r="F105" s="53"/>
      <c r="G105" s="54"/>
      <c r="H105" s="55"/>
      <c r="I105" s="56" t="str">
        <f aca="false">IF(G105="","",G105*IF(H105="",1,H105))</f>
        <v/>
      </c>
      <c r="J105" s="57"/>
      <c r="K105" s="53"/>
      <c r="L105" s="58" t="str">
        <f aca="false">IF(G105="","",IF(ISNUMBER(B105),IF(E105="","⚠ ADD CATEGORY / AGREGA CATEGORÍA",IF(J105="No","⚠ SAVE RECEIPT / GUARDA RECIBO","✔ OK")),"⚠ ADD DATE / AGREGA FECHA"))</f>
        <v/>
      </c>
      <c r="N105" s="51" t="n">
        <f aca="false">IF(G105="",0,IF(ISNUMBER(B105),1,0))</f>
        <v>0</v>
      </c>
      <c r="O105" s="51" t="n">
        <f aca="false">IF(N105=1,YEAR(B105),0)</f>
        <v>0</v>
      </c>
      <c r="P105" s="51" t="n">
        <f aca="false">IF(N105=1,YEAR(B105)*100+MONTH(B105),0)</f>
        <v>0</v>
      </c>
      <c r="Q105" s="51" t="n">
        <f aca="false">IF(N105=1,IF(J105="No",1,0),0)</f>
        <v>0</v>
      </c>
    </row>
    <row r="106" customFormat="false" ht="15" hidden="false" customHeight="false" outlineLevel="0" collapsed="false">
      <c r="B106" s="52"/>
      <c r="C106" s="53"/>
      <c r="D106" s="53"/>
      <c r="E106" s="53"/>
      <c r="F106" s="53"/>
      <c r="G106" s="54"/>
      <c r="H106" s="55"/>
      <c r="I106" s="56" t="str">
        <f aca="false">IF(G106="","",G106*IF(H106="",1,H106))</f>
        <v/>
      </c>
      <c r="J106" s="57"/>
      <c r="K106" s="53"/>
      <c r="L106" s="58" t="str">
        <f aca="false">IF(G106="","",IF(ISNUMBER(B106),IF(E106="","⚠ ADD CATEGORY / AGREGA CATEGORÍA",IF(J106="No","⚠ SAVE RECEIPT / GUARDA RECIBO","✔ OK")),"⚠ ADD DATE / AGREGA FECHA"))</f>
        <v/>
      </c>
      <c r="N106" s="51" t="n">
        <f aca="false">IF(G106="",0,IF(ISNUMBER(B106),1,0))</f>
        <v>0</v>
      </c>
      <c r="O106" s="51" t="n">
        <f aca="false">IF(N106=1,YEAR(B106),0)</f>
        <v>0</v>
      </c>
      <c r="P106" s="51" t="n">
        <f aca="false">IF(N106=1,YEAR(B106)*100+MONTH(B106),0)</f>
        <v>0</v>
      </c>
      <c r="Q106" s="51" t="n">
        <f aca="false">IF(N106=1,IF(J106="No",1,0),0)</f>
        <v>0</v>
      </c>
    </row>
    <row r="107" customFormat="false" ht="15" hidden="false" customHeight="false" outlineLevel="0" collapsed="false">
      <c r="B107" s="52"/>
      <c r="C107" s="53"/>
      <c r="D107" s="53"/>
      <c r="E107" s="53"/>
      <c r="F107" s="53"/>
      <c r="G107" s="54"/>
      <c r="H107" s="55"/>
      <c r="I107" s="56" t="str">
        <f aca="false">IF(G107="","",G107*IF(H107="",1,H107))</f>
        <v/>
      </c>
      <c r="J107" s="57"/>
      <c r="K107" s="53"/>
      <c r="L107" s="58" t="str">
        <f aca="false">IF(G107="","",IF(ISNUMBER(B107),IF(E107="","⚠ ADD CATEGORY / AGREGA CATEGORÍA",IF(J107="No","⚠ SAVE RECEIPT / GUARDA RECIBO","✔ OK")),"⚠ ADD DATE / AGREGA FECHA"))</f>
        <v/>
      </c>
      <c r="N107" s="51" t="n">
        <f aca="false">IF(G107="",0,IF(ISNUMBER(B107),1,0))</f>
        <v>0</v>
      </c>
      <c r="O107" s="51" t="n">
        <f aca="false">IF(N107=1,YEAR(B107),0)</f>
        <v>0</v>
      </c>
      <c r="P107" s="51" t="n">
        <f aca="false">IF(N107=1,YEAR(B107)*100+MONTH(B107),0)</f>
        <v>0</v>
      </c>
      <c r="Q107" s="51" t="n">
        <f aca="false">IF(N107=1,IF(J107="No",1,0),0)</f>
        <v>0</v>
      </c>
    </row>
    <row r="108" customFormat="false" ht="15" hidden="false" customHeight="false" outlineLevel="0" collapsed="false">
      <c r="B108" s="52"/>
      <c r="C108" s="53"/>
      <c r="D108" s="53"/>
      <c r="E108" s="53"/>
      <c r="F108" s="53"/>
      <c r="G108" s="54"/>
      <c r="H108" s="55"/>
      <c r="I108" s="56" t="str">
        <f aca="false">IF(G108="","",G108*IF(H108="",1,H108))</f>
        <v/>
      </c>
      <c r="J108" s="57"/>
      <c r="K108" s="53"/>
      <c r="L108" s="58" t="str">
        <f aca="false">IF(G108="","",IF(ISNUMBER(B108),IF(E108="","⚠ ADD CATEGORY / AGREGA CATEGORÍA",IF(J108="No","⚠ SAVE RECEIPT / GUARDA RECIBO","✔ OK")),"⚠ ADD DATE / AGREGA FECHA"))</f>
        <v/>
      </c>
      <c r="N108" s="51" t="n">
        <f aca="false">IF(G108="",0,IF(ISNUMBER(B108),1,0))</f>
        <v>0</v>
      </c>
      <c r="O108" s="51" t="n">
        <f aca="false">IF(N108=1,YEAR(B108),0)</f>
        <v>0</v>
      </c>
      <c r="P108" s="51" t="n">
        <f aca="false">IF(N108=1,YEAR(B108)*100+MONTH(B108),0)</f>
        <v>0</v>
      </c>
      <c r="Q108" s="51" t="n">
        <f aca="false">IF(N108=1,IF(J108="No",1,0),0)</f>
        <v>0</v>
      </c>
    </row>
    <row r="109" customFormat="false" ht="15" hidden="false" customHeight="false" outlineLevel="0" collapsed="false">
      <c r="B109" s="52"/>
      <c r="C109" s="53"/>
      <c r="D109" s="53"/>
      <c r="E109" s="53"/>
      <c r="F109" s="53"/>
      <c r="G109" s="54"/>
      <c r="H109" s="55"/>
      <c r="I109" s="56" t="str">
        <f aca="false">IF(G109="","",G109*IF(H109="",1,H109))</f>
        <v/>
      </c>
      <c r="J109" s="57"/>
      <c r="K109" s="53"/>
      <c r="L109" s="58" t="str">
        <f aca="false">IF(G109="","",IF(ISNUMBER(B109),IF(E109="","⚠ ADD CATEGORY / AGREGA CATEGORÍA",IF(J109="No","⚠ SAVE RECEIPT / GUARDA RECIBO","✔ OK")),"⚠ ADD DATE / AGREGA FECHA"))</f>
        <v/>
      </c>
      <c r="N109" s="51" t="n">
        <f aca="false">IF(G109="",0,IF(ISNUMBER(B109),1,0))</f>
        <v>0</v>
      </c>
      <c r="O109" s="51" t="n">
        <f aca="false">IF(N109=1,YEAR(B109),0)</f>
        <v>0</v>
      </c>
      <c r="P109" s="51" t="n">
        <f aca="false">IF(N109=1,YEAR(B109)*100+MONTH(B109),0)</f>
        <v>0</v>
      </c>
      <c r="Q109" s="51" t="n">
        <f aca="false">IF(N109=1,IF(J109="No",1,0),0)</f>
        <v>0</v>
      </c>
    </row>
    <row r="110" customFormat="false" ht="15" hidden="false" customHeight="false" outlineLevel="0" collapsed="false">
      <c r="B110" s="52"/>
      <c r="C110" s="53"/>
      <c r="D110" s="53"/>
      <c r="E110" s="53"/>
      <c r="F110" s="53"/>
      <c r="G110" s="54"/>
      <c r="H110" s="55"/>
      <c r="I110" s="56" t="str">
        <f aca="false">IF(G110="","",G110*IF(H110="",1,H110))</f>
        <v/>
      </c>
      <c r="J110" s="57"/>
      <c r="K110" s="53"/>
      <c r="L110" s="58" t="str">
        <f aca="false">IF(G110="","",IF(ISNUMBER(B110),IF(E110="","⚠ ADD CATEGORY / AGREGA CATEGORÍA",IF(J110="No","⚠ SAVE RECEIPT / GUARDA RECIBO","✔ OK")),"⚠ ADD DATE / AGREGA FECHA"))</f>
        <v/>
      </c>
      <c r="N110" s="51" t="n">
        <f aca="false">IF(G110="",0,IF(ISNUMBER(B110),1,0))</f>
        <v>0</v>
      </c>
      <c r="O110" s="51" t="n">
        <f aca="false">IF(N110=1,YEAR(B110),0)</f>
        <v>0</v>
      </c>
      <c r="P110" s="51" t="n">
        <f aca="false">IF(N110=1,YEAR(B110)*100+MONTH(B110),0)</f>
        <v>0</v>
      </c>
      <c r="Q110" s="51" t="n">
        <f aca="false">IF(N110=1,IF(J110="No",1,0),0)</f>
        <v>0</v>
      </c>
    </row>
    <row r="111" customFormat="false" ht="15" hidden="false" customHeight="false" outlineLevel="0" collapsed="false">
      <c r="B111" s="52"/>
      <c r="C111" s="53"/>
      <c r="D111" s="53"/>
      <c r="E111" s="53"/>
      <c r="F111" s="53"/>
      <c r="G111" s="54"/>
      <c r="H111" s="55"/>
      <c r="I111" s="56" t="str">
        <f aca="false">IF(G111="","",G111*IF(H111="",1,H111))</f>
        <v/>
      </c>
      <c r="J111" s="57"/>
      <c r="K111" s="53"/>
      <c r="L111" s="58" t="str">
        <f aca="false">IF(G111="","",IF(ISNUMBER(B111),IF(E111="","⚠ ADD CATEGORY / AGREGA CATEGORÍA",IF(J111="No","⚠ SAVE RECEIPT / GUARDA RECIBO","✔ OK")),"⚠ ADD DATE / AGREGA FECHA"))</f>
        <v/>
      </c>
      <c r="N111" s="51" t="n">
        <f aca="false">IF(G111="",0,IF(ISNUMBER(B111),1,0))</f>
        <v>0</v>
      </c>
      <c r="O111" s="51" t="n">
        <f aca="false">IF(N111=1,YEAR(B111),0)</f>
        <v>0</v>
      </c>
      <c r="P111" s="51" t="n">
        <f aca="false">IF(N111=1,YEAR(B111)*100+MONTH(B111),0)</f>
        <v>0</v>
      </c>
      <c r="Q111" s="51" t="n">
        <f aca="false">IF(N111=1,IF(J111="No",1,0),0)</f>
        <v>0</v>
      </c>
    </row>
    <row r="112" customFormat="false" ht="15" hidden="false" customHeight="false" outlineLevel="0" collapsed="false">
      <c r="B112" s="52"/>
      <c r="C112" s="53"/>
      <c r="D112" s="53"/>
      <c r="E112" s="53"/>
      <c r="F112" s="53"/>
      <c r="G112" s="54"/>
      <c r="H112" s="55"/>
      <c r="I112" s="56" t="str">
        <f aca="false">IF(G112="","",G112*IF(H112="",1,H112))</f>
        <v/>
      </c>
      <c r="J112" s="57"/>
      <c r="K112" s="53"/>
      <c r="L112" s="58" t="str">
        <f aca="false">IF(G112="","",IF(ISNUMBER(B112),IF(E112="","⚠ ADD CATEGORY / AGREGA CATEGORÍA",IF(J112="No","⚠ SAVE RECEIPT / GUARDA RECIBO","✔ OK")),"⚠ ADD DATE / AGREGA FECHA"))</f>
        <v/>
      </c>
      <c r="N112" s="51" t="n">
        <f aca="false">IF(G112="",0,IF(ISNUMBER(B112),1,0))</f>
        <v>0</v>
      </c>
      <c r="O112" s="51" t="n">
        <f aca="false">IF(N112=1,YEAR(B112),0)</f>
        <v>0</v>
      </c>
      <c r="P112" s="51" t="n">
        <f aca="false">IF(N112=1,YEAR(B112)*100+MONTH(B112),0)</f>
        <v>0</v>
      </c>
      <c r="Q112" s="51" t="n">
        <f aca="false">IF(N112=1,IF(J112="No",1,0),0)</f>
        <v>0</v>
      </c>
    </row>
    <row r="113" customFormat="false" ht="15" hidden="false" customHeight="false" outlineLevel="0" collapsed="false">
      <c r="B113" s="52"/>
      <c r="C113" s="53"/>
      <c r="D113" s="53"/>
      <c r="E113" s="53"/>
      <c r="F113" s="53"/>
      <c r="G113" s="54"/>
      <c r="H113" s="55"/>
      <c r="I113" s="56" t="str">
        <f aca="false">IF(G113="","",G113*IF(H113="",1,H113))</f>
        <v/>
      </c>
      <c r="J113" s="57"/>
      <c r="K113" s="53"/>
      <c r="L113" s="58" t="str">
        <f aca="false">IF(G113="","",IF(ISNUMBER(B113),IF(E113="","⚠ ADD CATEGORY / AGREGA CATEGORÍA",IF(J113="No","⚠ SAVE RECEIPT / GUARDA RECIBO","✔ OK")),"⚠ ADD DATE / AGREGA FECHA"))</f>
        <v/>
      </c>
      <c r="N113" s="51" t="n">
        <f aca="false">IF(G113="",0,IF(ISNUMBER(B113),1,0))</f>
        <v>0</v>
      </c>
      <c r="O113" s="51" t="n">
        <f aca="false">IF(N113=1,YEAR(B113),0)</f>
        <v>0</v>
      </c>
      <c r="P113" s="51" t="n">
        <f aca="false">IF(N113=1,YEAR(B113)*100+MONTH(B113),0)</f>
        <v>0</v>
      </c>
      <c r="Q113" s="51" t="n">
        <f aca="false">IF(N113=1,IF(J113="No",1,0),0)</f>
        <v>0</v>
      </c>
    </row>
    <row r="114" customFormat="false" ht="15" hidden="false" customHeight="false" outlineLevel="0" collapsed="false">
      <c r="B114" s="52"/>
      <c r="C114" s="53"/>
      <c r="D114" s="53"/>
      <c r="E114" s="53"/>
      <c r="F114" s="53"/>
      <c r="G114" s="54"/>
      <c r="H114" s="55"/>
      <c r="I114" s="56" t="str">
        <f aca="false">IF(G114="","",G114*IF(H114="",1,H114))</f>
        <v/>
      </c>
      <c r="J114" s="57"/>
      <c r="K114" s="53"/>
      <c r="L114" s="58" t="str">
        <f aca="false">IF(G114="","",IF(ISNUMBER(B114),IF(E114="","⚠ ADD CATEGORY / AGREGA CATEGORÍA",IF(J114="No","⚠ SAVE RECEIPT / GUARDA RECIBO","✔ OK")),"⚠ ADD DATE / AGREGA FECHA"))</f>
        <v/>
      </c>
      <c r="N114" s="51" t="n">
        <f aca="false">IF(G114="",0,IF(ISNUMBER(B114),1,0))</f>
        <v>0</v>
      </c>
      <c r="O114" s="51" t="n">
        <f aca="false">IF(N114=1,YEAR(B114),0)</f>
        <v>0</v>
      </c>
      <c r="P114" s="51" t="n">
        <f aca="false">IF(N114=1,YEAR(B114)*100+MONTH(B114),0)</f>
        <v>0</v>
      </c>
      <c r="Q114" s="51" t="n">
        <f aca="false">IF(N114=1,IF(J114="No",1,0),0)</f>
        <v>0</v>
      </c>
    </row>
    <row r="115" customFormat="false" ht="15" hidden="false" customHeight="false" outlineLevel="0" collapsed="false">
      <c r="B115" s="52"/>
      <c r="C115" s="53"/>
      <c r="D115" s="53"/>
      <c r="E115" s="53"/>
      <c r="F115" s="53"/>
      <c r="G115" s="54"/>
      <c r="H115" s="55"/>
      <c r="I115" s="56" t="str">
        <f aca="false">IF(G115="","",G115*IF(H115="",1,H115))</f>
        <v/>
      </c>
      <c r="J115" s="57"/>
      <c r="K115" s="53"/>
      <c r="L115" s="58" t="str">
        <f aca="false">IF(G115="","",IF(ISNUMBER(B115),IF(E115="","⚠ ADD CATEGORY / AGREGA CATEGORÍA",IF(J115="No","⚠ SAVE RECEIPT / GUARDA RECIBO","✔ OK")),"⚠ ADD DATE / AGREGA FECHA"))</f>
        <v/>
      </c>
      <c r="N115" s="51" t="n">
        <f aca="false">IF(G115="",0,IF(ISNUMBER(B115),1,0))</f>
        <v>0</v>
      </c>
      <c r="O115" s="51" t="n">
        <f aca="false">IF(N115=1,YEAR(B115),0)</f>
        <v>0</v>
      </c>
      <c r="P115" s="51" t="n">
        <f aca="false">IF(N115=1,YEAR(B115)*100+MONTH(B115),0)</f>
        <v>0</v>
      </c>
      <c r="Q115" s="51" t="n">
        <f aca="false">IF(N115=1,IF(J115="No",1,0),0)</f>
        <v>0</v>
      </c>
    </row>
    <row r="116" customFormat="false" ht="15" hidden="false" customHeight="false" outlineLevel="0" collapsed="false">
      <c r="B116" s="52"/>
      <c r="C116" s="53"/>
      <c r="D116" s="53"/>
      <c r="E116" s="53"/>
      <c r="F116" s="53"/>
      <c r="G116" s="54"/>
      <c r="H116" s="55"/>
      <c r="I116" s="56" t="str">
        <f aca="false">IF(G116="","",G116*IF(H116="",1,H116))</f>
        <v/>
      </c>
      <c r="J116" s="57"/>
      <c r="K116" s="53"/>
      <c r="L116" s="58" t="str">
        <f aca="false">IF(G116="","",IF(ISNUMBER(B116),IF(E116="","⚠ ADD CATEGORY / AGREGA CATEGORÍA",IF(J116="No","⚠ SAVE RECEIPT / GUARDA RECIBO","✔ OK")),"⚠ ADD DATE / AGREGA FECHA"))</f>
        <v/>
      </c>
      <c r="N116" s="51" t="n">
        <f aca="false">IF(G116="",0,IF(ISNUMBER(B116),1,0))</f>
        <v>0</v>
      </c>
      <c r="O116" s="51" t="n">
        <f aca="false">IF(N116=1,YEAR(B116),0)</f>
        <v>0</v>
      </c>
      <c r="P116" s="51" t="n">
        <f aca="false">IF(N116=1,YEAR(B116)*100+MONTH(B116),0)</f>
        <v>0</v>
      </c>
      <c r="Q116" s="51" t="n">
        <f aca="false">IF(N116=1,IF(J116="No",1,0),0)</f>
        <v>0</v>
      </c>
    </row>
    <row r="117" customFormat="false" ht="15" hidden="false" customHeight="false" outlineLevel="0" collapsed="false">
      <c r="B117" s="52"/>
      <c r="C117" s="53"/>
      <c r="D117" s="53"/>
      <c r="E117" s="53"/>
      <c r="F117" s="53"/>
      <c r="G117" s="54"/>
      <c r="H117" s="55"/>
      <c r="I117" s="56" t="str">
        <f aca="false">IF(G117="","",G117*IF(H117="",1,H117))</f>
        <v/>
      </c>
      <c r="J117" s="57"/>
      <c r="K117" s="53"/>
      <c r="L117" s="58" t="str">
        <f aca="false">IF(G117="","",IF(ISNUMBER(B117),IF(E117="","⚠ ADD CATEGORY / AGREGA CATEGORÍA",IF(J117="No","⚠ SAVE RECEIPT / GUARDA RECIBO","✔ OK")),"⚠ ADD DATE / AGREGA FECHA"))</f>
        <v/>
      </c>
      <c r="N117" s="51" t="n">
        <f aca="false">IF(G117="",0,IF(ISNUMBER(B117),1,0))</f>
        <v>0</v>
      </c>
      <c r="O117" s="51" t="n">
        <f aca="false">IF(N117=1,YEAR(B117),0)</f>
        <v>0</v>
      </c>
      <c r="P117" s="51" t="n">
        <f aca="false">IF(N117=1,YEAR(B117)*100+MONTH(B117),0)</f>
        <v>0</v>
      </c>
      <c r="Q117" s="51" t="n">
        <f aca="false">IF(N117=1,IF(J117="No",1,0),0)</f>
        <v>0</v>
      </c>
    </row>
    <row r="118" customFormat="false" ht="15" hidden="false" customHeight="false" outlineLevel="0" collapsed="false">
      <c r="B118" s="52"/>
      <c r="C118" s="53"/>
      <c r="D118" s="53"/>
      <c r="E118" s="53"/>
      <c r="F118" s="53"/>
      <c r="G118" s="54"/>
      <c r="H118" s="55"/>
      <c r="I118" s="56" t="str">
        <f aca="false">IF(G118="","",G118*IF(H118="",1,H118))</f>
        <v/>
      </c>
      <c r="J118" s="57"/>
      <c r="K118" s="53"/>
      <c r="L118" s="58" t="str">
        <f aca="false">IF(G118="","",IF(ISNUMBER(B118),IF(E118="","⚠ ADD CATEGORY / AGREGA CATEGORÍA",IF(J118="No","⚠ SAVE RECEIPT / GUARDA RECIBO","✔ OK")),"⚠ ADD DATE / AGREGA FECHA"))</f>
        <v/>
      </c>
      <c r="N118" s="51" t="n">
        <f aca="false">IF(G118="",0,IF(ISNUMBER(B118),1,0))</f>
        <v>0</v>
      </c>
      <c r="O118" s="51" t="n">
        <f aca="false">IF(N118=1,YEAR(B118),0)</f>
        <v>0</v>
      </c>
      <c r="P118" s="51" t="n">
        <f aca="false">IF(N118=1,YEAR(B118)*100+MONTH(B118),0)</f>
        <v>0</v>
      </c>
      <c r="Q118" s="51" t="n">
        <f aca="false">IF(N118=1,IF(J118="No",1,0),0)</f>
        <v>0</v>
      </c>
    </row>
    <row r="119" customFormat="false" ht="15" hidden="false" customHeight="false" outlineLevel="0" collapsed="false">
      <c r="B119" s="52"/>
      <c r="C119" s="53"/>
      <c r="D119" s="53"/>
      <c r="E119" s="53"/>
      <c r="F119" s="53"/>
      <c r="G119" s="54"/>
      <c r="H119" s="55"/>
      <c r="I119" s="56" t="str">
        <f aca="false">IF(G119="","",G119*IF(H119="",1,H119))</f>
        <v/>
      </c>
      <c r="J119" s="57"/>
      <c r="K119" s="53"/>
      <c r="L119" s="58" t="str">
        <f aca="false">IF(G119="","",IF(ISNUMBER(B119),IF(E119="","⚠ ADD CATEGORY / AGREGA CATEGORÍA",IF(J119="No","⚠ SAVE RECEIPT / GUARDA RECIBO","✔ OK")),"⚠ ADD DATE / AGREGA FECHA"))</f>
        <v/>
      </c>
      <c r="N119" s="51" t="n">
        <f aca="false">IF(G119="",0,IF(ISNUMBER(B119),1,0))</f>
        <v>0</v>
      </c>
      <c r="O119" s="51" t="n">
        <f aca="false">IF(N119=1,YEAR(B119),0)</f>
        <v>0</v>
      </c>
      <c r="P119" s="51" t="n">
        <f aca="false">IF(N119=1,YEAR(B119)*100+MONTH(B119),0)</f>
        <v>0</v>
      </c>
      <c r="Q119" s="51" t="n">
        <f aca="false">IF(N119=1,IF(J119="No",1,0),0)</f>
        <v>0</v>
      </c>
    </row>
    <row r="120" customFormat="false" ht="15" hidden="false" customHeight="false" outlineLevel="0" collapsed="false">
      <c r="B120" s="52"/>
      <c r="C120" s="53"/>
      <c r="D120" s="53"/>
      <c r="E120" s="53"/>
      <c r="F120" s="53"/>
      <c r="G120" s="54"/>
      <c r="H120" s="55"/>
      <c r="I120" s="56" t="str">
        <f aca="false">IF(G120="","",G120*IF(H120="",1,H120))</f>
        <v/>
      </c>
      <c r="J120" s="57"/>
      <c r="K120" s="53"/>
      <c r="L120" s="58" t="str">
        <f aca="false">IF(G120="","",IF(ISNUMBER(B120),IF(E120="","⚠ ADD CATEGORY / AGREGA CATEGORÍA",IF(J120="No","⚠ SAVE RECEIPT / GUARDA RECIBO","✔ OK")),"⚠ ADD DATE / AGREGA FECHA"))</f>
        <v/>
      </c>
      <c r="N120" s="51" t="n">
        <f aca="false">IF(G120="",0,IF(ISNUMBER(B120),1,0))</f>
        <v>0</v>
      </c>
      <c r="O120" s="51" t="n">
        <f aca="false">IF(N120=1,YEAR(B120),0)</f>
        <v>0</v>
      </c>
      <c r="P120" s="51" t="n">
        <f aca="false">IF(N120=1,YEAR(B120)*100+MONTH(B120),0)</f>
        <v>0</v>
      </c>
      <c r="Q120" s="51" t="n">
        <f aca="false">IF(N120=1,IF(J120="No",1,0),0)</f>
        <v>0</v>
      </c>
    </row>
    <row r="121" customFormat="false" ht="15" hidden="false" customHeight="false" outlineLevel="0" collapsed="false">
      <c r="B121" s="52"/>
      <c r="C121" s="53"/>
      <c r="D121" s="53"/>
      <c r="E121" s="53"/>
      <c r="F121" s="53"/>
      <c r="G121" s="54"/>
      <c r="H121" s="55"/>
      <c r="I121" s="56" t="str">
        <f aca="false">IF(G121="","",G121*IF(H121="",1,H121))</f>
        <v/>
      </c>
      <c r="J121" s="57"/>
      <c r="K121" s="53"/>
      <c r="L121" s="58" t="str">
        <f aca="false">IF(G121="","",IF(ISNUMBER(B121),IF(E121="","⚠ ADD CATEGORY / AGREGA CATEGORÍA",IF(J121="No","⚠ SAVE RECEIPT / GUARDA RECIBO","✔ OK")),"⚠ ADD DATE / AGREGA FECHA"))</f>
        <v/>
      </c>
      <c r="N121" s="51" t="n">
        <f aca="false">IF(G121="",0,IF(ISNUMBER(B121),1,0))</f>
        <v>0</v>
      </c>
      <c r="O121" s="51" t="n">
        <f aca="false">IF(N121=1,YEAR(B121),0)</f>
        <v>0</v>
      </c>
      <c r="P121" s="51" t="n">
        <f aca="false">IF(N121=1,YEAR(B121)*100+MONTH(B121),0)</f>
        <v>0</v>
      </c>
      <c r="Q121" s="51" t="n">
        <f aca="false">IF(N121=1,IF(J121="No",1,0),0)</f>
        <v>0</v>
      </c>
    </row>
    <row r="122" customFormat="false" ht="15" hidden="false" customHeight="false" outlineLevel="0" collapsed="false">
      <c r="B122" s="52"/>
      <c r="C122" s="53"/>
      <c r="D122" s="53"/>
      <c r="E122" s="53"/>
      <c r="F122" s="53"/>
      <c r="G122" s="54"/>
      <c r="H122" s="55"/>
      <c r="I122" s="56" t="str">
        <f aca="false">IF(G122="","",G122*IF(H122="",1,H122))</f>
        <v/>
      </c>
      <c r="J122" s="57"/>
      <c r="K122" s="53"/>
      <c r="L122" s="58" t="str">
        <f aca="false">IF(G122="","",IF(ISNUMBER(B122),IF(E122="","⚠ ADD CATEGORY / AGREGA CATEGORÍA",IF(J122="No","⚠ SAVE RECEIPT / GUARDA RECIBO","✔ OK")),"⚠ ADD DATE / AGREGA FECHA"))</f>
        <v/>
      </c>
      <c r="N122" s="51" t="n">
        <f aca="false">IF(G122="",0,IF(ISNUMBER(B122),1,0))</f>
        <v>0</v>
      </c>
      <c r="O122" s="51" t="n">
        <f aca="false">IF(N122=1,YEAR(B122),0)</f>
        <v>0</v>
      </c>
      <c r="P122" s="51" t="n">
        <f aca="false">IF(N122=1,YEAR(B122)*100+MONTH(B122),0)</f>
        <v>0</v>
      </c>
      <c r="Q122" s="51" t="n">
        <f aca="false">IF(N122=1,IF(J122="No",1,0),0)</f>
        <v>0</v>
      </c>
    </row>
    <row r="123" customFormat="false" ht="15" hidden="false" customHeight="false" outlineLevel="0" collapsed="false">
      <c r="B123" s="52"/>
      <c r="C123" s="53"/>
      <c r="D123" s="53"/>
      <c r="E123" s="53"/>
      <c r="F123" s="53"/>
      <c r="G123" s="54"/>
      <c r="H123" s="55"/>
      <c r="I123" s="56" t="str">
        <f aca="false">IF(G123="","",G123*IF(H123="",1,H123))</f>
        <v/>
      </c>
      <c r="J123" s="57"/>
      <c r="K123" s="53"/>
      <c r="L123" s="58" t="str">
        <f aca="false">IF(G123="","",IF(ISNUMBER(B123),IF(E123="","⚠ ADD CATEGORY / AGREGA CATEGORÍA",IF(J123="No","⚠ SAVE RECEIPT / GUARDA RECIBO","✔ OK")),"⚠ ADD DATE / AGREGA FECHA"))</f>
        <v/>
      </c>
      <c r="N123" s="51" t="n">
        <f aca="false">IF(G123="",0,IF(ISNUMBER(B123),1,0))</f>
        <v>0</v>
      </c>
      <c r="O123" s="51" t="n">
        <f aca="false">IF(N123=1,YEAR(B123),0)</f>
        <v>0</v>
      </c>
      <c r="P123" s="51" t="n">
        <f aca="false">IF(N123=1,YEAR(B123)*100+MONTH(B123),0)</f>
        <v>0</v>
      </c>
      <c r="Q123" s="51" t="n">
        <f aca="false">IF(N123=1,IF(J123="No",1,0),0)</f>
        <v>0</v>
      </c>
    </row>
    <row r="124" customFormat="false" ht="15" hidden="false" customHeight="false" outlineLevel="0" collapsed="false">
      <c r="B124" s="52"/>
      <c r="C124" s="53"/>
      <c r="D124" s="53"/>
      <c r="E124" s="53"/>
      <c r="F124" s="53"/>
      <c r="G124" s="54"/>
      <c r="H124" s="55"/>
      <c r="I124" s="56" t="str">
        <f aca="false">IF(G124="","",G124*IF(H124="",1,H124))</f>
        <v/>
      </c>
      <c r="J124" s="57"/>
      <c r="K124" s="53"/>
      <c r="L124" s="58" t="str">
        <f aca="false">IF(G124="","",IF(ISNUMBER(B124),IF(E124="","⚠ ADD CATEGORY / AGREGA CATEGORÍA",IF(J124="No","⚠ SAVE RECEIPT / GUARDA RECIBO","✔ OK")),"⚠ ADD DATE / AGREGA FECHA"))</f>
        <v/>
      </c>
      <c r="N124" s="51" t="n">
        <f aca="false">IF(G124="",0,IF(ISNUMBER(B124),1,0))</f>
        <v>0</v>
      </c>
      <c r="O124" s="51" t="n">
        <f aca="false">IF(N124=1,YEAR(B124),0)</f>
        <v>0</v>
      </c>
      <c r="P124" s="51" t="n">
        <f aca="false">IF(N124=1,YEAR(B124)*100+MONTH(B124),0)</f>
        <v>0</v>
      </c>
      <c r="Q124" s="51" t="n">
        <f aca="false">IF(N124=1,IF(J124="No",1,0),0)</f>
        <v>0</v>
      </c>
    </row>
    <row r="125" customFormat="false" ht="15" hidden="false" customHeight="false" outlineLevel="0" collapsed="false">
      <c r="B125" s="52"/>
      <c r="C125" s="53"/>
      <c r="D125" s="53"/>
      <c r="E125" s="53"/>
      <c r="F125" s="53"/>
      <c r="G125" s="54"/>
      <c r="H125" s="55"/>
      <c r="I125" s="56" t="str">
        <f aca="false">IF(G125="","",G125*IF(H125="",1,H125))</f>
        <v/>
      </c>
      <c r="J125" s="57"/>
      <c r="K125" s="53"/>
      <c r="L125" s="58" t="str">
        <f aca="false">IF(G125="","",IF(ISNUMBER(B125),IF(E125="","⚠ ADD CATEGORY / AGREGA CATEGORÍA",IF(J125="No","⚠ SAVE RECEIPT / GUARDA RECIBO","✔ OK")),"⚠ ADD DATE / AGREGA FECHA"))</f>
        <v/>
      </c>
      <c r="N125" s="51" t="n">
        <f aca="false">IF(G125="",0,IF(ISNUMBER(B125),1,0))</f>
        <v>0</v>
      </c>
      <c r="O125" s="51" t="n">
        <f aca="false">IF(N125=1,YEAR(B125),0)</f>
        <v>0</v>
      </c>
      <c r="P125" s="51" t="n">
        <f aca="false">IF(N125=1,YEAR(B125)*100+MONTH(B125),0)</f>
        <v>0</v>
      </c>
      <c r="Q125" s="51" t="n">
        <f aca="false">IF(N125=1,IF(J125="No",1,0),0)</f>
        <v>0</v>
      </c>
    </row>
    <row r="126" customFormat="false" ht="15" hidden="false" customHeight="false" outlineLevel="0" collapsed="false">
      <c r="B126" s="52"/>
      <c r="C126" s="53"/>
      <c r="D126" s="53"/>
      <c r="E126" s="53"/>
      <c r="F126" s="53"/>
      <c r="G126" s="54"/>
      <c r="H126" s="55"/>
      <c r="I126" s="56" t="str">
        <f aca="false">IF(G126="","",G126*IF(H126="",1,H126))</f>
        <v/>
      </c>
      <c r="J126" s="57"/>
      <c r="K126" s="53"/>
      <c r="L126" s="58" t="str">
        <f aca="false">IF(G126="","",IF(ISNUMBER(B126),IF(E126="","⚠ ADD CATEGORY / AGREGA CATEGORÍA",IF(J126="No","⚠ SAVE RECEIPT / GUARDA RECIBO","✔ OK")),"⚠ ADD DATE / AGREGA FECHA"))</f>
        <v/>
      </c>
      <c r="N126" s="51" t="n">
        <f aca="false">IF(G126="",0,IF(ISNUMBER(B126),1,0))</f>
        <v>0</v>
      </c>
      <c r="O126" s="51" t="n">
        <f aca="false">IF(N126=1,YEAR(B126),0)</f>
        <v>0</v>
      </c>
      <c r="P126" s="51" t="n">
        <f aca="false">IF(N126=1,YEAR(B126)*100+MONTH(B126),0)</f>
        <v>0</v>
      </c>
      <c r="Q126" s="51" t="n">
        <f aca="false">IF(N126=1,IF(J126="No",1,0),0)</f>
        <v>0</v>
      </c>
    </row>
    <row r="127" customFormat="false" ht="15" hidden="false" customHeight="false" outlineLevel="0" collapsed="false">
      <c r="B127" s="52"/>
      <c r="C127" s="53"/>
      <c r="D127" s="53"/>
      <c r="E127" s="53"/>
      <c r="F127" s="53"/>
      <c r="G127" s="54"/>
      <c r="H127" s="55"/>
      <c r="I127" s="56" t="str">
        <f aca="false">IF(G127="","",G127*IF(H127="",1,H127))</f>
        <v/>
      </c>
      <c r="J127" s="57"/>
      <c r="K127" s="53"/>
      <c r="L127" s="58" t="str">
        <f aca="false">IF(G127="","",IF(ISNUMBER(B127),IF(E127="","⚠ ADD CATEGORY / AGREGA CATEGORÍA",IF(J127="No","⚠ SAVE RECEIPT / GUARDA RECIBO","✔ OK")),"⚠ ADD DATE / AGREGA FECHA"))</f>
        <v/>
      </c>
      <c r="N127" s="51" t="n">
        <f aca="false">IF(G127="",0,IF(ISNUMBER(B127),1,0))</f>
        <v>0</v>
      </c>
      <c r="O127" s="51" t="n">
        <f aca="false">IF(N127=1,YEAR(B127),0)</f>
        <v>0</v>
      </c>
      <c r="P127" s="51" t="n">
        <f aca="false">IF(N127=1,YEAR(B127)*100+MONTH(B127),0)</f>
        <v>0</v>
      </c>
      <c r="Q127" s="51" t="n">
        <f aca="false">IF(N127=1,IF(J127="No",1,0),0)</f>
        <v>0</v>
      </c>
    </row>
    <row r="128" customFormat="false" ht="15" hidden="false" customHeight="false" outlineLevel="0" collapsed="false">
      <c r="B128" s="52"/>
      <c r="C128" s="53"/>
      <c r="D128" s="53"/>
      <c r="E128" s="53"/>
      <c r="F128" s="53"/>
      <c r="G128" s="54"/>
      <c r="H128" s="55"/>
      <c r="I128" s="56" t="str">
        <f aca="false">IF(G128="","",G128*IF(H128="",1,H128))</f>
        <v/>
      </c>
      <c r="J128" s="57"/>
      <c r="K128" s="53"/>
      <c r="L128" s="58" t="str">
        <f aca="false">IF(G128="","",IF(ISNUMBER(B128),IF(E128="","⚠ ADD CATEGORY / AGREGA CATEGORÍA",IF(J128="No","⚠ SAVE RECEIPT / GUARDA RECIBO","✔ OK")),"⚠ ADD DATE / AGREGA FECHA"))</f>
        <v/>
      </c>
      <c r="N128" s="51" t="n">
        <f aca="false">IF(G128="",0,IF(ISNUMBER(B128),1,0))</f>
        <v>0</v>
      </c>
      <c r="O128" s="51" t="n">
        <f aca="false">IF(N128=1,YEAR(B128),0)</f>
        <v>0</v>
      </c>
      <c r="P128" s="51" t="n">
        <f aca="false">IF(N128=1,YEAR(B128)*100+MONTH(B128),0)</f>
        <v>0</v>
      </c>
      <c r="Q128" s="51" t="n">
        <f aca="false">IF(N128=1,IF(J128="No",1,0),0)</f>
        <v>0</v>
      </c>
    </row>
    <row r="129" customFormat="false" ht="15" hidden="false" customHeight="false" outlineLevel="0" collapsed="false">
      <c r="B129" s="52"/>
      <c r="C129" s="53"/>
      <c r="D129" s="53"/>
      <c r="E129" s="53"/>
      <c r="F129" s="53"/>
      <c r="G129" s="54"/>
      <c r="H129" s="55"/>
      <c r="I129" s="56" t="str">
        <f aca="false">IF(G129="","",G129*IF(H129="",1,H129))</f>
        <v/>
      </c>
      <c r="J129" s="57"/>
      <c r="K129" s="53"/>
      <c r="L129" s="58" t="str">
        <f aca="false">IF(G129="","",IF(ISNUMBER(B129),IF(E129="","⚠ ADD CATEGORY / AGREGA CATEGORÍA",IF(J129="No","⚠ SAVE RECEIPT / GUARDA RECIBO","✔ OK")),"⚠ ADD DATE / AGREGA FECHA"))</f>
        <v/>
      </c>
      <c r="N129" s="51" t="n">
        <f aca="false">IF(G129="",0,IF(ISNUMBER(B129),1,0))</f>
        <v>0</v>
      </c>
      <c r="O129" s="51" t="n">
        <f aca="false">IF(N129=1,YEAR(B129),0)</f>
        <v>0</v>
      </c>
      <c r="P129" s="51" t="n">
        <f aca="false">IF(N129=1,YEAR(B129)*100+MONTH(B129),0)</f>
        <v>0</v>
      </c>
      <c r="Q129" s="51" t="n">
        <f aca="false">IF(N129=1,IF(J129="No",1,0),0)</f>
        <v>0</v>
      </c>
    </row>
    <row r="130" customFormat="false" ht="15" hidden="false" customHeight="false" outlineLevel="0" collapsed="false">
      <c r="B130" s="52"/>
      <c r="C130" s="53"/>
      <c r="D130" s="53"/>
      <c r="E130" s="53"/>
      <c r="F130" s="53"/>
      <c r="G130" s="54"/>
      <c r="H130" s="55"/>
      <c r="I130" s="56" t="str">
        <f aca="false">IF(G130="","",G130*IF(H130="",1,H130))</f>
        <v/>
      </c>
      <c r="J130" s="57"/>
      <c r="K130" s="53"/>
      <c r="L130" s="58" t="str">
        <f aca="false">IF(G130="","",IF(ISNUMBER(B130),IF(E130="","⚠ ADD CATEGORY / AGREGA CATEGORÍA",IF(J130="No","⚠ SAVE RECEIPT / GUARDA RECIBO","✔ OK")),"⚠ ADD DATE / AGREGA FECHA"))</f>
        <v/>
      </c>
      <c r="N130" s="51" t="n">
        <f aca="false">IF(G130="",0,IF(ISNUMBER(B130),1,0))</f>
        <v>0</v>
      </c>
      <c r="O130" s="51" t="n">
        <f aca="false">IF(N130=1,YEAR(B130),0)</f>
        <v>0</v>
      </c>
      <c r="P130" s="51" t="n">
        <f aca="false">IF(N130=1,YEAR(B130)*100+MONTH(B130),0)</f>
        <v>0</v>
      </c>
      <c r="Q130" s="51" t="n">
        <f aca="false">IF(N130=1,IF(J130="No",1,0),0)</f>
        <v>0</v>
      </c>
    </row>
    <row r="131" customFormat="false" ht="15" hidden="false" customHeight="false" outlineLevel="0" collapsed="false">
      <c r="B131" s="52"/>
      <c r="C131" s="53"/>
      <c r="D131" s="53"/>
      <c r="E131" s="53"/>
      <c r="F131" s="53"/>
      <c r="G131" s="54"/>
      <c r="H131" s="55"/>
      <c r="I131" s="56" t="str">
        <f aca="false">IF(G131="","",G131*IF(H131="",1,H131))</f>
        <v/>
      </c>
      <c r="J131" s="57"/>
      <c r="K131" s="53"/>
      <c r="L131" s="58" t="str">
        <f aca="false">IF(G131="","",IF(ISNUMBER(B131),IF(E131="","⚠ ADD CATEGORY / AGREGA CATEGORÍA",IF(J131="No","⚠ SAVE RECEIPT / GUARDA RECIBO","✔ OK")),"⚠ ADD DATE / AGREGA FECHA"))</f>
        <v/>
      </c>
      <c r="N131" s="51" t="n">
        <f aca="false">IF(G131="",0,IF(ISNUMBER(B131),1,0))</f>
        <v>0</v>
      </c>
      <c r="O131" s="51" t="n">
        <f aca="false">IF(N131=1,YEAR(B131),0)</f>
        <v>0</v>
      </c>
      <c r="P131" s="51" t="n">
        <f aca="false">IF(N131=1,YEAR(B131)*100+MONTH(B131),0)</f>
        <v>0</v>
      </c>
      <c r="Q131" s="51" t="n">
        <f aca="false">IF(N131=1,IF(J131="No",1,0),0)</f>
        <v>0</v>
      </c>
    </row>
    <row r="132" customFormat="false" ht="15" hidden="false" customHeight="false" outlineLevel="0" collapsed="false">
      <c r="B132" s="52"/>
      <c r="C132" s="53"/>
      <c r="D132" s="53"/>
      <c r="E132" s="53"/>
      <c r="F132" s="53"/>
      <c r="G132" s="54"/>
      <c r="H132" s="55"/>
      <c r="I132" s="56" t="str">
        <f aca="false">IF(G132="","",G132*IF(H132="",1,H132))</f>
        <v/>
      </c>
      <c r="J132" s="57"/>
      <c r="K132" s="53"/>
      <c r="L132" s="58" t="str">
        <f aca="false">IF(G132="","",IF(ISNUMBER(B132),IF(E132="","⚠ ADD CATEGORY / AGREGA CATEGORÍA",IF(J132="No","⚠ SAVE RECEIPT / GUARDA RECIBO","✔ OK")),"⚠ ADD DATE / AGREGA FECHA"))</f>
        <v/>
      </c>
      <c r="N132" s="51" t="n">
        <f aca="false">IF(G132="",0,IF(ISNUMBER(B132),1,0))</f>
        <v>0</v>
      </c>
      <c r="O132" s="51" t="n">
        <f aca="false">IF(N132=1,YEAR(B132),0)</f>
        <v>0</v>
      </c>
      <c r="P132" s="51" t="n">
        <f aca="false">IF(N132=1,YEAR(B132)*100+MONTH(B132),0)</f>
        <v>0</v>
      </c>
      <c r="Q132" s="51" t="n">
        <f aca="false">IF(N132=1,IF(J132="No",1,0),0)</f>
        <v>0</v>
      </c>
    </row>
    <row r="133" customFormat="false" ht="15" hidden="false" customHeight="false" outlineLevel="0" collapsed="false">
      <c r="B133" s="52"/>
      <c r="C133" s="53"/>
      <c r="D133" s="53"/>
      <c r="E133" s="53"/>
      <c r="F133" s="53"/>
      <c r="G133" s="54"/>
      <c r="H133" s="55"/>
      <c r="I133" s="56" t="str">
        <f aca="false">IF(G133="","",G133*IF(H133="",1,H133))</f>
        <v/>
      </c>
      <c r="J133" s="57"/>
      <c r="K133" s="53"/>
      <c r="L133" s="58" t="str">
        <f aca="false">IF(G133="","",IF(ISNUMBER(B133),IF(E133="","⚠ ADD CATEGORY / AGREGA CATEGORÍA",IF(J133="No","⚠ SAVE RECEIPT / GUARDA RECIBO","✔ OK")),"⚠ ADD DATE / AGREGA FECHA"))</f>
        <v/>
      </c>
      <c r="N133" s="51" t="n">
        <f aca="false">IF(G133="",0,IF(ISNUMBER(B133),1,0))</f>
        <v>0</v>
      </c>
      <c r="O133" s="51" t="n">
        <f aca="false">IF(N133=1,YEAR(B133),0)</f>
        <v>0</v>
      </c>
      <c r="P133" s="51" t="n">
        <f aca="false">IF(N133=1,YEAR(B133)*100+MONTH(B133),0)</f>
        <v>0</v>
      </c>
      <c r="Q133" s="51" t="n">
        <f aca="false">IF(N133=1,IF(J133="No",1,0),0)</f>
        <v>0</v>
      </c>
    </row>
    <row r="134" customFormat="false" ht="15" hidden="false" customHeight="false" outlineLevel="0" collapsed="false">
      <c r="B134" s="52"/>
      <c r="C134" s="53"/>
      <c r="D134" s="53"/>
      <c r="E134" s="53"/>
      <c r="F134" s="53"/>
      <c r="G134" s="54"/>
      <c r="H134" s="55"/>
      <c r="I134" s="56" t="str">
        <f aca="false">IF(G134="","",G134*IF(H134="",1,H134))</f>
        <v/>
      </c>
      <c r="J134" s="57"/>
      <c r="K134" s="53"/>
      <c r="L134" s="58" t="str">
        <f aca="false">IF(G134="","",IF(ISNUMBER(B134),IF(E134="","⚠ ADD CATEGORY / AGREGA CATEGORÍA",IF(J134="No","⚠ SAVE RECEIPT / GUARDA RECIBO","✔ OK")),"⚠ ADD DATE / AGREGA FECHA"))</f>
        <v/>
      </c>
      <c r="N134" s="51" t="n">
        <f aca="false">IF(G134="",0,IF(ISNUMBER(B134),1,0))</f>
        <v>0</v>
      </c>
      <c r="O134" s="51" t="n">
        <f aca="false">IF(N134=1,YEAR(B134),0)</f>
        <v>0</v>
      </c>
      <c r="P134" s="51" t="n">
        <f aca="false">IF(N134=1,YEAR(B134)*100+MONTH(B134),0)</f>
        <v>0</v>
      </c>
      <c r="Q134" s="51" t="n">
        <f aca="false">IF(N134=1,IF(J134="No",1,0),0)</f>
        <v>0</v>
      </c>
    </row>
    <row r="135" customFormat="false" ht="15" hidden="false" customHeight="false" outlineLevel="0" collapsed="false">
      <c r="B135" s="52"/>
      <c r="C135" s="53"/>
      <c r="D135" s="53"/>
      <c r="E135" s="53"/>
      <c r="F135" s="53"/>
      <c r="G135" s="54"/>
      <c r="H135" s="55"/>
      <c r="I135" s="56" t="str">
        <f aca="false">IF(G135="","",G135*IF(H135="",1,H135))</f>
        <v/>
      </c>
      <c r="J135" s="57"/>
      <c r="K135" s="53"/>
      <c r="L135" s="58" t="str">
        <f aca="false">IF(G135="","",IF(ISNUMBER(B135),IF(E135="","⚠ ADD CATEGORY / AGREGA CATEGORÍA",IF(J135="No","⚠ SAVE RECEIPT / GUARDA RECIBO","✔ OK")),"⚠ ADD DATE / AGREGA FECHA"))</f>
        <v/>
      </c>
      <c r="N135" s="51" t="n">
        <f aca="false">IF(G135="",0,IF(ISNUMBER(B135),1,0))</f>
        <v>0</v>
      </c>
      <c r="O135" s="51" t="n">
        <f aca="false">IF(N135=1,YEAR(B135),0)</f>
        <v>0</v>
      </c>
      <c r="P135" s="51" t="n">
        <f aca="false">IF(N135=1,YEAR(B135)*100+MONTH(B135),0)</f>
        <v>0</v>
      </c>
      <c r="Q135" s="51" t="n">
        <f aca="false">IF(N135=1,IF(J135="No",1,0),0)</f>
        <v>0</v>
      </c>
    </row>
    <row r="136" customFormat="false" ht="15" hidden="false" customHeight="false" outlineLevel="0" collapsed="false">
      <c r="B136" s="52"/>
      <c r="C136" s="53"/>
      <c r="D136" s="53"/>
      <c r="E136" s="53"/>
      <c r="F136" s="53"/>
      <c r="G136" s="54"/>
      <c r="H136" s="55"/>
      <c r="I136" s="56" t="str">
        <f aca="false">IF(G136="","",G136*IF(H136="",1,H136))</f>
        <v/>
      </c>
      <c r="J136" s="57"/>
      <c r="K136" s="53"/>
      <c r="L136" s="58" t="str">
        <f aca="false">IF(G136="","",IF(ISNUMBER(B136),IF(E136="","⚠ ADD CATEGORY / AGREGA CATEGORÍA",IF(J136="No","⚠ SAVE RECEIPT / GUARDA RECIBO","✔ OK")),"⚠ ADD DATE / AGREGA FECHA"))</f>
        <v/>
      </c>
      <c r="N136" s="51" t="n">
        <f aca="false">IF(G136="",0,IF(ISNUMBER(B136),1,0))</f>
        <v>0</v>
      </c>
      <c r="O136" s="51" t="n">
        <f aca="false">IF(N136=1,YEAR(B136),0)</f>
        <v>0</v>
      </c>
      <c r="P136" s="51" t="n">
        <f aca="false">IF(N136=1,YEAR(B136)*100+MONTH(B136),0)</f>
        <v>0</v>
      </c>
      <c r="Q136" s="51" t="n">
        <f aca="false">IF(N136=1,IF(J136="No",1,0),0)</f>
        <v>0</v>
      </c>
    </row>
    <row r="137" customFormat="false" ht="15" hidden="false" customHeight="false" outlineLevel="0" collapsed="false">
      <c r="B137" s="52"/>
      <c r="C137" s="53"/>
      <c r="D137" s="53"/>
      <c r="E137" s="53"/>
      <c r="F137" s="53"/>
      <c r="G137" s="54"/>
      <c r="H137" s="55"/>
      <c r="I137" s="56" t="str">
        <f aca="false">IF(G137="","",G137*IF(H137="",1,H137))</f>
        <v/>
      </c>
      <c r="J137" s="57"/>
      <c r="K137" s="53"/>
      <c r="L137" s="58" t="str">
        <f aca="false">IF(G137="","",IF(ISNUMBER(B137),IF(E137="","⚠ ADD CATEGORY / AGREGA CATEGORÍA",IF(J137="No","⚠ SAVE RECEIPT / GUARDA RECIBO","✔ OK")),"⚠ ADD DATE / AGREGA FECHA"))</f>
        <v/>
      </c>
      <c r="N137" s="51" t="n">
        <f aca="false">IF(G137="",0,IF(ISNUMBER(B137),1,0))</f>
        <v>0</v>
      </c>
      <c r="O137" s="51" t="n">
        <f aca="false">IF(N137=1,YEAR(B137),0)</f>
        <v>0</v>
      </c>
      <c r="P137" s="51" t="n">
        <f aca="false">IF(N137=1,YEAR(B137)*100+MONTH(B137),0)</f>
        <v>0</v>
      </c>
      <c r="Q137" s="51" t="n">
        <f aca="false">IF(N137=1,IF(J137="No",1,0),0)</f>
        <v>0</v>
      </c>
    </row>
    <row r="138" customFormat="false" ht="15" hidden="false" customHeight="false" outlineLevel="0" collapsed="false">
      <c r="B138" s="52"/>
      <c r="C138" s="53"/>
      <c r="D138" s="53"/>
      <c r="E138" s="53"/>
      <c r="F138" s="53"/>
      <c r="G138" s="54"/>
      <c r="H138" s="55"/>
      <c r="I138" s="56" t="str">
        <f aca="false">IF(G138="","",G138*IF(H138="",1,H138))</f>
        <v/>
      </c>
      <c r="J138" s="57"/>
      <c r="K138" s="53"/>
      <c r="L138" s="58" t="str">
        <f aca="false">IF(G138="","",IF(ISNUMBER(B138),IF(E138="","⚠ ADD CATEGORY / AGREGA CATEGORÍA",IF(J138="No","⚠ SAVE RECEIPT / GUARDA RECIBO","✔ OK")),"⚠ ADD DATE / AGREGA FECHA"))</f>
        <v/>
      </c>
      <c r="N138" s="51" t="n">
        <f aca="false">IF(G138="",0,IF(ISNUMBER(B138),1,0))</f>
        <v>0</v>
      </c>
      <c r="O138" s="51" t="n">
        <f aca="false">IF(N138=1,YEAR(B138),0)</f>
        <v>0</v>
      </c>
      <c r="P138" s="51" t="n">
        <f aca="false">IF(N138=1,YEAR(B138)*100+MONTH(B138),0)</f>
        <v>0</v>
      </c>
      <c r="Q138" s="51" t="n">
        <f aca="false">IF(N138=1,IF(J138="No",1,0),0)</f>
        <v>0</v>
      </c>
    </row>
    <row r="139" customFormat="false" ht="15" hidden="false" customHeight="false" outlineLevel="0" collapsed="false">
      <c r="B139" s="52"/>
      <c r="C139" s="53"/>
      <c r="D139" s="53"/>
      <c r="E139" s="53"/>
      <c r="F139" s="53"/>
      <c r="G139" s="54"/>
      <c r="H139" s="55"/>
      <c r="I139" s="56" t="str">
        <f aca="false">IF(G139="","",G139*IF(H139="",1,H139))</f>
        <v/>
      </c>
      <c r="J139" s="57"/>
      <c r="K139" s="53"/>
      <c r="L139" s="58" t="str">
        <f aca="false">IF(G139="","",IF(ISNUMBER(B139),IF(E139="","⚠ ADD CATEGORY / AGREGA CATEGORÍA",IF(J139="No","⚠ SAVE RECEIPT / GUARDA RECIBO","✔ OK")),"⚠ ADD DATE / AGREGA FECHA"))</f>
        <v/>
      </c>
      <c r="N139" s="51" t="n">
        <f aca="false">IF(G139="",0,IF(ISNUMBER(B139),1,0))</f>
        <v>0</v>
      </c>
      <c r="O139" s="51" t="n">
        <f aca="false">IF(N139=1,YEAR(B139),0)</f>
        <v>0</v>
      </c>
      <c r="P139" s="51" t="n">
        <f aca="false">IF(N139=1,YEAR(B139)*100+MONTH(B139),0)</f>
        <v>0</v>
      </c>
      <c r="Q139" s="51" t="n">
        <f aca="false">IF(N139=1,IF(J139="No",1,0),0)</f>
        <v>0</v>
      </c>
    </row>
    <row r="140" customFormat="false" ht="15" hidden="false" customHeight="false" outlineLevel="0" collapsed="false">
      <c r="B140" s="52"/>
      <c r="C140" s="53"/>
      <c r="D140" s="53"/>
      <c r="E140" s="53"/>
      <c r="F140" s="53"/>
      <c r="G140" s="54"/>
      <c r="H140" s="55"/>
      <c r="I140" s="56" t="str">
        <f aca="false">IF(G140="","",G140*IF(H140="",1,H140))</f>
        <v/>
      </c>
      <c r="J140" s="57"/>
      <c r="K140" s="53"/>
      <c r="L140" s="58" t="str">
        <f aca="false">IF(G140="","",IF(ISNUMBER(B140),IF(E140="","⚠ ADD CATEGORY / AGREGA CATEGORÍA",IF(J140="No","⚠ SAVE RECEIPT / GUARDA RECIBO","✔ OK")),"⚠ ADD DATE / AGREGA FECHA"))</f>
        <v/>
      </c>
      <c r="N140" s="51" t="n">
        <f aca="false">IF(G140="",0,IF(ISNUMBER(B140),1,0))</f>
        <v>0</v>
      </c>
      <c r="O140" s="51" t="n">
        <f aca="false">IF(N140=1,YEAR(B140),0)</f>
        <v>0</v>
      </c>
      <c r="P140" s="51" t="n">
        <f aca="false">IF(N140=1,YEAR(B140)*100+MONTH(B140),0)</f>
        <v>0</v>
      </c>
      <c r="Q140" s="51" t="n">
        <f aca="false">IF(N140=1,IF(J140="No",1,0),0)</f>
        <v>0</v>
      </c>
    </row>
    <row r="141" customFormat="false" ht="15" hidden="false" customHeight="false" outlineLevel="0" collapsed="false">
      <c r="B141" s="52"/>
      <c r="C141" s="53"/>
      <c r="D141" s="53"/>
      <c r="E141" s="53"/>
      <c r="F141" s="53"/>
      <c r="G141" s="54"/>
      <c r="H141" s="55"/>
      <c r="I141" s="56" t="str">
        <f aca="false">IF(G141="","",G141*IF(H141="",1,H141))</f>
        <v/>
      </c>
      <c r="J141" s="57"/>
      <c r="K141" s="53"/>
      <c r="L141" s="58" t="str">
        <f aca="false">IF(G141="","",IF(ISNUMBER(B141),IF(E141="","⚠ ADD CATEGORY / AGREGA CATEGORÍA",IF(J141="No","⚠ SAVE RECEIPT / GUARDA RECIBO","✔ OK")),"⚠ ADD DATE / AGREGA FECHA"))</f>
        <v/>
      </c>
      <c r="N141" s="51" t="n">
        <f aca="false">IF(G141="",0,IF(ISNUMBER(B141),1,0))</f>
        <v>0</v>
      </c>
      <c r="O141" s="51" t="n">
        <f aca="false">IF(N141=1,YEAR(B141),0)</f>
        <v>0</v>
      </c>
      <c r="P141" s="51" t="n">
        <f aca="false">IF(N141=1,YEAR(B141)*100+MONTH(B141),0)</f>
        <v>0</v>
      </c>
      <c r="Q141" s="51" t="n">
        <f aca="false">IF(N141=1,IF(J141="No",1,0),0)</f>
        <v>0</v>
      </c>
    </row>
    <row r="142" customFormat="false" ht="15" hidden="false" customHeight="false" outlineLevel="0" collapsed="false">
      <c r="B142" s="52"/>
      <c r="C142" s="53"/>
      <c r="D142" s="53"/>
      <c r="E142" s="53"/>
      <c r="F142" s="53"/>
      <c r="G142" s="54"/>
      <c r="H142" s="55"/>
      <c r="I142" s="56" t="str">
        <f aca="false">IF(G142="","",G142*IF(H142="",1,H142))</f>
        <v/>
      </c>
      <c r="J142" s="57"/>
      <c r="K142" s="53"/>
      <c r="L142" s="58" t="str">
        <f aca="false">IF(G142="","",IF(ISNUMBER(B142),IF(E142="","⚠ ADD CATEGORY / AGREGA CATEGORÍA",IF(J142="No","⚠ SAVE RECEIPT / GUARDA RECIBO","✔ OK")),"⚠ ADD DATE / AGREGA FECHA"))</f>
        <v/>
      </c>
      <c r="N142" s="51" t="n">
        <f aca="false">IF(G142="",0,IF(ISNUMBER(B142),1,0))</f>
        <v>0</v>
      </c>
      <c r="O142" s="51" t="n">
        <f aca="false">IF(N142=1,YEAR(B142),0)</f>
        <v>0</v>
      </c>
      <c r="P142" s="51" t="n">
        <f aca="false">IF(N142=1,YEAR(B142)*100+MONTH(B142),0)</f>
        <v>0</v>
      </c>
      <c r="Q142" s="51" t="n">
        <f aca="false">IF(N142=1,IF(J142="No",1,0),0)</f>
        <v>0</v>
      </c>
    </row>
    <row r="143" customFormat="false" ht="15" hidden="false" customHeight="false" outlineLevel="0" collapsed="false">
      <c r="B143" s="52"/>
      <c r="C143" s="53"/>
      <c r="D143" s="53"/>
      <c r="E143" s="53"/>
      <c r="F143" s="53"/>
      <c r="G143" s="54"/>
      <c r="H143" s="55"/>
      <c r="I143" s="56" t="str">
        <f aca="false">IF(G143="","",G143*IF(H143="",1,H143))</f>
        <v/>
      </c>
      <c r="J143" s="57"/>
      <c r="K143" s="53"/>
      <c r="L143" s="58" t="str">
        <f aca="false">IF(G143="","",IF(ISNUMBER(B143),IF(E143="","⚠ ADD CATEGORY / AGREGA CATEGORÍA",IF(J143="No","⚠ SAVE RECEIPT / GUARDA RECIBO","✔ OK")),"⚠ ADD DATE / AGREGA FECHA"))</f>
        <v/>
      </c>
      <c r="N143" s="51" t="n">
        <f aca="false">IF(G143="",0,IF(ISNUMBER(B143),1,0))</f>
        <v>0</v>
      </c>
      <c r="O143" s="51" t="n">
        <f aca="false">IF(N143=1,YEAR(B143),0)</f>
        <v>0</v>
      </c>
      <c r="P143" s="51" t="n">
        <f aca="false">IF(N143=1,YEAR(B143)*100+MONTH(B143),0)</f>
        <v>0</v>
      </c>
      <c r="Q143" s="51" t="n">
        <f aca="false">IF(N143=1,IF(J143="No",1,0),0)</f>
        <v>0</v>
      </c>
    </row>
    <row r="144" customFormat="false" ht="15" hidden="false" customHeight="false" outlineLevel="0" collapsed="false">
      <c r="B144" s="52"/>
      <c r="C144" s="53"/>
      <c r="D144" s="53"/>
      <c r="E144" s="53"/>
      <c r="F144" s="53"/>
      <c r="G144" s="54"/>
      <c r="H144" s="55"/>
      <c r="I144" s="56" t="str">
        <f aca="false">IF(G144="","",G144*IF(H144="",1,H144))</f>
        <v/>
      </c>
      <c r="J144" s="57"/>
      <c r="K144" s="53"/>
      <c r="L144" s="58" t="str">
        <f aca="false">IF(G144="","",IF(ISNUMBER(B144),IF(E144="","⚠ ADD CATEGORY / AGREGA CATEGORÍA",IF(J144="No","⚠ SAVE RECEIPT / GUARDA RECIBO","✔ OK")),"⚠ ADD DATE / AGREGA FECHA"))</f>
        <v/>
      </c>
      <c r="N144" s="51" t="n">
        <f aca="false">IF(G144="",0,IF(ISNUMBER(B144),1,0))</f>
        <v>0</v>
      </c>
      <c r="O144" s="51" t="n">
        <f aca="false">IF(N144=1,YEAR(B144),0)</f>
        <v>0</v>
      </c>
      <c r="P144" s="51" t="n">
        <f aca="false">IF(N144=1,YEAR(B144)*100+MONTH(B144),0)</f>
        <v>0</v>
      </c>
      <c r="Q144" s="51" t="n">
        <f aca="false">IF(N144=1,IF(J144="No",1,0),0)</f>
        <v>0</v>
      </c>
    </row>
    <row r="145" customFormat="false" ht="15" hidden="false" customHeight="false" outlineLevel="0" collapsed="false">
      <c r="B145" s="52"/>
      <c r="C145" s="53"/>
      <c r="D145" s="53"/>
      <c r="E145" s="53"/>
      <c r="F145" s="53"/>
      <c r="G145" s="54"/>
      <c r="H145" s="55"/>
      <c r="I145" s="56" t="str">
        <f aca="false">IF(G145="","",G145*IF(H145="",1,H145))</f>
        <v/>
      </c>
      <c r="J145" s="57"/>
      <c r="K145" s="53"/>
      <c r="L145" s="58" t="str">
        <f aca="false">IF(G145="","",IF(ISNUMBER(B145),IF(E145="","⚠ ADD CATEGORY / AGREGA CATEGORÍA",IF(J145="No","⚠ SAVE RECEIPT / GUARDA RECIBO","✔ OK")),"⚠ ADD DATE / AGREGA FECHA"))</f>
        <v/>
      </c>
      <c r="N145" s="51" t="n">
        <f aca="false">IF(G145="",0,IF(ISNUMBER(B145),1,0))</f>
        <v>0</v>
      </c>
      <c r="O145" s="51" t="n">
        <f aca="false">IF(N145=1,YEAR(B145),0)</f>
        <v>0</v>
      </c>
      <c r="P145" s="51" t="n">
        <f aca="false">IF(N145=1,YEAR(B145)*100+MONTH(B145),0)</f>
        <v>0</v>
      </c>
      <c r="Q145" s="51" t="n">
        <f aca="false">IF(N145=1,IF(J145="No",1,0),0)</f>
        <v>0</v>
      </c>
    </row>
    <row r="146" customFormat="false" ht="15" hidden="false" customHeight="false" outlineLevel="0" collapsed="false">
      <c r="B146" s="52"/>
      <c r="C146" s="53"/>
      <c r="D146" s="53"/>
      <c r="E146" s="53"/>
      <c r="F146" s="53"/>
      <c r="G146" s="54"/>
      <c r="H146" s="55"/>
      <c r="I146" s="56" t="str">
        <f aca="false">IF(G146="","",G146*IF(H146="",1,H146))</f>
        <v/>
      </c>
      <c r="J146" s="57"/>
      <c r="K146" s="53"/>
      <c r="L146" s="58" t="str">
        <f aca="false">IF(G146="","",IF(ISNUMBER(B146),IF(E146="","⚠ ADD CATEGORY / AGREGA CATEGORÍA",IF(J146="No","⚠ SAVE RECEIPT / GUARDA RECIBO","✔ OK")),"⚠ ADD DATE / AGREGA FECHA"))</f>
        <v/>
      </c>
      <c r="N146" s="51" t="n">
        <f aca="false">IF(G146="",0,IF(ISNUMBER(B146),1,0))</f>
        <v>0</v>
      </c>
      <c r="O146" s="51" t="n">
        <f aca="false">IF(N146=1,YEAR(B146),0)</f>
        <v>0</v>
      </c>
      <c r="P146" s="51" t="n">
        <f aca="false">IF(N146=1,YEAR(B146)*100+MONTH(B146),0)</f>
        <v>0</v>
      </c>
      <c r="Q146" s="51" t="n">
        <f aca="false">IF(N146=1,IF(J146="No",1,0),0)</f>
        <v>0</v>
      </c>
    </row>
    <row r="147" customFormat="false" ht="15" hidden="false" customHeight="false" outlineLevel="0" collapsed="false">
      <c r="B147" s="52"/>
      <c r="C147" s="53"/>
      <c r="D147" s="53"/>
      <c r="E147" s="53"/>
      <c r="F147" s="53"/>
      <c r="G147" s="54"/>
      <c r="H147" s="55"/>
      <c r="I147" s="56" t="str">
        <f aca="false">IF(G147="","",G147*IF(H147="",1,H147))</f>
        <v/>
      </c>
      <c r="J147" s="57"/>
      <c r="K147" s="53"/>
      <c r="L147" s="58" t="str">
        <f aca="false">IF(G147="","",IF(ISNUMBER(B147),IF(E147="","⚠ ADD CATEGORY / AGREGA CATEGORÍA",IF(J147="No","⚠ SAVE RECEIPT / GUARDA RECIBO","✔ OK")),"⚠ ADD DATE / AGREGA FECHA"))</f>
        <v/>
      </c>
      <c r="N147" s="51" t="n">
        <f aca="false">IF(G147="",0,IF(ISNUMBER(B147),1,0))</f>
        <v>0</v>
      </c>
      <c r="O147" s="51" t="n">
        <f aca="false">IF(N147=1,YEAR(B147),0)</f>
        <v>0</v>
      </c>
      <c r="P147" s="51" t="n">
        <f aca="false">IF(N147=1,YEAR(B147)*100+MONTH(B147),0)</f>
        <v>0</v>
      </c>
      <c r="Q147" s="51" t="n">
        <f aca="false">IF(N147=1,IF(J147="No",1,0),0)</f>
        <v>0</v>
      </c>
    </row>
    <row r="148" customFormat="false" ht="15" hidden="false" customHeight="false" outlineLevel="0" collapsed="false">
      <c r="B148" s="52"/>
      <c r="C148" s="53"/>
      <c r="D148" s="53"/>
      <c r="E148" s="53"/>
      <c r="F148" s="53"/>
      <c r="G148" s="54"/>
      <c r="H148" s="55"/>
      <c r="I148" s="56" t="str">
        <f aca="false">IF(G148="","",G148*IF(H148="",1,H148))</f>
        <v/>
      </c>
      <c r="J148" s="57"/>
      <c r="K148" s="53"/>
      <c r="L148" s="58" t="str">
        <f aca="false">IF(G148="","",IF(ISNUMBER(B148),IF(E148="","⚠ ADD CATEGORY / AGREGA CATEGORÍA",IF(J148="No","⚠ SAVE RECEIPT / GUARDA RECIBO","✔ OK")),"⚠ ADD DATE / AGREGA FECHA"))</f>
        <v/>
      </c>
      <c r="N148" s="51" t="n">
        <f aca="false">IF(G148="",0,IF(ISNUMBER(B148),1,0))</f>
        <v>0</v>
      </c>
      <c r="O148" s="51" t="n">
        <f aca="false">IF(N148=1,YEAR(B148),0)</f>
        <v>0</v>
      </c>
      <c r="P148" s="51" t="n">
        <f aca="false">IF(N148=1,YEAR(B148)*100+MONTH(B148),0)</f>
        <v>0</v>
      </c>
      <c r="Q148" s="51" t="n">
        <f aca="false">IF(N148=1,IF(J148="No",1,0),0)</f>
        <v>0</v>
      </c>
    </row>
    <row r="149" customFormat="false" ht="15" hidden="false" customHeight="false" outlineLevel="0" collapsed="false">
      <c r="B149" s="52"/>
      <c r="C149" s="53"/>
      <c r="D149" s="53"/>
      <c r="E149" s="53"/>
      <c r="F149" s="53"/>
      <c r="G149" s="54"/>
      <c r="H149" s="55"/>
      <c r="I149" s="56" t="str">
        <f aca="false">IF(G149="","",G149*IF(H149="",1,H149))</f>
        <v/>
      </c>
      <c r="J149" s="57"/>
      <c r="K149" s="53"/>
      <c r="L149" s="58" t="str">
        <f aca="false">IF(G149="","",IF(ISNUMBER(B149),IF(E149="","⚠ ADD CATEGORY / AGREGA CATEGORÍA",IF(J149="No","⚠ SAVE RECEIPT / GUARDA RECIBO","✔ OK")),"⚠ ADD DATE / AGREGA FECHA"))</f>
        <v/>
      </c>
      <c r="N149" s="51" t="n">
        <f aca="false">IF(G149="",0,IF(ISNUMBER(B149),1,0))</f>
        <v>0</v>
      </c>
      <c r="O149" s="51" t="n">
        <f aca="false">IF(N149=1,YEAR(B149),0)</f>
        <v>0</v>
      </c>
      <c r="P149" s="51" t="n">
        <f aca="false">IF(N149=1,YEAR(B149)*100+MONTH(B149),0)</f>
        <v>0</v>
      </c>
      <c r="Q149" s="51" t="n">
        <f aca="false">IF(N149=1,IF(J149="No",1,0),0)</f>
        <v>0</v>
      </c>
    </row>
    <row r="150" customFormat="false" ht="15" hidden="false" customHeight="false" outlineLevel="0" collapsed="false">
      <c r="B150" s="52"/>
      <c r="C150" s="53"/>
      <c r="D150" s="53"/>
      <c r="E150" s="53"/>
      <c r="F150" s="53"/>
      <c r="G150" s="54"/>
      <c r="H150" s="55"/>
      <c r="I150" s="56" t="str">
        <f aca="false">IF(G150="","",G150*IF(H150="",1,H150))</f>
        <v/>
      </c>
      <c r="J150" s="57"/>
      <c r="K150" s="53"/>
      <c r="L150" s="58" t="str">
        <f aca="false">IF(G150="","",IF(ISNUMBER(B150),IF(E150="","⚠ ADD CATEGORY / AGREGA CATEGORÍA",IF(J150="No","⚠ SAVE RECEIPT / GUARDA RECIBO","✔ OK")),"⚠ ADD DATE / AGREGA FECHA"))</f>
        <v/>
      </c>
      <c r="N150" s="51" t="n">
        <f aca="false">IF(G150="",0,IF(ISNUMBER(B150),1,0))</f>
        <v>0</v>
      </c>
      <c r="O150" s="51" t="n">
        <f aca="false">IF(N150=1,YEAR(B150),0)</f>
        <v>0</v>
      </c>
      <c r="P150" s="51" t="n">
        <f aca="false">IF(N150=1,YEAR(B150)*100+MONTH(B150),0)</f>
        <v>0</v>
      </c>
      <c r="Q150" s="51" t="n">
        <f aca="false">IF(N150=1,IF(J150="No",1,0),0)</f>
        <v>0</v>
      </c>
    </row>
    <row r="151" customFormat="false" ht="15" hidden="false" customHeight="false" outlineLevel="0" collapsed="false">
      <c r="B151" s="52"/>
      <c r="C151" s="53"/>
      <c r="D151" s="53"/>
      <c r="E151" s="53"/>
      <c r="F151" s="53"/>
      <c r="G151" s="54"/>
      <c r="H151" s="55"/>
      <c r="I151" s="56" t="str">
        <f aca="false">IF(G151="","",G151*IF(H151="",1,H151))</f>
        <v/>
      </c>
      <c r="J151" s="57"/>
      <c r="K151" s="53"/>
      <c r="L151" s="58" t="str">
        <f aca="false">IF(G151="","",IF(ISNUMBER(B151),IF(E151="","⚠ ADD CATEGORY / AGREGA CATEGORÍA",IF(J151="No","⚠ SAVE RECEIPT / GUARDA RECIBO","✔ OK")),"⚠ ADD DATE / AGREGA FECHA"))</f>
        <v/>
      </c>
      <c r="N151" s="51" t="n">
        <f aca="false">IF(G151="",0,IF(ISNUMBER(B151),1,0))</f>
        <v>0</v>
      </c>
      <c r="O151" s="51" t="n">
        <f aca="false">IF(N151=1,YEAR(B151),0)</f>
        <v>0</v>
      </c>
      <c r="P151" s="51" t="n">
        <f aca="false">IF(N151=1,YEAR(B151)*100+MONTH(B151),0)</f>
        <v>0</v>
      </c>
      <c r="Q151" s="51" t="n">
        <f aca="false">IF(N151=1,IF(J151="No",1,0),0)</f>
        <v>0</v>
      </c>
    </row>
    <row r="152" customFormat="false" ht="15" hidden="false" customHeight="false" outlineLevel="0" collapsed="false">
      <c r="B152" s="52"/>
      <c r="C152" s="53"/>
      <c r="D152" s="53"/>
      <c r="E152" s="53"/>
      <c r="F152" s="53"/>
      <c r="G152" s="54"/>
      <c r="H152" s="55"/>
      <c r="I152" s="56" t="str">
        <f aca="false">IF(G152="","",G152*IF(H152="",1,H152))</f>
        <v/>
      </c>
      <c r="J152" s="57"/>
      <c r="K152" s="53"/>
      <c r="L152" s="58" t="str">
        <f aca="false">IF(G152="","",IF(ISNUMBER(B152),IF(E152="","⚠ ADD CATEGORY / AGREGA CATEGORÍA",IF(J152="No","⚠ SAVE RECEIPT / GUARDA RECIBO","✔ OK")),"⚠ ADD DATE / AGREGA FECHA"))</f>
        <v/>
      </c>
      <c r="N152" s="51" t="n">
        <f aca="false">IF(G152="",0,IF(ISNUMBER(B152),1,0))</f>
        <v>0</v>
      </c>
      <c r="O152" s="51" t="n">
        <f aca="false">IF(N152=1,YEAR(B152),0)</f>
        <v>0</v>
      </c>
      <c r="P152" s="51" t="n">
        <f aca="false">IF(N152=1,YEAR(B152)*100+MONTH(B152),0)</f>
        <v>0</v>
      </c>
      <c r="Q152" s="51" t="n">
        <f aca="false">IF(N152=1,IF(J152="No",1,0),0)</f>
        <v>0</v>
      </c>
    </row>
    <row r="153" customFormat="false" ht="15" hidden="false" customHeight="false" outlineLevel="0" collapsed="false">
      <c r="B153" s="52"/>
      <c r="C153" s="53"/>
      <c r="D153" s="53"/>
      <c r="E153" s="53"/>
      <c r="F153" s="53"/>
      <c r="G153" s="54"/>
      <c r="H153" s="55"/>
      <c r="I153" s="56" t="str">
        <f aca="false">IF(G153="","",G153*IF(H153="",1,H153))</f>
        <v/>
      </c>
      <c r="J153" s="57"/>
      <c r="K153" s="53"/>
      <c r="L153" s="58" t="str">
        <f aca="false">IF(G153="","",IF(ISNUMBER(B153),IF(E153="","⚠ ADD CATEGORY / AGREGA CATEGORÍA",IF(J153="No","⚠ SAVE RECEIPT / GUARDA RECIBO","✔ OK")),"⚠ ADD DATE / AGREGA FECHA"))</f>
        <v/>
      </c>
      <c r="N153" s="51" t="n">
        <f aca="false">IF(G153="",0,IF(ISNUMBER(B153),1,0))</f>
        <v>0</v>
      </c>
      <c r="O153" s="51" t="n">
        <f aca="false">IF(N153=1,YEAR(B153),0)</f>
        <v>0</v>
      </c>
      <c r="P153" s="51" t="n">
        <f aca="false">IF(N153=1,YEAR(B153)*100+MONTH(B153),0)</f>
        <v>0</v>
      </c>
      <c r="Q153" s="51" t="n">
        <f aca="false">IF(N153=1,IF(J153="No",1,0),0)</f>
        <v>0</v>
      </c>
    </row>
    <row r="154" customFormat="false" ht="15" hidden="false" customHeight="false" outlineLevel="0" collapsed="false">
      <c r="B154" s="52"/>
      <c r="C154" s="53"/>
      <c r="D154" s="53"/>
      <c r="E154" s="53"/>
      <c r="F154" s="53"/>
      <c r="G154" s="54"/>
      <c r="H154" s="55"/>
      <c r="I154" s="56" t="str">
        <f aca="false">IF(G154="","",G154*IF(H154="",1,H154))</f>
        <v/>
      </c>
      <c r="J154" s="57"/>
      <c r="K154" s="53"/>
      <c r="L154" s="58" t="str">
        <f aca="false">IF(G154="","",IF(ISNUMBER(B154),IF(E154="","⚠ ADD CATEGORY / AGREGA CATEGORÍA",IF(J154="No","⚠ SAVE RECEIPT / GUARDA RECIBO","✔ OK")),"⚠ ADD DATE / AGREGA FECHA"))</f>
        <v/>
      </c>
      <c r="N154" s="51" t="n">
        <f aca="false">IF(G154="",0,IF(ISNUMBER(B154),1,0))</f>
        <v>0</v>
      </c>
      <c r="O154" s="51" t="n">
        <f aca="false">IF(N154=1,YEAR(B154),0)</f>
        <v>0</v>
      </c>
      <c r="P154" s="51" t="n">
        <f aca="false">IF(N154=1,YEAR(B154)*100+MONTH(B154),0)</f>
        <v>0</v>
      </c>
      <c r="Q154" s="51" t="n">
        <f aca="false">IF(N154=1,IF(J154="No",1,0),0)</f>
        <v>0</v>
      </c>
    </row>
    <row r="155" customFormat="false" ht="15" hidden="false" customHeight="false" outlineLevel="0" collapsed="false">
      <c r="B155" s="52"/>
      <c r="C155" s="53"/>
      <c r="D155" s="53"/>
      <c r="E155" s="53"/>
      <c r="F155" s="53"/>
      <c r="G155" s="54"/>
      <c r="H155" s="55"/>
      <c r="I155" s="56" t="str">
        <f aca="false">IF(G155="","",G155*IF(H155="",1,H155))</f>
        <v/>
      </c>
      <c r="J155" s="57"/>
      <c r="K155" s="53"/>
      <c r="L155" s="58" t="str">
        <f aca="false">IF(G155="","",IF(ISNUMBER(B155),IF(E155="","⚠ ADD CATEGORY / AGREGA CATEGORÍA",IF(J155="No","⚠ SAVE RECEIPT / GUARDA RECIBO","✔ OK")),"⚠ ADD DATE / AGREGA FECHA"))</f>
        <v/>
      </c>
      <c r="N155" s="51" t="n">
        <f aca="false">IF(G155="",0,IF(ISNUMBER(B155),1,0))</f>
        <v>0</v>
      </c>
      <c r="O155" s="51" t="n">
        <f aca="false">IF(N155=1,YEAR(B155),0)</f>
        <v>0</v>
      </c>
      <c r="P155" s="51" t="n">
        <f aca="false">IF(N155=1,YEAR(B155)*100+MONTH(B155),0)</f>
        <v>0</v>
      </c>
      <c r="Q155" s="51" t="n">
        <f aca="false">IF(N155=1,IF(J155="No",1,0),0)</f>
        <v>0</v>
      </c>
    </row>
    <row r="156" customFormat="false" ht="15" hidden="false" customHeight="false" outlineLevel="0" collapsed="false">
      <c r="B156" s="52"/>
      <c r="C156" s="53"/>
      <c r="D156" s="53"/>
      <c r="E156" s="53"/>
      <c r="F156" s="53"/>
      <c r="G156" s="54"/>
      <c r="H156" s="55"/>
      <c r="I156" s="56" t="str">
        <f aca="false">IF(G156="","",G156*IF(H156="",1,H156))</f>
        <v/>
      </c>
      <c r="J156" s="57"/>
      <c r="K156" s="53"/>
      <c r="L156" s="58" t="str">
        <f aca="false">IF(G156="","",IF(ISNUMBER(B156),IF(E156="","⚠ ADD CATEGORY / AGREGA CATEGORÍA",IF(J156="No","⚠ SAVE RECEIPT / GUARDA RECIBO","✔ OK")),"⚠ ADD DATE / AGREGA FECHA"))</f>
        <v/>
      </c>
      <c r="N156" s="51" t="n">
        <f aca="false">IF(G156="",0,IF(ISNUMBER(B156),1,0))</f>
        <v>0</v>
      </c>
      <c r="O156" s="51" t="n">
        <f aca="false">IF(N156=1,YEAR(B156),0)</f>
        <v>0</v>
      </c>
      <c r="P156" s="51" t="n">
        <f aca="false">IF(N156=1,YEAR(B156)*100+MONTH(B156),0)</f>
        <v>0</v>
      </c>
      <c r="Q156" s="51" t="n">
        <f aca="false">IF(N156=1,IF(J156="No",1,0),0)</f>
        <v>0</v>
      </c>
    </row>
    <row r="157" customFormat="false" ht="15" hidden="false" customHeight="false" outlineLevel="0" collapsed="false">
      <c r="B157" s="52"/>
      <c r="C157" s="53"/>
      <c r="D157" s="53"/>
      <c r="E157" s="53"/>
      <c r="F157" s="53"/>
      <c r="G157" s="54"/>
      <c r="H157" s="55"/>
      <c r="I157" s="56" t="str">
        <f aca="false">IF(G157="","",G157*IF(H157="",1,H157))</f>
        <v/>
      </c>
      <c r="J157" s="57"/>
      <c r="K157" s="53"/>
      <c r="L157" s="58" t="str">
        <f aca="false">IF(G157="","",IF(ISNUMBER(B157),IF(E157="","⚠ ADD CATEGORY / AGREGA CATEGORÍA",IF(J157="No","⚠ SAVE RECEIPT / GUARDA RECIBO","✔ OK")),"⚠ ADD DATE / AGREGA FECHA"))</f>
        <v/>
      </c>
      <c r="N157" s="51" t="n">
        <f aca="false">IF(G157="",0,IF(ISNUMBER(B157),1,0))</f>
        <v>0</v>
      </c>
      <c r="O157" s="51" t="n">
        <f aca="false">IF(N157=1,YEAR(B157),0)</f>
        <v>0</v>
      </c>
      <c r="P157" s="51" t="n">
        <f aca="false">IF(N157=1,YEAR(B157)*100+MONTH(B157),0)</f>
        <v>0</v>
      </c>
      <c r="Q157" s="51" t="n">
        <f aca="false">IF(N157=1,IF(J157="No",1,0),0)</f>
        <v>0</v>
      </c>
    </row>
    <row r="158" customFormat="false" ht="15" hidden="false" customHeight="false" outlineLevel="0" collapsed="false">
      <c r="B158" s="52"/>
      <c r="C158" s="53"/>
      <c r="D158" s="53"/>
      <c r="E158" s="53"/>
      <c r="F158" s="53"/>
      <c r="G158" s="54"/>
      <c r="H158" s="55"/>
      <c r="I158" s="56" t="str">
        <f aca="false">IF(G158="","",G158*IF(H158="",1,H158))</f>
        <v/>
      </c>
      <c r="J158" s="57"/>
      <c r="K158" s="53"/>
      <c r="L158" s="58" t="str">
        <f aca="false">IF(G158="","",IF(ISNUMBER(B158),IF(E158="","⚠ ADD CATEGORY / AGREGA CATEGORÍA",IF(J158="No","⚠ SAVE RECEIPT / GUARDA RECIBO","✔ OK")),"⚠ ADD DATE / AGREGA FECHA"))</f>
        <v/>
      </c>
      <c r="N158" s="51" t="n">
        <f aca="false">IF(G158="",0,IF(ISNUMBER(B158),1,0))</f>
        <v>0</v>
      </c>
      <c r="O158" s="51" t="n">
        <f aca="false">IF(N158=1,YEAR(B158),0)</f>
        <v>0</v>
      </c>
      <c r="P158" s="51" t="n">
        <f aca="false">IF(N158=1,YEAR(B158)*100+MONTH(B158),0)</f>
        <v>0</v>
      </c>
      <c r="Q158" s="51" t="n">
        <f aca="false">IF(N158=1,IF(J158="No",1,0),0)</f>
        <v>0</v>
      </c>
    </row>
    <row r="159" customFormat="false" ht="15" hidden="false" customHeight="false" outlineLevel="0" collapsed="false">
      <c r="B159" s="52"/>
      <c r="C159" s="53"/>
      <c r="D159" s="53"/>
      <c r="E159" s="53"/>
      <c r="F159" s="53"/>
      <c r="G159" s="54"/>
      <c r="H159" s="55"/>
      <c r="I159" s="56" t="str">
        <f aca="false">IF(G159="","",G159*IF(H159="",1,H159))</f>
        <v/>
      </c>
      <c r="J159" s="57"/>
      <c r="K159" s="53"/>
      <c r="L159" s="58" t="str">
        <f aca="false">IF(G159="","",IF(ISNUMBER(B159),IF(E159="","⚠ ADD CATEGORY / AGREGA CATEGORÍA",IF(J159="No","⚠ SAVE RECEIPT / GUARDA RECIBO","✔ OK")),"⚠ ADD DATE / AGREGA FECHA"))</f>
        <v/>
      </c>
      <c r="N159" s="51" t="n">
        <f aca="false">IF(G159="",0,IF(ISNUMBER(B159),1,0))</f>
        <v>0</v>
      </c>
      <c r="O159" s="51" t="n">
        <f aca="false">IF(N159=1,YEAR(B159),0)</f>
        <v>0</v>
      </c>
      <c r="P159" s="51" t="n">
        <f aca="false">IF(N159=1,YEAR(B159)*100+MONTH(B159),0)</f>
        <v>0</v>
      </c>
      <c r="Q159" s="51" t="n">
        <f aca="false">IF(N159=1,IF(J159="No",1,0),0)</f>
        <v>0</v>
      </c>
    </row>
    <row r="160" customFormat="false" ht="15" hidden="false" customHeight="false" outlineLevel="0" collapsed="false">
      <c r="B160" s="52"/>
      <c r="C160" s="53"/>
      <c r="D160" s="53"/>
      <c r="E160" s="53"/>
      <c r="F160" s="53"/>
      <c r="G160" s="54"/>
      <c r="H160" s="55"/>
      <c r="I160" s="56" t="str">
        <f aca="false">IF(G160="","",G160*IF(H160="",1,H160))</f>
        <v/>
      </c>
      <c r="J160" s="57"/>
      <c r="K160" s="53"/>
      <c r="L160" s="58" t="str">
        <f aca="false">IF(G160="","",IF(ISNUMBER(B160),IF(E160="","⚠ ADD CATEGORY / AGREGA CATEGORÍA",IF(J160="No","⚠ SAVE RECEIPT / GUARDA RECIBO","✔ OK")),"⚠ ADD DATE / AGREGA FECHA"))</f>
        <v/>
      </c>
      <c r="N160" s="51" t="n">
        <f aca="false">IF(G160="",0,IF(ISNUMBER(B160),1,0))</f>
        <v>0</v>
      </c>
      <c r="O160" s="51" t="n">
        <f aca="false">IF(N160=1,YEAR(B160),0)</f>
        <v>0</v>
      </c>
      <c r="P160" s="51" t="n">
        <f aca="false">IF(N160=1,YEAR(B160)*100+MONTH(B160),0)</f>
        <v>0</v>
      </c>
      <c r="Q160" s="51" t="n">
        <f aca="false">IF(N160=1,IF(J160="No",1,0),0)</f>
        <v>0</v>
      </c>
    </row>
    <row r="161" customFormat="false" ht="15" hidden="false" customHeight="false" outlineLevel="0" collapsed="false">
      <c r="B161" s="52"/>
      <c r="C161" s="53"/>
      <c r="D161" s="53"/>
      <c r="E161" s="53"/>
      <c r="F161" s="53"/>
      <c r="G161" s="54"/>
      <c r="H161" s="55"/>
      <c r="I161" s="56" t="str">
        <f aca="false">IF(G161="","",G161*IF(H161="",1,H161))</f>
        <v/>
      </c>
      <c r="J161" s="57"/>
      <c r="K161" s="53"/>
      <c r="L161" s="58" t="str">
        <f aca="false">IF(G161="","",IF(ISNUMBER(B161),IF(E161="","⚠ ADD CATEGORY / AGREGA CATEGORÍA",IF(J161="No","⚠ SAVE RECEIPT / GUARDA RECIBO","✔ OK")),"⚠ ADD DATE / AGREGA FECHA"))</f>
        <v/>
      </c>
      <c r="N161" s="51" t="n">
        <f aca="false">IF(G161="",0,IF(ISNUMBER(B161),1,0))</f>
        <v>0</v>
      </c>
      <c r="O161" s="51" t="n">
        <f aca="false">IF(N161=1,YEAR(B161),0)</f>
        <v>0</v>
      </c>
      <c r="P161" s="51" t="n">
        <f aca="false">IF(N161=1,YEAR(B161)*100+MONTH(B161),0)</f>
        <v>0</v>
      </c>
      <c r="Q161" s="51" t="n">
        <f aca="false">IF(N161=1,IF(J161="No",1,0),0)</f>
        <v>0</v>
      </c>
    </row>
    <row r="162" customFormat="false" ht="15" hidden="false" customHeight="false" outlineLevel="0" collapsed="false">
      <c r="B162" s="52"/>
      <c r="C162" s="53"/>
      <c r="D162" s="53"/>
      <c r="E162" s="53"/>
      <c r="F162" s="53"/>
      <c r="G162" s="54"/>
      <c r="H162" s="55"/>
      <c r="I162" s="56" t="str">
        <f aca="false">IF(G162="","",G162*IF(H162="",1,H162))</f>
        <v/>
      </c>
      <c r="J162" s="57"/>
      <c r="K162" s="53"/>
      <c r="L162" s="58" t="str">
        <f aca="false">IF(G162="","",IF(ISNUMBER(B162),IF(E162="","⚠ ADD CATEGORY / AGREGA CATEGORÍA",IF(J162="No","⚠ SAVE RECEIPT / GUARDA RECIBO","✔ OK")),"⚠ ADD DATE / AGREGA FECHA"))</f>
        <v/>
      </c>
      <c r="N162" s="51" t="n">
        <f aca="false">IF(G162="",0,IF(ISNUMBER(B162),1,0))</f>
        <v>0</v>
      </c>
      <c r="O162" s="51" t="n">
        <f aca="false">IF(N162=1,YEAR(B162),0)</f>
        <v>0</v>
      </c>
      <c r="P162" s="51" t="n">
        <f aca="false">IF(N162=1,YEAR(B162)*100+MONTH(B162),0)</f>
        <v>0</v>
      </c>
      <c r="Q162" s="51" t="n">
        <f aca="false">IF(N162=1,IF(J162="No",1,0),0)</f>
        <v>0</v>
      </c>
    </row>
    <row r="163" customFormat="false" ht="15" hidden="false" customHeight="false" outlineLevel="0" collapsed="false">
      <c r="B163" s="52"/>
      <c r="C163" s="53"/>
      <c r="D163" s="53"/>
      <c r="E163" s="53"/>
      <c r="F163" s="53"/>
      <c r="G163" s="54"/>
      <c r="H163" s="55"/>
      <c r="I163" s="56" t="str">
        <f aca="false">IF(G163="","",G163*IF(H163="",1,H163))</f>
        <v/>
      </c>
      <c r="J163" s="57"/>
      <c r="K163" s="53"/>
      <c r="L163" s="58" t="str">
        <f aca="false">IF(G163="","",IF(ISNUMBER(B163),IF(E163="","⚠ ADD CATEGORY / AGREGA CATEGORÍA",IF(J163="No","⚠ SAVE RECEIPT / GUARDA RECIBO","✔ OK")),"⚠ ADD DATE / AGREGA FECHA"))</f>
        <v/>
      </c>
      <c r="N163" s="51" t="n">
        <f aca="false">IF(G163="",0,IF(ISNUMBER(B163),1,0))</f>
        <v>0</v>
      </c>
      <c r="O163" s="51" t="n">
        <f aca="false">IF(N163=1,YEAR(B163),0)</f>
        <v>0</v>
      </c>
      <c r="P163" s="51" t="n">
        <f aca="false">IF(N163=1,YEAR(B163)*100+MONTH(B163),0)</f>
        <v>0</v>
      </c>
      <c r="Q163" s="51" t="n">
        <f aca="false">IF(N163=1,IF(J163="No",1,0),0)</f>
        <v>0</v>
      </c>
    </row>
    <row r="164" customFormat="false" ht="15" hidden="false" customHeight="false" outlineLevel="0" collapsed="false">
      <c r="B164" s="52"/>
      <c r="C164" s="53"/>
      <c r="D164" s="53"/>
      <c r="E164" s="53"/>
      <c r="F164" s="53"/>
      <c r="G164" s="54"/>
      <c r="H164" s="55"/>
      <c r="I164" s="56" t="str">
        <f aca="false">IF(G164="","",G164*IF(H164="",1,H164))</f>
        <v/>
      </c>
      <c r="J164" s="57"/>
      <c r="K164" s="53"/>
      <c r="L164" s="58" t="str">
        <f aca="false">IF(G164="","",IF(ISNUMBER(B164),IF(E164="","⚠ ADD CATEGORY / AGREGA CATEGORÍA",IF(J164="No","⚠ SAVE RECEIPT / GUARDA RECIBO","✔ OK")),"⚠ ADD DATE / AGREGA FECHA"))</f>
        <v/>
      </c>
      <c r="N164" s="51" t="n">
        <f aca="false">IF(G164="",0,IF(ISNUMBER(B164),1,0))</f>
        <v>0</v>
      </c>
      <c r="O164" s="51" t="n">
        <f aca="false">IF(N164=1,YEAR(B164),0)</f>
        <v>0</v>
      </c>
      <c r="P164" s="51" t="n">
        <f aca="false">IF(N164=1,YEAR(B164)*100+MONTH(B164),0)</f>
        <v>0</v>
      </c>
      <c r="Q164" s="51" t="n">
        <f aca="false">IF(N164=1,IF(J164="No",1,0),0)</f>
        <v>0</v>
      </c>
    </row>
    <row r="165" customFormat="false" ht="15" hidden="false" customHeight="false" outlineLevel="0" collapsed="false">
      <c r="B165" s="52"/>
      <c r="C165" s="53"/>
      <c r="D165" s="53"/>
      <c r="E165" s="53"/>
      <c r="F165" s="53"/>
      <c r="G165" s="54"/>
      <c r="H165" s="55"/>
      <c r="I165" s="56" t="str">
        <f aca="false">IF(G165="","",G165*IF(H165="",1,H165))</f>
        <v/>
      </c>
      <c r="J165" s="57"/>
      <c r="K165" s="53"/>
      <c r="L165" s="58" t="str">
        <f aca="false">IF(G165="","",IF(ISNUMBER(B165),IF(E165="","⚠ ADD CATEGORY / AGREGA CATEGORÍA",IF(J165="No","⚠ SAVE RECEIPT / GUARDA RECIBO","✔ OK")),"⚠ ADD DATE / AGREGA FECHA"))</f>
        <v/>
      </c>
      <c r="N165" s="51" t="n">
        <f aca="false">IF(G165="",0,IF(ISNUMBER(B165),1,0))</f>
        <v>0</v>
      </c>
      <c r="O165" s="51" t="n">
        <f aca="false">IF(N165=1,YEAR(B165),0)</f>
        <v>0</v>
      </c>
      <c r="P165" s="51" t="n">
        <f aca="false">IF(N165=1,YEAR(B165)*100+MONTH(B165),0)</f>
        <v>0</v>
      </c>
      <c r="Q165" s="51" t="n">
        <f aca="false">IF(N165=1,IF(J165="No",1,0),0)</f>
        <v>0</v>
      </c>
    </row>
    <row r="166" customFormat="false" ht="15" hidden="false" customHeight="false" outlineLevel="0" collapsed="false">
      <c r="B166" s="52"/>
      <c r="C166" s="53"/>
      <c r="D166" s="53"/>
      <c r="E166" s="53"/>
      <c r="F166" s="53"/>
      <c r="G166" s="54"/>
      <c r="H166" s="55"/>
      <c r="I166" s="56" t="str">
        <f aca="false">IF(G166="","",G166*IF(H166="",1,H166))</f>
        <v/>
      </c>
      <c r="J166" s="57"/>
      <c r="K166" s="53"/>
      <c r="L166" s="58" t="str">
        <f aca="false">IF(G166="","",IF(ISNUMBER(B166),IF(E166="","⚠ ADD CATEGORY / AGREGA CATEGORÍA",IF(J166="No","⚠ SAVE RECEIPT / GUARDA RECIBO","✔ OK")),"⚠ ADD DATE / AGREGA FECHA"))</f>
        <v/>
      </c>
      <c r="N166" s="51" t="n">
        <f aca="false">IF(G166="",0,IF(ISNUMBER(B166),1,0))</f>
        <v>0</v>
      </c>
      <c r="O166" s="51" t="n">
        <f aca="false">IF(N166=1,YEAR(B166),0)</f>
        <v>0</v>
      </c>
      <c r="P166" s="51" t="n">
        <f aca="false">IF(N166=1,YEAR(B166)*100+MONTH(B166),0)</f>
        <v>0</v>
      </c>
      <c r="Q166" s="51" t="n">
        <f aca="false">IF(N166=1,IF(J166="No",1,0),0)</f>
        <v>0</v>
      </c>
    </row>
    <row r="167" customFormat="false" ht="15" hidden="false" customHeight="false" outlineLevel="0" collapsed="false">
      <c r="B167" s="52"/>
      <c r="C167" s="53"/>
      <c r="D167" s="53"/>
      <c r="E167" s="53"/>
      <c r="F167" s="53"/>
      <c r="G167" s="54"/>
      <c r="H167" s="55"/>
      <c r="I167" s="56" t="str">
        <f aca="false">IF(G167="","",G167*IF(H167="",1,H167))</f>
        <v/>
      </c>
      <c r="J167" s="57"/>
      <c r="K167" s="53"/>
      <c r="L167" s="58" t="str">
        <f aca="false">IF(G167="","",IF(ISNUMBER(B167),IF(E167="","⚠ ADD CATEGORY / AGREGA CATEGORÍA",IF(J167="No","⚠ SAVE RECEIPT / GUARDA RECIBO","✔ OK")),"⚠ ADD DATE / AGREGA FECHA"))</f>
        <v/>
      </c>
      <c r="N167" s="51" t="n">
        <f aca="false">IF(G167="",0,IF(ISNUMBER(B167),1,0))</f>
        <v>0</v>
      </c>
      <c r="O167" s="51" t="n">
        <f aca="false">IF(N167=1,YEAR(B167),0)</f>
        <v>0</v>
      </c>
      <c r="P167" s="51" t="n">
        <f aca="false">IF(N167=1,YEAR(B167)*100+MONTH(B167),0)</f>
        <v>0</v>
      </c>
      <c r="Q167" s="51" t="n">
        <f aca="false">IF(N167=1,IF(J167="No",1,0),0)</f>
        <v>0</v>
      </c>
    </row>
    <row r="168" customFormat="false" ht="15" hidden="false" customHeight="false" outlineLevel="0" collapsed="false">
      <c r="B168" s="52"/>
      <c r="C168" s="53"/>
      <c r="D168" s="53"/>
      <c r="E168" s="53"/>
      <c r="F168" s="53"/>
      <c r="G168" s="54"/>
      <c r="H168" s="55"/>
      <c r="I168" s="56" t="str">
        <f aca="false">IF(G168="","",G168*IF(H168="",1,H168))</f>
        <v/>
      </c>
      <c r="J168" s="57"/>
      <c r="K168" s="53"/>
      <c r="L168" s="58" t="str">
        <f aca="false">IF(G168="","",IF(ISNUMBER(B168),IF(E168="","⚠ ADD CATEGORY / AGREGA CATEGORÍA",IF(J168="No","⚠ SAVE RECEIPT / GUARDA RECIBO","✔ OK")),"⚠ ADD DATE / AGREGA FECHA"))</f>
        <v/>
      </c>
      <c r="N168" s="51" t="n">
        <f aca="false">IF(G168="",0,IF(ISNUMBER(B168),1,0))</f>
        <v>0</v>
      </c>
      <c r="O168" s="51" t="n">
        <f aca="false">IF(N168=1,YEAR(B168),0)</f>
        <v>0</v>
      </c>
      <c r="P168" s="51" t="n">
        <f aca="false">IF(N168=1,YEAR(B168)*100+MONTH(B168),0)</f>
        <v>0</v>
      </c>
      <c r="Q168" s="51" t="n">
        <f aca="false">IF(N168=1,IF(J168="No",1,0),0)</f>
        <v>0</v>
      </c>
    </row>
    <row r="169" customFormat="false" ht="15" hidden="false" customHeight="false" outlineLevel="0" collapsed="false">
      <c r="B169" s="52"/>
      <c r="C169" s="53"/>
      <c r="D169" s="53"/>
      <c r="E169" s="53"/>
      <c r="F169" s="53"/>
      <c r="G169" s="54"/>
      <c r="H169" s="55"/>
      <c r="I169" s="56" t="str">
        <f aca="false">IF(G169="","",G169*IF(H169="",1,H169))</f>
        <v/>
      </c>
      <c r="J169" s="57"/>
      <c r="K169" s="53"/>
      <c r="L169" s="58" t="str">
        <f aca="false">IF(G169="","",IF(ISNUMBER(B169),IF(E169="","⚠ ADD CATEGORY / AGREGA CATEGORÍA",IF(J169="No","⚠ SAVE RECEIPT / GUARDA RECIBO","✔ OK")),"⚠ ADD DATE / AGREGA FECHA"))</f>
        <v/>
      </c>
      <c r="N169" s="51" t="n">
        <f aca="false">IF(G169="",0,IF(ISNUMBER(B169),1,0))</f>
        <v>0</v>
      </c>
      <c r="O169" s="51" t="n">
        <f aca="false">IF(N169=1,YEAR(B169),0)</f>
        <v>0</v>
      </c>
      <c r="P169" s="51" t="n">
        <f aca="false">IF(N169=1,YEAR(B169)*100+MONTH(B169),0)</f>
        <v>0</v>
      </c>
      <c r="Q169" s="51" t="n">
        <f aca="false">IF(N169=1,IF(J169="No",1,0),0)</f>
        <v>0</v>
      </c>
    </row>
    <row r="170" customFormat="false" ht="15" hidden="false" customHeight="false" outlineLevel="0" collapsed="false">
      <c r="B170" s="52"/>
      <c r="C170" s="53"/>
      <c r="D170" s="53"/>
      <c r="E170" s="53"/>
      <c r="F170" s="53"/>
      <c r="G170" s="54"/>
      <c r="H170" s="55"/>
      <c r="I170" s="56" t="str">
        <f aca="false">IF(G170="","",G170*IF(H170="",1,H170))</f>
        <v/>
      </c>
      <c r="J170" s="57"/>
      <c r="K170" s="53"/>
      <c r="L170" s="58" t="str">
        <f aca="false">IF(G170="","",IF(ISNUMBER(B170),IF(E170="","⚠ ADD CATEGORY / AGREGA CATEGORÍA",IF(J170="No","⚠ SAVE RECEIPT / GUARDA RECIBO","✔ OK")),"⚠ ADD DATE / AGREGA FECHA"))</f>
        <v/>
      </c>
      <c r="N170" s="51" t="n">
        <f aca="false">IF(G170="",0,IF(ISNUMBER(B170),1,0))</f>
        <v>0</v>
      </c>
      <c r="O170" s="51" t="n">
        <f aca="false">IF(N170=1,YEAR(B170),0)</f>
        <v>0</v>
      </c>
      <c r="P170" s="51" t="n">
        <f aca="false">IF(N170=1,YEAR(B170)*100+MONTH(B170),0)</f>
        <v>0</v>
      </c>
      <c r="Q170" s="51" t="n">
        <f aca="false">IF(N170=1,IF(J170="No",1,0),0)</f>
        <v>0</v>
      </c>
    </row>
    <row r="171" customFormat="false" ht="15" hidden="false" customHeight="false" outlineLevel="0" collapsed="false">
      <c r="B171" s="52"/>
      <c r="C171" s="53"/>
      <c r="D171" s="53"/>
      <c r="E171" s="53"/>
      <c r="F171" s="53"/>
      <c r="G171" s="54"/>
      <c r="H171" s="55"/>
      <c r="I171" s="56" t="str">
        <f aca="false">IF(G171="","",G171*IF(H171="",1,H171))</f>
        <v/>
      </c>
      <c r="J171" s="57"/>
      <c r="K171" s="53"/>
      <c r="L171" s="58" t="str">
        <f aca="false">IF(G171="","",IF(ISNUMBER(B171),IF(E171="","⚠ ADD CATEGORY / AGREGA CATEGORÍA",IF(J171="No","⚠ SAVE RECEIPT / GUARDA RECIBO","✔ OK")),"⚠ ADD DATE / AGREGA FECHA"))</f>
        <v/>
      </c>
      <c r="N171" s="51" t="n">
        <f aca="false">IF(G171="",0,IF(ISNUMBER(B171),1,0))</f>
        <v>0</v>
      </c>
      <c r="O171" s="51" t="n">
        <f aca="false">IF(N171=1,YEAR(B171),0)</f>
        <v>0</v>
      </c>
      <c r="P171" s="51" t="n">
        <f aca="false">IF(N171=1,YEAR(B171)*100+MONTH(B171),0)</f>
        <v>0</v>
      </c>
      <c r="Q171" s="51" t="n">
        <f aca="false">IF(N171=1,IF(J171="No",1,0),0)</f>
        <v>0</v>
      </c>
    </row>
    <row r="172" customFormat="false" ht="15" hidden="false" customHeight="false" outlineLevel="0" collapsed="false">
      <c r="B172" s="52"/>
      <c r="C172" s="53"/>
      <c r="D172" s="53"/>
      <c r="E172" s="53"/>
      <c r="F172" s="53"/>
      <c r="G172" s="54"/>
      <c r="H172" s="55"/>
      <c r="I172" s="56" t="str">
        <f aca="false">IF(G172="","",G172*IF(H172="",1,H172))</f>
        <v/>
      </c>
      <c r="J172" s="57"/>
      <c r="K172" s="53"/>
      <c r="L172" s="58" t="str">
        <f aca="false">IF(G172="","",IF(ISNUMBER(B172),IF(E172="","⚠ ADD CATEGORY / AGREGA CATEGORÍA",IF(J172="No","⚠ SAVE RECEIPT / GUARDA RECIBO","✔ OK")),"⚠ ADD DATE / AGREGA FECHA"))</f>
        <v/>
      </c>
      <c r="N172" s="51" t="n">
        <f aca="false">IF(G172="",0,IF(ISNUMBER(B172),1,0))</f>
        <v>0</v>
      </c>
      <c r="O172" s="51" t="n">
        <f aca="false">IF(N172=1,YEAR(B172),0)</f>
        <v>0</v>
      </c>
      <c r="P172" s="51" t="n">
        <f aca="false">IF(N172=1,YEAR(B172)*100+MONTH(B172),0)</f>
        <v>0</v>
      </c>
      <c r="Q172" s="51" t="n">
        <f aca="false">IF(N172=1,IF(J172="No",1,0),0)</f>
        <v>0</v>
      </c>
    </row>
    <row r="173" customFormat="false" ht="15" hidden="false" customHeight="false" outlineLevel="0" collapsed="false">
      <c r="B173" s="52"/>
      <c r="C173" s="53"/>
      <c r="D173" s="53"/>
      <c r="E173" s="53"/>
      <c r="F173" s="53"/>
      <c r="G173" s="54"/>
      <c r="H173" s="55"/>
      <c r="I173" s="56" t="str">
        <f aca="false">IF(G173="","",G173*IF(H173="",1,H173))</f>
        <v/>
      </c>
      <c r="J173" s="57"/>
      <c r="K173" s="53"/>
      <c r="L173" s="58" t="str">
        <f aca="false">IF(G173="","",IF(ISNUMBER(B173),IF(E173="","⚠ ADD CATEGORY / AGREGA CATEGORÍA",IF(J173="No","⚠ SAVE RECEIPT / GUARDA RECIBO","✔ OK")),"⚠ ADD DATE / AGREGA FECHA"))</f>
        <v/>
      </c>
      <c r="N173" s="51" t="n">
        <f aca="false">IF(G173="",0,IF(ISNUMBER(B173),1,0))</f>
        <v>0</v>
      </c>
      <c r="O173" s="51" t="n">
        <f aca="false">IF(N173=1,YEAR(B173),0)</f>
        <v>0</v>
      </c>
      <c r="P173" s="51" t="n">
        <f aca="false">IF(N173=1,YEAR(B173)*100+MONTH(B173),0)</f>
        <v>0</v>
      </c>
      <c r="Q173" s="51" t="n">
        <f aca="false">IF(N173=1,IF(J173="No",1,0),0)</f>
        <v>0</v>
      </c>
    </row>
    <row r="174" customFormat="false" ht="15" hidden="false" customHeight="false" outlineLevel="0" collapsed="false">
      <c r="B174" s="52"/>
      <c r="C174" s="53"/>
      <c r="D174" s="53"/>
      <c r="E174" s="53"/>
      <c r="F174" s="53"/>
      <c r="G174" s="54"/>
      <c r="H174" s="55"/>
      <c r="I174" s="56" t="str">
        <f aca="false">IF(G174="","",G174*IF(H174="",1,H174))</f>
        <v/>
      </c>
      <c r="J174" s="57"/>
      <c r="K174" s="53"/>
      <c r="L174" s="58" t="str">
        <f aca="false">IF(G174="","",IF(ISNUMBER(B174),IF(E174="","⚠ ADD CATEGORY / AGREGA CATEGORÍA",IF(J174="No","⚠ SAVE RECEIPT / GUARDA RECIBO","✔ OK")),"⚠ ADD DATE / AGREGA FECHA"))</f>
        <v/>
      </c>
      <c r="N174" s="51" t="n">
        <f aca="false">IF(G174="",0,IF(ISNUMBER(B174),1,0))</f>
        <v>0</v>
      </c>
      <c r="O174" s="51" t="n">
        <f aca="false">IF(N174=1,YEAR(B174),0)</f>
        <v>0</v>
      </c>
      <c r="P174" s="51" t="n">
        <f aca="false">IF(N174=1,YEAR(B174)*100+MONTH(B174),0)</f>
        <v>0</v>
      </c>
      <c r="Q174" s="51" t="n">
        <f aca="false">IF(N174=1,IF(J174="No",1,0),0)</f>
        <v>0</v>
      </c>
    </row>
    <row r="175" customFormat="false" ht="15" hidden="false" customHeight="false" outlineLevel="0" collapsed="false">
      <c r="B175" s="52"/>
      <c r="C175" s="53"/>
      <c r="D175" s="53"/>
      <c r="E175" s="53"/>
      <c r="F175" s="53"/>
      <c r="G175" s="54"/>
      <c r="H175" s="55"/>
      <c r="I175" s="56" t="str">
        <f aca="false">IF(G175="","",G175*IF(H175="",1,H175))</f>
        <v/>
      </c>
      <c r="J175" s="57"/>
      <c r="K175" s="53"/>
      <c r="L175" s="58" t="str">
        <f aca="false">IF(G175="","",IF(ISNUMBER(B175),IF(E175="","⚠ ADD CATEGORY / AGREGA CATEGORÍA",IF(J175="No","⚠ SAVE RECEIPT / GUARDA RECIBO","✔ OK")),"⚠ ADD DATE / AGREGA FECHA"))</f>
        <v/>
      </c>
      <c r="N175" s="51" t="n">
        <f aca="false">IF(G175="",0,IF(ISNUMBER(B175),1,0))</f>
        <v>0</v>
      </c>
      <c r="O175" s="51" t="n">
        <f aca="false">IF(N175=1,YEAR(B175),0)</f>
        <v>0</v>
      </c>
      <c r="P175" s="51" t="n">
        <f aca="false">IF(N175=1,YEAR(B175)*100+MONTH(B175),0)</f>
        <v>0</v>
      </c>
      <c r="Q175" s="51" t="n">
        <f aca="false">IF(N175=1,IF(J175="No",1,0),0)</f>
        <v>0</v>
      </c>
    </row>
    <row r="176" customFormat="false" ht="15" hidden="false" customHeight="false" outlineLevel="0" collapsed="false">
      <c r="B176" s="52"/>
      <c r="C176" s="53"/>
      <c r="D176" s="53"/>
      <c r="E176" s="53"/>
      <c r="F176" s="53"/>
      <c r="G176" s="54"/>
      <c r="H176" s="55"/>
      <c r="I176" s="56" t="str">
        <f aca="false">IF(G176="","",G176*IF(H176="",1,H176))</f>
        <v/>
      </c>
      <c r="J176" s="57"/>
      <c r="K176" s="53"/>
      <c r="L176" s="58" t="str">
        <f aca="false">IF(G176="","",IF(ISNUMBER(B176),IF(E176="","⚠ ADD CATEGORY / AGREGA CATEGORÍA",IF(J176="No","⚠ SAVE RECEIPT / GUARDA RECIBO","✔ OK")),"⚠ ADD DATE / AGREGA FECHA"))</f>
        <v/>
      </c>
      <c r="N176" s="51" t="n">
        <f aca="false">IF(G176="",0,IF(ISNUMBER(B176),1,0))</f>
        <v>0</v>
      </c>
      <c r="O176" s="51" t="n">
        <f aca="false">IF(N176=1,YEAR(B176),0)</f>
        <v>0</v>
      </c>
      <c r="P176" s="51" t="n">
        <f aca="false">IF(N176=1,YEAR(B176)*100+MONTH(B176),0)</f>
        <v>0</v>
      </c>
      <c r="Q176" s="51" t="n">
        <f aca="false">IF(N176=1,IF(J176="No",1,0),0)</f>
        <v>0</v>
      </c>
    </row>
    <row r="177" customFormat="false" ht="15" hidden="false" customHeight="false" outlineLevel="0" collapsed="false">
      <c r="B177" s="52"/>
      <c r="C177" s="53"/>
      <c r="D177" s="53"/>
      <c r="E177" s="53"/>
      <c r="F177" s="53"/>
      <c r="G177" s="54"/>
      <c r="H177" s="55"/>
      <c r="I177" s="56" t="str">
        <f aca="false">IF(G177="","",G177*IF(H177="",1,H177))</f>
        <v/>
      </c>
      <c r="J177" s="57"/>
      <c r="K177" s="53"/>
      <c r="L177" s="58" t="str">
        <f aca="false">IF(G177="","",IF(ISNUMBER(B177),IF(E177="","⚠ ADD CATEGORY / AGREGA CATEGORÍA",IF(J177="No","⚠ SAVE RECEIPT / GUARDA RECIBO","✔ OK")),"⚠ ADD DATE / AGREGA FECHA"))</f>
        <v/>
      </c>
      <c r="N177" s="51" t="n">
        <f aca="false">IF(G177="",0,IF(ISNUMBER(B177),1,0))</f>
        <v>0</v>
      </c>
      <c r="O177" s="51" t="n">
        <f aca="false">IF(N177=1,YEAR(B177),0)</f>
        <v>0</v>
      </c>
      <c r="P177" s="51" t="n">
        <f aca="false">IF(N177=1,YEAR(B177)*100+MONTH(B177),0)</f>
        <v>0</v>
      </c>
      <c r="Q177" s="51" t="n">
        <f aca="false">IF(N177=1,IF(J177="No",1,0),0)</f>
        <v>0</v>
      </c>
    </row>
    <row r="178" customFormat="false" ht="15" hidden="false" customHeight="false" outlineLevel="0" collapsed="false">
      <c r="B178" s="52"/>
      <c r="C178" s="53"/>
      <c r="D178" s="53"/>
      <c r="E178" s="53"/>
      <c r="F178" s="53"/>
      <c r="G178" s="54"/>
      <c r="H178" s="55"/>
      <c r="I178" s="56" t="str">
        <f aca="false">IF(G178="","",G178*IF(H178="",1,H178))</f>
        <v/>
      </c>
      <c r="J178" s="57"/>
      <c r="K178" s="53"/>
      <c r="L178" s="58" t="str">
        <f aca="false">IF(G178="","",IF(ISNUMBER(B178),IF(E178="","⚠ ADD CATEGORY / AGREGA CATEGORÍA",IF(J178="No","⚠ SAVE RECEIPT / GUARDA RECIBO","✔ OK")),"⚠ ADD DATE / AGREGA FECHA"))</f>
        <v/>
      </c>
      <c r="N178" s="51" t="n">
        <f aca="false">IF(G178="",0,IF(ISNUMBER(B178),1,0))</f>
        <v>0</v>
      </c>
      <c r="O178" s="51" t="n">
        <f aca="false">IF(N178=1,YEAR(B178),0)</f>
        <v>0</v>
      </c>
      <c r="P178" s="51" t="n">
        <f aca="false">IF(N178=1,YEAR(B178)*100+MONTH(B178),0)</f>
        <v>0</v>
      </c>
      <c r="Q178" s="51" t="n">
        <f aca="false">IF(N178=1,IF(J178="No",1,0),0)</f>
        <v>0</v>
      </c>
    </row>
    <row r="179" customFormat="false" ht="15" hidden="false" customHeight="false" outlineLevel="0" collapsed="false">
      <c r="B179" s="52"/>
      <c r="C179" s="53"/>
      <c r="D179" s="53"/>
      <c r="E179" s="53"/>
      <c r="F179" s="53"/>
      <c r="G179" s="54"/>
      <c r="H179" s="55"/>
      <c r="I179" s="56" t="str">
        <f aca="false">IF(G179="","",G179*IF(H179="",1,H179))</f>
        <v/>
      </c>
      <c r="J179" s="57"/>
      <c r="K179" s="53"/>
      <c r="L179" s="58" t="str">
        <f aca="false">IF(G179="","",IF(ISNUMBER(B179),IF(E179="","⚠ ADD CATEGORY / AGREGA CATEGORÍA",IF(J179="No","⚠ SAVE RECEIPT / GUARDA RECIBO","✔ OK")),"⚠ ADD DATE / AGREGA FECHA"))</f>
        <v/>
      </c>
      <c r="N179" s="51" t="n">
        <f aca="false">IF(G179="",0,IF(ISNUMBER(B179),1,0))</f>
        <v>0</v>
      </c>
      <c r="O179" s="51" t="n">
        <f aca="false">IF(N179=1,YEAR(B179),0)</f>
        <v>0</v>
      </c>
      <c r="P179" s="51" t="n">
        <f aca="false">IF(N179=1,YEAR(B179)*100+MONTH(B179),0)</f>
        <v>0</v>
      </c>
      <c r="Q179" s="51" t="n">
        <f aca="false">IF(N179=1,IF(J179="No",1,0),0)</f>
        <v>0</v>
      </c>
    </row>
    <row r="180" customFormat="false" ht="15" hidden="false" customHeight="false" outlineLevel="0" collapsed="false">
      <c r="B180" s="52"/>
      <c r="C180" s="53"/>
      <c r="D180" s="53"/>
      <c r="E180" s="53"/>
      <c r="F180" s="53"/>
      <c r="G180" s="54"/>
      <c r="H180" s="55"/>
      <c r="I180" s="56" t="str">
        <f aca="false">IF(G180="","",G180*IF(H180="",1,H180))</f>
        <v/>
      </c>
      <c r="J180" s="57"/>
      <c r="K180" s="53"/>
      <c r="L180" s="58" t="str">
        <f aca="false">IF(G180="","",IF(ISNUMBER(B180),IF(E180="","⚠ ADD CATEGORY / AGREGA CATEGORÍA",IF(J180="No","⚠ SAVE RECEIPT / GUARDA RECIBO","✔ OK")),"⚠ ADD DATE / AGREGA FECHA"))</f>
        <v/>
      </c>
      <c r="N180" s="51" t="n">
        <f aca="false">IF(G180="",0,IF(ISNUMBER(B180),1,0))</f>
        <v>0</v>
      </c>
      <c r="O180" s="51" t="n">
        <f aca="false">IF(N180=1,YEAR(B180),0)</f>
        <v>0</v>
      </c>
      <c r="P180" s="51" t="n">
        <f aca="false">IF(N180=1,YEAR(B180)*100+MONTH(B180),0)</f>
        <v>0</v>
      </c>
      <c r="Q180" s="51" t="n">
        <f aca="false">IF(N180=1,IF(J180="No",1,0),0)</f>
        <v>0</v>
      </c>
    </row>
    <row r="181" customFormat="false" ht="15" hidden="false" customHeight="false" outlineLevel="0" collapsed="false">
      <c r="B181" s="52"/>
      <c r="C181" s="53"/>
      <c r="D181" s="53"/>
      <c r="E181" s="53"/>
      <c r="F181" s="53"/>
      <c r="G181" s="54"/>
      <c r="H181" s="55"/>
      <c r="I181" s="56" t="str">
        <f aca="false">IF(G181="","",G181*IF(H181="",1,H181))</f>
        <v/>
      </c>
      <c r="J181" s="57"/>
      <c r="K181" s="53"/>
      <c r="L181" s="58" t="str">
        <f aca="false">IF(G181="","",IF(ISNUMBER(B181),IF(E181="","⚠ ADD CATEGORY / AGREGA CATEGORÍA",IF(J181="No","⚠ SAVE RECEIPT / GUARDA RECIBO","✔ OK")),"⚠ ADD DATE / AGREGA FECHA"))</f>
        <v/>
      </c>
      <c r="N181" s="51" t="n">
        <f aca="false">IF(G181="",0,IF(ISNUMBER(B181),1,0))</f>
        <v>0</v>
      </c>
      <c r="O181" s="51" t="n">
        <f aca="false">IF(N181=1,YEAR(B181),0)</f>
        <v>0</v>
      </c>
      <c r="P181" s="51" t="n">
        <f aca="false">IF(N181=1,YEAR(B181)*100+MONTH(B181),0)</f>
        <v>0</v>
      </c>
      <c r="Q181" s="51" t="n">
        <f aca="false">IF(N181=1,IF(J181="No",1,0),0)</f>
        <v>0</v>
      </c>
    </row>
    <row r="182" customFormat="false" ht="15" hidden="false" customHeight="false" outlineLevel="0" collapsed="false">
      <c r="B182" s="52"/>
      <c r="C182" s="53"/>
      <c r="D182" s="53"/>
      <c r="E182" s="53"/>
      <c r="F182" s="53"/>
      <c r="G182" s="54"/>
      <c r="H182" s="55"/>
      <c r="I182" s="56" t="str">
        <f aca="false">IF(G182="","",G182*IF(H182="",1,H182))</f>
        <v/>
      </c>
      <c r="J182" s="57"/>
      <c r="K182" s="53"/>
      <c r="L182" s="58" t="str">
        <f aca="false">IF(G182="","",IF(ISNUMBER(B182),IF(E182="","⚠ ADD CATEGORY / AGREGA CATEGORÍA",IF(J182="No","⚠ SAVE RECEIPT / GUARDA RECIBO","✔ OK")),"⚠ ADD DATE / AGREGA FECHA"))</f>
        <v/>
      </c>
      <c r="N182" s="51" t="n">
        <f aca="false">IF(G182="",0,IF(ISNUMBER(B182),1,0))</f>
        <v>0</v>
      </c>
      <c r="O182" s="51" t="n">
        <f aca="false">IF(N182=1,YEAR(B182),0)</f>
        <v>0</v>
      </c>
      <c r="P182" s="51" t="n">
        <f aca="false">IF(N182=1,YEAR(B182)*100+MONTH(B182),0)</f>
        <v>0</v>
      </c>
      <c r="Q182" s="51" t="n">
        <f aca="false">IF(N182=1,IF(J182="No",1,0),0)</f>
        <v>0</v>
      </c>
    </row>
    <row r="183" customFormat="false" ht="15" hidden="false" customHeight="false" outlineLevel="0" collapsed="false">
      <c r="B183" s="52"/>
      <c r="C183" s="53"/>
      <c r="D183" s="53"/>
      <c r="E183" s="53"/>
      <c r="F183" s="53"/>
      <c r="G183" s="54"/>
      <c r="H183" s="55"/>
      <c r="I183" s="56" t="str">
        <f aca="false">IF(G183="","",G183*IF(H183="",1,H183))</f>
        <v/>
      </c>
      <c r="J183" s="57"/>
      <c r="K183" s="53"/>
      <c r="L183" s="58" t="str">
        <f aca="false">IF(G183="","",IF(ISNUMBER(B183),IF(E183="","⚠ ADD CATEGORY / AGREGA CATEGORÍA",IF(J183="No","⚠ SAVE RECEIPT / GUARDA RECIBO","✔ OK")),"⚠ ADD DATE / AGREGA FECHA"))</f>
        <v/>
      </c>
      <c r="N183" s="51" t="n">
        <f aca="false">IF(G183="",0,IF(ISNUMBER(B183),1,0))</f>
        <v>0</v>
      </c>
      <c r="O183" s="51" t="n">
        <f aca="false">IF(N183=1,YEAR(B183),0)</f>
        <v>0</v>
      </c>
      <c r="P183" s="51" t="n">
        <f aca="false">IF(N183=1,YEAR(B183)*100+MONTH(B183),0)</f>
        <v>0</v>
      </c>
      <c r="Q183" s="51" t="n">
        <f aca="false">IF(N183=1,IF(J183="No",1,0),0)</f>
        <v>0</v>
      </c>
    </row>
    <row r="184" customFormat="false" ht="15" hidden="false" customHeight="false" outlineLevel="0" collapsed="false">
      <c r="B184" s="52"/>
      <c r="C184" s="53"/>
      <c r="D184" s="53"/>
      <c r="E184" s="53"/>
      <c r="F184" s="53"/>
      <c r="G184" s="54"/>
      <c r="H184" s="55"/>
      <c r="I184" s="56" t="str">
        <f aca="false">IF(G184="","",G184*IF(H184="",1,H184))</f>
        <v/>
      </c>
      <c r="J184" s="57"/>
      <c r="K184" s="53"/>
      <c r="L184" s="58" t="str">
        <f aca="false">IF(G184="","",IF(ISNUMBER(B184),IF(E184="","⚠ ADD CATEGORY / AGREGA CATEGORÍA",IF(J184="No","⚠ SAVE RECEIPT / GUARDA RECIBO","✔ OK")),"⚠ ADD DATE / AGREGA FECHA"))</f>
        <v/>
      </c>
      <c r="N184" s="51" t="n">
        <f aca="false">IF(G184="",0,IF(ISNUMBER(B184),1,0))</f>
        <v>0</v>
      </c>
      <c r="O184" s="51" t="n">
        <f aca="false">IF(N184=1,YEAR(B184),0)</f>
        <v>0</v>
      </c>
      <c r="P184" s="51" t="n">
        <f aca="false">IF(N184=1,YEAR(B184)*100+MONTH(B184),0)</f>
        <v>0</v>
      </c>
      <c r="Q184" s="51" t="n">
        <f aca="false">IF(N184=1,IF(J184="No",1,0),0)</f>
        <v>0</v>
      </c>
    </row>
    <row r="185" customFormat="false" ht="15" hidden="false" customHeight="false" outlineLevel="0" collapsed="false">
      <c r="B185" s="52"/>
      <c r="C185" s="53"/>
      <c r="D185" s="53"/>
      <c r="E185" s="53"/>
      <c r="F185" s="53"/>
      <c r="G185" s="54"/>
      <c r="H185" s="55"/>
      <c r="I185" s="56" t="str">
        <f aca="false">IF(G185="","",G185*IF(H185="",1,H185))</f>
        <v/>
      </c>
      <c r="J185" s="57"/>
      <c r="K185" s="53"/>
      <c r="L185" s="58" t="str">
        <f aca="false">IF(G185="","",IF(ISNUMBER(B185),IF(E185="","⚠ ADD CATEGORY / AGREGA CATEGORÍA",IF(J185="No","⚠ SAVE RECEIPT / GUARDA RECIBO","✔ OK")),"⚠ ADD DATE / AGREGA FECHA"))</f>
        <v/>
      </c>
      <c r="N185" s="51" t="n">
        <f aca="false">IF(G185="",0,IF(ISNUMBER(B185),1,0))</f>
        <v>0</v>
      </c>
      <c r="O185" s="51" t="n">
        <f aca="false">IF(N185=1,YEAR(B185),0)</f>
        <v>0</v>
      </c>
      <c r="P185" s="51" t="n">
        <f aca="false">IF(N185=1,YEAR(B185)*100+MONTH(B185),0)</f>
        <v>0</v>
      </c>
      <c r="Q185" s="51" t="n">
        <f aca="false">IF(N185=1,IF(J185="No",1,0),0)</f>
        <v>0</v>
      </c>
    </row>
    <row r="186" customFormat="false" ht="15" hidden="false" customHeight="false" outlineLevel="0" collapsed="false">
      <c r="B186" s="52"/>
      <c r="C186" s="53"/>
      <c r="D186" s="53"/>
      <c r="E186" s="53"/>
      <c r="F186" s="53"/>
      <c r="G186" s="54"/>
      <c r="H186" s="55"/>
      <c r="I186" s="56" t="str">
        <f aca="false">IF(G186="","",G186*IF(H186="",1,H186))</f>
        <v/>
      </c>
      <c r="J186" s="57"/>
      <c r="K186" s="53"/>
      <c r="L186" s="58" t="str">
        <f aca="false">IF(G186="","",IF(ISNUMBER(B186),IF(E186="","⚠ ADD CATEGORY / AGREGA CATEGORÍA",IF(J186="No","⚠ SAVE RECEIPT / GUARDA RECIBO","✔ OK")),"⚠ ADD DATE / AGREGA FECHA"))</f>
        <v/>
      </c>
      <c r="N186" s="51" t="n">
        <f aca="false">IF(G186="",0,IF(ISNUMBER(B186),1,0))</f>
        <v>0</v>
      </c>
      <c r="O186" s="51" t="n">
        <f aca="false">IF(N186=1,YEAR(B186),0)</f>
        <v>0</v>
      </c>
      <c r="P186" s="51" t="n">
        <f aca="false">IF(N186=1,YEAR(B186)*100+MONTH(B186),0)</f>
        <v>0</v>
      </c>
      <c r="Q186" s="51" t="n">
        <f aca="false">IF(N186=1,IF(J186="No",1,0),0)</f>
        <v>0</v>
      </c>
    </row>
    <row r="187" customFormat="false" ht="15" hidden="false" customHeight="false" outlineLevel="0" collapsed="false">
      <c r="B187" s="52"/>
      <c r="C187" s="53"/>
      <c r="D187" s="53"/>
      <c r="E187" s="53"/>
      <c r="F187" s="53"/>
      <c r="G187" s="54"/>
      <c r="H187" s="55"/>
      <c r="I187" s="56" t="str">
        <f aca="false">IF(G187="","",G187*IF(H187="",1,H187))</f>
        <v/>
      </c>
      <c r="J187" s="57"/>
      <c r="K187" s="53"/>
      <c r="L187" s="58" t="str">
        <f aca="false">IF(G187="","",IF(ISNUMBER(B187),IF(E187="","⚠ ADD CATEGORY / AGREGA CATEGORÍA",IF(J187="No","⚠ SAVE RECEIPT / GUARDA RECIBO","✔ OK")),"⚠ ADD DATE / AGREGA FECHA"))</f>
        <v/>
      </c>
      <c r="N187" s="51" t="n">
        <f aca="false">IF(G187="",0,IF(ISNUMBER(B187),1,0))</f>
        <v>0</v>
      </c>
      <c r="O187" s="51" t="n">
        <f aca="false">IF(N187=1,YEAR(B187),0)</f>
        <v>0</v>
      </c>
      <c r="P187" s="51" t="n">
        <f aca="false">IF(N187=1,YEAR(B187)*100+MONTH(B187),0)</f>
        <v>0</v>
      </c>
      <c r="Q187" s="51" t="n">
        <f aca="false">IF(N187=1,IF(J187="No",1,0),0)</f>
        <v>0</v>
      </c>
    </row>
    <row r="188" customFormat="false" ht="15" hidden="false" customHeight="false" outlineLevel="0" collapsed="false">
      <c r="B188" s="52"/>
      <c r="C188" s="53"/>
      <c r="D188" s="53"/>
      <c r="E188" s="53"/>
      <c r="F188" s="53"/>
      <c r="G188" s="54"/>
      <c r="H188" s="55"/>
      <c r="I188" s="56" t="str">
        <f aca="false">IF(G188="","",G188*IF(H188="",1,H188))</f>
        <v/>
      </c>
      <c r="J188" s="57"/>
      <c r="K188" s="53"/>
      <c r="L188" s="58" t="str">
        <f aca="false">IF(G188="","",IF(ISNUMBER(B188),IF(E188="","⚠ ADD CATEGORY / AGREGA CATEGORÍA",IF(J188="No","⚠ SAVE RECEIPT / GUARDA RECIBO","✔ OK")),"⚠ ADD DATE / AGREGA FECHA"))</f>
        <v/>
      </c>
      <c r="N188" s="51" t="n">
        <f aca="false">IF(G188="",0,IF(ISNUMBER(B188),1,0))</f>
        <v>0</v>
      </c>
      <c r="O188" s="51" t="n">
        <f aca="false">IF(N188=1,YEAR(B188),0)</f>
        <v>0</v>
      </c>
      <c r="P188" s="51" t="n">
        <f aca="false">IF(N188=1,YEAR(B188)*100+MONTH(B188),0)</f>
        <v>0</v>
      </c>
      <c r="Q188" s="51" t="n">
        <f aca="false">IF(N188=1,IF(J188="No",1,0),0)</f>
        <v>0</v>
      </c>
    </row>
    <row r="189" customFormat="false" ht="15" hidden="false" customHeight="false" outlineLevel="0" collapsed="false">
      <c r="B189" s="52"/>
      <c r="C189" s="53"/>
      <c r="D189" s="53"/>
      <c r="E189" s="53"/>
      <c r="F189" s="53"/>
      <c r="G189" s="54"/>
      <c r="H189" s="55"/>
      <c r="I189" s="56" t="str">
        <f aca="false">IF(G189="","",G189*IF(H189="",1,H189))</f>
        <v/>
      </c>
      <c r="J189" s="57"/>
      <c r="K189" s="53"/>
      <c r="L189" s="58" t="str">
        <f aca="false">IF(G189="","",IF(ISNUMBER(B189),IF(E189="","⚠ ADD CATEGORY / AGREGA CATEGORÍA",IF(J189="No","⚠ SAVE RECEIPT / GUARDA RECIBO","✔ OK")),"⚠ ADD DATE / AGREGA FECHA"))</f>
        <v/>
      </c>
      <c r="N189" s="51" t="n">
        <f aca="false">IF(G189="",0,IF(ISNUMBER(B189),1,0))</f>
        <v>0</v>
      </c>
      <c r="O189" s="51" t="n">
        <f aca="false">IF(N189=1,YEAR(B189),0)</f>
        <v>0</v>
      </c>
      <c r="P189" s="51" t="n">
        <f aca="false">IF(N189=1,YEAR(B189)*100+MONTH(B189),0)</f>
        <v>0</v>
      </c>
      <c r="Q189" s="51" t="n">
        <f aca="false">IF(N189=1,IF(J189="No",1,0),0)</f>
        <v>0</v>
      </c>
    </row>
    <row r="190" customFormat="false" ht="15" hidden="false" customHeight="false" outlineLevel="0" collapsed="false">
      <c r="B190" s="52"/>
      <c r="C190" s="53"/>
      <c r="D190" s="53"/>
      <c r="E190" s="53"/>
      <c r="F190" s="53"/>
      <c r="G190" s="54"/>
      <c r="H190" s="55"/>
      <c r="I190" s="56" t="str">
        <f aca="false">IF(G190="","",G190*IF(H190="",1,H190))</f>
        <v/>
      </c>
      <c r="J190" s="57"/>
      <c r="K190" s="53"/>
      <c r="L190" s="58" t="str">
        <f aca="false">IF(G190="","",IF(ISNUMBER(B190),IF(E190="","⚠ ADD CATEGORY / AGREGA CATEGORÍA",IF(J190="No","⚠ SAVE RECEIPT / GUARDA RECIBO","✔ OK")),"⚠ ADD DATE / AGREGA FECHA"))</f>
        <v/>
      </c>
      <c r="N190" s="51" t="n">
        <f aca="false">IF(G190="",0,IF(ISNUMBER(B190),1,0))</f>
        <v>0</v>
      </c>
      <c r="O190" s="51" t="n">
        <f aca="false">IF(N190=1,YEAR(B190),0)</f>
        <v>0</v>
      </c>
      <c r="P190" s="51" t="n">
        <f aca="false">IF(N190=1,YEAR(B190)*100+MONTH(B190),0)</f>
        <v>0</v>
      </c>
      <c r="Q190" s="51" t="n">
        <f aca="false">IF(N190=1,IF(J190="No",1,0),0)</f>
        <v>0</v>
      </c>
    </row>
    <row r="191" customFormat="false" ht="15" hidden="false" customHeight="false" outlineLevel="0" collapsed="false">
      <c r="B191" s="52"/>
      <c r="C191" s="53"/>
      <c r="D191" s="53"/>
      <c r="E191" s="53"/>
      <c r="F191" s="53"/>
      <c r="G191" s="54"/>
      <c r="H191" s="55"/>
      <c r="I191" s="56" t="str">
        <f aca="false">IF(G191="","",G191*IF(H191="",1,H191))</f>
        <v/>
      </c>
      <c r="J191" s="57"/>
      <c r="K191" s="53"/>
      <c r="L191" s="58" t="str">
        <f aca="false">IF(G191="","",IF(ISNUMBER(B191),IF(E191="","⚠ ADD CATEGORY / AGREGA CATEGORÍA",IF(J191="No","⚠ SAVE RECEIPT / GUARDA RECIBO","✔ OK")),"⚠ ADD DATE / AGREGA FECHA"))</f>
        <v/>
      </c>
      <c r="N191" s="51" t="n">
        <f aca="false">IF(G191="",0,IF(ISNUMBER(B191),1,0))</f>
        <v>0</v>
      </c>
      <c r="O191" s="51" t="n">
        <f aca="false">IF(N191=1,YEAR(B191),0)</f>
        <v>0</v>
      </c>
      <c r="P191" s="51" t="n">
        <f aca="false">IF(N191=1,YEAR(B191)*100+MONTH(B191),0)</f>
        <v>0</v>
      </c>
      <c r="Q191" s="51" t="n">
        <f aca="false">IF(N191=1,IF(J191="No",1,0),0)</f>
        <v>0</v>
      </c>
    </row>
    <row r="192" customFormat="false" ht="15" hidden="false" customHeight="false" outlineLevel="0" collapsed="false">
      <c r="B192" s="52"/>
      <c r="C192" s="53"/>
      <c r="D192" s="53"/>
      <c r="E192" s="53"/>
      <c r="F192" s="53"/>
      <c r="G192" s="54"/>
      <c r="H192" s="55"/>
      <c r="I192" s="56" t="str">
        <f aca="false">IF(G192="","",G192*IF(H192="",1,H192))</f>
        <v/>
      </c>
      <c r="J192" s="57"/>
      <c r="K192" s="53"/>
      <c r="L192" s="58" t="str">
        <f aca="false">IF(G192="","",IF(ISNUMBER(B192),IF(E192="","⚠ ADD CATEGORY / AGREGA CATEGORÍA",IF(J192="No","⚠ SAVE RECEIPT / GUARDA RECIBO","✔ OK")),"⚠ ADD DATE / AGREGA FECHA"))</f>
        <v/>
      </c>
      <c r="N192" s="51" t="n">
        <f aca="false">IF(G192="",0,IF(ISNUMBER(B192),1,0))</f>
        <v>0</v>
      </c>
      <c r="O192" s="51" t="n">
        <f aca="false">IF(N192=1,YEAR(B192),0)</f>
        <v>0</v>
      </c>
      <c r="P192" s="51" t="n">
        <f aca="false">IF(N192=1,YEAR(B192)*100+MONTH(B192),0)</f>
        <v>0</v>
      </c>
      <c r="Q192" s="51" t="n">
        <f aca="false">IF(N192=1,IF(J192="No",1,0),0)</f>
        <v>0</v>
      </c>
    </row>
    <row r="193" customFormat="false" ht="15" hidden="false" customHeight="false" outlineLevel="0" collapsed="false">
      <c r="B193" s="52"/>
      <c r="C193" s="53"/>
      <c r="D193" s="53"/>
      <c r="E193" s="53"/>
      <c r="F193" s="53"/>
      <c r="G193" s="54"/>
      <c r="H193" s="55"/>
      <c r="I193" s="56" t="str">
        <f aca="false">IF(G193="","",G193*IF(H193="",1,H193))</f>
        <v/>
      </c>
      <c r="J193" s="57"/>
      <c r="K193" s="53"/>
      <c r="L193" s="58" t="str">
        <f aca="false">IF(G193="","",IF(ISNUMBER(B193),IF(E193="","⚠ ADD CATEGORY / AGREGA CATEGORÍA",IF(J193="No","⚠ SAVE RECEIPT / GUARDA RECIBO","✔ OK")),"⚠ ADD DATE / AGREGA FECHA"))</f>
        <v/>
      </c>
      <c r="N193" s="51" t="n">
        <f aca="false">IF(G193="",0,IF(ISNUMBER(B193),1,0))</f>
        <v>0</v>
      </c>
      <c r="O193" s="51" t="n">
        <f aca="false">IF(N193=1,YEAR(B193),0)</f>
        <v>0</v>
      </c>
      <c r="P193" s="51" t="n">
        <f aca="false">IF(N193=1,YEAR(B193)*100+MONTH(B193),0)</f>
        <v>0</v>
      </c>
      <c r="Q193" s="51" t="n">
        <f aca="false">IF(N193=1,IF(J193="No",1,0),0)</f>
        <v>0</v>
      </c>
    </row>
    <row r="194" customFormat="false" ht="15" hidden="false" customHeight="false" outlineLevel="0" collapsed="false">
      <c r="B194" s="52"/>
      <c r="C194" s="53"/>
      <c r="D194" s="53"/>
      <c r="E194" s="53"/>
      <c r="F194" s="53"/>
      <c r="G194" s="54"/>
      <c r="H194" s="55"/>
      <c r="I194" s="56" t="str">
        <f aca="false">IF(G194="","",G194*IF(H194="",1,H194))</f>
        <v/>
      </c>
      <c r="J194" s="57"/>
      <c r="K194" s="53"/>
      <c r="L194" s="58" t="str">
        <f aca="false">IF(G194="","",IF(ISNUMBER(B194),IF(E194="","⚠ ADD CATEGORY / AGREGA CATEGORÍA",IF(J194="No","⚠ SAVE RECEIPT / GUARDA RECIBO","✔ OK")),"⚠ ADD DATE / AGREGA FECHA"))</f>
        <v/>
      </c>
      <c r="N194" s="51" t="n">
        <f aca="false">IF(G194="",0,IF(ISNUMBER(B194),1,0))</f>
        <v>0</v>
      </c>
      <c r="O194" s="51" t="n">
        <f aca="false">IF(N194=1,YEAR(B194),0)</f>
        <v>0</v>
      </c>
      <c r="P194" s="51" t="n">
        <f aca="false">IF(N194=1,YEAR(B194)*100+MONTH(B194),0)</f>
        <v>0</v>
      </c>
      <c r="Q194" s="51" t="n">
        <f aca="false">IF(N194=1,IF(J194="No",1,0),0)</f>
        <v>0</v>
      </c>
    </row>
    <row r="195" customFormat="false" ht="15" hidden="false" customHeight="false" outlineLevel="0" collapsed="false">
      <c r="B195" s="52"/>
      <c r="C195" s="53"/>
      <c r="D195" s="53"/>
      <c r="E195" s="53"/>
      <c r="F195" s="53"/>
      <c r="G195" s="54"/>
      <c r="H195" s="55"/>
      <c r="I195" s="56" t="str">
        <f aca="false">IF(G195="","",G195*IF(H195="",1,H195))</f>
        <v/>
      </c>
      <c r="J195" s="57"/>
      <c r="K195" s="53"/>
      <c r="L195" s="58" t="str">
        <f aca="false">IF(G195="","",IF(ISNUMBER(B195),IF(E195="","⚠ ADD CATEGORY / AGREGA CATEGORÍA",IF(J195="No","⚠ SAVE RECEIPT / GUARDA RECIBO","✔ OK")),"⚠ ADD DATE / AGREGA FECHA"))</f>
        <v/>
      </c>
      <c r="N195" s="51" t="n">
        <f aca="false">IF(G195="",0,IF(ISNUMBER(B195),1,0))</f>
        <v>0</v>
      </c>
      <c r="O195" s="51" t="n">
        <f aca="false">IF(N195=1,YEAR(B195),0)</f>
        <v>0</v>
      </c>
      <c r="P195" s="51" t="n">
        <f aca="false">IF(N195=1,YEAR(B195)*100+MONTH(B195),0)</f>
        <v>0</v>
      </c>
      <c r="Q195" s="51" t="n">
        <f aca="false">IF(N195=1,IF(J195="No",1,0),0)</f>
        <v>0</v>
      </c>
    </row>
    <row r="196" customFormat="false" ht="15" hidden="false" customHeight="false" outlineLevel="0" collapsed="false">
      <c r="B196" s="52"/>
      <c r="C196" s="53"/>
      <c r="D196" s="53"/>
      <c r="E196" s="53"/>
      <c r="F196" s="53"/>
      <c r="G196" s="54"/>
      <c r="H196" s="55"/>
      <c r="I196" s="56" t="str">
        <f aca="false">IF(G196="","",G196*IF(H196="",1,H196))</f>
        <v/>
      </c>
      <c r="J196" s="57"/>
      <c r="K196" s="53"/>
      <c r="L196" s="58" t="str">
        <f aca="false">IF(G196="","",IF(ISNUMBER(B196),IF(E196="","⚠ ADD CATEGORY / AGREGA CATEGORÍA",IF(J196="No","⚠ SAVE RECEIPT / GUARDA RECIBO","✔ OK")),"⚠ ADD DATE / AGREGA FECHA"))</f>
        <v/>
      </c>
      <c r="N196" s="51" t="n">
        <f aca="false">IF(G196="",0,IF(ISNUMBER(B196),1,0))</f>
        <v>0</v>
      </c>
      <c r="O196" s="51" t="n">
        <f aca="false">IF(N196=1,YEAR(B196),0)</f>
        <v>0</v>
      </c>
      <c r="P196" s="51" t="n">
        <f aca="false">IF(N196=1,YEAR(B196)*100+MONTH(B196),0)</f>
        <v>0</v>
      </c>
      <c r="Q196" s="51" t="n">
        <f aca="false">IF(N196=1,IF(J196="No",1,0),0)</f>
        <v>0</v>
      </c>
    </row>
    <row r="197" customFormat="false" ht="15" hidden="false" customHeight="false" outlineLevel="0" collapsed="false">
      <c r="B197" s="52"/>
      <c r="C197" s="53"/>
      <c r="D197" s="53"/>
      <c r="E197" s="53"/>
      <c r="F197" s="53"/>
      <c r="G197" s="54"/>
      <c r="H197" s="55"/>
      <c r="I197" s="56" t="str">
        <f aca="false">IF(G197="","",G197*IF(H197="",1,H197))</f>
        <v/>
      </c>
      <c r="J197" s="57"/>
      <c r="K197" s="53"/>
      <c r="L197" s="58" t="str">
        <f aca="false">IF(G197="","",IF(ISNUMBER(B197),IF(E197="","⚠ ADD CATEGORY / AGREGA CATEGORÍA",IF(J197="No","⚠ SAVE RECEIPT / GUARDA RECIBO","✔ OK")),"⚠ ADD DATE / AGREGA FECHA"))</f>
        <v/>
      </c>
      <c r="N197" s="51" t="n">
        <f aca="false">IF(G197="",0,IF(ISNUMBER(B197),1,0))</f>
        <v>0</v>
      </c>
      <c r="O197" s="51" t="n">
        <f aca="false">IF(N197=1,YEAR(B197),0)</f>
        <v>0</v>
      </c>
      <c r="P197" s="51" t="n">
        <f aca="false">IF(N197=1,YEAR(B197)*100+MONTH(B197),0)</f>
        <v>0</v>
      </c>
      <c r="Q197" s="51" t="n">
        <f aca="false">IF(N197=1,IF(J197="No",1,0),0)</f>
        <v>0</v>
      </c>
    </row>
    <row r="198" customFormat="false" ht="15" hidden="false" customHeight="false" outlineLevel="0" collapsed="false">
      <c r="B198" s="52"/>
      <c r="C198" s="53"/>
      <c r="D198" s="53"/>
      <c r="E198" s="53"/>
      <c r="F198" s="53"/>
      <c r="G198" s="54"/>
      <c r="H198" s="55"/>
      <c r="I198" s="56" t="str">
        <f aca="false">IF(G198="","",G198*IF(H198="",1,H198))</f>
        <v/>
      </c>
      <c r="J198" s="57"/>
      <c r="K198" s="53"/>
      <c r="L198" s="58" t="str">
        <f aca="false">IF(G198="","",IF(ISNUMBER(B198),IF(E198="","⚠ ADD CATEGORY / AGREGA CATEGORÍA",IF(J198="No","⚠ SAVE RECEIPT / GUARDA RECIBO","✔ OK")),"⚠ ADD DATE / AGREGA FECHA"))</f>
        <v/>
      </c>
      <c r="N198" s="51" t="n">
        <f aca="false">IF(G198="",0,IF(ISNUMBER(B198),1,0))</f>
        <v>0</v>
      </c>
      <c r="O198" s="51" t="n">
        <f aca="false">IF(N198=1,YEAR(B198),0)</f>
        <v>0</v>
      </c>
      <c r="P198" s="51" t="n">
        <f aca="false">IF(N198=1,YEAR(B198)*100+MONTH(B198),0)</f>
        <v>0</v>
      </c>
      <c r="Q198" s="51" t="n">
        <f aca="false">IF(N198=1,IF(J198="No",1,0),0)</f>
        <v>0</v>
      </c>
    </row>
    <row r="199" customFormat="false" ht="15" hidden="false" customHeight="false" outlineLevel="0" collapsed="false">
      <c r="B199" s="52"/>
      <c r="C199" s="53"/>
      <c r="D199" s="53"/>
      <c r="E199" s="53"/>
      <c r="F199" s="53"/>
      <c r="G199" s="54"/>
      <c r="H199" s="55"/>
      <c r="I199" s="56" t="str">
        <f aca="false">IF(G199="","",G199*IF(H199="",1,H199))</f>
        <v/>
      </c>
      <c r="J199" s="57"/>
      <c r="K199" s="53"/>
      <c r="L199" s="58" t="str">
        <f aca="false">IF(G199="","",IF(ISNUMBER(B199),IF(E199="","⚠ ADD CATEGORY / AGREGA CATEGORÍA",IF(J199="No","⚠ SAVE RECEIPT / GUARDA RECIBO","✔ OK")),"⚠ ADD DATE / AGREGA FECHA"))</f>
        <v/>
      </c>
      <c r="N199" s="51" t="n">
        <f aca="false">IF(G199="",0,IF(ISNUMBER(B199),1,0))</f>
        <v>0</v>
      </c>
      <c r="O199" s="51" t="n">
        <f aca="false">IF(N199=1,YEAR(B199),0)</f>
        <v>0</v>
      </c>
      <c r="P199" s="51" t="n">
        <f aca="false">IF(N199=1,YEAR(B199)*100+MONTH(B199),0)</f>
        <v>0</v>
      </c>
      <c r="Q199" s="51" t="n">
        <f aca="false">IF(N199=1,IF(J199="No",1,0),0)</f>
        <v>0</v>
      </c>
    </row>
    <row r="200" customFormat="false" ht="15" hidden="false" customHeight="false" outlineLevel="0" collapsed="false">
      <c r="B200" s="52"/>
      <c r="C200" s="53"/>
      <c r="D200" s="53"/>
      <c r="E200" s="53"/>
      <c r="F200" s="53"/>
      <c r="G200" s="54"/>
      <c r="H200" s="55"/>
      <c r="I200" s="56" t="str">
        <f aca="false">IF(G200="","",G200*IF(H200="",1,H200))</f>
        <v/>
      </c>
      <c r="J200" s="57"/>
      <c r="K200" s="53"/>
      <c r="L200" s="58" t="str">
        <f aca="false">IF(G200="","",IF(ISNUMBER(B200),IF(E200="","⚠ ADD CATEGORY / AGREGA CATEGORÍA",IF(J200="No","⚠ SAVE RECEIPT / GUARDA RECIBO","✔ OK")),"⚠ ADD DATE / AGREGA FECHA"))</f>
        <v/>
      </c>
      <c r="N200" s="51" t="n">
        <f aca="false">IF(G200="",0,IF(ISNUMBER(B200),1,0))</f>
        <v>0</v>
      </c>
      <c r="O200" s="51" t="n">
        <f aca="false">IF(N200=1,YEAR(B200),0)</f>
        <v>0</v>
      </c>
      <c r="P200" s="51" t="n">
        <f aca="false">IF(N200=1,YEAR(B200)*100+MONTH(B200),0)</f>
        <v>0</v>
      </c>
      <c r="Q200" s="51" t="n">
        <f aca="false">IF(N200=1,IF(J200="No",1,0),0)</f>
        <v>0</v>
      </c>
    </row>
    <row r="201" customFormat="false" ht="15" hidden="false" customHeight="false" outlineLevel="0" collapsed="false">
      <c r="B201" s="52"/>
      <c r="C201" s="53"/>
      <c r="D201" s="53"/>
      <c r="E201" s="53"/>
      <c r="F201" s="53"/>
      <c r="G201" s="54"/>
      <c r="H201" s="55"/>
      <c r="I201" s="56" t="str">
        <f aca="false">IF(G201="","",G201*IF(H201="",1,H201))</f>
        <v/>
      </c>
      <c r="J201" s="57"/>
      <c r="K201" s="53"/>
      <c r="L201" s="58" t="str">
        <f aca="false">IF(G201="","",IF(ISNUMBER(B201),IF(E201="","⚠ ADD CATEGORY / AGREGA CATEGORÍA",IF(J201="No","⚠ SAVE RECEIPT / GUARDA RECIBO","✔ OK")),"⚠ ADD DATE / AGREGA FECHA"))</f>
        <v/>
      </c>
      <c r="N201" s="51" t="n">
        <f aca="false">IF(G201="",0,IF(ISNUMBER(B201),1,0))</f>
        <v>0</v>
      </c>
      <c r="O201" s="51" t="n">
        <f aca="false">IF(N201=1,YEAR(B201),0)</f>
        <v>0</v>
      </c>
      <c r="P201" s="51" t="n">
        <f aca="false">IF(N201=1,YEAR(B201)*100+MONTH(B201),0)</f>
        <v>0</v>
      </c>
      <c r="Q201" s="51" t="n">
        <f aca="false">IF(N201=1,IF(J201="No",1,0),0)</f>
        <v>0</v>
      </c>
    </row>
    <row r="202" customFormat="false" ht="15" hidden="false" customHeight="false" outlineLevel="0" collapsed="false">
      <c r="B202" s="52"/>
      <c r="C202" s="53"/>
      <c r="D202" s="53"/>
      <c r="E202" s="53"/>
      <c r="F202" s="53"/>
      <c r="G202" s="54"/>
      <c r="H202" s="55"/>
      <c r="I202" s="56" t="str">
        <f aca="false">IF(G202="","",G202*IF(H202="",1,H202))</f>
        <v/>
      </c>
      <c r="J202" s="57"/>
      <c r="K202" s="53"/>
      <c r="L202" s="58" t="str">
        <f aca="false">IF(G202="","",IF(ISNUMBER(B202),IF(E202="","⚠ ADD CATEGORY / AGREGA CATEGORÍA",IF(J202="No","⚠ SAVE RECEIPT / GUARDA RECIBO","✔ OK")),"⚠ ADD DATE / AGREGA FECHA"))</f>
        <v/>
      </c>
      <c r="N202" s="51" t="n">
        <f aca="false">IF(G202="",0,IF(ISNUMBER(B202),1,0))</f>
        <v>0</v>
      </c>
      <c r="O202" s="51" t="n">
        <f aca="false">IF(N202=1,YEAR(B202),0)</f>
        <v>0</v>
      </c>
      <c r="P202" s="51" t="n">
        <f aca="false">IF(N202=1,YEAR(B202)*100+MONTH(B202),0)</f>
        <v>0</v>
      </c>
      <c r="Q202" s="51" t="n">
        <f aca="false">IF(N202=1,IF(J202="No",1,0),0)</f>
        <v>0</v>
      </c>
    </row>
    <row r="203" customFormat="false" ht="15" hidden="false" customHeight="false" outlineLevel="0" collapsed="false">
      <c r="B203" s="52"/>
      <c r="C203" s="53"/>
      <c r="D203" s="53"/>
      <c r="E203" s="53"/>
      <c r="F203" s="53"/>
      <c r="G203" s="54"/>
      <c r="H203" s="55"/>
      <c r="I203" s="56" t="str">
        <f aca="false">IF(G203="","",G203*IF(H203="",1,H203))</f>
        <v/>
      </c>
      <c r="J203" s="57"/>
      <c r="K203" s="53"/>
      <c r="L203" s="58" t="str">
        <f aca="false">IF(G203="","",IF(ISNUMBER(B203),IF(E203="","⚠ ADD CATEGORY / AGREGA CATEGORÍA",IF(J203="No","⚠ SAVE RECEIPT / GUARDA RECIBO","✔ OK")),"⚠ ADD DATE / AGREGA FECHA"))</f>
        <v/>
      </c>
      <c r="N203" s="51" t="n">
        <f aca="false">IF(G203="",0,IF(ISNUMBER(B203),1,0))</f>
        <v>0</v>
      </c>
      <c r="O203" s="51" t="n">
        <f aca="false">IF(N203=1,YEAR(B203),0)</f>
        <v>0</v>
      </c>
      <c r="P203" s="51" t="n">
        <f aca="false">IF(N203=1,YEAR(B203)*100+MONTH(B203),0)</f>
        <v>0</v>
      </c>
      <c r="Q203" s="51" t="n">
        <f aca="false">IF(N203=1,IF(J203="No",1,0),0)</f>
        <v>0</v>
      </c>
    </row>
    <row r="204" customFormat="false" ht="15" hidden="false" customHeight="false" outlineLevel="0" collapsed="false">
      <c r="B204" s="52"/>
      <c r="C204" s="53"/>
      <c r="D204" s="53"/>
      <c r="E204" s="53"/>
      <c r="F204" s="53"/>
      <c r="G204" s="54"/>
      <c r="H204" s="55"/>
      <c r="I204" s="56" t="str">
        <f aca="false">IF(G204="","",G204*IF(H204="",1,H204))</f>
        <v/>
      </c>
      <c r="J204" s="57"/>
      <c r="K204" s="53"/>
      <c r="L204" s="58" t="str">
        <f aca="false">IF(G204="","",IF(ISNUMBER(B204),IF(E204="","⚠ ADD CATEGORY / AGREGA CATEGORÍA",IF(J204="No","⚠ SAVE RECEIPT / GUARDA RECIBO","✔ OK")),"⚠ ADD DATE / AGREGA FECHA"))</f>
        <v/>
      </c>
      <c r="N204" s="51" t="n">
        <f aca="false">IF(G204="",0,IF(ISNUMBER(B204),1,0))</f>
        <v>0</v>
      </c>
      <c r="O204" s="51" t="n">
        <f aca="false">IF(N204=1,YEAR(B204),0)</f>
        <v>0</v>
      </c>
      <c r="P204" s="51" t="n">
        <f aca="false">IF(N204=1,YEAR(B204)*100+MONTH(B204),0)</f>
        <v>0</v>
      </c>
      <c r="Q204" s="51" t="n">
        <f aca="false">IF(N204=1,IF(J204="No",1,0),0)</f>
        <v>0</v>
      </c>
    </row>
    <row r="205" customFormat="false" ht="15" hidden="false" customHeight="false" outlineLevel="0" collapsed="false">
      <c r="B205" s="52"/>
      <c r="C205" s="53"/>
      <c r="D205" s="53"/>
      <c r="E205" s="53"/>
      <c r="F205" s="53"/>
      <c r="G205" s="54"/>
      <c r="H205" s="55"/>
      <c r="I205" s="56" t="str">
        <f aca="false">IF(G205="","",G205*IF(H205="",1,H205))</f>
        <v/>
      </c>
      <c r="J205" s="57"/>
      <c r="K205" s="53"/>
      <c r="L205" s="58" t="str">
        <f aca="false">IF(G205="","",IF(ISNUMBER(B205),IF(E205="","⚠ ADD CATEGORY / AGREGA CATEGORÍA",IF(J205="No","⚠ SAVE RECEIPT / GUARDA RECIBO","✔ OK")),"⚠ ADD DATE / AGREGA FECHA"))</f>
        <v/>
      </c>
      <c r="N205" s="51" t="n">
        <f aca="false">IF(G205="",0,IF(ISNUMBER(B205),1,0))</f>
        <v>0</v>
      </c>
      <c r="O205" s="51" t="n">
        <f aca="false">IF(N205=1,YEAR(B205),0)</f>
        <v>0</v>
      </c>
      <c r="P205" s="51" t="n">
        <f aca="false">IF(N205=1,YEAR(B205)*100+MONTH(B205),0)</f>
        <v>0</v>
      </c>
      <c r="Q205" s="51" t="n">
        <f aca="false">IF(N205=1,IF(J205="No",1,0),0)</f>
        <v>0</v>
      </c>
    </row>
    <row r="206" customFormat="false" ht="15" hidden="false" customHeight="false" outlineLevel="0" collapsed="false">
      <c r="B206" s="52"/>
      <c r="C206" s="53"/>
      <c r="D206" s="53"/>
      <c r="E206" s="53"/>
      <c r="F206" s="53"/>
      <c r="G206" s="54"/>
      <c r="H206" s="55"/>
      <c r="I206" s="56" t="str">
        <f aca="false">IF(G206="","",G206*IF(H206="",1,H206))</f>
        <v/>
      </c>
      <c r="J206" s="57"/>
      <c r="K206" s="53"/>
      <c r="L206" s="58" t="str">
        <f aca="false">IF(G206="","",IF(ISNUMBER(B206),IF(E206="","⚠ ADD CATEGORY / AGREGA CATEGORÍA",IF(J206="No","⚠ SAVE RECEIPT / GUARDA RECIBO","✔ OK")),"⚠ ADD DATE / AGREGA FECHA"))</f>
        <v/>
      </c>
      <c r="N206" s="51" t="n">
        <f aca="false">IF(G206="",0,IF(ISNUMBER(B206),1,0))</f>
        <v>0</v>
      </c>
      <c r="O206" s="51" t="n">
        <f aca="false">IF(N206=1,YEAR(B206),0)</f>
        <v>0</v>
      </c>
      <c r="P206" s="51" t="n">
        <f aca="false">IF(N206=1,YEAR(B206)*100+MONTH(B206),0)</f>
        <v>0</v>
      </c>
      <c r="Q206" s="51" t="n">
        <f aca="false">IF(N206=1,IF(J206="No",1,0),0)</f>
        <v>0</v>
      </c>
    </row>
    <row r="207" customFormat="false" ht="15" hidden="false" customHeight="false" outlineLevel="0" collapsed="false">
      <c r="B207" s="52"/>
      <c r="C207" s="53"/>
      <c r="D207" s="53"/>
      <c r="E207" s="53"/>
      <c r="F207" s="53"/>
      <c r="G207" s="54"/>
      <c r="H207" s="55"/>
      <c r="I207" s="56" t="str">
        <f aca="false">IF(G207="","",G207*IF(H207="",1,H207))</f>
        <v/>
      </c>
      <c r="J207" s="57"/>
      <c r="K207" s="53"/>
      <c r="L207" s="58" t="str">
        <f aca="false">IF(G207="","",IF(ISNUMBER(B207),IF(E207="","⚠ ADD CATEGORY / AGREGA CATEGORÍA",IF(J207="No","⚠ SAVE RECEIPT / GUARDA RECIBO","✔ OK")),"⚠ ADD DATE / AGREGA FECHA"))</f>
        <v/>
      </c>
      <c r="N207" s="51" t="n">
        <f aca="false">IF(G207="",0,IF(ISNUMBER(B207),1,0))</f>
        <v>0</v>
      </c>
      <c r="O207" s="51" t="n">
        <f aca="false">IF(N207=1,YEAR(B207),0)</f>
        <v>0</v>
      </c>
      <c r="P207" s="51" t="n">
        <f aca="false">IF(N207=1,YEAR(B207)*100+MONTH(B207),0)</f>
        <v>0</v>
      </c>
      <c r="Q207" s="51" t="n">
        <f aca="false">IF(N207=1,IF(J207="No",1,0),0)</f>
        <v>0</v>
      </c>
    </row>
    <row r="208" customFormat="false" ht="15" hidden="false" customHeight="false" outlineLevel="0" collapsed="false">
      <c r="B208" s="52"/>
      <c r="C208" s="53"/>
      <c r="D208" s="53"/>
      <c r="E208" s="53"/>
      <c r="F208" s="53"/>
      <c r="G208" s="54"/>
      <c r="H208" s="55"/>
      <c r="I208" s="56" t="str">
        <f aca="false">IF(G208="","",G208*IF(H208="",1,H208))</f>
        <v/>
      </c>
      <c r="J208" s="57"/>
      <c r="K208" s="53"/>
      <c r="L208" s="58" t="str">
        <f aca="false">IF(G208="","",IF(ISNUMBER(B208),IF(E208="","⚠ ADD CATEGORY / AGREGA CATEGORÍA",IF(J208="No","⚠ SAVE RECEIPT / GUARDA RECIBO","✔ OK")),"⚠ ADD DATE / AGREGA FECHA"))</f>
        <v/>
      </c>
      <c r="N208" s="51" t="n">
        <f aca="false">IF(G208="",0,IF(ISNUMBER(B208),1,0))</f>
        <v>0</v>
      </c>
      <c r="O208" s="51" t="n">
        <f aca="false">IF(N208=1,YEAR(B208),0)</f>
        <v>0</v>
      </c>
      <c r="P208" s="51" t="n">
        <f aca="false">IF(N208=1,YEAR(B208)*100+MONTH(B208),0)</f>
        <v>0</v>
      </c>
      <c r="Q208" s="51" t="n">
        <f aca="false">IF(N208=1,IF(J208="No",1,0),0)</f>
        <v>0</v>
      </c>
    </row>
    <row r="209" customFormat="false" ht="15" hidden="false" customHeight="false" outlineLevel="0" collapsed="false">
      <c r="B209" s="52"/>
      <c r="C209" s="53"/>
      <c r="D209" s="53"/>
      <c r="E209" s="53"/>
      <c r="F209" s="53"/>
      <c r="G209" s="54"/>
      <c r="H209" s="55"/>
      <c r="I209" s="56" t="str">
        <f aca="false">IF(G209="","",G209*IF(H209="",1,H209))</f>
        <v/>
      </c>
      <c r="J209" s="57"/>
      <c r="K209" s="53"/>
      <c r="L209" s="58" t="str">
        <f aca="false">IF(G209="","",IF(ISNUMBER(B209),IF(E209="","⚠ ADD CATEGORY / AGREGA CATEGORÍA",IF(J209="No","⚠ SAVE RECEIPT / GUARDA RECIBO","✔ OK")),"⚠ ADD DATE / AGREGA FECHA"))</f>
        <v/>
      </c>
      <c r="N209" s="51" t="n">
        <f aca="false">IF(G209="",0,IF(ISNUMBER(B209),1,0))</f>
        <v>0</v>
      </c>
      <c r="O209" s="51" t="n">
        <f aca="false">IF(N209=1,YEAR(B209),0)</f>
        <v>0</v>
      </c>
      <c r="P209" s="51" t="n">
        <f aca="false">IF(N209=1,YEAR(B209)*100+MONTH(B209),0)</f>
        <v>0</v>
      </c>
      <c r="Q209" s="51" t="n">
        <f aca="false">IF(N209=1,IF(J209="No",1,0),0)</f>
        <v>0</v>
      </c>
    </row>
    <row r="210" customFormat="false" ht="15" hidden="false" customHeight="false" outlineLevel="0" collapsed="false">
      <c r="B210" s="52"/>
      <c r="C210" s="53"/>
      <c r="D210" s="53"/>
      <c r="E210" s="53"/>
      <c r="F210" s="53"/>
      <c r="G210" s="54"/>
      <c r="H210" s="55"/>
      <c r="I210" s="56" t="str">
        <f aca="false">IF(G210="","",G210*IF(H210="",1,H210))</f>
        <v/>
      </c>
      <c r="J210" s="57"/>
      <c r="K210" s="53"/>
      <c r="L210" s="58" t="str">
        <f aca="false">IF(G210="","",IF(ISNUMBER(B210),IF(E210="","⚠ ADD CATEGORY / AGREGA CATEGORÍA",IF(J210="No","⚠ SAVE RECEIPT / GUARDA RECIBO","✔ OK")),"⚠ ADD DATE / AGREGA FECHA"))</f>
        <v/>
      </c>
      <c r="N210" s="51" t="n">
        <f aca="false">IF(G210="",0,IF(ISNUMBER(B210),1,0))</f>
        <v>0</v>
      </c>
      <c r="O210" s="51" t="n">
        <f aca="false">IF(N210=1,YEAR(B210),0)</f>
        <v>0</v>
      </c>
      <c r="P210" s="51" t="n">
        <f aca="false">IF(N210=1,YEAR(B210)*100+MONTH(B210),0)</f>
        <v>0</v>
      </c>
      <c r="Q210" s="51" t="n">
        <f aca="false">IF(N210=1,IF(J210="No",1,0),0)</f>
        <v>0</v>
      </c>
    </row>
    <row r="211" customFormat="false" ht="15" hidden="false" customHeight="false" outlineLevel="0" collapsed="false">
      <c r="B211" s="52"/>
      <c r="C211" s="53"/>
      <c r="D211" s="53"/>
      <c r="E211" s="53"/>
      <c r="F211" s="53"/>
      <c r="G211" s="54"/>
      <c r="H211" s="55"/>
      <c r="I211" s="56" t="str">
        <f aca="false">IF(G211="","",G211*IF(H211="",1,H211))</f>
        <v/>
      </c>
      <c r="J211" s="57"/>
      <c r="K211" s="53"/>
      <c r="L211" s="58" t="str">
        <f aca="false">IF(G211="","",IF(ISNUMBER(B211),IF(E211="","⚠ ADD CATEGORY / AGREGA CATEGORÍA",IF(J211="No","⚠ SAVE RECEIPT / GUARDA RECIBO","✔ OK")),"⚠ ADD DATE / AGREGA FECHA"))</f>
        <v/>
      </c>
      <c r="N211" s="51" t="n">
        <f aca="false">IF(G211="",0,IF(ISNUMBER(B211),1,0))</f>
        <v>0</v>
      </c>
      <c r="O211" s="51" t="n">
        <f aca="false">IF(N211=1,YEAR(B211),0)</f>
        <v>0</v>
      </c>
      <c r="P211" s="51" t="n">
        <f aca="false">IF(N211=1,YEAR(B211)*100+MONTH(B211),0)</f>
        <v>0</v>
      </c>
      <c r="Q211" s="51" t="n">
        <f aca="false">IF(N211=1,IF(J211="No",1,0),0)</f>
        <v>0</v>
      </c>
    </row>
    <row r="212" customFormat="false" ht="15" hidden="false" customHeight="false" outlineLevel="0" collapsed="false">
      <c r="B212" s="52"/>
      <c r="C212" s="53"/>
      <c r="D212" s="53"/>
      <c r="E212" s="53"/>
      <c r="F212" s="53"/>
      <c r="G212" s="54"/>
      <c r="H212" s="55"/>
      <c r="I212" s="56" t="str">
        <f aca="false">IF(G212="","",G212*IF(H212="",1,H212))</f>
        <v/>
      </c>
      <c r="J212" s="57"/>
      <c r="K212" s="53"/>
      <c r="L212" s="58" t="str">
        <f aca="false">IF(G212="","",IF(ISNUMBER(B212),IF(E212="","⚠ ADD CATEGORY / AGREGA CATEGORÍA",IF(J212="No","⚠ SAVE RECEIPT / GUARDA RECIBO","✔ OK")),"⚠ ADD DATE / AGREGA FECHA"))</f>
        <v/>
      </c>
      <c r="N212" s="51" t="n">
        <f aca="false">IF(G212="",0,IF(ISNUMBER(B212),1,0))</f>
        <v>0</v>
      </c>
      <c r="O212" s="51" t="n">
        <f aca="false">IF(N212=1,YEAR(B212),0)</f>
        <v>0</v>
      </c>
      <c r="P212" s="51" t="n">
        <f aca="false">IF(N212=1,YEAR(B212)*100+MONTH(B212),0)</f>
        <v>0</v>
      </c>
      <c r="Q212" s="51" t="n">
        <f aca="false">IF(N212=1,IF(J212="No",1,0),0)</f>
        <v>0</v>
      </c>
    </row>
    <row r="213" customFormat="false" ht="15" hidden="false" customHeight="false" outlineLevel="0" collapsed="false">
      <c r="B213" s="52"/>
      <c r="C213" s="53"/>
      <c r="D213" s="53"/>
      <c r="E213" s="53"/>
      <c r="F213" s="53"/>
      <c r="G213" s="54"/>
      <c r="H213" s="55"/>
      <c r="I213" s="56" t="str">
        <f aca="false">IF(G213="","",G213*IF(H213="",1,H213))</f>
        <v/>
      </c>
      <c r="J213" s="57"/>
      <c r="K213" s="53"/>
      <c r="L213" s="58" t="str">
        <f aca="false">IF(G213="","",IF(ISNUMBER(B213),IF(E213="","⚠ ADD CATEGORY / AGREGA CATEGORÍA",IF(J213="No","⚠ SAVE RECEIPT / GUARDA RECIBO","✔ OK")),"⚠ ADD DATE / AGREGA FECHA"))</f>
        <v/>
      </c>
      <c r="N213" s="51" t="n">
        <f aca="false">IF(G213="",0,IF(ISNUMBER(B213),1,0))</f>
        <v>0</v>
      </c>
      <c r="O213" s="51" t="n">
        <f aca="false">IF(N213=1,YEAR(B213),0)</f>
        <v>0</v>
      </c>
      <c r="P213" s="51" t="n">
        <f aca="false">IF(N213=1,YEAR(B213)*100+MONTH(B213),0)</f>
        <v>0</v>
      </c>
      <c r="Q213" s="51" t="n">
        <f aca="false">IF(N213=1,IF(J213="No",1,0),0)</f>
        <v>0</v>
      </c>
    </row>
    <row r="214" customFormat="false" ht="15" hidden="false" customHeight="false" outlineLevel="0" collapsed="false">
      <c r="B214" s="52"/>
      <c r="C214" s="53"/>
      <c r="D214" s="53"/>
      <c r="E214" s="53"/>
      <c r="F214" s="53"/>
      <c r="G214" s="54"/>
      <c r="H214" s="55"/>
      <c r="I214" s="56" t="str">
        <f aca="false">IF(G214="","",G214*IF(H214="",1,H214))</f>
        <v/>
      </c>
      <c r="J214" s="57"/>
      <c r="K214" s="53"/>
      <c r="L214" s="58" t="str">
        <f aca="false">IF(G214="","",IF(ISNUMBER(B214),IF(E214="","⚠ ADD CATEGORY / AGREGA CATEGORÍA",IF(J214="No","⚠ SAVE RECEIPT / GUARDA RECIBO","✔ OK")),"⚠ ADD DATE / AGREGA FECHA"))</f>
        <v/>
      </c>
      <c r="N214" s="51" t="n">
        <f aca="false">IF(G214="",0,IF(ISNUMBER(B214),1,0))</f>
        <v>0</v>
      </c>
      <c r="O214" s="51" t="n">
        <f aca="false">IF(N214=1,YEAR(B214),0)</f>
        <v>0</v>
      </c>
      <c r="P214" s="51" t="n">
        <f aca="false">IF(N214=1,YEAR(B214)*100+MONTH(B214),0)</f>
        <v>0</v>
      </c>
      <c r="Q214" s="51" t="n">
        <f aca="false">IF(N214=1,IF(J214="No",1,0),0)</f>
        <v>0</v>
      </c>
    </row>
    <row r="215" customFormat="false" ht="15" hidden="false" customHeight="false" outlineLevel="0" collapsed="false">
      <c r="B215" s="52"/>
      <c r="C215" s="53"/>
      <c r="D215" s="53"/>
      <c r="E215" s="53"/>
      <c r="F215" s="53"/>
      <c r="G215" s="54"/>
      <c r="H215" s="55"/>
      <c r="I215" s="56" t="str">
        <f aca="false">IF(G215="","",G215*IF(H215="",1,H215))</f>
        <v/>
      </c>
      <c r="J215" s="57"/>
      <c r="K215" s="53"/>
      <c r="L215" s="58" t="str">
        <f aca="false">IF(G215="","",IF(ISNUMBER(B215),IF(E215="","⚠ ADD CATEGORY / AGREGA CATEGORÍA",IF(J215="No","⚠ SAVE RECEIPT / GUARDA RECIBO","✔ OK")),"⚠ ADD DATE / AGREGA FECHA"))</f>
        <v/>
      </c>
      <c r="N215" s="51" t="n">
        <f aca="false">IF(G215="",0,IF(ISNUMBER(B215),1,0))</f>
        <v>0</v>
      </c>
      <c r="O215" s="51" t="n">
        <f aca="false">IF(N215=1,YEAR(B215),0)</f>
        <v>0</v>
      </c>
      <c r="P215" s="51" t="n">
        <f aca="false">IF(N215=1,YEAR(B215)*100+MONTH(B215),0)</f>
        <v>0</v>
      </c>
      <c r="Q215" s="51" t="n">
        <f aca="false">IF(N215=1,IF(J215="No",1,0),0)</f>
        <v>0</v>
      </c>
    </row>
    <row r="216" customFormat="false" ht="15" hidden="false" customHeight="false" outlineLevel="0" collapsed="false">
      <c r="B216" s="52"/>
      <c r="C216" s="53"/>
      <c r="D216" s="53"/>
      <c r="E216" s="53"/>
      <c r="F216" s="53"/>
      <c r="G216" s="54"/>
      <c r="H216" s="55"/>
      <c r="I216" s="56" t="str">
        <f aca="false">IF(G216="","",G216*IF(H216="",1,H216))</f>
        <v/>
      </c>
      <c r="J216" s="57"/>
      <c r="K216" s="53"/>
      <c r="L216" s="58" t="str">
        <f aca="false">IF(G216="","",IF(ISNUMBER(B216),IF(E216="","⚠ ADD CATEGORY / AGREGA CATEGORÍA",IF(J216="No","⚠ SAVE RECEIPT / GUARDA RECIBO","✔ OK")),"⚠ ADD DATE / AGREGA FECHA"))</f>
        <v/>
      </c>
      <c r="N216" s="51" t="n">
        <f aca="false">IF(G216="",0,IF(ISNUMBER(B216),1,0))</f>
        <v>0</v>
      </c>
      <c r="O216" s="51" t="n">
        <f aca="false">IF(N216=1,YEAR(B216),0)</f>
        <v>0</v>
      </c>
      <c r="P216" s="51" t="n">
        <f aca="false">IF(N216=1,YEAR(B216)*100+MONTH(B216),0)</f>
        <v>0</v>
      </c>
      <c r="Q216" s="51" t="n">
        <f aca="false">IF(N216=1,IF(J216="No",1,0),0)</f>
        <v>0</v>
      </c>
    </row>
    <row r="217" customFormat="false" ht="15" hidden="false" customHeight="false" outlineLevel="0" collapsed="false">
      <c r="B217" s="52"/>
      <c r="C217" s="53"/>
      <c r="D217" s="53"/>
      <c r="E217" s="53"/>
      <c r="F217" s="53"/>
      <c r="G217" s="54"/>
      <c r="H217" s="55"/>
      <c r="I217" s="56" t="str">
        <f aca="false">IF(G217="","",G217*IF(H217="",1,H217))</f>
        <v/>
      </c>
      <c r="J217" s="57"/>
      <c r="K217" s="53"/>
      <c r="L217" s="58" t="str">
        <f aca="false">IF(G217="","",IF(ISNUMBER(B217),IF(E217="","⚠ ADD CATEGORY / AGREGA CATEGORÍA",IF(J217="No","⚠ SAVE RECEIPT / GUARDA RECIBO","✔ OK")),"⚠ ADD DATE / AGREGA FECHA"))</f>
        <v/>
      </c>
      <c r="N217" s="51" t="n">
        <f aca="false">IF(G217="",0,IF(ISNUMBER(B217),1,0))</f>
        <v>0</v>
      </c>
      <c r="O217" s="51" t="n">
        <f aca="false">IF(N217=1,YEAR(B217),0)</f>
        <v>0</v>
      </c>
      <c r="P217" s="51" t="n">
        <f aca="false">IF(N217=1,YEAR(B217)*100+MONTH(B217),0)</f>
        <v>0</v>
      </c>
      <c r="Q217" s="51" t="n">
        <f aca="false">IF(N217=1,IF(J217="No",1,0),0)</f>
        <v>0</v>
      </c>
    </row>
    <row r="218" customFormat="false" ht="15" hidden="false" customHeight="false" outlineLevel="0" collapsed="false">
      <c r="B218" s="52"/>
      <c r="C218" s="53"/>
      <c r="D218" s="53"/>
      <c r="E218" s="53"/>
      <c r="F218" s="53"/>
      <c r="G218" s="54"/>
      <c r="H218" s="55"/>
      <c r="I218" s="56" t="str">
        <f aca="false">IF(G218="","",G218*IF(H218="",1,H218))</f>
        <v/>
      </c>
      <c r="J218" s="57"/>
      <c r="K218" s="53"/>
      <c r="L218" s="58" t="str">
        <f aca="false">IF(G218="","",IF(ISNUMBER(B218),IF(E218="","⚠ ADD CATEGORY / AGREGA CATEGORÍA",IF(J218="No","⚠ SAVE RECEIPT / GUARDA RECIBO","✔ OK")),"⚠ ADD DATE / AGREGA FECHA"))</f>
        <v/>
      </c>
      <c r="N218" s="51" t="n">
        <f aca="false">IF(G218="",0,IF(ISNUMBER(B218),1,0))</f>
        <v>0</v>
      </c>
      <c r="O218" s="51" t="n">
        <f aca="false">IF(N218=1,YEAR(B218),0)</f>
        <v>0</v>
      </c>
      <c r="P218" s="51" t="n">
        <f aca="false">IF(N218=1,YEAR(B218)*100+MONTH(B218),0)</f>
        <v>0</v>
      </c>
      <c r="Q218" s="51" t="n">
        <f aca="false">IF(N218=1,IF(J218="No",1,0),0)</f>
        <v>0</v>
      </c>
    </row>
    <row r="219" customFormat="false" ht="15" hidden="false" customHeight="false" outlineLevel="0" collapsed="false">
      <c r="B219" s="52"/>
      <c r="C219" s="53"/>
      <c r="D219" s="53"/>
      <c r="E219" s="53"/>
      <c r="F219" s="53"/>
      <c r="G219" s="54"/>
      <c r="H219" s="55"/>
      <c r="I219" s="56" t="str">
        <f aca="false">IF(G219="","",G219*IF(H219="",1,H219))</f>
        <v/>
      </c>
      <c r="J219" s="57"/>
      <c r="K219" s="53"/>
      <c r="L219" s="58" t="str">
        <f aca="false">IF(G219="","",IF(ISNUMBER(B219),IF(E219="","⚠ ADD CATEGORY / AGREGA CATEGORÍA",IF(J219="No","⚠ SAVE RECEIPT / GUARDA RECIBO","✔ OK")),"⚠ ADD DATE / AGREGA FECHA"))</f>
        <v/>
      </c>
      <c r="N219" s="51" t="n">
        <f aca="false">IF(G219="",0,IF(ISNUMBER(B219),1,0))</f>
        <v>0</v>
      </c>
      <c r="O219" s="51" t="n">
        <f aca="false">IF(N219=1,YEAR(B219),0)</f>
        <v>0</v>
      </c>
      <c r="P219" s="51" t="n">
        <f aca="false">IF(N219=1,YEAR(B219)*100+MONTH(B219),0)</f>
        <v>0</v>
      </c>
      <c r="Q219" s="51" t="n">
        <f aca="false">IF(N219=1,IF(J219="No",1,0),0)</f>
        <v>0</v>
      </c>
    </row>
    <row r="220" customFormat="false" ht="15" hidden="false" customHeight="false" outlineLevel="0" collapsed="false">
      <c r="B220" s="52"/>
      <c r="C220" s="53"/>
      <c r="D220" s="53"/>
      <c r="E220" s="53"/>
      <c r="F220" s="53"/>
      <c r="G220" s="54"/>
      <c r="H220" s="55"/>
      <c r="I220" s="56" t="str">
        <f aca="false">IF(G220="","",G220*IF(H220="",1,H220))</f>
        <v/>
      </c>
      <c r="J220" s="57"/>
      <c r="K220" s="53"/>
      <c r="L220" s="58" t="str">
        <f aca="false">IF(G220="","",IF(ISNUMBER(B220),IF(E220="","⚠ ADD CATEGORY / AGREGA CATEGORÍA",IF(J220="No","⚠ SAVE RECEIPT / GUARDA RECIBO","✔ OK")),"⚠ ADD DATE / AGREGA FECHA"))</f>
        <v/>
      </c>
      <c r="N220" s="51" t="n">
        <f aca="false">IF(G220="",0,IF(ISNUMBER(B220),1,0))</f>
        <v>0</v>
      </c>
      <c r="O220" s="51" t="n">
        <f aca="false">IF(N220=1,YEAR(B220),0)</f>
        <v>0</v>
      </c>
      <c r="P220" s="51" t="n">
        <f aca="false">IF(N220=1,YEAR(B220)*100+MONTH(B220),0)</f>
        <v>0</v>
      </c>
      <c r="Q220" s="51" t="n">
        <f aca="false">IF(N220=1,IF(J220="No",1,0),0)</f>
        <v>0</v>
      </c>
    </row>
    <row r="221" customFormat="false" ht="15" hidden="false" customHeight="false" outlineLevel="0" collapsed="false">
      <c r="B221" s="52"/>
      <c r="C221" s="53"/>
      <c r="D221" s="53"/>
      <c r="E221" s="53"/>
      <c r="F221" s="53"/>
      <c r="G221" s="54"/>
      <c r="H221" s="55"/>
      <c r="I221" s="56" t="str">
        <f aca="false">IF(G221="","",G221*IF(H221="",1,H221))</f>
        <v/>
      </c>
      <c r="J221" s="57"/>
      <c r="K221" s="53"/>
      <c r="L221" s="58" t="str">
        <f aca="false">IF(G221="","",IF(ISNUMBER(B221),IF(E221="","⚠ ADD CATEGORY / AGREGA CATEGORÍA",IF(J221="No","⚠ SAVE RECEIPT / GUARDA RECIBO","✔ OK")),"⚠ ADD DATE / AGREGA FECHA"))</f>
        <v/>
      </c>
      <c r="N221" s="51" t="n">
        <f aca="false">IF(G221="",0,IF(ISNUMBER(B221),1,0))</f>
        <v>0</v>
      </c>
      <c r="O221" s="51" t="n">
        <f aca="false">IF(N221=1,YEAR(B221),0)</f>
        <v>0</v>
      </c>
      <c r="P221" s="51" t="n">
        <f aca="false">IF(N221=1,YEAR(B221)*100+MONTH(B221),0)</f>
        <v>0</v>
      </c>
      <c r="Q221" s="51" t="n">
        <f aca="false">IF(N221=1,IF(J221="No",1,0),0)</f>
        <v>0</v>
      </c>
    </row>
    <row r="222" customFormat="false" ht="15" hidden="false" customHeight="false" outlineLevel="0" collapsed="false">
      <c r="B222" s="52"/>
      <c r="C222" s="53"/>
      <c r="D222" s="53"/>
      <c r="E222" s="53"/>
      <c r="F222" s="53"/>
      <c r="G222" s="54"/>
      <c r="H222" s="55"/>
      <c r="I222" s="56" t="str">
        <f aca="false">IF(G222="","",G222*IF(H222="",1,H222))</f>
        <v/>
      </c>
      <c r="J222" s="57"/>
      <c r="K222" s="53"/>
      <c r="L222" s="58" t="str">
        <f aca="false">IF(G222="","",IF(ISNUMBER(B222),IF(E222="","⚠ ADD CATEGORY / AGREGA CATEGORÍA",IF(J222="No","⚠ SAVE RECEIPT / GUARDA RECIBO","✔ OK")),"⚠ ADD DATE / AGREGA FECHA"))</f>
        <v/>
      </c>
      <c r="N222" s="51" t="n">
        <f aca="false">IF(G222="",0,IF(ISNUMBER(B222),1,0))</f>
        <v>0</v>
      </c>
      <c r="O222" s="51" t="n">
        <f aca="false">IF(N222=1,YEAR(B222),0)</f>
        <v>0</v>
      </c>
      <c r="P222" s="51" t="n">
        <f aca="false">IF(N222=1,YEAR(B222)*100+MONTH(B222),0)</f>
        <v>0</v>
      </c>
      <c r="Q222" s="51" t="n">
        <f aca="false">IF(N222=1,IF(J222="No",1,0),0)</f>
        <v>0</v>
      </c>
    </row>
    <row r="223" customFormat="false" ht="15" hidden="false" customHeight="false" outlineLevel="0" collapsed="false">
      <c r="B223" s="52"/>
      <c r="C223" s="53"/>
      <c r="D223" s="53"/>
      <c r="E223" s="53"/>
      <c r="F223" s="53"/>
      <c r="G223" s="54"/>
      <c r="H223" s="55"/>
      <c r="I223" s="56" t="str">
        <f aca="false">IF(G223="","",G223*IF(H223="",1,H223))</f>
        <v/>
      </c>
      <c r="J223" s="57"/>
      <c r="K223" s="53"/>
      <c r="L223" s="58" t="str">
        <f aca="false">IF(G223="","",IF(ISNUMBER(B223),IF(E223="","⚠ ADD CATEGORY / AGREGA CATEGORÍA",IF(J223="No","⚠ SAVE RECEIPT / GUARDA RECIBO","✔ OK")),"⚠ ADD DATE / AGREGA FECHA"))</f>
        <v/>
      </c>
      <c r="N223" s="51" t="n">
        <f aca="false">IF(G223="",0,IF(ISNUMBER(B223),1,0))</f>
        <v>0</v>
      </c>
      <c r="O223" s="51" t="n">
        <f aca="false">IF(N223=1,YEAR(B223),0)</f>
        <v>0</v>
      </c>
      <c r="P223" s="51" t="n">
        <f aca="false">IF(N223=1,YEAR(B223)*100+MONTH(B223),0)</f>
        <v>0</v>
      </c>
      <c r="Q223" s="51" t="n">
        <f aca="false">IF(N223=1,IF(J223="No",1,0),0)</f>
        <v>0</v>
      </c>
    </row>
    <row r="224" customFormat="false" ht="15" hidden="false" customHeight="false" outlineLevel="0" collapsed="false">
      <c r="B224" s="52"/>
      <c r="C224" s="53"/>
      <c r="D224" s="53"/>
      <c r="E224" s="53"/>
      <c r="F224" s="53"/>
      <c r="G224" s="54"/>
      <c r="H224" s="55"/>
      <c r="I224" s="56" t="str">
        <f aca="false">IF(G224="","",G224*IF(H224="",1,H224))</f>
        <v/>
      </c>
      <c r="J224" s="57"/>
      <c r="K224" s="53"/>
      <c r="L224" s="58" t="str">
        <f aca="false">IF(G224="","",IF(ISNUMBER(B224),IF(E224="","⚠ ADD CATEGORY / AGREGA CATEGORÍA",IF(J224="No","⚠ SAVE RECEIPT / GUARDA RECIBO","✔ OK")),"⚠ ADD DATE / AGREGA FECHA"))</f>
        <v/>
      </c>
      <c r="N224" s="51" t="n">
        <f aca="false">IF(G224="",0,IF(ISNUMBER(B224),1,0))</f>
        <v>0</v>
      </c>
      <c r="O224" s="51" t="n">
        <f aca="false">IF(N224=1,YEAR(B224),0)</f>
        <v>0</v>
      </c>
      <c r="P224" s="51" t="n">
        <f aca="false">IF(N224=1,YEAR(B224)*100+MONTH(B224),0)</f>
        <v>0</v>
      </c>
      <c r="Q224" s="51" t="n">
        <f aca="false">IF(N224=1,IF(J224="No",1,0),0)</f>
        <v>0</v>
      </c>
    </row>
    <row r="225" customFormat="false" ht="15" hidden="false" customHeight="false" outlineLevel="0" collapsed="false">
      <c r="B225" s="52"/>
      <c r="C225" s="53"/>
      <c r="D225" s="53"/>
      <c r="E225" s="53"/>
      <c r="F225" s="53"/>
      <c r="G225" s="54"/>
      <c r="H225" s="55"/>
      <c r="I225" s="56" t="str">
        <f aca="false">IF(G225="","",G225*IF(H225="",1,H225))</f>
        <v/>
      </c>
      <c r="J225" s="57"/>
      <c r="K225" s="53"/>
      <c r="L225" s="58" t="str">
        <f aca="false">IF(G225="","",IF(ISNUMBER(B225),IF(E225="","⚠ ADD CATEGORY / AGREGA CATEGORÍA",IF(J225="No","⚠ SAVE RECEIPT / GUARDA RECIBO","✔ OK")),"⚠ ADD DATE / AGREGA FECHA"))</f>
        <v/>
      </c>
      <c r="N225" s="51" t="n">
        <f aca="false">IF(G225="",0,IF(ISNUMBER(B225),1,0))</f>
        <v>0</v>
      </c>
      <c r="O225" s="51" t="n">
        <f aca="false">IF(N225=1,YEAR(B225),0)</f>
        <v>0</v>
      </c>
      <c r="P225" s="51" t="n">
        <f aca="false">IF(N225=1,YEAR(B225)*100+MONTH(B225),0)</f>
        <v>0</v>
      </c>
      <c r="Q225" s="51" t="n">
        <f aca="false">IF(N225=1,IF(J225="No",1,0),0)</f>
        <v>0</v>
      </c>
    </row>
    <row r="226" customFormat="false" ht="15" hidden="false" customHeight="false" outlineLevel="0" collapsed="false">
      <c r="B226" s="52"/>
      <c r="C226" s="53"/>
      <c r="D226" s="53"/>
      <c r="E226" s="53"/>
      <c r="F226" s="53"/>
      <c r="G226" s="54"/>
      <c r="H226" s="55"/>
      <c r="I226" s="56" t="str">
        <f aca="false">IF(G226="","",G226*IF(H226="",1,H226))</f>
        <v/>
      </c>
      <c r="J226" s="57"/>
      <c r="K226" s="53"/>
      <c r="L226" s="58" t="str">
        <f aca="false">IF(G226="","",IF(ISNUMBER(B226),IF(E226="","⚠ ADD CATEGORY / AGREGA CATEGORÍA",IF(J226="No","⚠ SAVE RECEIPT / GUARDA RECIBO","✔ OK")),"⚠ ADD DATE / AGREGA FECHA"))</f>
        <v/>
      </c>
      <c r="N226" s="51" t="n">
        <f aca="false">IF(G226="",0,IF(ISNUMBER(B226),1,0))</f>
        <v>0</v>
      </c>
      <c r="O226" s="51" t="n">
        <f aca="false">IF(N226=1,YEAR(B226),0)</f>
        <v>0</v>
      </c>
      <c r="P226" s="51" t="n">
        <f aca="false">IF(N226=1,YEAR(B226)*100+MONTH(B226),0)</f>
        <v>0</v>
      </c>
      <c r="Q226" s="51" t="n">
        <f aca="false">IF(N226=1,IF(J226="No",1,0),0)</f>
        <v>0</v>
      </c>
    </row>
    <row r="227" customFormat="false" ht="15" hidden="false" customHeight="false" outlineLevel="0" collapsed="false">
      <c r="B227" s="52"/>
      <c r="C227" s="53"/>
      <c r="D227" s="53"/>
      <c r="E227" s="53"/>
      <c r="F227" s="53"/>
      <c r="G227" s="54"/>
      <c r="H227" s="55"/>
      <c r="I227" s="56" t="str">
        <f aca="false">IF(G227="","",G227*IF(H227="",1,H227))</f>
        <v/>
      </c>
      <c r="J227" s="57"/>
      <c r="K227" s="53"/>
      <c r="L227" s="58" t="str">
        <f aca="false">IF(G227="","",IF(ISNUMBER(B227),IF(E227="","⚠ ADD CATEGORY / AGREGA CATEGORÍA",IF(J227="No","⚠ SAVE RECEIPT / GUARDA RECIBO","✔ OK")),"⚠ ADD DATE / AGREGA FECHA"))</f>
        <v/>
      </c>
      <c r="N227" s="51" t="n">
        <f aca="false">IF(G227="",0,IF(ISNUMBER(B227),1,0))</f>
        <v>0</v>
      </c>
      <c r="O227" s="51" t="n">
        <f aca="false">IF(N227=1,YEAR(B227),0)</f>
        <v>0</v>
      </c>
      <c r="P227" s="51" t="n">
        <f aca="false">IF(N227=1,YEAR(B227)*100+MONTH(B227),0)</f>
        <v>0</v>
      </c>
      <c r="Q227" s="51" t="n">
        <f aca="false">IF(N227=1,IF(J227="No",1,0),0)</f>
        <v>0</v>
      </c>
    </row>
    <row r="228" customFormat="false" ht="15" hidden="false" customHeight="false" outlineLevel="0" collapsed="false">
      <c r="B228" s="52"/>
      <c r="C228" s="53"/>
      <c r="D228" s="53"/>
      <c r="E228" s="53"/>
      <c r="F228" s="53"/>
      <c r="G228" s="54"/>
      <c r="H228" s="55"/>
      <c r="I228" s="56" t="str">
        <f aca="false">IF(G228="","",G228*IF(H228="",1,H228))</f>
        <v/>
      </c>
      <c r="J228" s="57"/>
      <c r="K228" s="53"/>
      <c r="L228" s="58" t="str">
        <f aca="false">IF(G228="","",IF(ISNUMBER(B228),IF(E228="","⚠ ADD CATEGORY / AGREGA CATEGORÍA",IF(J228="No","⚠ SAVE RECEIPT / GUARDA RECIBO","✔ OK")),"⚠ ADD DATE / AGREGA FECHA"))</f>
        <v/>
      </c>
      <c r="N228" s="51" t="n">
        <f aca="false">IF(G228="",0,IF(ISNUMBER(B228),1,0))</f>
        <v>0</v>
      </c>
      <c r="O228" s="51" t="n">
        <f aca="false">IF(N228=1,YEAR(B228),0)</f>
        <v>0</v>
      </c>
      <c r="P228" s="51" t="n">
        <f aca="false">IF(N228=1,YEAR(B228)*100+MONTH(B228),0)</f>
        <v>0</v>
      </c>
      <c r="Q228" s="51" t="n">
        <f aca="false">IF(N228=1,IF(J228="No",1,0),0)</f>
        <v>0</v>
      </c>
    </row>
    <row r="229" customFormat="false" ht="15" hidden="false" customHeight="false" outlineLevel="0" collapsed="false">
      <c r="B229" s="52"/>
      <c r="C229" s="53"/>
      <c r="D229" s="53"/>
      <c r="E229" s="53"/>
      <c r="F229" s="53"/>
      <c r="G229" s="54"/>
      <c r="H229" s="55"/>
      <c r="I229" s="56" t="str">
        <f aca="false">IF(G229="","",G229*IF(H229="",1,H229))</f>
        <v/>
      </c>
      <c r="J229" s="57"/>
      <c r="K229" s="53"/>
      <c r="L229" s="58" t="str">
        <f aca="false">IF(G229="","",IF(ISNUMBER(B229),IF(E229="","⚠ ADD CATEGORY / AGREGA CATEGORÍA",IF(J229="No","⚠ SAVE RECEIPT / GUARDA RECIBO","✔ OK")),"⚠ ADD DATE / AGREGA FECHA"))</f>
        <v/>
      </c>
      <c r="N229" s="51" t="n">
        <f aca="false">IF(G229="",0,IF(ISNUMBER(B229),1,0))</f>
        <v>0</v>
      </c>
      <c r="O229" s="51" t="n">
        <f aca="false">IF(N229=1,YEAR(B229),0)</f>
        <v>0</v>
      </c>
      <c r="P229" s="51" t="n">
        <f aca="false">IF(N229=1,YEAR(B229)*100+MONTH(B229),0)</f>
        <v>0</v>
      </c>
      <c r="Q229" s="51" t="n">
        <f aca="false">IF(N229=1,IF(J229="No",1,0),0)</f>
        <v>0</v>
      </c>
    </row>
    <row r="230" customFormat="false" ht="15" hidden="false" customHeight="false" outlineLevel="0" collapsed="false">
      <c r="B230" s="52"/>
      <c r="C230" s="53"/>
      <c r="D230" s="53"/>
      <c r="E230" s="53"/>
      <c r="F230" s="53"/>
      <c r="G230" s="54"/>
      <c r="H230" s="55"/>
      <c r="I230" s="56" t="str">
        <f aca="false">IF(G230="","",G230*IF(H230="",1,H230))</f>
        <v/>
      </c>
      <c r="J230" s="57"/>
      <c r="K230" s="53"/>
      <c r="L230" s="58" t="str">
        <f aca="false">IF(G230="","",IF(ISNUMBER(B230),IF(E230="","⚠ ADD CATEGORY / AGREGA CATEGORÍA",IF(J230="No","⚠ SAVE RECEIPT / GUARDA RECIBO","✔ OK")),"⚠ ADD DATE / AGREGA FECHA"))</f>
        <v/>
      </c>
      <c r="N230" s="51" t="n">
        <f aca="false">IF(G230="",0,IF(ISNUMBER(B230),1,0))</f>
        <v>0</v>
      </c>
      <c r="O230" s="51" t="n">
        <f aca="false">IF(N230=1,YEAR(B230),0)</f>
        <v>0</v>
      </c>
      <c r="P230" s="51" t="n">
        <f aca="false">IF(N230=1,YEAR(B230)*100+MONTH(B230),0)</f>
        <v>0</v>
      </c>
      <c r="Q230" s="51" t="n">
        <f aca="false">IF(N230=1,IF(J230="No",1,0),0)</f>
        <v>0</v>
      </c>
    </row>
    <row r="231" customFormat="false" ht="15" hidden="false" customHeight="false" outlineLevel="0" collapsed="false">
      <c r="B231" s="52"/>
      <c r="C231" s="53"/>
      <c r="D231" s="53"/>
      <c r="E231" s="53"/>
      <c r="F231" s="53"/>
      <c r="G231" s="54"/>
      <c r="H231" s="55"/>
      <c r="I231" s="56" t="str">
        <f aca="false">IF(G231="","",G231*IF(H231="",1,H231))</f>
        <v/>
      </c>
      <c r="J231" s="57"/>
      <c r="K231" s="53"/>
      <c r="L231" s="58" t="str">
        <f aca="false">IF(G231="","",IF(ISNUMBER(B231),IF(E231="","⚠ ADD CATEGORY / AGREGA CATEGORÍA",IF(J231="No","⚠ SAVE RECEIPT / GUARDA RECIBO","✔ OK")),"⚠ ADD DATE / AGREGA FECHA"))</f>
        <v/>
      </c>
      <c r="N231" s="51" t="n">
        <f aca="false">IF(G231="",0,IF(ISNUMBER(B231),1,0))</f>
        <v>0</v>
      </c>
      <c r="O231" s="51" t="n">
        <f aca="false">IF(N231=1,YEAR(B231),0)</f>
        <v>0</v>
      </c>
      <c r="P231" s="51" t="n">
        <f aca="false">IF(N231=1,YEAR(B231)*100+MONTH(B231),0)</f>
        <v>0</v>
      </c>
      <c r="Q231" s="51" t="n">
        <f aca="false">IF(N231=1,IF(J231="No",1,0),0)</f>
        <v>0</v>
      </c>
    </row>
    <row r="232" customFormat="false" ht="15" hidden="false" customHeight="false" outlineLevel="0" collapsed="false">
      <c r="B232" s="52"/>
      <c r="C232" s="53"/>
      <c r="D232" s="53"/>
      <c r="E232" s="53"/>
      <c r="F232" s="53"/>
      <c r="G232" s="54"/>
      <c r="H232" s="55"/>
      <c r="I232" s="56" t="str">
        <f aca="false">IF(G232="","",G232*IF(H232="",1,H232))</f>
        <v/>
      </c>
      <c r="J232" s="57"/>
      <c r="K232" s="53"/>
      <c r="L232" s="58" t="str">
        <f aca="false">IF(G232="","",IF(ISNUMBER(B232),IF(E232="","⚠ ADD CATEGORY / AGREGA CATEGORÍA",IF(J232="No","⚠ SAVE RECEIPT / GUARDA RECIBO","✔ OK")),"⚠ ADD DATE / AGREGA FECHA"))</f>
        <v/>
      </c>
      <c r="N232" s="51" t="n">
        <f aca="false">IF(G232="",0,IF(ISNUMBER(B232),1,0))</f>
        <v>0</v>
      </c>
      <c r="O232" s="51" t="n">
        <f aca="false">IF(N232=1,YEAR(B232),0)</f>
        <v>0</v>
      </c>
      <c r="P232" s="51" t="n">
        <f aca="false">IF(N232=1,YEAR(B232)*100+MONTH(B232),0)</f>
        <v>0</v>
      </c>
      <c r="Q232" s="51" t="n">
        <f aca="false">IF(N232=1,IF(J232="No",1,0),0)</f>
        <v>0</v>
      </c>
    </row>
    <row r="233" customFormat="false" ht="15" hidden="false" customHeight="false" outlineLevel="0" collapsed="false">
      <c r="B233" s="52"/>
      <c r="C233" s="53"/>
      <c r="D233" s="53"/>
      <c r="E233" s="53"/>
      <c r="F233" s="53"/>
      <c r="G233" s="54"/>
      <c r="H233" s="55"/>
      <c r="I233" s="56" t="str">
        <f aca="false">IF(G233="","",G233*IF(H233="",1,H233))</f>
        <v/>
      </c>
      <c r="J233" s="57"/>
      <c r="K233" s="53"/>
      <c r="L233" s="58" t="str">
        <f aca="false">IF(G233="","",IF(ISNUMBER(B233),IF(E233="","⚠ ADD CATEGORY / AGREGA CATEGORÍA",IF(J233="No","⚠ SAVE RECEIPT / GUARDA RECIBO","✔ OK")),"⚠ ADD DATE / AGREGA FECHA"))</f>
        <v/>
      </c>
      <c r="N233" s="51" t="n">
        <f aca="false">IF(G233="",0,IF(ISNUMBER(B233),1,0))</f>
        <v>0</v>
      </c>
      <c r="O233" s="51" t="n">
        <f aca="false">IF(N233=1,YEAR(B233),0)</f>
        <v>0</v>
      </c>
      <c r="P233" s="51" t="n">
        <f aca="false">IF(N233=1,YEAR(B233)*100+MONTH(B233),0)</f>
        <v>0</v>
      </c>
      <c r="Q233" s="51" t="n">
        <f aca="false">IF(N233=1,IF(J233="No",1,0),0)</f>
        <v>0</v>
      </c>
    </row>
    <row r="234" customFormat="false" ht="15" hidden="false" customHeight="false" outlineLevel="0" collapsed="false">
      <c r="B234" s="52"/>
      <c r="C234" s="53"/>
      <c r="D234" s="53"/>
      <c r="E234" s="53"/>
      <c r="F234" s="53"/>
      <c r="G234" s="54"/>
      <c r="H234" s="55"/>
      <c r="I234" s="56" t="str">
        <f aca="false">IF(G234="","",G234*IF(H234="",1,H234))</f>
        <v/>
      </c>
      <c r="J234" s="57"/>
      <c r="K234" s="53"/>
      <c r="L234" s="58" t="str">
        <f aca="false">IF(G234="","",IF(ISNUMBER(B234),IF(E234="","⚠ ADD CATEGORY / AGREGA CATEGORÍA",IF(J234="No","⚠ SAVE RECEIPT / GUARDA RECIBO","✔ OK")),"⚠ ADD DATE / AGREGA FECHA"))</f>
        <v/>
      </c>
      <c r="N234" s="51" t="n">
        <f aca="false">IF(G234="",0,IF(ISNUMBER(B234),1,0))</f>
        <v>0</v>
      </c>
      <c r="O234" s="51" t="n">
        <f aca="false">IF(N234=1,YEAR(B234),0)</f>
        <v>0</v>
      </c>
      <c r="P234" s="51" t="n">
        <f aca="false">IF(N234=1,YEAR(B234)*100+MONTH(B234),0)</f>
        <v>0</v>
      </c>
      <c r="Q234" s="51" t="n">
        <f aca="false">IF(N234=1,IF(J234="No",1,0),0)</f>
        <v>0</v>
      </c>
    </row>
    <row r="235" customFormat="false" ht="15" hidden="false" customHeight="false" outlineLevel="0" collapsed="false">
      <c r="B235" s="52"/>
      <c r="C235" s="53"/>
      <c r="D235" s="53"/>
      <c r="E235" s="53"/>
      <c r="F235" s="53"/>
      <c r="G235" s="54"/>
      <c r="H235" s="55"/>
      <c r="I235" s="56" t="str">
        <f aca="false">IF(G235="","",G235*IF(H235="",1,H235))</f>
        <v/>
      </c>
      <c r="J235" s="57"/>
      <c r="K235" s="53"/>
      <c r="L235" s="58" t="str">
        <f aca="false">IF(G235="","",IF(ISNUMBER(B235),IF(E235="","⚠ ADD CATEGORY / AGREGA CATEGORÍA",IF(J235="No","⚠ SAVE RECEIPT / GUARDA RECIBO","✔ OK")),"⚠ ADD DATE / AGREGA FECHA"))</f>
        <v/>
      </c>
      <c r="N235" s="51" t="n">
        <f aca="false">IF(G235="",0,IF(ISNUMBER(B235),1,0))</f>
        <v>0</v>
      </c>
      <c r="O235" s="51" t="n">
        <f aca="false">IF(N235=1,YEAR(B235),0)</f>
        <v>0</v>
      </c>
      <c r="P235" s="51" t="n">
        <f aca="false">IF(N235=1,YEAR(B235)*100+MONTH(B235),0)</f>
        <v>0</v>
      </c>
      <c r="Q235" s="51" t="n">
        <f aca="false">IF(N235=1,IF(J235="No",1,0),0)</f>
        <v>0</v>
      </c>
    </row>
    <row r="236" customFormat="false" ht="15" hidden="false" customHeight="false" outlineLevel="0" collapsed="false">
      <c r="B236" s="52"/>
      <c r="C236" s="53"/>
      <c r="D236" s="53"/>
      <c r="E236" s="53"/>
      <c r="F236" s="53"/>
      <c r="G236" s="54"/>
      <c r="H236" s="55"/>
      <c r="I236" s="56" t="str">
        <f aca="false">IF(G236="","",G236*IF(H236="",1,H236))</f>
        <v/>
      </c>
      <c r="J236" s="57"/>
      <c r="K236" s="53"/>
      <c r="L236" s="58" t="str">
        <f aca="false">IF(G236="","",IF(ISNUMBER(B236),IF(E236="","⚠ ADD CATEGORY / AGREGA CATEGORÍA",IF(J236="No","⚠ SAVE RECEIPT / GUARDA RECIBO","✔ OK")),"⚠ ADD DATE / AGREGA FECHA"))</f>
        <v/>
      </c>
      <c r="N236" s="51" t="n">
        <f aca="false">IF(G236="",0,IF(ISNUMBER(B236),1,0))</f>
        <v>0</v>
      </c>
      <c r="O236" s="51" t="n">
        <f aca="false">IF(N236=1,YEAR(B236),0)</f>
        <v>0</v>
      </c>
      <c r="P236" s="51" t="n">
        <f aca="false">IF(N236=1,YEAR(B236)*100+MONTH(B236),0)</f>
        <v>0</v>
      </c>
      <c r="Q236" s="51" t="n">
        <f aca="false">IF(N236=1,IF(J236="No",1,0),0)</f>
        <v>0</v>
      </c>
    </row>
    <row r="237" customFormat="false" ht="15" hidden="false" customHeight="false" outlineLevel="0" collapsed="false">
      <c r="B237" s="52"/>
      <c r="C237" s="53"/>
      <c r="D237" s="53"/>
      <c r="E237" s="53"/>
      <c r="F237" s="53"/>
      <c r="G237" s="54"/>
      <c r="H237" s="55"/>
      <c r="I237" s="56" t="str">
        <f aca="false">IF(G237="","",G237*IF(H237="",1,H237))</f>
        <v/>
      </c>
      <c r="J237" s="57"/>
      <c r="K237" s="53"/>
      <c r="L237" s="58" t="str">
        <f aca="false">IF(G237="","",IF(ISNUMBER(B237),IF(E237="","⚠ ADD CATEGORY / AGREGA CATEGORÍA",IF(J237="No","⚠ SAVE RECEIPT / GUARDA RECIBO","✔ OK")),"⚠ ADD DATE / AGREGA FECHA"))</f>
        <v/>
      </c>
      <c r="N237" s="51" t="n">
        <f aca="false">IF(G237="",0,IF(ISNUMBER(B237),1,0))</f>
        <v>0</v>
      </c>
      <c r="O237" s="51" t="n">
        <f aca="false">IF(N237=1,YEAR(B237),0)</f>
        <v>0</v>
      </c>
      <c r="P237" s="51" t="n">
        <f aca="false">IF(N237=1,YEAR(B237)*100+MONTH(B237),0)</f>
        <v>0</v>
      </c>
      <c r="Q237" s="51" t="n">
        <f aca="false">IF(N237=1,IF(J237="No",1,0),0)</f>
        <v>0</v>
      </c>
    </row>
    <row r="238" customFormat="false" ht="15" hidden="false" customHeight="false" outlineLevel="0" collapsed="false">
      <c r="B238" s="52"/>
      <c r="C238" s="53"/>
      <c r="D238" s="53"/>
      <c r="E238" s="53"/>
      <c r="F238" s="53"/>
      <c r="G238" s="54"/>
      <c r="H238" s="55"/>
      <c r="I238" s="56" t="str">
        <f aca="false">IF(G238="","",G238*IF(H238="",1,H238))</f>
        <v/>
      </c>
      <c r="J238" s="57"/>
      <c r="K238" s="53"/>
      <c r="L238" s="58" t="str">
        <f aca="false">IF(G238="","",IF(ISNUMBER(B238),IF(E238="","⚠ ADD CATEGORY / AGREGA CATEGORÍA",IF(J238="No","⚠ SAVE RECEIPT / GUARDA RECIBO","✔ OK")),"⚠ ADD DATE / AGREGA FECHA"))</f>
        <v/>
      </c>
      <c r="N238" s="51" t="n">
        <f aca="false">IF(G238="",0,IF(ISNUMBER(B238),1,0))</f>
        <v>0</v>
      </c>
      <c r="O238" s="51" t="n">
        <f aca="false">IF(N238=1,YEAR(B238),0)</f>
        <v>0</v>
      </c>
      <c r="P238" s="51" t="n">
        <f aca="false">IF(N238=1,YEAR(B238)*100+MONTH(B238),0)</f>
        <v>0</v>
      </c>
      <c r="Q238" s="51" t="n">
        <f aca="false">IF(N238=1,IF(J238="No",1,0),0)</f>
        <v>0</v>
      </c>
    </row>
    <row r="239" customFormat="false" ht="15" hidden="false" customHeight="false" outlineLevel="0" collapsed="false">
      <c r="B239" s="52"/>
      <c r="C239" s="53"/>
      <c r="D239" s="53"/>
      <c r="E239" s="53"/>
      <c r="F239" s="53"/>
      <c r="G239" s="54"/>
      <c r="H239" s="55"/>
      <c r="I239" s="56" t="str">
        <f aca="false">IF(G239="","",G239*IF(H239="",1,H239))</f>
        <v/>
      </c>
      <c r="J239" s="57"/>
      <c r="K239" s="53"/>
      <c r="L239" s="58" t="str">
        <f aca="false">IF(G239="","",IF(ISNUMBER(B239),IF(E239="","⚠ ADD CATEGORY / AGREGA CATEGORÍA",IF(J239="No","⚠ SAVE RECEIPT / GUARDA RECIBO","✔ OK")),"⚠ ADD DATE / AGREGA FECHA"))</f>
        <v/>
      </c>
      <c r="N239" s="51" t="n">
        <f aca="false">IF(G239="",0,IF(ISNUMBER(B239),1,0))</f>
        <v>0</v>
      </c>
      <c r="O239" s="51" t="n">
        <f aca="false">IF(N239=1,YEAR(B239),0)</f>
        <v>0</v>
      </c>
      <c r="P239" s="51" t="n">
        <f aca="false">IF(N239=1,YEAR(B239)*100+MONTH(B239),0)</f>
        <v>0</v>
      </c>
      <c r="Q239" s="51" t="n">
        <f aca="false">IF(N239=1,IF(J239="No",1,0),0)</f>
        <v>0</v>
      </c>
    </row>
    <row r="240" customFormat="false" ht="15" hidden="false" customHeight="false" outlineLevel="0" collapsed="false">
      <c r="B240" s="52"/>
      <c r="C240" s="53"/>
      <c r="D240" s="53"/>
      <c r="E240" s="53"/>
      <c r="F240" s="53"/>
      <c r="G240" s="54"/>
      <c r="H240" s="55"/>
      <c r="I240" s="56" t="str">
        <f aca="false">IF(G240="","",G240*IF(H240="",1,H240))</f>
        <v/>
      </c>
      <c r="J240" s="57"/>
      <c r="K240" s="53"/>
      <c r="L240" s="58" t="str">
        <f aca="false">IF(G240="","",IF(ISNUMBER(B240),IF(E240="","⚠ ADD CATEGORY / AGREGA CATEGORÍA",IF(J240="No","⚠ SAVE RECEIPT / GUARDA RECIBO","✔ OK")),"⚠ ADD DATE / AGREGA FECHA"))</f>
        <v/>
      </c>
      <c r="N240" s="51" t="n">
        <f aca="false">IF(G240="",0,IF(ISNUMBER(B240),1,0))</f>
        <v>0</v>
      </c>
      <c r="O240" s="51" t="n">
        <f aca="false">IF(N240=1,YEAR(B240),0)</f>
        <v>0</v>
      </c>
      <c r="P240" s="51" t="n">
        <f aca="false">IF(N240=1,YEAR(B240)*100+MONTH(B240),0)</f>
        <v>0</v>
      </c>
      <c r="Q240" s="51" t="n">
        <f aca="false">IF(N240=1,IF(J240="No",1,0),0)</f>
        <v>0</v>
      </c>
    </row>
    <row r="241" customFormat="false" ht="15" hidden="false" customHeight="false" outlineLevel="0" collapsed="false">
      <c r="B241" s="52"/>
      <c r="C241" s="53"/>
      <c r="D241" s="53"/>
      <c r="E241" s="53"/>
      <c r="F241" s="53"/>
      <c r="G241" s="54"/>
      <c r="H241" s="55"/>
      <c r="I241" s="56" t="str">
        <f aca="false">IF(G241="","",G241*IF(H241="",1,H241))</f>
        <v/>
      </c>
      <c r="J241" s="57"/>
      <c r="K241" s="53"/>
      <c r="L241" s="58" t="str">
        <f aca="false">IF(G241="","",IF(ISNUMBER(B241),IF(E241="","⚠ ADD CATEGORY / AGREGA CATEGORÍA",IF(J241="No","⚠ SAVE RECEIPT / GUARDA RECIBO","✔ OK")),"⚠ ADD DATE / AGREGA FECHA"))</f>
        <v/>
      </c>
      <c r="N241" s="51" t="n">
        <f aca="false">IF(G241="",0,IF(ISNUMBER(B241),1,0))</f>
        <v>0</v>
      </c>
      <c r="O241" s="51" t="n">
        <f aca="false">IF(N241=1,YEAR(B241),0)</f>
        <v>0</v>
      </c>
      <c r="P241" s="51" t="n">
        <f aca="false">IF(N241=1,YEAR(B241)*100+MONTH(B241),0)</f>
        <v>0</v>
      </c>
      <c r="Q241" s="51" t="n">
        <f aca="false">IF(N241=1,IF(J241="No",1,0),0)</f>
        <v>0</v>
      </c>
    </row>
    <row r="242" customFormat="false" ht="15" hidden="false" customHeight="false" outlineLevel="0" collapsed="false">
      <c r="B242" s="52"/>
      <c r="C242" s="53"/>
      <c r="D242" s="53"/>
      <c r="E242" s="53"/>
      <c r="F242" s="53"/>
      <c r="G242" s="54"/>
      <c r="H242" s="55"/>
      <c r="I242" s="56" t="str">
        <f aca="false">IF(G242="","",G242*IF(H242="",1,H242))</f>
        <v/>
      </c>
      <c r="J242" s="57"/>
      <c r="K242" s="53"/>
      <c r="L242" s="58" t="str">
        <f aca="false">IF(G242="","",IF(ISNUMBER(B242),IF(E242="","⚠ ADD CATEGORY / AGREGA CATEGORÍA",IF(J242="No","⚠ SAVE RECEIPT / GUARDA RECIBO","✔ OK")),"⚠ ADD DATE / AGREGA FECHA"))</f>
        <v/>
      </c>
      <c r="N242" s="51" t="n">
        <f aca="false">IF(G242="",0,IF(ISNUMBER(B242),1,0))</f>
        <v>0</v>
      </c>
      <c r="O242" s="51" t="n">
        <f aca="false">IF(N242=1,YEAR(B242),0)</f>
        <v>0</v>
      </c>
      <c r="P242" s="51" t="n">
        <f aca="false">IF(N242=1,YEAR(B242)*100+MONTH(B242),0)</f>
        <v>0</v>
      </c>
      <c r="Q242" s="51" t="n">
        <f aca="false">IF(N242=1,IF(J242="No",1,0),0)</f>
        <v>0</v>
      </c>
    </row>
    <row r="243" customFormat="false" ht="15" hidden="false" customHeight="false" outlineLevel="0" collapsed="false">
      <c r="B243" s="52"/>
      <c r="C243" s="53"/>
      <c r="D243" s="53"/>
      <c r="E243" s="53"/>
      <c r="F243" s="53"/>
      <c r="G243" s="54"/>
      <c r="H243" s="55"/>
      <c r="I243" s="56" t="str">
        <f aca="false">IF(G243="","",G243*IF(H243="",1,H243))</f>
        <v/>
      </c>
      <c r="J243" s="57"/>
      <c r="K243" s="53"/>
      <c r="L243" s="58" t="str">
        <f aca="false">IF(G243="","",IF(ISNUMBER(B243),IF(E243="","⚠ ADD CATEGORY / AGREGA CATEGORÍA",IF(J243="No","⚠ SAVE RECEIPT / GUARDA RECIBO","✔ OK")),"⚠ ADD DATE / AGREGA FECHA"))</f>
        <v/>
      </c>
      <c r="N243" s="51" t="n">
        <f aca="false">IF(G243="",0,IF(ISNUMBER(B243),1,0))</f>
        <v>0</v>
      </c>
      <c r="O243" s="51" t="n">
        <f aca="false">IF(N243=1,YEAR(B243),0)</f>
        <v>0</v>
      </c>
      <c r="P243" s="51" t="n">
        <f aca="false">IF(N243=1,YEAR(B243)*100+MONTH(B243),0)</f>
        <v>0</v>
      </c>
      <c r="Q243" s="51" t="n">
        <f aca="false">IF(N243=1,IF(J243="No",1,0),0)</f>
        <v>0</v>
      </c>
    </row>
    <row r="244" customFormat="false" ht="15" hidden="false" customHeight="false" outlineLevel="0" collapsed="false">
      <c r="B244" s="52"/>
      <c r="C244" s="53"/>
      <c r="D244" s="53"/>
      <c r="E244" s="53"/>
      <c r="F244" s="53"/>
      <c r="G244" s="54"/>
      <c r="H244" s="55"/>
      <c r="I244" s="56" t="str">
        <f aca="false">IF(G244="","",G244*IF(H244="",1,H244))</f>
        <v/>
      </c>
      <c r="J244" s="57"/>
      <c r="K244" s="53"/>
      <c r="L244" s="58" t="str">
        <f aca="false">IF(G244="","",IF(ISNUMBER(B244),IF(E244="","⚠ ADD CATEGORY / AGREGA CATEGORÍA",IF(J244="No","⚠ SAVE RECEIPT / GUARDA RECIBO","✔ OK")),"⚠ ADD DATE / AGREGA FECHA"))</f>
        <v/>
      </c>
      <c r="N244" s="51" t="n">
        <f aca="false">IF(G244="",0,IF(ISNUMBER(B244),1,0))</f>
        <v>0</v>
      </c>
      <c r="O244" s="51" t="n">
        <f aca="false">IF(N244=1,YEAR(B244),0)</f>
        <v>0</v>
      </c>
      <c r="P244" s="51" t="n">
        <f aca="false">IF(N244=1,YEAR(B244)*100+MONTH(B244),0)</f>
        <v>0</v>
      </c>
      <c r="Q244" s="51" t="n">
        <f aca="false">IF(N244=1,IF(J244="No",1,0),0)</f>
        <v>0</v>
      </c>
    </row>
    <row r="245" customFormat="false" ht="15" hidden="false" customHeight="false" outlineLevel="0" collapsed="false">
      <c r="B245" s="52"/>
      <c r="C245" s="53"/>
      <c r="D245" s="53"/>
      <c r="E245" s="53"/>
      <c r="F245" s="53"/>
      <c r="G245" s="54"/>
      <c r="H245" s="55"/>
      <c r="I245" s="56" t="str">
        <f aca="false">IF(G245="","",G245*IF(H245="",1,H245))</f>
        <v/>
      </c>
      <c r="J245" s="57"/>
      <c r="K245" s="53"/>
      <c r="L245" s="58" t="str">
        <f aca="false">IF(G245="","",IF(ISNUMBER(B245),IF(E245="","⚠ ADD CATEGORY / AGREGA CATEGORÍA",IF(J245="No","⚠ SAVE RECEIPT / GUARDA RECIBO","✔ OK")),"⚠ ADD DATE / AGREGA FECHA"))</f>
        <v/>
      </c>
      <c r="N245" s="51" t="n">
        <f aca="false">IF(G245="",0,IF(ISNUMBER(B245),1,0))</f>
        <v>0</v>
      </c>
      <c r="O245" s="51" t="n">
        <f aca="false">IF(N245=1,YEAR(B245),0)</f>
        <v>0</v>
      </c>
      <c r="P245" s="51" t="n">
        <f aca="false">IF(N245=1,YEAR(B245)*100+MONTH(B245),0)</f>
        <v>0</v>
      </c>
      <c r="Q245" s="51" t="n">
        <f aca="false">IF(N245=1,IF(J245="No",1,0),0)</f>
        <v>0</v>
      </c>
    </row>
    <row r="246" customFormat="false" ht="15" hidden="false" customHeight="false" outlineLevel="0" collapsed="false">
      <c r="B246" s="52"/>
      <c r="C246" s="53"/>
      <c r="D246" s="53"/>
      <c r="E246" s="53"/>
      <c r="F246" s="53"/>
      <c r="G246" s="54"/>
      <c r="H246" s="55"/>
      <c r="I246" s="56" t="str">
        <f aca="false">IF(G246="","",G246*IF(H246="",1,H246))</f>
        <v/>
      </c>
      <c r="J246" s="57"/>
      <c r="K246" s="53"/>
      <c r="L246" s="58" t="str">
        <f aca="false">IF(G246="","",IF(ISNUMBER(B246),IF(E246="","⚠ ADD CATEGORY / AGREGA CATEGORÍA",IF(J246="No","⚠ SAVE RECEIPT / GUARDA RECIBO","✔ OK")),"⚠ ADD DATE / AGREGA FECHA"))</f>
        <v/>
      </c>
      <c r="N246" s="51" t="n">
        <f aca="false">IF(G246="",0,IF(ISNUMBER(B246),1,0))</f>
        <v>0</v>
      </c>
      <c r="O246" s="51" t="n">
        <f aca="false">IF(N246=1,YEAR(B246),0)</f>
        <v>0</v>
      </c>
      <c r="P246" s="51" t="n">
        <f aca="false">IF(N246=1,YEAR(B246)*100+MONTH(B246),0)</f>
        <v>0</v>
      </c>
      <c r="Q246" s="51" t="n">
        <f aca="false">IF(N246=1,IF(J246="No",1,0),0)</f>
        <v>0</v>
      </c>
    </row>
    <row r="247" customFormat="false" ht="15" hidden="false" customHeight="false" outlineLevel="0" collapsed="false">
      <c r="B247" s="52"/>
      <c r="C247" s="53"/>
      <c r="D247" s="53"/>
      <c r="E247" s="53"/>
      <c r="F247" s="53"/>
      <c r="G247" s="54"/>
      <c r="H247" s="55"/>
      <c r="I247" s="56" t="str">
        <f aca="false">IF(G247="","",G247*IF(H247="",1,H247))</f>
        <v/>
      </c>
      <c r="J247" s="57"/>
      <c r="K247" s="53"/>
      <c r="L247" s="58" t="str">
        <f aca="false">IF(G247="","",IF(ISNUMBER(B247),IF(E247="","⚠ ADD CATEGORY / AGREGA CATEGORÍA",IF(J247="No","⚠ SAVE RECEIPT / GUARDA RECIBO","✔ OK")),"⚠ ADD DATE / AGREGA FECHA"))</f>
        <v/>
      </c>
      <c r="N247" s="51" t="n">
        <f aca="false">IF(G247="",0,IF(ISNUMBER(B247),1,0))</f>
        <v>0</v>
      </c>
      <c r="O247" s="51" t="n">
        <f aca="false">IF(N247=1,YEAR(B247),0)</f>
        <v>0</v>
      </c>
      <c r="P247" s="51" t="n">
        <f aca="false">IF(N247=1,YEAR(B247)*100+MONTH(B247),0)</f>
        <v>0</v>
      </c>
      <c r="Q247" s="51" t="n">
        <f aca="false">IF(N247=1,IF(J247="No",1,0),0)</f>
        <v>0</v>
      </c>
    </row>
    <row r="248" customFormat="false" ht="15" hidden="false" customHeight="false" outlineLevel="0" collapsed="false">
      <c r="B248" s="52"/>
      <c r="C248" s="53"/>
      <c r="D248" s="53"/>
      <c r="E248" s="53"/>
      <c r="F248" s="53"/>
      <c r="G248" s="54"/>
      <c r="H248" s="55"/>
      <c r="I248" s="56" t="str">
        <f aca="false">IF(G248="","",G248*IF(H248="",1,H248))</f>
        <v/>
      </c>
      <c r="J248" s="57"/>
      <c r="K248" s="53"/>
      <c r="L248" s="58" t="str">
        <f aca="false">IF(G248="","",IF(ISNUMBER(B248),IF(E248="","⚠ ADD CATEGORY / AGREGA CATEGORÍA",IF(J248="No","⚠ SAVE RECEIPT / GUARDA RECIBO","✔ OK")),"⚠ ADD DATE / AGREGA FECHA"))</f>
        <v/>
      </c>
      <c r="N248" s="51" t="n">
        <f aca="false">IF(G248="",0,IF(ISNUMBER(B248),1,0))</f>
        <v>0</v>
      </c>
      <c r="O248" s="51" t="n">
        <f aca="false">IF(N248=1,YEAR(B248),0)</f>
        <v>0</v>
      </c>
      <c r="P248" s="51" t="n">
        <f aca="false">IF(N248=1,YEAR(B248)*100+MONTH(B248),0)</f>
        <v>0</v>
      </c>
      <c r="Q248" s="51" t="n">
        <f aca="false">IF(N248=1,IF(J248="No",1,0),0)</f>
        <v>0</v>
      </c>
    </row>
    <row r="249" customFormat="false" ht="15" hidden="false" customHeight="false" outlineLevel="0" collapsed="false">
      <c r="B249" s="52"/>
      <c r="C249" s="53"/>
      <c r="D249" s="53"/>
      <c r="E249" s="53"/>
      <c r="F249" s="53"/>
      <c r="G249" s="54"/>
      <c r="H249" s="55"/>
      <c r="I249" s="56" t="str">
        <f aca="false">IF(G249="","",G249*IF(H249="",1,H249))</f>
        <v/>
      </c>
      <c r="J249" s="57"/>
      <c r="K249" s="53"/>
      <c r="L249" s="58" t="str">
        <f aca="false">IF(G249="","",IF(ISNUMBER(B249),IF(E249="","⚠ ADD CATEGORY / AGREGA CATEGORÍA",IF(J249="No","⚠ SAVE RECEIPT / GUARDA RECIBO","✔ OK")),"⚠ ADD DATE / AGREGA FECHA"))</f>
        <v/>
      </c>
      <c r="N249" s="51" t="n">
        <f aca="false">IF(G249="",0,IF(ISNUMBER(B249),1,0))</f>
        <v>0</v>
      </c>
      <c r="O249" s="51" t="n">
        <f aca="false">IF(N249=1,YEAR(B249),0)</f>
        <v>0</v>
      </c>
      <c r="P249" s="51" t="n">
        <f aca="false">IF(N249=1,YEAR(B249)*100+MONTH(B249),0)</f>
        <v>0</v>
      </c>
      <c r="Q249" s="51" t="n">
        <f aca="false">IF(N249=1,IF(J249="No",1,0),0)</f>
        <v>0</v>
      </c>
    </row>
    <row r="250" customFormat="false" ht="15" hidden="false" customHeight="false" outlineLevel="0" collapsed="false">
      <c r="B250" s="52"/>
      <c r="C250" s="53"/>
      <c r="D250" s="53"/>
      <c r="E250" s="53"/>
      <c r="F250" s="53"/>
      <c r="G250" s="54"/>
      <c r="H250" s="55"/>
      <c r="I250" s="56" t="str">
        <f aca="false">IF(G250="","",G250*IF(H250="",1,H250))</f>
        <v/>
      </c>
      <c r="J250" s="57"/>
      <c r="K250" s="53"/>
      <c r="L250" s="58" t="str">
        <f aca="false">IF(G250="","",IF(ISNUMBER(B250),IF(E250="","⚠ ADD CATEGORY / AGREGA CATEGORÍA",IF(J250="No","⚠ SAVE RECEIPT / GUARDA RECIBO","✔ OK")),"⚠ ADD DATE / AGREGA FECHA"))</f>
        <v/>
      </c>
      <c r="N250" s="51" t="n">
        <f aca="false">IF(G250="",0,IF(ISNUMBER(B250),1,0))</f>
        <v>0</v>
      </c>
      <c r="O250" s="51" t="n">
        <f aca="false">IF(N250=1,YEAR(B250),0)</f>
        <v>0</v>
      </c>
      <c r="P250" s="51" t="n">
        <f aca="false">IF(N250=1,YEAR(B250)*100+MONTH(B250),0)</f>
        <v>0</v>
      </c>
      <c r="Q250" s="51" t="n">
        <f aca="false">IF(N250=1,IF(J250="No",1,0),0)</f>
        <v>0</v>
      </c>
    </row>
    <row r="251" customFormat="false" ht="15" hidden="false" customHeight="false" outlineLevel="0" collapsed="false">
      <c r="B251" s="52"/>
      <c r="C251" s="53"/>
      <c r="D251" s="53"/>
      <c r="E251" s="53"/>
      <c r="F251" s="53"/>
      <c r="G251" s="54"/>
      <c r="H251" s="55"/>
      <c r="I251" s="56" t="str">
        <f aca="false">IF(G251="","",G251*IF(H251="",1,H251))</f>
        <v/>
      </c>
      <c r="J251" s="57"/>
      <c r="K251" s="53"/>
      <c r="L251" s="58" t="str">
        <f aca="false">IF(G251="","",IF(ISNUMBER(B251),IF(E251="","⚠ ADD CATEGORY / AGREGA CATEGORÍA",IF(J251="No","⚠ SAVE RECEIPT / GUARDA RECIBO","✔ OK")),"⚠ ADD DATE / AGREGA FECHA"))</f>
        <v/>
      </c>
      <c r="N251" s="51" t="n">
        <f aca="false">IF(G251="",0,IF(ISNUMBER(B251),1,0))</f>
        <v>0</v>
      </c>
      <c r="O251" s="51" t="n">
        <f aca="false">IF(N251=1,YEAR(B251),0)</f>
        <v>0</v>
      </c>
      <c r="P251" s="51" t="n">
        <f aca="false">IF(N251=1,YEAR(B251)*100+MONTH(B251),0)</f>
        <v>0</v>
      </c>
      <c r="Q251" s="51" t="n">
        <f aca="false">IF(N251=1,IF(J251="No",1,0),0)</f>
        <v>0</v>
      </c>
    </row>
    <row r="252" customFormat="false" ht="15" hidden="false" customHeight="false" outlineLevel="0" collapsed="false">
      <c r="B252" s="52"/>
      <c r="C252" s="53"/>
      <c r="D252" s="53"/>
      <c r="E252" s="53"/>
      <c r="F252" s="53"/>
      <c r="G252" s="54"/>
      <c r="H252" s="55"/>
      <c r="I252" s="56" t="str">
        <f aca="false">IF(G252="","",G252*IF(H252="",1,H252))</f>
        <v/>
      </c>
      <c r="J252" s="57"/>
      <c r="K252" s="53"/>
      <c r="L252" s="58" t="str">
        <f aca="false">IF(G252="","",IF(ISNUMBER(B252),IF(E252="","⚠ ADD CATEGORY / AGREGA CATEGORÍA",IF(J252="No","⚠ SAVE RECEIPT / GUARDA RECIBO","✔ OK")),"⚠ ADD DATE / AGREGA FECHA"))</f>
        <v/>
      </c>
      <c r="N252" s="51" t="n">
        <f aca="false">IF(G252="",0,IF(ISNUMBER(B252),1,0))</f>
        <v>0</v>
      </c>
      <c r="O252" s="51" t="n">
        <f aca="false">IF(N252=1,YEAR(B252),0)</f>
        <v>0</v>
      </c>
      <c r="P252" s="51" t="n">
        <f aca="false">IF(N252=1,YEAR(B252)*100+MONTH(B252),0)</f>
        <v>0</v>
      </c>
      <c r="Q252" s="51" t="n">
        <f aca="false">IF(N252=1,IF(J252="No",1,0),0)</f>
        <v>0</v>
      </c>
    </row>
    <row r="253" customFormat="false" ht="15" hidden="false" customHeight="false" outlineLevel="0" collapsed="false">
      <c r="B253" s="52"/>
      <c r="C253" s="53"/>
      <c r="D253" s="53"/>
      <c r="E253" s="53"/>
      <c r="F253" s="53"/>
      <c r="G253" s="54"/>
      <c r="H253" s="55"/>
      <c r="I253" s="56" t="str">
        <f aca="false">IF(G253="","",G253*IF(H253="",1,H253))</f>
        <v/>
      </c>
      <c r="J253" s="57"/>
      <c r="K253" s="53"/>
      <c r="L253" s="58" t="str">
        <f aca="false">IF(G253="","",IF(ISNUMBER(B253),IF(E253="","⚠ ADD CATEGORY / AGREGA CATEGORÍA",IF(J253="No","⚠ SAVE RECEIPT / GUARDA RECIBO","✔ OK")),"⚠ ADD DATE / AGREGA FECHA"))</f>
        <v/>
      </c>
      <c r="N253" s="51" t="n">
        <f aca="false">IF(G253="",0,IF(ISNUMBER(B253),1,0))</f>
        <v>0</v>
      </c>
      <c r="O253" s="51" t="n">
        <f aca="false">IF(N253=1,YEAR(B253),0)</f>
        <v>0</v>
      </c>
      <c r="P253" s="51" t="n">
        <f aca="false">IF(N253=1,YEAR(B253)*100+MONTH(B253),0)</f>
        <v>0</v>
      </c>
      <c r="Q253" s="51" t="n">
        <f aca="false">IF(N253=1,IF(J253="No",1,0),0)</f>
        <v>0</v>
      </c>
    </row>
    <row r="254" customFormat="false" ht="15" hidden="false" customHeight="false" outlineLevel="0" collapsed="false">
      <c r="B254" s="52"/>
      <c r="C254" s="53"/>
      <c r="D254" s="53"/>
      <c r="E254" s="53"/>
      <c r="F254" s="53"/>
      <c r="G254" s="54"/>
      <c r="H254" s="55"/>
      <c r="I254" s="56" t="str">
        <f aca="false">IF(G254="","",G254*IF(H254="",1,H254))</f>
        <v/>
      </c>
      <c r="J254" s="57"/>
      <c r="K254" s="53"/>
      <c r="L254" s="58" t="str">
        <f aca="false">IF(G254="","",IF(ISNUMBER(B254),IF(E254="","⚠ ADD CATEGORY / AGREGA CATEGORÍA",IF(J254="No","⚠ SAVE RECEIPT / GUARDA RECIBO","✔ OK")),"⚠ ADD DATE / AGREGA FECHA"))</f>
        <v/>
      </c>
      <c r="N254" s="51" t="n">
        <f aca="false">IF(G254="",0,IF(ISNUMBER(B254),1,0))</f>
        <v>0</v>
      </c>
      <c r="O254" s="51" t="n">
        <f aca="false">IF(N254=1,YEAR(B254),0)</f>
        <v>0</v>
      </c>
      <c r="P254" s="51" t="n">
        <f aca="false">IF(N254=1,YEAR(B254)*100+MONTH(B254),0)</f>
        <v>0</v>
      </c>
      <c r="Q254" s="51" t="n">
        <f aca="false">IF(N254=1,IF(J254="No",1,0),0)</f>
        <v>0</v>
      </c>
    </row>
    <row r="255" customFormat="false" ht="15" hidden="false" customHeight="false" outlineLevel="0" collapsed="false">
      <c r="B255" s="52"/>
      <c r="C255" s="53"/>
      <c r="D255" s="53"/>
      <c r="E255" s="53"/>
      <c r="F255" s="53"/>
      <c r="G255" s="54"/>
      <c r="H255" s="55"/>
      <c r="I255" s="56" t="str">
        <f aca="false">IF(G255="","",G255*IF(H255="",1,H255))</f>
        <v/>
      </c>
      <c r="J255" s="57"/>
      <c r="K255" s="53"/>
      <c r="L255" s="58" t="str">
        <f aca="false">IF(G255="","",IF(ISNUMBER(B255),IF(E255="","⚠ ADD CATEGORY / AGREGA CATEGORÍA",IF(J255="No","⚠ SAVE RECEIPT / GUARDA RECIBO","✔ OK")),"⚠ ADD DATE / AGREGA FECHA"))</f>
        <v/>
      </c>
      <c r="N255" s="51" t="n">
        <f aca="false">IF(G255="",0,IF(ISNUMBER(B255),1,0))</f>
        <v>0</v>
      </c>
      <c r="O255" s="51" t="n">
        <f aca="false">IF(N255=1,YEAR(B255),0)</f>
        <v>0</v>
      </c>
      <c r="P255" s="51" t="n">
        <f aca="false">IF(N255=1,YEAR(B255)*100+MONTH(B255),0)</f>
        <v>0</v>
      </c>
      <c r="Q255" s="51" t="n">
        <f aca="false">IF(N255=1,IF(J255="No",1,0),0)</f>
        <v>0</v>
      </c>
    </row>
    <row r="256" customFormat="false" ht="15" hidden="false" customHeight="false" outlineLevel="0" collapsed="false">
      <c r="B256" s="52"/>
      <c r="C256" s="53"/>
      <c r="D256" s="53"/>
      <c r="E256" s="53"/>
      <c r="F256" s="53"/>
      <c r="G256" s="54"/>
      <c r="H256" s="55"/>
      <c r="I256" s="56" t="str">
        <f aca="false">IF(G256="","",G256*IF(H256="",1,H256))</f>
        <v/>
      </c>
      <c r="J256" s="57"/>
      <c r="K256" s="53"/>
      <c r="L256" s="58" t="str">
        <f aca="false">IF(G256="","",IF(ISNUMBER(B256),IF(E256="","⚠ ADD CATEGORY / AGREGA CATEGORÍA",IF(J256="No","⚠ SAVE RECEIPT / GUARDA RECIBO","✔ OK")),"⚠ ADD DATE / AGREGA FECHA"))</f>
        <v/>
      </c>
      <c r="N256" s="51" t="n">
        <f aca="false">IF(G256="",0,IF(ISNUMBER(B256),1,0))</f>
        <v>0</v>
      </c>
      <c r="O256" s="51" t="n">
        <f aca="false">IF(N256=1,YEAR(B256),0)</f>
        <v>0</v>
      </c>
      <c r="P256" s="51" t="n">
        <f aca="false">IF(N256=1,YEAR(B256)*100+MONTH(B256),0)</f>
        <v>0</v>
      </c>
      <c r="Q256" s="51" t="n">
        <f aca="false">IF(N256=1,IF(J256="No",1,0),0)</f>
        <v>0</v>
      </c>
    </row>
    <row r="257" customFormat="false" ht="15" hidden="false" customHeight="false" outlineLevel="0" collapsed="false">
      <c r="B257" s="52"/>
      <c r="C257" s="53"/>
      <c r="D257" s="53"/>
      <c r="E257" s="53"/>
      <c r="F257" s="53"/>
      <c r="G257" s="54"/>
      <c r="H257" s="55"/>
      <c r="I257" s="56" t="str">
        <f aca="false">IF(G257="","",G257*IF(H257="",1,H257))</f>
        <v/>
      </c>
      <c r="J257" s="57"/>
      <c r="K257" s="53"/>
      <c r="L257" s="58" t="str">
        <f aca="false">IF(G257="","",IF(ISNUMBER(B257),IF(E257="","⚠ ADD CATEGORY / AGREGA CATEGORÍA",IF(J257="No","⚠ SAVE RECEIPT / GUARDA RECIBO","✔ OK")),"⚠ ADD DATE / AGREGA FECHA"))</f>
        <v/>
      </c>
      <c r="N257" s="51" t="n">
        <f aca="false">IF(G257="",0,IF(ISNUMBER(B257),1,0))</f>
        <v>0</v>
      </c>
      <c r="O257" s="51" t="n">
        <f aca="false">IF(N257=1,YEAR(B257),0)</f>
        <v>0</v>
      </c>
      <c r="P257" s="51" t="n">
        <f aca="false">IF(N257=1,YEAR(B257)*100+MONTH(B257),0)</f>
        <v>0</v>
      </c>
      <c r="Q257" s="51" t="n">
        <f aca="false">IF(N257=1,IF(J257="No",1,0),0)</f>
        <v>0</v>
      </c>
    </row>
    <row r="258" customFormat="false" ht="15" hidden="false" customHeight="false" outlineLevel="0" collapsed="false">
      <c r="B258" s="52"/>
      <c r="C258" s="53"/>
      <c r="D258" s="53"/>
      <c r="E258" s="53"/>
      <c r="F258" s="53"/>
      <c r="G258" s="54"/>
      <c r="H258" s="55"/>
      <c r="I258" s="56" t="str">
        <f aca="false">IF(G258="","",G258*IF(H258="",1,H258))</f>
        <v/>
      </c>
      <c r="J258" s="57"/>
      <c r="K258" s="53"/>
      <c r="L258" s="58" t="str">
        <f aca="false">IF(G258="","",IF(ISNUMBER(B258),IF(E258="","⚠ ADD CATEGORY / AGREGA CATEGORÍA",IF(J258="No","⚠ SAVE RECEIPT / GUARDA RECIBO","✔ OK")),"⚠ ADD DATE / AGREGA FECHA"))</f>
        <v/>
      </c>
      <c r="N258" s="51" t="n">
        <f aca="false">IF(G258="",0,IF(ISNUMBER(B258),1,0))</f>
        <v>0</v>
      </c>
      <c r="O258" s="51" t="n">
        <f aca="false">IF(N258=1,YEAR(B258),0)</f>
        <v>0</v>
      </c>
      <c r="P258" s="51" t="n">
        <f aca="false">IF(N258=1,YEAR(B258)*100+MONTH(B258),0)</f>
        <v>0</v>
      </c>
      <c r="Q258" s="51" t="n">
        <f aca="false">IF(N258=1,IF(J258="No",1,0),0)</f>
        <v>0</v>
      </c>
    </row>
    <row r="259" customFormat="false" ht="15" hidden="false" customHeight="false" outlineLevel="0" collapsed="false">
      <c r="B259" s="52"/>
      <c r="C259" s="53"/>
      <c r="D259" s="53"/>
      <c r="E259" s="53"/>
      <c r="F259" s="53"/>
      <c r="G259" s="54"/>
      <c r="H259" s="55"/>
      <c r="I259" s="56" t="str">
        <f aca="false">IF(G259="","",G259*IF(H259="",1,H259))</f>
        <v/>
      </c>
      <c r="J259" s="57"/>
      <c r="K259" s="53"/>
      <c r="L259" s="58" t="str">
        <f aca="false">IF(G259="","",IF(ISNUMBER(B259),IF(E259="","⚠ ADD CATEGORY / AGREGA CATEGORÍA",IF(J259="No","⚠ SAVE RECEIPT / GUARDA RECIBO","✔ OK")),"⚠ ADD DATE / AGREGA FECHA"))</f>
        <v/>
      </c>
      <c r="N259" s="51" t="n">
        <f aca="false">IF(G259="",0,IF(ISNUMBER(B259),1,0))</f>
        <v>0</v>
      </c>
      <c r="O259" s="51" t="n">
        <f aca="false">IF(N259=1,YEAR(B259),0)</f>
        <v>0</v>
      </c>
      <c r="P259" s="51" t="n">
        <f aca="false">IF(N259=1,YEAR(B259)*100+MONTH(B259),0)</f>
        <v>0</v>
      </c>
      <c r="Q259" s="51" t="n">
        <f aca="false">IF(N259=1,IF(J259="No",1,0),0)</f>
        <v>0</v>
      </c>
    </row>
    <row r="260" customFormat="false" ht="15" hidden="false" customHeight="false" outlineLevel="0" collapsed="false">
      <c r="B260" s="52"/>
      <c r="C260" s="53"/>
      <c r="D260" s="53"/>
      <c r="E260" s="53"/>
      <c r="F260" s="53"/>
      <c r="G260" s="54"/>
      <c r="H260" s="55"/>
      <c r="I260" s="56" t="str">
        <f aca="false">IF(G260="","",G260*IF(H260="",1,H260))</f>
        <v/>
      </c>
      <c r="J260" s="57"/>
      <c r="K260" s="53"/>
      <c r="L260" s="58" t="str">
        <f aca="false">IF(G260="","",IF(ISNUMBER(B260),IF(E260="","⚠ ADD CATEGORY / AGREGA CATEGORÍA",IF(J260="No","⚠ SAVE RECEIPT / GUARDA RECIBO","✔ OK")),"⚠ ADD DATE / AGREGA FECHA"))</f>
        <v/>
      </c>
      <c r="N260" s="51" t="n">
        <f aca="false">IF(G260="",0,IF(ISNUMBER(B260),1,0))</f>
        <v>0</v>
      </c>
      <c r="O260" s="51" t="n">
        <f aca="false">IF(N260=1,YEAR(B260),0)</f>
        <v>0</v>
      </c>
      <c r="P260" s="51" t="n">
        <f aca="false">IF(N260=1,YEAR(B260)*100+MONTH(B260),0)</f>
        <v>0</v>
      </c>
      <c r="Q260" s="51" t="n">
        <f aca="false">IF(N260=1,IF(J260="No",1,0),0)</f>
        <v>0</v>
      </c>
    </row>
    <row r="261" customFormat="false" ht="15" hidden="false" customHeight="false" outlineLevel="0" collapsed="false">
      <c r="B261" s="52"/>
      <c r="C261" s="53"/>
      <c r="D261" s="53"/>
      <c r="E261" s="53"/>
      <c r="F261" s="53"/>
      <c r="G261" s="54"/>
      <c r="H261" s="55"/>
      <c r="I261" s="56" t="str">
        <f aca="false">IF(G261="","",G261*IF(H261="",1,H261))</f>
        <v/>
      </c>
      <c r="J261" s="57"/>
      <c r="K261" s="53"/>
      <c r="L261" s="58" t="str">
        <f aca="false">IF(G261="","",IF(ISNUMBER(B261),IF(E261="","⚠ ADD CATEGORY / AGREGA CATEGORÍA",IF(J261="No","⚠ SAVE RECEIPT / GUARDA RECIBO","✔ OK")),"⚠ ADD DATE / AGREGA FECHA"))</f>
        <v/>
      </c>
      <c r="N261" s="51" t="n">
        <f aca="false">IF(G261="",0,IF(ISNUMBER(B261),1,0))</f>
        <v>0</v>
      </c>
      <c r="O261" s="51" t="n">
        <f aca="false">IF(N261=1,YEAR(B261),0)</f>
        <v>0</v>
      </c>
      <c r="P261" s="51" t="n">
        <f aca="false">IF(N261=1,YEAR(B261)*100+MONTH(B261),0)</f>
        <v>0</v>
      </c>
      <c r="Q261" s="51" t="n">
        <f aca="false">IF(N261=1,IF(J261="No",1,0),0)</f>
        <v>0</v>
      </c>
    </row>
    <row r="262" customFormat="false" ht="15" hidden="false" customHeight="false" outlineLevel="0" collapsed="false">
      <c r="B262" s="52"/>
      <c r="C262" s="53"/>
      <c r="D262" s="53"/>
      <c r="E262" s="53"/>
      <c r="F262" s="53"/>
      <c r="G262" s="54"/>
      <c r="H262" s="55"/>
      <c r="I262" s="56" t="str">
        <f aca="false">IF(G262="","",G262*IF(H262="",1,H262))</f>
        <v/>
      </c>
      <c r="J262" s="57"/>
      <c r="K262" s="53"/>
      <c r="L262" s="58" t="str">
        <f aca="false">IF(G262="","",IF(ISNUMBER(B262),IF(E262="","⚠ ADD CATEGORY / AGREGA CATEGORÍA",IF(J262="No","⚠ SAVE RECEIPT / GUARDA RECIBO","✔ OK")),"⚠ ADD DATE / AGREGA FECHA"))</f>
        <v/>
      </c>
      <c r="N262" s="51" t="n">
        <f aca="false">IF(G262="",0,IF(ISNUMBER(B262),1,0))</f>
        <v>0</v>
      </c>
      <c r="O262" s="51" t="n">
        <f aca="false">IF(N262=1,YEAR(B262),0)</f>
        <v>0</v>
      </c>
      <c r="P262" s="51" t="n">
        <f aca="false">IF(N262=1,YEAR(B262)*100+MONTH(B262),0)</f>
        <v>0</v>
      </c>
      <c r="Q262" s="51" t="n">
        <f aca="false">IF(N262=1,IF(J262="No",1,0),0)</f>
        <v>0</v>
      </c>
    </row>
    <row r="263" customFormat="false" ht="15" hidden="false" customHeight="false" outlineLevel="0" collapsed="false">
      <c r="B263" s="52"/>
      <c r="C263" s="53"/>
      <c r="D263" s="53"/>
      <c r="E263" s="53"/>
      <c r="F263" s="53"/>
      <c r="G263" s="54"/>
      <c r="H263" s="55"/>
      <c r="I263" s="56" t="str">
        <f aca="false">IF(G263="","",G263*IF(H263="",1,H263))</f>
        <v/>
      </c>
      <c r="J263" s="57"/>
      <c r="K263" s="53"/>
      <c r="L263" s="58" t="str">
        <f aca="false">IF(G263="","",IF(ISNUMBER(B263),IF(E263="","⚠ ADD CATEGORY / AGREGA CATEGORÍA",IF(J263="No","⚠ SAVE RECEIPT / GUARDA RECIBO","✔ OK")),"⚠ ADD DATE / AGREGA FECHA"))</f>
        <v/>
      </c>
      <c r="N263" s="51" t="n">
        <f aca="false">IF(G263="",0,IF(ISNUMBER(B263),1,0))</f>
        <v>0</v>
      </c>
      <c r="O263" s="51" t="n">
        <f aca="false">IF(N263=1,YEAR(B263),0)</f>
        <v>0</v>
      </c>
      <c r="P263" s="51" t="n">
        <f aca="false">IF(N263=1,YEAR(B263)*100+MONTH(B263),0)</f>
        <v>0</v>
      </c>
      <c r="Q263" s="51" t="n">
        <f aca="false">IF(N263=1,IF(J263="No",1,0),0)</f>
        <v>0</v>
      </c>
    </row>
    <row r="264" customFormat="false" ht="15" hidden="false" customHeight="false" outlineLevel="0" collapsed="false">
      <c r="B264" s="52"/>
      <c r="C264" s="53"/>
      <c r="D264" s="53"/>
      <c r="E264" s="53"/>
      <c r="F264" s="53"/>
      <c r="G264" s="54"/>
      <c r="H264" s="55"/>
      <c r="I264" s="56" t="str">
        <f aca="false">IF(G264="","",G264*IF(H264="",1,H264))</f>
        <v/>
      </c>
      <c r="J264" s="57"/>
      <c r="K264" s="53"/>
      <c r="L264" s="58" t="str">
        <f aca="false">IF(G264="","",IF(ISNUMBER(B264),IF(E264="","⚠ ADD CATEGORY / AGREGA CATEGORÍA",IF(J264="No","⚠ SAVE RECEIPT / GUARDA RECIBO","✔ OK")),"⚠ ADD DATE / AGREGA FECHA"))</f>
        <v/>
      </c>
      <c r="N264" s="51" t="n">
        <f aca="false">IF(G264="",0,IF(ISNUMBER(B264),1,0))</f>
        <v>0</v>
      </c>
      <c r="O264" s="51" t="n">
        <f aca="false">IF(N264=1,YEAR(B264),0)</f>
        <v>0</v>
      </c>
      <c r="P264" s="51" t="n">
        <f aca="false">IF(N264=1,YEAR(B264)*100+MONTH(B264),0)</f>
        <v>0</v>
      </c>
      <c r="Q264" s="51" t="n">
        <f aca="false">IF(N264=1,IF(J264="No",1,0),0)</f>
        <v>0</v>
      </c>
    </row>
    <row r="265" customFormat="false" ht="15" hidden="false" customHeight="false" outlineLevel="0" collapsed="false">
      <c r="B265" s="52"/>
      <c r="C265" s="53"/>
      <c r="D265" s="53"/>
      <c r="E265" s="53"/>
      <c r="F265" s="53"/>
      <c r="G265" s="54"/>
      <c r="H265" s="55"/>
      <c r="I265" s="56" t="str">
        <f aca="false">IF(G265="","",G265*IF(H265="",1,H265))</f>
        <v/>
      </c>
      <c r="J265" s="57"/>
      <c r="K265" s="53"/>
      <c r="L265" s="58" t="str">
        <f aca="false">IF(G265="","",IF(ISNUMBER(B265),IF(E265="","⚠ ADD CATEGORY / AGREGA CATEGORÍA",IF(J265="No","⚠ SAVE RECEIPT / GUARDA RECIBO","✔ OK")),"⚠ ADD DATE / AGREGA FECHA"))</f>
        <v/>
      </c>
      <c r="N265" s="51" t="n">
        <f aca="false">IF(G265="",0,IF(ISNUMBER(B265),1,0))</f>
        <v>0</v>
      </c>
      <c r="O265" s="51" t="n">
        <f aca="false">IF(N265=1,YEAR(B265),0)</f>
        <v>0</v>
      </c>
      <c r="P265" s="51" t="n">
        <f aca="false">IF(N265=1,YEAR(B265)*100+MONTH(B265),0)</f>
        <v>0</v>
      </c>
      <c r="Q265" s="51" t="n">
        <f aca="false">IF(N265=1,IF(J265="No",1,0),0)</f>
        <v>0</v>
      </c>
    </row>
    <row r="266" customFormat="false" ht="15" hidden="false" customHeight="false" outlineLevel="0" collapsed="false">
      <c r="B266" s="52"/>
      <c r="C266" s="53"/>
      <c r="D266" s="53"/>
      <c r="E266" s="53"/>
      <c r="F266" s="53"/>
      <c r="G266" s="54"/>
      <c r="H266" s="55"/>
      <c r="I266" s="56" t="str">
        <f aca="false">IF(G266="","",G266*IF(H266="",1,H266))</f>
        <v/>
      </c>
      <c r="J266" s="57"/>
      <c r="K266" s="53"/>
      <c r="L266" s="58" t="str">
        <f aca="false">IF(G266="","",IF(ISNUMBER(B266),IF(E266="","⚠ ADD CATEGORY / AGREGA CATEGORÍA",IF(J266="No","⚠ SAVE RECEIPT / GUARDA RECIBO","✔ OK")),"⚠ ADD DATE / AGREGA FECHA"))</f>
        <v/>
      </c>
      <c r="N266" s="51" t="n">
        <f aca="false">IF(G266="",0,IF(ISNUMBER(B266),1,0))</f>
        <v>0</v>
      </c>
      <c r="O266" s="51" t="n">
        <f aca="false">IF(N266=1,YEAR(B266),0)</f>
        <v>0</v>
      </c>
      <c r="P266" s="51" t="n">
        <f aca="false">IF(N266=1,YEAR(B266)*100+MONTH(B266),0)</f>
        <v>0</v>
      </c>
      <c r="Q266" s="51" t="n">
        <f aca="false">IF(N266=1,IF(J266="No",1,0),0)</f>
        <v>0</v>
      </c>
    </row>
    <row r="267" customFormat="false" ht="15" hidden="false" customHeight="false" outlineLevel="0" collapsed="false">
      <c r="B267" s="52"/>
      <c r="C267" s="53"/>
      <c r="D267" s="53"/>
      <c r="E267" s="53"/>
      <c r="F267" s="53"/>
      <c r="G267" s="54"/>
      <c r="H267" s="55"/>
      <c r="I267" s="56" t="str">
        <f aca="false">IF(G267="","",G267*IF(H267="",1,H267))</f>
        <v/>
      </c>
      <c r="J267" s="57"/>
      <c r="K267" s="53"/>
      <c r="L267" s="58" t="str">
        <f aca="false">IF(G267="","",IF(ISNUMBER(B267),IF(E267="","⚠ ADD CATEGORY / AGREGA CATEGORÍA",IF(J267="No","⚠ SAVE RECEIPT / GUARDA RECIBO","✔ OK")),"⚠ ADD DATE / AGREGA FECHA"))</f>
        <v/>
      </c>
      <c r="N267" s="51" t="n">
        <f aca="false">IF(G267="",0,IF(ISNUMBER(B267),1,0))</f>
        <v>0</v>
      </c>
      <c r="O267" s="51" t="n">
        <f aca="false">IF(N267=1,YEAR(B267),0)</f>
        <v>0</v>
      </c>
      <c r="P267" s="51" t="n">
        <f aca="false">IF(N267=1,YEAR(B267)*100+MONTH(B267),0)</f>
        <v>0</v>
      </c>
      <c r="Q267" s="51" t="n">
        <f aca="false">IF(N267=1,IF(J267="No",1,0),0)</f>
        <v>0</v>
      </c>
    </row>
    <row r="268" customFormat="false" ht="15" hidden="false" customHeight="false" outlineLevel="0" collapsed="false">
      <c r="B268" s="52"/>
      <c r="C268" s="53"/>
      <c r="D268" s="53"/>
      <c r="E268" s="53"/>
      <c r="F268" s="53"/>
      <c r="G268" s="54"/>
      <c r="H268" s="55"/>
      <c r="I268" s="56" t="str">
        <f aca="false">IF(G268="","",G268*IF(H268="",1,H268))</f>
        <v/>
      </c>
      <c r="J268" s="57"/>
      <c r="K268" s="53"/>
      <c r="L268" s="58" t="str">
        <f aca="false">IF(G268="","",IF(ISNUMBER(B268),IF(E268="","⚠ ADD CATEGORY / AGREGA CATEGORÍA",IF(J268="No","⚠ SAVE RECEIPT / GUARDA RECIBO","✔ OK")),"⚠ ADD DATE / AGREGA FECHA"))</f>
        <v/>
      </c>
      <c r="N268" s="51" t="n">
        <f aca="false">IF(G268="",0,IF(ISNUMBER(B268),1,0))</f>
        <v>0</v>
      </c>
      <c r="O268" s="51" t="n">
        <f aca="false">IF(N268=1,YEAR(B268),0)</f>
        <v>0</v>
      </c>
      <c r="P268" s="51" t="n">
        <f aca="false">IF(N268=1,YEAR(B268)*100+MONTH(B268),0)</f>
        <v>0</v>
      </c>
      <c r="Q268" s="51" t="n">
        <f aca="false">IF(N268=1,IF(J268="No",1,0),0)</f>
        <v>0</v>
      </c>
    </row>
    <row r="269" customFormat="false" ht="15" hidden="false" customHeight="false" outlineLevel="0" collapsed="false">
      <c r="B269" s="52"/>
      <c r="C269" s="53"/>
      <c r="D269" s="53"/>
      <c r="E269" s="53"/>
      <c r="F269" s="53"/>
      <c r="G269" s="54"/>
      <c r="H269" s="55"/>
      <c r="I269" s="56" t="str">
        <f aca="false">IF(G269="","",G269*IF(H269="",1,H269))</f>
        <v/>
      </c>
      <c r="J269" s="57"/>
      <c r="K269" s="53"/>
      <c r="L269" s="58" t="str">
        <f aca="false">IF(G269="","",IF(ISNUMBER(B269),IF(E269="","⚠ ADD CATEGORY / AGREGA CATEGORÍA",IF(J269="No","⚠ SAVE RECEIPT / GUARDA RECIBO","✔ OK")),"⚠ ADD DATE / AGREGA FECHA"))</f>
        <v/>
      </c>
      <c r="N269" s="51" t="n">
        <f aca="false">IF(G269="",0,IF(ISNUMBER(B269),1,0))</f>
        <v>0</v>
      </c>
      <c r="O269" s="51" t="n">
        <f aca="false">IF(N269=1,YEAR(B269),0)</f>
        <v>0</v>
      </c>
      <c r="P269" s="51" t="n">
        <f aca="false">IF(N269=1,YEAR(B269)*100+MONTH(B269),0)</f>
        <v>0</v>
      </c>
      <c r="Q269" s="51" t="n">
        <f aca="false">IF(N269=1,IF(J269="No",1,0),0)</f>
        <v>0</v>
      </c>
    </row>
    <row r="270" customFormat="false" ht="15" hidden="false" customHeight="false" outlineLevel="0" collapsed="false">
      <c r="B270" s="52"/>
      <c r="C270" s="53"/>
      <c r="D270" s="53"/>
      <c r="E270" s="53"/>
      <c r="F270" s="53"/>
      <c r="G270" s="54"/>
      <c r="H270" s="55"/>
      <c r="I270" s="56" t="str">
        <f aca="false">IF(G270="","",G270*IF(H270="",1,H270))</f>
        <v/>
      </c>
      <c r="J270" s="57"/>
      <c r="K270" s="53"/>
      <c r="L270" s="58" t="str">
        <f aca="false">IF(G270="","",IF(ISNUMBER(B270),IF(E270="","⚠ ADD CATEGORY / AGREGA CATEGORÍA",IF(J270="No","⚠ SAVE RECEIPT / GUARDA RECIBO","✔ OK")),"⚠ ADD DATE / AGREGA FECHA"))</f>
        <v/>
      </c>
      <c r="N270" s="51" t="n">
        <f aca="false">IF(G270="",0,IF(ISNUMBER(B270),1,0))</f>
        <v>0</v>
      </c>
      <c r="O270" s="51" t="n">
        <f aca="false">IF(N270=1,YEAR(B270),0)</f>
        <v>0</v>
      </c>
      <c r="P270" s="51" t="n">
        <f aca="false">IF(N270=1,YEAR(B270)*100+MONTH(B270),0)</f>
        <v>0</v>
      </c>
      <c r="Q270" s="51" t="n">
        <f aca="false">IF(N270=1,IF(J270="No",1,0),0)</f>
        <v>0</v>
      </c>
    </row>
    <row r="271" customFormat="false" ht="15" hidden="false" customHeight="false" outlineLevel="0" collapsed="false">
      <c r="B271" s="52"/>
      <c r="C271" s="53"/>
      <c r="D271" s="53"/>
      <c r="E271" s="53"/>
      <c r="F271" s="53"/>
      <c r="G271" s="54"/>
      <c r="H271" s="55"/>
      <c r="I271" s="56" t="str">
        <f aca="false">IF(G271="","",G271*IF(H271="",1,H271))</f>
        <v/>
      </c>
      <c r="J271" s="57"/>
      <c r="K271" s="53"/>
      <c r="L271" s="58" t="str">
        <f aca="false">IF(G271="","",IF(ISNUMBER(B271),IF(E271="","⚠ ADD CATEGORY / AGREGA CATEGORÍA",IF(J271="No","⚠ SAVE RECEIPT / GUARDA RECIBO","✔ OK")),"⚠ ADD DATE / AGREGA FECHA"))</f>
        <v/>
      </c>
      <c r="N271" s="51" t="n">
        <f aca="false">IF(G271="",0,IF(ISNUMBER(B271),1,0))</f>
        <v>0</v>
      </c>
      <c r="O271" s="51" t="n">
        <f aca="false">IF(N271=1,YEAR(B271),0)</f>
        <v>0</v>
      </c>
      <c r="P271" s="51" t="n">
        <f aca="false">IF(N271=1,YEAR(B271)*100+MONTH(B271),0)</f>
        <v>0</v>
      </c>
      <c r="Q271" s="51" t="n">
        <f aca="false">IF(N271=1,IF(J271="No",1,0),0)</f>
        <v>0</v>
      </c>
    </row>
    <row r="272" customFormat="false" ht="15" hidden="false" customHeight="false" outlineLevel="0" collapsed="false">
      <c r="B272" s="52"/>
      <c r="C272" s="53"/>
      <c r="D272" s="53"/>
      <c r="E272" s="53"/>
      <c r="F272" s="53"/>
      <c r="G272" s="54"/>
      <c r="H272" s="55"/>
      <c r="I272" s="56" t="str">
        <f aca="false">IF(G272="","",G272*IF(H272="",1,H272))</f>
        <v/>
      </c>
      <c r="J272" s="57"/>
      <c r="K272" s="53"/>
      <c r="L272" s="58" t="str">
        <f aca="false">IF(G272="","",IF(ISNUMBER(B272),IF(E272="","⚠ ADD CATEGORY / AGREGA CATEGORÍA",IF(J272="No","⚠ SAVE RECEIPT / GUARDA RECIBO","✔ OK")),"⚠ ADD DATE / AGREGA FECHA"))</f>
        <v/>
      </c>
      <c r="N272" s="51" t="n">
        <f aca="false">IF(G272="",0,IF(ISNUMBER(B272),1,0))</f>
        <v>0</v>
      </c>
      <c r="O272" s="51" t="n">
        <f aca="false">IF(N272=1,YEAR(B272),0)</f>
        <v>0</v>
      </c>
      <c r="P272" s="51" t="n">
        <f aca="false">IF(N272=1,YEAR(B272)*100+MONTH(B272),0)</f>
        <v>0</v>
      </c>
      <c r="Q272" s="51" t="n">
        <f aca="false">IF(N272=1,IF(J272="No",1,0),0)</f>
        <v>0</v>
      </c>
    </row>
    <row r="273" customFormat="false" ht="15" hidden="false" customHeight="false" outlineLevel="0" collapsed="false">
      <c r="B273" s="52"/>
      <c r="C273" s="53"/>
      <c r="D273" s="53"/>
      <c r="E273" s="53"/>
      <c r="F273" s="53"/>
      <c r="G273" s="54"/>
      <c r="H273" s="55"/>
      <c r="I273" s="56" t="str">
        <f aca="false">IF(G273="","",G273*IF(H273="",1,H273))</f>
        <v/>
      </c>
      <c r="J273" s="57"/>
      <c r="K273" s="53"/>
      <c r="L273" s="58" t="str">
        <f aca="false">IF(G273="","",IF(ISNUMBER(B273),IF(E273="","⚠ ADD CATEGORY / AGREGA CATEGORÍA",IF(J273="No","⚠ SAVE RECEIPT / GUARDA RECIBO","✔ OK")),"⚠ ADD DATE / AGREGA FECHA"))</f>
        <v/>
      </c>
      <c r="N273" s="51" t="n">
        <f aca="false">IF(G273="",0,IF(ISNUMBER(B273),1,0))</f>
        <v>0</v>
      </c>
      <c r="O273" s="51" t="n">
        <f aca="false">IF(N273=1,YEAR(B273),0)</f>
        <v>0</v>
      </c>
      <c r="P273" s="51" t="n">
        <f aca="false">IF(N273=1,YEAR(B273)*100+MONTH(B273),0)</f>
        <v>0</v>
      </c>
      <c r="Q273" s="51" t="n">
        <f aca="false">IF(N273=1,IF(J273="No",1,0),0)</f>
        <v>0</v>
      </c>
    </row>
    <row r="274" customFormat="false" ht="15" hidden="false" customHeight="false" outlineLevel="0" collapsed="false">
      <c r="B274" s="52"/>
      <c r="C274" s="53"/>
      <c r="D274" s="53"/>
      <c r="E274" s="53"/>
      <c r="F274" s="53"/>
      <c r="G274" s="54"/>
      <c r="H274" s="55"/>
      <c r="I274" s="56" t="str">
        <f aca="false">IF(G274="","",G274*IF(H274="",1,H274))</f>
        <v/>
      </c>
      <c r="J274" s="57"/>
      <c r="K274" s="53"/>
      <c r="L274" s="58" t="str">
        <f aca="false">IF(G274="","",IF(ISNUMBER(B274),IF(E274="","⚠ ADD CATEGORY / AGREGA CATEGORÍA",IF(J274="No","⚠ SAVE RECEIPT / GUARDA RECIBO","✔ OK")),"⚠ ADD DATE / AGREGA FECHA"))</f>
        <v/>
      </c>
      <c r="N274" s="51" t="n">
        <f aca="false">IF(G274="",0,IF(ISNUMBER(B274),1,0))</f>
        <v>0</v>
      </c>
      <c r="O274" s="51" t="n">
        <f aca="false">IF(N274=1,YEAR(B274),0)</f>
        <v>0</v>
      </c>
      <c r="P274" s="51" t="n">
        <f aca="false">IF(N274=1,YEAR(B274)*100+MONTH(B274),0)</f>
        <v>0</v>
      </c>
      <c r="Q274" s="51" t="n">
        <f aca="false">IF(N274=1,IF(J274="No",1,0),0)</f>
        <v>0</v>
      </c>
    </row>
    <row r="275" customFormat="false" ht="15" hidden="false" customHeight="false" outlineLevel="0" collapsed="false">
      <c r="B275" s="52"/>
      <c r="C275" s="53"/>
      <c r="D275" s="53"/>
      <c r="E275" s="53"/>
      <c r="F275" s="53"/>
      <c r="G275" s="54"/>
      <c r="H275" s="55"/>
      <c r="I275" s="56" t="str">
        <f aca="false">IF(G275="","",G275*IF(H275="",1,H275))</f>
        <v/>
      </c>
      <c r="J275" s="57"/>
      <c r="K275" s="53"/>
      <c r="L275" s="58" t="str">
        <f aca="false">IF(G275="","",IF(ISNUMBER(B275),IF(E275="","⚠ ADD CATEGORY / AGREGA CATEGORÍA",IF(J275="No","⚠ SAVE RECEIPT / GUARDA RECIBO","✔ OK")),"⚠ ADD DATE / AGREGA FECHA"))</f>
        <v/>
      </c>
      <c r="N275" s="51" t="n">
        <f aca="false">IF(G275="",0,IF(ISNUMBER(B275),1,0))</f>
        <v>0</v>
      </c>
      <c r="O275" s="51" t="n">
        <f aca="false">IF(N275=1,YEAR(B275),0)</f>
        <v>0</v>
      </c>
      <c r="P275" s="51" t="n">
        <f aca="false">IF(N275=1,YEAR(B275)*100+MONTH(B275),0)</f>
        <v>0</v>
      </c>
      <c r="Q275" s="51" t="n">
        <f aca="false">IF(N275=1,IF(J275="No",1,0),0)</f>
        <v>0</v>
      </c>
    </row>
    <row r="276" customFormat="false" ht="15" hidden="false" customHeight="false" outlineLevel="0" collapsed="false">
      <c r="B276" s="52"/>
      <c r="C276" s="53"/>
      <c r="D276" s="53"/>
      <c r="E276" s="53"/>
      <c r="F276" s="53"/>
      <c r="G276" s="54"/>
      <c r="H276" s="55"/>
      <c r="I276" s="56" t="str">
        <f aca="false">IF(G276="","",G276*IF(H276="",1,H276))</f>
        <v/>
      </c>
      <c r="J276" s="57"/>
      <c r="K276" s="53"/>
      <c r="L276" s="58" t="str">
        <f aca="false">IF(G276="","",IF(ISNUMBER(B276),IF(E276="","⚠ ADD CATEGORY / AGREGA CATEGORÍA",IF(J276="No","⚠ SAVE RECEIPT / GUARDA RECIBO","✔ OK")),"⚠ ADD DATE / AGREGA FECHA"))</f>
        <v/>
      </c>
      <c r="N276" s="51" t="n">
        <f aca="false">IF(G276="",0,IF(ISNUMBER(B276),1,0))</f>
        <v>0</v>
      </c>
      <c r="O276" s="51" t="n">
        <f aca="false">IF(N276=1,YEAR(B276),0)</f>
        <v>0</v>
      </c>
      <c r="P276" s="51" t="n">
        <f aca="false">IF(N276=1,YEAR(B276)*100+MONTH(B276),0)</f>
        <v>0</v>
      </c>
      <c r="Q276" s="51" t="n">
        <f aca="false">IF(N276=1,IF(J276="No",1,0),0)</f>
        <v>0</v>
      </c>
    </row>
    <row r="277" customFormat="false" ht="15" hidden="false" customHeight="false" outlineLevel="0" collapsed="false">
      <c r="B277" s="52"/>
      <c r="C277" s="53"/>
      <c r="D277" s="53"/>
      <c r="E277" s="53"/>
      <c r="F277" s="53"/>
      <c r="G277" s="54"/>
      <c r="H277" s="55"/>
      <c r="I277" s="56" t="str">
        <f aca="false">IF(G277="","",G277*IF(H277="",1,H277))</f>
        <v/>
      </c>
      <c r="J277" s="57"/>
      <c r="K277" s="53"/>
      <c r="L277" s="58" t="str">
        <f aca="false">IF(G277="","",IF(ISNUMBER(B277),IF(E277="","⚠ ADD CATEGORY / AGREGA CATEGORÍA",IF(J277="No","⚠ SAVE RECEIPT / GUARDA RECIBO","✔ OK")),"⚠ ADD DATE / AGREGA FECHA"))</f>
        <v/>
      </c>
      <c r="N277" s="51" t="n">
        <f aca="false">IF(G277="",0,IF(ISNUMBER(B277),1,0))</f>
        <v>0</v>
      </c>
      <c r="O277" s="51" t="n">
        <f aca="false">IF(N277=1,YEAR(B277),0)</f>
        <v>0</v>
      </c>
      <c r="P277" s="51" t="n">
        <f aca="false">IF(N277=1,YEAR(B277)*100+MONTH(B277),0)</f>
        <v>0</v>
      </c>
      <c r="Q277" s="51" t="n">
        <f aca="false">IF(N277=1,IF(J277="No",1,0),0)</f>
        <v>0</v>
      </c>
    </row>
    <row r="278" customFormat="false" ht="15" hidden="false" customHeight="false" outlineLevel="0" collapsed="false">
      <c r="B278" s="52"/>
      <c r="C278" s="53"/>
      <c r="D278" s="53"/>
      <c r="E278" s="53"/>
      <c r="F278" s="53"/>
      <c r="G278" s="54"/>
      <c r="H278" s="55"/>
      <c r="I278" s="56" t="str">
        <f aca="false">IF(G278="","",G278*IF(H278="",1,H278))</f>
        <v/>
      </c>
      <c r="J278" s="57"/>
      <c r="K278" s="53"/>
      <c r="L278" s="58" t="str">
        <f aca="false">IF(G278="","",IF(ISNUMBER(B278),IF(E278="","⚠ ADD CATEGORY / AGREGA CATEGORÍA",IF(J278="No","⚠ SAVE RECEIPT / GUARDA RECIBO","✔ OK")),"⚠ ADD DATE / AGREGA FECHA"))</f>
        <v/>
      </c>
      <c r="N278" s="51" t="n">
        <f aca="false">IF(G278="",0,IF(ISNUMBER(B278),1,0))</f>
        <v>0</v>
      </c>
      <c r="O278" s="51" t="n">
        <f aca="false">IF(N278=1,YEAR(B278),0)</f>
        <v>0</v>
      </c>
      <c r="P278" s="51" t="n">
        <f aca="false">IF(N278=1,YEAR(B278)*100+MONTH(B278),0)</f>
        <v>0</v>
      </c>
      <c r="Q278" s="51" t="n">
        <f aca="false">IF(N278=1,IF(J278="No",1,0),0)</f>
        <v>0</v>
      </c>
    </row>
    <row r="279" customFormat="false" ht="15" hidden="false" customHeight="false" outlineLevel="0" collapsed="false">
      <c r="B279" s="52"/>
      <c r="C279" s="53"/>
      <c r="D279" s="53"/>
      <c r="E279" s="53"/>
      <c r="F279" s="53"/>
      <c r="G279" s="54"/>
      <c r="H279" s="55"/>
      <c r="I279" s="56" t="str">
        <f aca="false">IF(G279="","",G279*IF(H279="",1,H279))</f>
        <v/>
      </c>
      <c r="J279" s="57"/>
      <c r="K279" s="53"/>
      <c r="L279" s="58" t="str">
        <f aca="false">IF(G279="","",IF(ISNUMBER(B279),IF(E279="","⚠ ADD CATEGORY / AGREGA CATEGORÍA",IF(J279="No","⚠ SAVE RECEIPT / GUARDA RECIBO","✔ OK")),"⚠ ADD DATE / AGREGA FECHA"))</f>
        <v/>
      </c>
      <c r="N279" s="51" t="n">
        <f aca="false">IF(G279="",0,IF(ISNUMBER(B279),1,0))</f>
        <v>0</v>
      </c>
      <c r="O279" s="51" t="n">
        <f aca="false">IF(N279=1,YEAR(B279),0)</f>
        <v>0</v>
      </c>
      <c r="P279" s="51" t="n">
        <f aca="false">IF(N279=1,YEAR(B279)*100+MONTH(B279),0)</f>
        <v>0</v>
      </c>
      <c r="Q279" s="51" t="n">
        <f aca="false">IF(N279=1,IF(J279="No",1,0),0)</f>
        <v>0</v>
      </c>
    </row>
    <row r="280" customFormat="false" ht="15" hidden="false" customHeight="false" outlineLevel="0" collapsed="false">
      <c r="B280" s="52"/>
      <c r="C280" s="53"/>
      <c r="D280" s="53"/>
      <c r="E280" s="53"/>
      <c r="F280" s="53"/>
      <c r="G280" s="54"/>
      <c r="H280" s="55"/>
      <c r="I280" s="56" t="str">
        <f aca="false">IF(G280="","",G280*IF(H280="",1,H280))</f>
        <v/>
      </c>
      <c r="J280" s="57"/>
      <c r="K280" s="53"/>
      <c r="L280" s="58" t="str">
        <f aca="false">IF(G280="","",IF(ISNUMBER(B280),IF(E280="","⚠ ADD CATEGORY / AGREGA CATEGORÍA",IF(J280="No","⚠ SAVE RECEIPT / GUARDA RECIBO","✔ OK")),"⚠ ADD DATE / AGREGA FECHA"))</f>
        <v/>
      </c>
      <c r="N280" s="51" t="n">
        <f aca="false">IF(G280="",0,IF(ISNUMBER(B280),1,0))</f>
        <v>0</v>
      </c>
      <c r="O280" s="51" t="n">
        <f aca="false">IF(N280=1,YEAR(B280),0)</f>
        <v>0</v>
      </c>
      <c r="P280" s="51" t="n">
        <f aca="false">IF(N280=1,YEAR(B280)*100+MONTH(B280),0)</f>
        <v>0</v>
      </c>
      <c r="Q280" s="51" t="n">
        <f aca="false">IF(N280=1,IF(J280="No",1,0),0)</f>
        <v>0</v>
      </c>
    </row>
    <row r="281" customFormat="false" ht="15" hidden="false" customHeight="false" outlineLevel="0" collapsed="false">
      <c r="B281" s="52"/>
      <c r="C281" s="53"/>
      <c r="D281" s="53"/>
      <c r="E281" s="53"/>
      <c r="F281" s="53"/>
      <c r="G281" s="54"/>
      <c r="H281" s="55"/>
      <c r="I281" s="56" t="str">
        <f aca="false">IF(G281="","",G281*IF(H281="",1,H281))</f>
        <v/>
      </c>
      <c r="J281" s="57"/>
      <c r="K281" s="53"/>
      <c r="L281" s="58" t="str">
        <f aca="false">IF(G281="","",IF(ISNUMBER(B281),IF(E281="","⚠ ADD CATEGORY / AGREGA CATEGORÍA",IF(J281="No","⚠ SAVE RECEIPT / GUARDA RECIBO","✔ OK")),"⚠ ADD DATE / AGREGA FECHA"))</f>
        <v/>
      </c>
      <c r="N281" s="51" t="n">
        <f aca="false">IF(G281="",0,IF(ISNUMBER(B281),1,0))</f>
        <v>0</v>
      </c>
      <c r="O281" s="51" t="n">
        <f aca="false">IF(N281=1,YEAR(B281),0)</f>
        <v>0</v>
      </c>
      <c r="P281" s="51" t="n">
        <f aca="false">IF(N281=1,YEAR(B281)*100+MONTH(B281),0)</f>
        <v>0</v>
      </c>
      <c r="Q281" s="51" t="n">
        <f aca="false">IF(N281=1,IF(J281="No",1,0),0)</f>
        <v>0</v>
      </c>
    </row>
    <row r="282" customFormat="false" ht="15" hidden="false" customHeight="false" outlineLevel="0" collapsed="false">
      <c r="B282" s="52"/>
      <c r="C282" s="53"/>
      <c r="D282" s="53"/>
      <c r="E282" s="53"/>
      <c r="F282" s="53"/>
      <c r="G282" s="54"/>
      <c r="H282" s="55"/>
      <c r="I282" s="56" t="str">
        <f aca="false">IF(G282="","",G282*IF(H282="",1,H282))</f>
        <v/>
      </c>
      <c r="J282" s="57"/>
      <c r="K282" s="53"/>
      <c r="L282" s="58" t="str">
        <f aca="false">IF(G282="","",IF(ISNUMBER(B282),IF(E282="","⚠ ADD CATEGORY / AGREGA CATEGORÍA",IF(J282="No","⚠ SAVE RECEIPT / GUARDA RECIBO","✔ OK")),"⚠ ADD DATE / AGREGA FECHA"))</f>
        <v/>
      </c>
      <c r="N282" s="51" t="n">
        <f aca="false">IF(G282="",0,IF(ISNUMBER(B282),1,0))</f>
        <v>0</v>
      </c>
      <c r="O282" s="51" t="n">
        <f aca="false">IF(N282=1,YEAR(B282),0)</f>
        <v>0</v>
      </c>
      <c r="P282" s="51" t="n">
        <f aca="false">IF(N282=1,YEAR(B282)*100+MONTH(B282),0)</f>
        <v>0</v>
      </c>
      <c r="Q282" s="51" t="n">
        <f aca="false">IF(N282=1,IF(J282="No",1,0),0)</f>
        <v>0</v>
      </c>
    </row>
    <row r="283" customFormat="false" ht="15" hidden="false" customHeight="false" outlineLevel="0" collapsed="false">
      <c r="B283" s="52"/>
      <c r="C283" s="53"/>
      <c r="D283" s="53"/>
      <c r="E283" s="53"/>
      <c r="F283" s="53"/>
      <c r="G283" s="54"/>
      <c r="H283" s="55"/>
      <c r="I283" s="56" t="str">
        <f aca="false">IF(G283="","",G283*IF(H283="",1,H283))</f>
        <v/>
      </c>
      <c r="J283" s="57"/>
      <c r="K283" s="53"/>
      <c r="L283" s="58" t="str">
        <f aca="false">IF(G283="","",IF(ISNUMBER(B283),IF(E283="","⚠ ADD CATEGORY / AGREGA CATEGORÍA",IF(J283="No","⚠ SAVE RECEIPT / GUARDA RECIBO","✔ OK")),"⚠ ADD DATE / AGREGA FECHA"))</f>
        <v/>
      </c>
      <c r="N283" s="51" t="n">
        <f aca="false">IF(G283="",0,IF(ISNUMBER(B283),1,0))</f>
        <v>0</v>
      </c>
      <c r="O283" s="51" t="n">
        <f aca="false">IF(N283=1,YEAR(B283),0)</f>
        <v>0</v>
      </c>
      <c r="P283" s="51" t="n">
        <f aca="false">IF(N283=1,YEAR(B283)*100+MONTH(B283),0)</f>
        <v>0</v>
      </c>
      <c r="Q283" s="51" t="n">
        <f aca="false">IF(N283=1,IF(J283="No",1,0),0)</f>
        <v>0</v>
      </c>
    </row>
    <row r="284" customFormat="false" ht="15" hidden="false" customHeight="false" outlineLevel="0" collapsed="false">
      <c r="B284" s="52"/>
      <c r="C284" s="53"/>
      <c r="D284" s="53"/>
      <c r="E284" s="53"/>
      <c r="F284" s="53"/>
      <c r="G284" s="54"/>
      <c r="H284" s="55"/>
      <c r="I284" s="56" t="str">
        <f aca="false">IF(G284="","",G284*IF(H284="",1,H284))</f>
        <v/>
      </c>
      <c r="J284" s="57"/>
      <c r="K284" s="53"/>
      <c r="L284" s="58" t="str">
        <f aca="false">IF(G284="","",IF(ISNUMBER(B284),IF(E284="","⚠ ADD CATEGORY / AGREGA CATEGORÍA",IF(J284="No","⚠ SAVE RECEIPT / GUARDA RECIBO","✔ OK")),"⚠ ADD DATE / AGREGA FECHA"))</f>
        <v/>
      </c>
      <c r="N284" s="51" t="n">
        <f aca="false">IF(G284="",0,IF(ISNUMBER(B284),1,0))</f>
        <v>0</v>
      </c>
      <c r="O284" s="51" t="n">
        <f aca="false">IF(N284=1,YEAR(B284),0)</f>
        <v>0</v>
      </c>
      <c r="P284" s="51" t="n">
        <f aca="false">IF(N284=1,YEAR(B284)*100+MONTH(B284),0)</f>
        <v>0</v>
      </c>
      <c r="Q284" s="51" t="n">
        <f aca="false">IF(N284=1,IF(J284="No",1,0),0)</f>
        <v>0</v>
      </c>
    </row>
    <row r="285" customFormat="false" ht="15" hidden="false" customHeight="false" outlineLevel="0" collapsed="false">
      <c r="B285" s="52"/>
      <c r="C285" s="53"/>
      <c r="D285" s="53"/>
      <c r="E285" s="53"/>
      <c r="F285" s="53"/>
      <c r="G285" s="54"/>
      <c r="H285" s="55"/>
      <c r="I285" s="56" t="str">
        <f aca="false">IF(G285="","",G285*IF(H285="",1,H285))</f>
        <v/>
      </c>
      <c r="J285" s="57"/>
      <c r="K285" s="53"/>
      <c r="L285" s="58" t="str">
        <f aca="false">IF(G285="","",IF(ISNUMBER(B285),IF(E285="","⚠ ADD CATEGORY / AGREGA CATEGORÍA",IF(J285="No","⚠ SAVE RECEIPT / GUARDA RECIBO","✔ OK")),"⚠ ADD DATE / AGREGA FECHA"))</f>
        <v/>
      </c>
      <c r="N285" s="51" t="n">
        <f aca="false">IF(G285="",0,IF(ISNUMBER(B285),1,0))</f>
        <v>0</v>
      </c>
      <c r="O285" s="51" t="n">
        <f aca="false">IF(N285=1,YEAR(B285),0)</f>
        <v>0</v>
      </c>
      <c r="P285" s="51" t="n">
        <f aca="false">IF(N285=1,YEAR(B285)*100+MONTH(B285),0)</f>
        <v>0</v>
      </c>
      <c r="Q285" s="51" t="n">
        <f aca="false">IF(N285=1,IF(J285="No",1,0),0)</f>
        <v>0</v>
      </c>
    </row>
    <row r="286" customFormat="false" ht="15" hidden="false" customHeight="false" outlineLevel="0" collapsed="false">
      <c r="B286" s="52"/>
      <c r="C286" s="53"/>
      <c r="D286" s="53"/>
      <c r="E286" s="53"/>
      <c r="F286" s="53"/>
      <c r="G286" s="54"/>
      <c r="H286" s="55"/>
      <c r="I286" s="56" t="str">
        <f aca="false">IF(G286="","",G286*IF(H286="",1,H286))</f>
        <v/>
      </c>
      <c r="J286" s="57"/>
      <c r="K286" s="53"/>
      <c r="L286" s="58" t="str">
        <f aca="false">IF(G286="","",IF(ISNUMBER(B286),IF(E286="","⚠ ADD CATEGORY / AGREGA CATEGORÍA",IF(J286="No","⚠ SAVE RECEIPT / GUARDA RECIBO","✔ OK")),"⚠ ADD DATE / AGREGA FECHA"))</f>
        <v/>
      </c>
      <c r="N286" s="51" t="n">
        <f aca="false">IF(G286="",0,IF(ISNUMBER(B286),1,0))</f>
        <v>0</v>
      </c>
      <c r="O286" s="51" t="n">
        <f aca="false">IF(N286=1,YEAR(B286),0)</f>
        <v>0</v>
      </c>
      <c r="P286" s="51" t="n">
        <f aca="false">IF(N286=1,YEAR(B286)*100+MONTH(B286),0)</f>
        <v>0</v>
      </c>
      <c r="Q286" s="51" t="n">
        <f aca="false">IF(N286=1,IF(J286="No",1,0),0)</f>
        <v>0</v>
      </c>
    </row>
    <row r="287" customFormat="false" ht="15" hidden="false" customHeight="false" outlineLevel="0" collapsed="false">
      <c r="B287" s="52"/>
      <c r="C287" s="53"/>
      <c r="D287" s="53"/>
      <c r="E287" s="53"/>
      <c r="F287" s="53"/>
      <c r="G287" s="54"/>
      <c r="H287" s="55"/>
      <c r="I287" s="56" t="str">
        <f aca="false">IF(G287="","",G287*IF(H287="",1,H287))</f>
        <v/>
      </c>
      <c r="J287" s="57"/>
      <c r="K287" s="53"/>
      <c r="L287" s="58" t="str">
        <f aca="false">IF(G287="","",IF(ISNUMBER(B287),IF(E287="","⚠ ADD CATEGORY / AGREGA CATEGORÍA",IF(J287="No","⚠ SAVE RECEIPT / GUARDA RECIBO","✔ OK")),"⚠ ADD DATE / AGREGA FECHA"))</f>
        <v/>
      </c>
      <c r="N287" s="51" t="n">
        <f aca="false">IF(G287="",0,IF(ISNUMBER(B287),1,0))</f>
        <v>0</v>
      </c>
      <c r="O287" s="51" t="n">
        <f aca="false">IF(N287=1,YEAR(B287),0)</f>
        <v>0</v>
      </c>
      <c r="P287" s="51" t="n">
        <f aca="false">IF(N287=1,YEAR(B287)*100+MONTH(B287),0)</f>
        <v>0</v>
      </c>
      <c r="Q287" s="51" t="n">
        <f aca="false">IF(N287=1,IF(J287="No",1,0),0)</f>
        <v>0</v>
      </c>
    </row>
    <row r="288" customFormat="false" ht="15" hidden="false" customHeight="false" outlineLevel="0" collapsed="false">
      <c r="B288" s="52"/>
      <c r="C288" s="53"/>
      <c r="D288" s="53"/>
      <c r="E288" s="53"/>
      <c r="F288" s="53"/>
      <c r="G288" s="54"/>
      <c r="H288" s="55"/>
      <c r="I288" s="56" t="str">
        <f aca="false">IF(G288="","",G288*IF(H288="",1,H288))</f>
        <v/>
      </c>
      <c r="J288" s="57"/>
      <c r="K288" s="53"/>
      <c r="L288" s="58" t="str">
        <f aca="false">IF(G288="","",IF(ISNUMBER(B288),IF(E288="","⚠ ADD CATEGORY / AGREGA CATEGORÍA",IF(J288="No","⚠ SAVE RECEIPT / GUARDA RECIBO","✔ OK")),"⚠ ADD DATE / AGREGA FECHA"))</f>
        <v/>
      </c>
      <c r="N288" s="51" t="n">
        <f aca="false">IF(G288="",0,IF(ISNUMBER(B288),1,0))</f>
        <v>0</v>
      </c>
      <c r="O288" s="51" t="n">
        <f aca="false">IF(N288=1,YEAR(B288),0)</f>
        <v>0</v>
      </c>
      <c r="P288" s="51" t="n">
        <f aca="false">IF(N288=1,YEAR(B288)*100+MONTH(B288),0)</f>
        <v>0</v>
      </c>
      <c r="Q288" s="51" t="n">
        <f aca="false">IF(N288=1,IF(J288="No",1,0),0)</f>
        <v>0</v>
      </c>
    </row>
    <row r="289" customFormat="false" ht="15" hidden="false" customHeight="false" outlineLevel="0" collapsed="false">
      <c r="B289" s="52"/>
      <c r="C289" s="53"/>
      <c r="D289" s="53"/>
      <c r="E289" s="53"/>
      <c r="F289" s="53"/>
      <c r="G289" s="54"/>
      <c r="H289" s="55"/>
      <c r="I289" s="56" t="str">
        <f aca="false">IF(G289="","",G289*IF(H289="",1,H289))</f>
        <v/>
      </c>
      <c r="J289" s="57"/>
      <c r="K289" s="53"/>
      <c r="L289" s="58" t="str">
        <f aca="false">IF(G289="","",IF(ISNUMBER(B289),IF(E289="","⚠ ADD CATEGORY / AGREGA CATEGORÍA",IF(J289="No","⚠ SAVE RECEIPT / GUARDA RECIBO","✔ OK")),"⚠ ADD DATE / AGREGA FECHA"))</f>
        <v/>
      </c>
      <c r="N289" s="51" t="n">
        <f aca="false">IF(G289="",0,IF(ISNUMBER(B289),1,0))</f>
        <v>0</v>
      </c>
      <c r="O289" s="51" t="n">
        <f aca="false">IF(N289=1,YEAR(B289),0)</f>
        <v>0</v>
      </c>
      <c r="P289" s="51" t="n">
        <f aca="false">IF(N289=1,YEAR(B289)*100+MONTH(B289),0)</f>
        <v>0</v>
      </c>
      <c r="Q289" s="51" t="n">
        <f aca="false">IF(N289=1,IF(J289="No",1,0),0)</f>
        <v>0</v>
      </c>
    </row>
    <row r="290" customFormat="false" ht="15" hidden="false" customHeight="false" outlineLevel="0" collapsed="false">
      <c r="B290" s="52"/>
      <c r="C290" s="53"/>
      <c r="D290" s="53"/>
      <c r="E290" s="53"/>
      <c r="F290" s="53"/>
      <c r="G290" s="54"/>
      <c r="H290" s="55"/>
      <c r="I290" s="56" t="str">
        <f aca="false">IF(G290="","",G290*IF(H290="",1,H290))</f>
        <v/>
      </c>
      <c r="J290" s="57"/>
      <c r="K290" s="53"/>
      <c r="L290" s="58" t="str">
        <f aca="false">IF(G290="","",IF(ISNUMBER(B290),IF(E290="","⚠ ADD CATEGORY / AGREGA CATEGORÍA",IF(J290="No","⚠ SAVE RECEIPT / GUARDA RECIBO","✔ OK")),"⚠ ADD DATE / AGREGA FECHA"))</f>
        <v/>
      </c>
      <c r="N290" s="51" t="n">
        <f aca="false">IF(G290="",0,IF(ISNUMBER(B290),1,0))</f>
        <v>0</v>
      </c>
      <c r="O290" s="51" t="n">
        <f aca="false">IF(N290=1,YEAR(B290),0)</f>
        <v>0</v>
      </c>
      <c r="P290" s="51" t="n">
        <f aca="false">IF(N290=1,YEAR(B290)*100+MONTH(B290),0)</f>
        <v>0</v>
      </c>
      <c r="Q290" s="51" t="n">
        <f aca="false">IF(N290=1,IF(J290="No",1,0),0)</f>
        <v>0</v>
      </c>
    </row>
    <row r="291" customFormat="false" ht="15" hidden="false" customHeight="false" outlineLevel="0" collapsed="false">
      <c r="B291" s="52"/>
      <c r="C291" s="53"/>
      <c r="D291" s="53"/>
      <c r="E291" s="53"/>
      <c r="F291" s="53"/>
      <c r="G291" s="54"/>
      <c r="H291" s="55"/>
      <c r="I291" s="56" t="str">
        <f aca="false">IF(G291="","",G291*IF(H291="",1,H291))</f>
        <v/>
      </c>
      <c r="J291" s="57"/>
      <c r="K291" s="53"/>
      <c r="L291" s="58" t="str">
        <f aca="false">IF(G291="","",IF(ISNUMBER(B291),IF(E291="","⚠ ADD CATEGORY / AGREGA CATEGORÍA",IF(J291="No","⚠ SAVE RECEIPT / GUARDA RECIBO","✔ OK")),"⚠ ADD DATE / AGREGA FECHA"))</f>
        <v/>
      </c>
      <c r="N291" s="51" t="n">
        <f aca="false">IF(G291="",0,IF(ISNUMBER(B291),1,0))</f>
        <v>0</v>
      </c>
      <c r="O291" s="51" t="n">
        <f aca="false">IF(N291=1,YEAR(B291),0)</f>
        <v>0</v>
      </c>
      <c r="P291" s="51" t="n">
        <f aca="false">IF(N291=1,YEAR(B291)*100+MONTH(B291),0)</f>
        <v>0</v>
      </c>
      <c r="Q291" s="51" t="n">
        <f aca="false">IF(N291=1,IF(J291="No",1,0),0)</f>
        <v>0</v>
      </c>
    </row>
    <row r="292" customFormat="false" ht="15" hidden="false" customHeight="false" outlineLevel="0" collapsed="false">
      <c r="B292" s="52"/>
      <c r="C292" s="53"/>
      <c r="D292" s="53"/>
      <c r="E292" s="53"/>
      <c r="F292" s="53"/>
      <c r="G292" s="54"/>
      <c r="H292" s="55"/>
      <c r="I292" s="56" t="str">
        <f aca="false">IF(G292="","",G292*IF(H292="",1,H292))</f>
        <v/>
      </c>
      <c r="J292" s="57"/>
      <c r="K292" s="53"/>
      <c r="L292" s="58" t="str">
        <f aca="false">IF(G292="","",IF(ISNUMBER(B292),IF(E292="","⚠ ADD CATEGORY / AGREGA CATEGORÍA",IF(J292="No","⚠ SAVE RECEIPT / GUARDA RECIBO","✔ OK")),"⚠ ADD DATE / AGREGA FECHA"))</f>
        <v/>
      </c>
      <c r="N292" s="51" t="n">
        <f aca="false">IF(G292="",0,IF(ISNUMBER(B292),1,0))</f>
        <v>0</v>
      </c>
      <c r="O292" s="51" t="n">
        <f aca="false">IF(N292=1,YEAR(B292),0)</f>
        <v>0</v>
      </c>
      <c r="P292" s="51" t="n">
        <f aca="false">IF(N292=1,YEAR(B292)*100+MONTH(B292),0)</f>
        <v>0</v>
      </c>
      <c r="Q292" s="51" t="n">
        <f aca="false">IF(N292=1,IF(J292="No",1,0),0)</f>
        <v>0</v>
      </c>
    </row>
    <row r="293" customFormat="false" ht="15" hidden="false" customHeight="false" outlineLevel="0" collapsed="false">
      <c r="B293" s="52"/>
      <c r="C293" s="53"/>
      <c r="D293" s="53"/>
      <c r="E293" s="53"/>
      <c r="F293" s="53"/>
      <c r="G293" s="54"/>
      <c r="H293" s="55"/>
      <c r="I293" s="56" t="str">
        <f aca="false">IF(G293="","",G293*IF(H293="",1,H293))</f>
        <v/>
      </c>
      <c r="J293" s="57"/>
      <c r="K293" s="53"/>
      <c r="L293" s="58" t="str">
        <f aca="false">IF(G293="","",IF(ISNUMBER(B293),IF(E293="","⚠ ADD CATEGORY / AGREGA CATEGORÍA",IF(J293="No","⚠ SAVE RECEIPT / GUARDA RECIBO","✔ OK")),"⚠ ADD DATE / AGREGA FECHA"))</f>
        <v/>
      </c>
      <c r="N293" s="51" t="n">
        <f aca="false">IF(G293="",0,IF(ISNUMBER(B293),1,0))</f>
        <v>0</v>
      </c>
      <c r="O293" s="51" t="n">
        <f aca="false">IF(N293=1,YEAR(B293),0)</f>
        <v>0</v>
      </c>
      <c r="P293" s="51" t="n">
        <f aca="false">IF(N293=1,YEAR(B293)*100+MONTH(B293),0)</f>
        <v>0</v>
      </c>
      <c r="Q293" s="51" t="n">
        <f aca="false">IF(N293=1,IF(J293="No",1,0),0)</f>
        <v>0</v>
      </c>
    </row>
    <row r="294" customFormat="false" ht="15" hidden="false" customHeight="false" outlineLevel="0" collapsed="false">
      <c r="B294" s="52"/>
      <c r="C294" s="53"/>
      <c r="D294" s="53"/>
      <c r="E294" s="53"/>
      <c r="F294" s="53"/>
      <c r="G294" s="54"/>
      <c r="H294" s="55"/>
      <c r="I294" s="56" t="str">
        <f aca="false">IF(G294="","",G294*IF(H294="",1,H294))</f>
        <v/>
      </c>
      <c r="J294" s="57"/>
      <c r="K294" s="53"/>
      <c r="L294" s="58" t="str">
        <f aca="false">IF(G294="","",IF(ISNUMBER(B294),IF(E294="","⚠ ADD CATEGORY / AGREGA CATEGORÍA",IF(J294="No","⚠ SAVE RECEIPT / GUARDA RECIBO","✔ OK")),"⚠ ADD DATE / AGREGA FECHA"))</f>
        <v/>
      </c>
      <c r="N294" s="51" t="n">
        <f aca="false">IF(G294="",0,IF(ISNUMBER(B294),1,0))</f>
        <v>0</v>
      </c>
      <c r="O294" s="51" t="n">
        <f aca="false">IF(N294=1,YEAR(B294),0)</f>
        <v>0</v>
      </c>
      <c r="P294" s="51" t="n">
        <f aca="false">IF(N294=1,YEAR(B294)*100+MONTH(B294),0)</f>
        <v>0</v>
      </c>
      <c r="Q294" s="51" t="n">
        <f aca="false">IF(N294=1,IF(J294="No",1,0),0)</f>
        <v>0</v>
      </c>
    </row>
    <row r="295" customFormat="false" ht="15" hidden="false" customHeight="false" outlineLevel="0" collapsed="false">
      <c r="B295" s="52"/>
      <c r="C295" s="53"/>
      <c r="D295" s="53"/>
      <c r="E295" s="53"/>
      <c r="F295" s="53"/>
      <c r="G295" s="54"/>
      <c r="H295" s="55"/>
      <c r="I295" s="56" t="str">
        <f aca="false">IF(G295="","",G295*IF(H295="",1,H295))</f>
        <v/>
      </c>
      <c r="J295" s="57"/>
      <c r="K295" s="53"/>
      <c r="L295" s="58" t="str">
        <f aca="false">IF(G295="","",IF(ISNUMBER(B295),IF(E295="","⚠ ADD CATEGORY / AGREGA CATEGORÍA",IF(J295="No","⚠ SAVE RECEIPT / GUARDA RECIBO","✔ OK")),"⚠ ADD DATE / AGREGA FECHA"))</f>
        <v/>
      </c>
      <c r="N295" s="51" t="n">
        <f aca="false">IF(G295="",0,IF(ISNUMBER(B295),1,0))</f>
        <v>0</v>
      </c>
      <c r="O295" s="51" t="n">
        <f aca="false">IF(N295=1,YEAR(B295),0)</f>
        <v>0</v>
      </c>
      <c r="P295" s="51" t="n">
        <f aca="false">IF(N295=1,YEAR(B295)*100+MONTH(B295),0)</f>
        <v>0</v>
      </c>
      <c r="Q295" s="51" t="n">
        <f aca="false">IF(N295=1,IF(J295="No",1,0),0)</f>
        <v>0</v>
      </c>
    </row>
    <row r="296" customFormat="false" ht="15" hidden="false" customHeight="false" outlineLevel="0" collapsed="false">
      <c r="B296" s="52"/>
      <c r="C296" s="53"/>
      <c r="D296" s="53"/>
      <c r="E296" s="53"/>
      <c r="F296" s="53"/>
      <c r="G296" s="54"/>
      <c r="H296" s="55"/>
      <c r="I296" s="56" t="str">
        <f aca="false">IF(G296="","",G296*IF(H296="",1,H296))</f>
        <v/>
      </c>
      <c r="J296" s="57"/>
      <c r="K296" s="53"/>
      <c r="L296" s="58" t="str">
        <f aca="false">IF(G296="","",IF(ISNUMBER(B296),IF(E296="","⚠ ADD CATEGORY / AGREGA CATEGORÍA",IF(J296="No","⚠ SAVE RECEIPT / GUARDA RECIBO","✔ OK")),"⚠ ADD DATE / AGREGA FECHA"))</f>
        <v/>
      </c>
      <c r="N296" s="51" t="n">
        <f aca="false">IF(G296="",0,IF(ISNUMBER(B296),1,0))</f>
        <v>0</v>
      </c>
      <c r="O296" s="51" t="n">
        <f aca="false">IF(N296=1,YEAR(B296),0)</f>
        <v>0</v>
      </c>
      <c r="P296" s="51" t="n">
        <f aca="false">IF(N296=1,YEAR(B296)*100+MONTH(B296),0)</f>
        <v>0</v>
      </c>
      <c r="Q296" s="51" t="n">
        <f aca="false">IF(N296=1,IF(J296="No",1,0),0)</f>
        <v>0</v>
      </c>
    </row>
    <row r="297" customFormat="false" ht="15" hidden="false" customHeight="false" outlineLevel="0" collapsed="false">
      <c r="B297" s="52"/>
      <c r="C297" s="53"/>
      <c r="D297" s="53"/>
      <c r="E297" s="53"/>
      <c r="F297" s="53"/>
      <c r="G297" s="54"/>
      <c r="H297" s="55"/>
      <c r="I297" s="56" t="str">
        <f aca="false">IF(G297="","",G297*IF(H297="",1,H297))</f>
        <v/>
      </c>
      <c r="J297" s="57"/>
      <c r="K297" s="53"/>
      <c r="L297" s="58" t="str">
        <f aca="false">IF(G297="","",IF(ISNUMBER(B297),IF(E297="","⚠ ADD CATEGORY / AGREGA CATEGORÍA",IF(J297="No","⚠ SAVE RECEIPT / GUARDA RECIBO","✔ OK")),"⚠ ADD DATE / AGREGA FECHA"))</f>
        <v/>
      </c>
      <c r="N297" s="51" t="n">
        <f aca="false">IF(G297="",0,IF(ISNUMBER(B297),1,0))</f>
        <v>0</v>
      </c>
      <c r="O297" s="51" t="n">
        <f aca="false">IF(N297=1,YEAR(B297),0)</f>
        <v>0</v>
      </c>
      <c r="P297" s="51" t="n">
        <f aca="false">IF(N297=1,YEAR(B297)*100+MONTH(B297),0)</f>
        <v>0</v>
      </c>
      <c r="Q297" s="51" t="n">
        <f aca="false">IF(N297=1,IF(J297="No",1,0),0)</f>
        <v>0</v>
      </c>
    </row>
    <row r="298" customFormat="false" ht="15" hidden="false" customHeight="false" outlineLevel="0" collapsed="false">
      <c r="B298" s="52"/>
      <c r="C298" s="53"/>
      <c r="D298" s="53"/>
      <c r="E298" s="53"/>
      <c r="F298" s="53"/>
      <c r="G298" s="54"/>
      <c r="H298" s="55"/>
      <c r="I298" s="56" t="str">
        <f aca="false">IF(G298="","",G298*IF(H298="",1,H298))</f>
        <v/>
      </c>
      <c r="J298" s="57"/>
      <c r="K298" s="53"/>
      <c r="L298" s="58" t="str">
        <f aca="false">IF(G298="","",IF(ISNUMBER(B298),IF(E298="","⚠ ADD CATEGORY / AGREGA CATEGORÍA",IF(J298="No","⚠ SAVE RECEIPT / GUARDA RECIBO","✔ OK")),"⚠ ADD DATE / AGREGA FECHA"))</f>
        <v/>
      </c>
      <c r="N298" s="51" t="n">
        <f aca="false">IF(G298="",0,IF(ISNUMBER(B298),1,0))</f>
        <v>0</v>
      </c>
      <c r="O298" s="51" t="n">
        <f aca="false">IF(N298=1,YEAR(B298),0)</f>
        <v>0</v>
      </c>
      <c r="P298" s="51" t="n">
        <f aca="false">IF(N298=1,YEAR(B298)*100+MONTH(B298),0)</f>
        <v>0</v>
      </c>
      <c r="Q298" s="51" t="n">
        <f aca="false">IF(N298=1,IF(J298="No",1,0),0)</f>
        <v>0</v>
      </c>
    </row>
    <row r="299" customFormat="false" ht="15" hidden="false" customHeight="false" outlineLevel="0" collapsed="false">
      <c r="B299" s="52"/>
      <c r="C299" s="53"/>
      <c r="D299" s="53"/>
      <c r="E299" s="53"/>
      <c r="F299" s="53"/>
      <c r="G299" s="54"/>
      <c r="H299" s="55"/>
      <c r="I299" s="56" t="str">
        <f aca="false">IF(G299="","",G299*IF(H299="",1,H299))</f>
        <v/>
      </c>
      <c r="J299" s="57"/>
      <c r="K299" s="53"/>
      <c r="L299" s="58" t="str">
        <f aca="false">IF(G299="","",IF(ISNUMBER(B299),IF(E299="","⚠ ADD CATEGORY / AGREGA CATEGORÍA",IF(J299="No","⚠ SAVE RECEIPT / GUARDA RECIBO","✔ OK")),"⚠ ADD DATE / AGREGA FECHA"))</f>
        <v/>
      </c>
      <c r="N299" s="51" t="n">
        <f aca="false">IF(G299="",0,IF(ISNUMBER(B299),1,0))</f>
        <v>0</v>
      </c>
      <c r="O299" s="51" t="n">
        <f aca="false">IF(N299=1,YEAR(B299),0)</f>
        <v>0</v>
      </c>
      <c r="P299" s="51" t="n">
        <f aca="false">IF(N299=1,YEAR(B299)*100+MONTH(B299),0)</f>
        <v>0</v>
      </c>
      <c r="Q299" s="51" t="n">
        <f aca="false">IF(N299=1,IF(J299="No",1,0),0)</f>
        <v>0</v>
      </c>
    </row>
    <row r="300" customFormat="false" ht="15" hidden="false" customHeight="false" outlineLevel="0" collapsed="false">
      <c r="B300" s="52"/>
      <c r="C300" s="53"/>
      <c r="D300" s="53"/>
      <c r="E300" s="53"/>
      <c r="F300" s="53"/>
      <c r="G300" s="54"/>
      <c r="H300" s="55"/>
      <c r="I300" s="56" t="str">
        <f aca="false">IF(G300="","",G300*IF(H300="",1,H300))</f>
        <v/>
      </c>
      <c r="J300" s="57"/>
      <c r="K300" s="53"/>
      <c r="L300" s="58" t="str">
        <f aca="false">IF(G300="","",IF(ISNUMBER(B300),IF(E300="","⚠ ADD CATEGORY / AGREGA CATEGORÍA",IF(J300="No","⚠ SAVE RECEIPT / GUARDA RECIBO","✔ OK")),"⚠ ADD DATE / AGREGA FECHA"))</f>
        <v/>
      </c>
      <c r="N300" s="51" t="n">
        <f aca="false">IF(G300="",0,IF(ISNUMBER(B300),1,0))</f>
        <v>0</v>
      </c>
      <c r="O300" s="51" t="n">
        <f aca="false">IF(N300=1,YEAR(B300),0)</f>
        <v>0</v>
      </c>
      <c r="P300" s="51" t="n">
        <f aca="false">IF(N300=1,YEAR(B300)*100+MONTH(B300),0)</f>
        <v>0</v>
      </c>
      <c r="Q300" s="51" t="n">
        <f aca="false">IF(N300=1,IF(J300="No",1,0),0)</f>
        <v>0</v>
      </c>
    </row>
    <row r="301" customFormat="false" ht="15" hidden="false" customHeight="false" outlineLevel="0" collapsed="false">
      <c r="B301" s="52"/>
      <c r="C301" s="53"/>
      <c r="D301" s="53"/>
      <c r="E301" s="53"/>
      <c r="F301" s="53"/>
      <c r="G301" s="54"/>
      <c r="H301" s="55"/>
      <c r="I301" s="56" t="str">
        <f aca="false">IF(G301="","",G301*IF(H301="",1,H301))</f>
        <v/>
      </c>
      <c r="J301" s="57"/>
      <c r="K301" s="53"/>
      <c r="L301" s="58" t="str">
        <f aca="false">IF(G301="","",IF(ISNUMBER(B301),IF(E301="","⚠ ADD CATEGORY / AGREGA CATEGORÍA",IF(J301="No","⚠ SAVE RECEIPT / GUARDA RECIBO","✔ OK")),"⚠ ADD DATE / AGREGA FECHA"))</f>
        <v/>
      </c>
      <c r="N301" s="51" t="n">
        <f aca="false">IF(G301="",0,IF(ISNUMBER(B301),1,0))</f>
        <v>0</v>
      </c>
      <c r="O301" s="51" t="n">
        <f aca="false">IF(N301=1,YEAR(B301),0)</f>
        <v>0</v>
      </c>
      <c r="P301" s="51" t="n">
        <f aca="false">IF(N301=1,YEAR(B301)*100+MONTH(B301),0)</f>
        <v>0</v>
      </c>
      <c r="Q301" s="51" t="n">
        <f aca="false">IF(N301=1,IF(J301="No",1,0),0)</f>
        <v>0</v>
      </c>
    </row>
    <row r="302" customFormat="false" ht="15" hidden="false" customHeight="false" outlineLevel="0" collapsed="false">
      <c r="B302" s="52"/>
      <c r="C302" s="53"/>
      <c r="D302" s="53"/>
      <c r="E302" s="53"/>
      <c r="F302" s="53"/>
      <c r="G302" s="54"/>
      <c r="H302" s="55"/>
      <c r="I302" s="56" t="str">
        <f aca="false">IF(G302="","",G302*IF(H302="",1,H302))</f>
        <v/>
      </c>
      <c r="J302" s="57"/>
      <c r="K302" s="53"/>
      <c r="L302" s="58" t="str">
        <f aca="false">IF(G302="","",IF(ISNUMBER(B302),IF(E302="","⚠ ADD CATEGORY / AGREGA CATEGORÍA",IF(J302="No","⚠ SAVE RECEIPT / GUARDA RECIBO","✔ OK")),"⚠ ADD DATE / AGREGA FECHA"))</f>
        <v/>
      </c>
      <c r="N302" s="51" t="n">
        <f aca="false">IF(G302="",0,IF(ISNUMBER(B302),1,0))</f>
        <v>0</v>
      </c>
      <c r="O302" s="51" t="n">
        <f aca="false">IF(N302=1,YEAR(B302),0)</f>
        <v>0</v>
      </c>
      <c r="P302" s="51" t="n">
        <f aca="false">IF(N302=1,YEAR(B302)*100+MONTH(B302),0)</f>
        <v>0</v>
      </c>
      <c r="Q302" s="51" t="n">
        <f aca="false">IF(N302=1,IF(J302="No",1,0),0)</f>
        <v>0</v>
      </c>
    </row>
    <row r="303" customFormat="false" ht="15" hidden="false" customHeight="false" outlineLevel="0" collapsed="false">
      <c r="B303" s="52"/>
      <c r="C303" s="53"/>
      <c r="D303" s="53"/>
      <c r="E303" s="53"/>
      <c r="F303" s="53"/>
      <c r="G303" s="54"/>
      <c r="H303" s="55"/>
      <c r="I303" s="56" t="str">
        <f aca="false">IF(G303="","",G303*IF(H303="",1,H303))</f>
        <v/>
      </c>
      <c r="J303" s="57"/>
      <c r="K303" s="53"/>
      <c r="L303" s="58" t="str">
        <f aca="false">IF(G303="","",IF(ISNUMBER(B303),IF(E303="","⚠ ADD CATEGORY / AGREGA CATEGORÍA",IF(J303="No","⚠ SAVE RECEIPT / GUARDA RECIBO","✔ OK")),"⚠ ADD DATE / AGREGA FECHA"))</f>
        <v/>
      </c>
      <c r="N303" s="51" t="n">
        <f aca="false">IF(G303="",0,IF(ISNUMBER(B303),1,0))</f>
        <v>0</v>
      </c>
      <c r="O303" s="51" t="n">
        <f aca="false">IF(N303=1,YEAR(B303),0)</f>
        <v>0</v>
      </c>
      <c r="P303" s="51" t="n">
        <f aca="false">IF(N303=1,YEAR(B303)*100+MONTH(B303),0)</f>
        <v>0</v>
      </c>
      <c r="Q303" s="51" t="n">
        <f aca="false">IF(N303=1,IF(J303="No",1,0),0)</f>
        <v>0</v>
      </c>
    </row>
    <row r="304" customFormat="false" ht="15" hidden="false" customHeight="false" outlineLevel="0" collapsed="false">
      <c r="B304" s="52"/>
      <c r="C304" s="53"/>
      <c r="D304" s="53"/>
      <c r="E304" s="53"/>
      <c r="F304" s="53"/>
      <c r="G304" s="54"/>
      <c r="H304" s="55"/>
      <c r="I304" s="56" t="str">
        <f aca="false">IF(G304="","",G304*IF(H304="",1,H304))</f>
        <v/>
      </c>
      <c r="J304" s="57"/>
      <c r="K304" s="53"/>
      <c r="L304" s="58" t="str">
        <f aca="false">IF(G304="","",IF(ISNUMBER(B304),IF(E304="","⚠ ADD CATEGORY / AGREGA CATEGORÍA",IF(J304="No","⚠ SAVE RECEIPT / GUARDA RECIBO","✔ OK")),"⚠ ADD DATE / AGREGA FECHA"))</f>
        <v/>
      </c>
      <c r="N304" s="51" t="n">
        <f aca="false">IF(G304="",0,IF(ISNUMBER(B304),1,0))</f>
        <v>0</v>
      </c>
      <c r="O304" s="51" t="n">
        <f aca="false">IF(N304=1,YEAR(B304),0)</f>
        <v>0</v>
      </c>
      <c r="P304" s="51" t="n">
        <f aca="false">IF(N304=1,YEAR(B304)*100+MONTH(B304),0)</f>
        <v>0</v>
      </c>
      <c r="Q304" s="51" t="n">
        <f aca="false">IF(N304=1,IF(J304="No",1,0),0)</f>
        <v>0</v>
      </c>
    </row>
    <row r="305" customFormat="false" ht="15" hidden="false" customHeight="false" outlineLevel="0" collapsed="false">
      <c r="B305" s="52"/>
      <c r="C305" s="53"/>
      <c r="D305" s="53"/>
      <c r="E305" s="53"/>
      <c r="F305" s="53"/>
      <c r="G305" s="54"/>
      <c r="H305" s="55"/>
      <c r="I305" s="56" t="str">
        <f aca="false">IF(G305="","",G305*IF(H305="",1,H305))</f>
        <v/>
      </c>
      <c r="J305" s="57"/>
      <c r="K305" s="53"/>
      <c r="L305" s="58" t="str">
        <f aca="false">IF(G305="","",IF(ISNUMBER(B305),IF(E305="","⚠ ADD CATEGORY / AGREGA CATEGORÍA",IF(J305="No","⚠ SAVE RECEIPT / GUARDA RECIBO","✔ OK")),"⚠ ADD DATE / AGREGA FECHA"))</f>
        <v/>
      </c>
      <c r="N305" s="51" t="n">
        <f aca="false">IF(G305="",0,IF(ISNUMBER(B305),1,0))</f>
        <v>0</v>
      </c>
      <c r="O305" s="51" t="n">
        <f aca="false">IF(N305=1,YEAR(B305),0)</f>
        <v>0</v>
      </c>
      <c r="P305" s="51" t="n">
        <f aca="false">IF(N305=1,YEAR(B305)*100+MONTH(B305),0)</f>
        <v>0</v>
      </c>
      <c r="Q305" s="51" t="n">
        <f aca="false">IF(N305=1,IF(J305="No",1,0),0)</f>
        <v>0</v>
      </c>
    </row>
    <row r="306" customFormat="false" ht="15" hidden="false" customHeight="false" outlineLevel="0" collapsed="false">
      <c r="B306" s="52"/>
      <c r="C306" s="53"/>
      <c r="D306" s="53"/>
      <c r="E306" s="53"/>
      <c r="F306" s="53"/>
      <c r="G306" s="54"/>
      <c r="H306" s="55"/>
      <c r="I306" s="56" t="str">
        <f aca="false">IF(G306="","",G306*IF(H306="",1,H306))</f>
        <v/>
      </c>
      <c r="J306" s="57"/>
      <c r="K306" s="53"/>
      <c r="L306" s="58" t="str">
        <f aca="false">IF(G306="","",IF(ISNUMBER(B306),IF(E306="","⚠ ADD CATEGORY / AGREGA CATEGORÍA",IF(J306="No","⚠ SAVE RECEIPT / GUARDA RECIBO","✔ OK")),"⚠ ADD DATE / AGREGA FECHA"))</f>
        <v/>
      </c>
      <c r="N306" s="51" t="n">
        <f aca="false">IF(G306="",0,IF(ISNUMBER(B306),1,0))</f>
        <v>0</v>
      </c>
      <c r="O306" s="51" t="n">
        <f aca="false">IF(N306=1,YEAR(B306),0)</f>
        <v>0</v>
      </c>
      <c r="P306" s="51" t="n">
        <f aca="false">IF(N306=1,YEAR(B306)*100+MONTH(B306),0)</f>
        <v>0</v>
      </c>
      <c r="Q306" s="51" t="n">
        <f aca="false">IF(N306=1,IF(J306="No",1,0),0)</f>
        <v>0</v>
      </c>
    </row>
    <row r="307" customFormat="false" ht="15" hidden="false" customHeight="false" outlineLevel="0" collapsed="false">
      <c r="B307" s="52"/>
      <c r="C307" s="53"/>
      <c r="D307" s="53"/>
      <c r="E307" s="53"/>
      <c r="F307" s="53"/>
      <c r="G307" s="54"/>
      <c r="H307" s="55"/>
      <c r="I307" s="56" t="str">
        <f aca="false">IF(G307="","",G307*IF(H307="",1,H307))</f>
        <v/>
      </c>
      <c r="J307" s="57"/>
      <c r="K307" s="53"/>
      <c r="L307" s="58" t="str">
        <f aca="false">IF(G307="","",IF(ISNUMBER(B307),IF(E307="","⚠ ADD CATEGORY / AGREGA CATEGORÍA",IF(J307="No","⚠ SAVE RECEIPT / GUARDA RECIBO","✔ OK")),"⚠ ADD DATE / AGREGA FECHA"))</f>
        <v/>
      </c>
      <c r="N307" s="51" t="n">
        <f aca="false">IF(G307="",0,IF(ISNUMBER(B307),1,0))</f>
        <v>0</v>
      </c>
      <c r="O307" s="51" t="n">
        <f aca="false">IF(N307=1,YEAR(B307),0)</f>
        <v>0</v>
      </c>
      <c r="P307" s="51" t="n">
        <f aca="false">IF(N307=1,YEAR(B307)*100+MONTH(B307),0)</f>
        <v>0</v>
      </c>
      <c r="Q307" s="51" t="n">
        <f aca="false">IF(N307=1,IF(J307="No",1,0),0)</f>
        <v>0</v>
      </c>
    </row>
    <row r="308" customFormat="false" ht="15" hidden="false" customHeight="false" outlineLevel="0" collapsed="false">
      <c r="B308" s="52"/>
      <c r="C308" s="53"/>
      <c r="D308" s="53"/>
      <c r="E308" s="53"/>
      <c r="F308" s="53"/>
      <c r="G308" s="54"/>
      <c r="H308" s="55"/>
      <c r="I308" s="56" t="str">
        <f aca="false">IF(G308="","",G308*IF(H308="",1,H308))</f>
        <v/>
      </c>
      <c r="J308" s="57"/>
      <c r="K308" s="53"/>
      <c r="L308" s="58" t="str">
        <f aca="false">IF(G308="","",IF(ISNUMBER(B308),IF(E308="","⚠ ADD CATEGORY / AGREGA CATEGORÍA",IF(J308="No","⚠ SAVE RECEIPT / GUARDA RECIBO","✔ OK")),"⚠ ADD DATE / AGREGA FECHA"))</f>
        <v/>
      </c>
      <c r="N308" s="51" t="n">
        <f aca="false">IF(G308="",0,IF(ISNUMBER(B308),1,0))</f>
        <v>0</v>
      </c>
      <c r="O308" s="51" t="n">
        <f aca="false">IF(N308=1,YEAR(B308),0)</f>
        <v>0</v>
      </c>
      <c r="P308" s="51" t="n">
        <f aca="false">IF(N308=1,YEAR(B308)*100+MONTH(B308),0)</f>
        <v>0</v>
      </c>
      <c r="Q308" s="51" t="n">
        <f aca="false">IF(N308=1,IF(J308="No",1,0),0)</f>
        <v>0</v>
      </c>
    </row>
    <row r="309" customFormat="false" ht="15" hidden="false" customHeight="false" outlineLevel="0" collapsed="false">
      <c r="B309" s="52"/>
      <c r="C309" s="53"/>
      <c r="D309" s="53"/>
      <c r="E309" s="53"/>
      <c r="F309" s="53"/>
      <c r="G309" s="54"/>
      <c r="H309" s="55"/>
      <c r="I309" s="56" t="str">
        <f aca="false">IF(G309="","",G309*IF(H309="",1,H309))</f>
        <v/>
      </c>
      <c r="J309" s="57"/>
      <c r="K309" s="53"/>
      <c r="L309" s="58" t="str">
        <f aca="false">IF(G309="","",IF(ISNUMBER(B309),IF(E309="","⚠ ADD CATEGORY / AGREGA CATEGORÍA",IF(J309="No","⚠ SAVE RECEIPT / GUARDA RECIBO","✔ OK")),"⚠ ADD DATE / AGREGA FECHA"))</f>
        <v/>
      </c>
      <c r="N309" s="51" t="n">
        <f aca="false">IF(G309="",0,IF(ISNUMBER(B309),1,0))</f>
        <v>0</v>
      </c>
      <c r="O309" s="51" t="n">
        <f aca="false">IF(N309=1,YEAR(B309),0)</f>
        <v>0</v>
      </c>
      <c r="P309" s="51" t="n">
        <f aca="false">IF(N309=1,YEAR(B309)*100+MONTH(B309),0)</f>
        <v>0</v>
      </c>
      <c r="Q309" s="51" t="n">
        <f aca="false">IF(N309=1,IF(J309="No",1,0),0)</f>
        <v>0</v>
      </c>
    </row>
    <row r="310" customFormat="false" ht="15" hidden="false" customHeight="false" outlineLevel="0" collapsed="false">
      <c r="B310" s="52"/>
      <c r="C310" s="53"/>
      <c r="D310" s="53"/>
      <c r="E310" s="53"/>
      <c r="F310" s="53"/>
      <c r="G310" s="54"/>
      <c r="H310" s="55"/>
      <c r="I310" s="56" t="str">
        <f aca="false">IF(G310="","",G310*IF(H310="",1,H310))</f>
        <v/>
      </c>
      <c r="J310" s="57"/>
      <c r="K310" s="53"/>
      <c r="L310" s="58" t="str">
        <f aca="false">IF(G310="","",IF(ISNUMBER(B310),IF(E310="","⚠ ADD CATEGORY / AGREGA CATEGORÍA",IF(J310="No","⚠ SAVE RECEIPT / GUARDA RECIBO","✔ OK")),"⚠ ADD DATE / AGREGA FECHA"))</f>
        <v/>
      </c>
      <c r="N310" s="51" t="n">
        <f aca="false">IF(G310="",0,IF(ISNUMBER(B310),1,0))</f>
        <v>0</v>
      </c>
      <c r="O310" s="51" t="n">
        <f aca="false">IF(N310=1,YEAR(B310),0)</f>
        <v>0</v>
      </c>
      <c r="P310" s="51" t="n">
        <f aca="false">IF(N310=1,YEAR(B310)*100+MONTH(B310),0)</f>
        <v>0</v>
      </c>
      <c r="Q310" s="51" t="n">
        <f aca="false">IF(N310=1,IF(J310="No",1,0),0)</f>
        <v>0</v>
      </c>
    </row>
    <row r="311" customFormat="false" ht="15" hidden="false" customHeight="false" outlineLevel="0" collapsed="false">
      <c r="B311" s="52"/>
      <c r="C311" s="53"/>
      <c r="D311" s="53"/>
      <c r="E311" s="53"/>
      <c r="F311" s="53"/>
      <c r="G311" s="54"/>
      <c r="H311" s="55"/>
      <c r="I311" s="56" t="str">
        <f aca="false">IF(G311="","",G311*IF(H311="",1,H311))</f>
        <v/>
      </c>
      <c r="J311" s="57"/>
      <c r="K311" s="53"/>
      <c r="L311" s="58" t="str">
        <f aca="false">IF(G311="","",IF(ISNUMBER(B311),IF(E311="","⚠ ADD CATEGORY / AGREGA CATEGORÍA",IF(J311="No","⚠ SAVE RECEIPT / GUARDA RECIBO","✔ OK")),"⚠ ADD DATE / AGREGA FECHA"))</f>
        <v/>
      </c>
      <c r="N311" s="51" t="n">
        <f aca="false">IF(G311="",0,IF(ISNUMBER(B311),1,0))</f>
        <v>0</v>
      </c>
      <c r="O311" s="51" t="n">
        <f aca="false">IF(N311=1,YEAR(B311),0)</f>
        <v>0</v>
      </c>
      <c r="P311" s="51" t="n">
        <f aca="false">IF(N311=1,YEAR(B311)*100+MONTH(B311),0)</f>
        <v>0</v>
      </c>
      <c r="Q311" s="51" t="n">
        <f aca="false">IF(N311=1,IF(J311="No",1,0),0)</f>
        <v>0</v>
      </c>
    </row>
    <row r="312" customFormat="false" ht="15" hidden="false" customHeight="false" outlineLevel="0" collapsed="false">
      <c r="B312" s="52"/>
      <c r="C312" s="53"/>
      <c r="D312" s="53"/>
      <c r="E312" s="53"/>
      <c r="F312" s="53"/>
      <c r="G312" s="54"/>
      <c r="H312" s="55"/>
      <c r="I312" s="56" t="str">
        <f aca="false">IF(G312="","",G312*IF(H312="",1,H312))</f>
        <v/>
      </c>
      <c r="J312" s="57"/>
      <c r="K312" s="53"/>
      <c r="L312" s="58" t="str">
        <f aca="false">IF(G312="","",IF(ISNUMBER(B312),IF(E312="","⚠ ADD CATEGORY / AGREGA CATEGORÍA",IF(J312="No","⚠ SAVE RECEIPT / GUARDA RECIBO","✔ OK")),"⚠ ADD DATE / AGREGA FECHA"))</f>
        <v/>
      </c>
      <c r="N312" s="51" t="n">
        <f aca="false">IF(G312="",0,IF(ISNUMBER(B312),1,0))</f>
        <v>0</v>
      </c>
      <c r="O312" s="51" t="n">
        <f aca="false">IF(N312=1,YEAR(B312),0)</f>
        <v>0</v>
      </c>
      <c r="P312" s="51" t="n">
        <f aca="false">IF(N312=1,YEAR(B312)*100+MONTH(B312),0)</f>
        <v>0</v>
      </c>
      <c r="Q312" s="51" t="n">
        <f aca="false">IF(N312=1,IF(J312="No",1,0),0)</f>
        <v>0</v>
      </c>
    </row>
    <row r="313" customFormat="false" ht="15" hidden="false" customHeight="false" outlineLevel="0" collapsed="false">
      <c r="B313" s="52"/>
      <c r="C313" s="53"/>
      <c r="D313" s="53"/>
      <c r="E313" s="53"/>
      <c r="F313" s="53"/>
      <c r="G313" s="54"/>
      <c r="H313" s="55"/>
      <c r="I313" s="56" t="str">
        <f aca="false">IF(G313="","",G313*IF(H313="",1,H313))</f>
        <v/>
      </c>
      <c r="J313" s="57"/>
      <c r="K313" s="53"/>
      <c r="L313" s="58" t="str">
        <f aca="false">IF(G313="","",IF(ISNUMBER(B313),IF(E313="","⚠ ADD CATEGORY / AGREGA CATEGORÍA",IF(J313="No","⚠ SAVE RECEIPT / GUARDA RECIBO","✔ OK")),"⚠ ADD DATE / AGREGA FECHA"))</f>
        <v/>
      </c>
      <c r="N313" s="51" t="n">
        <f aca="false">IF(G313="",0,IF(ISNUMBER(B313),1,0))</f>
        <v>0</v>
      </c>
      <c r="O313" s="51" t="n">
        <f aca="false">IF(N313=1,YEAR(B313),0)</f>
        <v>0</v>
      </c>
      <c r="P313" s="51" t="n">
        <f aca="false">IF(N313=1,YEAR(B313)*100+MONTH(B313),0)</f>
        <v>0</v>
      </c>
      <c r="Q313" s="51" t="n">
        <f aca="false">IF(N313=1,IF(J313="No",1,0),0)</f>
        <v>0</v>
      </c>
    </row>
    <row r="314" customFormat="false" ht="15" hidden="false" customHeight="false" outlineLevel="0" collapsed="false">
      <c r="B314" s="52"/>
      <c r="C314" s="53"/>
      <c r="D314" s="53"/>
      <c r="E314" s="53"/>
      <c r="F314" s="53"/>
      <c r="G314" s="54"/>
      <c r="H314" s="55"/>
      <c r="I314" s="56" t="str">
        <f aca="false">IF(G314="","",G314*IF(H314="",1,H314))</f>
        <v/>
      </c>
      <c r="J314" s="57"/>
      <c r="K314" s="53"/>
      <c r="L314" s="58" t="str">
        <f aca="false">IF(G314="","",IF(ISNUMBER(B314),IF(E314="","⚠ ADD CATEGORY / AGREGA CATEGORÍA",IF(J314="No","⚠ SAVE RECEIPT / GUARDA RECIBO","✔ OK")),"⚠ ADD DATE / AGREGA FECHA"))</f>
        <v/>
      </c>
      <c r="N314" s="51" t="n">
        <f aca="false">IF(G314="",0,IF(ISNUMBER(B314),1,0))</f>
        <v>0</v>
      </c>
      <c r="O314" s="51" t="n">
        <f aca="false">IF(N314=1,YEAR(B314),0)</f>
        <v>0</v>
      </c>
      <c r="P314" s="51" t="n">
        <f aca="false">IF(N314=1,YEAR(B314)*100+MONTH(B314),0)</f>
        <v>0</v>
      </c>
      <c r="Q314" s="51" t="n">
        <f aca="false">IF(N314=1,IF(J314="No",1,0),0)</f>
        <v>0</v>
      </c>
    </row>
    <row r="315" customFormat="false" ht="15" hidden="false" customHeight="false" outlineLevel="0" collapsed="false">
      <c r="B315" s="52"/>
      <c r="C315" s="53"/>
      <c r="D315" s="53"/>
      <c r="E315" s="53"/>
      <c r="F315" s="53"/>
      <c r="G315" s="54"/>
      <c r="H315" s="55"/>
      <c r="I315" s="56" t="str">
        <f aca="false">IF(G315="","",G315*IF(H315="",1,H315))</f>
        <v/>
      </c>
      <c r="J315" s="57"/>
      <c r="K315" s="53"/>
      <c r="L315" s="58" t="str">
        <f aca="false">IF(G315="","",IF(ISNUMBER(B315),IF(E315="","⚠ ADD CATEGORY / AGREGA CATEGORÍA",IF(J315="No","⚠ SAVE RECEIPT / GUARDA RECIBO","✔ OK")),"⚠ ADD DATE / AGREGA FECHA"))</f>
        <v/>
      </c>
      <c r="N315" s="51" t="n">
        <f aca="false">IF(G315="",0,IF(ISNUMBER(B315),1,0))</f>
        <v>0</v>
      </c>
      <c r="O315" s="51" t="n">
        <f aca="false">IF(N315=1,YEAR(B315),0)</f>
        <v>0</v>
      </c>
      <c r="P315" s="51" t="n">
        <f aca="false">IF(N315=1,YEAR(B315)*100+MONTH(B315),0)</f>
        <v>0</v>
      </c>
      <c r="Q315" s="51" t="n">
        <f aca="false">IF(N315=1,IF(J315="No",1,0),0)</f>
        <v>0</v>
      </c>
    </row>
    <row r="316" customFormat="false" ht="15" hidden="false" customHeight="false" outlineLevel="0" collapsed="false">
      <c r="B316" s="52"/>
      <c r="C316" s="53"/>
      <c r="D316" s="53"/>
      <c r="E316" s="53"/>
      <c r="F316" s="53"/>
      <c r="G316" s="54"/>
      <c r="H316" s="55"/>
      <c r="I316" s="56" t="str">
        <f aca="false">IF(G316="","",G316*IF(H316="",1,H316))</f>
        <v/>
      </c>
      <c r="J316" s="57"/>
      <c r="K316" s="53"/>
      <c r="L316" s="58" t="str">
        <f aca="false">IF(G316="","",IF(ISNUMBER(B316),IF(E316="","⚠ ADD CATEGORY / AGREGA CATEGORÍA",IF(J316="No","⚠ SAVE RECEIPT / GUARDA RECIBO","✔ OK")),"⚠ ADD DATE / AGREGA FECHA"))</f>
        <v/>
      </c>
      <c r="N316" s="51" t="n">
        <f aca="false">IF(G316="",0,IF(ISNUMBER(B316),1,0))</f>
        <v>0</v>
      </c>
      <c r="O316" s="51" t="n">
        <f aca="false">IF(N316=1,YEAR(B316),0)</f>
        <v>0</v>
      </c>
      <c r="P316" s="51" t="n">
        <f aca="false">IF(N316=1,YEAR(B316)*100+MONTH(B316),0)</f>
        <v>0</v>
      </c>
      <c r="Q316" s="51" t="n">
        <f aca="false">IF(N316=1,IF(J316="No",1,0),0)</f>
        <v>0</v>
      </c>
    </row>
    <row r="317" customFormat="false" ht="15" hidden="false" customHeight="false" outlineLevel="0" collapsed="false">
      <c r="B317" s="52"/>
      <c r="C317" s="53"/>
      <c r="D317" s="53"/>
      <c r="E317" s="53"/>
      <c r="F317" s="53"/>
      <c r="G317" s="54"/>
      <c r="H317" s="55"/>
      <c r="I317" s="56" t="str">
        <f aca="false">IF(G317="","",G317*IF(H317="",1,H317))</f>
        <v/>
      </c>
      <c r="J317" s="57"/>
      <c r="K317" s="53"/>
      <c r="L317" s="58" t="str">
        <f aca="false">IF(G317="","",IF(ISNUMBER(B317),IF(E317="","⚠ ADD CATEGORY / AGREGA CATEGORÍA",IF(J317="No","⚠ SAVE RECEIPT / GUARDA RECIBO","✔ OK")),"⚠ ADD DATE / AGREGA FECHA"))</f>
        <v/>
      </c>
      <c r="N317" s="51" t="n">
        <f aca="false">IF(G317="",0,IF(ISNUMBER(B317),1,0))</f>
        <v>0</v>
      </c>
      <c r="O317" s="51" t="n">
        <f aca="false">IF(N317=1,YEAR(B317),0)</f>
        <v>0</v>
      </c>
      <c r="P317" s="51" t="n">
        <f aca="false">IF(N317=1,YEAR(B317)*100+MONTH(B317),0)</f>
        <v>0</v>
      </c>
      <c r="Q317" s="51" t="n">
        <f aca="false">IF(N317=1,IF(J317="No",1,0),0)</f>
        <v>0</v>
      </c>
    </row>
    <row r="318" customFormat="false" ht="15" hidden="false" customHeight="false" outlineLevel="0" collapsed="false">
      <c r="B318" s="52"/>
      <c r="C318" s="53"/>
      <c r="D318" s="53"/>
      <c r="E318" s="53"/>
      <c r="F318" s="53"/>
      <c r="G318" s="54"/>
      <c r="H318" s="55"/>
      <c r="I318" s="56" t="str">
        <f aca="false">IF(G318="","",G318*IF(H318="",1,H318))</f>
        <v/>
      </c>
      <c r="J318" s="57"/>
      <c r="K318" s="53"/>
      <c r="L318" s="58" t="str">
        <f aca="false">IF(G318="","",IF(ISNUMBER(B318),IF(E318="","⚠ ADD CATEGORY / AGREGA CATEGORÍA",IF(J318="No","⚠ SAVE RECEIPT / GUARDA RECIBO","✔ OK")),"⚠ ADD DATE / AGREGA FECHA"))</f>
        <v/>
      </c>
      <c r="N318" s="51" t="n">
        <f aca="false">IF(G318="",0,IF(ISNUMBER(B318),1,0))</f>
        <v>0</v>
      </c>
      <c r="O318" s="51" t="n">
        <f aca="false">IF(N318=1,YEAR(B318),0)</f>
        <v>0</v>
      </c>
      <c r="P318" s="51" t="n">
        <f aca="false">IF(N318=1,YEAR(B318)*100+MONTH(B318),0)</f>
        <v>0</v>
      </c>
      <c r="Q318" s="51" t="n">
        <f aca="false">IF(N318=1,IF(J318="No",1,0),0)</f>
        <v>0</v>
      </c>
    </row>
    <row r="319" customFormat="false" ht="15" hidden="false" customHeight="false" outlineLevel="0" collapsed="false">
      <c r="B319" s="52"/>
      <c r="C319" s="53"/>
      <c r="D319" s="53"/>
      <c r="E319" s="53"/>
      <c r="F319" s="53"/>
      <c r="G319" s="54"/>
      <c r="H319" s="55"/>
      <c r="I319" s="56" t="str">
        <f aca="false">IF(G319="","",G319*IF(H319="",1,H319))</f>
        <v/>
      </c>
      <c r="J319" s="57"/>
      <c r="K319" s="53"/>
      <c r="L319" s="58" t="str">
        <f aca="false">IF(G319="","",IF(ISNUMBER(B319),IF(E319="","⚠ ADD CATEGORY / AGREGA CATEGORÍA",IF(J319="No","⚠ SAVE RECEIPT / GUARDA RECIBO","✔ OK")),"⚠ ADD DATE / AGREGA FECHA"))</f>
        <v/>
      </c>
      <c r="N319" s="51" t="n">
        <f aca="false">IF(G319="",0,IF(ISNUMBER(B319),1,0))</f>
        <v>0</v>
      </c>
      <c r="O319" s="51" t="n">
        <f aca="false">IF(N319=1,YEAR(B319),0)</f>
        <v>0</v>
      </c>
      <c r="P319" s="51" t="n">
        <f aca="false">IF(N319=1,YEAR(B319)*100+MONTH(B319),0)</f>
        <v>0</v>
      </c>
      <c r="Q319" s="51" t="n">
        <f aca="false">IF(N319=1,IF(J319="No",1,0),0)</f>
        <v>0</v>
      </c>
    </row>
    <row r="320" customFormat="false" ht="15" hidden="false" customHeight="false" outlineLevel="0" collapsed="false">
      <c r="B320" s="52"/>
      <c r="C320" s="53"/>
      <c r="D320" s="53"/>
      <c r="E320" s="53"/>
      <c r="F320" s="53"/>
      <c r="G320" s="54"/>
      <c r="H320" s="55"/>
      <c r="I320" s="56" t="str">
        <f aca="false">IF(G320="","",G320*IF(H320="",1,H320))</f>
        <v/>
      </c>
      <c r="J320" s="57"/>
      <c r="K320" s="53"/>
      <c r="L320" s="58" t="str">
        <f aca="false">IF(G320="","",IF(ISNUMBER(B320),IF(E320="","⚠ ADD CATEGORY / AGREGA CATEGORÍA",IF(J320="No","⚠ SAVE RECEIPT / GUARDA RECIBO","✔ OK")),"⚠ ADD DATE / AGREGA FECHA"))</f>
        <v/>
      </c>
      <c r="N320" s="51" t="n">
        <f aca="false">IF(G320="",0,IF(ISNUMBER(B320),1,0))</f>
        <v>0</v>
      </c>
      <c r="O320" s="51" t="n">
        <f aca="false">IF(N320=1,YEAR(B320),0)</f>
        <v>0</v>
      </c>
      <c r="P320" s="51" t="n">
        <f aca="false">IF(N320=1,YEAR(B320)*100+MONTH(B320),0)</f>
        <v>0</v>
      </c>
      <c r="Q320" s="51" t="n">
        <f aca="false">IF(N320=1,IF(J320="No",1,0),0)</f>
        <v>0</v>
      </c>
    </row>
    <row r="321" customFormat="false" ht="15" hidden="false" customHeight="false" outlineLevel="0" collapsed="false">
      <c r="B321" s="52"/>
      <c r="C321" s="53"/>
      <c r="D321" s="53"/>
      <c r="E321" s="53"/>
      <c r="F321" s="53"/>
      <c r="G321" s="54"/>
      <c r="H321" s="55"/>
      <c r="I321" s="56" t="str">
        <f aca="false">IF(G321="","",G321*IF(H321="",1,H321))</f>
        <v/>
      </c>
      <c r="J321" s="57"/>
      <c r="K321" s="53"/>
      <c r="L321" s="58" t="str">
        <f aca="false">IF(G321="","",IF(ISNUMBER(B321),IF(E321="","⚠ ADD CATEGORY / AGREGA CATEGORÍA",IF(J321="No","⚠ SAVE RECEIPT / GUARDA RECIBO","✔ OK")),"⚠ ADD DATE / AGREGA FECHA"))</f>
        <v/>
      </c>
      <c r="N321" s="51" t="n">
        <f aca="false">IF(G321="",0,IF(ISNUMBER(B321),1,0))</f>
        <v>0</v>
      </c>
      <c r="O321" s="51" t="n">
        <f aca="false">IF(N321=1,YEAR(B321),0)</f>
        <v>0</v>
      </c>
      <c r="P321" s="51" t="n">
        <f aca="false">IF(N321=1,YEAR(B321)*100+MONTH(B321),0)</f>
        <v>0</v>
      </c>
      <c r="Q321" s="51" t="n">
        <f aca="false">IF(N321=1,IF(J321="No",1,0),0)</f>
        <v>0</v>
      </c>
    </row>
    <row r="322" customFormat="false" ht="15" hidden="false" customHeight="false" outlineLevel="0" collapsed="false">
      <c r="B322" s="52"/>
      <c r="C322" s="53"/>
      <c r="D322" s="53"/>
      <c r="E322" s="53"/>
      <c r="F322" s="53"/>
      <c r="G322" s="54"/>
      <c r="H322" s="55"/>
      <c r="I322" s="56" t="str">
        <f aca="false">IF(G322="","",G322*IF(H322="",1,H322))</f>
        <v/>
      </c>
      <c r="J322" s="57"/>
      <c r="K322" s="53"/>
      <c r="L322" s="58" t="str">
        <f aca="false">IF(G322="","",IF(ISNUMBER(B322),IF(E322="","⚠ ADD CATEGORY / AGREGA CATEGORÍA",IF(J322="No","⚠ SAVE RECEIPT / GUARDA RECIBO","✔ OK")),"⚠ ADD DATE / AGREGA FECHA"))</f>
        <v/>
      </c>
      <c r="N322" s="51" t="n">
        <f aca="false">IF(G322="",0,IF(ISNUMBER(B322),1,0))</f>
        <v>0</v>
      </c>
      <c r="O322" s="51" t="n">
        <f aca="false">IF(N322=1,YEAR(B322),0)</f>
        <v>0</v>
      </c>
      <c r="P322" s="51" t="n">
        <f aca="false">IF(N322=1,YEAR(B322)*100+MONTH(B322),0)</f>
        <v>0</v>
      </c>
      <c r="Q322" s="51" t="n">
        <f aca="false">IF(N322=1,IF(J322="No",1,0),0)</f>
        <v>0</v>
      </c>
    </row>
    <row r="323" customFormat="false" ht="15" hidden="false" customHeight="false" outlineLevel="0" collapsed="false">
      <c r="B323" s="52"/>
      <c r="C323" s="53"/>
      <c r="D323" s="53"/>
      <c r="E323" s="53"/>
      <c r="F323" s="53"/>
      <c r="G323" s="54"/>
      <c r="H323" s="55"/>
      <c r="I323" s="56" t="str">
        <f aca="false">IF(G323="","",G323*IF(H323="",1,H323))</f>
        <v/>
      </c>
      <c r="J323" s="57"/>
      <c r="K323" s="53"/>
      <c r="L323" s="58" t="str">
        <f aca="false">IF(G323="","",IF(ISNUMBER(B323),IF(E323="","⚠ ADD CATEGORY / AGREGA CATEGORÍA",IF(J323="No","⚠ SAVE RECEIPT / GUARDA RECIBO","✔ OK")),"⚠ ADD DATE / AGREGA FECHA"))</f>
        <v/>
      </c>
      <c r="N323" s="51" t="n">
        <f aca="false">IF(G323="",0,IF(ISNUMBER(B323),1,0))</f>
        <v>0</v>
      </c>
      <c r="O323" s="51" t="n">
        <f aca="false">IF(N323=1,YEAR(B323),0)</f>
        <v>0</v>
      </c>
      <c r="P323" s="51" t="n">
        <f aca="false">IF(N323=1,YEAR(B323)*100+MONTH(B323),0)</f>
        <v>0</v>
      </c>
      <c r="Q323" s="51" t="n">
        <f aca="false">IF(N323=1,IF(J323="No",1,0),0)</f>
        <v>0</v>
      </c>
    </row>
    <row r="324" customFormat="false" ht="15" hidden="false" customHeight="false" outlineLevel="0" collapsed="false">
      <c r="B324" s="52"/>
      <c r="C324" s="53"/>
      <c r="D324" s="53"/>
      <c r="E324" s="53"/>
      <c r="F324" s="53"/>
      <c r="G324" s="54"/>
      <c r="H324" s="55"/>
      <c r="I324" s="56" t="str">
        <f aca="false">IF(G324="","",G324*IF(H324="",1,H324))</f>
        <v/>
      </c>
      <c r="J324" s="57"/>
      <c r="K324" s="53"/>
      <c r="L324" s="58" t="str">
        <f aca="false">IF(G324="","",IF(ISNUMBER(B324),IF(E324="","⚠ ADD CATEGORY / AGREGA CATEGORÍA",IF(J324="No","⚠ SAVE RECEIPT / GUARDA RECIBO","✔ OK")),"⚠ ADD DATE / AGREGA FECHA"))</f>
        <v/>
      </c>
      <c r="N324" s="51" t="n">
        <f aca="false">IF(G324="",0,IF(ISNUMBER(B324),1,0))</f>
        <v>0</v>
      </c>
      <c r="O324" s="51" t="n">
        <f aca="false">IF(N324=1,YEAR(B324),0)</f>
        <v>0</v>
      </c>
      <c r="P324" s="51" t="n">
        <f aca="false">IF(N324=1,YEAR(B324)*100+MONTH(B324),0)</f>
        <v>0</v>
      </c>
      <c r="Q324" s="51" t="n">
        <f aca="false">IF(N324=1,IF(J324="No",1,0),0)</f>
        <v>0</v>
      </c>
    </row>
    <row r="325" customFormat="false" ht="15" hidden="false" customHeight="false" outlineLevel="0" collapsed="false">
      <c r="B325" s="52"/>
      <c r="C325" s="53"/>
      <c r="D325" s="53"/>
      <c r="E325" s="53"/>
      <c r="F325" s="53"/>
      <c r="G325" s="54"/>
      <c r="H325" s="55"/>
      <c r="I325" s="56" t="str">
        <f aca="false">IF(G325="","",G325*IF(H325="",1,H325))</f>
        <v/>
      </c>
      <c r="J325" s="57"/>
      <c r="K325" s="53"/>
      <c r="L325" s="58" t="str">
        <f aca="false">IF(G325="","",IF(ISNUMBER(B325),IF(E325="","⚠ ADD CATEGORY / AGREGA CATEGORÍA",IF(J325="No","⚠ SAVE RECEIPT / GUARDA RECIBO","✔ OK")),"⚠ ADD DATE / AGREGA FECHA"))</f>
        <v/>
      </c>
      <c r="N325" s="51" t="n">
        <f aca="false">IF(G325="",0,IF(ISNUMBER(B325),1,0))</f>
        <v>0</v>
      </c>
      <c r="O325" s="51" t="n">
        <f aca="false">IF(N325=1,YEAR(B325),0)</f>
        <v>0</v>
      </c>
      <c r="P325" s="51" t="n">
        <f aca="false">IF(N325=1,YEAR(B325)*100+MONTH(B325),0)</f>
        <v>0</v>
      </c>
      <c r="Q325" s="51" t="n">
        <f aca="false">IF(N325=1,IF(J325="No",1,0),0)</f>
        <v>0</v>
      </c>
    </row>
    <row r="326" customFormat="false" ht="15" hidden="false" customHeight="false" outlineLevel="0" collapsed="false">
      <c r="B326" s="52"/>
      <c r="C326" s="53"/>
      <c r="D326" s="53"/>
      <c r="E326" s="53"/>
      <c r="F326" s="53"/>
      <c r="G326" s="54"/>
      <c r="H326" s="55"/>
      <c r="I326" s="56" t="str">
        <f aca="false">IF(G326="","",G326*IF(H326="",1,H326))</f>
        <v/>
      </c>
      <c r="J326" s="57"/>
      <c r="K326" s="53"/>
      <c r="L326" s="58" t="str">
        <f aca="false">IF(G326="","",IF(ISNUMBER(B326),IF(E326="","⚠ ADD CATEGORY / AGREGA CATEGORÍA",IF(J326="No","⚠ SAVE RECEIPT / GUARDA RECIBO","✔ OK")),"⚠ ADD DATE / AGREGA FECHA"))</f>
        <v/>
      </c>
      <c r="N326" s="51" t="n">
        <f aca="false">IF(G326="",0,IF(ISNUMBER(B326),1,0))</f>
        <v>0</v>
      </c>
      <c r="O326" s="51" t="n">
        <f aca="false">IF(N326=1,YEAR(B326),0)</f>
        <v>0</v>
      </c>
      <c r="P326" s="51" t="n">
        <f aca="false">IF(N326=1,YEAR(B326)*100+MONTH(B326),0)</f>
        <v>0</v>
      </c>
      <c r="Q326" s="51" t="n">
        <f aca="false">IF(N326=1,IF(J326="No",1,0),0)</f>
        <v>0</v>
      </c>
    </row>
    <row r="327" customFormat="false" ht="15" hidden="false" customHeight="false" outlineLevel="0" collapsed="false">
      <c r="B327" s="52"/>
      <c r="C327" s="53"/>
      <c r="D327" s="53"/>
      <c r="E327" s="53"/>
      <c r="F327" s="53"/>
      <c r="G327" s="54"/>
      <c r="H327" s="55"/>
      <c r="I327" s="56" t="str">
        <f aca="false">IF(G327="","",G327*IF(H327="",1,H327))</f>
        <v/>
      </c>
      <c r="J327" s="57"/>
      <c r="K327" s="53"/>
      <c r="L327" s="58" t="str">
        <f aca="false">IF(G327="","",IF(ISNUMBER(B327),IF(E327="","⚠ ADD CATEGORY / AGREGA CATEGORÍA",IF(J327="No","⚠ SAVE RECEIPT / GUARDA RECIBO","✔ OK")),"⚠ ADD DATE / AGREGA FECHA"))</f>
        <v/>
      </c>
      <c r="N327" s="51" t="n">
        <f aca="false">IF(G327="",0,IF(ISNUMBER(B327),1,0))</f>
        <v>0</v>
      </c>
      <c r="O327" s="51" t="n">
        <f aca="false">IF(N327=1,YEAR(B327),0)</f>
        <v>0</v>
      </c>
      <c r="P327" s="51" t="n">
        <f aca="false">IF(N327=1,YEAR(B327)*100+MONTH(B327),0)</f>
        <v>0</v>
      </c>
      <c r="Q327" s="51" t="n">
        <f aca="false">IF(N327=1,IF(J327="No",1,0),0)</f>
        <v>0</v>
      </c>
    </row>
    <row r="328" customFormat="false" ht="15" hidden="false" customHeight="false" outlineLevel="0" collapsed="false">
      <c r="B328" s="52"/>
      <c r="C328" s="53"/>
      <c r="D328" s="53"/>
      <c r="E328" s="53"/>
      <c r="F328" s="53"/>
      <c r="G328" s="54"/>
      <c r="H328" s="55"/>
      <c r="I328" s="56" t="str">
        <f aca="false">IF(G328="","",G328*IF(H328="",1,H328))</f>
        <v/>
      </c>
      <c r="J328" s="57"/>
      <c r="K328" s="53"/>
      <c r="L328" s="58" t="str">
        <f aca="false">IF(G328="","",IF(ISNUMBER(B328),IF(E328="","⚠ ADD CATEGORY / AGREGA CATEGORÍA",IF(J328="No","⚠ SAVE RECEIPT / GUARDA RECIBO","✔ OK")),"⚠ ADD DATE / AGREGA FECHA"))</f>
        <v/>
      </c>
      <c r="N328" s="51" t="n">
        <f aca="false">IF(G328="",0,IF(ISNUMBER(B328),1,0))</f>
        <v>0</v>
      </c>
      <c r="O328" s="51" t="n">
        <f aca="false">IF(N328=1,YEAR(B328),0)</f>
        <v>0</v>
      </c>
      <c r="P328" s="51" t="n">
        <f aca="false">IF(N328=1,YEAR(B328)*100+MONTH(B328),0)</f>
        <v>0</v>
      </c>
      <c r="Q328" s="51" t="n">
        <f aca="false">IF(N328=1,IF(J328="No",1,0),0)</f>
        <v>0</v>
      </c>
    </row>
    <row r="329" customFormat="false" ht="15" hidden="false" customHeight="false" outlineLevel="0" collapsed="false">
      <c r="B329" s="52"/>
      <c r="C329" s="53"/>
      <c r="D329" s="53"/>
      <c r="E329" s="53"/>
      <c r="F329" s="53"/>
      <c r="G329" s="54"/>
      <c r="H329" s="55"/>
      <c r="I329" s="56" t="str">
        <f aca="false">IF(G329="","",G329*IF(H329="",1,H329))</f>
        <v/>
      </c>
      <c r="J329" s="57"/>
      <c r="K329" s="53"/>
      <c r="L329" s="58" t="str">
        <f aca="false">IF(G329="","",IF(ISNUMBER(B329),IF(E329="","⚠ ADD CATEGORY / AGREGA CATEGORÍA",IF(J329="No","⚠ SAVE RECEIPT / GUARDA RECIBO","✔ OK")),"⚠ ADD DATE / AGREGA FECHA"))</f>
        <v/>
      </c>
      <c r="N329" s="51" t="n">
        <f aca="false">IF(G329="",0,IF(ISNUMBER(B329),1,0))</f>
        <v>0</v>
      </c>
      <c r="O329" s="51" t="n">
        <f aca="false">IF(N329=1,YEAR(B329),0)</f>
        <v>0</v>
      </c>
      <c r="P329" s="51" t="n">
        <f aca="false">IF(N329=1,YEAR(B329)*100+MONTH(B329),0)</f>
        <v>0</v>
      </c>
      <c r="Q329" s="51" t="n">
        <f aca="false">IF(N329=1,IF(J329="No",1,0),0)</f>
        <v>0</v>
      </c>
    </row>
    <row r="330" customFormat="false" ht="15" hidden="false" customHeight="false" outlineLevel="0" collapsed="false">
      <c r="B330" s="52"/>
      <c r="C330" s="53"/>
      <c r="D330" s="53"/>
      <c r="E330" s="53"/>
      <c r="F330" s="53"/>
      <c r="G330" s="54"/>
      <c r="H330" s="55"/>
      <c r="I330" s="56" t="str">
        <f aca="false">IF(G330="","",G330*IF(H330="",1,H330))</f>
        <v/>
      </c>
      <c r="J330" s="57"/>
      <c r="K330" s="53"/>
      <c r="L330" s="58" t="str">
        <f aca="false">IF(G330="","",IF(ISNUMBER(B330),IF(E330="","⚠ ADD CATEGORY / AGREGA CATEGORÍA",IF(J330="No","⚠ SAVE RECEIPT / GUARDA RECIBO","✔ OK")),"⚠ ADD DATE / AGREGA FECHA"))</f>
        <v/>
      </c>
      <c r="N330" s="51" t="n">
        <f aca="false">IF(G330="",0,IF(ISNUMBER(B330),1,0))</f>
        <v>0</v>
      </c>
      <c r="O330" s="51" t="n">
        <f aca="false">IF(N330=1,YEAR(B330),0)</f>
        <v>0</v>
      </c>
      <c r="P330" s="51" t="n">
        <f aca="false">IF(N330=1,YEAR(B330)*100+MONTH(B330),0)</f>
        <v>0</v>
      </c>
      <c r="Q330" s="51" t="n">
        <f aca="false">IF(N330=1,IF(J330="No",1,0),0)</f>
        <v>0</v>
      </c>
    </row>
    <row r="331" customFormat="false" ht="15" hidden="false" customHeight="false" outlineLevel="0" collapsed="false">
      <c r="B331" s="52"/>
      <c r="C331" s="53"/>
      <c r="D331" s="53"/>
      <c r="E331" s="53"/>
      <c r="F331" s="53"/>
      <c r="G331" s="54"/>
      <c r="H331" s="55"/>
      <c r="I331" s="56" t="str">
        <f aca="false">IF(G331="","",G331*IF(H331="",1,H331))</f>
        <v/>
      </c>
      <c r="J331" s="57"/>
      <c r="K331" s="53"/>
      <c r="L331" s="58" t="str">
        <f aca="false">IF(G331="","",IF(ISNUMBER(B331),IF(E331="","⚠ ADD CATEGORY / AGREGA CATEGORÍA",IF(J331="No","⚠ SAVE RECEIPT / GUARDA RECIBO","✔ OK")),"⚠ ADD DATE / AGREGA FECHA"))</f>
        <v/>
      </c>
      <c r="N331" s="51" t="n">
        <f aca="false">IF(G331="",0,IF(ISNUMBER(B331),1,0))</f>
        <v>0</v>
      </c>
      <c r="O331" s="51" t="n">
        <f aca="false">IF(N331=1,YEAR(B331),0)</f>
        <v>0</v>
      </c>
      <c r="P331" s="51" t="n">
        <f aca="false">IF(N331=1,YEAR(B331)*100+MONTH(B331),0)</f>
        <v>0</v>
      </c>
      <c r="Q331" s="51" t="n">
        <f aca="false">IF(N331=1,IF(J331="No",1,0),0)</f>
        <v>0</v>
      </c>
    </row>
    <row r="332" customFormat="false" ht="15" hidden="false" customHeight="false" outlineLevel="0" collapsed="false">
      <c r="B332" s="52"/>
      <c r="C332" s="53"/>
      <c r="D332" s="53"/>
      <c r="E332" s="53"/>
      <c r="F332" s="53"/>
      <c r="G332" s="54"/>
      <c r="H332" s="55"/>
      <c r="I332" s="56" t="str">
        <f aca="false">IF(G332="","",G332*IF(H332="",1,H332))</f>
        <v/>
      </c>
      <c r="J332" s="57"/>
      <c r="K332" s="53"/>
      <c r="L332" s="58" t="str">
        <f aca="false">IF(G332="","",IF(ISNUMBER(B332),IF(E332="","⚠ ADD CATEGORY / AGREGA CATEGORÍA",IF(J332="No","⚠ SAVE RECEIPT / GUARDA RECIBO","✔ OK")),"⚠ ADD DATE / AGREGA FECHA"))</f>
        <v/>
      </c>
      <c r="N332" s="51" t="n">
        <f aca="false">IF(G332="",0,IF(ISNUMBER(B332),1,0))</f>
        <v>0</v>
      </c>
      <c r="O332" s="51" t="n">
        <f aca="false">IF(N332=1,YEAR(B332),0)</f>
        <v>0</v>
      </c>
      <c r="P332" s="51" t="n">
        <f aca="false">IF(N332=1,YEAR(B332)*100+MONTH(B332),0)</f>
        <v>0</v>
      </c>
      <c r="Q332" s="51" t="n">
        <f aca="false">IF(N332=1,IF(J332="No",1,0),0)</f>
        <v>0</v>
      </c>
    </row>
    <row r="333" customFormat="false" ht="15" hidden="false" customHeight="false" outlineLevel="0" collapsed="false">
      <c r="B333" s="52"/>
      <c r="C333" s="53"/>
      <c r="D333" s="53"/>
      <c r="E333" s="53"/>
      <c r="F333" s="53"/>
      <c r="G333" s="54"/>
      <c r="H333" s="55"/>
      <c r="I333" s="56" t="str">
        <f aca="false">IF(G333="","",G333*IF(H333="",1,H333))</f>
        <v/>
      </c>
      <c r="J333" s="57"/>
      <c r="K333" s="53"/>
      <c r="L333" s="58" t="str">
        <f aca="false">IF(G333="","",IF(ISNUMBER(B333),IF(E333="","⚠ ADD CATEGORY / AGREGA CATEGORÍA",IF(J333="No","⚠ SAVE RECEIPT / GUARDA RECIBO","✔ OK")),"⚠ ADD DATE / AGREGA FECHA"))</f>
        <v/>
      </c>
      <c r="N333" s="51" t="n">
        <f aca="false">IF(G333="",0,IF(ISNUMBER(B333),1,0))</f>
        <v>0</v>
      </c>
      <c r="O333" s="51" t="n">
        <f aca="false">IF(N333=1,YEAR(B333),0)</f>
        <v>0</v>
      </c>
      <c r="P333" s="51" t="n">
        <f aca="false">IF(N333=1,YEAR(B333)*100+MONTH(B333),0)</f>
        <v>0</v>
      </c>
      <c r="Q333" s="51" t="n">
        <f aca="false">IF(N333=1,IF(J333="No",1,0),0)</f>
        <v>0</v>
      </c>
    </row>
    <row r="334" customFormat="false" ht="15" hidden="false" customHeight="false" outlineLevel="0" collapsed="false">
      <c r="B334" s="52"/>
      <c r="C334" s="53"/>
      <c r="D334" s="53"/>
      <c r="E334" s="53"/>
      <c r="F334" s="53"/>
      <c r="G334" s="54"/>
      <c r="H334" s="55"/>
      <c r="I334" s="56" t="str">
        <f aca="false">IF(G334="","",G334*IF(H334="",1,H334))</f>
        <v/>
      </c>
      <c r="J334" s="57"/>
      <c r="K334" s="53"/>
      <c r="L334" s="58" t="str">
        <f aca="false">IF(G334="","",IF(ISNUMBER(B334),IF(E334="","⚠ ADD CATEGORY / AGREGA CATEGORÍA",IF(J334="No","⚠ SAVE RECEIPT / GUARDA RECIBO","✔ OK")),"⚠ ADD DATE / AGREGA FECHA"))</f>
        <v/>
      </c>
      <c r="N334" s="51" t="n">
        <f aca="false">IF(G334="",0,IF(ISNUMBER(B334),1,0))</f>
        <v>0</v>
      </c>
      <c r="O334" s="51" t="n">
        <f aca="false">IF(N334=1,YEAR(B334),0)</f>
        <v>0</v>
      </c>
      <c r="P334" s="51" t="n">
        <f aca="false">IF(N334=1,YEAR(B334)*100+MONTH(B334),0)</f>
        <v>0</v>
      </c>
      <c r="Q334" s="51" t="n">
        <f aca="false">IF(N334=1,IF(J334="No",1,0),0)</f>
        <v>0</v>
      </c>
    </row>
    <row r="335" customFormat="false" ht="15" hidden="false" customHeight="false" outlineLevel="0" collapsed="false">
      <c r="B335" s="52"/>
      <c r="C335" s="53"/>
      <c r="D335" s="53"/>
      <c r="E335" s="53"/>
      <c r="F335" s="53"/>
      <c r="G335" s="54"/>
      <c r="H335" s="55"/>
      <c r="I335" s="56" t="str">
        <f aca="false">IF(G335="","",G335*IF(H335="",1,H335))</f>
        <v/>
      </c>
      <c r="J335" s="57"/>
      <c r="K335" s="53"/>
      <c r="L335" s="58" t="str">
        <f aca="false">IF(G335="","",IF(ISNUMBER(B335),IF(E335="","⚠ ADD CATEGORY / AGREGA CATEGORÍA",IF(J335="No","⚠ SAVE RECEIPT / GUARDA RECIBO","✔ OK")),"⚠ ADD DATE / AGREGA FECHA"))</f>
        <v/>
      </c>
      <c r="N335" s="51" t="n">
        <f aca="false">IF(G335="",0,IF(ISNUMBER(B335),1,0))</f>
        <v>0</v>
      </c>
      <c r="O335" s="51" t="n">
        <f aca="false">IF(N335=1,YEAR(B335),0)</f>
        <v>0</v>
      </c>
      <c r="P335" s="51" t="n">
        <f aca="false">IF(N335=1,YEAR(B335)*100+MONTH(B335),0)</f>
        <v>0</v>
      </c>
      <c r="Q335" s="51" t="n">
        <f aca="false">IF(N335=1,IF(J335="No",1,0),0)</f>
        <v>0</v>
      </c>
    </row>
    <row r="336" customFormat="false" ht="15" hidden="false" customHeight="false" outlineLevel="0" collapsed="false">
      <c r="B336" s="52"/>
      <c r="C336" s="53"/>
      <c r="D336" s="53"/>
      <c r="E336" s="53"/>
      <c r="F336" s="53"/>
      <c r="G336" s="54"/>
      <c r="H336" s="55"/>
      <c r="I336" s="56" t="str">
        <f aca="false">IF(G336="","",G336*IF(H336="",1,H336))</f>
        <v/>
      </c>
      <c r="J336" s="57"/>
      <c r="K336" s="53"/>
      <c r="L336" s="58" t="str">
        <f aca="false">IF(G336="","",IF(ISNUMBER(B336),IF(E336="","⚠ ADD CATEGORY / AGREGA CATEGORÍA",IF(J336="No","⚠ SAVE RECEIPT / GUARDA RECIBO","✔ OK")),"⚠ ADD DATE / AGREGA FECHA"))</f>
        <v/>
      </c>
      <c r="N336" s="51" t="n">
        <f aca="false">IF(G336="",0,IF(ISNUMBER(B336),1,0))</f>
        <v>0</v>
      </c>
      <c r="O336" s="51" t="n">
        <f aca="false">IF(N336=1,YEAR(B336),0)</f>
        <v>0</v>
      </c>
      <c r="P336" s="51" t="n">
        <f aca="false">IF(N336=1,YEAR(B336)*100+MONTH(B336),0)</f>
        <v>0</v>
      </c>
      <c r="Q336" s="51" t="n">
        <f aca="false">IF(N336=1,IF(J336="No",1,0),0)</f>
        <v>0</v>
      </c>
    </row>
    <row r="337" customFormat="false" ht="15" hidden="false" customHeight="false" outlineLevel="0" collapsed="false">
      <c r="B337" s="52"/>
      <c r="C337" s="53"/>
      <c r="D337" s="53"/>
      <c r="E337" s="53"/>
      <c r="F337" s="53"/>
      <c r="G337" s="54"/>
      <c r="H337" s="55"/>
      <c r="I337" s="56" t="str">
        <f aca="false">IF(G337="","",G337*IF(H337="",1,H337))</f>
        <v/>
      </c>
      <c r="J337" s="57"/>
      <c r="K337" s="53"/>
      <c r="L337" s="58" t="str">
        <f aca="false">IF(G337="","",IF(ISNUMBER(B337),IF(E337="","⚠ ADD CATEGORY / AGREGA CATEGORÍA",IF(J337="No","⚠ SAVE RECEIPT / GUARDA RECIBO","✔ OK")),"⚠ ADD DATE / AGREGA FECHA"))</f>
        <v/>
      </c>
      <c r="N337" s="51" t="n">
        <f aca="false">IF(G337="",0,IF(ISNUMBER(B337),1,0))</f>
        <v>0</v>
      </c>
      <c r="O337" s="51" t="n">
        <f aca="false">IF(N337=1,YEAR(B337),0)</f>
        <v>0</v>
      </c>
      <c r="P337" s="51" t="n">
        <f aca="false">IF(N337=1,YEAR(B337)*100+MONTH(B337),0)</f>
        <v>0</v>
      </c>
      <c r="Q337" s="51" t="n">
        <f aca="false">IF(N337=1,IF(J337="No",1,0),0)</f>
        <v>0</v>
      </c>
    </row>
    <row r="338" customFormat="false" ht="15" hidden="false" customHeight="false" outlineLevel="0" collapsed="false">
      <c r="B338" s="52"/>
      <c r="C338" s="53"/>
      <c r="D338" s="53"/>
      <c r="E338" s="53"/>
      <c r="F338" s="53"/>
      <c r="G338" s="54"/>
      <c r="H338" s="55"/>
      <c r="I338" s="56" t="str">
        <f aca="false">IF(G338="","",G338*IF(H338="",1,H338))</f>
        <v/>
      </c>
      <c r="J338" s="57"/>
      <c r="K338" s="53"/>
      <c r="L338" s="58" t="str">
        <f aca="false">IF(G338="","",IF(ISNUMBER(B338),IF(E338="","⚠ ADD CATEGORY / AGREGA CATEGORÍA",IF(J338="No","⚠ SAVE RECEIPT / GUARDA RECIBO","✔ OK")),"⚠ ADD DATE / AGREGA FECHA"))</f>
        <v/>
      </c>
      <c r="N338" s="51" t="n">
        <f aca="false">IF(G338="",0,IF(ISNUMBER(B338),1,0))</f>
        <v>0</v>
      </c>
      <c r="O338" s="51" t="n">
        <f aca="false">IF(N338=1,YEAR(B338),0)</f>
        <v>0</v>
      </c>
      <c r="P338" s="51" t="n">
        <f aca="false">IF(N338=1,YEAR(B338)*100+MONTH(B338),0)</f>
        <v>0</v>
      </c>
      <c r="Q338" s="51" t="n">
        <f aca="false">IF(N338=1,IF(J338="No",1,0),0)</f>
        <v>0</v>
      </c>
    </row>
    <row r="339" customFormat="false" ht="15" hidden="false" customHeight="false" outlineLevel="0" collapsed="false">
      <c r="B339" s="52"/>
      <c r="C339" s="53"/>
      <c r="D339" s="53"/>
      <c r="E339" s="53"/>
      <c r="F339" s="53"/>
      <c r="G339" s="54"/>
      <c r="H339" s="55"/>
      <c r="I339" s="56" t="str">
        <f aca="false">IF(G339="","",G339*IF(H339="",1,H339))</f>
        <v/>
      </c>
      <c r="J339" s="57"/>
      <c r="K339" s="53"/>
      <c r="L339" s="58" t="str">
        <f aca="false">IF(G339="","",IF(ISNUMBER(B339),IF(E339="","⚠ ADD CATEGORY / AGREGA CATEGORÍA",IF(J339="No","⚠ SAVE RECEIPT / GUARDA RECIBO","✔ OK")),"⚠ ADD DATE / AGREGA FECHA"))</f>
        <v/>
      </c>
      <c r="N339" s="51" t="n">
        <f aca="false">IF(G339="",0,IF(ISNUMBER(B339),1,0))</f>
        <v>0</v>
      </c>
      <c r="O339" s="51" t="n">
        <f aca="false">IF(N339=1,YEAR(B339),0)</f>
        <v>0</v>
      </c>
      <c r="P339" s="51" t="n">
        <f aca="false">IF(N339=1,YEAR(B339)*100+MONTH(B339),0)</f>
        <v>0</v>
      </c>
      <c r="Q339" s="51" t="n">
        <f aca="false">IF(N339=1,IF(J339="No",1,0),0)</f>
        <v>0</v>
      </c>
    </row>
    <row r="340" customFormat="false" ht="15" hidden="false" customHeight="false" outlineLevel="0" collapsed="false">
      <c r="B340" s="52"/>
      <c r="C340" s="53"/>
      <c r="D340" s="53"/>
      <c r="E340" s="53"/>
      <c r="F340" s="53"/>
      <c r="G340" s="54"/>
      <c r="H340" s="55"/>
      <c r="I340" s="56" t="str">
        <f aca="false">IF(G340="","",G340*IF(H340="",1,H340))</f>
        <v/>
      </c>
      <c r="J340" s="57"/>
      <c r="K340" s="53"/>
      <c r="L340" s="58" t="str">
        <f aca="false">IF(G340="","",IF(ISNUMBER(B340),IF(E340="","⚠ ADD CATEGORY / AGREGA CATEGORÍA",IF(J340="No","⚠ SAVE RECEIPT / GUARDA RECIBO","✔ OK")),"⚠ ADD DATE / AGREGA FECHA"))</f>
        <v/>
      </c>
      <c r="N340" s="51" t="n">
        <f aca="false">IF(G340="",0,IF(ISNUMBER(B340),1,0))</f>
        <v>0</v>
      </c>
      <c r="O340" s="51" t="n">
        <f aca="false">IF(N340=1,YEAR(B340),0)</f>
        <v>0</v>
      </c>
      <c r="P340" s="51" t="n">
        <f aca="false">IF(N340=1,YEAR(B340)*100+MONTH(B340),0)</f>
        <v>0</v>
      </c>
      <c r="Q340" s="51" t="n">
        <f aca="false">IF(N340=1,IF(J340="No",1,0),0)</f>
        <v>0</v>
      </c>
    </row>
    <row r="341" customFormat="false" ht="15" hidden="false" customHeight="false" outlineLevel="0" collapsed="false">
      <c r="B341" s="52"/>
      <c r="C341" s="53"/>
      <c r="D341" s="53"/>
      <c r="E341" s="53"/>
      <c r="F341" s="53"/>
      <c r="G341" s="54"/>
      <c r="H341" s="55"/>
      <c r="I341" s="56" t="str">
        <f aca="false">IF(G341="","",G341*IF(H341="",1,H341))</f>
        <v/>
      </c>
      <c r="J341" s="57"/>
      <c r="K341" s="53"/>
      <c r="L341" s="58" t="str">
        <f aca="false">IF(G341="","",IF(ISNUMBER(B341),IF(E341="","⚠ ADD CATEGORY / AGREGA CATEGORÍA",IF(J341="No","⚠ SAVE RECEIPT / GUARDA RECIBO","✔ OK")),"⚠ ADD DATE / AGREGA FECHA"))</f>
        <v/>
      </c>
      <c r="N341" s="51" t="n">
        <f aca="false">IF(G341="",0,IF(ISNUMBER(B341),1,0))</f>
        <v>0</v>
      </c>
      <c r="O341" s="51" t="n">
        <f aca="false">IF(N341=1,YEAR(B341),0)</f>
        <v>0</v>
      </c>
      <c r="P341" s="51" t="n">
        <f aca="false">IF(N341=1,YEAR(B341)*100+MONTH(B341),0)</f>
        <v>0</v>
      </c>
      <c r="Q341" s="51" t="n">
        <f aca="false">IF(N341=1,IF(J341="No",1,0),0)</f>
        <v>0</v>
      </c>
    </row>
    <row r="342" customFormat="false" ht="15" hidden="false" customHeight="false" outlineLevel="0" collapsed="false">
      <c r="B342" s="52"/>
      <c r="C342" s="53"/>
      <c r="D342" s="53"/>
      <c r="E342" s="53"/>
      <c r="F342" s="53"/>
      <c r="G342" s="54"/>
      <c r="H342" s="55"/>
      <c r="I342" s="56" t="str">
        <f aca="false">IF(G342="","",G342*IF(H342="",1,H342))</f>
        <v/>
      </c>
      <c r="J342" s="57"/>
      <c r="K342" s="53"/>
      <c r="L342" s="58" t="str">
        <f aca="false">IF(G342="","",IF(ISNUMBER(B342),IF(E342="","⚠ ADD CATEGORY / AGREGA CATEGORÍA",IF(J342="No","⚠ SAVE RECEIPT / GUARDA RECIBO","✔ OK")),"⚠ ADD DATE / AGREGA FECHA"))</f>
        <v/>
      </c>
      <c r="N342" s="51" t="n">
        <f aca="false">IF(G342="",0,IF(ISNUMBER(B342),1,0))</f>
        <v>0</v>
      </c>
      <c r="O342" s="51" t="n">
        <f aca="false">IF(N342=1,YEAR(B342),0)</f>
        <v>0</v>
      </c>
      <c r="P342" s="51" t="n">
        <f aca="false">IF(N342=1,YEAR(B342)*100+MONTH(B342),0)</f>
        <v>0</v>
      </c>
      <c r="Q342" s="51" t="n">
        <f aca="false">IF(N342=1,IF(J342="No",1,0),0)</f>
        <v>0</v>
      </c>
    </row>
    <row r="343" customFormat="false" ht="15" hidden="false" customHeight="false" outlineLevel="0" collapsed="false">
      <c r="B343" s="52"/>
      <c r="C343" s="53"/>
      <c r="D343" s="53"/>
      <c r="E343" s="53"/>
      <c r="F343" s="53"/>
      <c r="G343" s="54"/>
      <c r="H343" s="55"/>
      <c r="I343" s="56" t="str">
        <f aca="false">IF(G343="","",G343*IF(H343="",1,H343))</f>
        <v/>
      </c>
      <c r="J343" s="57"/>
      <c r="K343" s="53"/>
      <c r="L343" s="58" t="str">
        <f aca="false">IF(G343="","",IF(ISNUMBER(B343),IF(E343="","⚠ ADD CATEGORY / AGREGA CATEGORÍA",IF(J343="No","⚠ SAVE RECEIPT / GUARDA RECIBO","✔ OK")),"⚠ ADD DATE / AGREGA FECHA"))</f>
        <v/>
      </c>
      <c r="N343" s="51" t="n">
        <f aca="false">IF(G343="",0,IF(ISNUMBER(B343),1,0))</f>
        <v>0</v>
      </c>
      <c r="O343" s="51" t="n">
        <f aca="false">IF(N343=1,YEAR(B343),0)</f>
        <v>0</v>
      </c>
      <c r="P343" s="51" t="n">
        <f aca="false">IF(N343=1,YEAR(B343)*100+MONTH(B343),0)</f>
        <v>0</v>
      </c>
      <c r="Q343" s="51" t="n">
        <f aca="false">IF(N343=1,IF(J343="No",1,0),0)</f>
        <v>0</v>
      </c>
    </row>
    <row r="344" customFormat="false" ht="15" hidden="false" customHeight="false" outlineLevel="0" collapsed="false">
      <c r="B344" s="52"/>
      <c r="C344" s="53"/>
      <c r="D344" s="53"/>
      <c r="E344" s="53"/>
      <c r="F344" s="53"/>
      <c r="G344" s="54"/>
      <c r="H344" s="55"/>
      <c r="I344" s="56" t="str">
        <f aca="false">IF(G344="","",G344*IF(H344="",1,H344))</f>
        <v/>
      </c>
      <c r="J344" s="57"/>
      <c r="K344" s="53"/>
      <c r="L344" s="58" t="str">
        <f aca="false">IF(G344="","",IF(ISNUMBER(B344),IF(E344="","⚠ ADD CATEGORY / AGREGA CATEGORÍA",IF(J344="No","⚠ SAVE RECEIPT / GUARDA RECIBO","✔ OK")),"⚠ ADD DATE / AGREGA FECHA"))</f>
        <v/>
      </c>
      <c r="N344" s="51" t="n">
        <f aca="false">IF(G344="",0,IF(ISNUMBER(B344),1,0))</f>
        <v>0</v>
      </c>
      <c r="O344" s="51" t="n">
        <f aca="false">IF(N344=1,YEAR(B344),0)</f>
        <v>0</v>
      </c>
      <c r="P344" s="51" t="n">
        <f aca="false">IF(N344=1,YEAR(B344)*100+MONTH(B344),0)</f>
        <v>0</v>
      </c>
      <c r="Q344" s="51" t="n">
        <f aca="false">IF(N344=1,IF(J344="No",1,0),0)</f>
        <v>0</v>
      </c>
    </row>
    <row r="345" customFormat="false" ht="15" hidden="false" customHeight="false" outlineLevel="0" collapsed="false">
      <c r="B345" s="52"/>
      <c r="C345" s="53"/>
      <c r="D345" s="53"/>
      <c r="E345" s="53"/>
      <c r="F345" s="53"/>
      <c r="G345" s="54"/>
      <c r="H345" s="55"/>
      <c r="I345" s="56" t="str">
        <f aca="false">IF(G345="","",G345*IF(H345="",1,H345))</f>
        <v/>
      </c>
      <c r="J345" s="57"/>
      <c r="K345" s="53"/>
      <c r="L345" s="58" t="str">
        <f aca="false">IF(G345="","",IF(ISNUMBER(B345),IF(E345="","⚠ ADD CATEGORY / AGREGA CATEGORÍA",IF(J345="No","⚠ SAVE RECEIPT / GUARDA RECIBO","✔ OK")),"⚠ ADD DATE / AGREGA FECHA"))</f>
        <v/>
      </c>
      <c r="N345" s="51" t="n">
        <f aca="false">IF(G345="",0,IF(ISNUMBER(B345),1,0))</f>
        <v>0</v>
      </c>
      <c r="O345" s="51" t="n">
        <f aca="false">IF(N345=1,YEAR(B345),0)</f>
        <v>0</v>
      </c>
      <c r="P345" s="51" t="n">
        <f aca="false">IF(N345=1,YEAR(B345)*100+MONTH(B345),0)</f>
        <v>0</v>
      </c>
      <c r="Q345" s="51" t="n">
        <f aca="false">IF(N345=1,IF(J345="No",1,0),0)</f>
        <v>0</v>
      </c>
    </row>
    <row r="346" customFormat="false" ht="15" hidden="false" customHeight="false" outlineLevel="0" collapsed="false">
      <c r="B346" s="52"/>
      <c r="C346" s="53"/>
      <c r="D346" s="53"/>
      <c r="E346" s="53"/>
      <c r="F346" s="53"/>
      <c r="G346" s="54"/>
      <c r="H346" s="55"/>
      <c r="I346" s="56" t="str">
        <f aca="false">IF(G346="","",G346*IF(H346="",1,H346))</f>
        <v/>
      </c>
      <c r="J346" s="57"/>
      <c r="K346" s="53"/>
      <c r="L346" s="58" t="str">
        <f aca="false">IF(G346="","",IF(ISNUMBER(B346),IF(E346="","⚠ ADD CATEGORY / AGREGA CATEGORÍA",IF(J346="No","⚠ SAVE RECEIPT / GUARDA RECIBO","✔ OK")),"⚠ ADD DATE / AGREGA FECHA"))</f>
        <v/>
      </c>
      <c r="N346" s="51" t="n">
        <f aca="false">IF(G346="",0,IF(ISNUMBER(B346),1,0))</f>
        <v>0</v>
      </c>
      <c r="O346" s="51" t="n">
        <f aca="false">IF(N346=1,YEAR(B346),0)</f>
        <v>0</v>
      </c>
      <c r="P346" s="51" t="n">
        <f aca="false">IF(N346=1,YEAR(B346)*100+MONTH(B346),0)</f>
        <v>0</v>
      </c>
      <c r="Q346" s="51" t="n">
        <f aca="false">IF(N346=1,IF(J346="No",1,0),0)</f>
        <v>0</v>
      </c>
    </row>
    <row r="347" customFormat="false" ht="15" hidden="false" customHeight="false" outlineLevel="0" collapsed="false">
      <c r="B347" s="52"/>
      <c r="C347" s="53"/>
      <c r="D347" s="53"/>
      <c r="E347" s="53"/>
      <c r="F347" s="53"/>
      <c r="G347" s="54"/>
      <c r="H347" s="55"/>
      <c r="I347" s="56" t="str">
        <f aca="false">IF(G347="","",G347*IF(H347="",1,H347))</f>
        <v/>
      </c>
      <c r="J347" s="57"/>
      <c r="K347" s="53"/>
      <c r="L347" s="58" t="str">
        <f aca="false">IF(G347="","",IF(ISNUMBER(B347),IF(E347="","⚠ ADD CATEGORY / AGREGA CATEGORÍA",IF(J347="No","⚠ SAVE RECEIPT / GUARDA RECIBO","✔ OK")),"⚠ ADD DATE / AGREGA FECHA"))</f>
        <v/>
      </c>
      <c r="N347" s="51" t="n">
        <f aca="false">IF(G347="",0,IF(ISNUMBER(B347),1,0))</f>
        <v>0</v>
      </c>
      <c r="O347" s="51" t="n">
        <f aca="false">IF(N347=1,YEAR(B347),0)</f>
        <v>0</v>
      </c>
      <c r="P347" s="51" t="n">
        <f aca="false">IF(N347=1,YEAR(B347)*100+MONTH(B347),0)</f>
        <v>0</v>
      </c>
      <c r="Q347" s="51" t="n">
        <f aca="false">IF(N347=1,IF(J347="No",1,0),0)</f>
        <v>0</v>
      </c>
    </row>
    <row r="348" customFormat="false" ht="15" hidden="false" customHeight="false" outlineLevel="0" collapsed="false">
      <c r="B348" s="52"/>
      <c r="C348" s="53"/>
      <c r="D348" s="53"/>
      <c r="E348" s="53"/>
      <c r="F348" s="53"/>
      <c r="G348" s="54"/>
      <c r="H348" s="55"/>
      <c r="I348" s="56" t="str">
        <f aca="false">IF(G348="","",G348*IF(H348="",1,H348))</f>
        <v/>
      </c>
      <c r="J348" s="57"/>
      <c r="K348" s="53"/>
      <c r="L348" s="58" t="str">
        <f aca="false">IF(G348="","",IF(ISNUMBER(B348),IF(E348="","⚠ ADD CATEGORY / AGREGA CATEGORÍA",IF(J348="No","⚠ SAVE RECEIPT / GUARDA RECIBO","✔ OK")),"⚠ ADD DATE / AGREGA FECHA"))</f>
        <v/>
      </c>
      <c r="N348" s="51" t="n">
        <f aca="false">IF(G348="",0,IF(ISNUMBER(B348),1,0))</f>
        <v>0</v>
      </c>
      <c r="O348" s="51" t="n">
        <f aca="false">IF(N348=1,YEAR(B348),0)</f>
        <v>0</v>
      </c>
      <c r="P348" s="51" t="n">
        <f aca="false">IF(N348=1,YEAR(B348)*100+MONTH(B348),0)</f>
        <v>0</v>
      </c>
      <c r="Q348" s="51" t="n">
        <f aca="false">IF(N348=1,IF(J348="No",1,0),0)</f>
        <v>0</v>
      </c>
    </row>
    <row r="349" customFormat="false" ht="15" hidden="false" customHeight="false" outlineLevel="0" collapsed="false">
      <c r="B349" s="52"/>
      <c r="C349" s="53"/>
      <c r="D349" s="53"/>
      <c r="E349" s="53"/>
      <c r="F349" s="53"/>
      <c r="G349" s="54"/>
      <c r="H349" s="55"/>
      <c r="I349" s="56" t="str">
        <f aca="false">IF(G349="","",G349*IF(H349="",1,H349))</f>
        <v/>
      </c>
      <c r="J349" s="57"/>
      <c r="K349" s="53"/>
      <c r="L349" s="58" t="str">
        <f aca="false">IF(G349="","",IF(ISNUMBER(B349),IF(E349="","⚠ ADD CATEGORY / AGREGA CATEGORÍA",IF(J349="No","⚠ SAVE RECEIPT / GUARDA RECIBO","✔ OK")),"⚠ ADD DATE / AGREGA FECHA"))</f>
        <v/>
      </c>
      <c r="N349" s="51" t="n">
        <f aca="false">IF(G349="",0,IF(ISNUMBER(B349),1,0))</f>
        <v>0</v>
      </c>
      <c r="O349" s="51" t="n">
        <f aca="false">IF(N349=1,YEAR(B349),0)</f>
        <v>0</v>
      </c>
      <c r="P349" s="51" t="n">
        <f aca="false">IF(N349=1,YEAR(B349)*100+MONTH(B349),0)</f>
        <v>0</v>
      </c>
      <c r="Q349" s="51" t="n">
        <f aca="false">IF(N349=1,IF(J349="No",1,0),0)</f>
        <v>0</v>
      </c>
    </row>
    <row r="350" customFormat="false" ht="15" hidden="false" customHeight="false" outlineLevel="0" collapsed="false">
      <c r="B350" s="52"/>
      <c r="C350" s="53"/>
      <c r="D350" s="53"/>
      <c r="E350" s="53"/>
      <c r="F350" s="53"/>
      <c r="G350" s="54"/>
      <c r="H350" s="55"/>
      <c r="I350" s="56" t="str">
        <f aca="false">IF(G350="","",G350*IF(H350="",1,H350))</f>
        <v/>
      </c>
      <c r="J350" s="57"/>
      <c r="K350" s="53"/>
      <c r="L350" s="58" t="str">
        <f aca="false">IF(G350="","",IF(ISNUMBER(B350),IF(E350="","⚠ ADD CATEGORY / AGREGA CATEGORÍA",IF(J350="No","⚠ SAVE RECEIPT / GUARDA RECIBO","✔ OK")),"⚠ ADD DATE / AGREGA FECHA"))</f>
        <v/>
      </c>
      <c r="N350" s="51" t="n">
        <f aca="false">IF(G350="",0,IF(ISNUMBER(B350),1,0))</f>
        <v>0</v>
      </c>
      <c r="O350" s="51" t="n">
        <f aca="false">IF(N350=1,YEAR(B350),0)</f>
        <v>0</v>
      </c>
      <c r="P350" s="51" t="n">
        <f aca="false">IF(N350=1,YEAR(B350)*100+MONTH(B350),0)</f>
        <v>0</v>
      </c>
      <c r="Q350" s="51" t="n">
        <f aca="false">IF(N350=1,IF(J350="No",1,0),0)</f>
        <v>0</v>
      </c>
    </row>
    <row r="351" customFormat="false" ht="15" hidden="false" customHeight="false" outlineLevel="0" collapsed="false">
      <c r="B351" s="52"/>
      <c r="C351" s="53"/>
      <c r="D351" s="53"/>
      <c r="E351" s="53"/>
      <c r="F351" s="53"/>
      <c r="G351" s="54"/>
      <c r="H351" s="55"/>
      <c r="I351" s="56" t="str">
        <f aca="false">IF(G351="","",G351*IF(H351="",1,H351))</f>
        <v/>
      </c>
      <c r="J351" s="57"/>
      <c r="K351" s="53"/>
      <c r="L351" s="58" t="str">
        <f aca="false">IF(G351="","",IF(ISNUMBER(B351),IF(E351="","⚠ ADD CATEGORY / AGREGA CATEGORÍA",IF(J351="No","⚠ SAVE RECEIPT / GUARDA RECIBO","✔ OK")),"⚠ ADD DATE / AGREGA FECHA"))</f>
        <v/>
      </c>
      <c r="N351" s="51" t="n">
        <f aca="false">IF(G351="",0,IF(ISNUMBER(B351),1,0))</f>
        <v>0</v>
      </c>
      <c r="O351" s="51" t="n">
        <f aca="false">IF(N351=1,YEAR(B351),0)</f>
        <v>0</v>
      </c>
      <c r="P351" s="51" t="n">
        <f aca="false">IF(N351=1,YEAR(B351)*100+MONTH(B351),0)</f>
        <v>0</v>
      </c>
      <c r="Q351" s="51" t="n">
        <f aca="false">IF(N351=1,IF(J351="No",1,0),0)</f>
        <v>0</v>
      </c>
    </row>
    <row r="352" customFormat="false" ht="15" hidden="false" customHeight="false" outlineLevel="0" collapsed="false">
      <c r="B352" s="52"/>
      <c r="C352" s="53"/>
      <c r="D352" s="53"/>
      <c r="E352" s="53"/>
      <c r="F352" s="53"/>
      <c r="G352" s="54"/>
      <c r="H352" s="55"/>
      <c r="I352" s="56" t="str">
        <f aca="false">IF(G352="","",G352*IF(H352="",1,H352))</f>
        <v/>
      </c>
      <c r="J352" s="57"/>
      <c r="K352" s="53"/>
      <c r="L352" s="58" t="str">
        <f aca="false">IF(G352="","",IF(ISNUMBER(B352),IF(E352="","⚠ ADD CATEGORY / AGREGA CATEGORÍA",IF(J352="No","⚠ SAVE RECEIPT / GUARDA RECIBO","✔ OK")),"⚠ ADD DATE / AGREGA FECHA"))</f>
        <v/>
      </c>
      <c r="N352" s="51" t="n">
        <f aca="false">IF(G352="",0,IF(ISNUMBER(B352),1,0))</f>
        <v>0</v>
      </c>
      <c r="O352" s="51" t="n">
        <f aca="false">IF(N352=1,YEAR(B352),0)</f>
        <v>0</v>
      </c>
      <c r="P352" s="51" t="n">
        <f aca="false">IF(N352=1,YEAR(B352)*100+MONTH(B352),0)</f>
        <v>0</v>
      </c>
      <c r="Q352" s="51" t="n">
        <f aca="false">IF(N352=1,IF(J352="No",1,0),0)</f>
        <v>0</v>
      </c>
    </row>
    <row r="353" customFormat="false" ht="15" hidden="false" customHeight="false" outlineLevel="0" collapsed="false">
      <c r="B353" s="52"/>
      <c r="C353" s="53"/>
      <c r="D353" s="53"/>
      <c r="E353" s="53"/>
      <c r="F353" s="53"/>
      <c r="G353" s="54"/>
      <c r="H353" s="55"/>
      <c r="I353" s="56" t="str">
        <f aca="false">IF(G353="","",G353*IF(H353="",1,H353))</f>
        <v/>
      </c>
      <c r="J353" s="57"/>
      <c r="K353" s="53"/>
      <c r="L353" s="58" t="str">
        <f aca="false">IF(G353="","",IF(ISNUMBER(B353),IF(E353="","⚠ ADD CATEGORY / AGREGA CATEGORÍA",IF(J353="No","⚠ SAVE RECEIPT / GUARDA RECIBO","✔ OK")),"⚠ ADD DATE / AGREGA FECHA"))</f>
        <v/>
      </c>
      <c r="N353" s="51" t="n">
        <f aca="false">IF(G353="",0,IF(ISNUMBER(B353),1,0))</f>
        <v>0</v>
      </c>
      <c r="O353" s="51" t="n">
        <f aca="false">IF(N353=1,YEAR(B353),0)</f>
        <v>0</v>
      </c>
      <c r="P353" s="51" t="n">
        <f aca="false">IF(N353=1,YEAR(B353)*100+MONTH(B353),0)</f>
        <v>0</v>
      </c>
      <c r="Q353" s="51" t="n">
        <f aca="false">IF(N353=1,IF(J353="No",1,0),0)</f>
        <v>0</v>
      </c>
    </row>
    <row r="354" customFormat="false" ht="15" hidden="false" customHeight="false" outlineLevel="0" collapsed="false">
      <c r="B354" s="52"/>
      <c r="C354" s="53"/>
      <c r="D354" s="53"/>
      <c r="E354" s="53"/>
      <c r="F354" s="53"/>
      <c r="G354" s="54"/>
      <c r="H354" s="55"/>
      <c r="I354" s="56" t="str">
        <f aca="false">IF(G354="","",G354*IF(H354="",1,H354))</f>
        <v/>
      </c>
      <c r="J354" s="57"/>
      <c r="K354" s="53"/>
      <c r="L354" s="58" t="str">
        <f aca="false">IF(G354="","",IF(ISNUMBER(B354),IF(E354="","⚠ ADD CATEGORY / AGREGA CATEGORÍA",IF(J354="No","⚠ SAVE RECEIPT / GUARDA RECIBO","✔ OK")),"⚠ ADD DATE / AGREGA FECHA"))</f>
        <v/>
      </c>
      <c r="N354" s="51" t="n">
        <f aca="false">IF(G354="",0,IF(ISNUMBER(B354),1,0))</f>
        <v>0</v>
      </c>
      <c r="O354" s="51" t="n">
        <f aca="false">IF(N354=1,YEAR(B354),0)</f>
        <v>0</v>
      </c>
      <c r="P354" s="51" t="n">
        <f aca="false">IF(N354=1,YEAR(B354)*100+MONTH(B354),0)</f>
        <v>0</v>
      </c>
      <c r="Q354" s="51" t="n">
        <f aca="false">IF(N354=1,IF(J354="No",1,0),0)</f>
        <v>0</v>
      </c>
    </row>
    <row r="355" customFormat="false" ht="15" hidden="false" customHeight="false" outlineLevel="0" collapsed="false">
      <c r="B355" s="52"/>
      <c r="C355" s="53"/>
      <c r="D355" s="53"/>
      <c r="E355" s="53"/>
      <c r="F355" s="53"/>
      <c r="G355" s="54"/>
      <c r="H355" s="55"/>
      <c r="I355" s="56" t="str">
        <f aca="false">IF(G355="","",G355*IF(H355="",1,H355))</f>
        <v/>
      </c>
      <c r="J355" s="57"/>
      <c r="K355" s="53"/>
      <c r="L355" s="58" t="str">
        <f aca="false">IF(G355="","",IF(ISNUMBER(B355),IF(E355="","⚠ ADD CATEGORY / AGREGA CATEGORÍA",IF(J355="No","⚠ SAVE RECEIPT / GUARDA RECIBO","✔ OK")),"⚠ ADD DATE / AGREGA FECHA"))</f>
        <v/>
      </c>
      <c r="N355" s="51" t="n">
        <f aca="false">IF(G355="",0,IF(ISNUMBER(B355),1,0))</f>
        <v>0</v>
      </c>
      <c r="O355" s="51" t="n">
        <f aca="false">IF(N355=1,YEAR(B355),0)</f>
        <v>0</v>
      </c>
      <c r="P355" s="51" t="n">
        <f aca="false">IF(N355=1,YEAR(B355)*100+MONTH(B355),0)</f>
        <v>0</v>
      </c>
      <c r="Q355" s="51" t="n">
        <f aca="false">IF(N355=1,IF(J355="No",1,0),0)</f>
        <v>0</v>
      </c>
    </row>
    <row r="356" customFormat="false" ht="15" hidden="false" customHeight="false" outlineLevel="0" collapsed="false">
      <c r="B356" s="52"/>
      <c r="C356" s="53"/>
      <c r="D356" s="53"/>
      <c r="E356" s="53"/>
      <c r="F356" s="53"/>
      <c r="G356" s="54"/>
      <c r="H356" s="55"/>
      <c r="I356" s="56" t="str">
        <f aca="false">IF(G356="","",G356*IF(H356="",1,H356))</f>
        <v/>
      </c>
      <c r="J356" s="57"/>
      <c r="K356" s="53"/>
      <c r="L356" s="58" t="str">
        <f aca="false">IF(G356="","",IF(ISNUMBER(B356),IF(E356="","⚠ ADD CATEGORY / AGREGA CATEGORÍA",IF(J356="No","⚠ SAVE RECEIPT / GUARDA RECIBO","✔ OK")),"⚠ ADD DATE / AGREGA FECHA"))</f>
        <v/>
      </c>
      <c r="N356" s="51" t="n">
        <f aca="false">IF(G356="",0,IF(ISNUMBER(B356),1,0))</f>
        <v>0</v>
      </c>
      <c r="O356" s="51" t="n">
        <f aca="false">IF(N356=1,YEAR(B356),0)</f>
        <v>0</v>
      </c>
      <c r="P356" s="51" t="n">
        <f aca="false">IF(N356=1,YEAR(B356)*100+MONTH(B356),0)</f>
        <v>0</v>
      </c>
      <c r="Q356" s="51" t="n">
        <f aca="false">IF(N356=1,IF(J356="No",1,0),0)</f>
        <v>0</v>
      </c>
    </row>
    <row r="357" customFormat="false" ht="15" hidden="false" customHeight="false" outlineLevel="0" collapsed="false">
      <c r="B357" s="52"/>
      <c r="C357" s="53"/>
      <c r="D357" s="53"/>
      <c r="E357" s="53"/>
      <c r="F357" s="53"/>
      <c r="G357" s="54"/>
      <c r="H357" s="55"/>
      <c r="I357" s="56" t="str">
        <f aca="false">IF(G357="","",G357*IF(H357="",1,H357))</f>
        <v/>
      </c>
      <c r="J357" s="57"/>
      <c r="K357" s="53"/>
      <c r="L357" s="58" t="str">
        <f aca="false">IF(G357="","",IF(ISNUMBER(B357),IF(E357="","⚠ ADD CATEGORY / AGREGA CATEGORÍA",IF(J357="No","⚠ SAVE RECEIPT / GUARDA RECIBO","✔ OK")),"⚠ ADD DATE / AGREGA FECHA"))</f>
        <v/>
      </c>
      <c r="N357" s="51" t="n">
        <f aca="false">IF(G357="",0,IF(ISNUMBER(B357),1,0))</f>
        <v>0</v>
      </c>
      <c r="O357" s="51" t="n">
        <f aca="false">IF(N357=1,YEAR(B357),0)</f>
        <v>0</v>
      </c>
      <c r="P357" s="51" t="n">
        <f aca="false">IF(N357=1,YEAR(B357)*100+MONTH(B357),0)</f>
        <v>0</v>
      </c>
      <c r="Q357" s="51" t="n">
        <f aca="false">IF(N357=1,IF(J357="No",1,0),0)</f>
        <v>0</v>
      </c>
    </row>
    <row r="358" customFormat="false" ht="15" hidden="false" customHeight="false" outlineLevel="0" collapsed="false">
      <c r="B358" s="52"/>
      <c r="C358" s="53"/>
      <c r="D358" s="53"/>
      <c r="E358" s="53"/>
      <c r="F358" s="53"/>
      <c r="G358" s="54"/>
      <c r="H358" s="55"/>
      <c r="I358" s="56" t="str">
        <f aca="false">IF(G358="","",G358*IF(H358="",1,H358))</f>
        <v/>
      </c>
      <c r="J358" s="57"/>
      <c r="K358" s="53"/>
      <c r="L358" s="58" t="str">
        <f aca="false">IF(G358="","",IF(ISNUMBER(B358),IF(E358="","⚠ ADD CATEGORY / AGREGA CATEGORÍA",IF(J358="No","⚠ SAVE RECEIPT / GUARDA RECIBO","✔ OK")),"⚠ ADD DATE / AGREGA FECHA"))</f>
        <v/>
      </c>
      <c r="N358" s="51" t="n">
        <f aca="false">IF(G358="",0,IF(ISNUMBER(B358),1,0))</f>
        <v>0</v>
      </c>
      <c r="O358" s="51" t="n">
        <f aca="false">IF(N358=1,YEAR(B358),0)</f>
        <v>0</v>
      </c>
      <c r="P358" s="51" t="n">
        <f aca="false">IF(N358=1,YEAR(B358)*100+MONTH(B358),0)</f>
        <v>0</v>
      </c>
      <c r="Q358" s="51" t="n">
        <f aca="false">IF(N358=1,IF(J358="No",1,0),0)</f>
        <v>0</v>
      </c>
    </row>
    <row r="359" customFormat="false" ht="15" hidden="false" customHeight="false" outlineLevel="0" collapsed="false">
      <c r="B359" s="52"/>
      <c r="C359" s="53"/>
      <c r="D359" s="53"/>
      <c r="E359" s="53"/>
      <c r="F359" s="53"/>
      <c r="G359" s="54"/>
      <c r="H359" s="55"/>
      <c r="I359" s="56" t="str">
        <f aca="false">IF(G359="","",G359*IF(H359="",1,H359))</f>
        <v/>
      </c>
      <c r="J359" s="57"/>
      <c r="K359" s="53"/>
      <c r="L359" s="58" t="str">
        <f aca="false">IF(G359="","",IF(ISNUMBER(B359),IF(E359="","⚠ ADD CATEGORY / AGREGA CATEGORÍA",IF(J359="No","⚠ SAVE RECEIPT / GUARDA RECIBO","✔ OK")),"⚠ ADD DATE / AGREGA FECHA"))</f>
        <v/>
      </c>
      <c r="N359" s="51" t="n">
        <f aca="false">IF(G359="",0,IF(ISNUMBER(B359),1,0))</f>
        <v>0</v>
      </c>
      <c r="O359" s="51" t="n">
        <f aca="false">IF(N359=1,YEAR(B359),0)</f>
        <v>0</v>
      </c>
      <c r="P359" s="51" t="n">
        <f aca="false">IF(N359=1,YEAR(B359)*100+MONTH(B359),0)</f>
        <v>0</v>
      </c>
      <c r="Q359" s="51" t="n">
        <f aca="false">IF(N359=1,IF(J359="No",1,0),0)</f>
        <v>0</v>
      </c>
    </row>
    <row r="360" customFormat="false" ht="15" hidden="false" customHeight="false" outlineLevel="0" collapsed="false">
      <c r="B360" s="52"/>
      <c r="C360" s="53"/>
      <c r="D360" s="53"/>
      <c r="E360" s="53"/>
      <c r="F360" s="53"/>
      <c r="G360" s="54"/>
      <c r="H360" s="55"/>
      <c r="I360" s="56" t="str">
        <f aca="false">IF(G360="","",G360*IF(H360="",1,H360))</f>
        <v/>
      </c>
      <c r="J360" s="57"/>
      <c r="K360" s="53"/>
      <c r="L360" s="58" t="str">
        <f aca="false">IF(G360="","",IF(ISNUMBER(B360),IF(E360="","⚠ ADD CATEGORY / AGREGA CATEGORÍA",IF(J360="No","⚠ SAVE RECEIPT / GUARDA RECIBO","✔ OK")),"⚠ ADD DATE / AGREGA FECHA"))</f>
        <v/>
      </c>
      <c r="N360" s="51" t="n">
        <f aca="false">IF(G360="",0,IF(ISNUMBER(B360),1,0))</f>
        <v>0</v>
      </c>
      <c r="O360" s="51" t="n">
        <f aca="false">IF(N360=1,YEAR(B360),0)</f>
        <v>0</v>
      </c>
      <c r="P360" s="51" t="n">
        <f aca="false">IF(N360=1,YEAR(B360)*100+MONTH(B360),0)</f>
        <v>0</v>
      </c>
      <c r="Q360" s="51" t="n">
        <f aca="false">IF(N360=1,IF(J360="No",1,0),0)</f>
        <v>0</v>
      </c>
    </row>
    <row r="361" customFormat="false" ht="15" hidden="false" customHeight="false" outlineLevel="0" collapsed="false">
      <c r="B361" s="52"/>
      <c r="C361" s="53"/>
      <c r="D361" s="53"/>
      <c r="E361" s="53"/>
      <c r="F361" s="53"/>
      <c r="G361" s="54"/>
      <c r="H361" s="55"/>
      <c r="I361" s="56" t="str">
        <f aca="false">IF(G361="","",G361*IF(H361="",1,H361))</f>
        <v/>
      </c>
      <c r="J361" s="57"/>
      <c r="K361" s="53"/>
      <c r="L361" s="58" t="str">
        <f aca="false">IF(G361="","",IF(ISNUMBER(B361),IF(E361="","⚠ ADD CATEGORY / AGREGA CATEGORÍA",IF(J361="No","⚠ SAVE RECEIPT / GUARDA RECIBO","✔ OK")),"⚠ ADD DATE / AGREGA FECHA"))</f>
        <v/>
      </c>
      <c r="N361" s="51" t="n">
        <f aca="false">IF(G361="",0,IF(ISNUMBER(B361),1,0))</f>
        <v>0</v>
      </c>
      <c r="O361" s="51" t="n">
        <f aca="false">IF(N361=1,YEAR(B361),0)</f>
        <v>0</v>
      </c>
      <c r="P361" s="51" t="n">
        <f aca="false">IF(N361=1,YEAR(B361)*100+MONTH(B361),0)</f>
        <v>0</v>
      </c>
      <c r="Q361" s="51" t="n">
        <f aca="false">IF(N361=1,IF(J361="No",1,0),0)</f>
        <v>0</v>
      </c>
    </row>
    <row r="362" customFormat="false" ht="15" hidden="false" customHeight="false" outlineLevel="0" collapsed="false">
      <c r="B362" s="52"/>
      <c r="C362" s="53"/>
      <c r="D362" s="53"/>
      <c r="E362" s="53"/>
      <c r="F362" s="53"/>
      <c r="G362" s="54"/>
      <c r="H362" s="55"/>
      <c r="I362" s="56" t="str">
        <f aca="false">IF(G362="","",G362*IF(H362="",1,H362))</f>
        <v/>
      </c>
      <c r="J362" s="57"/>
      <c r="K362" s="53"/>
      <c r="L362" s="58" t="str">
        <f aca="false">IF(G362="","",IF(ISNUMBER(B362),IF(E362="","⚠ ADD CATEGORY / AGREGA CATEGORÍA",IF(J362="No","⚠ SAVE RECEIPT / GUARDA RECIBO","✔ OK")),"⚠ ADD DATE / AGREGA FECHA"))</f>
        <v/>
      </c>
      <c r="N362" s="51" t="n">
        <f aca="false">IF(G362="",0,IF(ISNUMBER(B362),1,0))</f>
        <v>0</v>
      </c>
      <c r="O362" s="51" t="n">
        <f aca="false">IF(N362=1,YEAR(B362),0)</f>
        <v>0</v>
      </c>
      <c r="P362" s="51" t="n">
        <f aca="false">IF(N362=1,YEAR(B362)*100+MONTH(B362),0)</f>
        <v>0</v>
      </c>
      <c r="Q362" s="51" t="n">
        <f aca="false">IF(N362=1,IF(J362="No",1,0),0)</f>
        <v>0</v>
      </c>
    </row>
    <row r="363" customFormat="false" ht="15" hidden="false" customHeight="false" outlineLevel="0" collapsed="false">
      <c r="B363" s="52"/>
      <c r="C363" s="53"/>
      <c r="D363" s="53"/>
      <c r="E363" s="53"/>
      <c r="F363" s="53"/>
      <c r="G363" s="54"/>
      <c r="H363" s="55"/>
      <c r="I363" s="56" t="str">
        <f aca="false">IF(G363="","",G363*IF(H363="",1,H363))</f>
        <v/>
      </c>
      <c r="J363" s="57"/>
      <c r="K363" s="53"/>
      <c r="L363" s="58" t="str">
        <f aca="false">IF(G363="","",IF(ISNUMBER(B363),IF(E363="","⚠ ADD CATEGORY / AGREGA CATEGORÍA",IF(J363="No","⚠ SAVE RECEIPT / GUARDA RECIBO","✔ OK")),"⚠ ADD DATE / AGREGA FECHA"))</f>
        <v/>
      </c>
      <c r="N363" s="51" t="n">
        <f aca="false">IF(G363="",0,IF(ISNUMBER(B363),1,0))</f>
        <v>0</v>
      </c>
      <c r="O363" s="51" t="n">
        <f aca="false">IF(N363=1,YEAR(B363),0)</f>
        <v>0</v>
      </c>
      <c r="P363" s="51" t="n">
        <f aca="false">IF(N363=1,YEAR(B363)*100+MONTH(B363),0)</f>
        <v>0</v>
      </c>
      <c r="Q363" s="51" t="n">
        <f aca="false">IF(N363=1,IF(J363="No",1,0),0)</f>
        <v>0</v>
      </c>
    </row>
    <row r="364" customFormat="false" ht="15" hidden="false" customHeight="false" outlineLevel="0" collapsed="false">
      <c r="B364" s="52"/>
      <c r="C364" s="53"/>
      <c r="D364" s="53"/>
      <c r="E364" s="53"/>
      <c r="F364" s="53"/>
      <c r="G364" s="54"/>
      <c r="H364" s="55"/>
      <c r="I364" s="56" t="str">
        <f aca="false">IF(G364="","",G364*IF(H364="",1,H364))</f>
        <v/>
      </c>
      <c r="J364" s="57"/>
      <c r="K364" s="53"/>
      <c r="L364" s="58" t="str">
        <f aca="false">IF(G364="","",IF(ISNUMBER(B364),IF(E364="","⚠ ADD CATEGORY / AGREGA CATEGORÍA",IF(J364="No","⚠ SAVE RECEIPT / GUARDA RECIBO","✔ OK")),"⚠ ADD DATE / AGREGA FECHA"))</f>
        <v/>
      </c>
      <c r="N364" s="51" t="n">
        <f aca="false">IF(G364="",0,IF(ISNUMBER(B364),1,0))</f>
        <v>0</v>
      </c>
      <c r="O364" s="51" t="n">
        <f aca="false">IF(N364=1,YEAR(B364),0)</f>
        <v>0</v>
      </c>
      <c r="P364" s="51" t="n">
        <f aca="false">IF(N364=1,YEAR(B364)*100+MONTH(B364),0)</f>
        <v>0</v>
      </c>
      <c r="Q364" s="51" t="n">
        <f aca="false">IF(N364=1,IF(J364="No",1,0),0)</f>
        <v>0</v>
      </c>
    </row>
    <row r="365" customFormat="false" ht="15" hidden="false" customHeight="false" outlineLevel="0" collapsed="false">
      <c r="B365" s="52"/>
      <c r="C365" s="53"/>
      <c r="D365" s="53"/>
      <c r="E365" s="53"/>
      <c r="F365" s="53"/>
      <c r="G365" s="54"/>
      <c r="H365" s="55"/>
      <c r="I365" s="56" t="str">
        <f aca="false">IF(G365="","",G365*IF(H365="",1,H365))</f>
        <v/>
      </c>
      <c r="J365" s="57"/>
      <c r="K365" s="53"/>
      <c r="L365" s="58" t="str">
        <f aca="false">IF(G365="","",IF(ISNUMBER(B365),IF(E365="","⚠ ADD CATEGORY / AGREGA CATEGORÍA",IF(J365="No","⚠ SAVE RECEIPT / GUARDA RECIBO","✔ OK")),"⚠ ADD DATE / AGREGA FECHA"))</f>
        <v/>
      </c>
      <c r="N365" s="51" t="n">
        <f aca="false">IF(G365="",0,IF(ISNUMBER(B365),1,0))</f>
        <v>0</v>
      </c>
      <c r="O365" s="51" t="n">
        <f aca="false">IF(N365=1,YEAR(B365),0)</f>
        <v>0</v>
      </c>
      <c r="P365" s="51" t="n">
        <f aca="false">IF(N365=1,YEAR(B365)*100+MONTH(B365),0)</f>
        <v>0</v>
      </c>
      <c r="Q365" s="51" t="n">
        <f aca="false">IF(N365=1,IF(J365="No",1,0),0)</f>
        <v>0</v>
      </c>
    </row>
    <row r="366" customFormat="false" ht="15" hidden="false" customHeight="false" outlineLevel="0" collapsed="false">
      <c r="B366" s="52"/>
      <c r="C366" s="53"/>
      <c r="D366" s="53"/>
      <c r="E366" s="53"/>
      <c r="F366" s="53"/>
      <c r="G366" s="54"/>
      <c r="H366" s="55"/>
      <c r="I366" s="56" t="str">
        <f aca="false">IF(G366="","",G366*IF(H366="",1,H366))</f>
        <v/>
      </c>
      <c r="J366" s="57"/>
      <c r="K366" s="53"/>
      <c r="L366" s="58" t="str">
        <f aca="false">IF(G366="","",IF(ISNUMBER(B366),IF(E366="","⚠ ADD CATEGORY / AGREGA CATEGORÍA",IF(J366="No","⚠ SAVE RECEIPT / GUARDA RECIBO","✔ OK")),"⚠ ADD DATE / AGREGA FECHA"))</f>
        <v/>
      </c>
      <c r="N366" s="51" t="n">
        <f aca="false">IF(G366="",0,IF(ISNUMBER(B366),1,0))</f>
        <v>0</v>
      </c>
      <c r="O366" s="51" t="n">
        <f aca="false">IF(N366=1,YEAR(B366),0)</f>
        <v>0</v>
      </c>
      <c r="P366" s="51" t="n">
        <f aca="false">IF(N366=1,YEAR(B366)*100+MONTH(B366),0)</f>
        <v>0</v>
      </c>
      <c r="Q366" s="51" t="n">
        <f aca="false">IF(N366=1,IF(J366="No",1,0),0)</f>
        <v>0</v>
      </c>
    </row>
    <row r="367" customFormat="false" ht="15" hidden="false" customHeight="false" outlineLevel="0" collapsed="false">
      <c r="B367" s="52"/>
      <c r="C367" s="53"/>
      <c r="D367" s="53"/>
      <c r="E367" s="53"/>
      <c r="F367" s="53"/>
      <c r="G367" s="54"/>
      <c r="H367" s="55"/>
      <c r="I367" s="56" t="str">
        <f aca="false">IF(G367="","",G367*IF(H367="",1,H367))</f>
        <v/>
      </c>
      <c r="J367" s="57"/>
      <c r="K367" s="53"/>
      <c r="L367" s="58" t="str">
        <f aca="false">IF(G367="","",IF(ISNUMBER(B367),IF(E367="","⚠ ADD CATEGORY / AGREGA CATEGORÍA",IF(J367="No","⚠ SAVE RECEIPT / GUARDA RECIBO","✔ OK")),"⚠ ADD DATE / AGREGA FECHA"))</f>
        <v/>
      </c>
      <c r="N367" s="51" t="n">
        <f aca="false">IF(G367="",0,IF(ISNUMBER(B367),1,0))</f>
        <v>0</v>
      </c>
      <c r="O367" s="51" t="n">
        <f aca="false">IF(N367=1,YEAR(B367),0)</f>
        <v>0</v>
      </c>
      <c r="P367" s="51" t="n">
        <f aca="false">IF(N367=1,YEAR(B367)*100+MONTH(B367),0)</f>
        <v>0</v>
      </c>
      <c r="Q367" s="51" t="n">
        <f aca="false">IF(N367=1,IF(J367="No",1,0),0)</f>
        <v>0</v>
      </c>
    </row>
    <row r="368" customFormat="false" ht="15" hidden="false" customHeight="false" outlineLevel="0" collapsed="false">
      <c r="B368" s="52"/>
      <c r="C368" s="53"/>
      <c r="D368" s="53"/>
      <c r="E368" s="53"/>
      <c r="F368" s="53"/>
      <c r="G368" s="54"/>
      <c r="H368" s="55"/>
      <c r="I368" s="56" t="str">
        <f aca="false">IF(G368="","",G368*IF(H368="",1,H368))</f>
        <v/>
      </c>
      <c r="J368" s="57"/>
      <c r="K368" s="53"/>
      <c r="L368" s="58" t="str">
        <f aca="false">IF(G368="","",IF(ISNUMBER(B368),IF(E368="","⚠ ADD CATEGORY / AGREGA CATEGORÍA",IF(J368="No","⚠ SAVE RECEIPT / GUARDA RECIBO","✔ OK")),"⚠ ADD DATE / AGREGA FECHA"))</f>
        <v/>
      </c>
      <c r="N368" s="51" t="n">
        <f aca="false">IF(G368="",0,IF(ISNUMBER(B368),1,0))</f>
        <v>0</v>
      </c>
      <c r="O368" s="51" t="n">
        <f aca="false">IF(N368=1,YEAR(B368),0)</f>
        <v>0</v>
      </c>
      <c r="P368" s="51" t="n">
        <f aca="false">IF(N368=1,YEAR(B368)*100+MONTH(B368),0)</f>
        <v>0</v>
      </c>
      <c r="Q368" s="51" t="n">
        <f aca="false">IF(N368=1,IF(J368="No",1,0),0)</f>
        <v>0</v>
      </c>
    </row>
    <row r="369" customFormat="false" ht="15" hidden="false" customHeight="false" outlineLevel="0" collapsed="false">
      <c r="B369" s="52"/>
      <c r="C369" s="53"/>
      <c r="D369" s="53"/>
      <c r="E369" s="53"/>
      <c r="F369" s="53"/>
      <c r="G369" s="54"/>
      <c r="H369" s="55"/>
      <c r="I369" s="56" t="str">
        <f aca="false">IF(G369="","",G369*IF(H369="",1,H369))</f>
        <v/>
      </c>
      <c r="J369" s="57"/>
      <c r="K369" s="53"/>
      <c r="L369" s="58" t="str">
        <f aca="false">IF(G369="","",IF(ISNUMBER(B369),IF(E369="","⚠ ADD CATEGORY / AGREGA CATEGORÍA",IF(J369="No","⚠ SAVE RECEIPT / GUARDA RECIBO","✔ OK")),"⚠ ADD DATE / AGREGA FECHA"))</f>
        <v/>
      </c>
      <c r="N369" s="51" t="n">
        <f aca="false">IF(G369="",0,IF(ISNUMBER(B369),1,0))</f>
        <v>0</v>
      </c>
      <c r="O369" s="51" t="n">
        <f aca="false">IF(N369=1,YEAR(B369),0)</f>
        <v>0</v>
      </c>
      <c r="P369" s="51" t="n">
        <f aca="false">IF(N369=1,YEAR(B369)*100+MONTH(B369),0)</f>
        <v>0</v>
      </c>
      <c r="Q369" s="51" t="n">
        <f aca="false">IF(N369=1,IF(J369="No",1,0),0)</f>
        <v>0</v>
      </c>
    </row>
    <row r="370" customFormat="false" ht="15" hidden="false" customHeight="false" outlineLevel="0" collapsed="false">
      <c r="B370" s="52"/>
      <c r="C370" s="53"/>
      <c r="D370" s="53"/>
      <c r="E370" s="53"/>
      <c r="F370" s="53"/>
      <c r="G370" s="54"/>
      <c r="H370" s="55"/>
      <c r="I370" s="56" t="str">
        <f aca="false">IF(G370="","",G370*IF(H370="",1,H370))</f>
        <v/>
      </c>
      <c r="J370" s="57"/>
      <c r="K370" s="53"/>
      <c r="L370" s="58" t="str">
        <f aca="false">IF(G370="","",IF(ISNUMBER(B370),IF(E370="","⚠ ADD CATEGORY / AGREGA CATEGORÍA",IF(J370="No","⚠ SAVE RECEIPT / GUARDA RECIBO","✔ OK")),"⚠ ADD DATE / AGREGA FECHA"))</f>
        <v/>
      </c>
      <c r="N370" s="51" t="n">
        <f aca="false">IF(G370="",0,IF(ISNUMBER(B370),1,0))</f>
        <v>0</v>
      </c>
      <c r="O370" s="51" t="n">
        <f aca="false">IF(N370=1,YEAR(B370),0)</f>
        <v>0</v>
      </c>
      <c r="P370" s="51" t="n">
        <f aca="false">IF(N370=1,YEAR(B370)*100+MONTH(B370),0)</f>
        <v>0</v>
      </c>
      <c r="Q370" s="51" t="n">
        <f aca="false">IF(N370=1,IF(J370="No",1,0),0)</f>
        <v>0</v>
      </c>
    </row>
    <row r="371" customFormat="false" ht="15" hidden="false" customHeight="false" outlineLevel="0" collapsed="false">
      <c r="B371" s="52"/>
      <c r="C371" s="53"/>
      <c r="D371" s="53"/>
      <c r="E371" s="53"/>
      <c r="F371" s="53"/>
      <c r="G371" s="54"/>
      <c r="H371" s="55"/>
      <c r="I371" s="56" t="str">
        <f aca="false">IF(G371="","",G371*IF(H371="",1,H371))</f>
        <v/>
      </c>
      <c r="J371" s="57"/>
      <c r="K371" s="53"/>
      <c r="L371" s="58" t="str">
        <f aca="false">IF(G371="","",IF(ISNUMBER(B371),IF(E371="","⚠ ADD CATEGORY / AGREGA CATEGORÍA",IF(J371="No","⚠ SAVE RECEIPT / GUARDA RECIBO","✔ OK")),"⚠ ADD DATE / AGREGA FECHA"))</f>
        <v/>
      </c>
      <c r="N371" s="51" t="n">
        <f aca="false">IF(G371="",0,IF(ISNUMBER(B371),1,0))</f>
        <v>0</v>
      </c>
      <c r="O371" s="51" t="n">
        <f aca="false">IF(N371=1,YEAR(B371),0)</f>
        <v>0</v>
      </c>
      <c r="P371" s="51" t="n">
        <f aca="false">IF(N371=1,YEAR(B371)*100+MONTH(B371),0)</f>
        <v>0</v>
      </c>
      <c r="Q371" s="51" t="n">
        <f aca="false">IF(N371=1,IF(J371="No",1,0),0)</f>
        <v>0</v>
      </c>
    </row>
    <row r="372" customFormat="false" ht="15" hidden="false" customHeight="false" outlineLevel="0" collapsed="false">
      <c r="B372" s="52"/>
      <c r="C372" s="53"/>
      <c r="D372" s="53"/>
      <c r="E372" s="53"/>
      <c r="F372" s="53"/>
      <c r="G372" s="54"/>
      <c r="H372" s="55"/>
      <c r="I372" s="56" t="str">
        <f aca="false">IF(G372="","",G372*IF(H372="",1,H372))</f>
        <v/>
      </c>
      <c r="J372" s="57"/>
      <c r="K372" s="53"/>
      <c r="L372" s="58" t="str">
        <f aca="false">IF(G372="","",IF(ISNUMBER(B372),IF(E372="","⚠ ADD CATEGORY / AGREGA CATEGORÍA",IF(J372="No","⚠ SAVE RECEIPT / GUARDA RECIBO","✔ OK")),"⚠ ADD DATE / AGREGA FECHA"))</f>
        <v/>
      </c>
      <c r="N372" s="51" t="n">
        <f aca="false">IF(G372="",0,IF(ISNUMBER(B372),1,0))</f>
        <v>0</v>
      </c>
      <c r="O372" s="51" t="n">
        <f aca="false">IF(N372=1,YEAR(B372),0)</f>
        <v>0</v>
      </c>
      <c r="P372" s="51" t="n">
        <f aca="false">IF(N372=1,YEAR(B372)*100+MONTH(B372),0)</f>
        <v>0</v>
      </c>
      <c r="Q372" s="51" t="n">
        <f aca="false">IF(N372=1,IF(J372="No",1,0),0)</f>
        <v>0</v>
      </c>
    </row>
    <row r="373" customFormat="false" ht="15" hidden="false" customHeight="false" outlineLevel="0" collapsed="false">
      <c r="B373" s="52"/>
      <c r="C373" s="53"/>
      <c r="D373" s="53"/>
      <c r="E373" s="53"/>
      <c r="F373" s="53"/>
      <c r="G373" s="54"/>
      <c r="H373" s="55"/>
      <c r="I373" s="56" t="str">
        <f aca="false">IF(G373="","",G373*IF(H373="",1,H373))</f>
        <v/>
      </c>
      <c r="J373" s="57"/>
      <c r="K373" s="53"/>
      <c r="L373" s="58" t="str">
        <f aca="false">IF(G373="","",IF(ISNUMBER(B373),IF(E373="","⚠ ADD CATEGORY / AGREGA CATEGORÍA",IF(J373="No","⚠ SAVE RECEIPT / GUARDA RECIBO","✔ OK")),"⚠ ADD DATE / AGREGA FECHA"))</f>
        <v/>
      </c>
      <c r="N373" s="51" t="n">
        <f aca="false">IF(G373="",0,IF(ISNUMBER(B373),1,0))</f>
        <v>0</v>
      </c>
      <c r="O373" s="51" t="n">
        <f aca="false">IF(N373=1,YEAR(B373),0)</f>
        <v>0</v>
      </c>
      <c r="P373" s="51" t="n">
        <f aca="false">IF(N373=1,YEAR(B373)*100+MONTH(B373),0)</f>
        <v>0</v>
      </c>
      <c r="Q373" s="51" t="n">
        <f aca="false">IF(N373=1,IF(J373="No",1,0),0)</f>
        <v>0</v>
      </c>
    </row>
    <row r="374" customFormat="false" ht="15" hidden="false" customHeight="false" outlineLevel="0" collapsed="false">
      <c r="B374" s="52"/>
      <c r="C374" s="53"/>
      <c r="D374" s="53"/>
      <c r="E374" s="53"/>
      <c r="F374" s="53"/>
      <c r="G374" s="54"/>
      <c r="H374" s="55"/>
      <c r="I374" s="56" t="str">
        <f aca="false">IF(G374="","",G374*IF(H374="",1,H374))</f>
        <v/>
      </c>
      <c r="J374" s="57"/>
      <c r="K374" s="53"/>
      <c r="L374" s="58" t="str">
        <f aca="false">IF(G374="","",IF(ISNUMBER(B374),IF(E374="","⚠ ADD CATEGORY / AGREGA CATEGORÍA",IF(J374="No","⚠ SAVE RECEIPT / GUARDA RECIBO","✔ OK")),"⚠ ADD DATE / AGREGA FECHA"))</f>
        <v/>
      </c>
      <c r="N374" s="51" t="n">
        <f aca="false">IF(G374="",0,IF(ISNUMBER(B374),1,0))</f>
        <v>0</v>
      </c>
      <c r="O374" s="51" t="n">
        <f aca="false">IF(N374=1,YEAR(B374),0)</f>
        <v>0</v>
      </c>
      <c r="P374" s="51" t="n">
        <f aca="false">IF(N374=1,YEAR(B374)*100+MONTH(B374),0)</f>
        <v>0</v>
      </c>
      <c r="Q374" s="51" t="n">
        <f aca="false">IF(N374=1,IF(J374="No",1,0),0)</f>
        <v>0</v>
      </c>
    </row>
    <row r="375" customFormat="false" ht="15" hidden="false" customHeight="false" outlineLevel="0" collapsed="false">
      <c r="B375" s="52"/>
      <c r="C375" s="53"/>
      <c r="D375" s="53"/>
      <c r="E375" s="53"/>
      <c r="F375" s="53"/>
      <c r="G375" s="54"/>
      <c r="H375" s="55"/>
      <c r="I375" s="56" t="str">
        <f aca="false">IF(G375="","",G375*IF(H375="",1,H375))</f>
        <v/>
      </c>
      <c r="J375" s="57"/>
      <c r="K375" s="53"/>
      <c r="L375" s="58" t="str">
        <f aca="false">IF(G375="","",IF(ISNUMBER(B375),IF(E375="","⚠ ADD CATEGORY / AGREGA CATEGORÍA",IF(J375="No","⚠ SAVE RECEIPT / GUARDA RECIBO","✔ OK")),"⚠ ADD DATE / AGREGA FECHA"))</f>
        <v/>
      </c>
      <c r="N375" s="51" t="n">
        <f aca="false">IF(G375="",0,IF(ISNUMBER(B375),1,0))</f>
        <v>0</v>
      </c>
      <c r="O375" s="51" t="n">
        <f aca="false">IF(N375=1,YEAR(B375),0)</f>
        <v>0</v>
      </c>
      <c r="P375" s="51" t="n">
        <f aca="false">IF(N375=1,YEAR(B375)*100+MONTH(B375),0)</f>
        <v>0</v>
      </c>
      <c r="Q375" s="51" t="n">
        <f aca="false">IF(N375=1,IF(J375="No",1,0),0)</f>
        <v>0</v>
      </c>
    </row>
    <row r="376" customFormat="false" ht="15" hidden="false" customHeight="false" outlineLevel="0" collapsed="false">
      <c r="B376" s="52"/>
      <c r="C376" s="53"/>
      <c r="D376" s="53"/>
      <c r="E376" s="53"/>
      <c r="F376" s="53"/>
      <c r="G376" s="54"/>
      <c r="H376" s="55"/>
      <c r="I376" s="56" t="str">
        <f aca="false">IF(G376="","",G376*IF(H376="",1,H376))</f>
        <v/>
      </c>
      <c r="J376" s="57"/>
      <c r="K376" s="53"/>
      <c r="L376" s="58" t="str">
        <f aca="false">IF(G376="","",IF(ISNUMBER(B376),IF(E376="","⚠ ADD CATEGORY / AGREGA CATEGORÍA",IF(J376="No","⚠ SAVE RECEIPT / GUARDA RECIBO","✔ OK")),"⚠ ADD DATE / AGREGA FECHA"))</f>
        <v/>
      </c>
      <c r="N376" s="51" t="n">
        <f aca="false">IF(G376="",0,IF(ISNUMBER(B376),1,0))</f>
        <v>0</v>
      </c>
      <c r="O376" s="51" t="n">
        <f aca="false">IF(N376=1,YEAR(B376),0)</f>
        <v>0</v>
      </c>
      <c r="P376" s="51" t="n">
        <f aca="false">IF(N376=1,YEAR(B376)*100+MONTH(B376),0)</f>
        <v>0</v>
      </c>
      <c r="Q376" s="51" t="n">
        <f aca="false">IF(N376=1,IF(J376="No",1,0),0)</f>
        <v>0</v>
      </c>
    </row>
    <row r="377" customFormat="false" ht="15" hidden="false" customHeight="false" outlineLevel="0" collapsed="false">
      <c r="B377" s="52"/>
      <c r="C377" s="53"/>
      <c r="D377" s="53"/>
      <c r="E377" s="53"/>
      <c r="F377" s="53"/>
      <c r="G377" s="54"/>
      <c r="H377" s="55"/>
      <c r="I377" s="56" t="str">
        <f aca="false">IF(G377="","",G377*IF(H377="",1,H377))</f>
        <v/>
      </c>
      <c r="J377" s="57"/>
      <c r="K377" s="53"/>
      <c r="L377" s="58" t="str">
        <f aca="false">IF(G377="","",IF(ISNUMBER(B377),IF(E377="","⚠ ADD CATEGORY / AGREGA CATEGORÍA",IF(J377="No","⚠ SAVE RECEIPT / GUARDA RECIBO","✔ OK")),"⚠ ADD DATE / AGREGA FECHA"))</f>
        <v/>
      </c>
      <c r="N377" s="51" t="n">
        <f aca="false">IF(G377="",0,IF(ISNUMBER(B377),1,0))</f>
        <v>0</v>
      </c>
      <c r="O377" s="51" t="n">
        <f aca="false">IF(N377=1,YEAR(B377),0)</f>
        <v>0</v>
      </c>
      <c r="P377" s="51" t="n">
        <f aca="false">IF(N377=1,YEAR(B377)*100+MONTH(B377),0)</f>
        <v>0</v>
      </c>
      <c r="Q377" s="51" t="n">
        <f aca="false">IF(N377=1,IF(J377="No",1,0),0)</f>
        <v>0</v>
      </c>
    </row>
    <row r="378" customFormat="false" ht="15" hidden="false" customHeight="false" outlineLevel="0" collapsed="false">
      <c r="B378" s="52"/>
      <c r="C378" s="53"/>
      <c r="D378" s="53"/>
      <c r="E378" s="53"/>
      <c r="F378" s="53"/>
      <c r="G378" s="54"/>
      <c r="H378" s="55"/>
      <c r="I378" s="56" t="str">
        <f aca="false">IF(G378="","",G378*IF(H378="",1,H378))</f>
        <v/>
      </c>
      <c r="J378" s="57"/>
      <c r="K378" s="53"/>
      <c r="L378" s="58" t="str">
        <f aca="false">IF(G378="","",IF(ISNUMBER(B378),IF(E378="","⚠ ADD CATEGORY / AGREGA CATEGORÍA",IF(J378="No","⚠ SAVE RECEIPT / GUARDA RECIBO","✔ OK")),"⚠ ADD DATE / AGREGA FECHA"))</f>
        <v/>
      </c>
      <c r="N378" s="51" t="n">
        <f aca="false">IF(G378="",0,IF(ISNUMBER(B378),1,0))</f>
        <v>0</v>
      </c>
      <c r="O378" s="51" t="n">
        <f aca="false">IF(N378=1,YEAR(B378),0)</f>
        <v>0</v>
      </c>
      <c r="P378" s="51" t="n">
        <f aca="false">IF(N378=1,YEAR(B378)*100+MONTH(B378),0)</f>
        <v>0</v>
      </c>
      <c r="Q378" s="51" t="n">
        <f aca="false">IF(N378=1,IF(J378="No",1,0),0)</f>
        <v>0</v>
      </c>
    </row>
    <row r="379" customFormat="false" ht="15" hidden="false" customHeight="false" outlineLevel="0" collapsed="false">
      <c r="B379" s="52"/>
      <c r="C379" s="53"/>
      <c r="D379" s="53"/>
      <c r="E379" s="53"/>
      <c r="F379" s="53"/>
      <c r="G379" s="54"/>
      <c r="H379" s="55"/>
      <c r="I379" s="56" t="str">
        <f aca="false">IF(G379="","",G379*IF(H379="",1,H379))</f>
        <v/>
      </c>
      <c r="J379" s="57"/>
      <c r="K379" s="53"/>
      <c r="L379" s="58" t="str">
        <f aca="false">IF(G379="","",IF(ISNUMBER(B379),IF(E379="","⚠ ADD CATEGORY / AGREGA CATEGORÍA",IF(J379="No","⚠ SAVE RECEIPT / GUARDA RECIBO","✔ OK")),"⚠ ADD DATE / AGREGA FECHA"))</f>
        <v/>
      </c>
      <c r="N379" s="51" t="n">
        <f aca="false">IF(G379="",0,IF(ISNUMBER(B379),1,0))</f>
        <v>0</v>
      </c>
      <c r="O379" s="51" t="n">
        <f aca="false">IF(N379=1,YEAR(B379),0)</f>
        <v>0</v>
      </c>
      <c r="P379" s="51" t="n">
        <f aca="false">IF(N379=1,YEAR(B379)*100+MONTH(B379),0)</f>
        <v>0</v>
      </c>
      <c r="Q379" s="51" t="n">
        <f aca="false">IF(N379=1,IF(J379="No",1,0),0)</f>
        <v>0</v>
      </c>
    </row>
    <row r="380" customFormat="false" ht="15" hidden="false" customHeight="false" outlineLevel="0" collapsed="false">
      <c r="B380" s="52"/>
      <c r="C380" s="53"/>
      <c r="D380" s="53"/>
      <c r="E380" s="53"/>
      <c r="F380" s="53"/>
      <c r="G380" s="54"/>
      <c r="H380" s="55"/>
      <c r="I380" s="56" t="str">
        <f aca="false">IF(G380="","",G380*IF(H380="",1,H380))</f>
        <v/>
      </c>
      <c r="J380" s="57"/>
      <c r="K380" s="53"/>
      <c r="L380" s="58" t="str">
        <f aca="false">IF(G380="","",IF(ISNUMBER(B380),IF(E380="","⚠ ADD CATEGORY / AGREGA CATEGORÍA",IF(J380="No","⚠ SAVE RECEIPT / GUARDA RECIBO","✔ OK")),"⚠ ADD DATE / AGREGA FECHA"))</f>
        <v/>
      </c>
      <c r="N380" s="51" t="n">
        <f aca="false">IF(G380="",0,IF(ISNUMBER(B380),1,0))</f>
        <v>0</v>
      </c>
      <c r="O380" s="51" t="n">
        <f aca="false">IF(N380=1,YEAR(B380),0)</f>
        <v>0</v>
      </c>
      <c r="P380" s="51" t="n">
        <f aca="false">IF(N380=1,YEAR(B380)*100+MONTH(B380),0)</f>
        <v>0</v>
      </c>
      <c r="Q380" s="51" t="n">
        <f aca="false">IF(N380=1,IF(J380="No",1,0),0)</f>
        <v>0</v>
      </c>
    </row>
    <row r="381" customFormat="false" ht="15" hidden="false" customHeight="false" outlineLevel="0" collapsed="false">
      <c r="B381" s="52"/>
      <c r="C381" s="53"/>
      <c r="D381" s="53"/>
      <c r="E381" s="53"/>
      <c r="F381" s="53"/>
      <c r="G381" s="54"/>
      <c r="H381" s="55"/>
      <c r="I381" s="56" t="str">
        <f aca="false">IF(G381="","",G381*IF(H381="",1,H381))</f>
        <v/>
      </c>
      <c r="J381" s="57"/>
      <c r="K381" s="53"/>
      <c r="L381" s="58" t="str">
        <f aca="false">IF(G381="","",IF(ISNUMBER(B381),IF(E381="","⚠ ADD CATEGORY / AGREGA CATEGORÍA",IF(J381="No","⚠ SAVE RECEIPT / GUARDA RECIBO","✔ OK")),"⚠ ADD DATE / AGREGA FECHA"))</f>
        <v/>
      </c>
      <c r="N381" s="51" t="n">
        <f aca="false">IF(G381="",0,IF(ISNUMBER(B381),1,0))</f>
        <v>0</v>
      </c>
      <c r="O381" s="51" t="n">
        <f aca="false">IF(N381=1,YEAR(B381),0)</f>
        <v>0</v>
      </c>
      <c r="P381" s="51" t="n">
        <f aca="false">IF(N381=1,YEAR(B381)*100+MONTH(B381),0)</f>
        <v>0</v>
      </c>
      <c r="Q381" s="51" t="n">
        <f aca="false">IF(N381=1,IF(J381="No",1,0),0)</f>
        <v>0</v>
      </c>
    </row>
    <row r="382" customFormat="false" ht="15" hidden="false" customHeight="false" outlineLevel="0" collapsed="false">
      <c r="B382" s="52"/>
      <c r="C382" s="53"/>
      <c r="D382" s="53"/>
      <c r="E382" s="53"/>
      <c r="F382" s="53"/>
      <c r="G382" s="54"/>
      <c r="H382" s="55"/>
      <c r="I382" s="56" t="str">
        <f aca="false">IF(G382="","",G382*IF(H382="",1,H382))</f>
        <v/>
      </c>
      <c r="J382" s="57"/>
      <c r="K382" s="53"/>
      <c r="L382" s="58" t="str">
        <f aca="false">IF(G382="","",IF(ISNUMBER(B382),IF(E382="","⚠ ADD CATEGORY / AGREGA CATEGORÍA",IF(J382="No","⚠ SAVE RECEIPT / GUARDA RECIBO","✔ OK")),"⚠ ADD DATE / AGREGA FECHA"))</f>
        <v/>
      </c>
      <c r="N382" s="51" t="n">
        <f aca="false">IF(G382="",0,IF(ISNUMBER(B382),1,0))</f>
        <v>0</v>
      </c>
      <c r="O382" s="51" t="n">
        <f aca="false">IF(N382=1,YEAR(B382),0)</f>
        <v>0</v>
      </c>
      <c r="P382" s="51" t="n">
        <f aca="false">IF(N382=1,YEAR(B382)*100+MONTH(B382),0)</f>
        <v>0</v>
      </c>
      <c r="Q382" s="51" t="n">
        <f aca="false">IF(N382=1,IF(J382="No",1,0),0)</f>
        <v>0</v>
      </c>
    </row>
    <row r="383" customFormat="false" ht="15" hidden="false" customHeight="false" outlineLevel="0" collapsed="false">
      <c r="B383" s="52"/>
      <c r="C383" s="53"/>
      <c r="D383" s="53"/>
      <c r="E383" s="53"/>
      <c r="F383" s="53"/>
      <c r="G383" s="54"/>
      <c r="H383" s="55"/>
      <c r="I383" s="56" t="str">
        <f aca="false">IF(G383="","",G383*IF(H383="",1,H383))</f>
        <v/>
      </c>
      <c r="J383" s="57"/>
      <c r="K383" s="53"/>
      <c r="L383" s="58" t="str">
        <f aca="false">IF(G383="","",IF(ISNUMBER(B383),IF(E383="","⚠ ADD CATEGORY / AGREGA CATEGORÍA",IF(J383="No","⚠ SAVE RECEIPT / GUARDA RECIBO","✔ OK")),"⚠ ADD DATE / AGREGA FECHA"))</f>
        <v/>
      </c>
      <c r="N383" s="51" t="n">
        <f aca="false">IF(G383="",0,IF(ISNUMBER(B383),1,0))</f>
        <v>0</v>
      </c>
      <c r="O383" s="51" t="n">
        <f aca="false">IF(N383=1,YEAR(B383),0)</f>
        <v>0</v>
      </c>
      <c r="P383" s="51" t="n">
        <f aca="false">IF(N383=1,YEAR(B383)*100+MONTH(B383),0)</f>
        <v>0</v>
      </c>
      <c r="Q383" s="51" t="n">
        <f aca="false">IF(N383=1,IF(J383="No",1,0),0)</f>
        <v>0</v>
      </c>
    </row>
    <row r="384" customFormat="false" ht="15" hidden="false" customHeight="false" outlineLevel="0" collapsed="false">
      <c r="B384" s="52"/>
      <c r="C384" s="53"/>
      <c r="D384" s="53"/>
      <c r="E384" s="53"/>
      <c r="F384" s="53"/>
      <c r="G384" s="54"/>
      <c r="H384" s="55"/>
      <c r="I384" s="56" t="str">
        <f aca="false">IF(G384="","",G384*IF(H384="",1,H384))</f>
        <v/>
      </c>
      <c r="J384" s="57"/>
      <c r="K384" s="53"/>
      <c r="L384" s="58" t="str">
        <f aca="false">IF(G384="","",IF(ISNUMBER(B384),IF(E384="","⚠ ADD CATEGORY / AGREGA CATEGORÍA",IF(J384="No","⚠ SAVE RECEIPT / GUARDA RECIBO","✔ OK")),"⚠ ADD DATE / AGREGA FECHA"))</f>
        <v/>
      </c>
      <c r="N384" s="51" t="n">
        <f aca="false">IF(G384="",0,IF(ISNUMBER(B384),1,0))</f>
        <v>0</v>
      </c>
      <c r="O384" s="51" t="n">
        <f aca="false">IF(N384=1,YEAR(B384),0)</f>
        <v>0</v>
      </c>
      <c r="P384" s="51" t="n">
        <f aca="false">IF(N384=1,YEAR(B384)*100+MONTH(B384),0)</f>
        <v>0</v>
      </c>
      <c r="Q384" s="51" t="n">
        <f aca="false">IF(N384=1,IF(J384="No",1,0),0)</f>
        <v>0</v>
      </c>
    </row>
    <row r="385" customFormat="false" ht="15" hidden="false" customHeight="false" outlineLevel="0" collapsed="false">
      <c r="B385" s="52"/>
      <c r="C385" s="53"/>
      <c r="D385" s="53"/>
      <c r="E385" s="53"/>
      <c r="F385" s="53"/>
      <c r="G385" s="54"/>
      <c r="H385" s="55"/>
      <c r="I385" s="56" t="str">
        <f aca="false">IF(G385="","",G385*IF(H385="",1,H385))</f>
        <v/>
      </c>
      <c r="J385" s="57"/>
      <c r="K385" s="53"/>
      <c r="L385" s="58" t="str">
        <f aca="false">IF(G385="","",IF(ISNUMBER(B385),IF(E385="","⚠ ADD CATEGORY / AGREGA CATEGORÍA",IF(J385="No","⚠ SAVE RECEIPT / GUARDA RECIBO","✔ OK")),"⚠ ADD DATE / AGREGA FECHA"))</f>
        <v/>
      </c>
      <c r="N385" s="51" t="n">
        <f aca="false">IF(G385="",0,IF(ISNUMBER(B385),1,0))</f>
        <v>0</v>
      </c>
      <c r="O385" s="51" t="n">
        <f aca="false">IF(N385=1,YEAR(B385),0)</f>
        <v>0</v>
      </c>
      <c r="P385" s="51" t="n">
        <f aca="false">IF(N385=1,YEAR(B385)*100+MONTH(B385),0)</f>
        <v>0</v>
      </c>
      <c r="Q385" s="51" t="n">
        <f aca="false">IF(N385=1,IF(J385="No",1,0),0)</f>
        <v>0</v>
      </c>
    </row>
    <row r="386" customFormat="false" ht="15" hidden="false" customHeight="false" outlineLevel="0" collapsed="false">
      <c r="B386" s="52"/>
      <c r="C386" s="53"/>
      <c r="D386" s="53"/>
      <c r="E386" s="53"/>
      <c r="F386" s="53"/>
      <c r="G386" s="54"/>
      <c r="H386" s="55"/>
      <c r="I386" s="56" t="str">
        <f aca="false">IF(G386="","",G386*IF(H386="",1,H386))</f>
        <v/>
      </c>
      <c r="J386" s="57"/>
      <c r="K386" s="53"/>
      <c r="L386" s="58" t="str">
        <f aca="false">IF(G386="","",IF(ISNUMBER(B386),IF(E386="","⚠ ADD CATEGORY / AGREGA CATEGORÍA",IF(J386="No","⚠ SAVE RECEIPT / GUARDA RECIBO","✔ OK")),"⚠ ADD DATE / AGREGA FECHA"))</f>
        <v/>
      </c>
      <c r="N386" s="51" t="n">
        <f aca="false">IF(G386="",0,IF(ISNUMBER(B386),1,0))</f>
        <v>0</v>
      </c>
      <c r="O386" s="51" t="n">
        <f aca="false">IF(N386=1,YEAR(B386),0)</f>
        <v>0</v>
      </c>
      <c r="P386" s="51" t="n">
        <f aca="false">IF(N386=1,YEAR(B386)*100+MONTH(B386),0)</f>
        <v>0</v>
      </c>
      <c r="Q386" s="51" t="n">
        <f aca="false">IF(N386=1,IF(J386="No",1,0),0)</f>
        <v>0</v>
      </c>
    </row>
    <row r="387" customFormat="false" ht="15" hidden="false" customHeight="false" outlineLevel="0" collapsed="false">
      <c r="B387" s="52"/>
      <c r="C387" s="53"/>
      <c r="D387" s="53"/>
      <c r="E387" s="53"/>
      <c r="F387" s="53"/>
      <c r="G387" s="54"/>
      <c r="H387" s="55"/>
      <c r="I387" s="56" t="str">
        <f aca="false">IF(G387="","",G387*IF(H387="",1,H387))</f>
        <v/>
      </c>
      <c r="J387" s="57"/>
      <c r="K387" s="53"/>
      <c r="L387" s="58" t="str">
        <f aca="false">IF(G387="","",IF(ISNUMBER(B387),IF(E387="","⚠ ADD CATEGORY / AGREGA CATEGORÍA",IF(J387="No","⚠ SAVE RECEIPT / GUARDA RECIBO","✔ OK")),"⚠ ADD DATE / AGREGA FECHA"))</f>
        <v/>
      </c>
      <c r="N387" s="51" t="n">
        <f aca="false">IF(G387="",0,IF(ISNUMBER(B387),1,0))</f>
        <v>0</v>
      </c>
      <c r="O387" s="51" t="n">
        <f aca="false">IF(N387=1,YEAR(B387),0)</f>
        <v>0</v>
      </c>
      <c r="P387" s="51" t="n">
        <f aca="false">IF(N387=1,YEAR(B387)*100+MONTH(B387),0)</f>
        <v>0</v>
      </c>
      <c r="Q387" s="51" t="n">
        <f aca="false">IF(N387=1,IF(J387="No",1,0),0)</f>
        <v>0</v>
      </c>
    </row>
    <row r="388" customFormat="false" ht="15" hidden="false" customHeight="false" outlineLevel="0" collapsed="false">
      <c r="B388" s="52"/>
      <c r="C388" s="53"/>
      <c r="D388" s="53"/>
      <c r="E388" s="53"/>
      <c r="F388" s="53"/>
      <c r="G388" s="54"/>
      <c r="H388" s="55"/>
      <c r="I388" s="56" t="str">
        <f aca="false">IF(G388="","",G388*IF(H388="",1,H388))</f>
        <v/>
      </c>
      <c r="J388" s="57"/>
      <c r="K388" s="53"/>
      <c r="L388" s="58" t="str">
        <f aca="false">IF(G388="","",IF(ISNUMBER(B388),IF(E388="","⚠ ADD CATEGORY / AGREGA CATEGORÍA",IF(J388="No","⚠ SAVE RECEIPT / GUARDA RECIBO","✔ OK")),"⚠ ADD DATE / AGREGA FECHA"))</f>
        <v/>
      </c>
      <c r="N388" s="51" t="n">
        <f aca="false">IF(G388="",0,IF(ISNUMBER(B388),1,0))</f>
        <v>0</v>
      </c>
      <c r="O388" s="51" t="n">
        <f aca="false">IF(N388=1,YEAR(B388),0)</f>
        <v>0</v>
      </c>
      <c r="P388" s="51" t="n">
        <f aca="false">IF(N388=1,YEAR(B388)*100+MONTH(B388),0)</f>
        <v>0</v>
      </c>
      <c r="Q388" s="51" t="n">
        <f aca="false">IF(N388=1,IF(J388="No",1,0),0)</f>
        <v>0</v>
      </c>
    </row>
    <row r="389" customFormat="false" ht="15" hidden="false" customHeight="false" outlineLevel="0" collapsed="false">
      <c r="B389" s="52"/>
      <c r="C389" s="53"/>
      <c r="D389" s="53"/>
      <c r="E389" s="53"/>
      <c r="F389" s="53"/>
      <c r="G389" s="54"/>
      <c r="H389" s="55"/>
      <c r="I389" s="56" t="str">
        <f aca="false">IF(G389="","",G389*IF(H389="",1,H389))</f>
        <v/>
      </c>
      <c r="J389" s="57"/>
      <c r="K389" s="53"/>
      <c r="L389" s="58" t="str">
        <f aca="false">IF(G389="","",IF(ISNUMBER(B389),IF(E389="","⚠ ADD CATEGORY / AGREGA CATEGORÍA",IF(J389="No","⚠ SAVE RECEIPT / GUARDA RECIBO","✔ OK")),"⚠ ADD DATE / AGREGA FECHA"))</f>
        <v/>
      </c>
      <c r="N389" s="51" t="n">
        <f aca="false">IF(G389="",0,IF(ISNUMBER(B389),1,0))</f>
        <v>0</v>
      </c>
      <c r="O389" s="51" t="n">
        <f aca="false">IF(N389=1,YEAR(B389),0)</f>
        <v>0</v>
      </c>
      <c r="P389" s="51" t="n">
        <f aca="false">IF(N389=1,YEAR(B389)*100+MONTH(B389),0)</f>
        <v>0</v>
      </c>
      <c r="Q389" s="51" t="n">
        <f aca="false">IF(N389=1,IF(J389="No",1,0),0)</f>
        <v>0</v>
      </c>
    </row>
    <row r="390" customFormat="false" ht="15" hidden="false" customHeight="false" outlineLevel="0" collapsed="false">
      <c r="B390" s="52"/>
      <c r="C390" s="53"/>
      <c r="D390" s="53"/>
      <c r="E390" s="53"/>
      <c r="F390" s="53"/>
      <c r="G390" s="54"/>
      <c r="H390" s="55"/>
      <c r="I390" s="56" t="str">
        <f aca="false">IF(G390="","",G390*IF(H390="",1,H390))</f>
        <v/>
      </c>
      <c r="J390" s="57"/>
      <c r="K390" s="53"/>
      <c r="L390" s="58" t="str">
        <f aca="false">IF(G390="","",IF(ISNUMBER(B390),IF(E390="","⚠ ADD CATEGORY / AGREGA CATEGORÍA",IF(J390="No","⚠ SAVE RECEIPT / GUARDA RECIBO","✔ OK")),"⚠ ADD DATE / AGREGA FECHA"))</f>
        <v/>
      </c>
      <c r="N390" s="51" t="n">
        <f aca="false">IF(G390="",0,IF(ISNUMBER(B390),1,0))</f>
        <v>0</v>
      </c>
      <c r="O390" s="51" t="n">
        <f aca="false">IF(N390=1,YEAR(B390),0)</f>
        <v>0</v>
      </c>
      <c r="P390" s="51" t="n">
        <f aca="false">IF(N390=1,YEAR(B390)*100+MONTH(B390),0)</f>
        <v>0</v>
      </c>
      <c r="Q390" s="51" t="n">
        <f aca="false">IF(N390=1,IF(J390="No",1,0),0)</f>
        <v>0</v>
      </c>
    </row>
    <row r="391" customFormat="false" ht="15" hidden="false" customHeight="false" outlineLevel="0" collapsed="false">
      <c r="B391" s="52"/>
      <c r="C391" s="53"/>
      <c r="D391" s="53"/>
      <c r="E391" s="53"/>
      <c r="F391" s="53"/>
      <c r="G391" s="54"/>
      <c r="H391" s="55"/>
      <c r="I391" s="56" t="str">
        <f aca="false">IF(G391="","",G391*IF(H391="",1,H391))</f>
        <v/>
      </c>
      <c r="J391" s="57"/>
      <c r="K391" s="53"/>
      <c r="L391" s="58" t="str">
        <f aca="false">IF(G391="","",IF(ISNUMBER(B391),IF(E391="","⚠ ADD CATEGORY / AGREGA CATEGORÍA",IF(J391="No","⚠ SAVE RECEIPT / GUARDA RECIBO","✔ OK")),"⚠ ADD DATE / AGREGA FECHA"))</f>
        <v/>
      </c>
      <c r="N391" s="51" t="n">
        <f aca="false">IF(G391="",0,IF(ISNUMBER(B391),1,0))</f>
        <v>0</v>
      </c>
      <c r="O391" s="51" t="n">
        <f aca="false">IF(N391=1,YEAR(B391),0)</f>
        <v>0</v>
      </c>
      <c r="P391" s="51" t="n">
        <f aca="false">IF(N391=1,YEAR(B391)*100+MONTH(B391),0)</f>
        <v>0</v>
      </c>
      <c r="Q391" s="51" t="n">
        <f aca="false">IF(N391=1,IF(J391="No",1,0),0)</f>
        <v>0</v>
      </c>
    </row>
    <row r="392" customFormat="false" ht="15" hidden="false" customHeight="false" outlineLevel="0" collapsed="false">
      <c r="B392" s="52"/>
      <c r="C392" s="53"/>
      <c r="D392" s="53"/>
      <c r="E392" s="53"/>
      <c r="F392" s="53"/>
      <c r="G392" s="54"/>
      <c r="H392" s="55"/>
      <c r="I392" s="56" t="str">
        <f aca="false">IF(G392="","",G392*IF(H392="",1,H392))</f>
        <v/>
      </c>
      <c r="J392" s="57"/>
      <c r="K392" s="53"/>
      <c r="L392" s="58" t="str">
        <f aca="false">IF(G392="","",IF(ISNUMBER(B392),IF(E392="","⚠ ADD CATEGORY / AGREGA CATEGORÍA",IF(J392="No","⚠ SAVE RECEIPT / GUARDA RECIBO","✔ OK")),"⚠ ADD DATE / AGREGA FECHA"))</f>
        <v/>
      </c>
      <c r="N392" s="51" t="n">
        <f aca="false">IF(G392="",0,IF(ISNUMBER(B392),1,0))</f>
        <v>0</v>
      </c>
      <c r="O392" s="51" t="n">
        <f aca="false">IF(N392=1,YEAR(B392),0)</f>
        <v>0</v>
      </c>
      <c r="P392" s="51" t="n">
        <f aca="false">IF(N392=1,YEAR(B392)*100+MONTH(B392),0)</f>
        <v>0</v>
      </c>
      <c r="Q392" s="51" t="n">
        <f aca="false">IF(N392=1,IF(J392="No",1,0),0)</f>
        <v>0</v>
      </c>
    </row>
    <row r="393" customFormat="false" ht="15" hidden="false" customHeight="false" outlineLevel="0" collapsed="false">
      <c r="B393" s="52"/>
      <c r="C393" s="53"/>
      <c r="D393" s="53"/>
      <c r="E393" s="53"/>
      <c r="F393" s="53"/>
      <c r="G393" s="54"/>
      <c r="H393" s="55"/>
      <c r="I393" s="56" t="str">
        <f aca="false">IF(G393="","",G393*IF(H393="",1,H393))</f>
        <v/>
      </c>
      <c r="J393" s="57"/>
      <c r="K393" s="53"/>
      <c r="L393" s="58" t="str">
        <f aca="false">IF(G393="","",IF(ISNUMBER(B393),IF(E393="","⚠ ADD CATEGORY / AGREGA CATEGORÍA",IF(J393="No","⚠ SAVE RECEIPT / GUARDA RECIBO","✔ OK")),"⚠ ADD DATE / AGREGA FECHA"))</f>
        <v/>
      </c>
      <c r="N393" s="51" t="n">
        <f aca="false">IF(G393="",0,IF(ISNUMBER(B393),1,0))</f>
        <v>0</v>
      </c>
      <c r="O393" s="51" t="n">
        <f aca="false">IF(N393=1,YEAR(B393),0)</f>
        <v>0</v>
      </c>
      <c r="P393" s="51" t="n">
        <f aca="false">IF(N393=1,YEAR(B393)*100+MONTH(B393),0)</f>
        <v>0</v>
      </c>
      <c r="Q393" s="51" t="n">
        <f aca="false">IF(N393=1,IF(J393="No",1,0),0)</f>
        <v>0</v>
      </c>
    </row>
    <row r="394" customFormat="false" ht="15" hidden="false" customHeight="false" outlineLevel="0" collapsed="false">
      <c r="B394" s="52"/>
      <c r="C394" s="53"/>
      <c r="D394" s="53"/>
      <c r="E394" s="53"/>
      <c r="F394" s="53"/>
      <c r="G394" s="54"/>
      <c r="H394" s="55"/>
      <c r="I394" s="56" t="str">
        <f aca="false">IF(G394="","",G394*IF(H394="",1,H394))</f>
        <v/>
      </c>
      <c r="J394" s="57"/>
      <c r="K394" s="53"/>
      <c r="L394" s="58" t="str">
        <f aca="false">IF(G394="","",IF(ISNUMBER(B394),IF(E394="","⚠ ADD CATEGORY / AGREGA CATEGORÍA",IF(J394="No","⚠ SAVE RECEIPT / GUARDA RECIBO","✔ OK")),"⚠ ADD DATE / AGREGA FECHA"))</f>
        <v/>
      </c>
      <c r="N394" s="51" t="n">
        <f aca="false">IF(G394="",0,IF(ISNUMBER(B394),1,0))</f>
        <v>0</v>
      </c>
      <c r="O394" s="51" t="n">
        <f aca="false">IF(N394=1,YEAR(B394),0)</f>
        <v>0</v>
      </c>
      <c r="P394" s="51" t="n">
        <f aca="false">IF(N394=1,YEAR(B394)*100+MONTH(B394),0)</f>
        <v>0</v>
      </c>
      <c r="Q394" s="51" t="n">
        <f aca="false">IF(N394=1,IF(J394="No",1,0),0)</f>
        <v>0</v>
      </c>
    </row>
    <row r="395" customFormat="false" ht="15" hidden="false" customHeight="false" outlineLevel="0" collapsed="false">
      <c r="B395" s="52"/>
      <c r="C395" s="53"/>
      <c r="D395" s="53"/>
      <c r="E395" s="53"/>
      <c r="F395" s="53"/>
      <c r="G395" s="54"/>
      <c r="H395" s="55"/>
      <c r="I395" s="56" t="str">
        <f aca="false">IF(G395="","",G395*IF(H395="",1,H395))</f>
        <v/>
      </c>
      <c r="J395" s="57"/>
      <c r="K395" s="53"/>
      <c r="L395" s="58" t="str">
        <f aca="false">IF(G395="","",IF(ISNUMBER(B395),IF(E395="","⚠ ADD CATEGORY / AGREGA CATEGORÍA",IF(J395="No","⚠ SAVE RECEIPT / GUARDA RECIBO","✔ OK")),"⚠ ADD DATE / AGREGA FECHA"))</f>
        <v/>
      </c>
      <c r="N395" s="51" t="n">
        <f aca="false">IF(G395="",0,IF(ISNUMBER(B395),1,0))</f>
        <v>0</v>
      </c>
      <c r="O395" s="51" t="n">
        <f aca="false">IF(N395=1,YEAR(B395),0)</f>
        <v>0</v>
      </c>
      <c r="P395" s="51" t="n">
        <f aca="false">IF(N395=1,YEAR(B395)*100+MONTH(B395),0)</f>
        <v>0</v>
      </c>
      <c r="Q395" s="51" t="n">
        <f aca="false">IF(N395=1,IF(J395="No",1,0),0)</f>
        <v>0</v>
      </c>
    </row>
    <row r="396" customFormat="false" ht="15" hidden="false" customHeight="false" outlineLevel="0" collapsed="false">
      <c r="B396" s="52"/>
      <c r="C396" s="53"/>
      <c r="D396" s="53"/>
      <c r="E396" s="53"/>
      <c r="F396" s="53"/>
      <c r="G396" s="54"/>
      <c r="H396" s="55"/>
      <c r="I396" s="56" t="str">
        <f aca="false">IF(G396="","",G396*IF(H396="",1,H396))</f>
        <v/>
      </c>
      <c r="J396" s="57"/>
      <c r="K396" s="53"/>
      <c r="L396" s="58" t="str">
        <f aca="false">IF(G396="","",IF(ISNUMBER(B396),IF(E396="","⚠ ADD CATEGORY / AGREGA CATEGORÍA",IF(J396="No","⚠ SAVE RECEIPT / GUARDA RECIBO","✔ OK")),"⚠ ADD DATE / AGREGA FECHA"))</f>
        <v/>
      </c>
      <c r="N396" s="51" t="n">
        <f aca="false">IF(G396="",0,IF(ISNUMBER(B396),1,0))</f>
        <v>0</v>
      </c>
      <c r="O396" s="51" t="n">
        <f aca="false">IF(N396=1,YEAR(B396),0)</f>
        <v>0</v>
      </c>
      <c r="P396" s="51" t="n">
        <f aca="false">IF(N396=1,YEAR(B396)*100+MONTH(B396),0)</f>
        <v>0</v>
      </c>
      <c r="Q396" s="51" t="n">
        <f aca="false">IF(N396=1,IF(J396="No",1,0),0)</f>
        <v>0</v>
      </c>
    </row>
    <row r="397" customFormat="false" ht="15" hidden="false" customHeight="false" outlineLevel="0" collapsed="false">
      <c r="B397" s="52"/>
      <c r="C397" s="53"/>
      <c r="D397" s="53"/>
      <c r="E397" s="53"/>
      <c r="F397" s="53"/>
      <c r="G397" s="54"/>
      <c r="H397" s="55"/>
      <c r="I397" s="56" t="str">
        <f aca="false">IF(G397="","",G397*IF(H397="",1,H397))</f>
        <v/>
      </c>
      <c r="J397" s="57"/>
      <c r="K397" s="53"/>
      <c r="L397" s="58" t="str">
        <f aca="false">IF(G397="","",IF(ISNUMBER(B397),IF(E397="","⚠ ADD CATEGORY / AGREGA CATEGORÍA",IF(J397="No","⚠ SAVE RECEIPT / GUARDA RECIBO","✔ OK")),"⚠ ADD DATE / AGREGA FECHA"))</f>
        <v/>
      </c>
      <c r="N397" s="51" t="n">
        <f aca="false">IF(G397="",0,IF(ISNUMBER(B397),1,0))</f>
        <v>0</v>
      </c>
      <c r="O397" s="51" t="n">
        <f aca="false">IF(N397=1,YEAR(B397),0)</f>
        <v>0</v>
      </c>
      <c r="P397" s="51" t="n">
        <f aca="false">IF(N397=1,YEAR(B397)*100+MONTH(B397),0)</f>
        <v>0</v>
      </c>
      <c r="Q397" s="51" t="n">
        <f aca="false">IF(N397=1,IF(J397="No",1,0),0)</f>
        <v>0</v>
      </c>
    </row>
    <row r="398" customFormat="false" ht="15" hidden="false" customHeight="false" outlineLevel="0" collapsed="false">
      <c r="B398" s="52"/>
      <c r="C398" s="53"/>
      <c r="D398" s="53"/>
      <c r="E398" s="53"/>
      <c r="F398" s="53"/>
      <c r="G398" s="54"/>
      <c r="H398" s="55"/>
      <c r="I398" s="56" t="str">
        <f aca="false">IF(G398="","",G398*IF(H398="",1,H398))</f>
        <v/>
      </c>
      <c r="J398" s="57"/>
      <c r="K398" s="53"/>
      <c r="L398" s="58" t="str">
        <f aca="false">IF(G398="","",IF(ISNUMBER(B398),IF(E398="","⚠ ADD CATEGORY / AGREGA CATEGORÍA",IF(J398="No","⚠ SAVE RECEIPT / GUARDA RECIBO","✔ OK")),"⚠ ADD DATE / AGREGA FECHA"))</f>
        <v/>
      </c>
      <c r="N398" s="51" t="n">
        <f aca="false">IF(G398="",0,IF(ISNUMBER(B398),1,0))</f>
        <v>0</v>
      </c>
      <c r="O398" s="51" t="n">
        <f aca="false">IF(N398=1,YEAR(B398),0)</f>
        <v>0</v>
      </c>
      <c r="P398" s="51" t="n">
        <f aca="false">IF(N398=1,YEAR(B398)*100+MONTH(B398),0)</f>
        <v>0</v>
      </c>
      <c r="Q398" s="51" t="n">
        <f aca="false">IF(N398=1,IF(J398="No",1,0),0)</f>
        <v>0</v>
      </c>
    </row>
    <row r="399" customFormat="false" ht="15" hidden="false" customHeight="false" outlineLevel="0" collapsed="false">
      <c r="B399" s="52"/>
      <c r="C399" s="53"/>
      <c r="D399" s="53"/>
      <c r="E399" s="53"/>
      <c r="F399" s="53"/>
      <c r="G399" s="54"/>
      <c r="H399" s="55"/>
      <c r="I399" s="56" t="str">
        <f aca="false">IF(G399="","",G399*IF(H399="",1,H399))</f>
        <v/>
      </c>
      <c r="J399" s="57"/>
      <c r="K399" s="53"/>
      <c r="L399" s="58" t="str">
        <f aca="false">IF(G399="","",IF(ISNUMBER(B399),IF(E399="","⚠ ADD CATEGORY / AGREGA CATEGORÍA",IF(J399="No","⚠ SAVE RECEIPT / GUARDA RECIBO","✔ OK")),"⚠ ADD DATE / AGREGA FECHA"))</f>
        <v/>
      </c>
      <c r="N399" s="51" t="n">
        <f aca="false">IF(G399="",0,IF(ISNUMBER(B399),1,0))</f>
        <v>0</v>
      </c>
      <c r="O399" s="51" t="n">
        <f aca="false">IF(N399=1,YEAR(B399),0)</f>
        <v>0</v>
      </c>
      <c r="P399" s="51" t="n">
        <f aca="false">IF(N399=1,YEAR(B399)*100+MONTH(B399),0)</f>
        <v>0</v>
      </c>
      <c r="Q399" s="51" t="n">
        <f aca="false">IF(N399=1,IF(J399="No",1,0),0)</f>
        <v>0</v>
      </c>
    </row>
    <row r="400" customFormat="false" ht="15" hidden="false" customHeight="false" outlineLevel="0" collapsed="false">
      <c r="B400" s="52"/>
      <c r="C400" s="53"/>
      <c r="D400" s="53"/>
      <c r="E400" s="53"/>
      <c r="F400" s="53"/>
      <c r="G400" s="54"/>
      <c r="H400" s="55"/>
      <c r="I400" s="56" t="str">
        <f aca="false">IF(G400="","",G400*IF(H400="",1,H400))</f>
        <v/>
      </c>
      <c r="J400" s="57"/>
      <c r="K400" s="53"/>
      <c r="L400" s="58" t="str">
        <f aca="false">IF(G400="","",IF(ISNUMBER(B400),IF(E400="","⚠ ADD CATEGORY / AGREGA CATEGORÍA",IF(J400="No","⚠ SAVE RECEIPT / GUARDA RECIBO","✔ OK")),"⚠ ADD DATE / AGREGA FECHA"))</f>
        <v/>
      </c>
      <c r="N400" s="51" t="n">
        <f aca="false">IF(G400="",0,IF(ISNUMBER(B400),1,0))</f>
        <v>0</v>
      </c>
      <c r="O400" s="51" t="n">
        <f aca="false">IF(N400=1,YEAR(B400),0)</f>
        <v>0</v>
      </c>
      <c r="P400" s="51" t="n">
        <f aca="false">IF(N400=1,YEAR(B400)*100+MONTH(B400),0)</f>
        <v>0</v>
      </c>
      <c r="Q400" s="51" t="n">
        <f aca="false">IF(N400=1,IF(J400="No",1,0),0)</f>
        <v>0</v>
      </c>
    </row>
    <row r="401" customFormat="false" ht="15" hidden="false" customHeight="false" outlineLevel="0" collapsed="false">
      <c r="B401" s="52"/>
      <c r="C401" s="53"/>
      <c r="D401" s="53"/>
      <c r="E401" s="53"/>
      <c r="F401" s="53"/>
      <c r="G401" s="54"/>
      <c r="H401" s="55"/>
      <c r="I401" s="56" t="str">
        <f aca="false">IF(G401="","",G401*IF(H401="",1,H401))</f>
        <v/>
      </c>
      <c r="J401" s="57"/>
      <c r="K401" s="53"/>
      <c r="L401" s="58" t="str">
        <f aca="false">IF(G401="","",IF(ISNUMBER(B401),IF(E401="","⚠ ADD CATEGORY / AGREGA CATEGORÍA",IF(J401="No","⚠ SAVE RECEIPT / GUARDA RECIBO","✔ OK")),"⚠ ADD DATE / AGREGA FECHA"))</f>
        <v/>
      </c>
      <c r="N401" s="51" t="n">
        <f aca="false">IF(G401="",0,IF(ISNUMBER(B401),1,0))</f>
        <v>0</v>
      </c>
      <c r="O401" s="51" t="n">
        <f aca="false">IF(N401=1,YEAR(B401),0)</f>
        <v>0</v>
      </c>
      <c r="P401" s="51" t="n">
        <f aca="false">IF(N401=1,YEAR(B401)*100+MONTH(B401),0)</f>
        <v>0</v>
      </c>
      <c r="Q401" s="51" t="n">
        <f aca="false">IF(N401=1,IF(J401="No",1,0),0)</f>
        <v>0</v>
      </c>
    </row>
    <row r="402" customFormat="false" ht="15" hidden="false" customHeight="false" outlineLevel="0" collapsed="false">
      <c r="B402" s="52"/>
      <c r="C402" s="53"/>
      <c r="D402" s="53"/>
      <c r="E402" s="53"/>
      <c r="F402" s="53"/>
      <c r="G402" s="54"/>
      <c r="H402" s="55"/>
      <c r="I402" s="56" t="str">
        <f aca="false">IF(G402="","",G402*IF(H402="",1,H402))</f>
        <v/>
      </c>
      <c r="J402" s="57"/>
      <c r="K402" s="53"/>
      <c r="L402" s="58" t="str">
        <f aca="false">IF(G402="","",IF(ISNUMBER(B402),IF(E402="","⚠ ADD CATEGORY / AGREGA CATEGORÍA",IF(J402="No","⚠ SAVE RECEIPT / GUARDA RECIBO","✔ OK")),"⚠ ADD DATE / AGREGA FECHA"))</f>
        <v/>
      </c>
      <c r="N402" s="51" t="n">
        <f aca="false">IF(G402="",0,IF(ISNUMBER(B402),1,0))</f>
        <v>0</v>
      </c>
      <c r="O402" s="51" t="n">
        <f aca="false">IF(N402=1,YEAR(B402),0)</f>
        <v>0</v>
      </c>
      <c r="P402" s="51" t="n">
        <f aca="false">IF(N402=1,YEAR(B402)*100+MONTH(B402),0)</f>
        <v>0</v>
      </c>
      <c r="Q402" s="51" t="n">
        <f aca="false">IF(N402=1,IF(J402="No",1,0),0)</f>
        <v>0</v>
      </c>
    </row>
    <row r="403" customFormat="false" ht="15" hidden="false" customHeight="false" outlineLevel="0" collapsed="false">
      <c r="B403" s="52"/>
      <c r="C403" s="53"/>
      <c r="D403" s="53"/>
      <c r="E403" s="53"/>
      <c r="F403" s="53"/>
      <c r="G403" s="54"/>
      <c r="H403" s="55"/>
      <c r="I403" s="56" t="str">
        <f aca="false">IF(G403="","",G403*IF(H403="",1,H403))</f>
        <v/>
      </c>
      <c r="J403" s="57"/>
      <c r="K403" s="53"/>
      <c r="L403" s="58" t="str">
        <f aca="false">IF(G403="","",IF(ISNUMBER(B403),IF(E403="","⚠ ADD CATEGORY / AGREGA CATEGORÍA",IF(J403="No","⚠ SAVE RECEIPT / GUARDA RECIBO","✔ OK")),"⚠ ADD DATE / AGREGA FECHA"))</f>
        <v/>
      </c>
      <c r="N403" s="51" t="n">
        <f aca="false">IF(G403="",0,IF(ISNUMBER(B403),1,0))</f>
        <v>0</v>
      </c>
      <c r="O403" s="51" t="n">
        <f aca="false">IF(N403=1,YEAR(B403),0)</f>
        <v>0</v>
      </c>
      <c r="P403" s="51" t="n">
        <f aca="false">IF(N403=1,YEAR(B403)*100+MONTH(B403),0)</f>
        <v>0</v>
      </c>
      <c r="Q403" s="51" t="n">
        <f aca="false">IF(N403=1,IF(J403="No",1,0),0)</f>
        <v>0</v>
      </c>
    </row>
    <row r="404" customFormat="false" ht="15" hidden="false" customHeight="false" outlineLevel="0" collapsed="false">
      <c r="B404" s="52"/>
      <c r="C404" s="53"/>
      <c r="D404" s="53"/>
      <c r="E404" s="53"/>
      <c r="F404" s="53"/>
      <c r="G404" s="54"/>
      <c r="H404" s="55"/>
      <c r="I404" s="56" t="str">
        <f aca="false">IF(G404="","",G404*IF(H404="",1,H404))</f>
        <v/>
      </c>
      <c r="J404" s="57"/>
      <c r="K404" s="53"/>
      <c r="L404" s="58" t="str">
        <f aca="false">IF(G404="","",IF(ISNUMBER(B404),IF(E404="","⚠ ADD CATEGORY / AGREGA CATEGORÍA",IF(J404="No","⚠ SAVE RECEIPT / GUARDA RECIBO","✔ OK")),"⚠ ADD DATE / AGREGA FECHA"))</f>
        <v/>
      </c>
      <c r="N404" s="51" t="n">
        <f aca="false">IF(G404="",0,IF(ISNUMBER(B404),1,0))</f>
        <v>0</v>
      </c>
      <c r="O404" s="51" t="n">
        <f aca="false">IF(N404=1,YEAR(B404),0)</f>
        <v>0</v>
      </c>
      <c r="P404" s="51" t="n">
        <f aca="false">IF(N404=1,YEAR(B404)*100+MONTH(B404),0)</f>
        <v>0</v>
      </c>
      <c r="Q404" s="51" t="n">
        <f aca="false">IF(N404=1,IF(J404="No",1,0),0)</f>
        <v>0</v>
      </c>
    </row>
    <row r="405" customFormat="false" ht="15" hidden="false" customHeight="false" outlineLevel="0" collapsed="false">
      <c r="B405" s="52"/>
      <c r="C405" s="53"/>
      <c r="D405" s="53"/>
      <c r="E405" s="53"/>
      <c r="F405" s="53"/>
      <c r="G405" s="54"/>
      <c r="H405" s="55"/>
      <c r="I405" s="56" t="str">
        <f aca="false">IF(G405="","",G405*IF(H405="",1,H405))</f>
        <v/>
      </c>
      <c r="J405" s="57"/>
      <c r="K405" s="53"/>
      <c r="L405" s="58" t="str">
        <f aca="false">IF(G405="","",IF(ISNUMBER(B405),IF(E405="","⚠ ADD CATEGORY / AGREGA CATEGORÍA",IF(J405="No","⚠ SAVE RECEIPT / GUARDA RECIBO","✔ OK")),"⚠ ADD DATE / AGREGA FECHA"))</f>
        <v/>
      </c>
      <c r="N405" s="51" t="n">
        <f aca="false">IF(G405="",0,IF(ISNUMBER(B405),1,0))</f>
        <v>0</v>
      </c>
      <c r="O405" s="51" t="n">
        <f aca="false">IF(N405=1,YEAR(B405),0)</f>
        <v>0</v>
      </c>
      <c r="P405" s="51" t="n">
        <f aca="false">IF(N405=1,YEAR(B405)*100+MONTH(B405),0)</f>
        <v>0</v>
      </c>
      <c r="Q405" s="51" t="n">
        <f aca="false">IF(N405=1,IF(J405="No",1,0),0)</f>
        <v>0</v>
      </c>
    </row>
    <row r="406" customFormat="false" ht="15" hidden="false" customHeight="false" outlineLevel="0" collapsed="false">
      <c r="B406" s="52"/>
      <c r="C406" s="53"/>
      <c r="D406" s="53"/>
      <c r="E406" s="53"/>
      <c r="F406" s="53"/>
      <c r="G406" s="54"/>
      <c r="H406" s="55"/>
      <c r="I406" s="56" t="str">
        <f aca="false">IF(G406="","",G406*IF(H406="",1,H406))</f>
        <v/>
      </c>
      <c r="J406" s="57"/>
      <c r="K406" s="53"/>
      <c r="L406" s="58" t="str">
        <f aca="false">IF(G406="","",IF(ISNUMBER(B406),IF(E406="","⚠ ADD CATEGORY / AGREGA CATEGORÍA",IF(J406="No","⚠ SAVE RECEIPT / GUARDA RECIBO","✔ OK")),"⚠ ADD DATE / AGREGA FECHA"))</f>
        <v/>
      </c>
      <c r="N406" s="51" t="n">
        <f aca="false">IF(G406="",0,IF(ISNUMBER(B406),1,0))</f>
        <v>0</v>
      </c>
      <c r="O406" s="51" t="n">
        <f aca="false">IF(N406=1,YEAR(B406),0)</f>
        <v>0</v>
      </c>
      <c r="P406" s="51" t="n">
        <f aca="false">IF(N406=1,YEAR(B406)*100+MONTH(B406),0)</f>
        <v>0</v>
      </c>
      <c r="Q406" s="51" t="n">
        <f aca="false">IF(N406=1,IF(J406="No",1,0),0)</f>
        <v>0</v>
      </c>
    </row>
    <row r="407" customFormat="false" ht="15" hidden="false" customHeight="false" outlineLevel="0" collapsed="false">
      <c r="B407" s="52"/>
      <c r="C407" s="53"/>
      <c r="D407" s="53"/>
      <c r="E407" s="53"/>
      <c r="F407" s="53"/>
      <c r="G407" s="54"/>
      <c r="H407" s="55"/>
      <c r="I407" s="56" t="str">
        <f aca="false">IF(G407="","",G407*IF(H407="",1,H407))</f>
        <v/>
      </c>
      <c r="J407" s="57"/>
      <c r="K407" s="53"/>
      <c r="L407" s="58" t="str">
        <f aca="false">IF(G407="","",IF(ISNUMBER(B407),IF(E407="","⚠ ADD CATEGORY / AGREGA CATEGORÍA",IF(J407="No","⚠ SAVE RECEIPT / GUARDA RECIBO","✔ OK")),"⚠ ADD DATE / AGREGA FECHA"))</f>
        <v/>
      </c>
      <c r="N407" s="51" t="n">
        <f aca="false">IF(G407="",0,IF(ISNUMBER(B407),1,0))</f>
        <v>0</v>
      </c>
      <c r="O407" s="51" t="n">
        <f aca="false">IF(N407=1,YEAR(B407),0)</f>
        <v>0</v>
      </c>
      <c r="P407" s="51" t="n">
        <f aca="false">IF(N407=1,YEAR(B407)*100+MONTH(B407),0)</f>
        <v>0</v>
      </c>
      <c r="Q407" s="51" t="n">
        <f aca="false">IF(N407=1,IF(J407="No",1,0),0)</f>
        <v>0</v>
      </c>
    </row>
    <row r="408" customFormat="false" ht="15" hidden="false" customHeight="false" outlineLevel="0" collapsed="false">
      <c r="B408" s="52"/>
      <c r="C408" s="53"/>
      <c r="D408" s="53"/>
      <c r="E408" s="53"/>
      <c r="F408" s="53"/>
      <c r="G408" s="54"/>
      <c r="H408" s="55"/>
      <c r="I408" s="56" t="str">
        <f aca="false">IF(G408="","",G408*IF(H408="",1,H408))</f>
        <v/>
      </c>
      <c r="J408" s="57"/>
      <c r="K408" s="53"/>
      <c r="L408" s="58" t="str">
        <f aca="false">IF(G408="","",IF(ISNUMBER(B408),IF(E408="","⚠ ADD CATEGORY / AGREGA CATEGORÍA",IF(J408="No","⚠ SAVE RECEIPT / GUARDA RECIBO","✔ OK")),"⚠ ADD DATE / AGREGA FECHA"))</f>
        <v/>
      </c>
      <c r="N408" s="51" t="n">
        <f aca="false">IF(G408="",0,IF(ISNUMBER(B408),1,0))</f>
        <v>0</v>
      </c>
      <c r="O408" s="51" t="n">
        <f aca="false">IF(N408=1,YEAR(B408),0)</f>
        <v>0</v>
      </c>
      <c r="P408" s="51" t="n">
        <f aca="false">IF(N408=1,YEAR(B408)*100+MONTH(B408),0)</f>
        <v>0</v>
      </c>
      <c r="Q408" s="51" t="n">
        <f aca="false">IF(N408=1,IF(J408="No",1,0),0)</f>
        <v>0</v>
      </c>
    </row>
    <row r="409" customFormat="false" ht="15" hidden="false" customHeight="false" outlineLevel="0" collapsed="false">
      <c r="B409" s="52"/>
      <c r="C409" s="53"/>
      <c r="D409" s="53"/>
      <c r="E409" s="53"/>
      <c r="F409" s="53"/>
      <c r="G409" s="54"/>
      <c r="H409" s="55"/>
      <c r="I409" s="56" t="str">
        <f aca="false">IF(G409="","",G409*IF(H409="",1,H409))</f>
        <v/>
      </c>
      <c r="J409" s="57"/>
      <c r="K409" s="53"/>
      <c r="L409" s="58" t="str">
        <f aca="false">IF(G409="","",IF(ISNUMBER(B409),IF(E409="","⚠ ADD CATEGORY / AGREGA CATEGORÍA",IF(J409="No","⚠ SAVE RECEIPT / GUARDA RECIBO","✔ OK")),"⚠ ADD DATE / AGREGA FECHA"))</f>
        <v/>
      </c>
      <c r="N409" s="51" t="n">
        <f aca="false">IF(G409="",0,IF(ISNUMBER(B409),1,0))</f>
        <v>0</v>
      </c>
      <c r="O409" s="51" t="n">
        <f aca="false">IF(N409=1,YEAR(B409),0)</f>
        <v>0</v>
      </c>
      <c r="P409" s="51" t="n">
        <f aca="false">IF(N409=1,YEAR(B409)*100+MONTH(B409),0)</f>
        <v>0</v>
      </c>
      <c r="Q409" s="51" t="n">
        <f aca="false">IF(N409=1,IF(J409="No",1,0),0)</f>
        <v>0</v>
      </c>
    </row>
    <row r="410" customFormat="false" ht="15" hidden="false" customHeight="false" outlineLevel="0" collapsed="false">
      <c r="B410" s="52"/>
      <c r="C410" s="53"/>
      <c r="D410" s="53"/>
      <c r="E410" s="53"/>
      <c r="F410" s="53"/>
      <c r="G410" s="54"/>
      <c r="H410" s="55"/>
      <c r="I410" s="56" t="str">
        <f aca="false">IF(G410="","",G410*IF(H410="",1,H410))</f>
        <v/>
      </c>
      <c r="J410" s="57"/>
      <c r="K410" s="53"/>
      <c r="L410" s="58" t="str">
        <f aca="false">IF(G410="","",IF(ISNUMBER(B410),IF(E410="","⚠ ADD CATEGORY / AGREGA CATEGORÍA",IF(J410="No","⚠ SAVE RECEIPT / GUARDA RECIBO","✔ OK")),"⚠ ADD DATE / AGREGA FECHA"))</f>
        <v/>
      </c>
      <c r="N410" s="51" t="n">
        <f aca="false">IF(G410="",0,IF(ISNUMBER(B410),1,0))</f>
        <v>0</v>
      </c>
      <c r="O410" s="51" t="n">
        <f aca="false">IF(N410=1,YEAR(B410),0)</f>
        <v>0</v>
      </c>
      <c r="P410" s="51" t="n">
        <f aca="false">IF(N410=1,YEAR(B410)*100+MONTH(B410),0)</f>
        <v>0</v>
      </c>
      <c r="Q410" s="51" t="n">
        <f aca="false">IF(N410=1,IF(J410="No",1,0),0)</f>
        <v>0</v>
      </c>
    </row>
    <row r="411" customFormat="false" ht="15" hidden="false" customHeight="false" outlineLevel="0" collapsed="false">
      <c r="B411" s="52"/>
      <c r="C411" s="53"/>
      <c r="D411" s="53"/>
      <c r="E411" s="53"/>
      <c r="F411" s="53"/>
      <c r="G411" s="54"/>
      <c r="H411" s="55"/>
      <c r="I411" s="56" t="str">
        <f aca="false">IF(G411="","",G411*IF(H411="",1,H411))</f>
        <v/>
      </c>
      <c r="J411" s="57"/>
      <c r="K411" s="53"/>
      <c r="L411" s="58" t="str">
        <f aca="false">IF(G411="","",IF(ISNUMBER(B411),IF(E411="","⚠ ADD CATEGORY / AGREGA CATEGORÍA",IF(J411="No","⚠ SAVE RECEIPT / GUARDA RECIBO","✔ OK")),"⚠ ADD DATE / AGREGA FECHA"))</f>
        <v/>
      </c>
      <c r="N411" s="51" t="n">
        <f aca="false">IF(G411="",0,IF(ISNUMBER(B411),1,0))</f>
        <v>0</v>
      </c>
      <c r="O411" s="51" t="n">
        <f aca="false">IF(N411=1,YEAR(B411),0)</f>
        <v>0</v>
      </c>
      <c r="P411" s="51" t="n">
        <f aca="false">IF(N411=1,YEAR(B411)*100+MONTH(B411),0)</f>
        <v>0</v>
      </c>
      <c r="Q411" s="51" t="n">
        <f aca="false">IF(N411=1,IF(J411="No",1,0),0)</f>
        <v>0</v>
      </c>
    </row>
    <row r="412" customFormat="false" ht="15" hidden="false" customHeight="false" outlineLevel="0" collapsed="false">
      <c r="B412" s="52"/>
      <c r="C412" s="53"/>
      <c r="D412" s="53"/>
      <c r="E412" s="53"/>
      <c r="F412" s="53"/>
      <c r="G412" s="54"/>
      <c r="H412" s="55"/>
      <c r="I412" s="56" t="str">
        <f aca="false">IF(G412="","",G412*IF(H412="",1,H412))</f>
        <v/>
      </c>
      <c r="J412" s="57"/>
      <c r="K412" s="53"/>
      <c r="L412" s="58" t="str">
        <f aca="false">IF(G412="","",IF(ISNUMBER(B412),IF(E412="","⚠ ADD CATEGORY / AGREGA CATEGORÍA",IF(J412="No","⚠ SAVE RECEIPT / GUARDA RECIBO","✔ OK")),"⚠ ADD DATE / AGREGA FECHA"))</f>
        <v/>
      </c>
      <c r="N412" s="51" t="n">
        <f aca="false">IF(G412="",0,IF(ISNUMBER(B412),1,0))</f>
        <v>0</v>
      </c>
      <c r="O412" s="51" t="n">
        <f aca="false">IF(N412=1,YEAR(B412),0)</f>
        <v>0</v>
      </c>
      <c r="P412" s="51" t="n">
        <f aca="false">IF(N412=1,YEAR(B412)*100+MONTH(B412),0)</f>
        <v>0</v>
      </c>
      <c r="Q412" s="51" t="n">
        <f aca="false">IF(N412=1,IF(J412="No",1,0),0)</f>
        <v>0</v>
      </c>
    </row>
    <row r="413" customFormat="false" ht="15" hidden="false" customHeight="false" outlineLevel="0" collapsed="false">
      <c r="B413" s="52"/>
      <c r="C413" s="53"/>
      <c r="D413" s="53"/>
      <c r="E413" s="53"/>
      <c r="F413" s="53"/>
      <c r="G413" s="54"/>
      <c r="H413" s="55"/>
      <c r="I413" s="56" t="str">
        <f aca="false">IF(G413="","",G413*IF(H413="",1,H413))</f>
        <v/>
      </c>
      <c r="J413" s="57"/>
      <c r="K413" s="53"/>
      <c r="L413" s="58" t="str">
        <f aca="false">IF(G413="","",IF(ISNUMBER(B413),IF(E413="","⚠ ADD CATEGORY / AGREGA CATEGORÍA",IF(J413="No","⚠ SAVE RECEIPT / GUARDA RECIBO","✔ OK")),"⚠ ADD DATE / AGREGA FECHA"))</f>
        <v/>
      </c>
      <c r="N413" s="51" t="n">
        <f aca="false">IF(G413="",0,IF(ISNUMBER(B413),1,0))</f>
        <v>0</v>
      </c>
      <c r="O413" s="51" t="n">
        <f aca="false">IF(N413=1,YEAR(B413),0)</f>
        <v>0</v>
      </c>
      <c r="P413" s="51" t="n">
        <f aca="false">IF(N413=1,YEAR(B413)*100+MONTH(B413),0)</f>
        <v>0</v>
      </c>
      <c r="Q413" s="51" t="n">
        <f aca="false">IF(N413=1,IF(J413="No",1,0),0)</f>
        <v>0</v>
      </c>
    </row>
    <row r="414" customFormat="false" ht="15" hidden="false" customHeight="false" outlineLevel="0" collapsed="false">
      <c r="B414" s="52"/>
      <c r="C414" s="53"/>
      <c r="D414" s="53"/>
      <c r="E414" s="53"/>
      <c r="F414" s="53"/>
      <c r="G414" s="54"/>
      <c r="H414" s="55"/>
      <c r="I414" s="56" t="str">
        <f aca="false">IF(G414="","",G414*IF(H414="",1,H414))</f>
        <v/>
      </c>
      <c r="J414" s="57"/>
      <c r="K414" s="53"/>
      <c r="L414" s="58" t="str">
        <f aca="false">IF(G414="","",IF(ISNUMBER(B414),IF(E414="","⚠ ADD CATEGORY / AGREGA CATEGORÍA",IF(J414="No","⚠ SAVE RECEIPT / GUARDA RECIBO","✔ OK")),"⚠ ADD DATE / AGREGA FECHA"))</f>
        <v/>
      </c>
      <c r="N414" s="51" t="n">
        <f aca="false">IF(G414="",0,IF(ISNUMBER(B414),1,0))</f>
        <v>0</v>
      </c>
      <c r="O414" s="51" t="n">
        <f aca="false">IF(N414=1,YEAR(B414),0)</f>
        <v>0</v>
      </c>
      <c r="P414" s="51" t="n">
        <f aca="false">IF(N414=1,YEAR(B414)*100+MONTH(B414),0)</f>
        <v>0</v>
      </c>
      <c r="Q414" s="51" t="n">
        <f aca="false">IF(N414=1,IF(J414="No",1,0),0)</f>
        <v>0</v>
      </c>
    </row>
    <row r="415" customFormat="false" ht="15" hidden="false" customHeight="false" outlineLevel="0" collapsed="false">
      <c r="B415" s="52"/>
      <c r="C415" s="53"/>
      <c r="D415" s="53"/>
      <c r="E415" s="53"/>
      <c r="F415" s="53"/>
      <c r="G415" s="54"/>
      <c r="H415" s="55"/>
      <c r="I415" s="56" t="str">
        <f aca="false">IF(G415="","",G415*IF(H415="",1,H415))</f>
        <v/>
      </c>
      <c r="J415" s="57"/>
      <c r="K415" s="53"/>
      <c r="L415" s="58" t="str">
        <f aca="false">IF(G415="","",IF(ISNUMBER(B415),IF(E415="","⚠ ADD CATEGORY / AGREGA CATEGORÍA",IF(J415="No","⚠ SAVE RECEIPT / GUARDA RECIBO","✔ OK")),"⚠ ADD DATE / AGREGA FECHA"))</f>
        <v/>
      </c>
      <c r="N415" s="51" t="n">
        <f aca="false">IF(G415="",0,IF(ISNUMBER(B415),1,0))</f>
        <v>0</v>
      </c>
      <c r="O415" s="51" t="n">
        <f aca="false">IF(N415=1,YEAR(B415),0)</f>
        <v>0</v>
      </c>
      <c r="P415" s="51" t="n">
        <f aca="false">IF(N415=1,YEAR(B415)*100+MONTH(B415),0)</f>
        <v>0</v>
      </c>
      <c r="Q415" s="51" t="n">
        <f aca="false">IF(N415=1,IF(J415="No",1,0),0)</f>
        <v>0</v>
      </c>
    </row>
    <row r="416" customFormat="false" ht="15" hidden="false" customHeight="false" outlineLevel="0" collapsed="false">
      <c r="B416" s="52"/>
      <c r="C416" s="53"/>
      <c r="D416" s="53"/>
      <c r="E416" s="53"/>
      <c r="F416" s="53"/>
      <c r="G416" s="54"/>
      <c r="H416" s="55"/>
      <c r="I416" s="56" t="str">
        <f aca="false">IF(G416="","",G416*IF(H416="",1,H416))</f>
        <v/>
      </c>
      <c r="J416" s="57"/>
      <c r="K416" s="53"/>
      <c r="L416" s="58" t="str">
        <f aca="false">IF(G416="","",IF(ISNUMBER(B416),IF(E416="","⚠ ADD CATEGORY / AGREGA CATEGORÍA",IF(J416="No","⚠ SAVE RECEIPT / GUARDA RECIBO","✔ OK")),"⚠ ADD DATE / AGREGA FECHA"))</f>
        <v/>
      </c>
      <c r="N416" s="51" t="n">
        <f aca="false">IF(G416="",0,IF(ISNUMBER(B416),1,0))</f>
        <v>0</v>
      </c>
      <c r="O416" s="51" t="n">
        <f aca="false">IF(N416=1,YEAR(B416),0)</f>
        <v>0</v>
      </c>
      <c r="P416" s="51" t="n">
        <f aca="false">IF(N416=1,YEAR(B416)*100+MONTH(B416),0)</f>
        <v>0</v>
      </c>
      <c r="Q416" s="51" t="n">
        <f aca="false">IF(N416=1,IF(J416="No",1,0),0)</f>
        <v>0</v>
      </c>
    </row>
    <row r="417" customFormat="false" ht="15" hidden="false" customHeight="false" outlineLevel="0" collapsed="false">
      <c r="B417" s="52"/>
      <c r="C417" s="53"/>
      <c r="D417" s="53"/>
      <c r="E417" s="53"/>
      <c r="F417" s="53"/>
      <c r="G417" s="54"/>
      <c r="H417" s="55"/>
      <c r="I417" s="56" t="str">
        <f aca="false">IF(G417="","",G417*IF(H417="",1,H417))</f>
        <v/>
      </c>
      <c r="J417" s="57"/>
      <c r="K417" s="53"/>
      <c r="L417" s="58" t="str">
        <f aca="false">IF(G417="","",IF(ISNUMBER(B417),IF(E417="","⚠ ADD CATEGORY / AGREGA CATEGORÍA",IF(J417="No","⚠ SAVE RECEIPT / GUARDA RECIBO","✔ OK")),"⚠ ADD DATE / AGREGA FECHA"))</f>
        <v/>
      </c>
      <c r="N417" s="51" t="n">
        <f aca="false">IF(G417="",0,IF(ISNUMBER(B417),1,0))</f>
        <v>0</v>
      </c>
      <c r="O417" s="51" t="n">
        <f aca="false">IF(N417=1,YEAR(B417),0)</f>
        <v>0</v>
      </c>
      <c r="P417" s="51" t="n">
        <f aca="false">IF(N417=1,YEAR(B417)*100+MONTH(B417),0)</f>
        <v>0</v>
      </c>
      <c r="Q417" s="51" t="n">
        <f aca="false">IF(N417=1,IF(J417="No",1,0),0)</f>
        <v>0</v>
      </c>
    </row>
    <row r="418" customFormat="false" ht="15" hidden="false" customHeight="false" outlineLevel="0" collapsed="false">
      <c r="B418" s="52"/>
      <c r="C418" s="53"/>
      <c r="D418" s="53"/>
      <c r="E418" s="53"/>
      <c r="F418" s="53"/>
      <c r="G418" s="54"/>
      <c r="H418" s="55"/>
      <c r="I418" s="56" t="str">
        <f aca="false">IF(G418="","",G418*IF(H418="",1,H418))</f>
        <v/>
      </c>
      <c r="J418" s="57"/>
      <c r="K418" s="53"/>
      <c r="L418" s="58" t="str">
        <f aca="false">IF(G418="","",IF(ISNUMBER(B418),IF(E418="","⚠ ADD CATEGORY / AGREGA CATEGORÍA",IF(J418="No","⚠ SAVE RECEIPT / GUARDA RECIBO","✔ OK")),"⚠ ADD DATE / AGREGA FECHA"))</f>
        <v/>
      </c>
      <c r="N418" s="51" t="n">
        <f aca="false">IF(G418="",0,IF(ISNUMBER(B418),1,0))</f>
        <v>0</v>
      </c>
      <c r="O418" s="51" t="n">
        <f aca="false">IF(N418=1,YEAR(B418),0)</f>
        <v>0</v>
      </c>
      <c r="P418" s="51" t="n">
        <f aca="false">IF(N418=1,YEAR(B418)*100+MONTH(B418),0)</f>
        <v>0</v>
      </c>
      <c r="Q418" s="51" t="n">
        <f aca="false">IF(N418=1,IF(J418="No",1,0),0)</f>
        <v>0</v>
      </c>
    </row>
    <row r="419" customFormat="false" ht="15" hidden="false" customHeight="false" outlineLevel="0" collapsed="false">
      <c r="B419" s="52"/>
      <c r="C419" s="53"/>
      <c r="D419" s="53"/>
      <c r="E419" s="53"/>
      <c r="F419" s="53"/>
      <c r="G419" s="54"/>
      <c r="H419" s="55"/>
      <c r="I419" s="56" t="str">
        <f aca="false">IF(G419="","",G419*IF(H419="",1,H419))</f>
        <v/>
      </c>
      <c r="J419" s="57"/>
      <c r="K419" s="53"/>
      <c r="L419" s="58" t="str">
        <f aca="false">IF(G419="","",IF(ISNUMBER(B419),IF(E419="","⚠ ADD CATEGORY / AGREGA CATEGORÍA",IF(J419="No","⚠ SAVE RECEIPT / GUARDA RECIBO","✔ OK")),"⚠ ADD DATE / AGREGA FECHA"))</f>
        <v/>
      </c>
      <c r="N419" s="51" t="n">
        <f aca="false">IF(G419="",0,IF(ISNUMBER(B419),1,0))</f>
        <v>0</v>
      </c>
      <c r="O419" s="51" t="n">
        <f aca="false">IF(N419=1,YEAR(B419),0)</f>
        <v>0</v>
      </c>
      <c r="P419" s="51" t="n">
        <f aca="false">IF(N419=1,YEAR(B419)*100+MONTH(B419),0)</f>
        <v>0</v>
      </c>
      <c r="Q419" s="51" t="n">
        <f aca="false">IF(N419=1,IF(J419="No",1,0),0)</f>
        <v>0</v>
      </c>
    </row>
    <row r="420" customFormat="false" ht="15" hidden="false" customHeight="false" outlineLevel="0" collapsed="false">
      <c r="B420" s="52"/>
      <c r="C420" s="53"/>
      <c r="D420" s="53"/>
      <c r="E420" s="53"/>
      <c r="F420" s="53"/>
      <c r="G420" s="54"/>
      <c r="H420" s="55"/>
      <c r="I420" s="56" t="str">
        <f aca="false">IF(G420="","",G420*IF(H420="",1,H420))</f>
        <v/>
      </c>
      <c r="J420" s="57"/>
      <c r="K420" s="53"/>
      <c r="L420" s="58" t="str">
        <f aca="false">IF(G420="","",IF(ISNUMBER(B420),IF(E420="","⚠ ADD CATEGORY / AGREGA CATEGORÍA",IF(J420="No","⚠ SAVE RECEIPT / GUARDA RECIBO","✔ OK")),"⚠ ADD DATE / AGREGA FECHA"))</f>
        <v/>
      </c>
      <c r="N420" s="51" t="n">
        <f aca="false">IF(G420="",0,IF(ISNUMBER(B420),1,0))</f>
        <v>0</v>
      </c>
      <c r="O420" s="51" t="n">
        <f aca="false">IF(N420=1,YEAR(B420),0)</f>
        <v>0</v>
      </c>
      <c r="P420" s="51" t="n">
        <f aca="false">IF(N420=1,YEAR(B420)*100+MONTH(B420),0)</f>
        <v>0</v>
      </c>
      <c r="Q420" s="51" t="n">
        <f aca="false">IF(N420=1,IF(J420="No",1,0),0)</f>
        <v>0</v>
      </c>
    </row>
    <row r="421" customFormat="false" ht="15" hidden="false" customHeight="false" outlineLevel="0" collapsed="false">
      <c r="B421" s="52"/>
      <c r="C421" s="53"/>
      <c r="D421" s="53"/>
      <c r="E421" s="53"/>
      <c r="F421" s="53"/>
      <c r="G421" s="54"/>
      <c r="H421" s="55"/>
      <c r="I421" s="56" t="str">
        <f aca="false">IF(G421="","",G421*IF(H421="",1,H421))</f>
        <v/>
      </c>
      <c r="J421" s="57"/>
      <c r="K421" s="53"/>
      <c r="L421" s="58" t="str">
        <f aca="false">IF(G421="","",IF(ISNUMBER(B421),IF(E421="","⚠ ADD CATEGORY / AGREGA CATEGORÍA",IF(J421="No","⚠ SAVE RECEIPT / GUARDA RECIBO","✔ OK")),"⚠ ADD DATE / AGREGA FECHA"))</f>
        <v/>
      </c>
      <c r="N421" s="51" t="n">
        <f aca="false">IF(G421="",0,IF(ISNUMBER(B421),1,0))</f>
        <v>0</v>
      </c>
      <c r="O421" s="51" t="n">
        <f aca="false">IF(N421=1,YEAR(B421),0)</f>
        <v>0</v>
      </c>
      <c r="P421" s="51" t="n">
        <f aca="false">IF(N421=1,YEAR(B421)*100+MONTH(B421),0)</f>
        <v>0</v>
      </c>
      <c r="Q421" s="51" t="n">
        <f aca="false">IF(N421=1,IF(J421="No",1,0),0)</f>
        <v>0</v>
      </c>
    </row>
    <row r="422" customFormat="false" ht="15" hidden="false" customHeight="false" outlineLevel="0" collapsed="false">
      <c r="B422" s="52"/>
      <c r="C422" s="53"/>
      <c r="D422" s="53"/>
      <c r="E422" s="53"/>
      <c r="F422" s="53"/>
      <c r="G422" s="54"/>
      <c r="H422" s="55"/>
      <c r="I422" s="56" t="str">
        <f aca="false">IF(G422="","",G422*IF(H422="",1,H422))</f>
        <v/>
      </c>
      <c r="J422" s="57"/>
      <c r="K422" s="53"/>
      <c r="L422" s="58" t="str">
        <f aca="false">IF(G422="","",IF(ISNUMBER(B422),IF(E422="","⚠ ADD CATEGORY / AGREGA CATEGORÍA",IF(J422="No","⚠ SAVE RECEIPT / GUARDA RECIBO","✔ OK")),"⚠ ADD DATE / AGREGA FECHA"))</f>
        <v/>
      </c>
      <c r="N422" s="51" t="n">
        <f aca="false">IF(G422="",0,IF(ISNUMBER(B422),1,0))</f>
        <v>0</v>
      </c>
      <c r="O422" s="51" t="n">
        <f aca="false">IF(N422=1,YEAR(B422),0)</f>
        <v>0</v>
      </c>
      <c r="P422" s="51" t="n">
        <f aca="false">IF(N422=1,YEAR(B422)*100+MONTH(B422),0)</f>
        <v>0</v>
      </c>
      <c r="Q422" s="51" t="n">
        <f aca="false">IF(N422=1,IF(J422="No",1,0),0)</f>
        <v>0</v>
      </c>
    </row>
    <row r="423" customFormat="false" ht="15" hidden="false" customHeight="false" outlineLevel="0" collapsed="false">
      <c r="B423" s="52"/>
      <c r="C423" s="53"/>
      <c r="D423" s="53"/>
      <c r="E423" s="53"/>
      <c r="F423" s="53"/>
      <c r="G423" s="54"/>
      <c r="H423" s="55"/>
      <c r="I423" s="56" t="str">
        <f aca="false">IF(G423="","",G423*IF(H423="",1,H423))</f>
        <v/>
      </c>
      <c r="J423" s="57"/>
      <c r="K423" s="53"/>
      <c r="L423" s="58" t="str">
        <f aca="false">IF(G423="","",IF(ISNUMBER(B423),IF(E423="","⚠ ADD CATEGORY / AGREGA CATEGORÍA",IF(J423="No","⚠ SAVE RECEIPT / GUARDA RECIBO","✔ OK")),"⚠ ADD DATE / AGREGA FECHA"))</f>
        <v/>
      </c>
      <c r="N423" s="51" t="n">
        <f aca="false">IF(G423="",0,IF(ISNUMBER(B423),1,0))</f>
        <v>0</v>
      </c>
      <c r="O423" s="51" t="n">
        <f aca="false">IF(N423=1,YEAR(B423),0)</f>
        <v>0</v>
      </c>
      <c r="P423" s="51" t="n">
        <f aca="false">IF(N423=1,YEAR(B423)*100+MONTH(B423),0)</f>
        <v>0</v>
      </c>
      <c r="Q423" s="51" t="n">
        <f aca="false">IF(N423=1,IF(J423="No",1,0),0)</f>
        <v>0</v>
      </c>
    </row>
    <row r="424" customFormat="false" ht="15" hidden="false" customHeight="false" outlineLevel="0" collapsed="false">
      <c r="B424" s="52"/>
      <c r="C424" s="53"/>
      <c r="D424" s="53"/>
      <c r="E424" s="53"/>
      <c r="F424" s="53"/>
      <c r="G424" s="54"/>
      <c r="H424" s="55"/>
      <c r="I424" s="56" t="str">
        <f aca="false">IF(G424="","",G424*IF(H424="",1,H424))</f>
        <v/>
      </c>
      <c r="J424" s="57"/>
      <c r="K424" s="53"/>
      <c r="L424" s="58" t="str">
        <f aca="false">IF(G424="","",IF(ISNUMBER(B424),IF(E424="","⚠ ADD CATEGORY / AGREGA CATEGORÍA",IF(J424="No","⚠ SAVE RECEIPT / GUARDA RECIBO","✔ OK")),"⚠ ADD DATE / AGREGA FECHA"))</f>
        <v/>
      </c>
      <c r="N424" s="51" t="n">
        <f aca="false">IF(G424="",0,IF(ISNUMBER(B424),1,0))</f>
        <v>0</v>
      </c>
      <c r="O424" s="51" t="n">
        <f aca="false">IF(N424=1,YEAR(B424),0)</f>
        <v>0</v>
      </c>
      <c r="P424" s="51" t="n">
        <f aca="false">IF(N424=1,YEAR(B424)*100+MONTH(B424),0)</f>
        <v>0</v>
      </c>
      <c r="Q424" s="51" t="n">
        <f aca="false">IF(N424=1,IF(J424="No",1,0),0)</f>
        <v>0</v>
      </c>
    </row>
    <row r="425" customFormat="false" ht="15" hidden="false" customHeight="false" outlineLevel="0" collapsed="false">
      <c r="B425" s="52"/>
      <c r="C425" s="53"/>
      <c r="D425" s="53"/>
      <c r="E425" s="53"/>
      <c r="F425" s="53"/>
      <c r="G425" s="54"/>
      <c r="H425" s="55"/>
      <c r="I425" s="56" t="str">
        <f aca="false">IF(G425="","",G425*IF(H425="",1,H425))</f>
        <v/>
      </c>
      <c r="J425" s="57"/>
      <c r="K425" s="53"/>
      <c r="L425" s="58" t="str">
        <f aca="false">IF(G425="","",IF(ISNUMBER(B425),IF(E425="","⚠ ADD CATEGORY / AGREGA CATEGORÍA",IF(J425="No","⚠ SAVE RECEIPT / GUARDA RECIBO","✔ OK")),"⚠ ADD DATE / AGREGA FECHA"))</f>
        <v/>
      </c>
      <c r="N425" s="51" t="n">
        <f aca="false">IF(G425="",0,IF(ISNUMBER(B425),1,0))</f>
        <v>0</v>
      </c>
      <c r="O425" s="51" t="n">
        <f aca="false">IF(N425=1,YEAR(B425),0)</f>
        <v>0</v>
      </c>
      <c r="P425" s="51" t="n">
        <f aca="false">IF(N425=1,YEAR(B425)*100+MONTH(B425),0)</f>
        <v>0</v>
      </c>
      <c r="Q425" s="51" t="n">
        <f aca="false">IF(N425=1,IF(J425="No",1,0),0)</f>
        <v>0</v>
      </c>
    </row>
    <row r="426" customFormat="false" ht="15" hidden="false" customHeight="false" outlineLevel="0" collapsed="false">
      <c r="B426" s="52"/>
      <c r="C426" s="53"/>
      <c r="D426" s="53"/>
      <c r="E426" s="53"/>
      <c r="F426" s="53"/>
      <c r="G426" s="54"/>
      <c r="H426" s="55"/>
      <c r="I426" s="56" t="str">
        <f aca="false">IF(G426="","",G426*IF(H426="",1,H426))</f>
        <v/>
      </c>
      <c r="J426" s="57"/>
      <c r="K426" s="53"/>
      <c r="L426" s="58" t="str">
        <f aca="false">IF(G426="","",IF(ISNUMBER(B426),IF(E426="","⚠ ADD CATEGORY / AGREGA CATEGORÍA",IF(J426="No","⚠ SAVE RECEIPT / GUARDA RECIBO","✔ OK")),"⚠ ADD DATE / AGREGA FECHA"))</f>
        <v/>
      </c>
      <c r="N426" s="51" t="n">
        <f aca="false">IF(G426="",0,IF(ISNUMBER(B426),1,0))</f>
        <v>0</v>
      </c>
      <c r="O426" s="51" t="n">
        <f aca="false">IF(N426=1,YEAR(B426),0)</f>
        <v>0</v>
      </c>
      <c r="P426" s="51" t="n">
        <f aca="false">IF(N426=1,YEAR(B426)*100+MONTH(B426),0)</f>
        <v>0</v>
      </c>
      <c r="Q426" s="51" t="n">
        <f aca="false">IF(N426=1,IF(J426="No",1,0),0)</f>
        <v>0</v>
      </c>
    </row>
    <row r="427" customFormat="false" ht="15" hidden="false" customHeight="false" outlineLevel="0" collapsed="false">
      <c r="B427" s="52"/>
      <c r="C427" s="53"/>
      <c r="D427" s="53"/>
      <c r="E427" s="53"/>
      <c r="F427" s="53"/>
      <c r="G427" s="54"/>
      <c r="H427" s="55"/>
      <c r="I427" s="56" t="str">
        <f aca="false">IF(G427="","",G427*IF(H427="",1,H427))</f>
        <v/>
      </c>
      <c r="J427" s="57"/>
      <c r="K427" s="53"/>
      <c r="L427" s="58" t="str">
        <f aca="false">IF(G427="","",IF(ISNUMBER(B427),IF(E427="","⚠ ADD CATEGORY / AGREGA CATEGORÍA",IF(J427="No","⚠ SAVE RECEIPT / GUARDA RECIBO","✔ OK")),"⚠ ADD DATE / AGREGA FECHA"))</f>
        <v/>
      </c>
      <c r="N427" s="51" t="n">
        <f aca="false">IF(G427="",0,IF(ISNUMBER(B427),1,0))</f>
        <v>0</v>
      </c>
      <c r="O427" s="51" t="n">
        <f aca="false">IF(N427=1,YEAR(B427),0)</f>
        <v>0</v>
      </c>
      <c r="P427" s="51" t="n">
        <f aca="false">IF(N427=1,YEAR(B427)*100+MONTH(B427),0)</f>
        <v>0</v>
      </c>
      <c r="Q427" s="51" t="n">
        <f aca="false">IF(N427=1,IF(J427="No",1,0),0)</f>
        <v>0</v>
      </c>
    </row>
    <row r="428" customFormat="false" ht="15" hidden="false" customHeight="false" outlineLevel="0" collapsed="false">
      <c r="B428" s="52"/>
      <c r="C428" s="53"/>
      <c r="D428" s="53"/>
      <c r="E428" s="53"/>
      <c r="F428" s="53"/>
      <c r="G428" s="54"/>
      <c r="H428" s="55"/>
      <c r="I428" s="56" t="str">
        <f aca="false">IF(G428="","",G428*IF(H428="",1,H428))</f>
        <v/>
      </c>
      <c r="J428" s="57"/>
      <c r="K428" s="53"/>
      <c r="L428" s="58" t="str">
        <f aca="false">IF(G428="","",IF(ISNUMBER(B428),IF(E428="","⚠ ADD CATEGORY / AGREGA CATEGORÍA",IF(J428="No","⚠ SAVE RECEIPT / GUARDA RECIBO","✔ OK")),"⚠ ADD DATE / AGREGA FECHA"))</f>
        <v/>
      </c>
      <c r="N428" s="51" t="n">
        <f aca="false">IF(G428="",0,IF(ISNUMBER(B428),1,0))</f>
        <v>0</v>
      </c>
      <c r="O428" s="51" t="n">
        <f aca="false">IF(N428=1,YEAR(B428),0)</f>
        <v>0</v>
      </c>
      <c r="P428" s="51" t="n">
        <f aca="false">IF(N428=1,YEAR(B428)*100+MONTH(B428),0)</f>
        <v>0</v>
      </c>
      <c r="Q428" s="51" t="n">
        <f aca="false">IF(N428=1,IF(J428="No",1,0),0)</f>
        <v>0</v>
      </c>
    </row>
    <row r="429" customFormat="false" ht="15" hidden="false" customHeight="false" outlineLevel="0" collapsed="false">
      <c r="B429" s="52"/>
      <c r="C429" s="53"/>
      <c r="D429" s="53"/>
      <c r="E429" s="53"/>
      <c r="F429" s="53"/>
      <c r="G429" s="54"/>
      <c r="H429" s="55"/>
      <c r="I429" s="56" t="str">
        <f aca="false">IF(G429="","",G429*IF(H429="",1,H429))</f>
        <v/>
      </c>
      <c r="J429" s="57"/>
      <c r="K429" s="53"/>
      <c r="L429" s="58" t="str">
        <f aca="false">IF(G429="","",IF(ISNUMBER(B429),IF(E429="","⚠ ADD CATEGORY / AGREGA CATEGORÍA",IF(J429="No","⚠ SAVE RECEIPT / GUARDA RECIBO","✔ OK")),"⚠ ADD DATE / AGREGA FECHA"))</f>
        <v/>
      </c>
      <c r="N429" s="51" t="n">
        <f aca="false">IF(G429="",0,IF(ISNUMBER(B429),1,0))</f>
        <v>0</v>
      </c>
      <c r="O429" s="51" t="n">
        <f aca="false">IF(N429=1,YEAR(B429),0)</f>
        <v>0</v>
      </c>
      <c r="P429" s="51" t="n">
        <f aca="false">IF(N429=1,YEAR(B429)*100+MONTH(B429),0)</f>
        <v>0</v>
      </c>
      <c r="Q429" s="51" t="n">
        <f aca="false">IF(N429=1,IF(J429="No",1,0),0)</f>
        <v>0</v>
      </c>
    </row>
    <row r="430" customFormat="false" ht="15" hidden="false" customHeight="false" outlineLevel="0" collapsed="false">
      <c r="B430" s="52"/>
      <c r="C430" s="53"/>
      <c r="D430" s="53"/>
      <c r="E430" s="53"/>
      <c r="F430" s="53"/>
      <c r="G430" s="54"/>
      <c r="H430" s="55"/>
      <c r="I430" s="56" t="str">
        <f aca="false">IF(G430="","",G430*IF(H430="",1,H430))</f>
        <v/>
      </c>
      <c r="J430" s="57"/>
      <c r="K430" s="53"/>
      <c r="L430" s="58" t="str">
        <f aca="false">IF(G430="","",IF(ISNUMBER(B430),IF(E430="","⚠ ADD CATEGORY / AGREGA CATEGORÍA",IF(J430="No","⚠ SAVE RECEIPT / GUARDA RECIBO","✔ OK")),"⚠ ADD DATE / AGREGA FECHA"))</f>
        <v/>
      </c>
      <c r="N430" s="51" t="n">
        <f aca="false">IF(G430="",0,IF(ISNUMBER(B430),1,0))</f>
        <v>0</v>
      </c>
      <c r="O430" s="51" t="n">
        <f aca="false">IF(N430=1,YEAR(B430),0)</f>
        <v>0</v>
      </c>
      <c r="P430" s="51" t="n">
        <f aca="false">IF(N430=1,YEAR(B430)*100+MONTH(B430),0)</f>
        <v>0</v>
      </c>
      <c r="Q430" s="51" t="n">
        <f aca="false">IF(N430=1,IF(J430="No",1,0),0)</f>
        <v>0</v>
      </c>
    </row>
    <row r="431" customFormat="false" ht="15" hidden="false" customHeight="false" outlineLevel="0" collapsed="false">
      <c r="B431" s="52"/>
      <c r="C431" s="53"/>
      <c r="D431" s="53"/>
      <c r="E431" s="53"/>
      <c r="F431" s="53"/>
      <c r="G431" s="54"/>
      <c r="H431" s="55"/>
      <c r="I431" s="56" t="str">
        <f aca="false">IF(G431="","",G431*IF(H431="",1,H431))</f>
        <v/>
      </c>
      <c r="J431" s="57"/>
      <c r="K431" s="53"/>
      <c r="L431" s="58" t="str">
        <f aca="false">IF(G431="","",IF(ISNUMBER(B431),IF(E431="","⚠ ADD CATEGORY / AGREGA CATEGORÍA",IF(J431="No","⚠ SAVE RECEIPT / GUARDA RECIBO","✔ OK")),"⚠ ADD DATE / AGREGA FECHA"))</f>
        <v/>
      </c>
      <c r="N431" s="51" t="n">
        <f aca="false">IF(G431="",0,IF(ISNUMBER(B431),1,0))</f>
        <v>0</v>
      </c>
      <c r="O431" s="51" t="n">
        <f aca="false">IF(N431=1,YEAR(B431),0)</f>
        <v>0</v>
      </c>
      <c r="P431" s="51" t="n">
        <f aca="false">IF(N431=1,YEAR(B431)*100+MONTH(B431),0)</f>
        <v>0</v>
      </c>
      <c r="Q431" s="51" t="n">
        <f aca="false">IF(N431=1,IF(J431="No",1,0),0)</f>
        <v>0</v>
      </c>
    </row>
    <row r="432" customFormat="false" ht="15" hidden="false" customHeight="false" outlineLevel="0" collapsed="false">
      <c r="B432" s="52"/>
      <c r="C432" s="53"/>
      <c r="D432" s="53"/>
      <c r="E432" s="53"/>
      <c r="F432" s="53"/>
      <c r="G432" s="54"/>
      <c r="H432" s="55"/>
      <c r="I432" s="56" t="str">
        <f aca="false">IF(G432="","",G432*IF(H432="",1,H432))</f>
        <v/>
      </c>
      <c r="J432" s="57"/>
      <c r="K432" s="53"/>
      <c r="L432" s="58" t="str">
        <f aca="false">IF(G432="","",IF(ISNUMBER(B432),IF(E432="","⚠ ADD CATEGORY / AGREGA CATEGORÍA",IF(J432="No","⚠ SAVE RECEIPT / GUARDA RECIBO","✔ OK")),"⚠ ADD DATE / AGREGA FECHA"))</f>
        <v/>
      </c>
      <c r="N432" s="51" t="n">
        <f aca="false">IF(G432="",0,IF(ISNUMBER(B432),1,0))</f>
        <v>0</v>
      </c>
      <c r="O432" s="51" t="n">
        <f aca="false">IF(N432=1,YEAR(B432),0)</f>
        <v>0</v>
      </c>
      <c r="P432" s="51" t="n">
        <f aca="false">IF(N432=1,YEAR(B432)*100+MONTH(B432),0)</f>
        <v>0</v>
      </c>
      <c r="Q432" s="51" t="n">
        <f aca="false">IF(N432=1,IF(J432="No",1,0),0)</f>
        <v>0</v>
      </c>
    </row>
    <row r="433" customFormat="false" ht="15" hidden="false" customHeight="false" outlineLevel="0" collapsed="false">
      <c r="B433" s="52"/>
      <c r="C433" s="53"/>
      <c r="D433" s="53"/>
      <c r="E433" s="53"/>
      <c r="F433" s="53"/>
      <c r="G433" s="54"/>
      <c r="H433" s="55"/>
      <c r="I433" s="56" t="str">
        <f aca="false">IF(G433="","",G433*IF(H433="",1,H433))</f>
        <v/>
      </c>
      <c r="J433" s="57"/>
      <c r="K433" s="53"/>
      <c r="L433" s="58" t="str">
        <f aca="false">IF(G433="","",IF(ISNUMBER(B433),IF(E433="","⚠ ADD CATEGORY / AGREGA CATEGORÍA",IF(J433="No","⚠ SAVE RECEIPT / GUARDA RECIBO","✔ OK")),"⚠ ADD DATE / AGREGA FECHA"))</f>
        <v/>
      </c>
      <c r="N433" s="51" t="n">
        <f aca="false">IF(G433="",0,IF(ISNUMBER(B433),1,0))</f>
        <v>0</v>
      </c>
      <c r="O433" s="51" t="n">
        <f aca="false">IF(N433=1,YEAR(B433),0)</f>
        <v>0</v>
      </c>
      <c r="P433" s="51" t="n">
        <f aca="false">IF(N433=1,YEAR(B433)*100+MONTH(B433),0)</f>
        <v>0</v>
      </c>
      <c r="Q433" s="51" t="n">
        <f aca="false">IF(N433=1,IF(J433="No",1,0),0)</f>
        <v>0</v>
      </c>
    </row>
    <row r="434" customFormat="false" ht="15" hidden="false" customHeight="false" outlineLevel="0" collapsed="false">
      <c r="B434" s="52"/>
      <c r="C434" s="53"/>
      <c r="D434" s="53"/>
      <c r="E434" s="53"/>
      <c r="F434" s="53"/>
      <c r="G434" s="54"/>
      <c r="H434" s="55"/>
      <c r="I434" s="56" t="str">
        <f aca="false">IF(G434="","",G434*IF(H434="",1,H434))</f>
        <v/>
      </c>
      <c r="J434" s="57"/>
      <c r="K434" s="53"/>
      <c r="L434" s="58" t="str">
        <f aca="false">IF(G434="","",IF(ISNUMBER(B434),IF(E434="","⚠ ADD CATEGORY / AGREGA CATEGORÍA",IF(J434="No","⚠ SAVE RECEIPT / GUARDA RECIBO","✔ OK")),"⚠ ADD DATE / AGREGA FECHA"))</f>
        <v/>
      </c>
      <c r="N434" s="51" t="n">
        <f aca="false">IF(G434="",0,IF(ISNUMBER(B434),1,0))</f>
        <v>0</v>
      </c>
      <c r="O434" s="51" t="n">
        <f aca="false">IF(N434=1,YEAR(B434),0)</f>
        <v>0</v>
      </c>
      <c r="P434" s="51" t="n">
        <f aca="false">IF(N434=1,YEAR(B434)*100+MONTH(B434),0)</f>
        <v>0</v>
      </c>
      <c r="Q434" s="51" t="n">
        <f aca="false">IF(N434=1,IF(J434="No",1,0),0)</f>
        <v>0</v>
      </c>
    </row>
    <row r="435" customFormat="false" ht="15" hidden="false" customHeight="false" outlineLevel="0" collapsed="false">
      <c r="B435" s="52"/>
      <c r="C435" s="53"/>
      <c r="D435" s="53"/>
      <c r="E435" s="53"/>
      <c r="F435" s="53"/>
      <c r="G435" s="54"/>
      <c r="H435" s="55"/>
      <c r="I435" s="56" t="str">
        <f aca="false">IF(G435="","",G435*IF(H435="",1,H435))</f>
        <v/>
      </c>
      <c r="J435" s="57"/>
      <c r="K435" s="53"/>
      <c r="L435" s="58" t="str">
        <f aca="false">IF(G435="","",IF(ISNUMBER(B435),IF(E435="","⚠ ADD CATEGORY / AGREGA CATEGORÍA",IF(J435="No","⚠ SAVE RECEIPT / GUARDA RECIBO","✔ OK")),"⚠ ADD DATE / AGREGA FECHA"))</f>
        <v/>
      </c>
      <c r="N435" s="51" t="n">
        <f aca="false">IF(G435="",0,IF(ISNUMBER(B435),1,0))</f>
        <v>0</v>
      </c>
      <c r="O435" s="51" t="n">
        <f aca="false">IF(N435=1,YEAR(B435),0)</f>
        <v>0</v>
      </c>
      <c r="P435" s="51" t="n">
        <f aca="false">IF(N435=1,YEAR(B435)*100+MONTH(B435),0)</f>
        <v>0</v>
      </c>
      <c r="Q435" s="51" t="n">
        <f aca="false">IF(N435=1,IF(J435="No",1,0),0)</f>
        <v>0</v>
      </c>
    </row>
    <row r="436" customFormat="false" ht="15" hidden="false" customHeight="false" outlineLevel="0" collapsed="false">
      <c r="B436" s="52"/>
      <c r="C436" s="53"/>
      <c r="D436" s="53"/>
      <c r="E436" s="53"/>
      <c r="F436" s="53"/>
      <c r="G436" s="54"/>
      <c r="H436" s="55"/>
      <c r="I436" s="56" t="str">
        <f aca="false">IF(G436="","",G436*IF(H436="",1,H436))</f>
        <v/>
      </c>
      <c r="J436" s="57"/>
      <c r="K436" s="53"/>
      <c r="L436" s="58" t="str">
        <f aca="false">IF(G436="","",IF(ISNUMBER(B436),IF(E436="","⚠ ADD CATEGORY / AGREGA CATEGORÍA",IF(J436="No","⚠ SAVE RECEIPT / GUARDA RECIBO","✔ OK")),"⚠ ADD DATE / AGREGA FECHA"))</f>
        <v/>
      </c>
      <c r="N436" s="51" t="n">
        <f aca="false">IF(G436="",0,IF(ISNUMBER(B436),1,0))</f>
        <v>0</v>
      </c>
      <c r="O436" s="51" t="n">
        <f aca="false">IF(N436=1,YEAR(B436),0)</f>
        <v>0</v>
      </c>
      <c r="P436" s="51" t="n">
        <f aca="false">IF(N436=1,YEAR(B436)*100+MONTH(B436),0)</f>
        <v>0</v>
      </c>
      <c r="Q436" s="51" t="n">
        <f aca="false">IF(N436=1,IF(J436="No",1,0),0)</f>
        <v>0</v>
      </c>
    </row>
    <row r="437" customFormat="false" ht="15" hidden="false" customHeight="false" outlineLevel="0" collapsed="false">
      <c r="B437" s="52"/>
      <c r="C437" s="53"/>
      <c r="D437" s="53"/>
      <c r="E437" s="53"/>
      <c r="F437" s="53"/>
      <c r="G437" s="54"/>
      <c r="H437" s="55"/>
      <c r="I437" s="56" t="str">
        <f aca="false">IF(G437="","",G437*IF(H437="",1,H437))</f>
        <v/>
      </c>
      <c r="J437" s="57"/>
      <c r="K437" s="53"/>
      <c r="L437" s="58" t="str">
        <f aca="false">IF(G437="","",IF(ISNUMBER(B437),IF(E437="","⚠ ADD CATEGORY / AGREGA CATEGORÍA",IF(J437="No","⚠ SAVE RECEIPT / GUARDA RECIBO","✔ OK")),"⚠ ADD DATE / AGREGA FECHA"))</f>
        <v/>
      </c>
      <c r="N437" s="51" t="n">
        <f aca="false">IF(G437="",0,IF(ISNUMBER(B437),1,0))</f>
        <v>0</v>
      </c>
      <c r="O437" s="51" t="n">
        <f aca="false">IF(N437=1,YEAR(B437),0)</f>
        <v>0</v>
      </c>
      <c r="P437" s="51" t="n">
        <f aca="false">IF(N437=1,YEAR(B437)*100+MONTH(B437),0)</f>
        <v>0</v>
      </c>
      <c r="Q437" s="51" t="n">
        <f aca="false">IF(N437=1,IF(J437="No",1,0),0)</f>
        <v>0</v>
      </c>
    </row>
    <row r="438" customFormat="false" ht="15" hidden="false" customHeight="false" outlineLevel="0" collapsed="false">
      <c r="B438" s="52"/>
      <c r="C438" s="53"/>
      <c r="D438" s="53"/>
      <c r="E438" s="53"/>
      <c r="F438" s="53"/>
      <c r="G438" s="54"/>
      <c r="H438" s="55"/>
      <c r="I438" s="56" t="str">
        <f aca="false">IF(G438="","",G438*IF(H438="",1,H438))</f>
        <v/>
      </c>
      <c r="J438" s="57"/>
      <c r="K438" s="53"/>
      <c r="L438" s="58" t="str">
        <f aca="false">IF(G438="","",IF(ISNUMBER(B438),IF(E438="","⚠ ADD CATEGORY / AGREGA CATEGORÍA",IF(J438="No","⚠ SAVE RECEIPT / GUARDA RECIBO","✔ OK")),"⚠ ADD DATE / AGREGA FECHA"))</f>
        <v/>
      </c>
      <c r="N438" s="51" t="n">
        <f aca="false">IF(G438="",0,IF(ISNUMBER(B438),1,0))</f>
        <v>0</v>
      </c>
      <c r="O438" s="51" t="n">
        <f aca="false">IF(N438=1,YEAR(B438),0)</f>
        <v>0</v>
      </c>
      <c r="P438" s="51" t="n">
        <f aca="false">IF(N438=1,YEAR(B438)*100+MONTH(B438),0)</f>
        <v>0</v>
      </c>
      <c r="Q438" s="51" t="n">
        <f aca="false">IF(N438=1,IF(J438="No",1,0),0)</f>
        <v>0</v>
      </c>
    </row>
    <row r="439" customFormat="false" ht="15" hidden="false" customHeight="false" outlineLevel="0" collapsed="false">
      <c r="B439" s="52"/>
      <c r="C439" s="53"/>
      <c r="D439" s="53"/>
      <c r="E439" s="53"/>
      <c r="F439" s="53"/>
      <c r="G439" s="54"/>
      <c r="H439" s="55"/>
      <c r="I439" s="56" t="str">
        <f aca="false">IF(G439="","",G439*IF(H439="",1,H439))</f>
        <v/>
      </c>
      <c r="J439" s="57"/>
      <c r="K439" s="53"/>
      <c r="L439" s="58" t="str">
        <f aca="false">IF(G439="","",IF(ISNUMBER(B439),IF(E439="","⚠ ADD CATEGORY / AGREGA CATEGORÍA",IF(J439="No","⚠ SAVE RECEIPT / GUARDA RECIBO","✔ OK")),"⚠ ADD DATE / AGREGA FECHA"))</f>
        <v/>
      </c>
      <c r="N439" s="51" t="n">
        <f aca="false">IF(G439="",0,IF(ISNUMBER(B439),1,0))</f>
        <v>0</v>
      </c>
      <c r="O439" s="51" t="n">
        <f aca="false">IF(N439=1,YEAR(B439),0)</f>
        <v>0</v>
      </c>
      <c r="P439" s="51" t="n">
        <f aca="false">IF(N439=1,YEAR(B439)*100+MONTH(B439),0)</f>
        <v>0</v>
      </c>
      <c r="Q439" s="51" t="n">
        <f aca="false">IF(N439=1,IF(J439="No",1,0),0)</f>
        <v>0</v>
      </c>
    </row>
    <row r="440" customFormat="false" ht="15" hidden="false" customHeight="false" outlineLevel="0" collapsed="false">
      <c r="B440" s="52"/>
      <c r="C440" s="53"/>
      <c r="D440" s="53"/>
      <c r="E440" s="53"/>
      <c r="F440" s="53"/>
      <c r="G440" s="54"/>
      <c r="H440" s="55"/>
      <c r="I440" s="56" t="str">
        <f aca="false">IF(G440="","",G440*IF(H440="",1,H440))</f>
        <v/>
      </c>
      <c r="J440" s="57"/>
      <c r="K440" s="53"/>
      <c r="L440" s="58" t="str">
        <f aca="false">IF(G440="","",IF(ISNUMBER(B440),IF(E440="","⚠ ADD CATEGORY / AGREGA CATEGORÍA",IF(J440="No","⚠ SAVE RECEIPT / GUARDA RECIBO","✔ OK")),"⚠ ADD DATE / AGREGA FECHA"))</f>
        <v/>
      </c>
      <c r="N440" s="51" t="n">
        <f aca="false">IF(G440="",0,IF(ISNUMBER(B440),1,0))</f>
        <v>0</v>
      </c>
      <c r="O440" s="51" t="n">
        <f aca="false">IF(N440=1,YEAR(B440),0)</f>
        <v>0</v>
      </c>
      <c r="P440" s="51" t="n">
        <f aca="false">IF(N440=1,YEAR(B440)*100+MONTH(B440),0)</f>
        <v>0</v>
      </c>
      <c r="Q440" s="51" t="n">
        <f aca="false">IF(N440=1,IF(J440="No",1,0),0)</f>
        <v>0</v>
      </c>
    </row>
    <row r="441" customFormat="false" ht="15" hidden="false" customHeight="false" outlineLevel="0" collapsed="false">
      <c r="B441" s="52"/>
      <c r="C441" s="53"/>
      <c r="D441" s="53"/>
      <c r="E441" s="53"/>
      <c r="F441" s="53"/>
      <c r="G441" s="54"/>
      <c r="H441" s="55"/>
      <c r="I441" s="56" t="str">
        <f aca="false">IF(G441="","",G441*IF(H441="",1,H441))</f>
        <v/>
      </c>
      <c r="J441" s="57"/>
      <c r="K441" s="53"/>
      <c r="L441" s="58" t="str">
        <f aca="false">IF(G441="","",IF(ISNUMBER(B441),IF(E441="","⚠ ADD CATEGORY / AGREGA CATEGORÍA",IF(J441="No","⚠ SAVE RECEIPT / GUARDA RECIBO","✔ OK")),"⚠ ADD DATE / AGREGA FECHA"))</f>
        <v/>
      </c>
      <c r="N441" s="51" t="n">
        <f aca="false">IF(G441="",0,IF(ISNUMBER(B441),1,0))</f>
        <v>0</v>
      </c>
      <c r="O441" s="51" t="n">
        <f aca="false">IF(N441=1,YEAR(B441),0)</f>
        <v>0</v>
      </c>
      <c r="P441" s="51" t="n">
        <f aca="false">IF(N441=1,YEAR(B441)*100+MONTH(B441),0)</f>
        <v>0</v>
      </c>
      <c r="Q441" s="51" t="n">
        <f aca="false">IF(N441=1,IF(J441="No",1,0),0)</f>
        <v>0</v>
      </c>
    </row>
    <row r="442" customFormat="false" ht="15" hidden="false" customHeight="false" outlineLevel="0" collapsed="false">
      <c r="B442" s="52"/>
      <c r="C442" s="53"/>
      <c r="D442" s="53"/>
      <c r="E442" s="53"/>
      <c r="F442" s="53"/>
      <c r="G442" s="54"/>
      <c r="H442" s="55"/>
      <c r="I442" s="56" t="str">
        <f aca="false">IF(G442="","",G442*IF(H442="",1,H442))</f>
        <v/>
      </c>
      <c r="J442" s="57"/>
      <c r="K442" s="53"/>
      <c r="L442" s="58" t="str">
        <f aca="false">IF(G442="","",IF(ISNUMBER(B442),IF(E442="","⚠ ADD CATEGORY / AGREGA CATEGORÍA",IF(J442="No","⚠ SAVE RECEIPT / GUARDA RECIBO","✔ OK")),"⚠ ADD DATE / AGREGA FECHA"))</f>
        <v/>
      </c>
      <c r="N442" s="51" t="n">
        <f aca="false">IF(G442="",0,IF(ISNUMBER(B442),1,0))</f>
        <v>0</v>
      </c>
      <c r="O442" s="51" t="n">
        <f aca="false">IF(N442=1,YEAR(B442),0)</f>
        <v>0</v>
      </c>
      <c r="P442" s="51" t="n">
        <f aca="false">IF(N442=1,YEAR(B442)*100+MONTH(B442),0)</f>
        <v>0</v>
      </c>
      <c r="Q442" s="51" t="n">
        <f aca="false">IF(N442=1,IF(J442="No",1,0),0)</f>
        <v>0</v>
      </c>
    </row>
    <row r="443" customFormat="false" ht="15" hidden="false" customHeight="false" outlineLevel="0" collapsed="false">
      <c r="B443" s="52"/>
      <c r="C443" s="53"/>
      <c r="D443" s="53"/>
      <c r="E443" s="53"/>
      <c r="F443" s="53"/>
      <c r="G443" s="54"/>
      <c r="H443" s="55"/>
      <c r="I443" s="56" t="str">
        <f aca="false">IF(G443="","",G443*IF(H443="",1,H443))</f>
        <v/>
      </c>
      <c r="J443" s="57"/>
      <c r="K443" s="53"/>
      <c r="L443" s="58" t="str">
        <f aca="false">IF(G443="","",IF(ISNUMBER(B443),IF(E443="","⚠ ADD CATEGORY / AGREGA CATEGORÍA",IF(J443="No","⚠ SAVE RECEIPT / GUARDA RECIBO","✔ OK")),"⚠ ADD DATE / AGREGA FECHA"))</f>
        <v/>
      </c>
      <c r="N443" s="51" t="n">
        <f aca="false">IF(G443="",0,IF(ISNUMBER(B443),1,0))</f>
        <v>0</v>
      </c>
      <c r="O443" s="51" t="n">
        <f aca="false">IF(N443=1,YEAR(B443),0)</f>
        <v>0</v>
      </c>
      <c r="P443" s="51" t="n">
        <f aca="false">IF(N443=1,YEAR(B443)*100+MONTH(B443),0)</f>
        <v>0</v>
      </c>
      <c r="Q443" s="51" t="n">
        <f aca="false">IF(N443=1,IF(J443="No",1,0),0)</f>
        <v>0</v>
      </c>
    </row>
    <row r="444" customFormat="false" ht="15" hidden="false" customHeight="false" outlineLevel="0" collapsed="false">
      <c r="B444" s="52"/>
      <c r="C444" s="53"/>
      <c r="D444" s="53"/>
      <c r="E444" s="53"/>
      <c r="F444" s="53"/>
      <c r="G444" s="54"/>
      <c r="H444" s="55"/>
      <c r="I444" s="56" t="str">
        <f aca="false">IF(G444="","",G444*IF(H444="",1,H444))</f>
        <v/>
      </c>
      <c r="J444" s="57"/>
      <c r="K444" s="53"/>
      <c r="L444" s="58" t="str">
        <f aca="false">IF(G444="","",IF(ISNUMBER(B444),IF(E444="","⚠ ADD CATEGORY / AGREGA CATEGORÍA",IF(J444="No","⚠ SAVE RECEIPT / GUARDA RECIBO","✔ OK")),"⚠ ADD DATE / AGREGA FECHA"))</f>
        <v/>
      </c>
      <c r="N444" s="51" t="n">
        <f aca="false">IF(G444="",0,IF(ISNUMBER(B444),1,0))</f>
        <v>0</v>
      </c>
      <c r="O444" s="51" t="n">
        <f aca="false">IF(N444=1,YEAR(B444),0)</f>
        <v>0</v>
      </c>
      <c r="P444" s="51" t="n">
        <f aca="false">IF(N444=1,YEAR(B444)*100+MONTH(B444),0)</f>
        <v>0</v>
      </c>
      <c r="Q444" s="51" t="n">
        <f aca="false">IF(N444=1,IF(J444="No",1,0),0)</f>
        <v>0</v>
      </c>
    </row>
    <row r="445" customFormat="false" ht="15" hidden="false" customHeight="false" outlineLevel="0" collapsed="false">
      <c r="B445" s="52"/>
      <c r="C445" s="53"/>
      <c r="D445" s="53"/>
      <c r="E445" s="53"/>
      <c r="F445" s="53"/>
      <c r="G445" s="54"/>
      <c r="H445" s="55"/>
      <c r="I445" s="56" t="str">
        <f aca="false">IF(G445="","",G445*IF(H445="",1,H445))</f>
        <v/>
      </c>
      <c r="J445" s="57"/>
      <c r="K445" s="53"/>
      <c r="L445" s="58" t="str">
        <f aca="false">IF(G445="","",IF(ISNUMBER(B445),IF(E445="","⚠ ADD CATEGORY / AGREGA CATEGORÍA",IF(J445="No","⚠ SAVE RECEIPT / GUARDA RECIBO","✔ OK")),"⚠ ADD DATE / AGREGA FECHA"))</f>
        <v/>
      </c>
      <c r="N445" s="51" t="n">
        <f aca="false">IF(G445="",0,IF(ISNUMBER(B445),1,0))</f>
        <v>0</v>
      </c>
      <c r="O445" s="51" t="n">
        <f aca="false">IF(N445=1,YEAR(B445),0)</f>
        <v>0</v>
      </c>
      <c r="P445" s="51" t="n">
        <f aca="false">IF(N445=1,YEAR(B445)*100+MONTH(B445),0)</f>
        <v>0</v>
      </c>
      <c r="Q445" s="51" t="n">
        <f aca="false">IF(N445=1,IF(J445="No",1,0),0)</f>
        <v>0</v>
      </c>
    </row>
    <row r="446" customFormat="false" ht="15" hidden="false" customHeight="false" outlineLevel="0" collapsed="false">
      <c r="B446" s="52"/>
      <c r="C446" s="53"/>
      <c r="D446" s="53"/>
      <c r="E446" s="53"/>
      <c r="F446" s="53"/>
      <c r="G446" s="54"/>
      <c r="H446" s="55"/>
      <c r="I446" s="56" t="str">
        <f aca="false">IF(G446="","",G446*IF(H446="",1,H446))</f>
        <v/>
      </c>
      <c r="J446" s="57"/>
      <c r="K446" s="53"/>
      <c r="L446" s="58" t="str">
        <f aca="false">IF(G446="","",IF(ISNUMBER(B446),IF(E446="","⚠ ADD CATEGORY / AGREGA CATEGORÍA",IF(J446="No","⚠ SAVE RECEIPT / GUARDA RECIBO","✔ OK")),"⚠ ADD DATE / AGREGA FECHA"))</f>
        <v/>
      </c>
      <c r="N446" s="51" t="n">
        <f aca="false">IF(G446="",0,IF(ISNUMBER(B446),1,0))</f>
        <v>0</v>
      </c>
      <c r="O446" s="51" t="n">
        <f aca="false">IF(N446=1,YEAR(B446),0)</f>
        <v>0</v>
      </c>
      <c r="P446" s="51" t="n">
        <f aca="false">IF(N446=1,YEAR(B446)*100+MONTH(B446),0)</f>
        <v>0</v>
      </c>
      <c r="Q446" s="51" t="n">
        <f aca="false">IF(N446=1,IF(J446="No",1,0),0)</f>
        <v>0</v>
      </c>
    </row>
    <row r="447" customFormat="false" ht="15" hidden="false" customHeight="false" outlineLevel="0" collapsed="false">
      <c r="B447" s="52"/>
      <c r="C447" s="53"/>
      <c r="D447" s="53"/>
      <c r="E447" s="53"/>
      <c r="F447" s="53"/>
      <c r="G447" s="54"/>
      <c r="H447" s="55"/>
      <c r="I447" s="56" t="str">
        <f aca="false">IF(G447="","",G447*IF(H447="",1,H447))</f>
        <v/>
      </c>
      <c r="J447" s="57"/>
      <c r="K447" s="53"/>
      <c r="L447" s="58" t="str">
        <f aca="false">IF(G447="","",IF(ISNUMBER(B447),IF(E447="","⚠ ADD CATEGORY / AGREGA CATEGORÍA",IF(J447="No","⚠ SAVE RECEIPT / GUARDA RECIBO","✔ OK")),"⚠ ADD DATE / AGREGA FECHA"))</f>
        <v/>
      </c>
      <c r="N447" s="51" t="n">
        <f aca="false">IF(G447="",0,IF(ISNUMBER(B447),1,0))</f>
        <v>0</v>
      </c>
      <c r="O447" s="51" t="n">
        <f aca="false">IF(N447=1,YEAR(B447),0)</f>
        <v>0</v>
      </c>
      <c r="P447" s="51" t="n">
        <f aca="false">IF(N447=1,YEAR(B447)*100+MONTH(B447),0)</f>
        <v>0</v>
      </c>
      <c r="Q447" s="51" t="n">
        <f aca="false">IF(N447=1,IF(J447="No",1,0),0)</f>
        <v>0</v>
      </c>
    </row>
    <row r="448" customFormat="false" ht="15" hidden="false" customHeight="false" outlineLevel="0" collapsed="false">
      <c r="B448" s="52"/>
      <c r="C448" s="53"/>
      <c r="D448" s="53"/>
      <c r="E448" s="53"/>
      <c r="F448" s="53"/>
      <c r="G448" s="54"/>
      <c r="H448" s="55"/>
      <c r="I448" s="56" t="str">
        <f aca="false">IF(G448="","",G448*IF(H448="",1,H448))</f>
        <v/>
      </c>
      <c r="J448" s="57"/>
      <c r="K448" s="53"/>
      <c r="L448" s="58" t="str">
        <f aca="false">IF(G448="","",IF(ISNUMBER(B448),IF(E448="","⚠ ADD CATEGORY / AGREGA CATEGORÍA",IF(J448="No","⚠ SAVE RECEIPT / GUARDA RECIBO","✔ OK")),"⚠ ADD DATE / AGREGA FECHA"))</f>
        <v/>
      </c>
      <c r="N448" s="51" t="n">
        <f aca="false">IF(G448="",0,IF(ISNUMBER(B448),1,0))</f>
        <v>0</v>
      </c>
      <c r="O448" s="51" t="n">
        <f aca="false">IF(N448=1,YEAR(B448),0)</f>
        <v>0</v>
      </c>
      <c r="P448" s="51" t="n">
        <f aca="false">IF(N448=1,YEAR(B448)*100+MONTH(B448),0)</f>
        <v>0</v>
      </c>
      <c r="Q448" s="51" t="n">
        <f aca="false">IF(N448=1,IF(J448="No",1,0),0)</f>
        <v>0</v>
      </c>
    </row>
    <row r="449" customFormat="false" ht="15" hidden="false" customHeight="false" outlineLevel="0" collapsed="false">
      <c r="B449" s="52"/>
      <c r="C449" s="53"/>
      <c r="D449" s="53"/>
      <c r="E449" s="53"/>
      <c r="F449" s="53"/>
      <c r="G449" s="54"/>
      <c r="H449" s="55"/>
      <c r="I449" s="56" t="str">
        <f aca="false">IF(G449="","",G449*IF(H449="",1,H449))</f>
        <v/>
      </c>
      <c r="J449" s="57"/>
      <c r="K449" s="53"/>
      <c r="L449" s="58" t="str">
        <f aca="false">IF(G449="","",IF(ISNUMBER(B449),IF(E449="","⚠ ADD CATEGORY / AGREGA CATEGORÍA",IF(J449="No","⚠ SAVE RECEIPT / GUARDA RECIBO","✔ OK")),"⚠ ADD DATE / AGREGA FECHA"))</f>
        <v/>
      </c>
      <c r="N449" s="51" t="n">
        <f aca="false">IF(G449="",0,IF(ISNUMBER(B449),1,0))</f>
        <v>0</v>
      </c>
      <c r="O449" s="51" t="n">
        <f aca="false">IF(N449=1,YEAR(B449),0)</f>
        <v>0</v>
      </c>
      <c r="P449" s="51" t="n">
        <f aca="false">IF(N449=1,YEAR(B449)*100+MONTH(B449),0)</f>
        <v>0</v>
      </c>
      <c r="Q449" s="51" t="n">
        <f aca="false">IF(N449=1,IF(J449="No",1,0),0)</f>
        <v>0</v>
      </c>
    </row>
    <row r="450" customFormat="false" ht="15" hidden="false" customHeight="false" outlineLevel="0" collapsed="false">
      <c r="B450" s="52"/>
      <c r="C450" s="53"/>
      <c r="D450" s="53"/>
      <c r="E450" s="53"/>
      <c r="F450" s="53"/>
      <c r="G450" s="54"/>
      <c r="H450" s="55"/>
      <c r="I450" s="56" t="str">
        <f aca="false">IF(G450="","",G450*IF(H450="",1,H450))</f>
        <v/>
      </c>
      <c r="J450" s="57"/>
      <c r="K450" s="53"/>
      <c r="L450" s="58" t="str">
        <f aca="false">IF(G450="","",IF(ISNUMBER(B450),IF(E450="","⚠ ADD CATEGORY / AGREGA CATEGORÍA",IF(J450="No","⚠ SAVE RECEIPT / GUARDA RECIBO","✔ OK")),"⚠ ADD DATE / AGREGA FECHA"))</f>
        <v/>
      </c>
      <c r="N450" s="51" t="n">
        <f aca="false">IF(G450="",0,IF(ISNUMBER(B450),1,0))</f>
        <v>0</v>
      </c>
      <c r="O450" s="51" t="n">
        <f aca="false">IF(N450=1,YEAR(B450),0)</f>
        <v>0</v>
      </c>
      <c r="P450" s="51" t="n">
        <f aca="false">IF(N450=1,YEAR(B450)*100+MONTH(B450),0)</f>
        <v>0</v>
      </c>
      <c r="Q450" s="51" t="n">
        <f aca="false">IF(N450=1,IF(J450="No",1,0),0)</f>
        <v>0</v>
      </c>
    </row>
    <row r="451" customFormat="false" ht="15" hidden="false" customHeight="false" outlineLevel="0" collapsed="false">
      <c r="B451" s="52"/>
      <c r="C451" s="53"/>
      <c r="D451" s="53"/>
      <c r="E451" s="53"/>
      <c r="F451" s="53"/>
      <c r="G451" s="54"/>
      <c r="H451" s="55"/>
      <c r="I451" s="56" t="str">
        <f aca="false">IF(G451="","",G451*IF(H451="",1,H451))</f>
        <v/>
      </c>
      <c r="J451" s="57"/>
      <c r="K451" s="53"/>
      <c r="L451" s="58" t="str">
        <f aca="false">IF(G451="","",IF(ISNUMBER(B451),IF(E451="","⚠ ADD CATEGORY / AGREGA CATEGORÍA",IF(J451="No","⚠ SAVE RECEIPT / GUARDA RECIBO","✔ OK")),"⚠ ADD DATE / AGREGA FECHA"))</f>
        <v/>
      </c>
      <c r="N451" s="51" t="n">
        <f aca="false">IF(G451="",0,IF(ISNUMBER(B451),1,0))</f>
        <v>0</v>
      </c>
      <c r="O451" s="51" t="n">
        <f aca="false">IF(N451=1,YEAR(B451),0)</f>
        <v>0</v>
      </c>
      <c r="P451" s="51" t="n">
        <f aca="false">IF(N451=1,YEAR(B451)*100+MONTH(B451),0)</f>
        <v>0</v>
      </c>
      <c r="Q451" s="51" t="n">
        <f aca="false">IF(N451=1,IF(J451="No",1,0),0)</f>
        <v>0</v>
      </c>
    </row>
    <row r="452" customFormat="false" ht="15" hidden="false" customHeight="false" outlineLevel="0" collapsed="false">
      <c r="B452" s="52"/>
      <c r="C452" s="53"/>
      <c r="D452" s="53"/>
      <c r="E452" s="53"/>
      <c r="F452" s="53"/>
      <c r="G452" s="54"/>
      <c r="H452" s="55"/>
      <c r="I452" s="56" t="str">
        <f aca="false">IF(G452="","",G452*IF(H452="",1,H452))</f>
        <v/>
      </c>
      <c r="J452" s="57"/>
      <c r="K452" s="53"/>
      <c r="L452" s="58" t="str">
        <f aca="false">IF(G452="","",IF(ISNUMBER(B452),IF(E452="","⚠ ADD CATEGORY / AGREGA CATEGORÍA",IF(J452="No","⚠ SAVE RECEIPT / GUARDA RECIBO","✔ OK")),"⚠ ADD DATE / AGREGA FECHA"))</f>
        <v/>
      </c>
      <c r="N452" s="51" t="n">
        <f aca="false">IF(G452="",0,IF(ISNUMBER(B452),1,0))</f>
        <v>0</v>
      </c>
      <c r="O452" s="51" t="n">
        <f aca="false">IF(N452=1,YEAR(B452),0)</f>
        <v>0</v>
      </c>
      <c r="P452" s="51" t="n">
        <f aca="false">IF(N452=1,YEAR(B452)*100+MONTH(B452),0)</f>
        <v>0</v>
      </c>
      <c r="Q452" s="51" t="n">
        <f aca="false">IF(N452=1,IF(J452="No",1,0),0)</f>
        <v>0</v>
      </c>
    </row>
    <row r="453" customFormat="false" ht="15" hidden="false" customHeight="false" outlineLevel="0" collapsed="false">
      <c r="B453" s="52"/>
      <c r="C453" s="53"/>
      <c r="D453" s="53"/>
      <c r="E453" s="53"/>
      <c r="F453" s="53"/>
      <c r="G453" s="54"/>
      <c r="H453" s="55"/>
      <c r="I453" s="56" t="str">
        <f aca="false">IF(G453="","",G453*IF(H453="",1,H453))</f>
        <v/>
      </c>
      <c r="J453" s="57"/>
      <c r="K453" s="53"/>
      <c r="L453" s="58" t="str">
        <f aca="false">IF(G453="","",IF(ISNUMBER(B453),IF(E453="","⚠ ADD CATEGORY / AGREGA CATEGORÍA",IF(J453="No","⚠ SAVE RECEIPT / GUARDA RECIBO","✔ OK")),"⚠ ADD DATE / AGREGA FECHA"))</f>
        <v/>
      </c>
      <c r="N453" s="51" t="n">
        <f aca="false">IF(G453="",0,IF(ISNUMBER(B453),1,0))</f>
        <v>0</v>
      </c>
      <c r="O453" s="51" t="n">
        <f aca="false">IF(N453=1,YEAR(B453),0)</f>
        <v>0</v>
      </c>
      <c r="P453" s="51" t="n">
        <f aca="false">IF(N453=1,YEAR(B453)*100+MONTH(B453),0)</f>
        <v>0</v>
      </c>
      <c r="Q453" s="51" t="n">
        <f aca="false">IF(N453=1,IF(J453="No",1,0),0)</f>
        <v>0</v>
      </c>
    </row>
    <row r="454" customFormat="false" ht="15" hidden="false" customHeight="false" outlineLevel="0" collapsed="false">
      <c r="B454" s="52"/>
      <c r="C454" s="53"/>
      <c r="D454" s="53"/>
      <c r="E454" s="53"/>
      <c r="F454" s="53"/>
      <c r="G454" s="54"/>
      <c r="H454" s="55"/>
      <c r="I454" s="56" t="str">
        <f aca="false">IF(G454="","",G454*IF(H454="",1,H454))</f>
        <v/>
      </c>
      <c r="J454" s="57"/>
      <c r="K454" s="53"/>
      <c r="L454" s="58" t="str">
        <f aca="false">IF(G454="","",IF(ISNUMBER(B454),IF(E454="","⚠ ADD CATEGORY / AGREGA CATEGORÍA",IF(J454="No","⚠ SAVE RECEIPT / GUARDA RECIBO","✔ OK")),"⚠ ADD DATE / AGREGA FECHA"))</f>
        <v/>
      </c>
      <c r="N454" s="51" t="n">
        <f aca="false">IF(G454="",0,IF(ISNUMBER(B454),1,0))</f>
        <v>0</v>
      </c>
      <c r="O454" s="51" t="n">
        <f aca="false">IF(N454=1,YEAR(B454),0)</f>
        <v>0</v>
      </c>
      <c r="P454" s="51" t="n">
        <f aca="false">IF(N454=1,YEAR(B454)*100+MONTH(B454),0)</f>
        <v>0</v>
      </c>
      <c r="Q454" s="51" t="n">
        <f aca="false">IF(N454=1,IF(J454="No",1,0),0)</f>
        <v>0</v>
      </c>
    </row>
    <row r="455" customFormat="false" ht="15" hidden="false" customHeight="false" outlineLevel="0" collapsed="false">
      <c r="B455" s="52"/>
      <c r="C455" s="53"/>
      <c r="D455" s="53"/>
      <c r="E455" s="53"/>
      <c r="F455" s="53"/>
      <c r="G455" s="54"/>
      <c r="H455" s="55"/>
      <c r="I455" s="56" t="str">
        <f aca="false">IF(G455="","",G455*IF(H455="",1,H455))</f>
        <v/>
      </c>
      <c r="J455" s="57"/>
      <c r="K455" s="53"/>
      <c r="L455" s="58" t="str">
        <f aca="false">IF(G455="","",IF(ISNUMBER(B455),IF(E455="","⚠ ADD CATEGORY / AGREGA CATEGORÍA",IF(J455="No","⚠ SAVE RECEIPT / GUARDA RECIBO","✔ OK")),"⚠ ADD DATE / AGREGA FECHA"))</f>
        <v/>
      </c>
      <c r="N455" s="51" t="n">
        <f aca="false">IF(G455="",0,IF(ISNUMBER(B455),1,0))</f>
        <v>0</v>
      </c>
      <c r="O455" s="51" t="n">
        <f aca="false">IF(N455=1,YEAR(B455),0)</f>
        <v>0</v>
      </c>
      <c r="P455" s="51" t="n">
        <f aca="false">IF(N455=1,YEAR(B455)*100+MONTH(B455),0)</f>
        <v>0</v>
      </c>
      <c r="Q455" s="51" t="n">
        <f aca="false">IF(N455=1,IF(J455="No",1,0),0)</f>
        <v>0</v>
      </c>
    </row>
    <row r="456" customFormat="false" ht="15" hidden="false" customHeight="false" outlineLevel="0" collapsed="false">
      <c r="B456" s="52"/>
      <c r="C456" s="53"/>
      <c r="D456" s="53"/>
      <c r="E456" s="53"/>
      <c r="F456" s="53"/>
      <c r="G456" s="54"/>
      <c r="H456" s="55"/>
      <c r="I456" s="56" t="str">
        <f aca="false">IF(G456="","",G456*IF(H456="",1,H456))</f>
        <v/>
      </c>
      <c r="J456" s="57"/>
      <c r="K456" s="53"/>
      <c r="L456" s="58" t="str">
        <f aca="false">IF(G456="","",IF(ISNUMBER(B456),IF(E456="","⚠ ADD CATEGORY / AGREGA CATEGORÍA",IF(J456="No","⚠ SAVE RECEIPT / GUARDA RECIBO","✔ OK")),"⚠ ADD DATE / AGREGA FECHA"))</f>
        <v/>
      </c>
      <c r="N456" s="51" t="n">
        <f aca="false">IF(G456="",0,IF(ISNUMBER(B456),1,0))</f>
        <v>0</v>
      </c>
      <c r="O456" s="51" t="n">
        <f aca="false">IF(N456=1,YEAR(B456),0)</f>
        <v>0</v>
      </c>
      <c r="P456" s="51" t="n">
        <f aca="false">IF(N456=1,YEAR(B456)*100+MONTH(B456),0)</f>
        <v>0</v>
      </c>
      <c r="Q456" s="51" t="n">
        <f aca="false">IF(N456=1,IF(J456="No",1,0),0)</f>
        <v>0</v>
      </c>
    </row>
    <row r="457" customFormat="false" ht="15" hidden="false" customHeight="false" outlineLevel="0" collapsed="false">
      <c r="B457" s="52"/>
      <c r="C457" s="53"/>
      <c r="D457" s="53"/>
      <c r="E457" s="53"/>
      <c r="F457" s="53"/>
      <c r="G457" s="54"/>
      <c r="H457" s="55"/>
      <c r="I457" s="56" t="str">
        <f aca="false">IF(G457="","",G457*IF(H457="",1,H457))</f>
        <v/>
      </c>
      <c r="J457" s="57"/>
      <c r="K457" s="53"/>
      <c r="L457" s="58" t="str">
        <f aca="false">IF(G457="","",IF(ISNUMBER(B457),IF(E457="","⚠ ADD CATEGORY / AGREGA CATEGORÍA",IF(J457="No","⚠ SAVE RECEIPT / GUARDA RECIBO","✔ OK")),"⚠ ADD DATE / AGREGA FECHA"))</f>
        <v/>
      </c>
      <c r="N457" s="51" t="n">
        <f aca="false">IF(G457="",0,IF(ISNUMBER(B457),1,0))</f>
        <v>0</v>
      </c>
      <c r="O457" s="51" t="n">
        <f aca="false">IF(N457=1,YEAR(B457),0)</f>
        <v>0</v>
      </c>
      <c r="P457" s="51" t="n">
        <f aca="false">IF(N457=1,YEAR(B457)*100+MONTH(B457),0)</f>
        <v>0</v>
      </c>
      <c r="Q457" s="51" t="n">
        <f aca="false">IF(N457=1,IF(J457="No",1,0),0)</f>
        <v>0</v>
      </c>
    </row>
    <row r="458" customFormat="false" ht="15" hidden="false" customHeight="false" outlineLevel="0" collapsed="false">
      <c r="B458" s="52"/>
      <c r="C458" s="53"/>
      <c r="D458" s="53"/>
      <c r="E458" s="53"/>
      <c r="F458" s="53"/>
      <c r="G458" s="54"/>
      <c r="H458" s="55"/>
      <c r="I458" s="56" t="str">
        <f aca="false">IF(G458="","",G458*IF(H458="",1,H458))</f>
        <v/>
      </c>
      <c r="J458" s="57"/>
      <c r="K458" s="53"/>
      <c r="L458" s="58" t="str">
        <f aca="false">IF(G458="","",IF(ISNUMBER(B458),IF(E458="","⚠ ADD CATEGORY / AGREGA CATEGORÍA",IF(J458="No","⚠ SAVE RECEIPT / GUARDA RECIBO","✔ OK")),"⚠ ADD DATE / AGREGA FECHA"))</f>
        <v/>
      </c>
      <c r="N458" s="51" t="n">
        <f aca="false">IF(G458="",0,IF(ISNUMBER(B458),1,0))</f>
        <v>0</v>
      </c>
      <c r="O458" s="51" t="n">
        <f aca="false">IF(N458=1,YEAR(B458),0)</f>
        <v>0</v>
      </c>
      <c r="P458" s="51" t="n">
        <f aca="false">IF(N458=1,YEAR(B458)*100+MONTH(B458),0)</f>
        <v>0</v>
      </c>
      <c r="Q458" s="51" t="n">
        <f aca="false">IF(N458=1,IF(J458="No",1,0),0)</f>
        <v>0</v>
      </c>
    </row>
    <row r="459" customFormat="false" ht="15" hidden="false" customHeight="false" outlineLevel="0" collapsed="false">
      <c r="B459" s="52"/>
      <c r="C459" s="53"/>
      <c r="D459" s="53"/>
      <c r="E459" s="53"/>
      <c r="F459" s="53"/>
      <c r="G459" s="54"/>
      <c r="H459" s="55"/>
      <c r="I459" s="56" t="str">
        <f aca="false">IF(G459="","",G459*IF(H459="",1,H459))</f>
        <v/>
      </c>
      <c r="J459" s="57"/>
      <c r="K459" s="53"/>
      <c r="L459" s="58" t="str">
        <f aca="false">IF(G459="","",IF(ISNUMBER(B459),IF(E459="","⚠ ADD CATEGORY / AGREGA CATEGORÍA",IF(J459="No","⚠ SAVE RECEIPT / GUARDA RECIBO","✔ OK")),"⚠ ADD DATE / AGREGA FECHA"))</f>
        <v/>
      </c>
      <c r="N459" s="51" t="n">
        <f aca="false">IF(G459="",0,IF(ISNUMBER(B459),1,0))</f>
        <v>0</v>
      </c>
      <c r="O459" s="51" t="n">
        <f aca="false">IF(N459=1,YEAR(B459),0)</f>
        <v>0</v>
      </c>
      <c r="P459" s="51" t="n">
        <f aca="false">IF(N459=1,YEAR(B459)*100+MONTH(B459),0)</f>
        <v>0</v>
      </c>
      <c r="Q459" s="51" t="n">
        <f aca="false">IF(N459=1,IF(J459="No",1,0),0)</f>
        <v>0</v>
      </c>
    </row>
    <row r="460" customFormat="false" ht="15" hidden="false" customHeight="false" outlineLevel="0" collapsed="false">
      <c r="B460" s="52"/>
      <c r="C460" s="53"/>
      <c r="D460" s="53"/>
      <c r="E460" s="53"/>
      <c r="F460" s="53"/>
      <c r="G460" s="54"/>
      <c r="H460" s="55"/>
      <c r="I460" s="56" t="str">
        <f aca="false">IF(G460="","",G460*IF(H460="",1,H460))</f>
        <v/>
      </c>
      <c r="J460" s="57"/>
      <c r="K460" s="53"/>
      <c r="L460" s="58" t="str">
        <f aca="false">IF(G460="","",IF(ISNUMBER(B460),IF(E460="","⚠ ADD CATEGORY / AGREGA CATEGORÍA",IF(J460="No","⚠ SAVE RECEIPT / GUARDA RECIBO","✔ OK")),"⚠ ADD DATE / AGREGA FECHA"))</f>
        <v/>
      </c>
      <c r="N460" s="51" t="n">
        <f aca="false">IF(G460="",0,IF(ISNUMBER(B460),1,0))</f>
        <v>0</v>
      </c>
      <c r="O460" s="51" t="n">
        <f aca="false">IF(N460=1,YEAR(B460),0)</f>
        <v>0</v>
      </c>
      <c r="P460" s="51" t="n">
        <f aca="false">IF(N460=1,YEAR(B460)*100+MONTH(B460),0)</f>
        <v>0</v>
      </c>
      <c r="Q460" s="51" t="n">
        <f aca="false">IF(N460=1,IF(J460="No",1,0),0)</f>
        <v>0</v>
      </c>
    </row>
    <row r="461" customFormat="false" ht="15" hidden="false" customHeight="false" outlineLevel="0" collapsed="false">
      <c r="B461" s="52"/>
      <c r="C461" s="53"/>
      <c r="D461" s="53"/>
      <c r="E461" s="53"/>
      <c r="F461" s="53"/>
      <c r="G461" s="54"/>
      <c r="H461" s="55"/>
      <c r="I461" s="56" t="str">
        <f aca="false">IF(G461="","",G461*IF(H461="",1,H461))</f>
        <v/>
      </c>
      <c r="J461" s="57"/>
      <c r="K461" s="53"/>
      <c r="L461" s="58" t="str">
        <f aca="false">IF(G461="","",IF(ISNUMBER(B461),IF(E461="","⚠ ADD CATEGORY / AGREGA CATEGORÍA",IF(J461="No","⚠ SAVE RECEIPT / GUARDA RECIBO","✔ OK")),"⚠ ADD DATE / AGREGA FECHA"))</f>
        <v/>
      </c>
      <c r="N461" s="51" t="n">
        <f aca="false">IF(G461="",0,IF(ISNUMBER(B461),1,0))</f>
        <v>0</v>
      </c>
      <c r="O461" s="51" t="n">
        <f aca="false">IF(N461=1,YEAR(B461),0)</f>
        <v>0</v>
      </c>
      <c r="P461" s="51" t="n">
        <f aca="false">IF(N461=1,YEAR(B461)*100+MONTH(B461),0)</f>
        <v>0</v>
      </c>
      <c r="Q461" s="51" t="n">
        <f aca="false">IF(N461=1,IF(J461="No",1,0),0)</f>
        <v>0</v>
      </c>
    </row>
    <row r="462" customFormat="false" ht="15" hidden="false" customHeight="false" outlineLevel="0" collapsed="false">
      <c r="B462" s="52"/>
      <c r="C462" s="53"/>
      <c r="D462" s="53"/>
      <c r="E462" s="53"/>
      <c r="F462" s="53"/>
      <c r="G462" s="54"/>
      <c r="H462" s="55"/>
      <c r="I462" s="56" t="str">
        <f aca="false">IF(G462="","",G462*IF(H462="",1,H462))</f>
        <v/>
      </c>
      <c r="J462" s="57"/>
      <c r="K462" s="53"/>
      <c r="L462" s="58" t="str">
        <f aca="false">IF(G462="","",IF(ISNUMBER(B462),IF(E462="","⚠ ADD CATEGORY / AGREGA CATEGORÍA",IF(J462="No","⚠ SAVE RECEIPT / GUARDA RECIBO","✔ OK")),"⚠ ADD DATE / AGREGA FECHA"))</f>
        <v/>
      </c>
      <c r="N462" s="51" t="n">
        <f aca="false">IF(G462="",0,IF(ISNUMBER(B462),1,0))</f>
        <v>0</v>
      </c>
      <c r="O462" s="51" t="n">
        <f aca="false">IF(N462=1,YEAR(B462),0)</f>
        <v>0</v>
      </c>
      <c r="P462" s="51" t="n">
        <f aca="false">IF(N462=1,YEAR(B462)*100+MONTH(B462),0)</f>
        <v>0</v>
      </c>
      <c r="Q462" s="51" t="n">
        <f aca="false">IF(N462=1,IF(J462="No",1,0),0)</f>
        <v>0</v>
      </c>
    </row>
    <row r="463" customFormat="false" ht="15" hidden="false" customHeight="false" outlineLevel="0" collapsed="false">
      <c r="B463" s="52"/>
      <c r="C463" s="53"/>
      <c r="D463" s="53"/>
      <c r="E463" s="53"/>
      <c r="F463" s="53"/>
      <c r="G463" s="54"/>
      <c r="H463" s="55"/>
      <c r="I463" s="56" t="str">
        <f aca="false">IF(G463="","",G463*IF(H463="",1,H463))</f>
        <v/>
      </c>
      <c r="J463" s="57"/>
      <c r="K463" s="53"/>
      <c r="L463" s="58" t="str">
        <f aca="false">IF(G463="","",IF(ISNUMBER(B463),IF(E463="","⚠ ADD CATEGORY / AGREGA CATEGORÍA",IF(J463="No","⚠ SAVE RECEIPT / GUARDA RECIBO","✔ OK")),"⚠ ADD DATE / AGREGA FECHA"))</f>
        <v/>
      </c>
      <c r="N463" s="51" t="n">
        <f aca="false">IF(G463="",0,IF(ISNUMBER(B463),1,0))</f>
        <v>0</v>
      </c>
      <c r="O463" s="51" t="n">
        <f aca="false">IF(N463=1,YEAR(B463),0)</f>
        <v>0</v>
      </c>
      <c r="P463" s="51" t="n">
        <f aca="false">IF(N463=1,YEAR(B463)*100+MONTH(B463),0)</f>
        <v>0</v>
      </c>
      <c r="Q463" s="51" t="n">
        <f aca="false">IF(N463=1,IF(J463="No",1,0),0)</f>
        <v>0</v>
      </c>
    </row>
    <row r="464" customFormat="false" ht="15" hidden="false" customHeight="false" outlineLevel="0" collapsed="false">
      <c r="B464" s="52"/>
      <c r="C464" s="53"/>
      <c r="D464" s="53"/>
      <c r="E464" s="53"/>
      <c r="F464" s="53"/>
      <c r="G464" s="54"/>
      <c r="H464" s="55"/>
      <c r="I464" s="56" t="str">
        <f aca="false">IF(G464="","",G464*IF(H464="",1,H464))</f>
        <v/>
      </c>
      <c r="J464" s="57"/>
      <c r="K464" s="53"/>
      <c r="L464" s="58" t="str">
        <f aca="false">IF(G464="","",IF(ISNUMBER(B464),IF(E464="","⚠ ADD CATEGORY / AGREGA CATEGORÍA",IF(J464="No","⚠ SAVE RECEIPT / GUARDA RECIBO","✔ OK")),"⚠ ADD DATE / AGREGA FECHA"))</f>
        <v/>
      </c>
      <c r="N464" s="51" t="n">
        <f aca="false">IF(G464="",0,IF(ISNUMBER(B464),1,0))</f>
        <v>0</v>
      </c>
      <c r="O464" s="51" t="n">
        <f aca="false">IF(N464=1,YEAR(B464),0)</f>
        <v>0</v>
      </c>
      <c r="P464" s="51" t="n">
        <f aca="false">IF(N464=1,YEAR(B464)*100+MONTH(B464),0)</f>
        <v>0</v>
      </c>
      <c r="Q464" s="51" t="n">
        <f aca="false">IF(N464=1,IF(J464="No",1,0),0)</f>
        <v>0</v>
      </c>
    </row>
    <row r="465" customFormat="false" ht="15" hidden="false" customHeight="false" outlineLevel="0" collapsed="false">
      <c r="B465" s="52"/>
      <c r="C465" s="53"/>
      <c r="D465" s="53"/>
      <c r="E465" s="53"/>
      <c r="F465" s="53"/>
      <c r="G465" s="54"/>
      <c r="H465" s="55"/>
      <c r="I465" s="56" t="str">
        <f aca="false">IF(G465="","",G465*IF(H465="",1,H465))</f>
        <v/>
      </c>
      <c r="J465" s="57"/>
      <c r="K465" s="53"/>
      <c r="L465" s="58" t="str">
        <f aca="false">IF(G465="","",IF(ISNUMBER(B465),IF(E465="","⚠ ADD CATEGORY / AGREGA CATEGORÍA",IF(J465="No","⚠ SAVE RECEIPT / GUARDA RECIBO","✔ OK")),"⚠ ADD DATE / AGREGA FECHA"))</f>
        <v/>
      </c>
      <c r="N465" s="51" t="n">
        <f aca="false">IF(G465="",0,IF(ISNUMBER(B465),1,0))</f>
        <v>0</v>
      </c>
      <c r="O465" s="51" t="n">
        <f aca="false">IF(N465=1,YEAR(B465),0)</f>
        <v>0</v>
      </c>
      <c r="P465" s="51" t="n">
        <f aca="false">IF(N465=1,YEAR(B465)*100+MONTH(B465),0)</f>
        <v>0</v>
      </c>
      <c r="Q465" s="51" t="n">
        <f aca="false">IF(N465=1,IF(J465="No",1,0),0)</f>
        <v>0</v>
      </c>
    </row>
    <row r="466" customFormat="false" ht="15" hidden="false" customHeight="false" outlineLevel="0" collapsed="false">
      <c r="B466" s="52"/>
      <c r="C466" s="53"/>
      <c r="D466" s="53"/>
      <c r="E466" s="53"/>
      <c r="F466" s="53"/>
      <c r="G466" s="54"/>
      <c r="H466" s="55"/>
      <c r="I466" s="56" t="str">
        <f aca="false">IF(G466="","",G466*IF(H466="",1,H466))</f>
        <v/>
      </c>
      <c r="J466" s="57"/>
      <c r="K466" s="53"/>
      <c r="L466" s="58" t="str">
        <f aca="false">IF(G466="","",IF(ISNUMBER(B466),IF(E466="","⚠ ADD CATEGORY / AGREGA CATEGORÍA",IF(J466="No","⚠ SAVE RECEIPT / GUARDA RECIBO","✔ OK")),"⚠ ADD DATE / AGREGA FECHA"))</f>
        <v/>
      </c>
      <c r="N466" s="51" t="n">
        <f aca="false">IF(G466="",0,IF(ISNUMBER(B466),1,0))</f>
        <v>0</v>
      </c>
      <c r="O466" s="51" t="n">
        <f aca="false">IF(N466=1,YEAR(B466),0)</f>
        <v>0</v>
      </c>
      <c r="P466" s="51" t="n">
        <f aca="false">IF(N466=1,YEAR(B466)*100+MONTH(B466),0)</f>
        <v>0</v>
      </c>
      <c r="Q466" s="51" t="n">
        <f aca="false">IF(N466=1,IF(J466="No",1,0),0)</f>
        <v>0</v>
      </c>
    </row>
    <row r="467" customFormat="false" ht="15" hidden="false" customHeight="false" outlineLevel="0" collapsed="false">
      <c r="B467" s="52"/>
      <c r="C467" s="53"/>
      <c r="D467" s="53"/>
      <c r="E467" s="53"/>
      <c r="F467" s="53"/>
      <c r="G467" s="54"/>
      <c r="H467" s="55"/>
      <c r="I467" s="56" t="str">
        <f aca="false">IF(G467="","",G467*IF(H467="",1,H467))</f>
        <v/>
      </c>
      <c r="J467" s="57"/>
      <c r="K467" s="53"/>
      <c r="L467" s="58" t="str">
        <f aca="false">IF(G467="","",IF(ISNUMBER(B467),IF(E467="","⚠ ADD CATEGORY / AGREGA CATEGORÍA",IF(J467="No","⚠ SAVE RECEIPT / GUARDA RECIBO","✔ OK")),"⚠ ADD DATE / AGREGA FECHA"))</f>
        <v/>
      </c>
      <c r="N467" s="51" t="n">
        <f aca="false">IF(G467="",0,IF(ISNUMBER(B467),1,0))</f>
        <v>0</v>
      </c>
      <c r="O467" s="51" t="n">
        <f aca="false">IF(N467=1,YEAR(B467),0)</f>
        <v>0</v>
      </c>
      <c r="P467" s="51" t="n">
        <f aca="false">IF(N467=1,YEAR(B467)*100+MONTH(B467),0)</f>
        <v>0</v>
      </c>
      <c r="Q467" s="51" t="n">
        <f aca="false">IF(N467=1,IF(J467="No",1,0),0)</f>
        <v>0</v>
      </c>
    </row>
    <row r="468" customFormat="false" ht="15" hidden="false" customHeight="false" outlineLevel="0" collapsed="false">
      <c r="B468" s="52"/>
      <c r="C468" s="53"/>
      <c r="D468" s="53"/>
      <c r="E468" s="53"/>
      <c r="F468" s="53"/>
      <c r="G468" s="54"/>
      <c r="H468" s="55"/>
      <c r="I468" s="56" t="str">
        <f aca="false">IF(G468="","",G468*IF(H468="",1,H468))</f>
        <v/>
      </c>
      <c r="J468" s="57"/>
      <c r="K468" s="53"/>
      <c r="L468" s="58" t="str">
        <f aca="false">IF(G468="","",IF(ISNUMBER(B468),IF(E468="","⚠ ADD CATEGORY / AGREGA CATEGORÍA",IF(J468="No","⚠ SAVE RECEIPT / GUARDA RECIBO","✔ OK")),"⚠ ADD DATE / AGREGA FECHA"))</f>
        <v/>
      </c>
      <c r="N468" s="51" t="n">
        <f aca="false">IF(G468="",0,IF(ISNUMBER(B468),1,0))</f>
        <v>0</v>
      </c>
      <c r="O468" s="51" t="n">
        <f aca="false">IF(N468=1,YEAR(B468),0)</f>
        <v>0</v>
      </c>
      <c r="P468" s="51" t="n">
        <f aca="false">IF(N468=1,YEAR(B468)*100+MONTH(B468),0)</f>
        <v>0</v>
      </c>
      <c r="Q468" s="51" t="n">
        <f aca="false">IF(N468=1,IF(J468="No",1,0),0)</f>
        <v>0</v>
      </c>
    </row>
    <row r="469" customFormat="false" ht="15" hidden="false" customHeight="false" outlineLevel="0" collapsed="false">
      <c r="B469" s="52"/>
      <c r="C469" s="53"/>
      <c r="D469" s="53"/>
      <c r="E469" s="53"/>
      <c r="F469" s="53"/>
      <c r="G469" s="54"/>
      <c r="H469" s="55"/>
      <c r="I469" s="56" t="str">
        <f aca="false">IF(G469="","",G469*IF(H469="",1,H469))</f>
        <v/>
      </c>
      <c r="J469" s="57"/>
      <c r="K469" s="53"/>
      <c r="L469" s="58" t="str">
        <f aca="false">IF(G469="","",IF(ISNUMBER(B469),IF(E469="","⚠ ADD CATEGORY / AGREGA CATEGORÍA",IF(J469="No","⚠ SAVE RECEIPT / GUARDA RECIBO","✔ OK")),"⚠ ADD DATE / AGREGA FECHA"))</f>
        <v/>
      </c>
      <c r="N469" s="51" t="n">
        <f aca="false">IF(G469="",0,IF(ISNUMBER(B469),1,0))</f>
        <v>0</v>
      </c>
      <c r="O469" s="51" t="n">
        <f aca="false">IF(N469=1,YEAR(B469),0)</f>
        <v>0</v>
      </c>
      <c r="P469" s="51" t="n">
        <f aca="false">IF(N469=1,YEAR(B469)*100+MONTH(B469),0)</f>
        <v>0</v>
      </c>
      <c r="Q469" s="51" t="n">
        <f aca="false">IF(N469=1,IF(J469="No",1,0),0)</f>
        <v>0</v>
      </c>
    </row>
    <row r="470" customFormat="false" ht="15" hidden="false" customHeight="false" outlineLevel="0" collapsed="false">
      <c r="B470" s="52"/>
      <c r="C470" s="53"/>
      <c r="D470" s="53"/>
      <c r="E470" s="53"/>
      <c r="F470" s="53"/>
      <c r="G470" s="54"/>
      <c r="H470" s="55"/>
      <c r="I470" s="56" t="str">
        <f aca="false">IF(G470="","",G470*IF(H470="",1,H470))</f>
        <v/>
      </c>
      <c r="J470" s="57"/>
      <c r="K470" s="53"/>
      <c r="L470" s="58" t="str">
        <f aca="false">IF(G470="","",IF(ISNUMBER(B470),IF(E470="","⚠ ADD CATEGORY / AGREGA CATEGORÍA",IF(J470="No","⚠ SAVE RECEIPT / GUARDA RECIBO","✔ OK")),"⚠ ADD DATE / AGREGA FECHA"))</f>
        <v/>
      </c>
      <c r="N470" s="51" t="n">
        <f aca="false">IF(G470="",0,IF(ISNUMBER(B470),1,0))</f>
        <v>0</v>
      </c>
      <c r="O470" s="51" t="n">
        <f aca="false">IF(N470=1,YEAR(B470),0)</f>
        <v>0</v>
      </c>
      <c r="P470" s="51" t="n">
        <f aca="false">IF(N470=1,YEAR(B470)*100+MONTH(B470),0)</f>
        <v>0</v>
      </c>
      <c r="Q470" s="51" t="n">
        <f aca="false">IF(N470=1,IF(J470="No",1,0),0)</f>
        <v>0</v>
      </c>
    </row>
    <row r="471" customFormat="false" ht="15" hidden="false" customHeight="false" outlineLevel="0" collapsed="false">
      <c r="B471" s="52"/>
      <c r="C471" s="53"/>
      <c r="D471" s="53"/>
      <c r="E471" s="53"/>
      <c r="F471" s="53"/>
      <c r="G471" s="54"/>
      <c r="H471" s="55"/>
      <c r="I471" s="56" t="str">
        <f aca="false">IF(G471="","",G471*IF(H471="",1,H471))</f>
        <v/>
      </c>
      <c r="J471" s="57"/>
      <c r="K471" s="53"/>
      <c r="L471" s="58" t="str">
        <f aca="false">IF(G471="","",IF(ISNUMBER(B471),IF(E471="","⚠ ADD CATEGORY / AGREGA CATEGORÍA",IF(J471="No","⚠ SAVE RECEIPT / GUARDA RECIBO","✔ OK")),"⚠ ADD DATE / AGREGA FECHA"))</f>
        <v/>
      </c>
      <c r="N471" s="51" t="n">
        <f aca="false">IF(G471="",0,IF(ISNUMBER(B471),1,0))</f>
        <v>0</v>
      </c>
      <c r="O471" s="51" t="n">
        <f aca="false">IF(N471=1,YEAR(B471),0)</f>
        <v>0</v>
      </c>
      <c r="P471" s="51" t="n">
        <f aca="false">IF(N471=1,YEAR(B471)*100+MONTH(B471),0)</f>
        <v>0</v>
      </c>
      <c r="Q471" s="51" t="n">
        <f aca="false">IF(N471=1,IF(J471="No",1,0),0)</f>
        <v>0</v>
      </c>
    </row>
    <row r="472" customFormat="false" ht="15" hidden="false" customHeight="false" outlineLevel="0" collapsed="false">
      <c r="B472" s="52"/>
      <c r="C472" s="53"/>
      <c r="D472" s="53"/>
      <c r="E472" s="53"/>
      <c r="F472" s="53"/>
      <c r="G472" s="54"/>
      <c r="H472" s="55"/>
      <c r="I472" s="56" t="str">
        <f aca="false">IF(G472="","",G472*IF(H472="",1,H472))</f>
        <v/>
      </c>
      <c r="J472" s="57"/>
      <c r="K472" s="53"/>
      <c r="L472" s="58" t="str">
        <f aca="false">IF(G472="","",IF(ISNUMBER(B472),IF(E472="","⚠ ADD CATEGORY / AGREGA CATEGORÍA",IF(J472="No","⚠ SAVE RECEIPT / GUARDA RECIBO","✔ OK")),"⚠ ADD DATE / AGREGA FECHA"))</f>
        <v/>
      </c>
      <c r="N472" s="51" t="n">
        <f aca="false">IF(G472="",0,IF(ISNUMBER(B472),1,0))</f>
        <v>0</v>
      </c>
      <c r="O472" s="51" t="n">
        <f aca="false">IF(N472=1,YEAR(B472),0)</f>
        <v>0</v>
      </c>
      <c r="P472" s="51" t="n">
        <f aca="false">IF(N472=1,YEAR(B472)*100+MONTH(B472),0)</f>
        <v>0</v>
      </c>
      <c r="Q472" s="51" t="n">
        <f aca="false">IF(N472=1,IF(J472="No",1,0),0)</f>
        <v>0</v>
      </c>
    </row>
    <row r="473" customFormat="false" ht="15" hidden="false" customHeight="false" outlineLevel="0" collapsed="false">
      <c r="B473" s="52"/>
      <c r="C473" s="53"/>
      <c r="D473" s="53"/>
      <c r="E473" s="53"/>
      <c r="F473" s="53"/>
      <c r="G473" s="54"/>
      <c r="H473" s="55"/>
      <c r="I473" s="56" t="str">
        <f aca="false">IF(G473="","",G473*IF(H473="",1,H473))</f>
        <v/>
      </c>
      <c r="J473" s="57"/>
      <c r="K473" s="53"/>
      <c r="L473" s="58" t="str">
        <f aca="false">IF(G473="","",IF(ISNUMBER(B473),IF(E473="","⚠ ADD CATEGORY / AGREGA CATEGORÍA",IF(J473="No","⚠ SAVE RECEIPT / GUARDA RECIBO","✔ OK")),"⚠ ADD DATE / AGREGA FECHA"))</f>
        <v/>
      </c>
      <c r="N473" s="51" t="n">
        <f aca="false">IF(G473="",0,IF(ISNUMBER(B473),1,0))</f>
        <v>0</v>
      </c>
      <c r="O473" s="51" t="n">
        <f aca="false">IF(N473=1,YEAR(B473),0)</f>
        <v>0</v>
      </c>
      <c r="P473" s="51" t="n">
        <f aca="false">IF(N473=1,YEAR(B473)*100+MONTH(B473),0)</f>
        <v>0</v>
      </c>
      <c r="Q473" s="51" t="n">
        <f aca="false">IF(N473=1,IF(J473="No",1,0),0)</f>
        <v>0</v>
      </c>
    </row>
    <row r="474" customFormat="false" ht="15" hidden="false" customHeight="false" outlineLevel="0" collapsed="false">
      <c r="B474" s="52"/>
      <c r="C474" s="53"/>
      <c r="D474" s="53"/>
      <c r="E474" s="53"/>
      <c r="F474" s="53"/>
      <c r="G474" s="54"/>
      <c r="H474" s="55"/>
      <c r="I474" s="56" t="str">
        <f aca="false">IF(G474="","",G474*IF(H474="",1,H474))</f>
        <v/>
      </c>
      <c r="J474" s="57"/>
      <c r="K474" s="53"/>
      <c r="L474" s="58" t="str">
        <f aca="false">IF(G474="","",IF(ISNUMBER(B474),IF(E474="","⚠ ADD CATEGORY / AGREGA CATEGORÍA",IF(J474="No","⚠ SAVE RECEIPT / GUARDA RECIBO","✔ OK")),"⚠ ADD DATE / AGREGA FECHA"))</f>
        <v/>
      </c>
      <c r="N474" s="51" t="n">
        <f aca="false">IF(G474="",0,IF(ISNUMBER(B474),1,0))</f>
        <v>0</v>
      </c>
      <c r="O474" s="51" t="n">
        <f aca="false">IF(N474=1,YEAR(B474),0)</f>
        <v>0</v>
      </c>
      <c r="P474" s="51" t="n">
        <f aca="false">IF(N474=1,YEAR(B474)*100+MONTH(B474),0)</f>
        <v>0</v>
      </c>
      <c r="Q474" s="51" t="n">
        <f aca="false">IF(N474=1,IF(J474="No",1,0),0)</f>
        <v>0</v>
      </c>
    </row>
    <row r="475" customFormat="false" ht="15" hidden="false" customHeight="false" outlineLevel="0" collapsed="false">
      <c r="B475" s="52"/>
      <c r="C475" s="53"/>
      <c r="D475" s="53"/>
      <c r="E475" s="53"/>
      <c r="F475" s="53"/>
      <c r="G475" s="54"/>
      <c r="H475" s="55"/>
      <c r="I475" s="56" t="str">
        <f aca="false">IF(G475="","",G475*IF(H475="",1,H475))</f>
        <v/>
      </c>
      <c r="J475" s="57"/>
      <c r="K475" s="53"/>
      <c r="L475" s="58" t="str">
        <f aca="false">IF(G475="","",IF(ISNUMBER(B475),IF(E475="","⚠ ADD CATEGORY / AGREGA CATEGORÍA",IF(J475="No","⚠ SAVE RECEIPT / GUARDA RECIBO","✔ OK")),"⚠ ADD DATE / AGREGA FECHA"))</f>
        <v/>
      </c>
      <c r="N475" s="51" t="n">
        <f aca="false">IF(G475="",0,IF(ISNUMBER(B475),1,0))</f>
        <v>0</v>
      </c>
      <c r="O475" s="51" t="n">
        <f aca="false">IF(N475=1,YEAR(B475),0)</f>
        <v>0</v>
      </c>
      <c r="P475" s="51" t="n">
        <f aca="false">IF(N475=1,YEAR(B475)*100+MONTH(B475),0)</f>
        <v>0</v>
      </c>
      <c r="Q475" s="51" t="n">
        <f aca="false">IF(N475=1,IF(J475="No",1,0),0)</f>
        <v>0</v>
      </c>
    </row>
    <row r="476" customFormat="false" ht="15" hidden="false" customHeight="false" outlineLevel="0" collapsed="false">
      <c r="B476" s="52"/>
      <c r="C476" s="53"/>
      <c r="D476" s="53"/>
      <c r="E476" s="53"/>
      <c r="F476" s="53"/>
      <c r="G476" s="54"/>
      <c r="H476" s="55"/>
      <c r="I476" s="56" t="str">
        <f aca="false">IF(G476="","",G476*IF(H476="",1,H476))</f>
        <v/>
      </c>
      <c r="J476" s="57"/>
      <c r="K476" s="53"/>
      <c r="L476" s="58" t="str">
        <f aca="false">IF(G476="","",IF(ISNUMBER(B476),IF(E476="","⚠ ADD CATEGORY / AGREGA CATEGORÍA",IF(J476="No","⚠ SAVE RECEIPT / GUARDA RECIBO","✔ OK")),"⚠ ADD DATE / AGREGA FECHA"))</f>
        <v/>
      </c>
      <c r="N476" s="51" t="n">
        <f aca="false">IF(G476="",0,IF(ISNUMBER(B476),1,0))</f>
        <v>0</v>
      </c>
      <c r="O476" s="51" t="n">
        <f aca="false">IF(N476=1,YEAR(B476),0)</f>
        <v>0</v>
      </c>
      <c r="P476" s="51" t="n">
        <f aca="false">IF(N476=1,YEAR(B476)*100+MONTH(B476),0)</f>
        <v>0</v>
      </c>
      <c r="Q476" s="51" t="n">
        <f aca="false">IF(N476=1,IF(J476="No",1,0),0)</f>
        <v>0</v>
      </c>
    </row>
    <row r="477" customFormat="false" ht="15" hidden="false" customHeight="false" outlineLevel="0" collapsed="false">
      <c r="B477" s="52"/>
      <c r="C477" s="53"/>
      <c r="D477" s="53"/>
      <c r="E477" s="53"/>
      <c r="F477" s="53"/>
      <c r="G477" s="54"/>
      <c r="H477" s="55"/>
      <c r="I477" s="56" t="str">
        <f aca="false">IF(G477="","",G477*IF(H477="",1,H477))</f>
        <v/>
      </c>
      <c r="J477" s="57"/>
      <c r="K477" s="53"/>
      <c r="L477" s="58" t="str">
        <f aca="false">IF(G477="","",IF(ISNUMBER(B477),IF(E477="","⚠ ADD CATEGORY / AGREGA CATEGORÍA",IF(J477="No","⚠ SAVE RECEIPT / GUARDA RECIBO","✔ OK")),"⚠ ADD DATE / AGREGA FECHA"))</f>
        <v/>
      </c>
      <c r="N477" s="51" t="n">
        <f aca="false">IF(G477="",0,IF(ISNUMBER(B477),1,0))</f>
        <v>0</v>
      </c>
      <c r="O477" s="51" t="n">
        <f aca="false">IF(N477=1,YEAR(B477),0)</f>
        <v>0</v>
      </c>
      <c r="P477" s="51" t="n">
        <f aca="false">IF(N477=1,YEAR(B477)*100+MONTH(B477),0)</f>
        <v>0</v>
      </c>
      <c r="Q477" s="51" t="n">
        <f aca="false">IF(N477=1,IF(J477="No",1,0),0)</f>
        <v>0</v>
      </c>
    </row>
    <row r="478" customFormat="false" ht="15" hidden="false" customHeight="false" outlineLevel="0" collapsed="false">
      <c r="B478" s="52"/>
      <c r="C478" s="53"/>
      <c r="D478" s="53"/>
      <c r="E478" s="53"/>
      <c r="F478" s="53"/>
      <c r="G478" s="54"/>
      <c r="H478" s="55"/>
      <c r="I478" s="56" t="str">
        <f aca="false">IF(G478="","",G478*IF(H478="",1,H478))</f>
        <v/>
      </c>
      <c r="J478" s="57"/>
      <c r="K478" s="53"/>
      <c r="L478" s="58" t="str">
        <f aca="false">IF(G478="","",IF(ISNUMBER(B478),IF(E478="","⚠ ADD CATEGORY / AGREGA CATEGORÍA",IF(J478="No","⚠ SAVE RECEIPT / GUARDA RECIBO","✔ OK")),"⚠ ADD DATE / AGREGA FECHA"))</f>
        <v/>
      </c>
      <c r="N478" s="51" t="n">
        <f aca="false">IF(G478="",0,IF(ISNUMBER(B478),1,0))</f>
        <v>0</v>
      </c>
      <c r="O478" s="51" t="n">
        <f aca="false">IF(N478=1,YEAR(B478),0)</f>
        <v>0</v>
      </c>
      <c r="P478" s="51" t="n">
        <f aca="false">IF(N478=1,YEAR(B478)*100+MONTH(B478),0)</f>
        <v>0</v>
      </c>
      <c r="Q478" s="51" t="n">
        <f aca="false">IF(N478=1,IF(J478="No",1,0),0)</f>
        <v>0</v>
      </c>
    </row>
    <row r="479" customFormat="false" ht="15" hidden="false" customHeight="false" outlineLevel="0" collapsed="false">
      <c r="B479" s="52"/>
      <c r="C479" s="53"/>
      <c r="D479" s="53"/>
      <c r="E479" s="53"/>
      <c r="F479" s="53"/>
      <c r="G479" s="54"/>
      <c r="H479" s="55"/>
      <c r="I479" s="56" t="str">
        <f aca="false">IF(G479="","",G479*IF(H479="",1,H479))</f>
        <v/>
      </c>
      <c r="J479" s="57"/>
      <c r="K479" s="53"/>
      <c r="L479" s="58" t="str">
        <f aca="false">IF(G479="","",IF(ISNUMBER(B479),IF(E479="","⚠ ADD CATEGORY / AGREGA CATEGORÍA",IF(J479="No","⚠ SAVE RECEIPT / GUARDA RECIBO","✔ OK")),"⚠ ADD DATE / AGREGA FECHA"))</f>
        <v/>
      </c>
      <c r="N479" s="51" t="n">
        <f aca="false">IF(G479="",0,IF(ISNUMBER(B479),1,0))</f>
        <v>0</v>
      </c>
      <c r="O479" s="51" t="n">
        <f aca="false">IF(N479=1,YEAR(B479),0)</f>
        <v>0</v>
      </c>
      <c r="P479" s="51" t="n">
        <f aca="false">IF(N479=1,YEAR(B479)*100+MONTH(B479),0)</f>
        <v>0</v>
      </c>
      <c r="Q479" s="51" t="n">
        <f aca="false">IF(N479=1,IF(J479="No",1,0),0)</f>
        <v>0</v>
      </c>
    </row>
    <row r="480" customFormat="false" ht="15" hidden="false" customHeight="false" outlineLevel="0" collapsed="false">
      <c r="B480" s="52"/>
      <c r="C480" s="53"/>
      <c r="D480" s="53"/>
      <c r="E480" s="53"/>
      <c r="F480" s="53"/>
      <c r="G480" s="54"/>
      <c r="H480" s="55"/>
      <c r="I480" s="56" t="str">
        <f aca="false">IF(G480="","",G480*IF(H480="",1,H480))</f>
        <v/>
      </c>
      <c r="J480" s="57"/>
      <c r="K480" s="53"/>
      <c r="L480" s="58" t="str">
        <f aca="false">IF(G480="","",IF(ISNUMBER(B480),IF(E480="","⚠ ADD CATEGORY / AGREGA CATEGORÍA",IF(J480="No","⚠ SAVE RECEIPT / GUARDA RECIBO","✔ OK")),"⚠ ADD DATE / AGREGA FECHA"))</f>
        <v/>
      </c>
      <c r="N480" s="51" t="n">
        <f aca="false">IF(G480="",0,IF(ISNUMBER(B480),1,0))</f>
        <v>0</v>
      </c>
      <c r="O480" s="51" t="n">
        <f aca="false">IF(N480=1,YEAR(B480),0)</f>
        <v>0</v>
      </c>
      <c r="P480" s="51" t="n">
        <f aca="false">IF(N480=1,YEAR(B480)*100+MONTH(B480),0)</f>
        <v>0</v>
      </c>
      <c r="Q480" s="51" t="n">
        <f aca="false">IF(N480=1,IF(J480="No",1,0),0)</f>
        <v>0</v>
      </c>
    </row>
    <row r="481" customFormat="false" ht="15" hidden="false" customHeight="false" outlineLevel="0" collapsed="false">
      <c r="B481" s="52"/>
      <c r="C481" s="53"/>
      <c r="D481" s="53"/>
      <c r="E481" s="53"/>
      <c r="F481" s="53"/>
      <c r="G481" s="54"/>
      <c r="H481" s="55"/>
      <c r="I481" s="56" t="str">
        <f aca="false">IF(G481="","",G481*IF(H481="",1,H481))</f>
        <v/>
      </c>
      <c r="J481" s="57"/>
      <c r="K481" s="53"/>
      <c r="L481" s="58" t="str">
        <f aca="false">IF(G481="","",IF(ISNUMBER(B481),IF(E481="","⚠ ADD CATEGORY / AGREGA CATEGORÍA",IF(J481="No","⚠ SAVE RECEIPT / GUARDA RECIBO","✔ OK")),"⚠ ADD DATE / AGREGA FECHA"))</f>
        <v/>
      </c>
      <c r="N481" s="51" t="n">
        <f aca="false">IF(G481="",0,IF(ISNUMBER(B481),1,0))</f>
        <v>0</v>
      </c>
      <c r="O481" s="51" t="n">
        <f aca="false">IF(N481=1,YEAR(B481),0)</f>
        <v>0</v>
      </c>
      <c r="P481" s="51" t="n">
        <f aca="false">IF(N481=1,YEAR(B481)*100+MONTH(B481),0)</f>
        <v>0</v>
      </c>
      <c r="Q481" s="51" t="n">
        <f aca="false">IF(N481=1,IF(J481="No",1,0),0)</f>
        <v>0</v>
      </c>
    </row>
    <row r="482" customFormat="false" ht="15" hidden="false" customHeight="false" outlineLevel="0" collapsed="false">
      <c r="B482" s="52"/>
      <c r="C482" s="53"/>
      <c r="D482" s="53"/>
      <c r="E482" s="53"/>
      <c r="F482" s="53"/>
      <c r="G482" s="54"/>
      <c r="H482" s="55"/>
      <c r="I482" s="56" t="str">
        <f aca="false">IF(G482="","",G482*IF(H482="",1,H482))</f>
        <v/>
      </c>
      <c r="J482" s="57"/>
      <c r="K482" s="53"/>
      <c r="L482" s="58" t="str">
        <f aca="false">IF(G482="","",IF(ISNUMBER(B482),IF(E482="","⚠ ADD CATEGORY / AGREGA CATEGORÍA",IF(J482="No","⚠ SAVE RECEIPT / GUARDA RECIBO","✔ OK")),"⚠ ADD DATE / AGREGA FECHA"))</f>
        <v/>
      </c>
      <c r="N482" s="51" t="n">
        <f aca="false">IF(G482="",0,IF(ISNUMBER(B482),1,0))</f>
        <v>0</v>
      </c>
      <c r="O482" s="51" t="n">
        <f aca="false">IF(N482=1,YEAR(B482),0)</f>
        <v>0</v>
      </c>
      <c r="P482" s="51" t="n">
        <f aca="false">IF(N482=1,YEAR(B482)*100+MONTH(B482),0)</f>
        <v>0</v>
      </c>
      <c r="Q482" s="51" t="n">
        <f aca="false">IF(N482=1,IF(J482="No",1,0),0)</f>
        <v>0</v>
      </c>
    </row>
    <row r="483" customFormat="false" ht="15" hidden="false" customHeight="false" outlineLevel="0" collapsed="false">
      <c r="B483" s="52"/>
      <c r="C483" s="53"/>
      <c r="D483" s="53"/>
      <c r="E483" s="53"/>
      <c r="F483" s="53"/>
      <c r="G483" s="54"/>
      <c r="H483" s="55"/>
      <c r="I483" s="56" t="str">
        <f aca="false">IF(G483="","",G483*IF(H483="",1,H483))</f>
        <v/>
      </c>
      <c r="J483" s="57"/>
      <c r="K483" s="53"/>
      <c r="L483" s="58" t="str">
        <f aca="false">IF(G483="","",IF(ISNUMBER(B483),IF(E483="","⚠ ADD CATEGORY / AGREGA CATEGORÍA",IF(J483="No","⚠ SAVE RECEIPT / GUARDA RECIBO","✔ OK")),"⚠ ADD DATE / AGREGA FECHA"))</f>
        <v/>
      </c>
      <c r="N483" s="51" t="n">
        <f aca="false">IF(G483="",0,IF(ISNUMBER(B483),1,0))</f>
        <v>0</v>
      </c>
      <c r="O483" s="51" t="n">
        <f aca="false">IF(N483=1,YEAR(B483),0)</f>
        <v>0</v>
      </c>
      <c r="P483" s="51" t="n">
        <f aca="false">IF(N483=1,YEAR(B483)*100+MONTH(B483),0)</f>
        <v>0</v>
      </c>
      <c r="Q483" s="51" t="n">
        <f aca="false">IF(N483=1,IF(J483="No",1,0),0)</f>
        <v>0</v>
      </c>
    </row>
    <row r="484" customFormat="false" ht="15" hidden="false" customHeight="false" outlineLevel="0" collapsed="false">
      <c r="B484" s="52"/>
      <c r="C484" s="53"/>
      <c r="D484" s="53"/>
      <c r="E484" s="53"/>
      <c r="F484" s="53"/>
      <c r="G484" s="54"/>
      <c r="H484" s="55"/>
      <c r="I484" s="56" t="str">
        <f aca="false">IF(G484="","",G484*IF(H484="",1,H484))</f>
        <v/>
      </c>
      <c r="J484" s="57"/>
      <c r="K484" s="53"/>
      <c r="L484" s="58" t="str">
        <f aca="false">IF(G484="","",IF(ISNUMBER(B484),IF(E484="","⚠ ADD CATEGORY / AGREGA CATEGORÍA",IF(J484="No","⚠ SAVE RECEIPT / GUARDA RECIBO","✔ OK")),"⚠ ADD DATE / AGREGA FECHA"))</f>
        <v/>
      </c>
      <c r="N484" s="51" t="n">
        <f aca="false">IF(G484="",0,IF(ISNUMBER(B484),1,0))</f>
        <v>0</v>
      </c>
      <c r="O484" s="51" t="n">
        <f aca="false">IF(N484=1,YEAR(B484),0)</f>
        <v>0</v>
      </c>
      <c r="P484" s="51" t="n">
        <f aca="false">IF(N484=1,YEAR(B484)*100+MONTH(B484),0)</f>
        <v>0</v>
      </c>
      <c r="Q484" s="51" t="n">
        <f aca="false">IF(N484=1,IF(J484="No",1,0),0)</f>
        <v>0</v>
      </c>
    </row>
    <row r="485" customFormat="false" ht="15" hidden="false" customHeight="false" outlineLevel="0" collapsed="false">
      <c r="B485" s="52"/>
      <c r="C485" s="53"/>
      <c r="D485" s="53"/>
      <c r="E485" s="53"/>
      <c r="F485" s="53"/>
      <c r="G485" s="54"/>
      <c r="H485" s="55"/>
      <c r="I485" s="56" t="str">
        <f aca="false">IF(G485="","",G485*IF(H485="",1,H485))</f>
        <v/>
      </c>
      <c r="J485" s="57"/>
      <c r="K485" s="53"/>
      <c r="L485" s="58" t="str">
        <f aca="false">IF(G485="","",IF(ISNUMBER(B485),IF(E485="","⚠ ADD CATEGORY / AGREGA CATEGORÍA",IF(J485="No","⚠ SAVE RECEIPT / GUARDA RECIBO","✔ OK")),"⚠ ADD DATE / AGREGA FECHA"))</f>
        <v/>
      </c>
      <c r="N485" s="51" t="n">
        <f aca="false">IF(G485="",0,IF(ISNUMBER(B485),1,0))</f>
        <v>0</v>
      </c>
      <c r="O485" s="51" t="n">
        <f aca="false">IF(N485=1,YEAR(B485),0)</f>
        <v>0</v>
      </c>
      <c r="P485" s="51" t="n">
        <f aca="false">IF(N485=1,YEAR(B485)*100+MONTH(B485),0)</f>
        <v>0</v>
      </c>
      <c r="Q485" s="51" t="n">
        <f aca="false">IF(N485=1,IF(J485="No",1,0),0)</f>
        <v>0</v>
      </c>
    </row>
    <row r="486" customFormat="false" ht="15" hidden="false" customHeight="false" outlineLevel="0" collapsed="false">
      <c r="B486" s="52"/>
      <c r="C486" s="53"/>
      <c r="D486" s="53"/>
      <c r="E486" s="53"/>
      <c r="F486" s="53"/>
      <c r="G486" s="54"/>
      <c r="H486" s="55"/>
      <c r="I486" s="56" t="str">
        <f aca="false">IF(G486="","",G486*IF(H486="",1,H486))</f>
        <v/>
      </c>
      <c r="J486" s="57"/>
      <c r="K486" s="53"/>
      <c r="L486" s="58" t="str">
        <f aca="false">IF(G486="","",IF(ISNUMBER(B486),IF(E486="","⚠ ADD CATEGORY / AGREGA CATEGORÍA",IF(J486="No","⚠ SAVE RECEIPT / GUARDA RECIBO","✔ OK")),"⚠ ADD DATE / AGREGA FECHA"))</f>
        <v/>
      </c>
      <c r="N486" s="51" t="n">
        <f aca="false">IF(G486="",0,IF(ISNUMBER(B486),1,0))</f>
        <v>0</v>
      </c>
      <c r="O486" s="51" t="n">
        <f aca="false">IF(N486=1,YEAR(B486),0)</f>
        <v>0</v>
      </c>
      <c r="P486" s="51" t="n">
        <f aca="false">IF(N486=1,YEAR(B486)*100+MONTH(B486),0)</f>
        <v>0</v>
      </c>
      <c r="Q486" s="51" t="n">
        <f aca="false">IF(N486=1,IF(J486="No",1,0),0)</f>
        <v>0</v>
      </c>
    </row>
    <row r="487" customFormat="false" ht="15" hidden="false" customHeight="false" outlineLevel="0" collapsed="false">
      <c r="B487" s="52"/>
      <c r="C487" s="53"/>
      <c r="D487" s="53"/>
      <c r="E487" s="53"/>
      <c r="F487" s="53"/>
      <c r="G487" s="54"/>
      <c r="H487" s="55"/>
      <c r="I487" s="56" t="str">
        <f aca="false">IF(G487="","",G487*IF(H487="",1,H487))</f>
        <v/>
      </c>
      <c r="J487" s="57"/>
      <c r="K487" s="53"/>
      <c r="L487" s="58" t="str">
        <f aca="false">IF(G487="","",IF(ISNUMBER(B487),IF(E487="","⚠ ADD CATEGORY / AGREGA CATEGORÍA",IF(J487="No","⚠ SAVE RECEIPT / GUARDA RECIBO","✔ OK")),"⚠ ADD DATE / AGREGA FECHA"))</f>
        <v/>
      </c>
      <c r="N487" s="51" t="n">
        <f aca="false">IF(G487="",0,IF(ISNUMBER(B487),1,0))</f>
        <v>0</v>
      </c>
      <c r="O487" s="51" t="n">
        <f aca="false">IF(N487=1,YEAR(B487),0)</f>
        <v>0</v>
      </c>
      <c r="P487" s="51" t="n">
        <f aca="false">IF(N487=1,YEAR(B487)*100+MONTH(B487),0)</f>
        <v>0</v>
      </c>
      <c r="Q487" s="51" t="n">
        <f aca="false">IF(N487=1,IF(J487="No",1,0),0)</f>
        <v>0</v>
      </c>
    </row>
    <row r="488" customFormat="false" ht="15" hidden="false" customHeight="false" outlineLevel="0" collapsed="false">
      <c r="B488" s="52"/>
      <c r="C488" s="53"/>
      <c r="D488" s="53"/>
      <c r="E488" s="53"/>
      <c r="F488" s="53"/>
      <c r="G488" s="54"/>
      <c r="H488" s="55"/>
      <c r="I488" s="56" t="str">
        <f aca="false">IF(G488="","",G488*IF(H488="",1,H488))</f>
        <v/>
      </c>
      <c r="J488" s="57"/>
      <c r="K488" s="53"/>
      <c r="L488" s="58" t="str">
        <f aca="false">IF(G488="","",IF(ISNUMBER(B488),IF(E488="","⚠ ADD CATEGORY / AGREGA CATEGORÍA",IF(J488="No","⚠ SAVE RECEIPT / GUARDA RECIBO","✔ OK")),"⚠ ADD DATE / AGREGA FECHA"))</f>
        <v/>
      </c>
      <c r="N488" s="51" t="n">
        <f aca="false">IF(G488="",0,IF(ISNUMBER(B488),1,0))</f>
        <v>0</v>
      </c>
      <c r="O488" s="51" t="n">
        <f aca="false">IF(N488=1,YEAR(B488),0)</f>
        <v>0</v>
      </c>
      <c r="P488" s="51" t="n">
        <f aca="false">IF(N488=1,YEAR(B488)*100+MONTH(B488),0)</f>
        <v>0</v>
      </c>
      <c r="Q488" s="51" t="n">
        <f aca="false">IF(N488=1,IF(J488="No",1,0),0)</f>
        <v>0</v>
      </c>
    </row>
    <row r="489" customFormat="false" ht="15" hidden="false" customHeight="false" outlineLevel="0" collapsed="false">
      <c r="B489" s="52"/>
      <c r="C489" s="53"/>
      <c r="D489" s="53"/>
      <c r="E489" s="53"/>
      <c r="F489" s="53"/>
      <c r="G489" s="54"/>
      <c r="H489" s="55"/>
      <c r="I489" s="56" t="str">
        <f aca="false">IF(G489="","",G489*IF(H489="",1,H489))</f>
        <v/>
      </c>
      <c r="J489" s="57"/>
      <c r="K489" s="53"/>
      <c r="L489" s="58" t="str">
        <f aca="false">IF(G489="","",IF(ISNUMBER(B489),IF(E489="","⚠ ADD CATEGORY / AGREGA CATEGORÍA",IF(J489="No","⚠ SAVE RECEIPT / GUARDA RECIBO","✔ OK")),"⚠ ADD DATE / AGREGA FECHA"))</f>
        <v/>
      </c>
      <c r="N489" s="51" t="n">
        <f aca="false">IF(G489="",0,IF(ISNUMBER(B489),1,0))</f>
        <v>0</v>
      </c>
      <c r="O489" s="51" t="n">
        <f aca="false">IF(N489=1,YEAR(B489),0)</f>
        <v>0</v>
      </c>
      <c r="P489" s="51" t="n">
        <f aca="false">IF(N489=1,YEAR(B489)*100+MONTH(B489),0)</f>
        <v>0</v>
      </c>
      <c r="Q489" s="51" t="n">
        <f aca="false">IF(N489=1,IF(J489="No",1,0),0)</f>
        <v>0</v>
      </c>
    </row>
    <row r="490" customFormat="false" ht="15" hidden="false" customHeight="false" outlineLevel="0" collapsed="false">
      <c r="B490" s="52"/>
      <c r="C490" s="53"/>
      <c r="D490" s="53"/>
      <c r="E490" s="53"/>
      <c r="F490" s="53"/>
      <c r="G490" s="54"/>
      <c r="H490" s="55"/>
      <c r="I490" s="56" t="str">
        <f aca="false">IF(G490="","",G490*IF(H490="",1,H490))</f>
        <v/>
      </c>
      <c r="J490" s="57"/>
      <c r="K490" s="53"/>
      <c r="L490" s="58" t="str">
        <f aca="false">IF(G490="","",IF(ISNUMBER(B490),IF(E490="","⚠ ADD CATEGORY / AGREGA CATEGORÍA",IF(J490="No","⚠ SAVE RECEIPT / GUARDA RECIBO","✔ OK")),"⚠ ADD DATE / AGREGA FECHA"))</f>
        <v/>
      </c>
      <c r="N490" s="51" t="n">
        <f aca="false">IF(G490="",0,IF(ISNUMBER(B490),1,0))</f>
        <v>0</v>
      </c>
      <c r="O490" s="51" t="n">
        <f aca="false">IF(N490=1,YEAR(B490),0)</f>
        <v>0</v>
      </c>
      <c r="P490" s="51" t="n">
        <f aca="false">IF(N490=1,YEAR(B490)*100+MONTH(B490),0)</f>
        <v>0</v>
      </c>
      <c r="Q490" s="51" t="n">
        <f aca="false">IF(N490=1,IF(J490="No",1,0),0)</f>
        <v>0</v>
      </c>
    </row>
    <row r="491" customFormat="false" ht="15" hidden="false" customHeight="false" outlineLevel="0" collapsed="false">
      <c r="B491" s="52"/>
      <c r="C491" s="53"/>
      <c r="D491" s="53"/>
      <c r="E491" s="53"/>
      <c r="F491" s="53"/>
      <c r="G491" s="54"/>
      <c r="H491" s="55"/>
      <c r="I491" s="56" t="str">
        <f aca="false">IF(G491="","",G491*IF(H491="",1,H491))</f>
        <v/>
      </c>
      <c r="J491" s="57"/>
      <c r="K491" s="53"/>
      <c r="L491" s="58" t="str">
        <f aca="false">IF(G491="","",IF(ISNUMBER(B491),IF(E491="","⚠ ADD CATEGORY / AGREGA CATEGORÍA",IF(J491="No","⚠ SAVE RECEIPT / GUARDA RECIBO","✔ OK")),"⚠ ADD DATE / AGREGA FECHA"))</f>
        <v/>
      </c>
      <c r="N491" s="51" t="n">
        <f aca="false">IF(G491="",0,IF(ISNUMBER(B491),1,0))</f>
        <v>0</v>
      </c>
      <c r="O491" s="51" t="n">
        <f aca="false">IF(N491=1,YEAR(B491),0)</f>
        <v>0</v>
      </c>
      <c r="P491" s="51" t="n">
        <f aca="false">IF(N491=1,YEAR(B491)*100+MONTH(B491),0)</f>
        <v>0</v>
      </c>
      <c r="Q491" s="51" t="n">
        <f aca="false">IF(N491=1,IF(J491="No",1,0),0)</f>
        <v>0</v>
      </c>
    </row>
    <row r="492" customFormat="false" ht="15" hidden="false" customHeight="false" outlineLevel="0" collapsed="false">
      <c r="B492" s="52"/>
      <c r="C492" s="53"/>
      <c r="D492" s="53"/>
      <c r="E492" s="53"/>
      <c r="F492" s="53"/>
      <c r="G492" s="54"/>
      <c r="H492" s="55"/>
      <c r="I492" s="56" t="str">
        <f aca="false">IF(G492="","",G492*IF(H492="",1,H492))</f>
        <v/>
      </c>
      <c r="J492" s="57"/>
      <c r="K492" s="53"/>
      <c r="L492" s="58" t="str">
        <f aca="false">IF(G492="","",IF(ISNUMBER(B492),IF(E492="","⚠ ADD CATEGORY / AGREGA CATEGORÍA",IF(J492="No","⚠ SAVE RECEIPT / GUARDA RECIBO","✔ OK")),"⚠ ADD DATE / AGREGA FECHA"))</f>
        <v/>
      </c>
      <c r="N492" s="51" t="n">
        <f aca="false">IF(G492="",0,IF(ISNUMBER(B492),1,0))</f>
        <v>0</v>
      </c>
      <c r="O492" s="51" t="n">
        <f aca="false">IF(N492=1,YEAR(B492),0)</f>
        <v>0</v>
      </c>
      <c r="P492" s="51" t="n">
        <f aca="false">IF(N492=1,YEAR(B492)*100+MONTH(B492),0)</f>
        <v>0</v>
      </c>
      <c r="Q492" s="51" t="n">
        <f aca="false">IF(N492=1,IF(J492="No",1,0),0)</f>
        <v>0</v>
      </c>
    </row>
    <row r="493" customFormat="false" ht="15" hidden="false" customHeight="false" outlineLevel="0" collapsed="false">
      <c r="B493" s="52"/>
      <c r="C493" s="53"/>
      <c r="D493" s="53"/>
      <c r="E493" s="53"/>
      <c r="F493" s="53"/>
      <c r="G493" s="54"/>
      <c r="H493" s="55"/>
      <c r="I493" s="56" t="str">
        <f aca="false">IF(G493="","",G493*IF(H493="",1,H493))</f>
        <v/>
      </c>
      <c r="J493" s="57"/>
      <c r="K493" s="53"/>
      <c r="L493" s="58" t="str">
        <f aca="false">IF(G493="","",IF(ISNUMBER(B493),IF(E493="","⚠ ADD CATEGORY / AGREGA CATEGORÍA",IF(J493="No","⚠ SAVE RECEIPT / GUARDA RECIBO","✔ OK")),"⚠ ADD DATE / AGREGA FECHA"))</f>
        <v/>
      </c>
      <c r="N493" s="51" t="n">
        <f aca="false">IF(G493="",0,IF(ISNUMBER(B493),1,0))</f>
        <v>0</v>
      </c>
      <c r="O493" s="51" t="n">
        <f aca="false">IF(N493=1,YEAR(B493),0)</f>
        <v>0</v>
      </c>
      <c r="P493" s="51" t="n">
        <f aca="false">IF(N493=1,YEAR(B493)*100+MONTH(B493),0)</f>
        <v>0</v>
      </c>
      <c r="Q493" s="51" t="n">
        <f aca="false">IF(N493=1,IF(J493="No",1,0),0)</f>
        <v>0</v>
      </c>
    </row>
    <row r="494" customFormat="false" ht="15" hidden="false" customHeight="false" outlineLevel="0" collapsed="false">
      <c r="B494" s="52"/>
      <c r="C494" s="53"/>
      <c r="D494" s="53"/>
      <c r="E494" s="53"/>
      <c r="F494" s="53"/>
      <c r="G494" s="54"/>
      <c r="H494" s="55"/>
      <c r="I494" s="56" t="str">
        <f aca="false">IF(G494="","",G494*IF(H494="",1,H494))</f>
        <v/>
      </c>
      <c r="J494" s="57"/>
      <c r="K494" s="53"/>
      <c r="L494" s="58" t="str">
        <f aca="false">IF(G494="","",IF(ISNUMBER(B494),IF(E494="","⚠ ADD CATEGORY / AGREGA CATEGORÍA",IF(J494="No","⚠ SAVE RECEIPT / GUARDA RECIBO","✔ OK")),"⚠ ADD DATE / AGREGA FECHA"))</f>
        <v/>
      </c>
      <c r="N494" s="51" t="n">
        <f aca="false">IF(G494="",0,IF(ISNUMBER(B494),1,0))</f>
        <v>0</v>
      </c>
      <c r="O494" s="51" t="n">
        <f aca="false">IF(N494=1,YEAR(B494),0)</f>
        <v>0</v>
      </c>
      <c r="P494" s="51" t="n">
        <f aca="false">IF(N494=1,YEAR(B494)*100+MONTH(B494),0)</f>
        <v>0</v>
      </c>
      <c r="Q494" s="51" t="n">
        <f aca="false">IF(N494=1,IF(J494="No",1,0),0)</f>
        <v>0</v>
      </c>
    </row>
    <row r="495" customFormat="false" ht="15" hidden="false" customHeight="false" outlineLevel="0" collapsed="false">
      <c r="B495" s="52"/>
      <c r="C495" s="53"/>
      <c r="D495" s="53"/>
      <c r="E495" s="53"/>
      <c r="F495" s="53"/>
      <c r="G495" s="54"/>
      <c r="H495" s="55"/>
      <c r="I495" s="56" t="str">
        <f aca="false">IF(G495="","",G495*IF(H495="",1,H495))</f>
        <v/>
      </c>
      <c r="J495" s="57"/>
      <c r="K495" s="53"/>
      <c r="L495" s="58" t="str">
        <f aca="false">IF(G495="","",IF(ISNUMBER(B495),IF(E495="","⚠ ADD CATEGORY / AGREGA CATEGORÍA",IF(J495="No","⚠ SAVE RECEIPT / GUARDA RECIBO","✔ OK")),"⚠ ADD DATE / AGREGA FECHA"))</f>
        <v/>
      </c>
      <c r="N495" s="51" t="n">
        <f aca="false">IF(G495="",0,IF(ISNUMBER(B495),1,0))</f>
        <v>0</v>
      </c>
      <c r="O495" s="51" t="n">
        <f aca="false">IF(N495=1,YEAR(B495),0)</f>
        <v>0</v>
      </c>
      <c r="P495" s="51" t="n">
        <f aca="false">IF(N495=1,YEAR(B495)*100+MONTH(B495),0)</f>
        <v>0</v>
      </c>
      <c r="Q495" s="51" t="n">
        <f aca="false">IF(N495=1,IF(J495="No",1,0),0)</f>
        <v>0</v>
      </c>
    </row>
    <row r="496" customFormat="false" ht="15" hidden="false" customHeight="false" outlineLevel="0" collapsed="false">
      <c r="B496" s="52"/>
      <c r="C496" s="53"/>
      <c r="D496" s="53"/>
      <c r="E496" s="53"/>
      <c r="F496" s="53"/>
      <c r="G496" s="54"/>
      <c r="H496" s="55"/>
      <c r="I496" s="56" t="str">
        <f aca="false">IF(G496="","",G496*IF(H496="",1,H496))</f>
        <v/>
      </c>
      <c r="J496" s="57"/>
      <c r="K496" s="53"/>
      <c r="L496" s="58" t="str">
        <f aca="false">IF(G496="","",IF(ISNUMBER(B496),IF(E496="","⚠ ADD CATEGORY / AGREGA CATEGORÍA",IF(J496="No","⚠ SAVE RECEIPT / GUARDA RECIBO","✔ OK")),"⚠ ADD DATE / AGREGA FECHA"))</f>
        <v/>
      </c>
      <c r="N496" s="51" t="n">
        <f aca="false">IF(G496="",0,IF(ISNUMBER(B496),1,0))</f>
        <v>0</v>
      </c>
      <c r="O496" s="51" t="n">
        <f aca="false">IF(N496=1,YEAR(B496),0)</f>
        <v>0</v>
      </c>
      <c r="P496" s="51" t="n">
        <f aca="false">IF(N496=1,YEAR(B496)*100+MONTH(B496),0)</f>
        <v>0</v>
      </c>
      <c r="Q496" s="51" t="n">
        <f aca="false">IF(N496=1,IF(J496="No",1,0),0)</f>
        <v>0</v>
      </c>
    </row>
    <row r="497" customFormat="false" ht="15" hidden="false" customHeight="false" outlineLevel="0" collapsed="false">
      <c r="B497" s="52"/>
      <c r="C497" s="53"/>
      <c r="D497" s="53"/>
      <c r="E497" s="53"/>
      <c r="F497" s="53"/>
      <c r="G497" s="54"/>
      <c r="H497" s="55"/>
      <c r="I497" s="56" t="str">
        <f aca="false">IF(G497="","",G497*IF(H497="",1,H497))</f>
        <v/>
      </c>
      <c r="J497" s="57"/>
      <c r="K497" s="53"/>
      <c r="L497" s="58" t="str">
        <f aca="false">IF(G497="","",IF(ISNUMBER(B497),IF(E497="","⚠ ADD CATEGORY / AGREGA CATEGORÍA",IF(J497="No","⚠ SAVE RECEIPT / GUARDA RECIBO","✔ OK")),"⚠ ADD DATE / AGREGA FECHA"))</f>
        <v/>
      </c>
      <c r="N497" s="51" t="n">
        <f aca="false">IF(G497="",0,IF(ISNUMBER(B497),1,0))</f>
        <v>0</v>
      </c>
      <c r="O497" s="51" t="n">
        <f aca="false">IF(N497=1,YEAR(B497),0)</f>
        <v>0</v>
      </c>
      <c r="P497" s="51" t="n">
        <f aca="false">IF(N497=1,YEAR(B497)*100+MONTH(B497),0)</f>
        <v>0</v>
      </c>
      <c r="Q497" s="51" t="n">
        <f aca="false">IF(N497=1,IF(J497="No",1,0),0)</f>
        <v>0</v>
      </c>
    </row>
    <row r="498" customFormat="false" ht="15" hidden="false" customHeight="false" outlineLevel="0" collapsed="false">
      <c r="B498" s="52"/>
      <c r="C498" s="53"/>
      <c r="D498" s="53"/>
      <c r="E498" s="53"/>
      <c r="F498" s="53"/>
      <c r="G498" s="54"/>
      <c r="H498" s="55"/>
      <c r="I498" s="56" t="str">
        <f aca="false">IF(G498="","",G498*IF(H498="",1,H498))</f>
        <v/>
      </c>
      <c r="J498" s="57"/>
      <c r="K498" s="53"/>
      <c r="L498" s="58" t="str">
        <f aca="false">IF(G498="","",IF(ISNUMBER(B498),IF(E498="","⚠ ADD CATEGORY / AGREGA CATEGORÍA",IF(J498="No","⚠ SAVE RECEIPT / GUARDA RECIBO","✔ OK")),"⚠ ADD DATE / AGREGA FECHA"))</f>
        <v/>
      </c>
      <c r="N498" s="51" t="n">
        <f aca="false">IF(G498="",0,IF(ISNUMBER(B498),1,0))</f>
        <v>0</v>
      </c>
      <c r="O498" s="51" t="n">
        <f aca="false">IF(N498=1,YEAR(B498),0)</f>
        <v>0</v>
      </c>
      <c r="P498" s="51" t="n">
        <f aca="false">IF(N498=1,YEAR(B498)*100+MONTH(B498),0)</f>
        <v>0</v>
      </c>
      <c r="Q498" s="51" t="n">
        <f aca="false">IF(N498=1,IF(J498="No",1,0),0)</f>
        <v>0</v>
      </c>
    </row>
    <row r="499" customFormat="false" ht="15" hidden="false" customHeight="false" outlineLevel="0" collapsed="false">
      <c r="B499" s="52"/>
      <c r="C499" s="53"/>
      <c r="D499" s="53"/>
      <c r="E499" s="53"/>
      <c r="F499" s="53"/>
      <c r="G499" s="54"/>
      <c r="H499" s="55"/>
      <c r="I499" s="56" t="str">
        <f aca="false">IF(G499="","",G499*IF(H499="",1,H499))</f>
        <v/>
      </c>
      <c r="J499" s="57"/>
      <c r="K499" s="53"/>
      <c r="L499" s="58" t="str">
        <f aca="false">IF(G499="","",IF(ISNUMBER(B499),IF(E499="","⚠ ADD CATEGORY / AGREGA CATEGORÍA",IF(J499="No","⚠ SAVE RECEIPT / GUARDA RECIBO","✔ OK")),"⚠ ADD DATE / AGREGA FECHA"))</f>
        <v/>
      </c>
      <c r="N499" s="51" t="n">
        <f aca="false">IF(G499="",0,IF(ISNUMBER(B499),1,0))</f>
        <v>0</v>
      </c>
      <c r="O499" s="51" t="n">
        <f aca="false">IF(N499=1,YEAR(B499),0)</f>
        <v>0</v>
      </c>
      <c r="P499" s="51" t="n">
        <f aca="false">IF(N499=1,YEAR(B499)*100+MONTH(B499),0)</f>
        <v>0</v>
      </c>
      <c r="Q499" s="51" t="n">
        <f aca="false">IF(N499=1,IF(J499="No",1,0),0)</f>
        <v>0</v>
      </c>
    </row>
    <row r="500" customFormat="false" ht="15" hidden="false" customHeight="false" outlineLevel="0" collapsed="false">
      <c r="B500" s="52"/>
      <c r="C500" s="53"/>
      <c r="D500" s="53"/>
      <c r="E500" s="53"/>
      <c r="F500" s="53"/>
      <c r="G500" s="54"/>
      <c r="H500" s="55"/>
      <c r="I500" s="56" t="str">
        <f aca="false">IF(G500="","",G500*IF(H500="",1,H500))</f>
        <v/>
      </c>
      <c r="J500" s="57"/>
      <c r="K500" s="53"/>
      <c r="L500" s="58" t="str">
        <f aca="false">IF(G500="","",IF(ISNUMBER(B500),IF(E500="","⚠ ADD CATEGORY / AGREGA CATEGORÍA",IF(J500="No","⚠ SAVE RECEIPT / GUARDA RECIBO","✔ OK")),"⚠ ADD DATE / AGREGA FECHA"))</f>
        <v/>
      </c>
      <c r="N500" s="51" t="n">
        <f aca="false">IF(G500="",0,IF(ISNUMBER(B500),1,0))</f>
        <v>0</v>
      </c>
      <c r="O500" s="51" t="n">
        <f aca="false">IF(N500=1,YEAR(B500),0)</f>
        <v>0</v>
      </c>
      <c r="P500" s="51" t="n">
        <f aca="false">IF(N500=1,YEAR(B500)*100+MONTH(B500),0)</f>
        <v>0</v>
      </c>
      <c r="Q500" s="51" t="n">
        <f aca="false">IF(N500=1,IF(J500="No",1,0),0)</f>
        <v>0</v>
      </c>
    </row>
    <row r="501" customFormat="false" ht="15" hidden="false" customHeight="false" outlineLevel="0" collapsed="false">
      <c r="B501" s="52"/>
      <c r="C501" s="53"/>
      <c r="D501" s="53"/>
      <c r="E501" s="53"/>
      <c r="F501" s="53"/>
      <c r="G501" s="54"/>
      <c r="H501" s="55"/>
      <c r="I501" s="56" t="str">
        <f aca="false">IF(G501="","",G501*IF(H501="",1,H501))</f>
        <v/>
      </c>
      <c r="J501" s="57"/>
      <c r="K501" s="53"/>
      <c r="L501" s="58" t="str">
        <f aca="false">IF(G501="","",IF(ISNUMBER(B501),IF(E501="","⚠ ADD CATEGORY / AGREGA CATEGORÍA",IF(J501="No","⚠ SAVE RECEIPT / GUARDA RECIBO","✔ OK")),"⚠ ADD DATE / AGREGA FECHA"))</f>
        <v/>
      </c>
      <c r="N501" s="51" t="n">
        <f aca="false">IF(G501="",0,IF(ISNUMBER(B501),1,0))</f>
        <v>0</v>
      </c>
      <c r="O501" s="51" t="n">
        <f aca="false">IF(N501=1,YEAR(B501),0)</f>
        <v>0</v>
      </c>
      <c r="P501" s="51" t="n">
        <f aca="false">IF(N501=1,YEAR(B501)*100+MONTH(B501),0)</f>
        <v>0</v>
      </c>
      <c r="Q501" s="51" t="n">
        <f aca="false">IF(N501=1,IF(J501="No",1,0),0)</f>
        <v>0</v>
      </c>
    </row>
    <row r="502" customFormat="false" ht="15" hidden="false" customHeight="false" outlineLevel="0" collapsed="false">
      <c r="B502" s="52"/>
      <c r="C502" s="53"/>
      <c r="D502" s="53"/>
      <c r="E502" s="53"/>
      <c r="F502" s="53"/>
      <c r="G502" s="54"/>
      <c r="H502" s="55"/>
      <c r="I502" s="56" t="str">
        <f aca="false">IF(G502="","",G502*IF(H502="",1,H502))</f>
        <v/>
      </c>
      <c r="J502" s="57"/>
      <c r="K502" s="53"/>
      <c r="L502" s="58" t="str">
        <f aca="false">IF(G502="","",IF(ISNUMBER(B502),IF(E502="","⚠ ADD CATEGORY / AGREGA CATEGORÍA",IF(J502="No","⚠ SAVE RECEIPT / GUARDA RECIBO","✔ OK")),"⚠ ADD DATE / AGREGA FECHA"))</f>
        <v/>
      </c>
      <c r="N502" s="51" t="n">
        <f aca="false">IF(G502="",0,IF(ISNUMBER(B502),1,0))</f>
        <v>0</v>
      </c>
      <c r="O502" s="51" t="n">
        <f aca="false">IF(N502=1,YEAR(B502),0)</f>
        <v>0</v>
      </c>
      <c r="P502" s="51" t="n">
        <f aca="false">IF(N502=1,YEAR(B502)*100+MONTH(B502),0)</f>
        <v>0</v>
      </c>
      <c r="Q502" s="51" t="n">
        <f aca="false">IF(N502=1,IF(J502="No",1,0),0)</f>
        <v>0</v>
      </c>
    </row>
    <row r="503" customFormat="false" ht="15" hidden="false" customHeight="false" outlineLevel="0" collapsed="false">
      <c r="B503" s="52"/>
      <c r="C503" s="53"/>
      <c r="D503" s="53"/>
      <c r="E503" s="53"/>
      <c r="F503" s="53"/>
      <c r="G503" s="54"/>
      <c r="H503" s="55"/>
      <c r="I503" s="56" t="str">
        <f aca="false">IF(G503="","",G503*IF(H503="",1,H503))</f>
        <v/>
      </c>
      <c r="J503" s="57"/>
      <c r="K503" s="53"/>
      <c r="L503" s="58" t="str">
        <f aca="false">IF(G503="","",IF(ISNUMBER(B503),IF(E503="","⚠ ADD CATEGORY / AGREGA CATEGORÍA",IF(J503="No","⚠ SAVE RECEIPT / GUARDA RECIBO","✔ OK")),"⚠ ADD DATE / AGREGA FECHA"))</f>
        <v/>
      </c>
      <c r="N503" s="51" t="n">
        <f aca="false">IF(G503="",0,IF(ISNUMBER(B503),1,0))</f>
        <v>0</v>
      </c>
      <c r="O503" s="51" t="n">
        <f aca="false">IF(N503=1,YEAR(B503),0)</f>
        <v>0</v>
      </c>
      <c r="P503" s="51" t="n">
        <f aca="false">IF(N503=1,YEAR(B503)*100+MONTH(B503),0)</f>
        <v>0</v>
      </c>
      <c r="Q503" s="51" t="n">
        <f aca="false">IF(N503=1,IF(J503="No",1,0),0)</f>
        <v>0</v>
      </c>
    </row>
    <row r="504" customFormat="false" ht="15" hidden="false" customHeight="false" outlineLevel="0" collapsed="false">
      <c r="B504" s="52"/>
      <c r="C504" s="53"/>
      <c r="D504" s="53"/>
      <c r="E504" s="53"/>
      <c r="F504" s="53"/>
      <c r="G504" s="54"/>
      <c r="H504" s="55"/>
      <c r="I504" s="56" t="str">
        <f aca="false">IF(G504="","",G504*IF(H504="",1,H504))</f>
        <v/>
      </c>
      <c r="J504" s="57"/>
      <c r="K504" s="53"/>
      <c r="L504" s="58" t="str">
        <f aca="false">IF(G504="","",IF(ISNUMBER(B504),IF(E504="","⚠ ADD CATEGORY / AGREGA CATEGORÍA",IF(J504="No","⚠ SAVE RECEIPT / GUARDA RECIBO","✔ OK")),"⚠ ADD DATE / AGREGA FECHA"))</f>
        <v/>
      </c>
      <c r="N504" s="51" t="n">
        <f aca="false">IF(G504="",0,IF(ISNUMBER(B504),1,0))</f>
        <v>0</v>
      </c>
      <c r="O504" s="51" t="n">
        <f aca="false">IF(N504=1,YEAR(B504),0)</f>
        <v>0</v>
      </c>
      <c r="P504" s="51" t="n">
        <f aca="false">IF(N504=1,YEAR(B504)*100+MONTH(B504),0)</f>
        <v>0</v>
      </c>
      <c r="Q504" s="51" t="n">
        <f aca="false">IF(N504=1,IF(J504="No",1,0),0)</f>
        <v>0</v>
      </c>
    </row>
    <row r="505" customFormat="false" ht="15" hidden="false" customHeight="false" outlineLevel="0" collapsed="false">
      <c r="B505" s="52"/>
      <c r="C505" s="53"/>
      <c r="D505" s="53"/>
      <c r="E505" s="53"/>
      <c r="F505" s="53"/>
      <c r="G505" s="54"/>
      <c r="H505" s="55"/>
      <c r="I505" s="56" t="str">
        <f aca="false">IF(G505="","",G505*IF(H505="",1,H505))</f>
        <v/>
      </c>
      <c r="J505" s="57"/>
      <c r="K505" s="53"/>
      <c r="L505" s="58" t="str">
        <f aca="false">IF(G505="","",IF(ISNUMBER(B505),IF(E505="","⚠ ADD CATEGORY / AGREGA CATEGORÍA",IF(J505="No","⚠ SAVE RECEIPT / GUARDA RECIBO","✔ OK")),"⚠ ADD DATE / AGREGA FECHA"))</f>
        <v/>
      </c>
      <c r="N505" s="51" t="n">
        <f aca="false">IF(G505="",0,IF(ISNUMBER(B505),1,0))</f>
        <v>0</v>
      </c>
      <c r="O505" s="51" t="n">
        <f aca="false">IF(N505=1,YEAR(B505),0)</f>
        <v>0</v>
      </c>
      <c r="P505" s="51" t="n">
        <f aca="false">IF(N505=1,YEAR(B505)*100+MONTH(B505),0)</f>
        <v>0</v>
      </c>
      <c r="Q505" s="51" t="n">
        <f aca="false">IF(N505=1,IF(J505="No",1,0),0)</f>
        <v>0</v>
      </c>
    </row>
  </sheetData>
  <autoFilter ref="B5:L505"/>
  <mergeCells count="3">
    <mergeCell ref="B1:L1"/>
    <mergeCell ref="B2:L2"/>
    <mergeCell ref="B3:L3"/>
  </mergeCells>
  <conditionalFormatting sqref="L6:L505">
    <cfRule type="containsText" priority="2" operator="containsText" aboveAverage="0" equalAverage="0" bottom="0" percent="0" rank="0" text="ADD" dxfId="10">
      <formula>NOT(ISERROR(SEARCH("ADD",L6)))</formula>
    </cfRule>
    <cfRule type="containsText" priority="3" operator="containsText" aboveAverage="0" equalAverage="0" bottom="0" percent="0" rank="0" text="SAVE" dxfId="11">
      <formula>NOT(ISERROR(SEARCH("SAVE",L6)))</formula>
    </cfRule>
    <cfRule type="containsText" priority="4" operator="containsText" aboveAverage="0" equalAverage="0" bottom="0" percent="0" rank="0" text="OK" dxfId="12">
      <formula>NOT(ISERROR(SEARCH("OK",L6)))</formula>
    </cfRule>
  </conditionalFormatting>
  <dataValidations count="6">
    <dataValidation allowBlank="true" error="Choose an option from the list.&#10;Elige una opción de la lista." errorStyle="stop" errorTitle="Category / Categoría" operator="between" showDropDown="false" showErrorMessage="false" showInputMessage="false" sqref="E6:E505" type="list">
      <formula1>Settings!$F$8:$F$21</formula1>
      <formula2>0</formula2>
    </dataValidation>
    <dataValidation allowBlank="true" error="Choose an option from the list.&#10;Elige una opción de la lista." errorStyle="stop" errorTitle="Payment / Pago" operator="between" showDropDown="false" showErrorMessage="false" showInputMessage="false" sqref="F6:F505" type="list">
      <formula1>"Card / Tarjeta,Cash / Efectivo,PayPal,Bank / Banco,Other / Otro"</formula1>
      <formula2>0</formula2>
    </dataValidation>
    <dataValidation allowBlank="true" error="Choose an option from the list.&#10;Elige una opción de la lista." errorStyle="stop" errorTitle="Receipt / Recibo" operator="between" showDropDown="false" showErrorMessage="false" showInputMessage="false" sqref="J6:J505" type="list">
      <formula1>"Yes / Sí,No"</formula1>
      <formula2>0</formula2>
    </dataValidation>
    <dataValidation allowBlank="true" error="Enter a valid date (e.g. 2026-03-15).&#10;Escribe una fecha válida (ej. 2026-03-15)." errorStyle="stop" errorTitle="Date / Fecha" operator="greaterThan" showDropDown="false" showErrorMessage="false" showInputMessage="false" sqref="B6:B505" type="date">
      <formula1>36526</formula1>
      <formula2>0</formula2>
    </dataValidation>
    <dataValidation allowBlank="true" error="Enter a number ≥ 0.&#10;Escribe un número ≥ 0." errorStyle="stop" errorTitle="Number / Número" operator="greaterThanOrEqual" showDropDown="false" showErrorMessage="false" showInputMessage="false" sqref="G6:G505" type="decimal">
      <formula1>0</formula1>
      <formula2>0</formula2>
    </dataValidation>
    <dataValidation allowBlank="true" error="Enter a percent between 0% and 100%.&#10;Escribe un porcentaje entre 0% y 100%." errorStyle="stop" errorTitle="Business % / % Negocio" operator="between" showDropDown="false" showErrorMessage="false" showInputMessage="false" sqref="H6:H505"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true"/>
  </sheetPr>
  <dimension ref="A1:R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3"/>
    <col collapsed="false" customWidth="true" hidden="false" outlineLevel="0" max="4" min="3" style="0" width="18"/>
    <col collapsed="false" customWidth="true" hidden="false" outlineLevel="0" max="5" min="5" style="0" width="20"/>
    <col collapsed="false" customWidth="true" hidden="false" outlineLevel="0" max="7" min="6" style="0" width="14"/>
    <col collapsed="false" customWidth="true" hidden="false" outlineLevel="0" max="8" min="8" style="0" width="15"/>
    <col collapsed="false" customWidth="true" hidden="false" outlineLevel="0" max="11" min="9" style="0" width="12"/>
    <col collapsed="false" customWidth="true" hidden="false" outlineLevel="0" max="12" min="12" style="0" width="13"/>
    <col collapsed="false" customWidth="true" hidden="false" outlineLevel="0" max="13" min="13" style="0" width="30"/>
    <col collapsed="false" customWidth="true" hidden="false" outlineLevel="0" max="14" min="14" style="0" width="22"/>
    <col collapsed="false" customWidth="true" hidden="true" outlineLevel="0" max="18" min="16" style="0" width="13"/>
  </cols>
  <sheetData>
    <row r="1" customFormat="false" ht="18" hidden="false" customHeight="true" outlineLevel="0" collapsed="false">
      <c r="A1" s="1"/>
      <c r="B1" s="14" t="s">
        <v>1</v>
      </c>
      <c r="C1" s="14"/>
      <c r="D1" s="14"/>
      <c r="E1" s="14"/>
      <c r="F1" s="14"/>
      <c r="G1" s="14"/>
      <c r="H1" s="14"/>
      <c r="I1" s="14"/>
      <c r="J1" s="14"/>
      <c r="K1" s="14"/>
      <c r="L1" s="14"/>
      <c r="M1" s="14"/>
      <c r="N1" s="14"/>
    </row>
    <row r="2" customFormat="false" ht="30" hidden="false" customHeight="true" outlineLevel="0" collapsed="false">
      <c r="A2" s="1"/>
      <c r="B2" s="15" t="s">
        <v>131</v>
      </c>
      <c r="C2" s="15"/>
      <c r="D2" s="15"/>
      <c r="E2" s="15"/>
      <c r="F2" s="15"/>
      <c r="G2" s="15"/>
      <c r="H2" s="15"/>
      <c r="I2" s="15"/>
      <c r="J2" s="15"/>
      <c r="K2" s="15"/>
      <c r="L2" s="15"/>
      <c r="M2" s="15"/>
      <c r="N2" s="15"/>
    </row>
    <row r="3" customFormat="false" ht="19.5" hidden="false" customHeight="true" outlineLevel="0" collapsed="false">
      <c r="A3" s="1"/>
      <c r="B3" s="16" t="s">
        <v>132</v>
      </c>
      <c r="C3" s="16"/>
      <c r="D3" s="16"/>
      <c r="E3" s="16"/>
      <c r="F3" s="16"/>
      <c r="G3" s="16"/>
      <c r="H3" s="16"/>
      <c r="I3" s="16"/>
      <c r="J3" s="16"/>
      <c r="K3" s="16"/>
      <c r="L3" s="16"/>
      <c r="M3" s="16"/>
      <c r="N3" s="16"/>
    </row>
    <row r="4" customFormat="false" ht="3.75" hidden="false" customHeight="true" outlineLevel="0" collapsed="false">
      <c r="A4" s="7"/>
      <c r="B4" s="7"/>
      <c r="C4" s="7"/>
      <c r="D4" s="7"/>
      <c r="E4" s="7"/>
      <c r="F4" s="7"/>
      <c r="G4" s="7"/>
      <c r="H4" s="7"/>
      <c r="I4" s="7"/>
      <c r="J4" s="7"/>
      <c r="K4" s="7"/>
      <c r="L4" s="7"/>
      <c r="M4" s="7"/>
      <c r="N4" s="7"/>
    </row>
    <row r="5" customFormat="false" ht="48" hidden="false" customHeight="true" outlineLevel="0" collapsed="false">
      <c r="B5" s="32" t="s">
        <v>61</v>
      </c>
      <c r="C5" s="32" t="s">
        <v>133</v>
      </c>
      <c r="D5" s="32" t="s">
        <v>134</v>
      </c>
      <c r="E5" s="32" t="s">
        <v>135</v>
      </c>
      <c r="F5" s="32" t="s">
        <v>136</v>
      </c>
      <c r="G5" s="32" t="s">
        <v>137</v>
      </c>
      <c r="H5" s="32" t="s">
        <v>138</v>
      </c>
      <c r="I5" s="32" t="s">
        <v>139</v>
      </c>
      <c r="J5" s="32" t="s">
        <v>140</v>
      </c>
      <c r="K5" s="32" t="s">
        <v>141</v>
      </c>
      <c r="L5" s="32" t="s">
        <v>142</v>
      </c>
      <c r="M5" s="32" t="s">
        <v>70</v>
      </c>
      <c r="N5" s="32" t="s">
        <v>69</v>
      </c>
      <c r="P5" s="51" t="s">
        <v>71</v>
      </c>
      <c r="Q5" s="51" t="s">
        <v>72</v>
      </c>
      <c r="R5" s="51" t="s">
        <v>73</v>
      </c>
    </row>
    <row r="6" customFormat="false" ht="15" hidden="false" customHeight="false" outlineLevel="0" collapsed="false">
      <c r="B6" s="52" t="n">
        <v>46032</v>
      </c>
      <c r="C6" s="53" t="s">
        <v>143</v>
      </c>
      <c r="D6" s="53" t="s">
        <v>144</v>
      </c>
      <c r="E6" s="53" t="s">
        <v>145</v>
      </c>
      <c r="F6" s="59"/>
      <c r="G6" s="59"/>
      <c r="H6" s="59" t="n">
        <v>6.2</v>
      </c>
      <c r="I6" s="57" t="s">
        <v>79</v>
      </c>
      <c r="J6" s="60" t="n">
        <f aca="false">IF(AND(ISNUMBER(F6),ISNUMBER(G6)),MAX(0,G6-F6),IF(ISNUMBER(H6),H6*IF(I6="Yes / Sí",2,1),""))</f>
        <v>12.4</v>
      </c>
      <c r="K6" s="61" t="n">
        <f aca="false">IF(OR(J6="",NOT(ISNUMBER(B6))),"",IF(COUNTIF(Settings!$B$8:$B$17,"&lt;="&amp;B6)=0,Settings!$C$8,INDEX(Settings!$C$8:$C$17,COUNTIF(Settings!$B$8:$B$17,"&lt;="&amp;B6))))</f>
        <v>0.725</v>
      </c>
      <c r="L6" s="56" t="n">
        <f aca="false">IF(K6="","",ROUND(J6*K6,2))</f>
        <v>8.99</v>
      </c>
      <c r="M6" s="58" t="str">
        <f aca="false">IF(AND(B6="",F6="",G6="",H6=""),"",IF(NOT(ISNUMBER(B6)),"⚠ ADD DATE / AGREGA FECHA",IF(J6="","⚠ ADD MILES / AGREGA MILLAS",IF(AND(ISNUMBER(F6),ISNUMBER(G6)),IF(G6&lt;F6,"⚠ CHECK ODOMETER / REVISA ODÓMETRO","✔ OK"),"✔ OK"))))</f>
        <v>✔ OK</v>
      </c>
      <c r="N6" s="53"/>
      <c r="P6" s="51" t="n">
        <f aca="false">IF(ISNUMBER(L6),1,0)</f>
        <v>1</v>
      </c>
      <c r="Q6" s="51" t="n">
        <f aca="false">IF(P6=1,YEAR(B6),0)</f>
        <v>2026</v>
      </c>
      <c r="R6" s="51" t="n">
        <f aca="false">IF(P6=1,YEAR(B6)*100+MONTH(B6),0)</f>
        <v>202601</v>
      </c>
    </row>
    <row r="7" customFormat="false" ht="15" hidden="false" customHeight="false" outlineLevel="0" collapsed="false">
      <c r="B7" s="52" t="n">
        <v>46046</v>
      </c>
      <c r="C7" s="53" t="s">
        <v>143</v>
      </c>
      <c r="D7" s="53" t="s">
        <v>146</v>
      </c>
      <c r="E7" s="53" t="s">
        <v>145</v>
      </c>
      <c r="F7" s="59" t="n">
        <v>48210</v>
      </c>
      <c r="G7" s="59" t="n">
        <v>48236</v>
      </c>
      <c r="H7" s="59"/>
      <c r="I7" s="57"/>
      <c r="J7" s="60" t="n">
        <f aca="false">IF(AND(ISNUMBER(F7),ISNUMBER(G7)),MAX(0,G7-F7),IF(ISNUMBER(H7),H7*IF(I7="Yes / Sí",2,1),""))</f>
        <v>26</v>
      </c>
      <c r="K7" s="61" t="n">
        <f aca="false">IF(OR(J7="",NOT(ISNUMBER(B7))),"",IF(COUNTIF(Settings!$B$8:$B$17,"&lt;="&amp;B7)=0,Settings!$C$8,INDEX(Settings!$C$8:$C$17,COUNTIF(Settings!$B$8:$B$17,"&lt;="&amp;B7))))</f>
        <v>0.725</v>
      </c>
      <c r="L7" s="56" t="n">
        <f aca="false">IF(K7="","",ROUND(J7*K7,2))</f>
        <v>18.85</v>
      </c>
      <c r="M7" s="58" t="str">
        <f aca="false">IF(AND(B7="",F7="",G7="",H7=""),"",IF(NOT(ISNUMBER(B7)),"⚠ ADD DATE / AGREGA FECHA",IF(J7="","⚠ ADD MILES / AGREGA MILLAS",IF(AND(ISNUMBER(F7),ISNUMBER(G7)),IF(G7&lt;F7,"⚠ CHECK ODOMETER / REVISA ODÓMETRO","✔ OK"),"✔ OK"))))</f>
        <v>✔ OK</v>
      </c>
      <c r="N7" s="53"/>
      <c r="P7" s="51" t="n">
        <f aca="false">IF(ISNUMBER(L7),1,0)</f>
        <v>1</v>
      </c>
      <c r="Q7" s="51" t="n">
        <f aca="false">IF(P7=1,YEAR(B7),0)</f>
        <v>2026</v>
      </c>
      <c r="R7" s="51" t="n">
        <f aca="false">IF(P7=1,YEAR(B7)*100+MONTH(B7),0)</f>
        <v>202601</v>
      </c>
    </row>
    <row r="8" customFormat="false" ht="15" hidden="false" customHeight="false" outlineLevel="0" collapsed="false">
      <c r="B8" s="52" t="n">
        <v>46060</v>
      </c>
      <c r="C8" s="53" t="s">
        <v>143</v>
      </c>
      <c r="D8" s="53" t="s">
        <v>147</v>
      </c>
      <c r="E8" s="53" t="s">
        <v>148</v>
      </c>
      <c r="F8" s="59"/>
      <c r="G8" s="59"/>
      <c r="H8" s="59" t="n">
        <v>2.5</v>
      </c>
      <c r="I8" s="57" t="s">
        <v>79</v>
      </c>
      <c r="J8" s="60" t="n">
        <f aca="false">IF(AND(ISNUMBER(F8),ISNUMBER(G8)),MAX(0,G8-F8),IF(ISNUMBER(H8),H8*IF(I8="Yes / Sí",2,1),""))</f>
        <v>5</v>
      </c>
      <c r="K8" s="61" t="n">
        <f aca="false">IF(OR(J8="",NOT(ISNUMBER(B8))),"",IF(COUNTIF(Settings!$B$8:$B$17,"&lt;="&amp;B8)=0,Settings!$C$8,INDEX(Settings!$C$8:$C$17,COUNTIF(Settings!$B$8:$B$17,"&lt;="&amp;B8))))</f>
        <v>0.725</v>
      </c>
      <c r="L8" s="56" t="n">
        <f aca="false">IF(K8="","",ROUND(J8*K8,2))</f>
        <v>3.63</v>
      </c>
      <c r="M8" s="58" t="str">
        <f aca="false">IF(AND(B8="",F8="",G8="",H8=""),"",IF(NOT(ISNUMBER(B8)),"⚠ ADD DATE / AGREGA FECHA",IF(J8="","⚠ ADD MILES / AGREGA MILLAS",IF(AND(ISNUMBER(F8),ISNUMBER(G8)),IF(G8&lt;F8,"⚠ CHECK ODOMETER / REVISA ODÓMETRO","✔ OK"),"✔ OK"))))</f>
        <v>✔ OK</v>
      </c>
      <c r="N8" s="53"/>
      <c r="P8" s="51" t="n">
        <f aca="false">IF(ISNUMBER(L8),1,0)</f>
        <v>1</v>
      </c>
      <c r="Q8" s="51" t="n">
        <f aca="false">IF(P8=1,YEAR(B8),0)</f>
        <v>2026</v>
      </c>
      <c r="R8" s="51" t="n">
        <f aca="false">IF(P8=1,YEAR(B8)*100+MONTH(B8),0)</f>
        <v>202602</v>
      </c>
    </row>
    <row r="9" customFormat="false" ht="15" hidden="false" customHeight="false" outlineLevel="0" collapsed="false">
      <c r="B9" s="52" t="n">
        <v>46074</v>
      </c>
      <c r="C9" s="53" t="s">
        <v>143</v>
      </c>
      <c r="D9" s="53" t="s">
        <v>149</v>
      </c>
      <c r="E9" s="53" t="s">
        <v>145</v>
      </c>
      <c r="F9" s="59"/>
      <c r="G9" s="59"/>
      <c r="H9" s="59" t="n">
        <v>14</v>
      </c>
      <c r="I9" s="57" t="s">
        <v>79</v>
      </c>
      <c r="J9" s="60" t="n">
        <f aca="false">IF(AND(ISNUMBER(F9),ISNUMBER(G9)),MAX(0,G9-F9),IF(ISNUMBER(H9),H9*IF(I9="Yes / Sí",2,1),""))</f>
        <v>28</v>
      </c>
      <c r="K9" s="61" t="n">
        <f aca="false">IF(OR(J9="",NOT(ISNUMBER(B9))),"",IF(COUNTIF(Settings!$B$8:$B$17,"&lt;="&amp;B9)=0,Settings!$C$8,INDEX(Settings!$C$8:$C$17,COUNTIF(Settings!$B$8:$B$17,"&lt;="&amp;B9))))</f>
        <v>0.725</v>
      </c>
      <c r="L9" s="56" t="n">
        <f aca="false">IF(K9="","",ROUND(J9*K9,2))</f>
        <v>20.3</v>
      </c>
      <c r="M9" s="58" t="str">
        <f aca="false">IF(AND(B9="",F9="",G9="",H9=""),"",IF(NOT(ISNUMBER(B9)),"⚠ ADD DATE / AGREGA FECHA",IF(J9="","⚠ ADD MILES / AGREGA MILLAS",IF(AND(ISNUMBER(F9),ISNUMBER(G9)),IF(G9&lt;F9,"⚠ CHECK ODOMETER / REVISA ODÓMETRO","✔ OK"),"✔ OK"))))</f>
        <v>✔ OK</v>
      </c>
      <c r="N9" s="53"/>
      <c r="P9" s="51" t="n">
        <f aca="false">IF(ISNUMBER(L9),1,0)</f>
        <v>1</v>
      </c>
      <c r="Q9" s="51" t="n">
        <f aca="false">IF(P9=1,YEAR(B9),0)</f>
        <v>2026</v>
      </c>
      <c r="R9" s="51" t="n">
        <f aca="false">IF(P9=1,YEAR(B9)*100+MONTH(B9),0)</f>
        <v>202602</v>
      </c>
    </row>
    <row r="10" customFormat="false" ht="15" hidden="false" customHeight="false" outlineLevel="0" collapsed="false">
      <c r="B10" s="52" t="n">
        <v>46095</v>
      </c>
      <c r="C10" s="53" t="s">
        <v>143</v>
      </c>
      <c r="D10" s="53" t="s">
        <v>150</v>
      </c>
      <c r="E10" s="53" t="s">
        <v>145</v>
      </c>
      <c r="F10" s="59" t="n">
        <v>48702</v>
      </c>
      <c r="G10" s="59" t="n">
        <v>48741</v>
      </c>
      <c r="H10" s="59"/>
      <c r="I10" s="57"/>
      <c r="J10" s="60" t="n">
        <f aca="false">IF(AND(ISNUMBER(F10),ISNUMBER(G10)),MAX(0,G10-F10),IF(ISNUMBER(H10),H10*IF(I10="Yes / Sí",2,1),""))</f>
        <v>39</v>
      </c>
      <c r="K10" s="61" t="n">
        <f aca="false">IF(OR(J10="",NOT(ISNUMBER(B10))),"",IF(COUNTIF(Settings!$B$8:$B$17,"&lt;="&amp;B10)=0,Settings!$C$8,INDEX(Settings!$C$8:$C$17,COUNTIF(Settings!$B$8:$B$17,"&lt;="&amp;B10))))</f>
        <v>0.725</v>
      </c>
      <c r="L10" s="56" t="n">
        <f aca="false">IF(K10="","",ROUND(J10*K10,2))</f>
        <v>28.28</v>
      </c>
      <c r="M10" s="58" t="str">
        <f aca="false">IF(AND(B10="",F10="",G10="",H10=""),"",IF(NOT(ISNUMBER(B10)),"⚠ ADD DATE / AGREGA FECHA",IF(J10="","⚠ ADD MILES / AGREGA MILLAS",IF(AND(ISNUMBER(F10),ISNUMBER(G10)),IF(G10&lt;F10,"⚠ CHECK ODOMETER / REVISA ODÓMETRO","✔ OK"),"✔ OK"))))</f>
        <v>✔ OK</v>
      </c>
      <c r="N10" s="53"/>
      <c r="P10" s="51" t="n">
        <f aca="false">IF(ISNUMBER(L10),1,0)</f>
        <v>1</v>
      </c>
      <c r="Q10" s="51" t="n">
        <f aca="false">IF(P10=1,YEAR(B10),0)</f>
        <v>2026</v>
      </c>
      <c r="R10" s="51" t="n">
        <f aca="false">IF(P10=1,YEAR(B10)*100+MONTH(B10),0)</f>
        <v>202603</v>
      </c>
    </row>
    <row r="11" customFormat="false" ht="15" hidden="false" customHeight="false" outlineLevel="0" collapsed="false">
      <c r="B11" s="52" t="n">
        <v>46116</v>
      </c>
      <c r="C11" s="53" t="s">
        <v>143</v>
      </c>
      <c r="D11" s="53" t="s">
        <v>84</v>
      </c>
      <c r="E11" s="53" t="s">
        <v>151</v>
      </c>
      <c r="F11" s="59"/>
      <c r="G11" s="59"/>
      <c r="H11" s="59" t="n">
        <v>4.1</v>
      </c>
      <c r="I11" s="57" t="s">
        <v>79</v>
      </c>
      <c r="J11" s="60" t="n">
        <f aca="false">IF(AND(ISNUMBER(F11),ISNUMBER(G11)),MAX(0,G11-F11),IF(ISNUMBER(H11),H11*IF(I11="Yes / Sí",2,1),""))</f>
        <v>8.2</v>
      </c>
      <c r="K11" s="61" t="n">
        <f aca="false">IF(OR(J11="",NOT(ISNUMBER(B11))),"",IF(COUNTIF(Settings!$B$8:$B$17,"&lt;="&amp;B11)=0,Settings!$C$8,INDEX(Settings!$C$8:$C$17,COUNTIF(Settings!$B$8:$B$17,"&lt;="&amp;B11))))</f>
        <v>0.725</v>
      </c>
      <c r="L11" s="56" t="n">
        <f aca="false">IF(K11="","",ROUND(J11*K11,2))</f>
        <v>5.95</v>
      </c>
      <c r="M11" s="58" t="str">
        <f aca="false">IF(AND(B11="",F11="",G11="",H11=""),"",IF(NOT(ISNUMBER(B11)),"⚠ ADD DATE / AGREGA FECHA",IF(J11="","⚠ ADD MILES / AGREGA MILLAS",IF(AND(ISNUMBER(F11),ISNUMBER(G11)),IF(G11&lt;F11,"⚠ CHECK ODOMETER / REVISA ODÓMETRO","✔ OK"),"✔ OK"))))</f>
        <v>✔ OK</v>
      </c>
      <c r="N11" s="53"/>
      <c r="P11" s="51" t="n">
        <f aca="false">IF(ISNUMBER(L11),1,0)</f>
        <v>1</v>
      </c>
      <c r="Q11" s="51" t="n">
        <f aca="false">IF(P11=1,YEAR(B11),0)</f>
        <v>2026</v>
      </c>
      <c r="R11" s="51" t="n">
        <f aca="false">IF(P11=1,YEAR(B11)*100+MONTH(B11),0)</f>
        <v>202604</v>
      </c>
    </row>
    <row r="12" customFormat="false" ht="15" hidden="false" customHeight="false" outlineLevel="0" collapsed="false">
      <c r="B12" s="52" t="n">
        <v>46137</v>
      </c>
      <c r="C12" s="53" t="s">
        <v>143</v>
      </c>
      <c r="D12" s="53" t="s">
        <v>152</v>
      </c>
      <c r="E12" s="53" t="s">
        <v>145</v>
      </c>
      <c r="F12" s="59"/>
      <c r="G12" s="59"/>
      <c r="H12" s="59" t="n">
        <v>22.5</v>
      </c>
      <c r="I12" s="57"/>
      <c r="J12" s="60" t="n">
        <f aca="false">IF(AND(ISNUMBER(F12),ISNUMBER(G12)),MAX(0,G12-F12),IF(ISNUMBER(H12),H12*IF(I12="Yes / Sí",2,1),""))</f>
        <v>22.5</v>
      </c>
      <c r="K12" s="61" t="n">
        <f aca="false">IF(OR(J12="",NOT(ISNUMBER(B12))),"",IF(COUNTIF(Settings!$B$8:$B$17,"&lt;="&amp;B12)=0,Settings!$C$8,INDEX(Settings!$C$8:$C$17,COUNTIF(Settings!$B$8:$B$17,"&lt;="&amp;B12))))</f>
        <v>0.725</v>
      </c>
      <c r="L12" s="56" t="n">
        <f aca="false">IF(K12="","",ROUND(J12*K12,2))</f>
        <v>16.31</v>
      </c>
      <c r="M12" s="58" t="str">
        <f aca="false">IF(AND(B12="",F12="",G12="",H12=""),"",IF(NOT(ISNUMBER(B12)),"⚠ ADD DATE / AGREGA FECHA",IF(J12="","⚠ ADD MILES / AGREGA MILLAS",IF(AND(ISNUMBER(F12),ISNUMBER(G12)),IF(G12&lt;F12,"⚠ CHECK ODOMETER / REVISA ODÓMETRO","✔ OK"),"✔ OK"))))</f>
        <v>✔ OK</v>
      </c>
      <c r="N12" s="53"/>
      <c r="P12" s="51" t="n">
        <f aca="false">IF(ISNUMBER(L12),1,0)</f>
        <v>1</v>
      </c>
      <c r="Q12" s="51" t="n">
        <f aca="false">IF(P12=1,YEAR(B12),0)</f>
        <v>2026</v>
      </c>
      <c r="R12" s="51" t="n">
        <f aca="false">IF(P12=1,YEAR(B12)*100+MONTH(B12),0)</f>
        <v>202604</v>
      </c>
    </row>
    <row r="13" customFormat="false" ht="15" hidden="false" customHeight="false" outlineLevel="0" collapsed="false">
      <c r="B13" s="52" t="n">
        <v>46158</v>
      </c>
      <c r="C13" s="53" t="s">
        <v>143</v>
      </c>
      <c r="D13" s="53" t="s">
        <v>147</v>
      </c>
      <c r="E13" s="53" t="s">
        <v>148</v>
      </c>
      <c r="F13" s="59"/>
      <c r="G13" s="59"/>
      <c r="H13" s="59" t="n">
        <v>2.5</v>
      </c>
      <c r="I13" s="57" t="s">
        <v>79</v>
      </c>
      <c r="J13" s="60" t="n">
        <f aca="false">IF(AND(ISNUMBER(F13),ISNUMBER(G13)),MAX(0,G13-F13),IF(ISNUMBER(H13),H13*IF(I13="Yes / Sí",2,1),""))</f>
        <v>5</v>
      </c>
      <c r="K13" s="61" t="n">
        <f aca="false">IF(OR(J13="",NOT(ISNUMBER(B13))),"",IF(COUNTIF(Settings!$B$8:$B$17,"&lt;="&amp;B13)=0,Settings!$C$8,INDEX(Settings!$C$8:$C$17,COUNTIF(Settings!$B$8:$B$17,"&lt;="&amp;B13))))</f>
        <v>0.725</v>
      </c>
      <c r="L13" s="56" t="n">
        <f aca="false">IF(K13="","",ROUND(J13*K13,2))</f>
        <v>3.63</v>
      </c>
      <c r="M13" s="58" t="str">
        <f aca="false">IF(AND(B13="",F13="",G13="",H13=""),"",IF(NOT(ISNUMBER(B13)),"⚠ ADD DATE / AGREGA FECHA",IF(J13="","⚠ ADD MILES / AGREGA MILLAS",IF(AND(ISNUMBER(F13),ISNUMBER(G13)),IF(G13&lt;F13,"⚠ CHECK ODOMETER / REVISA ODÓMETRO","✔ OK"),"✔ OK"))))</f>
        <v>✔ OK</v>
      </c>
      <c r="N13" s="53"/>
      <c r="P13" s="51" t="n">
        <f aca="false">IF(ISNUMBER(L13),1,0)</f>
        <v>1</v>
      </c>
      <c r="Q13" s="51" t="n">
        <f aca="false">IF(P13=1,YEAR(B13),0)</f>
        <v>2026</v>
      </c>
      <c r="R13" s="51" t="n">
        <f aca="false">IF(P13=1,YEAR(B13)*100+MONTH(B13),0)</f>
        <v>202605</v>
      </c>
    </row>
    <row r="14" customFormat="false" ht="15" hidden="false" customHeight="false" outlineLevel="0" collapsed="false">
      <c r="B14" s="52" t="n">
        <v>46179</v>
      </c>
      <c r="C14" s="53" t="s">
        <v>143</v>
      </c>
      <c r="D14" s="53" t="s">
        <v>153</v>
      </c>
      <c r="E14" s="53" t="s">
        <v>145</v>
      </c>
      <c r="F14" s="59" t="n">
        <v>49655</v>
      </c>
      <c r="G14" s="59" t="n">
        <v>49702</v>
      </c>
      <c r="H14" s="59"/>
      <c r="I14" s="57"/>
      <c r="J14" s="60" t="n">
        <f aca="false">IF(AND(ISNUMBER(F14),ISNUMBER(G14)),MAX(0,G14-F14),IF(ISNUMBER(H14),H14*IF(I14="Yes / Sí",2,1),""))</f>
        <v>47</v>
      </c>
      <c r="K14" s="61" t="n">
        <f aca="false">IF(OR(J14="",NOT(ISNUMBER(B14))),"",IF(COUNTIF(Settings!$B$8:$B$17,"&lt;="&amp;B14)=0,Settings!$C$8,INDEX(Settings!$C$8:$C$17,COUNTIF(Settings!$B$8:$B$17,"&lt;="&amp;B14))))</f>
        <v>0.725</v>
      </c>
      <c r="L14" s="56" t="n">
        <f aca="false">IF(K14="","",ROUND(J14*K14,2))</f>
        <v>34.08</v>
      </c>
      <c r="M14" s="58" t="str">
        <f aca="false">IF(AND(B14="",F14="",G14="",H14=""),"",IF(NOT(ISNUMBER(B14)),"⚠ ADD DATE / AGREGA FECHA",IF(J14="","⚠ ADD MILES / AGREGA MILLAS",IF(AND(ISNUMBER(F14),ISNUMBER(G14)),IF(G14&lt;F14,"⚠ CHECK ODOMETER / REVISA ODÓMETRO","✔ OK"),"✔ OK"))))</f>
        <v>✔ OK</v>
      </c>
      <c r="N14" s="53"/>
      <c r="P14" s="51" t="n">
        <f aca="false">IF(ISNUMBER(L14),1,0)</f>
        <v>1</v>
      </c>
      <c r="Q14" s="51" t="n">
        <f aca="false">IF(P14=1,YEAR(B14),0)</f>
        <v>2026</v>
      </c>
      <c r="R14" s="51" t="n">
        <f aca="false">IF(P14=1,YEAR(B14)*100+MONTH(B14),0)</f>
        <v>202606</v>
      </c>
    </row>
    <row r="15" customFormat="false" ht="15" hidden="false" customHeight="false" outlineLevel="0" collapsed="false">
      <c r="B15" s="52" t="n">
        <v>46200</v>
      </c>
      <c r="C15" s="53" t="s">
        <v>143</v>
      </c>
      <c r="D15" s="53" t="s">
        <v>154</v>
      </c>
      <c r="E15" s="53" t="s">
        <v>106</v>
      </c>
      <c r="F15" s="59"/>
      <c r="G15" s="59"/>
      <c r="H15" s="59" t="n">
        <v>3</v>
      </c>
      <c r="I15" s="57" t="s">
        <v>79</v>
      </c>
      <c r="J15" s="60" t="n">
        <f aca="false">IF(AND(ISNUMBER(F15),ISNUMBER(G15)),MAX(0,G15-F15),IF(ISNUMBER(H15),H15*IF(I15="Yes / Sí",2,1),""))</f>
        <v>6</v>
      </c>
      <c r="K15" s="61" t="n">
        <f aca="false">IF(OR(J15="",NOT(ISNUMBER(B15))),"",IF(COUNTIF(Settings!$B$8:$B$17,"&lt;="&amp;B15)=0,Settings!$C$8,INDEX(Settings!$C$8:$C$17,COUNTIF(Settings!$B$8:$B$17,"&lt;="&amp;B15))))</f>
        <v>0.725</v>
      </c>
      <c r="L15" s="56" t="n">
        <f aca="false">IF(K15="","",ROUND(J15*K15,2))</f>
        <v>4.35</v>
      </c>
      <c r="M15" s="58" t="str">
        <f aca="false">IF(AND(B15="",F15="",G15="",H15=""),"",IF(NOT(ISNUMBER(B15)),"⚠ ADD DATE / AGREGA FECHA",IF(J15="","⚠ ADD MILES / AGREGA MILLAS",IF(AND(ISNUMBER(F15),ISNUMBER(G15)),IF(G15&lt;F15,"⚠ CHECK ODOMETER / REVISA ODÓMETRO","✔ OK"),"✔ OK"))))</f>
        <v>✔ OK</v>
      </c>
      <c r="N15" s="53"/>
      <c r="P15" s="51" t="n">
        <f aca="false">IF(ISNUMBER(L15),1,0)</f>
        <v>1</v>
      </c>
      <c r="Q15" s="51" t="n">
        <f aca="false">IF(P15=1,YEAR(B15),0)</f>
        <v>2026</v>
      </c>
      <c r="R15" s="51" t="n">
        <f aca="false">IF(P15=1,YEAR(B15)*100+MONTH(B15),0)</f>
        <v>202606</v>
      </c>
    </row>
    <row r="16" customFormat="false" ht="15" hidden="false" customHeight="false" outlineLevel="0" collapsed="false">
      <c r="B16" s="52" t="n">
        <v>46214</v>
      </c>
      <c r="C16" s="53" t="s">
        <v>143</v>
      </c>
      <c r="D16" s="53" t="s">
        <v>144</v>
      </c>
      <c r="E16" s="53" t="s">
        <v>145</v>
      </c>
      <c r="F16" s="59"/>
      <c r="G16" s="59"/>
      <c r="H16" s="59" t="n">
        <v>6.2</v>
      </c>
      <c r="I16" s="57" t="s">
        <v>79</v>
      </c>
      <c r="J16" s="60" t="n">
        <f aca="false">IF(AND(ISNUMBER(F16),ISNUMBER(G16)),MAX(0,G16-F16),IF(ISNUMBER(H16),H16*IF(I16="Yes / Sí",2,1),""))</f>
        <v>12.4</v>
      </c>
      <c r="K16" s="61" t="n">
        <f aca="false">IF(OR(J16="",NOT(ISNUMBER(B16))),"",IF(COUNTIF(Settings!$B$8:$B$17,"&lt;="&amp;B16)=0,Settings!$C$8,INDEX(Settings!$C$8:$C$17,COUNTIF(Settings!$B$8:$B$17,"&lt;="&amp;B16))))</f>
        <v>0.76</v>
      </c>
      <c r="L16" s="56" t="n">
        <f aca="false">IF(K16="","",ROUND(J16*K16,2))</f>
        <v>9.42</v>
      </c>
      <c r="M16" s="58" t="str">
        <f aca="false">IF(AND(B16="",F16="",G16="",H16=""),"",IF(NOT(ISNUMBER(B16)),"⚠ ADD DATE / AGREGA FECHA",IF(J16="","⚠ ADD MILES / AGREGA MILLAS",IF(AND(ISNUMBER(F16),ISNUMBER(G16)),IF(G16&lt;F16,"⚠ CHECK ODOMETER / REVISA ODÓMETRO","✔ OK"),"✔ OK"))))</f>
        <v>✔ OK</v>
      </c>
      <c r="N16" s="53"/>
      <c r="P16" s="51" t="n">
        <f aca="false">IF(ISNUMBER(L16),1,0)</f>
        <v>1</v>
      </c>
      <c r="Q16" s="51" t="n">
        <f aca="false">IF(P16=1,YEAR(B16),0)</f>
        <v>2026</v>
      </c>
      <c r="R16" s="51" t="n">
        <f aca="false">IF(P16=1,YEAR(B16)*100+MONTH(B16),0)</f>
        <v>202607</v>
      </c>
    </row>
    <row r="17" customFormat="false" ht="15" hidden="false" customHeight="false" outlineLevel="0" collapsed="false">
      <c r="B17" s="52" t="n">
        <v>46228</v>
      </c>
      <c r="C17" s="53" t="s">
        <v>143</v>
      </c>
      <c r="D17" s="53" t="s">
        <v>155</v>
      </c>
      <c r="E17" s="53" t="s">
        <v>145</v>
      </c>
      <c r="F17" s="59" t="n">
        <v>50310</v>
      </c>
      <c r="G17" s="59" t="n">
        <v>50348</v>
      </c>
      <c r="H17" s="59"/>
      <c r="I17" s="57"/>
      <c r="J17" s="60" t="n">
        <f aca="false">IF(AND(ISNUMBER(F17),ISNUMBER(G17)),MAX(0,G17-F17),IF(ISNUMBER(H17),H17*IF(I17="Yes / Sí",2,1),""))</f>
        <v>38</v>
      </c>
      <c r="K17" s="61" t="n">
        <f aca="false">IF(OR(J17="",NOT(ISNUMBER(B17))),"",IF(COUNTIF(Settings!$B$8:$B$17,"&lt;="&amp;B17)=0,Settings!$C$8,INDEX(Settings!$C$8:$C$17,COUNTIF(Settings!$B$8:$B$17,"&lt;="&amp;B17))))</f>
        <v>0.76</v>
      </c>
      <c r="L17" s="56" t="n">
        <f aca="false">IF(K17="","",ROUND(J17*K17,2))</f>
        <v>28.88</v>
      </c>
      <c r="M17" s="58" t="str">
        <f aca="false">IF(AND(B17="",F17="",G17="",H17=""),"",IF(NOT(ISNUMBER(B17)),"⚠ ADD DATE / AGREGA FECHA",IF(J17="","⚠ ADD MILES / AGREGA MILLAS",IF(AND(ISNUMBER(F17),ISNUMBER(G17)),IF(G17&lt;F17,"⚠ CHECK ODOMETER / REVISA ODÓMETRO","✔ OK"),"✔ OK"))))</f>
        <v>✔ OK</v>
      </c>
      <c r="N17" s="53"/>
      <c r="P17" s="51" t="n">
        <f aca="false">IF(ISNUMBER(L17),1,0)</f>
        <v>1</v>
      </c>
      <c r="Q17" s="51" t="n">
        <f aca="false">IF(P17=1,YEAR(B17),0)</f>
        <v>2026</v>
      </c>
      <c r="R17" s="51" t="n">
        <f aca="false">IF(P17=1,YEAR(B17)*100+MONTH(B17),0)</f>
        <v>202607</v>
      </c>
    </row>
    <row r="18" customFormat="false" ht="15" hidden="false" customHeight="false" outlineLevel="0" collapsed="false">
      <c r="B18" s="52" t="n">
        <v>46242</v>
      </c>
      <c r="C18" s="53" t="s">
        <v>143</v>
      </c>
      <c r="D18" s="53" t="s">
        <v>147</v>
      </c>
      <c r="E18" s="53" t="s">
        <v>148</v>
      </c>
      <c r="F18" s="59"/>
      <c r="G18" s="59"/>
      <c r="H18" s="59" t="n">
        <v>2.5</v>
      </c>
      <c r="I18" s="57" t="s">
        <v>79</v>
      </c>
      <c r="J18" s="60" t="n">
        <f aca="false">IF(AND(ISNUMBER(F18),ISNUMBER(G18)),MAX(0,G18-F18),IF(ISNUMBER(H18),H18*IF(I18="Yes / Sí",2,1),""))</f>
        <v>5</v>
      </c>
      <c r="K18" s="61" t="n">
        <f aca="false">IF(OR(J18="",NOT(ISNUMBER(B18))),"",IF(COUNTIF(Settings!$B$8:$B$17,"&lt;="&amp;B18)=0,Settings!$C$8,INDEX(Settings!$C$8:$C$17,COUNTIF(Settings!$B$8:$B$17,"&lt;="&amp;B18))))</f>
        <v>0.76</v>
      </c>
      <c r="L18" s="56" t="n">
        <f aca="false">IF(K18="","",ROUND(J18*K18,2))</f>
        <v>3.8</v>
      </c>
      <c r="M18" s="58" t="str">
        <f aca="false">IF(AND(B18="",F18="",G18="",H18=""),"",IF(NOT(ISNUMBER(B18)),"⚠ ADD DATE / AGREGA FECHA",IF(J18="","⚠ ADD MILES / AGREGA MILLAS",IF(AND(ISNUMBER(F18),ISNUMBER(G18)),IF(G18&lt;F18,"⚠ CHECK ODOMETER / REVISA ODÓMETRO","✔ OK"),"✔ OK"))))</f>
        <v>✔ OK</v>
      </c>
      <c r="N18" s="53"/>
      <c r="P18" s="51" t="n">
        <f aca="false">IF(ISNUMBER(L18),1,0)</f>
        <v>1</v>
      </c>
      <c r="Q18" s="51" t="n">
        <f aca="false">IF(P18=1,YEAR(B18),0)</f>
        <v>2026</v>
      </c>
      <c r="R18" s="51" t="n">
        <f aca="false">IF(P18=1,YEAR(B18)*100+MONTH(B18),0)</f>
        <v>202608</v>
      </c>
    </row>
    <row r="19" customFormat="false" ht="15" hidden="false" customHeight="false" outlineLevel="0" collapsed="false">
      <c r="B19" s="52" t="n">
        <v>46263</v>
      </c>
      <c r="C19" s="53" t="s">
        <v>143</v>
      </c>
      <c r="D19" s="53" t="s">
        <v>156</v>
      </c>
      <c r="E19" s="53" t="s">
        <v>145</v>
      </c>
      <c r="F19" s="59"/>
      <c r="G19" s="59"/>
      <c r="H19" s="59" t="n">
        <v>18.4</v>
      </c>
      <c r="I19" s="57" t="s">
        <v>79</v>
      </c>
      <c r="J19" s="60" t="n">
        <f aca="false">IF(AND(ISNUMBER(F19),ISNUMBER(G19)),MAX(0,G19-F19),IF(ISNUMBER(H19),H19*IF(I19="Yes / Sí",2,1),""))</f>
        <v>36.8</v>
      </c>
      <c r="K19" s="61" t="n">
        <f aca="false">IF(OR(J19="",NOT(ISNUMBER(B19))),"",IF(COUNTIF(Settings!$B$8:$B$17,"&lt;="&amp;B19)=0,Settings!$C$8,INDEX(Settings!$C$8:$C$17,COUNTIF(Settings!$B$8:$B$17,"&lt;="&amp;B19))))</f>
        <v>0.76</v>
      </c>
      <c r="L19" s="56" t="n">
        <f aca="false">IF(K19="","",ROUND(J19*K19,2))</f>
        <v>27.97</v>
      </c>
      <c r="M19" s="58" t="str">
        <f aca="false">IF(AND(B19="",F19="",G19="",H19=""),"",IF(NOT(ISNUMBER(B19)),"⚠ ADD DATE / AGREGA FECHA",IF(J19="","⚠ ADD MILES / AGREGA MILLAS",IF(AND(ISNUMBER(F19),ISNUMBER(G19)),IF(G19&lt;F19,"⚠ CHECK ODOMETER / REVISA ODÓMETRO","✔ OK"),"✔ OK"))))</f>
        <v>✔ OK</v>
      </c>
      <c r="N19" s="53"/>
      <c r="P19" s="51" t="n">
        <f aca="false">IF(ISNUMBER(L19),1,0)</f>
        <v>1</v>
      </c>
      <c r="Q19" s="51" t="n">
        <f aca="false">IF(P19=1,YEAR(B19),0)</f>
        <v>2026</v>
      </c>
      <c r="R19" s="51" t="n">
        <f aca="false">IF(P19=1,YEAR(B19)*100+MONTH(B19),0)</f>
        <v>202608</v>
      </c>
    </row>
    <row r="20" customFormat="false" ht="15" hidden="false" customHeight="false" outlineLevel="0" collapsed="false">
      <c r="B20" s="52" t="n">
        <v>46277</v>
      </c>
      <c r="C20" s="53" t="s">
        <v>143</v>
      </c>
      <c r="D20" s="53" t="s">
        <v>157</v>
      </c>
      <c r="E20" s="53" t="s">
        <v>151</v>
      </c>
      <c r="F20" s="59"/>
      <c r="G20" s="59"/>
      <c r="H20" s="59" t="n">
        <v>11</v>
      </c>
      <c r="I20" s="57" t="s">
        <v>79</v>
      </c>
      <c r="J20" s="60" t="n">
        <f aca="false">IF(AND(ISNUMBER(F20),ISNUMBER(G20)),MAX(0,G20-F20),IF(ISNUMBER(H20),H20*IF(I20="Yes / Sí",2,1),""))</f>
        <v>22</v>
      </c>
      <c r="K20" s="61" t="n">
        <f aca="false">IF(OR(J20="",NOT(ISNUMBER(B20))),"",IF(COUNTIF(Settings!$B$8:$B$17,"&lt;="&amp;B20)=0,Settings!$C$8,INDEX(Settings!$C$8:$C$17,COUNTIF(Settings!$B$8:$B$17,"&lt;="&amp;B20))))</f>
        <v>0.76</v>
      </c>
      <c r="L20" s="56" t="n">
        <f aca="false">IF(K20="","",ROUND(J20*K20,2))</f>
        <v>16.72</v>
      </c>
      <c r="M20" s="58" t="str">
        <f aca="false">IF(AND(B20="",F20="",G20="",H20=""),"",IF(NOT(ISNUMBER(B20)),"⚠ ADD DATE / AGREGA FECHA",IF(J20="","⚠ ADD MILES / AGREGA MILLAS",IF(AND(ISNUMBER(F20),ISNUMBER(G20)),IF(G20&lt;F20,"⚠ CHECK ODOMETER / REVISA ODÓMETRO","✔ OK"),"✔ OK"))))</f>
        <v>✔ OK</v>
      </c>
      <c r="N20" s="53"/>
      <c r="P20" s="51" t="n">
        <f aca="false">IF(ISNUMBER(L20),1,0)</f>
        <v>1</v>
      </c>
      <c r="Q20" s="51" t="n">
        <f aca="false">IF(P20=1,YEAR(B20),0)</f>
        <v>2026</v>
      </c>
      <c r="R20" s="51" t="n">
        <f aca="false">IF(P20=1,YEAR(B20)*100+MONTH(B20),0)</f>
        <v>202609</v>
      </c>
    </row>
    <row r="21" customFormat="false" ht="15" hidden="false" customHeight="false" outlineLevel="0" collapsed="false">
      <c r="B21" s="52" t="n">
        <v>46291</v>
      </c>
      <c r="C21" s="53" t="s">
        <v>143</v>
      </c>
      <c r="D21" s="53" t="s">
        <v>149</v>
      </c>
      <c r="E21" s="53" t="s">
        <v>145</v>
      </c>
      <c r="F21" s="59"/>
      <c r="G21" s="59"/>
      <c r="H21" s="59" t="n">
        <v>14</v>
      </c>
      <c r="I21" s="57" t="s">
        <v>79</v>
      </c>
      <c r="J21" s="60" t="n">
        <f aca="false">IF(AND(ISNUMBER(F21),ISNUMBER(G21)),MAX(0,G21-F21),IF(ISNUMBER(H21),H21*IF(I21="Yes / Sí",2,1),""))</f>
        <v>28</v>
      </c>
      <c r="K21" s="61" t="n">
        <f aca="false">IF(OR(J21="",NOT(ISNUMBER(B21))),"",IF(COUNTIF(Settings!$B$8:$B$17,"&lt;="&amp;B21)=0,Settings!$C$8,INDEX(Settings!$C$8:$C$17,COUNTIF(Settings!$B$8:$B$17,"&lt;="&amp;B21))))</f>
        <v>0.76</v>
      </c>
      <c r="L21" s="56" t="n">
        <f aca="false">IF(K21="","",ROUND(J21*K21,2))</f>
        <v>21.28</v>
      </c>
      <c r="M21" s="58" t="str">
        <f aca="false">IF(AND(B21="",F21="",G21="",H21=""),"",IF(NOT(ISNUMBER(B21)),"⚠ ADD DATE / AGREGA FECHA",IF(J21="","⚠ ADD MILES / AGREGA MILLAS",IF(AND(ISNUMBER(F21),ISNUMBER(G21)),IF(G21&lt;F21,"⚠ CHECK ODOMETER / REVISA ODÓMETRO","✔ OK"),"✔ OK"))))</f>
        <v>✔ OK</v>
      </c>
      <c r="N21" s="53"/>
      <c r="P21" s="51" t="n">
        <f aca="false">IF(ISNUMBER(L21),1,0)</f>
        <v>1</v>
      </c>
      <c r="Q21" s="51" t="n">
        <f aca="false">IF(P21=1,YEAR(B21),0)</f>
        <v>2026</v>
      </c>
      <c r="R21" s="51" t="n">
        <f aca="false">IF(P21=1,YEAR(B21)*100+MONTH(B21),0)</f>
        <v>202609</v>
      </c>
    </row>
    <row r="22" customFormat="false" ht="15" hidden="false" customHeight="false" outlineLevel="0" collapsed="false">
      <c r="B22" s="52"/>
      <c r="C22" s="53"/>
      <c r="D22" s="53"/>
      <c r="E22" s="53"/>
      <c r="F22" s="59"/>
      <c r="G22" s="59"/>
      <c r="H22" s="59"/>
      <c r="I22" s="57"/>
      <c r="J22" s="60" t="str">
        <f aca="false">IF(AND(ISNUMBER(F22),ISNUMBER(G22)),MAX(0,G22-F22),IF(ISNUMBER(H22),H22*IF(I22="Yes / Sí",2,1),""))</f>
        <v/>
      </c>
      <c r="K22" s="61" t="str">
        <f aca="false">IF(OR(J22="",NOT(ISNUMBER(B22))),"",IF(COUNTIF(Settings!$B$8:$B$17,"&lt;="&amp;B22)=0,Settings!$C$8,INDEX(Settings!$C$8:$C$17,COUNTIF(Settings!$B$8:$B$17,"&lt;="&amp;B22))))</f>
        <v/>
      </c>
      <c r="L22" s="56" t="str">
        <f aca="false">IF(K22="","",ROUND(J22*K22,2))</f>
        <v/>
      </c>
      <c r="M22" s="58" t="str">
        <f aca="false">IF(AND(B22="",F22="",G22="",H22=""),"",IF(NOT(ISNUMBER(B22)),"⚠ ADD DATE / AGREGA FECHA",IF(J22="","⚠ ADD MILES / AGREGA MILLAS",IF(AND(ISNUMBER(F22),ISNUMBER(G22)),IF(G22&lt;F22,"⚠ CHECK ODOMETER / REVISA ODÓMETRO","✔ OK"),"✔ OK"))))</f>
        <v/>
      </c>
      <c r="N22" s="53"/>
      <c r="P22" s="51" t="n">
        <f aca="false">IF(ISNUMBER(L22),1,0)</f>
        <v>0</v>
      </c>
      <c r="Q22" s="51" t="n">
        <f aca="false">IF(P22=1,YEAR(B22),0)</f>
        <v>0</v>
      </c>
      <c r="R22" s="51" t="n">
        <f aca="false">IF(P22=1,YEAR(B22)*100+MONTH(B22),0)</f>
        <v>0</v>
      </c>
    </row>
    <row r="23" customFormat="false" ht="15" hidden="false" customHeight="false" outlineLevel="0" collapsed="false">
      <c r="B23" s="52"/>
      <c r="C23" s="53"/>
      <c r="D23" s="53"/>
      <c r="E23" s="53"/>
      <c r="F23" s="59"/>
      <c r="G23" s="59"/>
      <c r="H23" s="59"/>
      <c r="I23" s="57"/>
      <c r="J23" s="60" t="str">
        <f aca="false">IF(AND(ISNUMBER(F23),ISNUMBER(G23)),MAX(0,G23-F23),IF(ISNUMBER(H23),H23*IF(I23="Yes / Sí",2,1),""))</f>
        <v/>
      </c>
      <c r="K23" s="61" t="str">
        <f aca="false">IF(OR(J23="",NOT(ISNUMBER(B23))),"",IF(COUNTIF(Settings!$B$8:$B$17,"&lt;="&amp;B23)=0,Settings!$C$8,INDEX(Settings!$C$8:$C$17,COUNTIF(Settings!$B$8:$B$17,"&lt;="&amp;B23))))</f>
        <v/>
      </c>
      <c r="L23" s="56" t="str">
        <f aca="false">IF(K23="","",ROUND(J23*K23,2))</f>
        <v/>
      </c>
      <c r="M23" s="58" t="str">
        <f aca="false">IF(AND(B23="",F23="",G23="",H23=""),"",IF(NOT(ISNUMBER(B23)),"⚠ ADD DATE / AGREGA FECHA",IF(J23="","⚠ ADD MILES / AGREGA MILLAS",IF(AND(ISNUMBER(F23),ISNUMBER(G23)),IF(G23&lt;F23,"⚠ CHECK ODOMETER / REVISA ODÓMETRO","✔ OK"),"✔ OK"))))</f>
        <v/>
      </c>
      <c r="N23" s="53"/>
      <c r="P23" s="51" t="n">
        <f aca="false">IF(ISNUMBER(L23),1,0)</f>
        <v>0</v>
      </c>
      <c r="Q23" s="51" t="n">
        <f aca="false">IF(P23=1,YEAR(B23),0)</f>
        <v>0</v>
      </c>
      <c r="R23" s="51" t="n">
        <f aca="false">IF(P23=1,YEAR(B23)*100+MONTH(B23),0)</f>
        <v>0</v>
      </c>
    </row>
    <row r="24" customFormat="false" ht="15" hidden="false" customHeight="false" outlineLevel="0" collapsed="false">
      <c r="B24" s="52"/>
      <c r="C24" s="53"/>
      <c r="D24" s="53"/>
      <c r="E24" s="53"/>
      <c r="F24" s="59"/>
      <c r="G24" s="59"/>
      <c r="H24" s="59"/>
      <c r="I24" s="57"/>
      <c r="J24" s="60" t="str">
        <f aca="false">IF(AND(ISNUMBER(F24),ISNUMBER(G24)),MAX(0,G24-F24),IF(ISNUMBER(H24),H24*IF(I24="Yes / Sí",2,1),""))</f>
        <v/>
      </c>
      <c r="K24" s="61" t="str">
        <f aca="false">IF(OR(J24="",NOT(ISNUMBER(B24))),"",IF(COUNTIF(Settings!$B$8:$B$17,"&lt;="&amp;B24)=0,Settings!$C$8,INDEX(Settings!$C$8:$C$17,COUNTIF(Settings!$B$8:$B$17,"&lt;="&amp;B24))))</f>
        <v/>
      </c>
      <c r="L24" s="56" t="str">
        <f aca="false">IF(K24="","",ROUND(J24*K24,2))</f>
        <v/>
      </c>
      <c r="M24" s="58" t="str">
        <f aca="false">IF(AND(B24="",F24="",G24="",H24=""),"",IF(NOT(ISNUMBER(B24)),"⚠ ADD DATE / AGREGA FECHA",IF(J24="","⚠ ADD MILES / AGREGA MILLAS",IF(AND(ISNUMBER(F24),ISNUMBER(G24)),IF(G24&lt;F24,"⚠ CHECK ODOMETER / REVISA ODÓMETRO","✔ OK"),"✔ OK"))))</f>
        <v/>
      </c>
      <c r="N24" s="53"/>
      <c r="P24" s="51" t="n">
        <f aca="false">IF(ISNUMBER(L24),1,0)</f>
        <v>0</v>
      </c>
      <c r="Q24" s="51" t="n">
        <f aca="false">IF(P24=1,YEAR(B24),0)</f>
        <v>0</v>
      </c>
      <c r="R24" s="51" t="n">
        <f aca="false">IF(P24=1,YEAR(B24)*100+MONTH(B24),0)</f>
        <v>0</v>
      </c>
    </row>
    <row r="25" customFormat="false" ht="15" hidden="false" customHeight="false" outlineLevel="0" collapsed="false">
      <c r="B25" s="52"/>
      <c r="C25" s="53"/>
      <c r="D25" s="53"/>
      <c r="E25" s="53"/>
      <c r="F25" s="59"/>
      <c r="G25" s="59"/>
      <c r="H25" s="59"/>
      <c r="I25" s="57"/>
      <c r="J25" s="60" t="str">
        <f aca="false">IF(AND(ISNUMBER(F25),ISNUMBER(G25)),MAX(0,G25-F25),IF(ISNUMBER(H25),H25*IF(I25="Yes / Sí",2,1),""))</f>
        <v/>
      </c>
      <c r="K25" s="61" t="str">
        <f aca="false">IF(OR(J25="",NOT(ISNUMBER(B25))),"",IF(COUNTIF(Settings!$B$8:$B$17,"&lt;="&amp;B25)=0,Settings!$C$8,INDEX(Settings!$C$8:$C$17,COUNTIF(Settings!$B$8:$B$17,"&lt;="&amp;B25))))</f>
        <v/>
      </c>
      <c r="L25" s="56" t="str">
        <f aca="false">IF(K25="","",ROUND(J25*K25,2))</f>
        <v/>
      </c>
      <c r="M25" s="58" t="str">
        <f aca="false">IF(AND(B25="",F25="",G25="",H25=""),"",IF(NOT(ISNUMBER(B25)),"⚠ ADD DATE / AGREGA FECHA",IF(J25="","⚠ ADD MILES / AGREGA MILLAS",IF(AND(ISNUMBER(F25),ISNUMBER(G25)),IF(G25&lt;F25,"⚠ CHECK ODOMETER / REVISA ODÓMETRO","✔ OK"),"✔ OK"))))</f>
        <v/>
      </c>
      <c r="N25" s="53"/>
      <c r="P25" s="51" t="n">
        <f aca="false">IF(ISNUMBER(L25),1,0)</f>
        <v>0</v>
      </c>
      <c r="Q25" s="51" t="n">
        <f aca="false">IF(P25=1,YEAR(B25),0)</f>
        <v>0</v>
      </c>
      <c r="R25" s="51" t="n">
        <f aca="false">IF(P25=1,YEAR(B25)*100+MONTH(B25),0)</f>
        <v>0</v>
      </c>
    </row>
    <row r="26" customFormat="false" ht="15" hidden="false" customHeight="false" outlineLevel="0" collapsed="false">
      <c r="B26" s="52"/>
      <c r="C26" s="53"/>
      <c r="D26" s="53"/>
      <c r="E26" s="53"/>
      <c r="F26" s="59"/>
      <c r="G26" s="59"/>
      <c r="H26" s="59"/>
      <c r="I26" s="57"/>
      <c r="J26" s="60" t="str">
        <f aca="false">IF(AND(ISNUMBER(F26),ISNUMBER(G26)),MAX(0,G26-F26),IF(ISNUMBER(H26),H26*IF(I26="Yes / Sí",2,1),""))</f>
        <v/>
      </c>
      <c r="K26" s="61" t="str">
        <f aca="false">IF(OR(J26="",NOT(ISNUMBER(B26))),"",IF(COUNTIF(Settings!$B$8:$B$17,"&lt;="&amp;B26)=0,Settings!$C$8,INDEX(Settings!$C$8:$C$17,COUNTIF(Settings!$B$8:$B$17,"&lt;="&amp;B26))))</f>
        <v/>
      </c>
      <c r="L26" s="56" t="str">
        <f aca="false">IF(K26="","",ROUND(J26*K26,2))</f>
        <v/>
      </c>
      <c r="M26" s="58" t="str">
        <f aca="false">IF(AND(B26="",F26="",G26="",H26=""),"",IF(NOT(ISNUMBER(B26)),"⚠ ADD DATE / AGREGA FECHA",IF(J26="","⚠ ADD MILES / AGREGA MILLAS",IF(AND(ISNUMBER(F26),ISNUMBER(G26)),IF(G26&lt;F26,"⚠ CHECK ODOMETER / REVISA ODÓMETRO","✔ OK"),"✔ OK"))))</f>
        <v/>
      </c>
      <c r="N26" s="53"/>
      <c r="P26" s="51" t="n">
        <f aca="false">IF(ISNUMBER(L26),1,0)</f>
        <v>0</v>
      </c>
      <c r="Q26" s="51" t="n">
        <f aca="false">IF(P26=1,YEAR(B26),0)</f>
        <v>0</v>
      </c>
      <c r="R26" s="51" t="n">
        <f aca="false">IF(P26=1,YEAR(B26)*100+MONTH(B26),0)</f>
        <v>0</v>
      </c>
    </row>
    <row r="27" customFormat="false" ht="15" hidden="false" customHeight="false" outlineLevel="0" collapsed="false">
      <c r="B27" s="52"/>
      <c r="C27" s="53"/>
      <c r="D27" s="53"/>
      <c r="E27" s="53"/>
      <c r="F27" s="59"/>
      <c r="G27" s="59"/>
      <c r="H27" s="59"/>
      <c r="I27" s="57"/>
      <c r="J27" s="60" t="str">
        <f aca="false">IF(AND(ISNUMBER(F27),ISNUMBER(G27)),MAX(0,G27-F27),IF(ISNUMBER(H27),H27*IF(I27="Yes / Sí",2,1),""))</f>
        <v/>
      </c>
      <c r="K27" s="61" t="str">
        <f aca="false">IF(OR(J27="",NOT(ISNUMBER(B27))),"",IF(COUNTIF(Settings!$B$8:$B$17,"&lt;="&amp;B27)=0,Settings!$C$8,INDEX(Settings!$C$8:$C$17,COUNTIF(Settings!$B$8:$B$17,"&lt;="&amp;B27))))</f>
        <v/>
      </c>
      <c r="L27" s="56" t="str">
        <f aca="false">IF(K27="","",ROUND(J27*K27,2))</f>
        <v/>
      </c>
      <c r="M27" s="58" t="str">
        <f aca="false">IF(AND(B27="",F27="",G27="",H27=""),"",IF(NOT(ISNUMBER(B27)),"⚠ ADD DATE / AGREGA FECHA",IF(J27="","⚠ ADD MILES / AGREGA MILLAS",IF(AND(ISNUMBER(F27),ISNUMBER(G27)),IF(G27&lt;F27,"⚠ CHECK ODOMETER / REVISA ODÓMETRO","✔ OK"),"✔ OK"))))</f>
        <v/>
      </c>
      <c r="N27" s="53"/>
      <c r="P27" s="51" t="n">
        <f aca="false">IF(ISNUMBER(L27),1,0)</f>
        <v>0</v>
      </c>
      <c r="Q27" s="51" t="n">
        <f aca="false">IF(P27=1,YEAR(B27),0)</f>
        <v>0</v>
      </c>
      <c r="R27" s="51" t="n">
        <f aca="false">IF(P27=1,YEAR(B27)*100+MONTH(B27),0)</f>
        <v>0</v>
      </c>
    </row>
    <row r="28" customFormat="false" ht="15" hidden="false" customHeight="false" outlineLevel="0" collapsed="false">
      <c r="B28" s="52"/>
      <c r="C28" s="53"/>
      <c r="D28" s="53"/>
      <c r="E28" s="53"/>
      <c r="F28" s="59"/>
      <c r="G28" s="59"/>
      <c r="H28" s="59"/>
      <c r="I28" s="57"/>
      <c r="J28" s="60" t="str">
        <f aca="false">IF(AND(ISNUMBER(F28),ISNUMBER(G28)),MAX(0,G28-F28),IF(ISNUMBER(H28),H28*IF(I28="Yes / Sí",2,1),""))</f>
        <v/>
      </c>
      <c r="K28" s="61" t="str">
        <f aca="false">IF(OR(J28="",NOT(ISNUMBER(B28))),"",IF(COUNTIF(Settings!$B$8:$B$17,"&lt;="&amp;B28)=0,Settings!$C$8,INDEX(Settings!$C$8:$C$17,COUNTIF(Settings!$B$8:$B$17,"&lt;="&amp;B28))))</f>
        <v/>
      </c>
      <c r="L28" s="56" t="str">
        <f aca="false">IF(K28="","",ROUND(J28*K28,2))</f>
        <v/>
      </c>
      <c r="M28" s="58" t="str">
        <f aca="false">IF(AND(B28="",F28="",G28="",H28=""),"",IF(NOT(ISNUMBER(B28)),"⚠ ADD DATE / AGREGA FECHA",IF(J28="","⚠ ADD MILES / AGREGA MILLAS",IF(AND(ISNUMBER(F28),ISNUMBER(G28)),IF(G28&lt;F28,"⚠ CHECK ODOMETER / REVISA ODÓMETRO","✔ OK"),"✔ OK"))))</f>
        <v/>
      </c>
      <c r="N28" s="53"/>
      <c r="P28" s="51" t="n">
        <f aca="false">IF(ISNUMBER(L28),1,0)</f>
        <v>0</v>
      </c>
      <c r="Q28" s="51" t="n">
        <f aca="false">IF(P28=1,YEAR(B28),0)</f>
        <v>0</v>
      </c>
      <c r="R28" s="51" t="n">
        <f aca="false">IF(P28=1,YEAR(B28)*100+MONTH(B28),0)</f>
        <v>0</v>
      </c>
    </row>
    <row r="29" customFormat="false" ht="15" hidden="false" customHeight="false" outlineLevel="0" collapsed="false">
      <c r="B29" s="52"/>
      <c r="C29" s="53"/>
      <c r="D29" s="53"/>
      <c r="E29" s="53"/>
      <c r="F29" s="59"/>
      <c r="G29" s="59"/>
      <c r="H29" s="59"/>
      <c r="I29" s="57"/>
      <c r="J29" s="60" t="str">
        <f aca="false">IF(AND(ISNUMBER(F29),ISNUMBER(G29)),MAX(0,G29-F29),IF(ISNUMBER(H29),H29*IF(I29="Yes / Sí",2,1),""))</f>
        <v/>
      </c>
      <c r="K29" s="61" t="str">
        <f aca="false">IF(OR(J29="",NOT(ISNUMBER(B29))),"",IF(COUNTIF(Settings!$B$8:$B$17,"&lt;="&amp;B29)=0,Settings!$C$8,INDEX(Settings!$C$8:$C$17,COUNTIF(Settings!$B$8:$B$17,"&lt;="&amp;B29))))</f>
        <v/>
      </c>
      <c r="L29" s="56" t="str">
        <f aca="false">IF(K29="","",ROUND(J29*K29,2))</f>
        <v/>
      </c>
      <c r="M29" s="58" t="str">
        <f aca="false">IF(AND(B29="",F29="",G29="",H29=""),"",IF(NOT(ISNUMBER(B29)),"⚠ ADD DATE / AGREGA FECHA",IF(J29="","⚠ ADD MILES / AGREGA MILLAS",IF(AND(ISNUMBER(F29),ISNUMBER(G29)),IF(G29&lt;F29,"⚠ CHECK ODOMETER / REVISA ODÓMETRO","✔ OK"),"✔ OK"))))</f>
        <v/>
      </c>
      <c r="N29" s="53"/>
      <c r="P29" s="51" t="n">
        <f aca="false">IF(ISNUMBER(L29),1,0)</f>
        <v>0</v>
      </c>
      <c r="Q29" s="51" t="n">
        <f aca="false">IF(P29=1,YEAR(B29),0)</f>
        <v>0</v>
      </c>
      <c r="R29" s="51" t="n">
        <f aca="false">IF(P29=1,YEAR(B29)*100+MONTH(B29),0)</f>
        <v>0</v>
      </c>
    </row>
    <row r="30" customFormat="false" ht="15" hidden="false" customHeight="false" outlineLevel="0" collapsed="false">
      <c r="B30" s="52"/>
      <c r="C30" s="53"/>
      <c r="D30" s="53"/>
      <c r="E30" s="53"/>
      <c r="F30" s="59"/>
      <c r="G30" s="59"/>
      <c r="H30" s="59"/>
      <c r="I30" s="57"/>
      <c r="J30" s="60" t="str">
        <f aca="false">IF(AND(ISNUMBER(F30),ISNUMBER(G30)),MAX(0,G30-F30),IF(ISNUMBER(H30),H30*IF(I30="Yes / Sí",2,1),""))</f>
        <v/>
      </c>
      <c r="K30" s="61" t="str">
        <f aca="false">IF(OR(J30="",NOT(ISNUMBER(B30))),"",IF(COUNTIF(Settings!$B$8:$B$17,"&lt;="&amp;B30)=0,Settings!$C$8,INDEX(Settings!$C$8:$C$17,COUNTIF(Settings!$B$8:$B$17,"&lt;="&amp;B30))))</f>
        <v/>
      </c>
      <c r="L30" s="56" t="str">
        <f aca="false">IF(K30="","",ROUND(J30*K30,2))</f>
        <v/>
      </c>
      <c r="M30" s="58" t="str">
        <f aca="false">IF(AND(B30="",F30="",G30="",H30=""),"",IF(NOT(ISNUMBER(B30)),"⚠ ADD DATE / AGREGA FECHA",IF(J30="","⚠ ADD MILES / AGREGA MILLAS",IF(AND(ISNUMBER(F30),ISNUMBER(G30)),IF(G30&lt;F30,"⚠ CHECK ODOMETER / REVISA ODÓMETRO","✔ OK"),"✔ OK"))))</f>
        <v/>
      </c>
      <c r="N30" s="53"/>
      <c r="P30" s="51" t="n">
        <f aca="false">IF(ISNUMBER(L30),1,0)</f>
        <v>0</v>
      </c>
      <c r="Q30" s="51" t="n">
        <f aca="false">IF(P30=1,YEAR(B30),0)</f>
        <v>0</v>
      </c>
      <c r="R30" s="51" t="n">
        <f aca="false">IF(P30=1,YEAR(B30)*100+MONTH(B30),0)</f>
        <v>0</v>
      </c>
    </row>
    <row r="31" customFormat="false" ht="15" hidden="false" customHeight="false" outlineLevel="0" collapsed="false">
      <c r="B31" s="52"/>
      <c r="C31" s="53"/>
      <c r="D31" s="53"/>
      <c r="E31" s="53"/>
      <c r="F31" s="59"/>
      <c r="G31" s="59"/>
      <c r="H31" s="59"/>
      <c r="I31" s="57"/>
      <c r="J31" s="60" t="str">
        <f aca="false">IF(AND(ISNUMBER(F31),ISNUMBER(G31)),MAX(0,G31-F31),IF(ISNUMBER(H31),H31*IF(I31="Yes / Sí",2,1),""))</f>
        <v/>
      </c>
      <c r="K31" s="61" t="str">
        <f aca="false">IF(OR(J31="",NOT(ISNUMBER(B31))),"",IF(COUNTIF(Settings!$B$8:$B$17,"&lt;="&amp;B31)=0,Settings!$C$8,INDEX(Settings!$C$8:$C$17,COUNTIF(Settings!$B$8:$B$17,"&lt;="&amp;B31))))</f>
        <v/>
      </c>
      <c r="L31" s="56" t="str">
        <f aca="false">IF(K31="","",ROUND(J31*K31,2))</f>
        <v/>
      </c>
      <c r="M31" s="58" t="str">
        <f aca="false">IF(AND(B31="",F31="",G31="",H31=""),"",IF(NOT(ISNUMBER(B31)),"⚠ ADD DATE / AGREGA FECHA",IF(J31="","⚠ ADD MILES / AGREGA MILLAS",IF(AND(ISNUMBER(F31),ISNUMBER(G31)),IF(G31&lt;F31,"⚠ CHECK ODOMETER / REVISA ODÓMETRO","✔ OK"),"✔ OK"))))</f>
        <v/>
      </c>
      <c r="N31" s="53"/>
      <c r="P31" s="51" t="n">
        <f aca="false">IF(ISNUMBER(L31),1,0)</f>
        <v>0</v>
      </c>
      <c r="Q31" s="51" t="n">
        <f aca="false">IF(P31=1,YEAR(B31),0)</f>
        <v>0</v>
      </c>
      <c r="R31" s="51" t="n">
        <f aca="false">IF(P31=1,YEAR(B31)*100+MONTH(B31),0)</f>
        <v>0</v>
      </c>
    </row>
    <row r="32" customFormat="false" ht="15" hidden="false" customHeight="false" outlineLevel="0" collapsed="false">
      <c r="B32" s="52"/>
      <c r="C32" s="53"/>
      <c r="D32" s="53"/>
      <c r="E32" s="53"/>
      <c r="F32" s="59"/>
      <c r="G32" s="59"/>
      <c r="H32" s="59"/>
      <c r="I32" s="57"/>
      <c r="J32" s="60" t="str">
        <f aca="false">IF(AND(ISNUMBER(F32),ISNUMBER(G32)),MAX(0,G32-F32),IF(ISNUMBER(H32),H32*IF(I32="Yes / Sí",2,1),""))</f>
        <v/>
      </c>
      <c r="K32" s="61" t="str">
        <f aca="false">IF(OR(J32="",NOT(ISNUMBER(B32))),"",IF(COUNTIF(Settings!$B$8:$B$17,"&lt;="&amp;B32)=0,Settings!$C$8,INDEX(Settings!$C$8:$C$17,COUNTIF(Settings!$B$8:$B$17,"&lt;="&amp;B32))))</f>
        <v/>
      </c>
      <c r="L32" s="56" t="str">
        <f aca="false">IF(K32="","",ROUND(J32*K32,2))</f>
        <v/>
      </c>
      <c r="M32" s="58" t="str">
        <f aca="false">IF(AND(B32="",F32="",G32="",H32=""),"",IF(NOT(ISNUMBER(B32)),"⚠ ADD DATE / AGREGA FECHA",IF(J32="","⚠ ADD MILES / AGREGA MILLAS",IF(AND(ISNUMBER(F32),ISNUMBER(G32)),IF(G32&lt;F32,"⚠ CHECK ODOMETER / REVISA ODÓMETRO","✔ OK"),"✔ OK"))))</f>
        <v/>
      </c>
      <c r="N32" s="53"/>
      <c r="P32" s="51" t="n">
        <f aca="false">IF(ISNUMBER(L32),1,0)</f>
        <v>0</v>
      </c>
      <c r="Q32" s="51" t="n">
        <f aca="false">IF(P32=1,YEAR(B32),0)</f>
        <v>0</v>
      </c>
      <c r="R32" s="51" t="n">
        <f aca="false">IF(P32=1,YEAR(B32)*100+MONTH(B32),0)</f>
        <v>0</v>
      </c>
    </row>
    <row r="33" customFormat="false" ht="15" hidden="false" customHeight="false" outlineLevel="0" collapsed="false">
      <c r="B33" s="52"/>
      <c r="C33" s="53"/>
      <c r="D33" s="53"/>
      <c r="E33" s="53"/>
      <c r="F33" s="59"/>
      <c r="G33" s="59"/>
      <c r="H33" s="59"/>
      <c r="I33" s="57"/>
      <c r="J33" s="60" t="str">
        <f aca="false">IF(AND(ISNUMBER(F33),ISNUMBER(G33)),MAX(0,G33-F33),IF(ISNUMBER(H33),H33*IF(I33="Yes / Sí",2,1),""))</f>
        <v/>
      </c>
      <c r="K33" s="61" t="str">
        <f aca="false">IF(OR(J33="",NOT(ISNUMBER(B33))),"",IF(COUNTIF(Settings!$B$8:$B$17,"&lt;="&amp;B33)=0,Settings!$C$8,INDEX(Settings!$C$8:$C$17,COUNTIF(Settings!$B$8:$B$17,"&lt;="&amp;B33))))</f>
        <v/>
      </c>
      <c r="L33" s="56" t="str">
        <f aca="false">IF(K33="","",ROUND(J33*K33,2))</f>
        <v/>
      </c>
      <c r="M33" s="58" t="str">
        <f aca="false">IF(AND(B33="",F33="",G33="",H33=""),"",IF(NOT(ISNUMBER(B33)),"⚠ ADD DATE / AGREGA FECHA",IF(J33="","⚠ ADD MILES / AGREGA MILLAS",IF(AND(ISNUMBER(F33),ISNUMBER(G33)),IF(G33&lt;F33,"⚠ CHECK ODOMETER / REVISA ODÓMETRO","✔ OK"),"✔ OK"))))</f>
        <v/>
      </c>
      <c r="N33" s="53"/>
      <c r="P33" s="51" t="n">
        <f aca="false">IF(ISNUMBER(L33),1,0)</f>
        <v>0</v>
      </c>
      <c r="Q33" s="51" t="n">
        <f aca="false">IF(P33=1,YEAR(B33),0)</f>
        <v>0</v>
      </c>
      <c r="R33" s="51" t="n">
        <f aca="false">IF(P33=1,YEAR(B33)*100+MONTH(B33),0)</f>
        <v>0</v>
      </c>
    </row>
    <row r="34" customFormat="false" ht="15" hidden="false" customHeight="false" outlineLevel="0" collapsed="false">
      <c r="B34" s="52"/>
      <c r="C34" s="53"/>
      <c r="D34" s="53"/>
      <c r="E34" s="53"/>
      <c r="F34" s="59"/>
      <c r="G34" s="59"/>
      <c r="H34" s="59"/>
      <c r="I34" s="57"/>
      <c r="J34" s="60" t="str">
        <f aca="false">IF(AND(ISNUMBER(F34),ISNUMBER(G34)),MAX(0,G34-F34),IF(ISNUMBER(H34),H34*IF(I34="Yes / Sí",2,1),""))</f>
        <v/>
      </c>
      <c r="K34" s="61" t="str">
        <f aca="false">IF(OR(J34="",NOT(ISNUMBER(B34))),"",IF(COUNTIF(Settings!$B$8:$B$17,"&lt;="&amp;B34)=0,Settings!$C$8,INDEX(Settings!$C$8:$C$17,COUNTIF(Settings!$B$8:$B$17,"&lt;="&amp;B34))))</f>
        <v/>
      </c>
      <c r="L34" s="56" t="str">
        <f aca="false">IF(K34="","",ROUND(J34*K34,2))</f>
        <v/>
      </c>
      <c r="M34" s="58" t="str">
        <f aca="false">IF(AND(B34="",F34="",G34="",H34=""),"",IF(NOT(ISNUMBER(B34)),"⚠ ADD DATE / AGREGA FECHA",IF(J34="","⚠ ADD MILES / AGREGA MILLAS",IF(AND(ISNUMBER(F34),ISNUMBER(G34)),IF(G34&lt;F34,"⚠ CHECK ODOMETER / REVISA ODÓMETRO","✔ OK"),"✔ OK"))))</f>
        <v/>
      </c>
      <c r="N34" s="53"/>
      <c r="P34" s="51" t="n">
        <f aca="false">IF(ISNUMBER(L34),1,0)</f>
        <v>0</v>
      </c>
      <c r="Q34" s="51" t="n">
        <f aca="false">IF(P34=1,YEAR(B34),0)</f>
        <v>0</v>
      </c>
      <c r="R34" s="51" t="n">
        <f aca="false">IF(P34=1,YEAR(B34)*100+MONTH(B34),0)</f>
        <v>0</v>
      </c>
    </row>
    <row r="35" customFormat="false" ht="15" hidden="false" customHeight="false" outlineLevel="0" collapsed="false">
      <c r="B35" s="52"/>
      <c r="C35" s="53"/>
      <c r="D35" s="53"/>
      <c r="E35" s="53"/>
      <c r="F35" s="59"/>
      <c r="G35" s="59"/>
      <c r="H35" s="59"/>
      <c r="I35" s="57"/>
      <c r="J35" s="60" t="str">
        <f aca="false">IF(AND(ISNUMBER(F35),ISNUMBER(G35)),MAX(0,G35-F35),IF(ISNUMBER(H35),H35*IF(I35="Yes / Sí",2,1),""))</f>
        <v/>
      </c>
      <c r="K35" s="61" t="str">
        <f aca="false">IF(OR(J35="",NOT(ISNUMBER(B35))),"",IF(COUNTIF(Settings!$B$8:$B$17,"&lt;="&amp;B35)=0,Settings!$C$8,INDEX(Settings!$C$8:$C$17,COUNTIF(Settings!$B$8:$B$17,"&lt;="&amp;B35))))</f>
        <v/>
      </c>
      <c r="L35" s="56" t="str">
        <f aca="false">IF(K35="","",ROUND(J35*K35,2))</f>
        <v/>
      </c>
      <c r="M35" s="58" t="str">
        <f aca="false">IF(AND(B35="",F35="",G35="",H35=""),"",IF(NOT(ISNUMBER(B35)),"⚠ ADD DATE / AGREGA FECHA",IF(J35="","⚠ ADD MILES / AGREGA MILLAS",IF(AND(ISNUMBER(F35),ISNUMBER(G35)),IF(G35&lt;F35,"⚠ CHECK ODOMETER / REVISA ODÓMETRO","✔ OK"),"✔ OK"))))</f>
        <v/>
      </c>
      <c r="N35" s="53"/>
      <c r="P35" s="51" t="n">
        <f aca="false">IF(ISNUMBER(L35),1,0)</f>
        <v>0</v>
      </c>
      <c r="Q35" s="51" t="n">
        <f aca="false">IF(P35=1,YEAR(B35),0)</f>
        <v>0</v>
      </c>
      <c r="R35" s="51" t="n">
        <f aca="false">IF(P35=1,YEAR(B35)*100+MONTH(B35),0)</f>
        <v>0</v>
      </c>
    </row>
    <row r="36" customFormat="false" ht="15" hidden="false" customHeight="false" outlineLevel="0" collapsed="false">
      <c r="B36" s="52"/>
      <c r="C36" s="53"/>
      <c r="D36" s="53"/>
      <c r="E36" s="53"/>
      <c r="F36" s="59"/>
      <c r="G36" s="59"/>
      <c r="H36" s="59"/>
      <c r="I36" s="57"/>
      <c r="J36" s="60" t="str">
        <f aca="false">IF(AND(ISNUMBER(F36),ISNUMBER(G36)),MAX(0,G36-F36),IF(ISNUMBER(H36),H36*IF(I36="Yes / Sí",2,1),""))</f>
        <v/>
      </c>
      <c r="K36" s="61" t="str">
        <f aca="false">IF(OR(J36="",NOT(ISNUMBER(B36))),"",IF(COUNTIF(Settings!$B$8:$B$17,"&lt;="&amp;B36)=0,Settings!$C$8,INDEX(Settings!$C$8:$C$17,COUNTIF(Settings!$B$8:$B$17,"&lt;="&amp;B36))))</f>
        <v/>
      </c>
      <c r="L36" s="56" t="str">
        <f aca="false">IF(K36="","",ROUND(J36*K36,2))</f>
        <v/>
      </c>
      <c r="M36" s="58" t="str">
        <f aca="false">IF(AND(B36="",F36="",G36="",H36=""),"",IF(NOT(ISNUMBER(B36)),"⚠ ADD DATE / AGREGA FECHA",IF(J36="","⚠ ADD MILES / AGREGA MILLAS",IF(AND(ISNUMBER(F36),ISNUMBER(G36)),IF(G36&lt;F36,"⚠ CHECK ODOMETER / REVISA ODÓMETRO","✔ OK"),"✔ OK"))))</f>
        <v/>
      </c>
      <c r="N36" s="53"/>
      <c r="P36" s="51" t="n">
        <f aca="false">IF(ISNUMBER(L36),1,0)</f>
        <v>0</v>
      </c>
      <c r="Q36" s="51" t="n">
        <f aca="false">IF(P36=1,YEAR(B36),0)</f>
        <v>0</v>
      </c>
      <c r="R36" s="51" t="n">
        <f aca="false">IF(P36=1,YEAR(B36)*100+MONTH(B36),0)</f>
        <v>0</v>
      </c>
    </row>
    <row r="37" customFormat="false" ht="15" hidden="false" customHeight="false" outlineLevel="0" collapsed="false">
      <c r="B37" s="52"/>
      <c r="C37" s="53"/>
      <c r="D37" s="53"/>
      <c r="E37" s="53"/>
      <c r="F37" s="59"/>
      <c r="G37" s="59"/>
      <c r="H37" s="59"/>
      <c r="I37" s="57"/>
      <c r="J37" s="60" t="str">
        <f aca="false">IF(AND(ISNUMBER(F37),ISNUMBER(G37)),MAX(0,G37-F37),IF(ISNUMBER(H37),H37*IF(I37="Yes / Sí",2,1),""))</f>
        <v/>
      </c>
      <c r="K37" s="61" t="str">
        <f aca="false">IF(OR(J37="",NOT(ISNUMBER(B37))),"",IF(COUNTIF(Settings!$B$8:$B$17,"&lt;="&amp;B37)=0,Settings!$C$8,INDEX(Settings!$C$8:$C$17,COUNTIF(Settings!$B$8:$B$17,"&lt;="&amp;B37))))</f>
        <v/>
      </c>
      <c r="L37" s="56" t="str">
        <f aca="false">IF(K37="","",ROUND(J37*K37,2))</f>
        <v/>
      </c>
      <c r="M37" s="58" t="str">
        <f aca="false">IF(AND(B37="",F37="",G37="",H37=""),"",IF(NOT(ISNUMBER(B37)),"⚠ ADD DATE / AGREGA FECHA",IF(J37="","⚠ ADD MILES / AGREGA MILLAS",IF(AND(ISNUMBER(F37),ISNUMBER(G37)),IF(G37&lt;F37,"⚠ CHECK ODOMETER / REVISA ODÓMETRO","✔ OK"),"✔ OK"))))</f>
        <v/>
      </c>
      <c r="N37" s="53"/>
      <c r="P37" s="51" t="n">
        <f aca="false">IF(ISNUMBER(L37),1,0)</f>
        <v>0</v>
      </c>
      <c r="Q37" s="51" t="n">
        <f aca="false">IF(P37=1,YEAR(B37),0)</f>
        <v>0</v>
      </c>
      <c r="R37" s="51" t="n">
        <f aca="false">IF(P37=1,YEAR(B37)*100+MONTH(B37),0)</f>
        <v>0</v>
      </c>
    </row>
    <row r="38" customFormat="false" ht="15" hidden="false" customHeight="false" outlineLevel="0" collapsed="false">
      <c r="B38" s="52"/>
      <c r="C38" s="53"/>
      <c r="D38" s="53"/>
      <c r="E38" s="53"/>
      <c r="F38" s="59"/>
      <c r="G38" s="59"/>
      <c r="H38" s="59"/>
      <c r="I38" s="57"/>
      <c r="J38" s="60" t="str">
        <f aca="false">IF(AND(ISNUMBER(F38),ISNUMBER(G38)),MAX(0,G38-F38),IF(ISNUMBER(H38),H38*IF(I38="Yes / Sí",2,1),""))</f>
        <v/>
      </c>
      <c r="K38" s="61" t="str">
        <f aca="false">IF(OR(J38="",NOT(ISNUMBER(B38))),"",IF(COUNTIF(Settings!$B$8:$B$17,"&lt;="&amp;B38)=0,Settings!$C$8,INDEX(Settings!$C$8:$C$17,COUNTIF(Settings!$B$8:$B$17,"&lt;="&amp;B38))))</f>
        <v/>
      </c>
      <c r="L38" s="56" t="str">
        <f aca="false">IF(K38="","",ROUND(J38*K38,2))</f>
        <v/>
      </c>
      <c r="M38" s="58" t="str">
        <f aca="false">IF(AND(B38="",F38="",G38="",H38=""),"",IF(NOT(ISNUMBER(B38)),"⚠ ADD DATE / AGREGA FECHA",IF(J38="","⚠ ADD MILES / AGREGA MILLAS",IF(AND(ISNUMBER(F38),ISNUMBER(G38)),IF(G38&lt;F38,"⚠ CHECK ODOMETER / REVISA ODÓMETRO","✔ OK"),"✔ OK"))))</f>
        <v/>
      </c>
      <c r="N38" s="53"/>
      <c r="P38" s="51" t="n">
        <f aca="false">IF(ISNUMBER(L38),1,0)</f>
        <v>0</v>
      </c>
      <c r="Q38" s="51" t="n">
        <f aca="false">IF(P38=1,YEAR(B38),0)</f>
        <v>0</v>
      </c>
      <c r="R38" s="51" t="n">
        <f aca="false">IF(P38=1,YEAR(B38)*100+MONTH(B38),0)</f>
        <v>0</v>
      </c>
    </row>
    <row r="39" customFormat="false" ht="15" hidden="false" customHeight="false" outlineLevel="0" collapsed="false">
      <c r="B39" s="52"/>
      <c r="C39" s="53"/>
      <c r="D39" s="53"/>
      <c r="E39" s="53"/>
      <c r="F39" s="59"/>
      <c r="G39" s="59"/>
      <c r="H39" s="59"/>
      <c r="I39" s="57"/>
      <c r="J39" s="60" t="str">
        <f aca="false">IF(AND(ISNUMBER(F39),ISNUMBER(G39)),MAX(0,G39-F39),IF(ISNUMBER(H39),H39*IF(I39="Yes / Sí",2,1),""))</f>
        <v/>
      </c>
      <c r="K39" s="61" t="str">
        <f aca="false">IF(OR(J39="",NOT(ISNUMBER(B39))),"",IF(COUNTIF(Settings!$B$8:$B$17,"&lt;="&amp;B39)=0,Settings!$C$8,INDEX(Settings!$C$8:$C$17,COUNTIF(Settings!$B$8:$B$17,"&lt;="&amp;B39))))</f>
        <v/>
      </c>
      <c r="L39" s="56" t="str">
        <f aca="false">IF(K39="","",ROUND(J39*K39,2))</f>
        <v/>
      </c>
      <c r="M39" s="58" t="str">
        <f aca="false">IF(AND(B39="",F39="",G39="",H39=""),"",IF(NOT(ISNUMBER(B39)),"⚠ ADD DATE / AGREGA FECHA",IF(J39="","⚠ ADD MILES / AGREGA MILLAS",IF(AND(ISNUMBER(F39),ISNUMBER(G39)),IF(G39&lt;F39,"⚠ CHECK ODOMETER / REVISA ODÓMETRO","✔ OK"),"✔ OK"))))</f>
        <v/>
      </c>
      <c r="N39" s="53"/>
      <c r="P39" s="51" t="n">
        <f aca="false">IF(ISNUMBER(L39),1,0)</f>
        <v>0</v>
      </c>
      <c r="Q39" s="51" t="n">
        <f aca="false">IF(P39=1,YEAR(B39),0)</f>
        <v>0</v>
      </c>
      <c r="R39" s="51" t="n">
        <f aca="false">IF(P39=1,YEAR(B39)*100+MONTH(B39),0)</f>
        <v>0</v>
      </c>
    </row>
    <row r="40" customFormat="false" ht="15" hidden="false" customHeight="false" outlineLevel="0" collapsed="false">
      <c r="B40" s="52"/>
      <c r="C40" s="53"/>
      <c r="D40" s="53"/>
      <c r="E40" s="53"/>
      <c r="F40" s="59"/>
      <c r="G40" s="59"/>
      <c r="H40" s="59"/>
      <c r="I40" s="57"/>
      <c r="J40" s="60" t="str">
        <f aca="false">IF(AND(ISNUMBER(F40),ISNUMBER(G40)),MAX(0,G40-F40),IF(ISNUMBER(H40),H40*IF(I40="Yes / Sí",2,1),""))</f>
        <v/>
      </c>
      <c r="K40" s="61" t="str">
        <f aca="false">IF(OR(J40="",NOT(ISNUMBER(B40))),"",IF(COUNTIF(Settings!$B$8:$B$17,"&lt;="&amp;B40)=0,Settings!$C$8,INDEX(Settings!$C$8:$C$17,COUNTIF(Settings!$B$8:$B$17,"&lt;="&amp;B40))))</f>
        <v/>
      </c>
      <c r="L40" s="56" t="str">
        <f aca="false">IF(K40="","",ROUND(J40*K40,2))</f>
        <v/>
      </c>
      <c r="M40" s="58" t="str">
        <f aca="false">IF(AND(B40="",F40="",G40="",H40=""),"",IF(NOT(ISNUMBER(B40)),"⚠ ADD DATE / AGREGA FECHA",IF(J40="","⚠ ADD MILES / AGREGA MILLAS",IF(AND(ISNUMBER(F40),ISNUMBER(G40)),IF(G40&lt;F40,"⚠ CHECK ODOMETER / REVISA ODÓMETRO","✔ OK"),"✔ OK"))))</f>
        <v/>
      </c>
      <c r="N40" s="53"/>
      <c r="P40" s="51" t="n">
        <f aca="false">IF(ISNUMBER(L40),1,0)</f>
        <v>0</v>
      </c>
      <c r="Q40" s="51" t="n">
        <f aca="false">IF(P40=1,YEAR(B40),0)</f>
        <v>0</v>
      </c>
      <c r="R40" s="51" t="n">
        <f aca="false">IF(P40=1,YEAR(B40)*100+MONTH(B40),0)</f>
        <v>0</v>
      </c>
    </row>
    <row r="41" customFormat="false" ht="15" hidden="false" customHeight="false" outlineLevel="0" collapsed="false">
      <c r="B41" s="52"/>
      <c r="C41" s="53"/>
      <c r="D41" s="53"/>
      <c r="E41" s="53"/>
      <c r="F41" s="59"/>
      <c r="G41" s="59"/>
      <c r="H41" s="59"/>
      <c r="I41" s="57"/>
      <c r="J41" s="60" t="str">
        <f aca="false">IF(AND(ISNUMBER(F41),ISNUMBER(G41)),MAX(0,G41-F41),IF(ISNUMBER(H41),H41*IF(I41="Yes / Sí",2,1),""))</f>
        <v/>
      </c>
      <c r="K41" s="61" t="str">
        <f aca="false">IF(OR(J41="",NOT(ISNUMBER(B41))),"",IF(COUNTIF(Settings!$B$8:$B$17,"&lt;="&amp;B41)=0,Settings!$C$8,INDEX(Settings!$C$8:$C$17,COUNTIF(Settings!$B$8:$B$17,"&lt;="&amp;B41))))</f>
        <v/>
      </c>
      <c r="L41" s="56" t="str">
        <f aca="false">IF(K41="","",ROUND(J41*K41,2))</f>
        <v/>
      </c>
      <c r="M41" s="58" t="str">
        <f aca="false">IF(AND(B41="",F41="",G41="",H41=""),"",IF(NOT(ISNUMBER(B41)),"⚠ ADD DATE / AGREGA FECHA",IF(J41="","⚠ ADD MILES / AGREGA MILLAS",IF(AND(ISNUMBER(F41),ISNUMBER(G41)),IF(G41&lt;F41,"⚠ CHECK ODOMETER / REVISA ODÓMETRO","✔ OK"),"✔ OK"))))</f>
        <v/>
      </c>
      <c r="N41" s="53"/>
      <c r="P41" s="51" t="n">
        <f aca="false">IF(ISNUMBER(L41),1,0)</f>
        <v>0</v>
      </c>
      <c r="Q41" s="51" t="n">
        <f aca="false">IF(P41=1,YEAR(B41),0)</f>
        <v>0</v>
      </c>
      <c r="R41" s="51" t="n">
        <f aca="false">IF(P41=1,YEAR(B41)*100+MONTH(B41),0)</f>
        <v>0</v>
      </c>
    </row>
    <row r="42" customFormat="false" ht="15" hidden="false" customHeight="false" outlineLevel="0" collapsed="false">
      <c r="B42" s="52"/>
      <c r="C42" s="53"/>
      <c r="D42" s="53"/>
      <c r="E42" s="53"/>
      <c r="F42" s="59"/>
      <c r="G42" s="59"/>
      <c r="H42" s="59"/>
      <c r="I42" s="57"/>
      <c r="J42" s="60" t="str">
        <f aca="false">IF(AND(ISNUMBER(F42),ISNUMBER(G42)),MAX(0,G42-F42),IF(ISNUMBER(H42),H42*IF(I42="Yes / Sí",2,1),""))</f>
        <v/>
      </c>
      <c r="K42" s="61" t="str">
        <f aca="false">IF(OR(J42="",NOT(ISNUMBER(B42))),"",IF(COUNTIF(Settings!$B$8:$B$17,"&lt;="&amp;B42)=0,Settings!$C$8,INDEX(Settings!$C$8:$C$17,COUNTIF(Settings!$B$8:$B$17,"&lt;="&amp;B42))))</f>
        <v/>
      </c>
      <c r="L42" s="56" t="str">
        <f aca="false">IF(K42="","",ROUND(J42*K42,2))</f>
        <v/>
      </c>
      <c r="M42" s="58" t="str">
        <f aca="false">IF(AND(B42="",F42="",G42="",H42=""),"",IF(NOT(ISNUMBER(B42)),"⚠ ADD DATE / AGREGA FECHA",IF(J42="","⚠ ADD MILES / AGREGA MILLAS",IF(AND(ISNUMBER(F42),ISNUMBER(G42)),IF(G42&lt;F42,"⚠ CHECK ODOMETER / REVISA ODÓMETRO","✔ OK"),"✔ OK"))))</f>
        <v/>
      </c>
      <c r="N42" s="53"/>
      <c r="P42" s="51" t="n">
        <f aca="false">IF(ISNUMBER(L42),1,0)</f>
        <v>0</v>
      </c>
      <c r="Q42" s="51" t="n">
        <f aca="false">IF(P42=1,YEAR(B42),0)</f>
        <v>0</v>
      </c>
      <c r="R42" s="51" t="n">
        <f aca="false">IF(P42=1,YEAR(B42)*100+MONTH(B42),0)</f>
        <v>0</v>
      </c>
    </row>
    <row r="43" customFormat="false" ht="15" hidden="false" customHeight="false" outlineLevel="0" collapsed="false">
      <c r="B43" s="52"/>
      <c r="C43" s="53"/>
      <c r="D43" s="53"/>
      <c r="E43" s="53"/>
      <c r="F43" s="59"/>
      <c r="G43" s="59"/>
      <c r="H43" s="59"/>
      <c r="I43" s="57"/>
      <c r="J43" s="60" t="str">
        <f aca="false">IF(AND(ISNUMBER(F43),ISNUMBER(G43)),MAX(0,G43-F43),IF(ISNUMBER(H43),H43*IF(I43="Yes / Sí",2,1),""))</f>
        <v/>
      </c>
      <c r="K43" s="61" t="str">
        <f aca="false">IF(OR(J43="",NOT(ISNUMBER(B43))),"",IF(COUNTIF(Settings!$B$8:$B$17,"&lt;="&amp;B43)=0,Settings!$C$8,INDEX(Settings!$C$8:$C$17,COUNTIF(Settings!$B$8:$B$17,"&lt;="&amp;B43))))</f>
        <v/>
      </c>
      <c r="L43" s="56" t="str">
        <f aca="false">IF(K43="","",ROUND(J43*K43,2))</f>
        <v/>
      </c>
      <c r="M43" s="58" t="str">
        <f aca="false">IF(AND(B43="",F43="",G43="",H43=""),"",IF(NOT(ISNUMBER(B43)),"⚠ ADD DATE / AGREGA FECHA",IF(J43="","⚠ ADD MILES / AGREGA MILLAS",IF(AND(ISNUMBER(F43),ISNUMBER(G43)),IF(G43&lt;F43,"⚠ CHECK ODOMETER / REVISA ODÓMETRO","✔ OK"),"✔ OK"))))</f>
        <v/>
      </c>
      <c r="N43" s="53"/>
      <c r="P43" s="51" t="n">
        <f aca="false">IF(ISNUMBER(L43),1,0)</f>
        <v>0</v>
      </c>
      <c r="Q43" s="51" t="n">
        <f aca="false">IF(P43=1,YEAR(B43),0)</f>
        <v>0</v>
      </c>
      <c r="R43" s="51" t="n">
        <f aca="false">IF(P43=1,YEAR(B43)*100+MONTH(B43),0)</f>
        <v>0</v>
      </c>
    </row>
    <row r="44" customFormat="false" ht="15" hidden="false" customHeight="false" outlineLevel="0" collapsed="false">
      <c r="B44" s="52"/>
      <c r="C44" s="53"/>
      <c r="D44" s="53"/>
      <c r="E44" s="53"/>
      <c r="F44" s="59"/>
      <c r="G44" s="59"/>
      <c r="H44" s="59"/>
      <c r="I44" s="57"/>
      <c r="J44" s="60" t="str">
        <f aca="false">IF(AND(ISNUMBER(F44),ISNUMBER(G44)),MAX(0,G44-F44),IF(ISNUMBER(H44),H44*IF(I44="Yes / Sí",2,1),""))</f>
        <v/>
      </c>
      <c r="K44" s="61" t="str">
        <f aca="false">IF(OR(J44="",NOT(ISNUMBER(B44))),"",IF(COUNTIF(Settings!$B$8:$B$17,"&lt;="&amp;B44)=0,Settings!$C$8,INDEX(Settings!$C$8:$C$17,COUNTIF(Settings!$B$8:$B$17,"&lt;="&amp;B44))))</f>
        <v/>
      </c>
      <c r="L44" s="56" t="str">
        <f aca="false">IF(K44="","",ROUND(J44*K44,2))</f>
        <v/>
      </c>
      <c r="M44" s="58" t="str">
        <f aca="false">IF(AND(B44="",F44="",G44="",H44=""),"",IF(NOT(ISNUMBER(B44)),"⚠ ADD DATE / AGREGA FECHA",IF(J44="","⚠ ADD MILES / AGREGA MILLAS",IF(AND(ISNUMBER(F44),ISNUMBER(G44)),IF(G44&lt;F44,"⚠ CHECK ODOMETER / REVISA ODÓMETRO","✔ OK"),"✔ OK"))))</f>
        <v/>
      </c>
      <c r="N44" s="53"/>
      <c r="P44" s="51" t="n">
        <f aca="false">IF(ISNUMBER(L44),1,0)</f>
        <v>0</v>
      </c>
      <c r="Q44" s="51" t="n">
        <f aca="false">IF(P44=1,YEAR(B44),0)</f>
        <v>0</v>
      </c>
      <c r="R44" s="51" t="n">
        <f aca="false">IF(P44=1,YEAR(B44)*100+MONTH(B44),0)</f>
        <v>0</v>
      </c>
    </row>
    <row r="45" customFormat="false" ht="15" hidden="false" customHeight="false" outlineLevel="0" collapsed="false">
      <c r="B45" s="52"/>
      <c r="C45" s="53"/>
      <c r="D45" s="53"/>
      <c r="E45" s="53"/>
      <c r="F45" s="59"/>
      <c r="G45" s="59"/>
      <c r="H45" s="59"/>
      <c r="I45" s="57"/>
      <c r="J45" s="60" t="str">
        <f aca="false">IF(AND(ISNUMBER(F45),ISNUMBER(G45)),MAX(0,G45-F45),IF(ISNUMBER(H45),H45*IF(I45="Yes / Sí",2,1),""))</f>
        <v/>
      </c>
      <c r="K45" s="61" t="str">
        <f aca="false">IF(OR(J45="",NOT(ISNUMBER(B45))),"",IF(COUNTIF(Settings!$B$8:$B$17,"&lt;="&amp;B45)=0,Settings!$C$8,INDEX(Settings!$C$8:$C$17,COUNTIF(Settings!$B$8:$B$17,"&lt;="&amp;B45))))</f>
        <v/>
      </c>
      <c r="L45" s="56" t="str">
        <f aca="false">IF(K45="","",ROUND(J45*K45,2))</f>
        <v/>
      </c>
      <c r="M45" s="58" t="str">
        <f aca="false">IF(AND(B45="",F45="",G45="",H45=""),"",IF(NOT(ISNUMBER(B45)),"⚠ ADD DATE / AGREGA FECHA",IF(J45="","⚠ ADD MILES / AGREGA MILLAS",IF(AND(ISNUMBER(F45),ISNUMBER(G45)),IF(G45&lt;F45,"⚠ CHECK ODOMETER / REVISA ODÓMETRO","✔ OK"),"✔ OK"))))</f>
        <v/>
      </c>
      <c r="N45" s="53"/>
      <c r="P45" s="51" t="n">
        <f aca="false">IF(ISNUMBER(L45),1,0)</f>
        <v>0</v>
      </c>
      <c r="Q45" s="51" t="n">
        <f aca="false">IF(P45=1,YEAR(B45),0)</f>
        <v>0</v>
      </c>
      <c r="R45" s="51" t="n">
        <f aca="false">IF(P45=1,YEAR(B45)*100+MONTH(B45),0)</f>
        <v>0</v>
      </c>
    </row>
    <row r="46" customFormat="false" ht="15" hidden="false" customHeight="false" outlineLevel="0" collapsed="false">
      <c r="B46" s="52"/>
      <c r="C46" s="53"/>
      <c r="D46" s="53"/>
      <c r="E46" s="53"/>
      <c r="F46" s="59"/>
      <c r="G46" s="59"/>
      <c r="H46" s="59"/>
      <c r="I46" s="57"/>
      <c r="J46" s="60" t="str">
        <f aca="false">IF(AND(ISNUMBER(F46),ISNUMBER(G46)),MAX(0,G46-F46),IF(ISNUMBER(H46),H46*IF(I46="Yes / Sí",2,1),""))</f>
        <v/>
      </c>
      <c r="K46" s="61" t="str">
        <f aca="false">IF(OR(J46="",NOT(ISNUMBER(B46))),"",IF(COUNTIF(Settings!$B$8:$B$17,"&lt;="&amp;B46)=0,Settings!$C$8,INDEX(Settings!$C$8:$C$17,COUNTIF(Settings!$B$8:$B$17,"&lt;="&amp;B46))))</f>
        <v/>
      </c>
      <c r="L46" s="56" t="str">
        <f aca="false">IF(K46="","",ROUND(J46*K46,2))</f>
        <v/>
      </c>
      <c r="M46" s="58" t="str">
        <f aca="false">IF(AND(B46="",F46="",G46="",H46=""),"",IF(NOT(ISNUMBER(B46)),"⚠ ADD DATE / AGREGA FECHA",IF(J46="","⚠ ADD MILES / AGREGA MILLAS",IF(AND(ISNUMBER(F46),ISNUMBER(G46)),IF(G46&lt;F46,"⚠ CHECK ODOMETER / REVISA ODÓMETRO","✔ OK"),"✔ OK"))))</f>
        <v/>
      </c>
      <c r="N46" s="53"/>
      <c r="P46" s="51" t="n">
        <f aca="false">IF(ISNUMBER(L46),1,0)</f>
        <v>0</v>
      </c>
      <c r="Q46" s="51" t="n">
        <f aca="false">IF(P46=1,YEAR(B46),0)</f>
        <v>0</v>
      </c>
      <c r="R46" s="51" t="n">
        <f aca="false">IF(P46=1,YEAR(B46)*100+MONTH(B46),0)</f>
        <v>0</v>
      </c>
    </row>
    <row r="47" customFormat="false" ht="15" hidden="false" customHeight="false" outlineLevel="0" collapsed="false">
      <c r="B47" s="52"/>
      <c r="C47" s="53"/>
      <c r="D47" s="53"/>
      <c r="E47" s="53"/>
      <c r="F47" s="59"/>
      <c r="G47" s="59"/>
      <c r="H47" s="59"/>
      <c r="I47" s="57"/>
      <c r="J47" s="60" t="str">
        <f aca="false">IF(AND(ISNUMBER(F47),ISNUMBER(G47)),MAX(0,G47-F47),IF(ISNUMBER(H47),H47*IF(I47="Yes / Sí",2,1),""))</f>
        <v/>
      </c>
      <c r="K47" s="61" t="str">
        <f aca="false">IF(OR(J47="",NOT(ISNUMBER(B47))),"",IF(COUNTIF(Settings!$B$8:$B$17,"&lt;="&amp;B47)=0,Settings!$C$8,INDEX(Settings!$C$8:$C$17,COUNTIF(Settings!$B$8:$B$17,"&lt;="&amp;B47))))</f>
        <v/>
      </c>
      <c r="L47" s="56" t="str">
        <f aca="false">IF(K47="","",ROUND(J47*K47,2))</f>
        <v/>
      </c>
      <c r="M47" s="58" t="str">
        <f aca="false">IF(AND(B47="",F47="",G47="",H47=""),"",IF(NOT(ISNUMBER(B47)),"⚠ ADD DATE / AGREGA FECHA",IF(J47="","⚠ ADD MILES / AGREGA MILLAS",IF(AND(ISNUMBER(F47),ISNUMBER(G47)),IF(G47&lt;F47,"⚠ CHECK ODOMETER / REVISA ODÓMETRO","✔ OK"),"✔ OK"))))</f>
        <v/>
      </c>
      <c r="N47" s="53"/>
      <c r="P47" s="51" t="n">
        <f aca="false">IF(ISNUMBER(L47),1,0)</f>
        <v>0</v>
      </c>
      <c r="Q47" s="51" t="n">
        <f aca="false">IF(P47=1,YEAR(B47),0)</f>
        <v>0</v>
      </c>
      <c r="R47" s="51" t="n">
        <f aca="false">IF(P47=1,YEAR(B47)*100+MONTH(B47),0)</f>
        <v>0</v>
      </c>
    </row>
    <row r="48" customFormat="false" ht="15" hidden="false" customHeight="false" outlineLevel="0" collapsed="false">
      <c r="B48" s="52"/>
      <c r="C48" s="53"/>
      <c r="D48" s="53"/>
      <c r="E48" s="53"/>
      <c r="F48" s="59"/>
      <c r="G48" s="59"/>
      <c r="H48" s="59"/>
      <c r="I48" s="57"/>
      <c r="J48" s="60" t="str">
        <f aca="false">IF(AND(ISNUMBER(F48),ISNUMBER(G48)),MAX(0,G48-F48),IF(ISNUMBER(H48),H48*IF(I48="Yes / Sí",2,1),""))</f>
        <v/>
      </c>
      <c r="K48" s="61" t="str">
        <f aca="false">IF(OR(J48="",NOT(ISNUMBER(B48))),"",IF(COUNTIF(Settings!$B$8:$B$17,"&lt;="&amp;B48)=0,Settings!$C$8,INDEX(Settings!$C$8:$C$17,COUNTIF(Settings!$B$8:$B$17,"&lt;="&amp;B48))))</f>
        <v/>
      </c>
      <c r="L48" s="56" t="str">
        <f aca="false">IF(K48="","",ROUND(J48*K48,2))</f>
        <v/>
      </c>
      <c r="M48" s="58" t="str">
        <f aca="false">IF(AND(B48="",F48="",G48="",H48=""),"",IF(NOT(ISNUMBER(B48)),"⚠ ADD DATE / AGREGA FECHA",IF(J48="","⚠ ADD MILES / AGREGA MILLAS",IF(AND(ISNUMBER(F48),ISNUMBER(G48)),IF(G48&lt;F48,"⚠ CHECK ODOMETER / REVISA ODÓMETRO","✔ OK"),"✔ OK"))))</f>
        <v/>
      </c>
      <c r="N48" s="53"/>
      <c r="P48" s="51" t="n">
        <f aca="false">IF(ISNUMBER(L48),1,0)</f>
        <v>0</v>
      </c>
      <c r="Q48" s="51" t="n">
        <f aca="false">IF(P48=1,YEAR(B48),0)</f>
        <v>0</v>
      </c>
      <c r="R48" s="51" t="n">
        <f aca="false">IF(P48=1,YEAR(B48)*100+MONTH(B48),0)</f>
        <v>0</v>
      </c>
    </row>
    <row r="49" customFormat="false" ht="15" hidden="false" customHeight="false" outlineLevel="0" collapsed="false">
      <c r="B49" s="52"/>
      <c r="C49" s="53"/>
      <c r="D49" s="53"/>
      <c r="E49" s="53"/>
      <c r="F49" s="59"/>
      <c r="G49" s="59"/>
      <c r="H49" s="59"/>
      <c r="I49" s="57"/>
      <c r="J49" s="60" t="str">
        <f aca="false">IF(AND(ISNUMBER(F49),ISNUMBER(G49)),MAX(0,G49-F49),IF(ISNUMBER(H49),H49*IF(I49="Yes / Sí",2,1),""))</f>
        <v/>
      </c>
      <c r="K49" s="61" t="str">
        <f aca="false">IF(OR(J49="",NOT(ISNUMBER(B49))),"",IF(COUNTIF(Settings!$B$8:$B$17,"&lt;="&amp;B49)=0,Settings!$C$8,INDEX(Settings!$C$8:$C$17,COUNTIF(Settings!$B$8:$B$17,"&lt;="&amp;B49))))</f>
        <v/>
      </c>
      <c r="L49" s="56" t="str">
        <f aca="false">IF(K49="","",ROUND(J49*K49,2))</f>
        <v/>
      </c>
      <c r="M49" s="58" t="str">
        <f aca="false">IF(AND(B49="",F49="",G49="",H49=""),"",IF(NOT(ISNUMBER(B49)),"⚠ ADD DATE / AGREGA FECHA",IF(J49="","⚠ ADD MILES / AGREGA MILLAS",IF(AND(ISNUMBER(F49),ISNUMBER(G49)),IF(G49&lt;F49,"⚠ CHECK ODOMETER / REVISA ODÓMETRO","✔ OK"),"✔ OK"))))</f>
        <v/>
      </c>
      <c r="N49" s="53"/>
      <c r="P49" s="51" t="n">
        <f aca="false">IF(ISNUMBER(L49),1,0)</f>
        <v>0</v>
      </c>
      <c r="Q49" s="51" t="n">
        <f aca="false">IF(P49=1,YEAR(B49),0)</f>
        <v>0</v>
      </c>
      <c r="R49" s="51" t="n">
        <f aca="false">IF(P49=1,YEAR(B49)*100+MONTH(B49),0)</f>
        <v>0</v>
      </c>
    </row>
    <row r="50" customFormat="false" ht="15" hidden="false" customHeight="false" outlineLevel="0" collapsed="false">
      <c r="B50" s="52"/>
      <c r="C50" s="53"/>
      <c r="D50" s="53"/>
      <c r="E50" s="53"/>
      <c r="F50" s="59"/>
      <c r="G50" s="59"/>
      <c r="H50" s="59"/>
      <c r="I50" s="57"/>
      <c r="J50" s="60" t="str">
        <f aca="false">IF(AND(ISNUMBER(F50),ISNUMBER(G50)),MAX(0,G50-F50),IF(ISNUMBER(H50),H50*IF(I50="Yes / Sí",2,1),""))</f>
        <v/>
      </c>
      <c r="K50" s="61" t="str">
        <f aca="false">IF(OR(J50="",NOT(ISNUMBER(B50))),"",IF(COUNTIF(Settings!$B$8:$B$17,"&lt;="&amp;B50)=0,Settings!$C$8,INDEX(Settings!$C$8:$C$17,COUNTIF(Settings!$B$8:$B$17,"&lt;="&amp;B50))))</f>
        <v/>
      </c>
      <c r="L50" s="56" t="str">
        <f aca="false">IF(K50="","",ROUND(J50*K50,2))</f>
        <v/>
      </c>
      <c r="M50" s="58" t="str">
        <f aca="false">IF(AND(B50="",F50="",G50="",H50=""),"",IF(NOT(ISNUMBER(B50)),"⚠ ADD DATE / AGREGA FECHA",IF(J50="","⚠ ADD MILES / AGREGA MILLAS",IF(AND(ISNUMBER(F50),ISNUMBER(G50)),IF(G50&lt;F50,"⚠ CHECK ODOMETER / REVISA ODÓMETRO","✔ OK"),"✔ OK"))))</f>
        <v/>
      </c>
      <c r="N50" s="53"/>
      <c r="P50" s="51" t="n">
        <f aca="false">IF(ISNUMBER(L50),1,0)</f>
        <v>0</v>
      </c>
      <c r="Q50" s="51" t="n">
        <f aca="false">IF(P50=1,YEAR(B50),0)</f>
        <v>0</v>
      </c>
      <c r="R50" s="51" t="n">
        <f aca="false">IF(P50=1,YEAR(B50)*100+MONTH(B50),0)</f>
        <v>0</v>
      </c>
    </row>
    <row r="51" customFormat="false" ht="15" hidden="false" customHeight="false" outlineLevel="0" collapsed="false">
      <c r="B51" s="52"/>
      <c r="C51" s="53"/>
      <c r="D51" s="53"/>
      <c r="E51" s="53"/>
      <c r="F51" s="59"/>
      <c r="G51" s="59"/>
      <c r="H51" s="59"/>
      <c r="I51" s="57"/>
      <c r="J51" s="60" t="str">
        <f aca="false">IF(AND(ISNUMBER(F51),ISNUMBER(G51)),MAX(0,G51-F51),IF(ISNUMBER(H51),H51*IF(I51="Yes / Sí",2,1),""))</f>
        <v/>
      </c>
      <c r="K51" s="61" t="str">
        <f aca="false">IF(OR(J51="",NOT(ISNUMBER(B51))),"",IF(COUNTIF(Settings!$B$8:$B$17,"&lt;="&amp;B51)=0,Settings!$C$8,INDEX(Settings!$C$8:$C$17,COUNTIF(Settings!$B$8:$B$17,"&lt;="&amp;B51))))</f>
        <v/>
      </c>
      <c r="L51" s="56" t="str">
        <f aca="false">IF(K51="","",ROUND(J51*K51,2))</f>
        <v/>
      </c>
      <c r="M51" s="58" t="str">
        <f aca="false">IF(AND(B51="",F51="",G51="",H51=""),"",IF(NOT(ISNUMBER(B51)),"⚠ ADD DATE / AGREGA FECHA",IF(J51="","⚠ ADD MILES / AGREGA MILLAS",IF(AND(ISNUMBER(F51),ISNUMBER(G51)),IF(G51&lt;F51,"⚠ CHECK ODOMETER / REVISA ODÓMETRO","✔ OK"),"✔ OK"))))</f>
        <v/>
      </c>
      <c r="N51" s="53"/>
      <c r="P51" s="51" t="n">
        <f aca="false">IF(ISNUMBER(L51),1,0)</f>
        <v>0</v>
      </c>
      <c r="Q51" s="51" t="n">
        <f aca="false">IF(P51=1,YEAR(B51),0)</f>
        <v>0</v>
      </c>
      <c r="R51" s="51" t="n">
        <f aca="false">IF(P51=1,YEAR(B51)*100+MONTH(B51),0)</f>
        <v>0</v>
      </c>
    </row>
    <row r="52" customFormat="false" ht="15" hidden="false" customHeight="false" outlineLevel="0" collapsed="false">
      <c r="B52" s="52"/>
      <c r="C52" s="53"/>
      <c r="D52" s="53"/>
      <c r="E52" s="53"/>
      <c r="F52" s="59"/>
      <c r="G52" s="59"/>
      <c r="H52" s="59"/>
      <c r="I52" s="57"/>
      <c r="J52" s="60" t="str">
        <f aca="false">IF(AND(ISNUMBER(F52),ISNUMBER(G52)),MAX(0,G52-F52),IF(ISNUMBER(H52),H52*IF(I52="Yes / Sí",2,1),""))</f>
        <v/>
      </c>
      <c r="K52" s="61" t="str">
        <f aca="false">IF(OR(J52="",NOT(ISNUMBER(B52))),"",IF(COUNTIF(Settings!$B$8:$B$17,"&lt;="&amp;B52)=0,Settings!$C$8,INDEX(Settings!$C$8:$C$17,COUNTIF(Settings!$B$8:$B$17,"&lt;="&amp;B52))))</f>
        <v/>
      </c>
      <c r="L52" s="56" t="str">
        <f aca="false">IF(K52="","",ROUND(J52*K52,2))</f>
        <v/>
      </c>
      <c r="M52" s="58" t="str">
        <f aca="false">IF(AND(B52="",F52="",G52="",H52=""),"",IF(NOT(ISNUMBER(B52)),"⚠ ADD DATE / AGREGA FECHA",IF(J52="","⚠ ADD MILES / AGREGA MILLAS",IF(AND(ISNUMBER(F52),ISNUMBER(G52)),IF(G52&lt;F52,"⚠ CHECK ODOMETER / REVISA ODÓMETRO","✔ OK"),"✔ OK"))))</f>
        <v/>
      </c>
      <c r="N52" s="53"/>
      <c r="P52" s="51" t="n">
        <f aca="false">IF(ISNUMBER(L52),1,0)</f>
        <v>0</v>
      </c>
      <c r="Q52" s="51" t="n">
        <f aca="false">IF(P52=1,YEAR(B52),0)</f>
        <v>0</v>
      </c>
      <c r="R52" s="51" t="n">
        <f aca="false">IF(P52=1,YEAR(B52)*100+MONTH(B52),0)</f>
        <v>0</v>
      </c>
    </row>
    <row r="53" customFormat="false" ht="15" hidden="false" customHeight="false" outlineLevel="0" collapsed="false">
      <c r="B53" s="52"/>
      <c r="C53" s="53"/>
      <c r="D53" s="53"/>
      <c r="E53" s="53"/>
      <c r="F53" s="59"/>
      <c r="G53" s="59"/>
      <c r="H53" s="59"/>
      <c r="I53" s="57"/>
      <c r="J53" s="60" t="str">
        <f aca="false">IF(AND(ISNUMBER(F53),ISNUMBER(G53)),MAX(0,G53-F53),IF(ISNUMBER(H53),H53*IF(I53="Yes / Sí",2,1),""))</f>
        <v/>
      </c>
      <c r="K53" s="61" t="str">
        <f aca="false">IF(OR(J53="",NOT(ISNUMBER(B53))),"",IF(COUNTIF(Settings!$B$8:$B$17,"&lt;="&amp;B53)=0,Settings!$C$8,INDEX(Settings!$C$8:$C$17,COUNTIF(Settings!$B$8:$B$17,"&lt;="&amp;B53))))</f>
        <v/>
      </c>
      <c r="L53" s="56" t="str">
        <f aca="false">IF(K53="","",ROUND(J53*K53,2))</f>
        <v/>
      </c>
      <c r="M53" s="58" t="str">
        <f aca="false">IF(AND(B53="",F53="",G53="",H53=""),"",IF(NOT(ISNUMBER(B53)),"⚠ ADD DATE / AGREGA FECHA",IF(J53="","⚠ ADD MILES / AGREGA MILLAS",IF(AND(ISNUMBER(F53),ISNUMBER(G53)),IF(G53&lt;F53,"⚠ CHECK ODOMETER / REVISA ODÓMETRO","✔ OK"),"✔ OK"))))</f>
        <v/>
      </c>
      <c r="N53" s="53"/>
      <c r="P53" s="51" t="n">
        <f aca="false">IF(ISNUMBER(L53),1,0)</f>
        <v>0</v>
      </c>
      <c r="Q53" s="51" t="n">
        <f aca="false">IF(P53=1,YEAR(B53),0)</f>
        <v>0</v>
      </c>
      <c r="R53" s="51" t="n">
        <f aca="false">IF(P53=1,YEAR(B53)*100+MONTH(B53),0)</f>
        <v>0</v>
      </c>
    </row>
    <row r="54" customFormat="false" ht="15" hidden="false" customHeight="false" outlineLevel="0" collapsed="false">
      <c r="B54" s="52"/>
      <c r="C54" s="53"/>
      <c r="D54" s="53"/>
      <c r="E54" s="53"/>
      <c r="F54" s="59"/>
      <c r="G54" s="59"/>
      <c r="H54" s="59"/>
      <c r="I54" s="57"/>
      <c r="J54" s="60" t="str">
        <f aca="false">IF(AND(ISNUMBER(F54),ISNUMBER(G54)),MAX(0,G54-F54),IF(ISNUMBER(H54),H54*IF(I54="Yes / Sí",2,1),""))</f>
        <v/>
      </c>
      <c r="K54" s="61" t="str">
        <f aca="false">IF(OR(J54="",NOT(ISNUMBER(B54))),"",IF(COUNTIF(Settings!$B$8:$B$17,"&lt;="&amp;B54)=0,Settings!$C$8,INDEX(Settings!$C$8:$C$17,COUNTIF(Settings!$B$8:$B$17,"&lt;="&amp;B54))))</f>
        <v/>
      </c>
      <c r="L54" s="56" t="str">
        <f aca="false">IF(K54="","",ROUND(J54*K54,2))</f>
        <v/>
      </c>
      <c r="M54" s="58" t="str">
        <f aca="false">IF(AND(B54="",F54="",G54="",H54=""),"",IF(NOT(ISNUMBER(B54)),"⚠ ADD DATE / AGREGA FECHA",IF(J54="","⚠ ADD MILES / AGREGA MILLAS",IF(AND(ISNUMBER(F54),ISNUMBER(G54)),IF(G54&lt;F54,"⚠ CHECK ODOMETER / REVISA ODÓMETRO","✔ OK"),"✔ OK"))))</f>
        <v/>
      </c>
      <c r="N54" s="53"/>
      <c r="P54" s="51" t="n">
        <f aca="false">IF(ISNUMBER(L54),1,0)</f>
        <v>0</v>
      </c>
      <c r="Q54" s="51" t="n">
        <f aca="false">IF(P54=1,YEAR(B54),0)</f>
        <v>0</v>
      </c>
      <c r="R54" s="51" t="n">
        <f aca="false">IF(P54=1,YEAR(B54)*100+MONTH(B54),0)</f>
        <v>0</v>
      </c>
    </row>
    <row r="55" customFormat="false" ht="15" hidden="false" customHeight="false" outlineLevel="0" collapsed="false">
      <c r="B55" s="52"/>
      <c r="C55" s="53"/>
      <c r="D55" s="53"/>
      <c r="E55" s="53"/>
      <c r="F55" s="59"/>
      <c r="G55" s="59"/>
      <c r="H55" s="59"/>
      <c r="I55" s="57"/>
      <c r="J55" s="60" t="str">
        <f aca="false">IF(AND(ISNUMBER(F55),ISNUMBER(G55)),MAX(0,G55-F55),IF(ISNUMBER(H55),H55*IF(I55="Yes / Sí",2,1),""))</f>
        <v/>
      </c>
      <c r="K55" s="61" t="str">
        <f aca="false">IF(OR(J55="",NOT(ISNUMBER(B55))),"",IF(COUNTIF(Settings!$B$8:$B$17,"&lt;="&amp;B55)=0,Settings!$C$8,INDEX(Settings!$C$8:$C$17,COUNTIF(Settings!$B$8:$B$17,"&lt;="&amp;B55))))</f>
        <v/>
      </c>
      <c r="L55" s="56" t="str">
        <f aca="false">IF(K55="","",ROUND(J55*K55,2))</f>
        <v/>
      </c>
      <c r="M55" s="58" t="str">
        <f aca="false">IF(AND(B55="",F55="",G55="",H55=""),"",IF(NOT(ISNUMBER(B55)),"⚠ ADD DATE / AGREGA FECHA",IF(J55="","⚠ ADD MILES / AGREGA MILLAS",IF(AND(ISNUMBER(F55),ISNUMBER(G55)),IF(G55&lt;F55,"⚠ CHECK ODOMETER / REVISA ODÓMETRO","✔ OK"),"✔ OK"))))</f>
        <v/>
      </c>
      <c r="N55" s="53"/>
      <c r="P55" s="51" t="n">
        <f aca="false">IF(ISNUMBER(L55),1,0)</f>
        <v>0</v>
      </c>
      <c r="Q55" s="51" t="n">
        <f aca="false">IF(P55=1,YEAR(B55),0)</f>
        <v>0</v>
      </c>
      <c r="R55" s="51" t="n">
        <f aca="false">IF(P55=1,YEAR(B55)*100+MONTH(B55),0)</f>
        <v>0</v>
      </c>
    </row>
    <row r="56" customFormat="false" ht="15" hidden="false" customHeight="false" outlineLevel="0" collapsed="false">
      <c r="B56" s="52"/>
      <c r="C56" s="53"/>
      <c r="D56" s="53"/>
      <c r="E56" s="53"/>
      <c r="F56" s="59"/>
      <c r="G56" s="59"/>
      <c r="H56" s="59"/>
      <c r="I56" s="57"/>
      <c r="J56" s="60" t="str">
        <f aca="false">IF(AND(ISNUMBER(F56),ISNUMBER(G56)),MAX(0,G56-F56),IF(ISNUMBER(H56),H56*IF(I56="Yes / Sí",2,1),""))</f>
        <v/>
      </c>
      <c r="K56" s="61" t="str">
        <f aca="false">IF(OR(J56="",NOT(ISNUMBER(B56))),"",IF(COUNTIF(Settings!$B$8:$B$17,"&lt;="&amp;B56)=0,Settings!$C$8,INDEX(Settings!$C$8:$C$17,COUNTIF(Settings!$B$8:$B$17,"&lt;="&amp;B56))))</f>
        <v/>
      </c>
      <c r="L56" s="56" t="str">
        <f aca="false">IF(K56="","",ROUND(J56*K56,2))</f>
        <v/>
      </c>
      <c r="M56" s="58" t="str">
        <f aca="false">IF(AND(B56="",F56="",G56="",H56=""),"",IF(NOT(ISNUMBER(B56)),"⚠ ADD DATE / AGREGA FECHA",IF(J56="","⚠ ADD MILES / AGREGA MILLAS",IF(AND(ISNUMBER(F56),ISNUMBER(G56)),IF(G56&lt;F56,"⚠ CHECK ODOMETER / REVISA ODÓMETRO","✔ OK"),"✔ OK"))))</f>
        <v/>
      </c>
      <c r="N56" s="53"/>
      <c r="P56" s="51" t="n">
        <f aca="false">IF(ISNUMBER(L56),1,0)</f>
        <v>0</v>
      </c>
      <c r="Q56" s="51" t="n">
        <f aca="false">IF(P56=1,YEAR(B56),0)</f>
        <v>0</v>
      </c>
      <c r="R56" s="51" t="n">
        <f aca="false">IF(P56=1,YEAR(B56)*100+MONTH(B56),0)</f>
        <v>0</v>
      </c>
    </row>
    <row r="57" customFormat="false" ht="15" hidden="false" customHeight="false" outlineLevel="0" collapsed="false">
      <c r="B57" s="52"/>
      <c r="C57" s="53"/>
      <c r="D57" s="53"/>
      <c r="E57" s="53"/>
      <c r="F57" s="59"/>
      <c r="G57" s="59"/>
      <c r="H57" s="59"/>
      <c r="I57" s="57"/>
      <c r="J57" s="60" t="str">
        <f aca="false">IF(AND(ISNUMBER(F57),ISNUMBER(G57)),MAX(0,G57-F57),IF(ISNUMBER(H57),H57*IF(I57="Yes / Sí",2,1),""))</f>
        <v/>
      </c>
      <c r="K57" s="61" t="str">
        <f aca="false">IF(OR(J57="",NOT(ISNUMBER(B57))),"",IF(COUNTIF(Settings!$B$8:$B$17,"&lt;="&amp;B57)=0,Settings!$C$8,INDEX(Settings!$C$8:$C$17,COUNTIF(Settings!$B$8:$B$17,"&lt;="&amp;B57))))</f>
        <v/>
      </c>
      <c r="L57" s="56" t="str">
        <f aca="false">IF(K57="","",ROUND(J57*K57,2))</f>
        <v/>
      </c>
      <c r="M57" s="58" t="str">
        <f aca="false">IF(AND(B57="",F57="",G57="",H57=""),"",IF(NOT(ISNUMBER(B57)),"⚠ ADD DATE / AGREGA FECHA",IF(J57="","⚠ ADD MILES / AGREGA MILLAS",IF(AND(ISNUMBER(F57),ISNUMBER(G57)),IF(G57&lt;F57,"⚠ CHECK ODOMETER / REVISA ODÓMETRO","✔ OK"),"✔ OK"))))</f>
        <v/>
      </c>
      <c r="N57" s="53"/>
      <c r="P57" s="51" t="n">
        <f aca="false">IF(ISNUMBER(L57),1,0)</f>
        <v>0</v>
      </c>
      <c r="Q57" s="51" t="n">
        <f aca="false">IF(P57=1,YEAR(B57),0)</f>
        <v>0</v>
      </c>
      <c r="R57" s="51" t="n">
        <f aca="false">IF(P57=1,YEAR(B57)*100+MONTH(B57),0)</f>
        <v>0</v>
      </c>
    </row>
    <row r="58" customFormat="false" ht="15" hidden="false" customHeight="false" outlineLevel="0" collapsed="false">
      <c r="B58" s="52"/>
      <c r="C58" s="53"/>
      <c r="D58" s="53"/>
      <c r="E58" s="53"/>
      <c r="F58" s="59"/>
      <c r="G58" s="59"/>
      <c r="H58" s="59"/>
      <c r="I58" s="57"/>
      <c r="J58" s="60" t="str">
        <f aca="false">IF(AND(ISNUMBER(F58),ISNUMBER(G58)),MAX(0,G58-F58),IF(ISNUMBER(H58),H58*IF(I58="Yes / Sí",2,1),""))</f>
        <v/>
      </c>
      <c r="K58" s="61" t="str">
        <f aca="false">IF(OR(J58="",NOT(ISNUMBER(B58))),"",IF(COUNTIF(Settings!$B$8:$B$17,"&lt;="&amp;B58)=0,Settings!$C$8,INDEX(Settings!$C$8:$C$17,COUNTIF(Settings!$B$8:$B$17,"&lt;="&amp;B58))))</f>
        <v/>
      </c>
      <c r="L58" s="56" t="str">
        <f aca="false">IF(K58="","",ROUND(J58*K58,2))</f>
        <v/>
      </c>
      <c r="M58" s="58" t="str">
        <f aca="false">IF(AND(B58="",F58="",G58="",H58=""),"",IF(NOT(ISNUMBER(B58)),"⚠ ADD DATE / AGREGA FECHA",IF(J58="","⚠ ADD MILES / AGREGA MILLAS",IF(AND(ISNUMBER(F58),ISNUMBER(G58)),IF(G58&lt;F58,"⚠ CHECK ODOMETER / REVISA ODÓMETRO","✔ OK"),"✔ OK"))))</f>
        <v/>
      </c>
      <c r="N58" s="53"/>
      <c r="P58" s="51" t="n">
        <f aca="false">IF(ISNUMBER(L58),1,0)</f>
        <v>0</v>
      </c>
      <c r="Q58" s="51" t="n">
        <f aca="false">IF(P58=1,YEAR(B58),0)</f>
        <v>0</v>
      </c>
      <c r="R58" s="51" t="n">
        <f aca="false">IF(P58=1,YEAR(B58)*100+MONTH(B58),0)</f>
        <v>0</v>
      </c>
    </row>
    <row r="59" customFormat="false" ht="15" hidden="false" customHeight="false" outlineLevel="0" collapsed="false">
      <c r="B59" s="52"/>
      <c r="C59" s="53"/>
      <c r="D59" s="53"/>
      <c r="E59" s="53"/>
      <c r="F59" s="59"/>
      <c r="G59" s="59"/>
      <c r="H59" s="59"/>
      <c r="I59" s="57"/>
      <c r="J59" s="60" t="str">
        <f aca="false">IF(AND(ISNUMBER(F59),ISNUMBER(G59)),MAX(0,G59-F59),IF(ISNUMBER(H59),H59*IF(I59="Yes / Sí",2,1),""))</f>
        <v/>
      </c>
      <c r="K59" s="61" t="str">
        <f aca="false">IF(OR(J59="",NOT(ISNUMBER(B59))),"",IF(COUNTIF(Settings!$B$8:$B$17,"&lt;="&amp;B59)=0,Settings!$C$8,INDEX(Settings!$C$8:$C$17,COUNTIF(Settings!$B$8:$B$17,"&lt;="&amp;B59))))</f>
        <v/>
      </c>
      <c r="L59" s="56" t="str">
        <f aca="false">IF(K59="","",ROUND(J59*K59,2))</f>
        <v/>
      </c>
      <c r="M59" s="58" t="str">
        <f aca="false">IF(AND(B59="",F59="",G59="",H59=""),"",IF(NOT(ISNUMBER(B59)),"⚠ ADD DATE / AGREGA FECHA",IF(J59="","⚠ ADD MILES / AGREGA MILLAS",IF(AND(ISNUMBER(F59),ISNUMBER(G59)),IF(G59&lt;F59,"⚠ CHECK ODOMETER / REVISA ODÓMETRO","✔ OK"),"✔ OK"))))</f>
        <v/>
      </c>
      <c r="N59" s="53"/>
      <c r="P59" s="51" t="n">
        <f aca="false">IF(ISNUMBER(L59),1,0)</f>
        <v>0</v>
      </c>
      <c r="Q59" s="51" t="n">
        <f aca="false">IF(P59=1,YEAR(B59),0)</f>
        <v>0</v>
      </c>
      <c r="R59" s="51" t="n">
        <f aca="false">IF(P59=1,YEAR(B59)*100+MONTH(B59),0)</f>
        <v>0</v>
      </c>
    </row>
    <row r="60" customFormat="false" ht="15" hidden="false" customHeight="false" outlineLevel="0" collapsed="false">
      <c r="B60" s="52"/>
      <c r="C60" s="53"/>
      <c r="D60" s="53"/>
      <c r="E60" s="53"/>
      <c r="F60" s="59"/>
      <c r="G60" s="59"/>
      <c r="H60" s="59"/>
      <c r="I60" s="57"/>
      <c r="J60" s="60" t="str">
        <f aca="false">IF(AND(ISNUMBER(F60),ISNUMBER(G60)),MAX(0,G60-F60),IF(ISNUMBER(H60),H60*IF(I60="Yes / Sí",2,1),""))</f>
        <v/>
      </c>
      <c r="K60" s="61" t="str">
        <f aca="false">IF(OR(J60="",NOT(ISNUMBER(B60))),"",IF(COUNTIF(Settings!$B$8:$B$17,"&lt;="&amp;B60)=0,Settings!$C$8,INDEX(Settings!$C$8:$C$17,COUNTIF(Settings!$B$8:$B$17,"&lt;="&amp;B60))))</f>
        <v/>
      </c>
      <c r="L60" s="56" t="str">
        <f aca="false">IF(K60="","",ROUND(J60*K60,2))</f>
        <v/>
      </c>
      <c r="M60" s="58" t="str">
        <f aca="false">IF(AND(B60="",F60="",G60="",H60=""),"",IF(NOT(ISNUMBER(B60)),"⚠ ADD DATE / AGREGA FECHA",IF(J60="","⚠ ADD MILES / AGREGA MILLAS",IF(AND(ISNUMBER(F60),ISNUMBER(G60)),IF(G60&lt;F60,"⚠ CHECK ODOMETER / REVISA ODÓMETRO","✔ OK"),"✔ OK"))))</f>
        <v/>
      </c>
      <c r="N60" s="53"/>
      <c r="P60" s="51" t="n">
        <f aca="false">IF(ISNUMBER(L60),1,0)</f>
        <v>0</v>
      </c>
      <c r="Q60" s="51" t="n">
        <f aca="false">IF(P60=1,YEAR(B60),0)</f>
        <v>0</v>
      </c>
      <c r="R60" s="51" t="n">
        <f aca="false">IF(P60=1,YEAR(B60)*100+MONTH(B60),0)</f>
        <v>0</v>
      </c>
    </row>
    <row r="61" customFormat="false" ht="15" hidden="false" customHeight="false" outlineLevel="0" collapsed="false">
      <c r="B61" s="52"/>
      <c r="C61" s="53"/>
      <c r="D61" s="53"/>
      <c r="E61" s="53"/>
      <c r="F61" s="59"/>
      <c r="G61" s="59"/>
      <c r="H61" s="59"/>
      <c r="I61" s="57"/>
      <c r="J61" s="60" t="str">
        <f aca="false">IF(AND(ISNUMBER(F61),ISNUMBER(G61)),MAX(0,G61-F61),IF(ISNUMBER(H61),H61*IF(I61="Yes / Sí",2,1),""))</f>
        <v/>
      </c>
      <c r="K61" s="61" t="str">
        <f aca="false">IF(OR(J61="",NOT(ISNUMBER(B61))),"",IF(COUNTIF(Settings!$B$8:$B$17,"&lt;="&amp;B61)=0,Settings!$C$8,INDEX(Settings!$C$8:$C$17,COUNTIF(Settings!$B$8:$B$17,"&lt;="&amp;B61))))</f>
        <v/>
      </c>
      <c r="L61" s="56" t="str">
        <f aca="false">IF(K61="","",ROUND(J61*K61,2))</f>
        <v/>
      </c>
      <c r="M61" s="58" t="str">
        <f aca="false">IF(AND(B61="",F61="",G61="",H61=""),"",IF(NOT(ISNUMBER(B61)),"⚠ ADD DATE / AGREGA FECHA",IF(J61="","⚠ ADD MILES / AGREGA MILLAS",IF(AND(ISNUMBER(F61),ISNUMBER(G61)),IF(G61&lt;F61,"⚠ CHECK ODOMETER / REVISA ODÓMETRO","✔ OK"),"✔ OK"))))</f>
        <v/>
      </c>
      <c r="N61" s="53"/>
      <c r="P61" s="51" t="n">
        <f aca="false">IF(ISNUMBER(L61),1,0)</f>
        <v>0</v>
      </c>
      <c r="Q61" s="51" t="n">
        <f aca="false">IF(P61=1,YEAR(B61),0)</f>
        <v>0</v>
      </c>
      <c r="R61" s="51" t="n">
        <f aca="false">IF(P61=1,YEAR(B61)*100+MONTH(B61),0)</f>
        <v>0</v>
      </c>
    </row>
    <row r="62" customFormat="false" ht="15" hidden="false" customHeight="false" outlineLevel="0" collapsed="false">
      <c r="B62" s="52"/>
      <c r="C62" s="53"/>
      <c r="D62" s="53"/>
      <c r="E62" s="53"/>
      <c r="F62" s="59"/>
      <c r="G62" s="59"/>
      <c r="H62" s="59"/>
      <c r="I62" s="57"/>
      <c r="J62" s="60" t="str">
        <f aca="false">IF(AND(ISNUMBER(F62),ISNUMBER(G62)),MAX(0,G62-F62),IF(ISNUMBER(H62),H62*IF(I62="Yes / Sí",2,1),""))</f>
        <v/>
      </c>
      <c r="K62" s="61" t="str">
        <f aca="false">IF(OR(J62="",NOT(ISNUMBER(B62))),"",IF(COUNTIF(Settings!$B$8:$B$17,"&lt;="&amp;B62)=0,Settings!$C$8,INDEX(Settings!$C$8:$C$17,COUNTIF(Settings!$B$8:$B$17,"&lt;="&amp;B62))))</f>
        <v/>
      </c>
      <c r="L62" s="56" t="str">
        <f aca="false">IF(K62="","",ROUND(J62*K62,2))</f>
        <v/>
      </c>
      <c r="M62" s="58" t="str">
        <f aca="false">IF(AND(B62="",F62="",G62="",H62=""),"",IF(NOT(ISNUMBER(B62)),"⚠ ADD DATE / AGREGA FECHA",IF(J62="","⚠ ADD MILES / AGREGA MILLAS",IF(AND(ISNUMBER(F62),ISNUMBER(G62)),IF(G62&lt;F62,"⚠ CHECK ODOMETER / REVISA ODÓMETRO","✔ OK"),"✔ OK"))))</f>
        <v/>
      </c>
      <c r="N62" s="53"/>
      <c r="P62" s="51" t="n">
        <f aca="false">IF(ISNUMBER(L62),1,0)</f>
        <v>0</v>
      </c>
      <c r="Q62" s="51" t="n">
        <f aca="false">IF(P62=1,YEAR(B62),0)</f>
        <v>0</v>
      </c>
      <c r="R62" s="51" t="n">
        <f aca="false">IF(P62=1,YEAR(B62)*100+MONTH(B62),0)</f>
        <v>0</v>
      </c>
    </row>
    <row r="63" customFormat="false" ht="15" hidden="false" customHeight="false" outlineLevel="0" collapsed="false">
      <c r="B63" s="52"/>
      <c r="C63" s="53"/>
      <c r="D63" s="53"/>
      <c r="E63" s="53"/>
      <c r="F63" s="59"/>
      <c r="G63" s="59"/>
      <c r="H63" s="59"/>
      <c r="I63" s="57"/>
      <c r="J63" s="60" t="str">
        <f aca="false">IF(AND(ISNUMBER(F63),ISNUMBER(G63)),MAX(0,G63-F63),IF(ISNUMBER(H63),H63*IF(I63="Yes / Sí",2,1),""))</f>
        <v/>
      </c>
      <c r="K63" s="61" t="str">
        <f aca="false">IF(OR(J63="",NOT(ISNUMBER(B63))),"",IF(COUNTIF(Settings!$B$8:$B$17,"&lt;="&amp;B63)=0,Settings!$C$8,INDEX(Settings!$C$8:$C$17,COUNTIF(Settings!$B$8:$B$17,"&lt;="&amp;B63))))</f>
        <v/>
      </c>
      <c r="L63" s="56" t="str">
        <f aca="false">IF(K63="","",ROUND(J63*K63,2))</f>
        <v/>
      </c>
      <c r="M63" s="58" t="str">
        <f aca="false">IF(AND(B63="",F63="",G63="",H63=""),"",IF(NOT(ISNUMBER(B63)),"⚠ ADD DATE / AGREGA FECHA",IF(J63="","⚠ ADD MILES / AGREGA MILLAS",IF(AND(ISNUMBER(F63),ISNUMBER(G63)),IF(G63&lt;F63,"⚠ CHECK ODOMETER / REVISA ODÓMETRO","✔ OK"),"✔ OK"))))</f>
        <v/>
      </c>
      <c r="N63" s="53"/>
      <c r="P63" s="51" t="n">
        <f aca="false">IF(ISNUMBER(L63),1,0)</f>
        <v>0</v>
      </c>
      <c r="Q63" s="51" t="n">
        <f aca="false">IF(P63=1,YEAR(B63),0)</f>
        <v>0</v>
      </c>
      <c r="R63" s="51" t="n">
        <f aca="false">IF(P63=1,YEAR(B63)*100+MONTH(B63),0)</f>
        <v>0</v>
      </c>
    </row>
    <row r="64" customFormat="false" ht="15" hidden="false" customHeight="false" outlineLevel="0" collapsed="false">
      <c r="B64" s="52"/>
      <c r="C64" s="53"/>
      <c r="D64" s="53"/>
      <c r="E64" s="53"/>
      <c r="F64" s="59"/>
      <c r="G64" s="59"/>
      <c r="H64" s="59"/>
      <c r="I64" s="57"/>
      <c r="J64" s="60" t="str">
        <f aca="false">IF(AND(ISNUMBER(F64),ISNUMBER(G64)),MAX(0,G64-F64),IF(ISNUMBER(H64),H64*IF(I64="Yes / Sí",2,1),""))</f>
        <v/>
      </c>
      <c r="K64" s="61" t="str">
        <f aca="false">IF(OR(J64="",NOT(ISNUMBER(B64))),"",IF(COUNTIF(Settings!$B$8:$B$17,"&lt;="&amp;B64)=0,Settings!$C$8,INDEX(Settings!$C$8:$C$17,COUNTIF(Settings!$B$8:$B$17,"&lt;="&amp;B64))))</f>
        <v/>
      </c>
      <c r="L64" s="56" t="str">
        <f aca="false">IF(K64="","",ROUND(J64*K64,2))</f>
        <v/>
      </c>
      <c r="M64" s="58" t="str">
        <f aca="false">IF(AND(B64="",F64="",G64="",H64=""),"",IF(NOT(ISNUMBER(B64)),"⚠ ADD DATE / AGREGA FECHA",IF(J64="","⚠ ADD MILES / AGREGA MILLAS",IF(AND(ISNUMBER(F64),ISNUMBER(G64)),IF(G64&lt;F64,"⚠ CHECK ODOMETER / REVISA ODÓMETRO","✔ OK"),"✔ OK"))))</f>
        <v/>
      </c>
      <c r="N64" s="53"/>
      <c r="P64" s="51" t="n">
        <f aca="false">IF(ISNUMBER(L64),1,0)</f>
        <v>0</v>
      </c>
      <c r="Q64" s="51" t="n">
        <f aca="false">IF(P64=1,YEAR(B64),0)</f>
        <v>0</v>
      </c>
      <c r="R64" s="51" t="n">
        <f aca="false">IF(P64=1,YEAR(B64)*100+MONTH(B64),0)</f>
        <v>0</v>
      </c>
    </row>
    <row r="65" customFormat="false" ht="15" hidden="false" customHeight="false" outlineLevel="0" collapsed="false">
      <c r="B65" s="52"/>
      <c r="C65" s="53"/>
      <c r="D65" s="53"/>
      <c r="E65" s="53"/>
      <c r="F65" s="59"/>
      <c r="G65" s="59"/>
      <c r="H65" s="59"/>
      <c r="I65" s="57"/>
      <c r="J65" s="60" t="str">
        <f aca="false">IF(AND(ISNUMBER(F65),ISNUMBER(G65)),MAX(0,G65-F65),IF(ISNUMBER(H65),H65*IF(I65="Yes / Sí",2,1),""))</f>
        <v/>
      </c>
      <c r="K65" s="61" t="str">
        <f aca="false">IF(OR(J65="",NOT(ISNUMBER(B65))),"",IF(COUNTIF(Settings!$B$8:$B$17,"&lt;="&amp;B65)=0,Settings!$C$8,INDEX(Settings!$C$8:$C$17,COUNTIF(Settings!$B$8:$B$17,"&lt;="&amp;B65))))</f>
        <v/>
      </c>
      <c r="L65" s="56" t="str">
        <f aca="false">IF(K65="","",ROUND(J65*K65,2))</f>
        <v/>
      </c>
      <c r="M65" s="58" t="str">
        <f aca="false">IF(AND(B65="",F65="",G65="",H65=""),"",IF(NOT(ISNUMBER(B65)),"⚠ ADD DATE / AGREGA FECHA",IF(J65="","⚠ ADD MILES / AGREGA MILLAS",IF(AND(ISNUMBER(F65),ISNUMBER(G65)),IF(G65&lt;F65,"⚠ CHECK ODOMETER / REVISA ODÓMETRO","✔ OK"),"✔ OK"))))</f>
        <v/>
      </c>
      <c r="N65" s="53"/>
      <c r="P65" s="51" t="n">
        <f aca="false">IF(ISNUMBER(L65),1,0)</f>
        <v>0</v>
      </c>
      <c r="Q65" s="51" t="n">
        <f aca="false">IF(P65=1,YEAR(B65),0)</f>
        <v>0</v>
      </c>
      <c r="R65" s="51" t="n">
        <f aca="false">IF(P65=1,YEAR(B65)*100+MONTH(B65),0)</f>
        <v>0</v>
      </c>
    </row>
    <row r="66" customFormat="false" ht="15" hidden="false" customHeight="false" outlineLevel="0" collapsed="false">
      <c r="B66" s="52"/>
      <c r="C66" s="53"/>
      <c r="D66" s="53"/>
      <c r="E66" s="53"/>
      <c r="F66" s="59"/>
      <c r="G66" s="59"/>
      <c r="H66" s="59"/>
      <c r="I66" s="57"/>
      <c r="J66" s="60" t="str">
        <f aca="false">IF(AND(ISNUMBER(F66),ISNUMBER(G66)),MAX(0,G66-F66),IF(ISNUMBER(H66),H66*IF(I66="Yes / Sí",2,1),""))</f>
        <v/>
      </c>
      <c r="K66" s="61" t="str">
        <f aca="false">IF(OR(J66="",NOT(ISNUMBER(B66))),"",IF(COUNTIF(Settings!$B$8:$B$17,"&lt;="&amp;B66)=0,Settings!$C$8,INDEX(Settings!$C$8:$C$17,COUNTIF(Settings!$B$8:$B$17,"&lt;="&amp;B66))))</f>
        <v/>
      </c>
      <c r="L66" s="56" t="str">
        <f aca="false">IF(K66="","",ROUND(J66*K66,2))</f>
        <v/>
      </c>
      <c r="M66" s="58" t="str">
        <f aca="false">IF(AND(B66="",F66="",G66="",H66=""),"",IF(NOT(ISNUMBER(B66)),"⚠ ADD DATE / AGREGA FECHA",IF(J66="","⚠ ADD MILES / AGREGA MILLAS",IF(AND(ISNUMBER(F66),ISNUMBER(G66)),IF(G66&lt;F66,"⚠ CHECK ODOMETER / REVISA ODÓMETRO","✔ OK"),"✔ OK"))))</f>
        <v/>
      </c>
      <c r="N66" s="53"/>
      <c r="P66" s="51" t="n">
        <f aca="false">IF(ISNUMBER(L66),1,0)</f>
        <v>0</v>
      </c>
      <c r="Q66" s="51" t="n">
        <f aca="false">IF(P66=1,YEAR(B66),0)</f>
        <v>0</v>
      </c>
      <c r="R66" s="51" t="n">
        <f aca="false">IF(P66=1,YEAR(B66)*100+MONTH(B66),0)</f>
        <v>0</v>
      </c>
    </row>
    <row r="67" customFormat="false" ht="15" hidden="false" customHeight="false" outlineLevel="0" collapsed="false">
      <c r="B67" s="52"/>
      <c r="C67" s="53"/>
      <c r="D67" s="53"/>
      <c r="E67" s="53"/>
      <c r="F67" s="59"/>
      <c r="G67" s="59"/>
      <c r="H67" s="59"/>
      <c r="I67" s="57"/>
      <c r="J67" s="60" t="str">
        <f aca="false">IF(AND(ISNUMBER(F67),ISNUMBER(G67)),MAX(0,G67-F67),IF(ISNUMBER(H67),H67*IF(I67="Yes / Sí",2,1),""))</f>
        <v/>
      </c>
      <c r="K67" s="61" t="str">
        <f aca="false">IF(OR(J67="",NOT(ISNUMBER(B67))),"",IF(COUNTIF(Settings!$B$8:$B$17,"&lt;="&amp;B67)=0,Settings!$C$8,INDEX(Settings!$C$8:$C$17,COUNTIF(Settings!$B$8:$B$17,"&lt;="&amp;B67))))</f>
        <v/>
      </c>
      <c r="L67" s="56" t="str">
        <f aca="false">IF(K67="","",ROUND(J67*K67,2))</f>
        <v/>
      </c>
      <c r="M67" s="58" t="str">
        <f aca="false">IF(AND(B67="",F67="",G67="",H67=""),"",IF(NOT(ISNUMBER(B67)),"⚠ ADD DATE / AGREGA FECHA",IF(J67="","⚠ ADD MILES / AGREGA MILLAS",IF(AND(ISNUMBER(F67),ISNUMBER(G67)),IF(G67&lt;F67,"⚠ CHECK ODOMETER / REVISA ODÓMETRO","✔ OK"),"✔ OK"))))</f>
        <v/>
      </c>
      <c r="N67" s="53"/>
      <c r="P67" s="51" t="n">
        <f aca="false">IF(ISNUMBER(L67),1,0)</f>
        <v>0</v>
      </c>
      <c r="Q67" s="51" t="n">
        <f aca="false">IF(P67=1,YEAR(B67),0)</f>
        <v>0</v>
      </c>
      <c r="R67" s="51" t="n">
        <f aca="false">IF(P67=1,YEAR(B67)*100+MONTH(B67),0)</f>
        <v>0</v>
      </c>
    </row>
    <row r="68" customFormat="false" ht="15" hidden="false" customHeight="false" outlineLevel="0" collapsed="false">
      <c r="B68" s="52"/>
      <c r="C68" s="53"/>
      <c r="D68" s="53"/>
      <c r="E68" s="53"/>
      <c r="F68" s="59"/>
      <c r="G68" s="59"/>
      <c r="H68" s="59"/>
      <c r="I68" s="57"/>
      <c r="J68" s="60" t="str">
        <f aca="false">IF(AND(ISNUMBER(F68),ISNUMBER(G68)),MAX(0,G68-F68),IF(ISNUMBER(H68),H68*IF(I68="Yes / Sí",2,1),""))</f>
        <v/>
      </c>
      <c r="K68" s="61" t="str">
        <f aca="false">IF(OR(J68="",NOT(ISNUMBER(B68))),"",IF(COUNTIF(Settings!$B$8:$B$17,"&lt;="&amp;B68)=0,Settings!$C$8,INDEX(Settings!$C$8:$C$17,COUNTIF(Settings!$B$8:$B$17,"&lt;="&amp;B68))))</f>
        <v/>
      </c>
      <c r="L68" s="56" t="str">
        <f aca="false">IF(K68="","",ROUND(J68*K68,2))</f>
        <v/>
      </c>
      <c r="M68" s="58" t="str">
        <f aca="false">IF(AND(B68="",F68="",G68="",H68=""),"",IF(NOT(ISNUMBER(B68)),"⚠ ADD DATE / AGREGA FECHA",IF(J68="","⚠ ADD MILES / AGREGA MILLAS",IF(AND(ISNUMBER(F68),ISNUMBER(G68)),IF(G68&lt;F68,"⚠ CHECK ODOMETER / REVISA ODÓMETRO","✔ OK"),"✔ OK"))))</f>
        <v/>
      </c>
      <c r="N68" s="53"/>
      <c r="P68" s="51" t="n">
        <f aca="false">IF(ISNUMBER(L68),1,0)</f>
        <v>0</v>
      </c>
      <c r="Q68" s="51" t="n">
        <f aca="false">IF(P68=1,YEAR(B68),0)</f>
        <v>0</v>
      </c>
      <c r="R68" s="51" t="n">
        <f aca="false">IF(P68=1,YEAR(B68)*100+MONTH(B68),0)</f>
        <v>0</v>
      </c>
    </row>
    <row r="69" customFormat="false" ht="15" hidden="false" customHeight="false" outlineLevel="0" collapsed="false">
      <c r="B69" s="52"/>
      <c r="C69" s="53"/>
      <c r="D69" s="53"/>
      <c r="E69" s="53"/>
      <c r="F69" s="59"/>
      <c r="G69" s="59"/>
      <c r="H69" s="59"/>
      <c r="I69" s="57"/>
      <c r="J69" s="60" t="str">
        <f aca="false">IF(AND(ISNUMBER(F69),ISNUMBER(G69)),MAX(0,G69-F69),IF(ISNUMBER(H69),H69*IF(I69="Yes / Sí",2,1),""))</f>
        <v/>
      </c>
      <c r="K69" s="61" t="str">
        <f aca="false">IF(OR(J69="",NOT(ISNUMBER(B69))),"",IF(COUNTIF(Settings!$B$8:$B$17,"&lt;="&amp;B69)=0,Settings!$C$8,INDEX(Settings!$C$8:$C$17,COUNTIF(Settings!$B$8:$B$17,"&lt;="&amp;B69))))</f>
        <v/>
      </c>
      <c r="L69" s="56" t="str">
        <f aca="false">IF(K69="","",ROUND(J69*K69,2))</f>
        <v/>
      </c>
      <c r="M69" s="58" t="str">
        <f aca="false">IF(AND(B69="",F69="",G69="",H69=""),"",IF(NOT(ISNUMBER(B69)),"⚠ ADD DATE / AGREGA FECHA",IF(J69="","⚠ ADD MILES / AGREGA MILLAS",IF(AND(ISNUMBER(F69),ISNUMBER(G69)),IF(G69&lt;F69,"⚠ CHECK ODOMETER / REVISA ODÓMETRO","✔ OK"),"✔ OK"))))</f>
        <v/>
      </c>
      <c r="N69" s="53"/>
      <c r="P69" s="51" t="n">
        <f aca="false">IF(ISNUMBER(L69),1,0)</f>
        <v>0</v>
      </c>
      <c r="Q69" s="51" t="n">
        <f aca="false">IF(P69=1,YEAR(B69),0)</f>
        <v>0</v>
      </c>
      <c r="R69" s="51" t="n">
        <f aca="false">IF(P69=1,YEAR(B69)*100+MONTH(B69),0)</f>
        <v>0</v>
      </c>
    </row>
    <row r="70" customFormat="false" ht="15" hidden="false" customHeight="false" outlineLevel="0" collapsed="false">
      <c r="B70" s="52"/>
      <c r="C70" s="53"/>
      <c r="D70" s="53"/>
      <c r="E70" s="53"/>
      <c r="F70" s="59"/>
      <c r="G70" s="59"/>
      <c r="H70" s="59"/>
      <c r="I70" s="57"/>
      <c r="J70" s="60" t="str">
        <f aca="false">IF(AND(ISNUMBER(F70),ISNUMBER(G70)),MAX(0,G70-F70),IF(ISNUMBER(H70),H70*IF(I70="Yes / Sí",2,1),""))</f>
        <v/>
      </c>
      <c r="K70" s="61" t="str">
        <f aca="false">IF(OR(J70="",NOT(ISNUMBER(B70))),"",IF(COUNTIF(Settings!$B$8:$B$17,"&lt;="&amp;B70)=0,Settings!$C$8,INDEX(Settings!$C$8:$C$17,COUNTIF(Settings!$B$8:$B$17,"&lt;="&amp;B70))))</f>
        <v/>
      </c>
      <c r="L70" s="56" t="str">
        <f aca="false">IF(K70="","",ROUND(J70*K70,2))</f>
        <v/>
      </c>
      <c r="M70" s="58" t="str">
        <f aca="false">IF(AND(B70="",F70="",G70="",H70=""),"",IF(NOT(ISNUMBER(B70)),"⚠ ADD DATE / AGREGA FECHA",IF(J70="","⚠ ADD MILES / AGREGA MILLAS",IF(AND(ISNUMBER(F70),ISNUMBER(G70)),IF(G70&lt;F70,"⚠ CHECK ODOMETER / REVISA ODÓMETRO","✔ OK"),"✔ OK"))))</f>
        <v/>
      </c>
      <c r="N70" s="53"/>
      <c r="P70" s="51" t="n">
        <f aca="false">IF(ISNUMBER(L70),1,0)</f>
        <v>0</v>
      </c>
      <c r="Q70" s="51" t="n">
        <f aca="false">IF(P70=1,YEAR(B70),0)</f>
        <v>0</v>
      </c>
      <c r="R70" s="51" t="n">
        <f aca="false">IF(P70=1,YEAR(B70)*100+MONTH(B70),0)</f>
        <v>0</v>
      </c>
    </row>
    <row r="71" customFormat="false" ht="15" hidden="false" customHeight="false" outlineLevel="0" collapsed="false">
      <c r="B71" s="52"/>
      <c r="C71" s="53"/>
      <c r="D71" s="53"/>
      <c r="E71" s="53"/>
      <c r="F71" s="59"/>
      <c r="G71" s="59"/>
      <c r="H71" s="59"/>
      <c r="I71" s="57"/>
      <c r="J71" s="60" t="str">
        <f aca="false">IF(AND(ISNUMBER(F71),ISNUMBER(G71)),MAX(0,G71-F71),IF(ISNUMBER(H71),H71*IF(I71="Yes / Sí",2,1),""))</f>
        <v/>
      </c>
      <c r="K71" s="61" t="str">
        <f aca="false">IF(OR(J71="",NOT(ISNUMBER(B71))),"",IF(COUNTIF(Settings!$B$8:$B$17,"&lt;="&amp;B71)=0,Settings!$C$8,INDEX(Settings!$C$8:$C$17,COUNTIF(Settings!$B$8:$B$17,"&lt;="&amp;B71))))</f>
        <v/>
      </c>
      <c r="L71" s="56" t="str">
        <f aca="false">IF(K71="","",ROUND(J71*K71,2))</f>
        <v/>
      </c>
      <c r="M71" s="58" t="str">
        <f aca="false">IF(AND(B71="",F71="",G71="",H71=""),"",IF(NOT(ISNUMBER(B71)),"⚠ ADD DATE / AGREGA FECHA",IF(J71="","⚠ ADD MILES / AGREGA MILLAS",IF(AND(ISNUMBER(F71),ISNUMBER(G71)),IF(G71&lt;F71,"⚠ CHECK ODOMETER / REVISA ODÓMETRO","✔ OK"),"✔ OK"))))</f>
        <v/>
      </c>
      <c r="N71" s="53"/>
      <c r="P71" s="51" t="n">
        <f aca="false">IF(ISNUMBER(L71),1,0)</f>
        <v>0</v>
      </c>
      <c r="Q71" s="51" t="n">
        <f aca="false">IF(P71=1,YEAR(B71),0)</f>
        <v>0</v>
      </c>
      <c r="R71" s="51" t="n">
        <f aca="false">IF(P71=1,YEAR(B71)*100+MONTH(B71),0)</f>
        <v>0</v>
      </c>
    </row>
    <row r="72" customFormat="false" ht="15" hidden="false" customHeight="false" outlineLevel="0" collapsed="false">
      <c r="B72" s="52"/>
      <c r="C72" s="53"/>
      <c r="D72" s="53"/>
      <c r="E72" s="53"/>
      <c r="F72" s="59"/>
      <c r="G72" s="59"/>
      <c r="H72" s="59"/>
      <c r="I72" s="57"/>
      <c r="J72" s="60" t="str">
        <f aca="false">IF(AND(ISNUMBER(F72),ISNUMBER(G72)),MAX(0,G72-F72),IF(ISNUMBER(H72),H72*IF(I72="Yes / Sí",2,1),""))</f>
        <v/>
      </c>
      <c r="K72" s="61" t="str">
        <f aca="false">IF(OR(J72="",NOT(ISNUMBER(B72))),"",IF(COUNTIF(Settings!$B$8:$B$17,"&lt;="&amp;B72)=0,Settings!$C$8,INDEX(Settings!$C$8:$C$17,COUNTIF(Settings!$B$8:$B$17,"&lt;="&amp;B72))))</f>
        <v/>
      </c>
      <c r="L72" s="56" t="str">
        <f aca="false">IF(K72="","",ROUND(J72*K72,2))</f>
        <v/>
      </c>
      <c r="M72" s="58" t="str">
        <f aca="false">IF(AND(B72="",F72="",G72="",H72=""),"",IF(NOT(ISNUMBER(B72)),"⚠ ADD DATE / AGREGA FECHA",IF(J72="","⚠ ADD MILES / AGREGA MILLAS",IF(AND(ISNUMBER(F72),ISNUMBER(G72)),IF(G72&lt;F72,"⚠ CHECK ODOMETER / REVISA ODÓMETRO","✔ OK"),"✔ OK"))))</f>
        <v/>
      </c>
      <c r="N72" s="53"/>
      <c r="P72" s="51" t="n">
        <f aca="false">IF(ISNUMBER(L72),1,0)</f>
        <v>0</v>
      </c>
      <c r="Q72" s="51" t="n">
        <f aca="false">IF(P72=1,YEAR(B72),0)</f>
        <v>0</v>
      </c>
      <c r="R72" s="51" t="n">
        <f aca="false">IF(P72=1,YEAR(B72)*100+MONTH(B72),0)</f>
        <v>0</v>
      </c>
    </row>
    <row r="73" customFormat="false" ht="15" hidden="false" customHeight="false" outlineLevel="0" collapsed="false">
      <c r="B73" s="52"/>
      <c r="C73" s="53"/>
      <c r="D73" s="53"/>
      <c r="E73" s="53"/>
      <c r="F73" s="59"/>
      <c r="G73" s="59"/>
      <c r="H73" s="59"/>
      <c r="I73" s="57"/>
      <c r="J73" s="60" t="str">
        <f aca="false">IF(AND(ISNUMBER(F73),ISNUMBER(G73)),MAX(0,G73-F73),IF(ISNUMBER(H73),H73*IF(I73="Yes / Sí",2,1),""))</f>
        <v/>
      </c>
      <c r="K73" s="61" t="str">
        <f aca="false">IF(OR(J73="",NOT(ISNUMBER(B73))),"",IF(COUNTIF(Settings!$B$8:$B$17,"&lt;="&amp;B73)=0,Settings!$C$8,INDEX(Settings!$C$8:$C$17,COUNTIF(Settings!$B$8:$B$17,"&lt;="&amp;B73))))</f>
        <v/>
      </c>
      <c r="L73" s="56" t="str">
        <f aca="false">IF(K73="","",ROUND(J73*K73,2))</f>
        <v/>
      </c>
      <c r="M73" s="58" t="str">
        <f aca="false">IF(AND(B73="",F73="",G73="",H73=""),"",IF(NOT(ISNUMBER(B73)),"⚠ ADD DATE / AGREGA FECHA",IF(J73="","⚠ ADD MILES / AGREGA MILLAS",IF(AND(ISNUMBER(F73),ISNUMBER(G73)),IF(G73&lt;F73,"⚠ CHECK ODOMETER / REVISA ODÓMETRO","✔ OK"),"✔ OK"))))</f>
        <v/>
      </c>
      <c r="N73" s="53"/>
      <c r="P73" s="51" t="n">
        <f aca="false">IF(ISNUMBER(L73),1,0)</f>
        <v>0</v>
      </c>
      <c r="Q73" s="51" t="n">
        <f aca="false">IF(P73=1,YEAR(B73),0)</f>
        <v>0</v>
      </c>
      <c r="R73" s="51" t="n">
        <f aca="false">IF(P73=1,YEAR(B73)*100+MONTH(B73),0)</f>
        <v>0</v>
      </c>
    </row>
    <row r="74" customFormat="false" ht="15" hidden="false" customHeight="false" outlineLevel="0" collapsed="false">
      <c r="B74" s="52"/>
      <c r="C74" s="53"/>
      <c r="D74" s="53"/>
      <c r="E74" s="53"/>
      <c r="F74" s="59"/>
      <c r="G74" s="59"/>
      <c r="H74" s="59"/>
      <c r="I74" s="57"/>
      <c r="J74" s="60" t="str">
        <f aca="false">IF(AND(ISNUMBER(F74),ISNUMBER(G74)),MAX(0,G74-F74),IF(ISNUMBER(H74),H74*IF(I74="Yes / Sí",2,1),""))</f>
        <v/>
      </c>
      <c r="K74" s="61" t="str">
        <f aca="false">IF(OR(J74="",NOT(ISNUMBER(B74))),"",IF(COUNTIF(Settings!$B$8:$B$17,"&lt;="&amp;B74)=0,Settings!$C$8,INDEX(Settings!$C$8:$C$17,COUNTIF(Settings!$B$8:$B$17,"&lt;="&amp;B74))))</f>
        <v/>
      </c>
      <c r="L74" s="56" t="str">
        <f aca="false">IF(K74="","",ROUND(J74*K74,2))</f>
        <v/>
      </c>
      <c r="M74" s="58" t="str">
        <f aca="false">IF(AND(B74="",F74="",G74="",H74=""),"",IF(NOT(ISNUMBER(B74)),"⚠ ADD DATE / AGREGA FECHA",IF(J74="","⚠ ADD MILES / AGREGA MILLAS",IF(AND(ISNUMBER(F74),ISNUMBER(G74)),IF(G74&lt;F74,"⚠ CHECK ODOMETER / REVISA ODÓMETRO","✔ OK"),"✔ OK"))))</f>
        <v/>
      </c>
      <c r="N74" s="53"/>
      <c r="P74" s="51" t="n">
        <f aca="false">IF(ISNUMBER(L74),1,0)</f>
        <v>0</v>
      </c>
      <c r="Q74" s="51" t="n">
        <f aca="false">IF(P74=1,YEAR(B74),0)</f>
        <v>0</v>
      </c>
      <c r="R74" s="51" t="n">
        <f aca="false">IF(P74=1,YEAR(B74)*100+MONTH(B74),0)</f>
        <v>0</v>
      </c>
    </row>
    <row r="75" customFormat="false" ht="15" hidden="false" customHeight="false" outlineLevel="0" collapsed="false">
      <c r="B75" s="52"/>
      <c r="C75" s="53"/>
      <c r="D75" s="53"/>
      <c r="E75" s="53"/>
      <c r="F75" s="59"/>
      <c r="G75" s="59"/>
      <c r="H75" s="59"/>
      <c r="I75" s="57"/>
      <c r="J75" s="60" t="str">
        <f aca="false">IF(AND(ISNUMBER(F75),ISNUMBER(G75)),MAX(0,G75-F75),IF(ISNUMBER(H75),H75*IF(I75="Yes / Sí",2,1),""))</f>
        <v/>
      </c>
      <c r="K75" s="61" t="str">
        <f aca="false">IF(OR(J75="",NOT(ISNUMBER(B75))),"",IF(COUNTIF(Settings!$B$8:$B$17,"&lt;="&amp;B75)=0,Settings!$C$8,INDEX(Settings!$C$8:$C$17,COUNTIF(Settings!$B$8:$B$17,"&lt;="&amp;B75))))</f>
        <v/>
      </c>
      <c r="L75" s="56" t="str">
        <f aca="false">IF(K75="","",ROUND(J75*K75,2))</f>
        <v/>
      </c>
      <c r="M75" s="58" t="str">
        <f aca="false">IF(AND(B75="",F75="",G75="",H75=""),"",IF(NOT(ISNUMBER(B75)),"⚠ ADD DATE / AGREGA FECHA",IF(J75="","⚠ ADD MILES / AGREGA MILLAS",IF(AND(ISNUMBER(F75),ISNUMBER(G75)),IF(G75&lt;F75,"⚠ CHECK ODOMETER / REVISA ODÓMETRO","✔ OK"),"✔ OK"))))</f>
        <v/>
      </c>
      <c r="N75" s="53"/>
      <c r="P75" s="51" t="n">
        <f aca="false">IF(ISNUMBER(L75),1,0)</f>
        <v>0</v>
      </c>
      <c r="Q75" s="51" t="n">
        <f aca="false">IF(P75=1,YEAR(B75),0)</f>
        <v>0</v>
      </c>
      <c r="R75" s="51" t="n">
        <f aca="false">IF(P75=1,YEAR(B75)*100+MONTH(B75),0)</f>
        <v>0</v>
      </c>
    </row>
    <row r="76" customFormat="false" ht="15" hidden="false" customHeight="false" outlineLevel="0" collapsed="false">
      <c r="B76" s="52"/>
      <c r="C76" s="53"/>
      <c r="D76" s="53"/>
      <c r="E76" s="53"/>
      <c r="F76" s="59"/>
      <c r="G76" s="59"/>
      <c r="H76" s="59"/>
      <c r="I76" s="57"/>
      <c r="J76" s="60" t="str">
        <f aca="false">IF(AND(ISNUMBER(F76),ISNUMBER(G76)),MAX(0,G76-F76),IF(ISNUMBER(H76),H76*IF(I76="Yes / Sí",2,1),""))</f>
        <v/>
      </c>
      <c r="K76" s="61" t="str">
        <f aca="false">IF(OR(J76="",NOT(ISNUMBER(B76))),"",IF(COUNTIF(Settings!$B$8:$B$17,"&lt;="&amp;B76)=0,Settings!$C$8,INDEX(Settings!$C$8:$C$17,COUNTIF(Settings!$B$8:$B$17,"&lt;="&amp;B76))))</f>
        <v/>
      </c>
      <c r="L76" s="56" t="str">
        <f aca="false">IF(K76="","",ROUND(J76*K76,2))</f>
        <v/>
      </c>
      <c r="M76" s="58" t="str">
        <f aca="false">IF(AND(B76="",F76="",G76="",H76=""),"",IF(NOT(ISNUMBER(B76)),"⚠ ADD DATE / AGREGA FECHA",IF(J76="","⚠ ADD MILES / AGREGA MILLAS",IF(AND(ISNUMBER(F76),ISNUMBER(G76)),IF(G76&lt;F76,"⚠ CHECK ODOMETER / REVISA ODÓMETRO","✔ OK"),"✔ OK"))))</f>
        <v/>
      </c>
      <c r="N76" s="53"/>
      <c r="P76" s="51" t="n">
        <f aca="false">IF(ISNUMBER(L76),1,0)</f>
        <v>0</v>
      </c>
      <c r="Q76" s="51" t="n">
        <f aca="false">IF(P76=1,YEAR(B76),0)</f>
        <v>0</v>
      </c>
      <c r="R76" s="51" t="n">
        <f aca="false">IF(P76=1,YEAR(B76)*100+MONTH(B76),0)</f>
        <v>0</v>
      </c>
    </row>
    <row r="77" customFormat="false" ht="15" hidden="false" customHeight="false" outlineLevel="0" collapsed="false">
      <c r="B77" s="52"/>
      <c r="C77" s="53"/>
      <c r="D77" s="53"/>
      <c r="E77" s="53"/>
      <c r="F77" s="59"/>
      <c r="G77" s="59"/>
      <c r="H77" s="59"/>
      <c r="I77" s="57"/>
      <c r="J77" s="60" t="str">
        <f aca="false">IF(AND(ISNUMBER(F77),ISNUMBER(G77)),MAX(0,G77-F77),IF(ISNUMBER(H77),H77*IF(I77="Yes / Sí",2,1),""))</f>
        <v/>
      </c>
      <c r="K77" s="61" t="str">
        <f aca="false">IF(OR(J77="",NOT(ISNUMBER(B77))),"",IF(COUNTIF(Settings!$B$8:$B$17,"&lt;="&amp;B77)=0,Settings!$C$8,INDEX(Settings!$C$8:$C$17,COUNTIF(Settings!$B$8:$B$17,"&lt;="&amp;B77))))</f>
        <v/>
      </c>
      <c r="L77" s="56" t="str">
        <f aca="false">IF(K77="","",ROUND(J77*K77,2))</f>
        <v/>
      </c>
      <c r="M77" s="58" t="str">
        <f aca="false">IF(AND(B77="",F77="",G77="",H77=""),"",IF(NOT(ISNUMBER(B77)),"⚠ ADD DATE / AGREGA FECHA",IF(J77="","⚠ ADD MILES / AGREGA MILLAS",IF(AND(ISNUMBER(F77),ISNUMBER(G77)),IF(G77&lt;F77,"⚠ CHECK ODOMETER / REVISA ODÓMETRO","✔ OK"),"✔ OK"))))</f>
        <v/>
      </c>
      <c r="N77" s="53"/>
      <c r="P77" s="51" t="n">
        <f aca="false">IF(ISNUMBER(L77),1,0)</f>
        <v>0</v>
      </c>
      <c r="Q77" s="51" t="n">
        <f aca="false">IF(P77=1,YEAR(B77),0)</f>
        <v>0</v>
      </c>
      <c r="R77" s="51" t="n">
        <f aca="false">IF(P77=1,YEAR(B77)*100+MONTH(B77),0)</f>
        <v>0</v>
      </c>
    </row>
    <row r="78" customFormat="false" ht="15" hidden="false" customHeight="false" outlineLevel="0" collapsed="false">
      <c r="B78" s="52"/>
      <c r="C78" s="53"/>
      <c r="D78" s="53"/>
      <c r="E78" s="53"/>
      <c r="F78" s="59"/>
      <c r="G78" s="59"/>
      <c r="H78" s="59"/>
      <c r="I78" s="57"/>
      <c r="J78" s="60" t="str">
        <f aca="false">IF(AND(ISNUMBER(F78),ISNUMBER(G78)),MAX(0,G78-F78),IF(ISNUMBER(H78),H78*IF(I78="Yes / Sí",2,1),""))</f>
        <v/>
      </c>
      <c r="K78" s="61" t="str">
        <f aca="false">IF(OR(J78="",NOT(ISNUMBER(B78))),"",IF(COUNTIF(Settings!$B$8:$B$17,"&lt;="&amp;B78)=0,Settings!$C$8,INDEX(Settings!$C$8:$C$17,COUNTIF(Settings!$B$8:$B$17,"&lt;="&amp;B78))))</f>
        <v/>
      </c>
      <c r="L78" s="56" t="str">
        <f aca="false">IF(K78="","",ROUND(J78*K78,2))</f>
        <v/>
      </c>
      <c r="M78" s="58" t="str">
        <f aca="false">IF(AND(B78="",F78="",G78="",H78=""),"",IF(NOT(ISNUMBER(B78)),"⚠ ADD DATE / AGREGA FECHA",IF(J78="","⚠ ADD MILES / AGREGA MILLAS",IF(AND(ISNUMBER(F78),ISNUMBER(G78)),IF(G78&lt;F78,"⚠ CHECK ODOMETER / REVISA ODÓMETRO","✔ OK"),"✔ OK"))))</f>
        <v/>
      </c>
      <c r="N78" s="53"/>
      <c r="P78" s="51" t="n">
        <f aca="false">IF(ISNUMBER(L78),1,0)</f>
        <v>0</v>
      </c>
      <c r="Q78" s="51" t="n">
        <f aca="false">IF(P78=1,YEAR(B78),0)</f>
        <v>0</v>
      </c>
      <c r="R78" s="51" t="n">
        <f aca="false">IF(P78=1,YEAR(B78)*100+MONTH(B78),0)</f>
        <v>0</v>
      </c>
    </row>
    <row r="79" customFormat="false" ht="15" hidden="false" customHeight="false" outlineLevel="0" collapsed="false">
      <c r="B79" s="52"/>
      <c r="C79" s="53"/>
      <c r="D79" s="53"/>
      <c r="E79" s="53"/>
      <c r="F79" s="59"/>
      <c r="G79" s="59"/>
      <c r="H79" s="59"/>
      <c r="I79" s="57"/>
      <c r="J79" s="60" t="str">
        <f aca="false">IF(AND(ISNUMBER(F79),ISNUMBER(G79)),MAX(0,G79-F79),IF(ISNUMBER(H79),H79*IF(I79="Yes / Sí",2,1),""))</f>
        <v/>
      </c>
      <c r="K79" s="61" t="str">
        <f aca="false">IF(OR(J79="",NOT(ISNUMBER(B79))),"",IF(COUNTIF(Settings!$B$8:$B$17,"&lt;="&amp;B79)=0,Settings!$C$8,INDEX(Settings!$C$8:$C$17,COUNTIF(Settings!$B$8:$B$17,"&lt;="&amp;B79))))</f>
        <v/>
      </c>
      <c r="L79" s="56" t="str">
        <f aca="false">IF(K79="","",ROUND(J79*K79,2))</f>
        <v/>
      </c>
      <c r="M79" s="58" t="str">
        <f aca="false">IF(AND(B79="",F79="",G79="",H79=""),"",IF(NOT(ISNUMBER(B79)),"⚠ ADD DATE / AGREGA FECHA",IF(J79="","⚠ ADD MILES / AGREGA MILLAS",IF(AND(ISNUMBER(F79),ISNUMBER(G79)),IF(G79&lt;F79,"⚠ CHECK ODOMETER / REVISA ODÓMETRO","✔ OK"),"✔ OK"))))</f>
        <v/>
      </c>
      <c r="N79" s="53"/>
      <c r="P79" s="51" t="n">
        <f aca="false">IF(ISNUMBER(L79),1,0)</f>
        <v>0</v>
      </c>
      <c r="Q79" s="51" t="n">
        <f aca="false">IF(P79=1,YEAR(B79),0)</f>
        <v>0</v>
      </c>
      <c r="R79" s="51" t="n">
        <f aca="false">IF(P79=1,YEAR(B79)*100+MONTH(B79),0)</f>
        <v>0</v>
      </c>
    </row>
    <row r="80" customFormat="false" ht="15" hidden="false" customHeight="false" outlineLevel="0" collapsed="false">
      <c r="B80" s="52"/>
      <c r="C80" s="53"/>
      <c r="D80" s="53"/>
      <c r="E80" s="53"/>
      <c r="F80" s="59"/>
      <c r="G80" s="59"/>
      <c r="H80" s="59"/>
      <c r="I80" s="57"/>
      <c r="J80" s="60" t="str">
        <f aca="false">IF(AND(ISNUMBER(F80),ISNUMBER(G80)),MAX(0,G80-F80),IF(ISNUMBER(H80),H80*IF(I80="Yes / Sí",2,1),""))</f>
        <v/>
      </c>
      <c r="K80" s="61" t="str">
        <f aca="false">IF(OR(J80="",NOT(ISNUMBER(B80))),"",IF(COUNTIF(Settings!$B$8:$B$17,"&lt;="&amp;B80)=0,Settings!$C$8,INDEX(Settings!$C$8:$C$17,COUNTIF(Settings!$B$8:$B$17,"&lt;="&amp;B80))))</f>
        <v/>
      </c>
      <c r="L80" s="56" t="str">
        <f aca="false">IF(K80="","",ROUND(J80*K80,2))</f>
        <v/>
      </c>
      <c r="M80" s="58" t="str">
        <f aca="false">IF(AND(B80="",F80="",G80="",H80=""),"",IF(NOT(ISNUMBER(B80)),"⚠ ADD DATE / AGREGA FECHA",IF(J80="","⚠ ADD MILES / AGREGA MILLAS",IF(AND(ISNUMBER(F80),ISNUMBER(G80)),IF(G80&lt;F80,"⚠ CHECK ODOMETER / REVISA ODÓMETRO","✔ OK"),"✔ OK"))))</f>
        <v/>
      </c>
      <c r="N80" s="53"/>
      <c r="P80" s="51" t="n">
        <f aca="false">IF(ISNUMBER(L80),1,0)</f>
        <v>0</v>
      </c>
      <c r="Q80" s="51" t="n">
        <f aca="false">IF(P80=1,YEAR(B80),0)</f>
        <v>0</v>
      </c>
      <c r="R80" s="51" t="n">
        <f aca="false">IF(P80=1,YEAR(B80)*100+MONTH(B80),0)</f>
        <v>0</v>
      </c>
    </row>
    <row r="81" customFormat="false" ht="15" hidden="false" customHeight="false" outlineLevel="0" collapsed="false">
      <c r="B81" s="52"/>
      <c r="C81" s="53"/>
      <c r="D81" s="53"/>
      <c r="E81" s="53"/>
      <c r="F81" s="59"/>
      <c r="G81" s="59"/>
      <c r="H81" s="59"/>
      <c r="I81" s="57"/>
      <c r="J81" s="60" t="str">
        <f aca="false">IF(AND(ISNUMBER(F81),ISNUMBER(G81)),MAX(0,G81-F81),IF(ISNUMBER(H81),H81*IF(I81="Yes / Sí",2,1),""))</f>
        <v/>
      </c>
      <c r="K81" s="61" t="str">
        <f aca="false">IF(OR(J81="",NOT(ISNUMBER(B81))),"",IF(COUNTIF(Settings!$B$8:$B$17,"&lt;="&amp;B81)=0,Settings!$C$8,INDEX(Settings!$C$8:$C$17,COUNTIF(Settings!$B$8:$B$17,"&lt;="&amp;B81))))</f>
        <v/>
      </c>
      <c r="L81" s="56" t="str">
        <f aca="false">IF(K81="","",ROUND(J81*K81,2))</f>
        <v/>
      </c>
      <c r="M81" s="58" t="str">
        <f aca="false">IF(AND(B81="",F81="",G81="",H81=""),"",IF(NOT(ISNUMBER(B81)),"⚠ ADD DATE / AGREGA FECHA",IF(J81="","⚠ ADD MILES / AGREGA MILLAS",IF(AND(ISNUMBER(F81),ISNUMBER(G81)),IF(G81&lt;F81,"⚠ CHECK ODOMETER / REVISA ODÓMETRO","✔ OK"),"✔ OK"))))</f>
        <v/>
      </c>
      <c r="N81" s="53"/>
      <c r="P81" s="51" t="n">
        <f aca="false">IF(ISNUMBER(L81),1,0)</f>
        <v>0</v>
      </c>
      <c r="Q81" s="51" t="n">
        <f aca="false">IF(P81=1,YEAR(B81),0)</f>
        <v>0</v>
      </c>
      <c r="R81" s="51" t="n">
        <f aca="false">IF(P81=1,YEAR(B81)*100+MONTH(B81),0)</f>
        <v>0</v>
      </c>
    </row>
    <row r="82" customFormat="false" ht="15" hidden="false" customHeight="false" outlineLevel="0" collapsed="false">
      <c r="B82" s="52"/>
      <c r="C82" s="53"/>
      <c r="D82" s="53"/>
      <c r="E82" s="53"/>
      <c r="F82" s="59"/>
      <c r="G82" s="59"/>
      <c r="H82" s="59"/>
      <c r="I82" s="57"/>
      <c r="J82" s="60" t="str">
        <f aca="false">IF(AND(ISNUMBER(F82),ISNUMBER(G82)),MAX(0,G82-F82),IF(ISNUMBER(H82),H82*IF(I82="Yes / Sí",2,1),""))</f>
        <v/>
      </c>
      <c r="K82" s="61" t="str">
        <f aca="false">IF(OR(J82="",NOT(ISNUMBER(B82))),"",IF(COUNTIF(Settings!$B$8:$B$17,"&lt;="&amp;B82)=0,Settings!$C$8,INDEX(Settings!$C$8:$C$17,COUNTIF(Settings!$B$8:$B$17,"&lt;="&amp;B82))))</f>
        <v/>
      </c>
      <c r="L82" s="56" t="str">
        <f aca="false">IF(K82="","",ROUND(J82*K82,2))</f>
        <v/>
      </c>
      <c r="M82" s="58" t="str">
        <f aca="false">IF(AND(B82="",F82="",G82="",H82=""),"",IF(NOT(ISNUMBER(B82)),"⚠ ADD DATE / AGREGA FECHA",IF(J82="","⚠ ADD MILES / AGREGA MILLAS",IF(AND(ISNUMBER(F82),ISNUMBER(G82)),IF(G82&lt;F82,"⚠ CHECK ODOMETER / REVISA ODÓMETRO","✔ OK"),"✔ OK"))))</f>
        <v/>
      </c>
      <c r="N82" s="53"/>
      <c r="P82" s="51" t="n">
        <f aca="false">IF(ISNUMBER(L82),1,0)</f>
        <v>0</v>
      </c>
      <c r="Q82" s="51" t="n">
        <f aca="false">IF(P82=1,YEAR(B82),0)</f>
        <v>0</v>
      </c>
      <c r="R82" s="51" t="n">
        <f aca="false">IF(P82=1,YEAR(B82)*100+MONTH(B82),0)</f>
        <v>0</v>
      </c>
    </row>
    <row r="83" customFormat="false" ht="15" hidden="false" customHeight="false" outlineLevel="0" collapsed="false">
      <c r="B83" s="52"/>
      <c r="C83" s="53"/>
      <c r="D83" s="53"/>
      <c r="E83" s="53"/>
      <c r="F83" s="59"/>
      <c r="G83" s="59"/>
      <c r="H83" s="59"/>
      <c r="I83" s="57"/>
      <c r="J83" s="60" t="str">
        <f aca="false">IF(AND(ISNUMBER(F83),ISNUMBER(G83)),MAX(0,G83-F83),IF(ISNUMBER(H83),H83*IF(I83="Yes / Sí",2,1),""))</f>
        <v/>
      </c>
      <c r="K83" s="61" t="str">
        <f aca="false">IF(OR(J83="",NOT(ISNUMBER(B83))),"",IF(COUNTIF(Settings!$B$8:$B$17,"&lt;="&amp;B83)=0,Settings!$C$8,INDEX(Settings!$C$8:$C$17,COUNTIF(Settings!$B$8:$B$17,"&lt;="&amp;B83))))</f>
        <v/>
      </c>
      <c r="L83" s="56" t="str">
        <f aca="false">IF(K83="","",ROUND(J83*K83,2))</f>
        <v/>
      </c>
      <c r="M83" s="58" t="str">
        <f aca="false">IF(AND(B83="",F83="",G83="",H83=""),"",IF(NOT(ISNUMBER(B83)),"⚠ ADD DATE / AGREGA FECHA",IF(J83="","⚠ ADD MILES / AGREGA MILLAS",IF(AND(ISNUMBER(F83),ISNUMBER(G83)),IF(G83&lt;F83,"⚠ CHECK ODOMETER / REVISA ODÓMETRO","✔ OK"),"✔ OK"))))</f>
        <v/>
      </c>
      <c r="N83" s="53"/>
      <c r="P83" s="51" t="n">
        <f aca="false">IF(ISNUMBER(L83),1,0)</f>
        <v>0</v>
      </c>
      <c r="Q83" s="51" t="n">
        <f aca="false">IF(P83=1,YEAR(B83),0)</f>
        <v>0</v>
      </c>
      <c r="R83" s="51" t="n">
        <f aca="false">IF(P83=1,YEAR(B83)*100+MONTH(B83),0)</f>
        <v>0</v>
      </c>
    </row>
    <row r="84" customFormat="false" ht="15" hidden="false" customHeight="false" outlineLevel="0" collapsed="false">
      <c r="B84" s="52"/>
      <c r="C84" s="53"/>
      <c r="D84" s="53"/>
      <c r="E84" s="53"/>
      <c r="F84" s="59"/>
      <c r="G84" s="59"/>
      <c r="H84" s="59"/>
      <c r="I84" s="57"/>
      <c r="J84" s="60" t="str">
        <f aca="false">IF(AND(ISNUMBER(F84),ISNUMBER(G84)),MAX(0,G84-F84),IF(ISNUMBER(H84),H84*IF(I84="Yes / Sí",2,1),""))</f>
        <v/>
      </c>
      <c r="K84" s="61" t="str">
        <f aca="false">IF(OR(J84="",NOT(ISNUMBER(B84))),"",IF(COUNTIF(Settings!$B$8:$B$17,"&lt;="&amp;B84)=0,Settings!$C$8,INDEX(Settings!$C$8:$C$17,COUNTIF(Settings!$B$8:$B$17,"&lt;="&amp;B84))))</f>
        <v/>
      </c>
      <c r="L84" s="56" t="str">
        <f aca="false">IF(K84="","",ROUND(J84*K84,2))</f>
        <v/>
      </c>
      <c r="M84" s="58" t="str">
        <f aca="false">IF(AND(B84="",F84="",G84="",H84=""),"",IF(NOT(ISNUMBER(B84)),"⚠ ADD DATE / AGREGA FECHA",IF(J84="","⚠ ADD MILES / AGREGA MILLAS",IF(AND(ISNUMBER(F84),ISNUMBER(G84)),IF(G84&lt;F84,"⚠ CHECK ODOMETER / REVISA ODÓMETRO","✔ OK"),"✔ OK"))))</f>
        <v/>
      </c>
      <c r="N84" s="53"/>
      <c r="P84" s="51" t="n">
        <f aca="false">IF(ISNUMBER(L84),1,0)</f>
        <v>0</v>
      </c>
      <c r="Q84" s="51" t="n">
        <f aca="false">IF(P84=1,YEAR(B84),0)</f>
        <v>0</v>
      </c>
      <c r="R84" s="51" t="n">
        <f aca="false">IF(P84=1,YEAR(B84)*100+MONTH(B84),0)</f>
        <v>0</v>
      </c>
    </row>
    <row r="85" customFormat="false" ht="15" hidden="false" customHeight="false" outlineLevel="0" collapsed="false">
      <c r="B85" s="52"/>
      <c r="C85" s="53"/>
      <c r="D85" s="53"/>
      <c r="E85" s="53"/>
      <c r="F85" s="59"/>
      <c r="G85" s="59"/>
      <c r="H85" s="59"/>
      <c r="I85" s="57"/>
      <c r="J85" s="60" t="str">
        <f aca="false">IF(AND(ISNUMBER(F85),ISNUMBER(G85)),MAX(0,G85-F85),IF(ISNUMBER(H85),H85*IF(I85="Yes / Sí",2,1),""))</f>
        <v/>
      </c>
      <c r="K85" s="61" t="str">
        <f aca="false">IF(OR(J85="",NOT(ISNUMBER(B85))),"",IF(COUNTIF(Settings!$B$8:$B$17,"&lt;="&amp;B85)=0,Settings!$C$8,INDEX(Settings!$C$8:$C$17,COUNTIF(Settings!$B$8:$B$17,"&lt;="&amp;B85))))</f>
        <v/>
      </c>
      <c r="L85" s="56" t="str">
        <f aca="false">IF(K85="","",ROUND(J85*K85,2))</f>
        <v/>
      </c>
      <c r="M85" s="58" t="str">
        <f aca="false">IF(AND(B85="",F85="",G85="",H85=""),"",IF(NOT(ISNUMBER(B85)),"⚠ ADD DATE / AGREGA FECHA",IF(J85="","⚠ ADD MILES / AGREGA MILLAS",IF(AND(ISNUMBER(F85),ISNUMBER(G85)),IF(G85&lt;F85,"⚠ CHECK ODOMETER / REVISA ODÓMETRO","✔ OK"),"✔ OK"))))</f>
        <v/>
      </c>
      <c r="N85" s="53"/>
      <c r="P85" s="51" t="n">
        <f aca="false">IF(ISNUMBER(L85),1,0)</f>
        <v>0</v>
      </c>
      <c r="Q85" s="51" t="n">
        <f aca="false">IF(P85=1,YEAR(B85),0)</f>
        <v>0</v>
      </c>
      <c r="R85" s="51" t="n">
        <f aca="false">IF(P85=1,YEAR(B85)*100+MONTH(B85),0)</f>
        <v>0</v>
      </c>
    </row>
    <row r="86" customFormat="false" ht="15" hidden="false" customHeight="false" outlineLevel="0" collapsed="false">
      <c r="B86" s="52"/>
      <c r="C86" s="53"/>
      <c r="D86" s="53"/>
      <c r="E86" s="53"/>
      <c r="F86" s="59"/>
      <c r="G86" s="59"/>
      <c r="H86" s="59"/>
      <c r="I86" s="57"/>
      <c r="J86" s="60" t="str">
        <f aca="false">IF(AND(ISNUMBER(F86),ISNUMBER(G86)),MAX(0,G86-F86),IF(ISNUMBER(H86),H86*IF(I86="Yes / Sí",2,1),""))</f>
        <v/>
      </c>
      <c r="K86" s="61" t="str">
        <f aca="false">IF(OR(J86="",NOT(ISNUMBER(B86))),"",IF(COUNTIF(Settings!$B$8:$B$17,"&lt;="&amp;B86)=0,Settings!$C$8,INDEX(Settings!$C$8:$C$17,COUNTIF(Settings!$B$8:$B$17,"&lt;="&amp;B86))))</f>
        <v/>
      </c>
      <c r="L86" s="56" t="str">
        <f aca="false">IF(K86="","",ROUND(J86*K86,2))</f>
        <v/>
      </c>
      <c r="M86" s="58" t="str">
        <f aca="false">IF(AND(B86="",F86="",G86="",H86=""),"",IF(NOT(ISNUMBER(B86)),"⚠ ADD DATE / AGREGA FECHA",IF(J86="","⚠ ADD MILES / AGREGA MILLAS",IF(AND(ISNUMBER(F86),ISNUMBER(G86)),IF(G86&lt;F86,"⚠ CHECK ODOMETER / REVISA ODÓMETRO","✔ OK"),"✔ OK"))))</f>
        <v/>
      </c>
      <c r="N86" s="53"/>
      <c r="P86" s="51" t="n">
        <f aca="false">IF(ISNUMBER(L86),1,0)</f>
        <v>0</v>
      </c>
      <c r="Q86" s="51" t="n">
        <f aca="false">IF(P86=1,YEAR(B86),0)</f>
        <v>0</v>
      </c>
      <c r="R86" s="51" t="n">
        <f aca="false">IF(P86=1,YEAR(B86)*100+MONTH(B86),0)</f>
        <v>0</v>
      </c>
    </row>
    <row r="87" customFormat="false" ht="15" hidden="false" customHeight="false" outlineLevel="0" collapsed="false">
      <c r="B87" s="52"/>
      <c r="C87" s="53"/>
      <c r="D87" s="53"/>
      <c r="E87" s="53"/>
      <c r="F87" s="59"/>
      <c r="G87" s="59"/>
      <c r="H87" s="59"/>
      <c r="I87" s="57"/>
      <c r="J87" s="60" t="str">
        <f aca="false">IF(AND(ISNUMBER(F87),ISNUMBER(G87)),MAX(0,G87-F87),IF(ISNUMBER(H87),H87*IF(I87="Yes / Sí",2,1),""))</f>
        <v/>
      </c>
      <c r="K87" s="61" t="str">
        <f aca="false">IF(OR(J87="",NOT(ISNUMBER(B87))),"",IF(COUNTIF(Settings!$B$8:$B$17,"&lt;="&amp;B87)=0,Settings!$C$8,INDEX(Settings!$C$8:$C$17,COUNTIF(Settings!$B$8:$B$17,"&lt;="&amp;B87))))</f>
        <v/>
      </c>
      <c r="L87" s="56" t="str">
        <f aca="false">IF(K87="","",ROUND(J87*K87,2))</f>
        <v/>
      </c>
      <c r="M87" s="58" t="str">
        <f aca="false">IF(AND(B87="",F87="",G87="",H87=""),"",IF(NOT(ISNUMBER(B87)),"⚠ ADD DATE / AGREGA FECHA",IF(J87="","⚠ ADD MILES / AGREGA MILLAS",IF(AND(ISNUMBER(F87),ISNUMBER(G87)),IF(G87&lt;F87,"⚠ CHECK ODOMETER / REVISA ODÓMETRO","✔ OK"),"✔ OK"))))</f>
        <v/>
      </c>
      <c r="N87" s="53"/>
      <c r="P87" s="51" t="n">
        <f aca="false">IF(ISNUMBER(L87),1,0)</f>
        <v>0</v>
      </c>
      <c r="Q87" s="51" t="n">
        <f aca="false">IF(P87=1,YEAR(B87),0)</f>
        <v>0</v>
      </c>
      <c r="R87" s="51" t="n">
        <f aca="false">IF(P87=1,YEAR(B87)*100+MONTH(B87),0)</f>
        <v>0</v>
      </c>
    </row>
    <row r="88" customFormat="false" ht="15" hidden="false" customHeight="false" outlineLevel="0" collapsed="false">
      <c r="B88" s="52"/>
      <c r="C88" s="53"/>
      <c r="D88" s="53"/>
      <c r="E88" s="53"/>
      <c r="F88" s="59"/>
      <c r="G88" s="59"/>
      <c r="H88" s="59"/>
      <c r="I88" s="57"/>
      <c r="J88" s="60" t="str">
        <f aca="false">IF(AND(ISNUMBER(F88),ISNUMBER(G88)),MAX(0,G88-F88),IF(ISNUMBER(H88),H88*IF(I88="Yes / Sí",2,1),""))</f>
        <v/>
      </c>
      <c r="K88" s="61" t="str">
        <f aca="false">IF(OR(J88="",NOT(ISNUMBER(B88))),"",IF(COUNTIF(Settings!$B$8:$B$17,"&lt;="&amp;B88)=0,Settings!$C$8,INDEX(Settings!$C$8:$C$17,COUNTIF(Settings!$B$8:$B$17,"&lt;="&amp;B88))))</f>
        <v/>
      </c>
      <c r="L88" s="56" t="str">
        <f aca="false">IF(K88="","",ROUND(J88*K88,2))</f>
        <v/>
      </c>
      <c r="M88" s="58" t="str">
        <f aca="false">IF(AND(B88="",F88="",G88="",H88=""),"",IF(NOT(ISNUMBER(B88)),"⚠ ADD DATE / AGREGA FECHA",IF(J88="","⚠ ADD MILES / AGREGA MILLAS",IF(AND(ISNUMBER(F88),ISNUMBER(G88)),IF(G88&lt;F88,"⚠ CHECK ODOMETER / REVISA ODÓMETRO","✔ OK"),"✔ OK"))))</f>
        <v/>
      </c>
      <c r="N88" s="53"/>
      <c r="P88" s="51" t="n">
        <f aca="false">IF(ISNUMBER(L88),1,0)</f>
        <v>0</v>
      </c>
      <c r="Q88" s="51" t="n">
        <f aca="false">IF(P88=1,YEAR(B88),0)</f>
        <v>0</v>
      </c>
      <c r="R88" s="51" t="n">
        <f aca="false">IF(P88=1,YEAR(B88)*100+MONTH(B88),0)</f>
        <v>0</v>
      </c>
    </row>
    <row r="89" customFormat="false" ht="15" hidden="false" customHeight="false" outlineLevel="0" collapsed="false">
      <c r="B89" s="52"/>
      <c r="C89" s="53"/>
      <c r="D89" s="53"/>
      <c r="E89" s="53"/>
      <c r="F89" s="59"/>
      <c r="G89" s="59"/>
      <c r="H89" s="59"/>
      <c r="I89" s="57"/>
      <c r="J89" s="60" t="str">
        <f aca="false">IF(AND(ISNUMBER(F89),ISNUMBER(G89)),MAX(0,G89-F89),IF(ISNUMBER(H89),H89*IF(I89="Yes / Sí",2,1),""))</f>
        <v/>
      </c>
      <c r="K89" s="61" t="str">
        <f aca="false">IF(OR(J89="",NOT(ISNUMBER(B89))),"",IF(COUNTIF(Settings!$B$8:$B$17,"&lt;="&amp;B89)=0,Settings!$C$8,INDEX(Settings!$C$8:$C$17,COUNTIF(Settings!$B$8:$B$17,"&lt;="&amp;B89))))</f>
        <v/>
      </c>
      <c r="L89" s="56" t="str">
        <f aca="false">IF(K89="","",ROUND(J89*K89,2))</f>
        <v/>
      </c>
      <c r="M89" s="58" t="str">
        <f aca="false">IF(AND(B89="",F89="",G89="",H89=""),"",IF(NOT(ISNUMBER(B89)),"⚠ ADD DATE / AGREGA FECHA",IF(J89="","⚠ ADD MILES / AGREGA MILLAS",IF(AND(ISNUMBER(F89),ISNUMBER(G89)),IF(G89&lt;F89,"⚠ CHECK ODOMETER / REVISA ODÓMETRO","✔ OK"),"✔ OK"))))</f>
        <v/>
      </c>
      <c r="N89" s="53"/>
      <c r="P89" s="51" t="n">
        <f aca="false">IF(ISNUMBER(L89),1,0)</f>
        <v>0</v>
      </c>
      <c r="Q89" s="51" t="n">
        <f aca="false">IF(P89=1,YEAR(B89),0)</f>
        <v>0</v>
      </c>
      <c r="R89" s="51" t="n">
        <f aca="false">IF(P89=1,YEAR(B89)*100+MONTH(B89),0)</f>
        <v>0</v>
      </c>
    </row>
    <row r="90" customFormat="false" ht="15" hidden="false" customHeight="false" outlineLevel="0" collapsed="false">
      <c r="B90" s="52"/>
      <c r="C90" s="53"/>
      <c r="D90" s="53"/>
      <c r="E90" s="53"/>
      <c r="F90" s="59"/>
      <c r="G90" s="59"/>
      <c r="H90" s="59"/>
      <c r="I90" s="57"/>
      <c r="J90" s="60" t="str">
        <f aca="false">IF(AND(ISNUMBER(F90),ISNUMBER(G90)),MAX(0,G90-F90),IF(ISNUMBER(H90),H90*IF(I90="Yes / Sí",2,1),""))</f>
        <v/>
      </c>
      <c r="K90" s="61" t="str">
        <f aca="false">IF(OR(J90="",NOT(ISNUMBER(B90))),"",IF(COUNTIF(Settings!$B$8:$B$17,"&lt;="&amp;B90)=0,Settings!$C$8,INDEX(Settings!$C$8:$C$17,COUNTIF(Settings!$B$8:$B$17,"&lt;="&amp;B90))))</f>
        <v/>
      </c>
      <c r="L90" s="56" t="str">
        <f aca="false">IF(K90="","",ROUND(J90*K90,2))</f>
        <v/>
      </c>
      <c r="M90" s="58" t="str">
        <f aca="false">IF(AND(B90="",F90="",G90="",H90=""),"",IF(NOT(ISNUMBER(B90)),"⚠ ADD DATE / AGREGA FECHA",IF(J90="","⚠ ADD MILES / AGREGA MILLAS",IF(AND(ISNUMBER(F90),ISNUMBER(G90)),IF(G90&lt;F90,"⚠ CHECK ODOMETER / REVISA ODÓMETRO","✔ OK"),"✔ OK"))))</f>
        <v/>
      </c>
      <c r="N90" s="53"/>
      <c r="P90" s="51" t="n">
        <f aca="false">IF(ISNUMBER(L90),1,0)</f>
        <v>0</v>
      </c>
      <c r="Q90" s="51" t="n">
        <f aca="false">IF(P90=1,YEAR(B90),0)</f>
        <v>0</v>
      </c>
      <c r="R90" s="51" t="n">
        <f aca="false">IF(P90=1,YEAR(B90)*100+MONTH(B90),0)</f>
        <v>0</v>
      </c>
    </row>
    <row r="91" customFormat="false" ht="15" hidden="false" customHeight="false" outlineLevel="0" collapsed="false">
      <c r="B91" s="52"/>
      <c r="C91" s="53"/>
      <c r="D91" s="53"/>
      <c r="E91" s="53"/>
      <c r="F91" s="59"/>
      <c r="G91" s="59"/>
      <c r="H91" s="59"/>
      <c r="I91" s="57"/>
      <c r="J91" s="60" t="str">
        <f aca="false">IF(AND(ISNUMBER(F91),ISNUMBER(G91)),MAX(0,G91-F91),IF(ISNUMBER(H91),H91*IF(I91="Yes / Sí",2,1),""))</f>
        <v/>
      </c>
      <c r="K91" s="61" t="str">
        <f aca="false">IF(OR(J91="",NOT(ISNUMBER(B91))),"",IF(COUNTIF(Settings!$B$8:$B$17,"&lt;="&amp;B91)=0,Settings!$C$8,INDEX(Settings!$C$8:$C$17,COUNTIF(Settings!$B$8:$B$17,"&lt;="&amp;B91))))</f>
        <v/>
      </c>
      <c r="L91" s="56" t="str">
        <f aca="false">IF(K91="","",ROUND(J91*K91,2))</f>
        <v/>
      </c>
      <c r="M91" s="58" t="str">
        <f aca="false">IF(AND(B91="",F91="",G91="",H91=""),"",IF(NOT(ISNUMBER(B91)),"⚠ ADD DATE / AGREGA FECHA",IF(J91="","⚠ ADD MILES / AGREGA MILLAS",IF(AND(ISNUMBER(F91),ISNUMBER(G91)),IF(G91&lt;F91,"⚠ CHECK ODOMETER / REVISA ODÓMETRO","✔ OK"),"✔ OK"))))</f>
        <v/>
      </c>
      <c r="N91" s="53"/>
      <c r="P91" s="51" t="n">
        <f aca="false">IF(ISNUMBER(L91),1,0)</f>
        <v>0</v>
      </c>
      <c r="Q91" s="51" t="n">
        <f aca="false">IF(P91=1,YEAR(B91),0)</f>
        <v>0</v>
      </c>
      <c r="R91" s="51" t="n">
        <f aca="false">IF(P91=1,YEAR(B91)*100+MONTH(B91),0)</f>
        <v>0</v>
      </c>
    </row>
    <row r="92" customFormat="false" ht="15" hidden="false" customHeight="false" outlineLevel="0" collapsed="false">
      <c r="B92" s="52"/>
      <c r="C92" s="53"/>
      <c r="D92" s="53"/>
      <c r="E92" s="53"/>
      <c r="F92" s="59"/>
      <c r="G92" s="59"/>
      <c r="H92" s="59"/>
      <c r="I92" s="57"/>
      <c r="J92" s="60" t="str">
        <f aca="false">IF(AND(ISNUMBER(F92),ISNUMBER(G92)),MAX(0,G92-F92),IF(ISNUMBER(H92),H92*IF(I92="Yes / Sí",2,1),""))</f>
        <v/>
      </c>
      <c r="K92" s="61" t="str">
        <f aca="false">IF(OR(J92="",NOT(ISNUMBER(B92))),"",IF(COUNTIF(Settings!$B$8:$B$17,"&lt;="&amp;B92)=0,Settings!$C$8,INDEX(Settings!$C$8:$C$17,COUNTIF(Settings!$B$8:$B$17,"&lt;="&amp;B92))))</f>
        <v/>
      </c>
      <c r="L92" s="56" t="str">
        <f aca="false">IF(K92="","",ROUND(J92*K92,2))</f>
        <v/>
      </c>
      <c r="M92" s="58" t="str">
        <f aca="false">IF(AND(B92="",F92="",G92="",H92=""),"",IF(NOT(ISNUMBER(B92)),"⚠ ADD DATE / AGREGA FECHA",IF(J92="","⚠ ADD MILES / AGREGA MILLAS",IF(AND(ISNUMBER(F92),ISNUMBER(G92)),IF(G92&lt;F92,"⚠ CHECK ODOMETER / REVISA ODÓMETRO","✔ OK"),"✔ OK"))))</f>
        <v/>
      </c>
      <c r="N92" s="53"/>
      <c r="P92" s="51" t="n">
        <f aca="false">IF(ISNUMBER(L92),1,0)</f>
        <v>0</v>
      </c>
      <c r="Q92" s="51" t="n">
        <f aca="false">IF(P92=1,YEAR(B92),0)</f>
        <v>0</v>
      </c>
      <c r="R92" s="51" t="n">
        <f aca="false">IF(P92=1,YEAR(B92)*100+MONTH(B92),0)</f>
        <v>0</v>
      </c>
    </row>
    <row r="93" customFormat="false" ht="15" hidden="false" customHeight="false" outlineLevel="0" collapsed="false">
      <c r="B93" s="52"/>
      <c r="C93" s="53"/>
      <c r="D93" s="53"/>
      <c r="E93" s="53"/>
      <c r="F93" s="59"/>
      <c r="G93" s="59"/>
      <c r="H93" s="59"/>
      <c r="I93" s="57"/>
      <c r="J93" s="60" t="str">
        <f aca="false">IF(AND(ISNUMBER(F93),ISNUMBER(G93)),MAX(0,G93-F93),IF(ISNUMBER(H93),H93*IF(I93="Yes / Sí",2,1),""))</f>
        <v/>
      </c>
      <c r="K93" s="61" t="str">
        <f aca="false">IF(OR(J93="",NOT(ISNUMBER(B93))),"",IF(COUNTIF(Settings!$B$8:$B$17,"&lt;="&amp;B93)=0,Settings!$C$8,INDEX(Settings!$C$8:$C$17,COUNTIF(Settings!$B$8:$B$17,"&lt;="&amp;B93))))</f>
        <v/>
      </c>
      <c r="L93" s="56" t="str">
        <f aca="false">IF(K93="","",ROUND(J93*K93,2))</f>
        <v/>
      </c>
      <c r="M93" s="58" t="str">
        <f aca="false">IF(AND(B93="",F93="",G93="",H93=""),"",IF(NOT(ISNUMBER(B93)),"⚠ ADD DATE / AGREGA FECHA",IF(J93="","⚠ ADD MILES / AGREGA MILLAS",IF(AND(ISNUMBER(F93),ISNUMBER(G93)),IF(G93&lt;F93,"⚠ CHECK ODOMETER / REVISA ODÓMETRO","✔ OK"),"✔ OK"))))</f>
        <v/>
      </c>
      <c r="N93" s="53"/>
      <c r="P93" s="51" t="n">
        <f aca="false">IF(ISNUMBER(L93),1,0)</f>
        <v>0</v>
      </c>
      <c r="Q93" s="51" t="n">
        <f aca="false">IF(P93=1,YEAR(B93),0)</f>
        <v>0</v>
      </c>
      <c r="R93" s="51" t="n">
        <f aca="false">IF(P93=1,YEAR(B93)*100+MONTH(B93),0)</f>
        <v>0</v>
      </c>
    </row>
    <row r="94" customFormat="false" ht="15" hidden="false" customHeight="false" outlineLevel="0" collapsed="false">
      <c r="B94" s="52"/>
      <c r="C94" s="53"/>
      <c r="D94" s="53"/>
      <c r="E94" s="53"/>
      <c r="F94" s="59"/>
      <c r="G94" s="59"/>
      <c r="H94" s="59"/>
      <c r="I94" s="57"/>
      <c r="J94" s="60" t="str">
        <f aca="false">IF(AND(ISNUMBER(F94),ISNUMBER(G94)),MAX(0,G94-F94),IF(ISNUMBER(H94),H94*IF(I94="Yes / Sí",2,1),""))</f>
        <v/>
      </c>
      <c r="K94" s="61" t="str">
        <f aca="false">IF(OR(J94="",NOT(ISNUMBER(B94))),"",IF(COUNTIF(Settings!$B$8:$B$17,"&lt;="&amp;B94)=0,Settings!$C$8,INDEX(Settings!$C$8:$C$17,COUNTIF(Settings!$B$8:$B$17,"&lt;="&amp;B94))))</f>
        <v/>
      </c>
      <c r="L94" s="56" t="str">
        <f aca="false">IF(K94="","",ROUND(J94*K94,2))</f>
        <v/>
      </c>
      <c r="M94" s="58" t="str">
        <f aca="false">IF(AND(B94="",F94="",G94="",H94=""),"",IF(NOT(ISNUMBER(B94)),"⚠ ADD DATE / AGREGA FECHA",IF(J94="","⚠ ADD MILES / AGREGA MILLAS",IF(AND(ISNUMBER(F94),ISNUMBER(G94)),IF(G94&lt;F94,"⚠ CHECK ODOMETER / REVISA ODÓMETRO","✔ OK"),"✔ OK"))))</f>
        <v/>
      </c>
      <c r="N94" s="53"/>
      <c r="P94" s="51" t="n">
        <f aca="false">IF(ISNUMBER(L94),1,0)</f>
        <v>0</v>
      </c>
      <c r="Q94" s="51" t="n">
        <f aca="false">IF(P94=1,YEAR(B94),0)</f>
        <v>0</v>
      </c>
      <c r="R94" s="51" t="n">
        <f aca="false">IF(P94=1,YEAR(B94)*100+MONTH(B94),0)</f>
        <v>0</v>
      </c>
    </row>
    <row r="95" customFormat="false" ht="15" hidden="false" customHeight="false" outlineLevel="0" collapsed="false">
      <c r="B95" s="52"/>
      <c r="C95" s="53"/>
      <c r="D95" s="53"/>
      <c r="E95" s="53"/>
      <c r="F95" s="59"/>
      <c r="G95" s="59"/>
      <c r="H95" s="59"/>
      <c r="I95" s="57"/>
      <c r="J95" s="60" t="str">
        <f aca="false">IF(AND(ISNUMBER(F95),ISNUMBER(G95)),MAX(0,G95-F95),IF(ISNUMBER(H95),H95*IF(I95="Yes / Sí",2,1),""))</f>
        <v/>
      </c>
      <c r="K95" s="61" t="str">
        <f aca="false">IF(OR(J95="",NOT(ISNUMBER(B95))),"",IF(COUNTIF(Settings!$B$8:$B$17,"&lt;="&amp;B95)=0,Settings!$C$8,INDEX(Settings!$C$8:$C$17,COUNTIF(Settings!$B$8:$B$17,"&lt;="&amp;B95))))</f>
        <v/>
      </c>
      <c r="L95" s="56" t="str">
        <f aca="false">IF(K95="","",ROUND(J95*K95,2))</f>
        <v/>
      </c>
      <c r="M95" s="58" t="str">
        <f aca="false">IF(AND(B95="",F95="",G95="",H95=""),"",IF(NOT(ISNUMBER(B95)),"⚠ ADD DATE / AGREGA FECHA",IF(J95="","⚠ ADD MILES / AGREGA MILLAS",IF(AND(ISNUMBER(F95),ISNUMBER(G95)),IF(G95&lt;F95,"⚠ CHECK ODOMETER / REVISA ODÓMETRO","✔ OK"),"✔ OK"))))</f>
        <v/>
      </c>
      <c r="N95" s="53"/>
      <c r="P95" s="51" t="n">
        <f aca="false">IF(ISNUMBER(L95),1,0)</f>
        <v>0</v>
      </c>
      <c r="Q95" s="51" t="n">
        <f aca="false">IF(P95=1,YEAR(B95),0)</f>
        <v>0</v>
      </c>
      <c r="R95" s="51" t="n">
        <f aca="false">IF(P95=1,YEAR(B95)*100+MONTH(B95),0)</f>
        <v>0</v>
      </c>
    </row>
    <row r="96" customFormat="false" ht="15" hidden="false" customHeight="false" outlineLevel="0" collapsed="false">
      <c r="B96" s="52"/>
      <c r="C96" s="53"/>
      <c r="D96" s="53"/>
      <c r="E96" s="53"/>
      <c r="F96" s="59"/>
      <c r="G96" s="59"/>
      <c r="H96" s="59"/>
      <c r="I96" s="57"/>
      <c r="J96" s="60" t="str">
        <f aca="false">IF(AND(ISNUMBER(F96),ISNUMBER(G96)),MAX(0,G96-F96),IF(ISNUMBER(H96),H96*IF(I96="Yes / Sí",2,1),""))</f>
        <v/>
      </c>
      <c r="K96" s="61" t="str">
        <f aca="false">IF(OR(J96="",NOT(ISNUMBER(B96))),"",IF(COUNTIF(Settings!$B$8:$B$17,"&lt;="&amp;B96)=0,Settings!$C$8,INDEX(Settings!$C$8:$C$17,COUNTIF(Settings!$B$8:$B$17,"&lt;="&amp;B96))))</f>
        <v/>
      </c>
      <c r="L96" s="56" t="str">
        <f aca="false">IF(K96="","",ROUND(J96*K96,2))</f>
        <v/>
      </c>
      <c r="M96" s="58" t="str">
        <f aca="false">IF(AND(B96="",F96="",G96="",H96=""),"",IF(NOT(ISNUMBER(B96)),"⚠ ADD DATE / AGREGA FECHA",IF(J96="","⚠ ADD MILES / AGREGA MILLAS",IF(AND(ISNUMBER(F96),ISNUMBER(G96)),IF(G96&lt;F96,"⚠ CHECK ODOMETER / REVISA ODÓMETRO","✔ OK"),"✔ OK"))))</f>
        <v/>
      </c>
      <c r="N96" s="53"/>
      <c r="P96" s="51" t="n">
        <f aca="false">IF(ISNUMBER(L96),1,0)</f>
        <v>0</v>
      </c>
      <c r="Q96" s="51" t="n">
        <f aca="false">IF(P96=1,YEAR(B96),0)</f>
        <v>0</v>
      </c>
      <c r="R96" s="51" t="n">
        <f aca="false">IF(P96=1,YEAR(B96)*100+MONTH(B96),0)</f>
        <v>0</v>
      </c>
    </row>
    <row r="97" customFormat="false" ht="15" hidden="false" customHeight="false" outlineLevel="0" collapsed="false">
      <c r="B97" s="52"/>
      <c r="C97" s="53"/>
      <c r="D97" s="53"/>
      <c r="E97" s="53"/>
      <c r="F97" s="59"/>
      <c r="G97" s="59"/>
      <c r="H97" s="59"/>
      <c r="I97" s="57"/>
      <c r="J97" s="60" t="str">
        <f aca="false">IF(AND(ISNUMBER(F97),ISNUMBER(G97)),MAX(0,G97-F97),IF(ISNUMBER(H97),H97*IF(I97="Yes / Sí",2,1),""))</f>
        <v/>
      </c>
      <c r="K97" s="61" t="str">
        <f aca="false">IF(OR(J97="",NOT(ISNUMBER(B97))),"",IF(COUNTIF(Settings!$B$8:$B$17,"&lt;="&amp;B97)=0,Settings!$C$8,INDEX(Settings!$C$8:$C$17,COUNTIF(Settings!$B$8:$B$17,"&lt;="&amp;B97))))</f>
        <v/>
      </c>
      <c r="L97" s="56" t="str">
        <f aca="false">IF(K97="","",ROUND(J97*K97,2))</f>
        <v/>
      </c>
      <c r="M97" s="58" t="str">
        <f aca="false">IF(AND(B97="",F97="",G97="",H97=""),"",IF(NOT(ISNUMBER(B97)),"⚠ ADD DATE / AGREGA FECHA",IF(J97="","⚠ ADD MILES / AGREGA MILLAS",IF(AND(ISNUMBER(F97),ISNUMBER(G97)),IF(G97&lt;F97,"⚠ CHECK ODOMETER / REVISA ODÓMETRO","✔ OK"),"✔ OK"))))</f>
        <v/>
      </c>
      <c r="N97" s="53"/>
      <c r="P97" s="51" t="n">
        <f aca="false">IF(ISNUMBER(L97),1,0)</f>
        <v>0</v>
      </c>
      <c r="Q97" s="51" t="n">
        <f aca="false">IF(P97=1,YEAR(B97),0)</f>
        <v>0</v>
      </c>
      <c r="R97" s="51" t="n">
        <f aca="false">IF(P97=1,YEAR(B97)*100+MONTH(B97),0)</f>
        <v>0</v>
      </c>
    </row>
    <row r="98" customFormat="false" ht="15" hidden="false" customHeight="false" outlineLevel="0" collapsed="false">
      <c r="B98" s="52"/>
      <c r="C98" s="53"/>
      <c r="D98" s="53"/>
      <c r="E98" s="53"/>
      <c r="F98" s="59"/>
      <c r="G98" s="59"/>
      <c r="H98" s="59"/>
      <c r="I98" s="57"/>
      <c r="J98" s="60" t="str">
        <f aca="false">IF(AND(ISNUMBER(F98),ISNUMBER(G98)),MAX(0,G98-F98),IF(ISNUMBER(H98),H98*IF(I98="Yes / Sí",2,1),""))</f>
        <v/>
      </c>
      <c r="K98" s="61" t="str">
        <f aca="false">IF(OR(J98="",NOT(ISNUMBER(B98))),"",IF(COUNTIF(Settings!$B$8:$B$17,"&lt;="&amp;B98)=0,Settings!$C$8,INDEX(Settings!$C$8:$C$17,COUNTIF(Settings!$B$8:$B$17,"&lt;="&amp;B98))))</f>
        <v/>
      </c>
      <c r="L98" s="56" t="str">
        <f aca="false">IF(K98="","",ROUND(J98*K98,2))</f>
        <v/>
      </c>
      <c r="M98" s="58" t="str">
        <f aca="false">IF(AND(B98="",F98="",G98="",H98=""),"",IF(NOT(ISNUMBER(B98)),"⚠ ADD DATE / AGREGA FECHA",IF(J98="","⚠ ADD MILES / AGREGA MILLAS",IF(AND(ISNUMBER(F98),ISNUMBER(G98)),IF(G98&lt;F98,"⚠ CHECK ODOMETER / REVISA ODÓMETRO","✔ OK"),"✔ OK"))))</f>
        <v/>
      </c>
      <c r="N98" s="53"/>
      <c r="P98" s="51" t="n">
        <f aca="false">IF(ISNUMBER(L98),1,0)</f>
        <v>0</v>
      </c>
      <c r="Q98" s="51" t="n">
        <f aca="false">IF(P98=1,YEAR(B98),0)</f>
        <v>0</v>
      </c>
      <c r="R98" s="51" t="n">
        <f aca="false">IF(P98=1,YEAR(B98)*100+MONTH(B98),0)</f>
        <v>0</v>
      </c>
    </row>
    <row r="99" customFormat="false" ht="15" hidden="false" customHeight="false" outlineLevel="0" collapsed="false">
      <c r="B99" s="52"/>
      <c r="C99" s="53"/>
      <c r="D99" s="53"/>
      <c r="E99" s="53"/>
      <c r="F99" s="59"/>
      <c r="G99" s="59"/>
      <c r="H99" s="59"/>
      <c r="I99" s="57"/>
      <c r="J99" s="60" t="str">
        <f aca="false">IF(AND(ISNUMBER(F99),ISNUMBER(G99)),MAX(0,G99-F99),IF(ISNUMBER(H99),H99*IF(I99="Yes / Sí",2,1),""))</f>
        <v/>
      </c>
      <c r="K99" s="61" t="str">
        <f aca="false">IF(OR(J99="",NOT(ISNUMBER(B99))),"",IF(COUNTIF(Settings!$B$8:$B$17,"&lt;="&amp;B99)=0,Settings!$C$8,INDEX(Settings!$C$8:$C$17,COUNTIF(Settings!$B$8:$B$17,"&lt;="&amp;B99))))</f>
        <v/>
      </c>
      <c r="L99" s="56" t="str">
        <f aca="false">IF(K99="","",ROUND(J99*K99,2))</f>
        <v/>
      </c>
      <c r="M99" s="58" t="str">
        <f aca="false">IF(AND(B99="",F99="",G99="",H99=""),"",IF(NOT(ISNUMBER(B99)),"⚠ ADD DATE / AGREGA FECHA",IF(J99="","⚠ ADD MILES / AGREGA MILLAS",IF(AND(ISNUMBER(F99),ISNUMBER(G99)),IF(G99&lt;F99,"⚠ CHECK ODOMETER / REVISA ODÓMETRO","✔ OK"),"✔ OK"))))</f>
        <v/>
      </c>
      <c r="N99" s="53"/>
      <c r="P99" s="51" t="n">
        <f aca="false">IF(ISNUMBER(L99),1,0)</f>
        <v>0</v>
      </c>
      <c r="Q99" s="51" t="n">
        <f aca="false">IF(P99=1,YEAR(B99),0)</f>
        <v>0</v>
      </c>
      <c r="R99" s="51" t="n">
        <f aca="false">IF(P99=1,YEAR(B99)*100+MONTH(B99),0)</f>
        <v>0</v>
      </c>
    </row>
    <row r="100" customFormat="false" ht="15" hidden="false" customHeight="false" outlineLevel="0" collapsed="false">
      <c r="B100" s="52"/>
      <c r="C100" s="53"/>
      <c r="D100" s="53"/>
      <c r="E100" s="53"/>
      <c r="F100" s="59"/>
      <c r="G100" s="59"/>
      <c r="H100" s="59"/>
      <c r="I100" s="57"/>
      <c r="J100" s="60" t="str">
        <f aca="false">IF(AND(ISNUMBER(F100),ISNUMBER(G100)),MAX(0,G100-F100),IF(ISNUMBER(H100),H100*IF(I100="Yes / Sí",2,1),""))</f>
        <v/>
      </c>
      <c r="K100" s="61" t="str">
        <f aca="false">IF(OR(J100="",NOT(ISNUMBER(B100))),"",IF(COUNTIF(Settings!$B$8:$B$17,"&lt;="&amp;B100)=0,Settings!$C$8,INDEX(Settings!$C$8:$C$17,COUNTIF(Settings!$B$8:$B$17,"&lt;="&amp;B100))))</f>
        <v/>
      </c>
      <c r="L100" s="56" t="str">
        <f aca="false">IF(K100="","",ROUND(J100*K100,2))</f>
        <v/>
      </c>
      <c r="M100" s="58" t="str">
        <f aca="false">IF(AND(B100="",F100="",G100="",H100=""),"",IF(NOT(ISNUMBER(B100)),"⚠ ADD DATE / AGREGA FECHA",IF(J100="","⚠ ADD MILES / AGREGA MILLAS",IF(AND(ISNUMBER(F100),ISNUMBER(G100)),IF(G100&lt;F100,"⚠ CHECK ODOMETER / REVISA ODÓMETRO","✔ OK"),"✔ OK"))))</f>
        <v/>
      </c>
      <c r="N100" s="53"/>
      <c r="P100" s="51" t="n">
        <f aca="false">IF(ISNUMBER(L100),1,0)</f>
        <v>0</v>
      </c>
      <c r="Q100" s="51" t="n">
        <f aca="false">IF(P100=1,YEAR(B100),0)</f>
        <v>0</v>
      </c>
      <c r="R100" s="51" t="n">
        <f aca="false">IF(P100=1,YEAR(B100)*100+MONTH(B100),0)</f>
        <v>0</v>
      </c>
    </row>
    <row r="101" customFormat="false" ht="15" hidden="false" customHeight="false" outlineLevel="0" collapsed="false">
      <c r="B101" s="52"/>
      <c r="C101" s="53"/>
      <c r="D101" s="53"/>
      <c r="E101" s="53"/>
      <c r="F101" s="59"/>
      <c r="G101" s="59"/>
      <c r="H101" s="59"/>
      <c r="I101" s="57"/>
      <c r="J101" s="60" t="str">
        <f aca="false">IF(AND(ISNUMBER(F101),ISNUMBER(G101)),MAX(0,G101-F101),IF(ISNUMBER(H101),H101*IF(I101="Yes / Sí",2,1),""))</f>
        <v/>
      </c>
      <c r="K101" s="61" t="str">
        <f aca="false">IF(OR(J101="",NOT(ISNUMBER(B101))),"",IF(COUNTIF(Settings!$B$8:$B$17,"&lt;="&amp;B101)=0,Settings!$C$8,INDEX(Settings!$C$8:$C$17,COUNTIF(Settings!$B$8:$B$17,"&lt;="&amp;B101))))</f>
        <v/>
      </c>
      <c r="L101" s="56" t="str">
        <f aca="false">IF(K101="","",ROUND(J101*K101,2))</f>
        <v/>
      </c>
      <c r="M101" s="58" t="str">
        <f aca="false">IF(AND(B101="",F101="",G101="",H101=""),"",IF(NOT(ISNUMBER(B101)),"⚠ ADD DATE / AGREGA FECHA",IF(J101="","⚠ ADD MILES / AGREGA MILLAS",IF(AND(ISNUMBER(F101),ISNUMBER(G101)),IF(G101&lt;F101,"⚠ CHECK ODOMETER / REVISA ODÓMETRO","✔ OK"),"✔ OK"))))</f>
        <v/>
      </c>
      <c r="N101" s="53"/>
      <c r="P101" s="51" t="n">
        <f aca="false">IF(ISNUMBER(L101),1,0)</f>
        <v>0</v>
      </c>
      <c r="Q101" s="51" t="n">
        <f aca="false">IF(P101=1,YEAR(B101),0)</f>
        <v>0</v>
      </c>
      <c r="R101" s="51" t="n">
        <f aca="false">IF(P101=1,YEAR(B101)*100+MONTH(B101),0)</f>
        <v>0</v>
      </c>
    </row>
    <row r="102" customFormat="false" ht="15" hidden="false" customHeight="false" outlineLevel="0" collapsed="false">
      <c r="B102" s="52"/>
      <c r="C102" s="53"/>
      <c r="D102" s="53"/>
      <c r="E102" s="53"/>
      <c r="F102" s="59"/>
      <c r="G102" s="59"/>
      <c r="H102" s="59"/>
      <c r="I102" s="57"/>
      <c r="J102" s="60" t="str">
        <f aca="false">IF(AND(ISNUMBER(F102),ISNUMBER(G102)),MAX(0,G102-F102),IF(ISNUMBER(H102),H102*IF(I102="Yes / Sí",2,1),""))</f>
        <v/>
      </c>
      <c r="K102" s="61" t="str">
        <f aca="false">IF(OR(J102="",NOT(ISNUMBER(B102))),"",IF(COUNTIF(Settings!$B$8:$B$17,"&lt;="&amp;B102)=0,Settings!$C$8,INDEX(Settings!$C$8:$C$17,COUNTIF(Settings!$B$8:$B$17,"&lt;="&amp;B102))))</f>
        <v/>
      </c>
      <c r="L102" s="56" t="str">
        <f aca="false">IF(K102="","",ROUND(J102*K102,2))</f>
        <v/>
      </c>
      <c r="M102" s="58" t="str">
        <f aca="false">IF(AND(B102="",F102="",G102="",H102=""),"",IF(NOT(ISNUMBER(B102)),"⚠ ADD DATE / AGREGA FECHA",IF(J102="","⚠ ADD MILES / AGREGA MILLAS",IF(AND(ISNUMBER(F102),ISNUMBER(G102)),IF(G102&lt;F102,"⚠ CHECK ODOMETER / REVISA ODÓMETRO","✔ OK"),"✔ OK"))))</f>
        <v/>
      </c>
      <c r="N102" s="53"/>
      <c r="P102" s="51" t="n">
        <f aca="false">IF(ISNUMBER(L102),1,0)</f>
        <v>0</v>
      </c>
      <c r="Q102" s="51" t="n">
        <f aca="false">IF(P102=1,YEAR(B102),0)</f>
        <v>0</v>
      </c>
      <c r="R102" s="51" t="n">
        <f aca="false">IF(P102=1,YEAR(B102)*100+MONTH(B102),0)</f>
        <v>0</v>
      </c>
    </row>
    <row r="103" customFormat="false" ht="15" hidden="false" customHeight="false" outlineLevel="0" collapsed="false">
      <c r="B103" s="52"/>
      <c r="C103" s="53"/>
      <c r="D103" s="53"/>
      <c r="E103" s="53"/>
      <c r="F103" s="59"/>
      <c r="G103" s="59"/>
      <c r="H103" s="59"/>
      <c r="I103" s="57"/>
      <c r="J103" s="60" t="str">
        <f aca="false">IF(AND(ISNUMBER(F103),ISNUMBER(G103)),MAX(0,G103-F103),IF(ISNUMBER(H103),H103*IF(I103="Yes / Sí",2,1),""))</f>
        <v/>
      </c>
      <c r="K103" s="61" t="str">
        <f aca="false">IF(OR(J103="",NOT(ISNUMBER(B103))),"",IF(COUNTIF(Settings!$B$8:$B$17,"&lt;="&amp;B103)=0,Settings!$C$8,INDEX(Settings!$C$8:$C$17,COUNTIF(Settings!$B$8:$B$17,"&lt;="&amp;B103))))</f>
        <v/>
      </c>
      <c r="L103" s="56" t="str">
        <f aca="false">IF(K103="","",ROUND(J103*K103,2))</f>
        <v/>
      </c>
      <c r="M103" s="58" t="str">
        <f aca="false">IF(AND(B103="",F103="",G103="",H103=""),"",IF(NOT(ISNUMBER(B103)),"⚠ ADD DATE / AGREGA FECHA",IF(J103="","⚠ ADD MILES / AGREGA MILLAS",IF(AND(ISNUMBER(F103),ISNUMBER(G103)),IF(G103&lt;F103,"⚠ CHECK ODOMETER / REVISA ODÓMETRO","✔ OK"),"✔ OK"))))</f>
        <v/>
      </c>
      <c r="N103" s="53"/>
      <c r="P103" s="51" t="n">
        <f aca="false">IF(ISNUMBER(L103),1,0)</f>
        <v>0</v>
      </c>
      <c r="Q103" s="51" t="n">
        <f aca="false">IF(P103=1,YEAR(B103),0)</f>
        <v>0</v>
      </c>
      <c r="R103" s="51" t="n">
        <f aca="false">IF(P103=1,YEAR(B103)*100+MONTH(B103),0)</f>
        <v>0</v>
      </c>
    </row>
    <row r="104" customFormat="false" ht="15" hidden="false" customHeight="false" outlineLevel="0" collapsed="false">
      <c r="B104" s="52"/>
      <c r="C104" s="53"/>
      <c r="D104" s="53"/>
      <c r="E104" s="53"/>
      <c r="F104" s="59"/>
      <c r="G104" s="59"/>
      <c r="H104" s="59"/>
      <c r="I104" s="57"/>
      <c r="J104" s="60" t="str">
        <f aca="false">IF(AND(ISNUMBER(F104),ISNUMBER(G104)),MAX(0,G104-F104),IF(ISNUMBER(H104),H104*IF(I104="Yes / Sí",2,1),""))</f>
        <v/>
      </c>
      <c r="K104" s="61" t="str">
        <f aca="false">IF(OR(J104="",NOT(ISNUMBER(B104))),"",IF(COUNTIF(Settings!$B$8:$B$17,"&lt;="&amp;B104)=0,Settings!$C$8,INDEX(Settings!$C$8:$C$17,COUNTIF(Settings!$B$8:$B$17,"&lt;="&amp;B104))))</f>
        <v/>
      </c>
      <c r="L104" s="56" t="str">
        <f aca="false">IF(K104="","",ROUND(J104*K104,2))</f>
        <v/>
      </c>
      <c r="M104" s="58" t="str">
        <f aca="false">IF(AND(B104="",F104="",G104="",H104=""),"",IF(NOT(ISNUMBER(B104)),"⚠ ADD DATE / AGREGA FECHA",IF(J104="","⚠ ADD MILES / AGREGA MILLAS",IF(AND(ISNUMBER(F104),ISNUMBER(G104)),IF(G104&lt;F104,"⚠ CHECK ODOMETER / REVISA ODÓMETRO","✔ OK"),"✔ OK"))))</f>
        <v/>
      </c>
      <c r="N104" s="53"/>
      <c r="P104" s="51" t="n">
        <f aca="false">IF(ISNUMBER(L104),1,0)</f>
        <v>0</v>
      </c>
      <c r="Q104" s="51" t="n">
        <f aca="false">IF(P104=1,YEAR(B104),0)</f>
        <v>0</v>
      </c>
      <c r="R104" s="51" t="n">
        <f aca="false">IF(P104=1,YEAR(B104)*100+MONTH(B104),0)</f>
        <v>0</v>
      </c>
    </row>
    <row r="105" customFormat="false" ht="15" hidden="false" customHeight="false" outlineLevel="0" collapsed="false">
      <c r="B105" s="52"/>
      <c r="C105" s="53"/>
      <c r="D105" s="53"/>
      <c r="E105" s="53"/>
      <c r="F105" s="59"/>
      <c r="G105" s="59"/>
      <c r="H105" s="59"/>
      <c r="I105" s="57"/>
      <c r="J105" s="60" t="str">
        <f aca="false">IF(AND(ISNUMBER(F105),ISNUMBER(G105)),MAX(0,G105-F105),IF(ISNUMBER(H105),H105*IF(I105="Yes / Sí",2,1),""))</f>
        <v/>
      </c>
      <c r="K105" s="61" t="str">
        <f aca="false">IF(OR(J105="",NOT(ISNUMBER(B105))),"",IF(COUNTIF(Settings!$B$8:$B$17,"&lt;="&amp;B105)=0,Settings!$C$8,INDEX(Settings!$C$8:$C$17,COUNTIF(Settings!$B$8:$B$17,"&lt;="&amp;B105))))</f>
        <v/>
      </c>
      <c r="L105" s="56" t="str">
        <f aca="false">IF(K105="","",ROUND(J105*K105,2))</f>
        <v/>
      </c>
      <c r="M105" s="58" t="str">
        <f aca="false">IF(AND(B105="",F105="",G105="",H105=""),"",IF(NOT(ISNUMBER(B105)),"⚠ ADD DATE / AGREGA FECHA",IF(J105="","⚠ ADD MILES / AGREGA MILLAS",IF(AND(ISNUMBER(F105),ISNUMBER(G105)),IF(G105&lt;F105,"⚠ CHECK ODOMETER / REVISA ODÓMETRO","✔ OK"),"✔ OK"))))</f>
        <v/>
      </c>
      <c r="N105" s="53"/>
      <c r="P105" s="51" t="n">
        <f aca="false">IF(ISNUMBER(L105),1,0)</f>
        <v>0</v>
      </c>
      <c r="Q105" s="51" t="n">
        <f aca="false">IF(P105=1,YEAR(B105),0)</f>
        <v>0</v>
      </c>
      <c r="R105" s="51" t="n">
        <f aca="false">IF(P105=1,YEAR(B105)*100+MONTH(B105),0)</f>
        <v>0</v>
      </c>
    </row>
    <row r="106" customFormat="false" ht="15" hidden="false" customHeight="false" outlineLevel="0" collapsed="false">
      <c r="B106" s="52"/>
      <c r="C106" s="53"/>
      <c r="D106" s="53"/>
      <c r="E106" s="53"/>
      <c r="F106" s="59"/>
      <c r="G106" s="59"/>
      <c r="H106" s="59"/>
      <c r="I106" s="57"/>
      <c r="J106" s="60" t="str">
        <f aca="false">IF(AND(ISNUMBER(F106),ISNUMBER(G106)),MAX(0,G106-F106),IF(ISNUMBER(H106),H106*IF(I106="Yes / Sí",2,1),""))</f>
        <v/>
      </c>
      <c r="K106" s="61" t="str">
        <f aca="false">IF(OR(J106="",NOT(ISNUMBER(B106))),"",IF(COUNTIF(Settings!$B$8:$B$17,"&lt;="&amp;B106)=0,Settings!$C$8,INDEX(Settings!$C$8:$C$17,COUNTIF(Settings!$B$8:$B$17,"&lt;="&amp;B106))))</f>
        <v/>
      </c>
      <c r="L106" s="56" t="str">
        <f aca="false">IF(K106="","",ROUND(J106*K106,2))</f>
        <v/>
      </c>
      <c r="M106" s="58" t="str">
        <f aca="false">IF(AND(B106="",F106="",G106="",H106=""),"",IF(NOT(ISNUMBER(B106)),"⚠ ADD DATE / AGREGA FECHA",IF(J106="","⚠ ADD MILES / AGREGA MILLAS",IF(AND(ISNUMBER(F106),ISNUMBER(G106)),IF(G106&lt;F106,"⚠ CHECK ODOMETER / REVISA ODÓMETRO","✔ OK"),"✔ OK"))))</f>
        <v/>
      </c>
      <c r="N106" s="53"/>
      <c r="P106" s="51" t="n">
        <f aca="false">IF(ISNUMBER(L106),1,0)</f>
        <v>0</v>
      </c>
      <c r="Q106" s="51" t="n">
        <f aca="false">IF(P106=1,YEAR(B106),0)</f>
        <v>0</v>
      </c>
      <c r="R106" s="51" t="n">
        <f aca="false">IF(P106=1,YEAR(B106)*100+MONTH(B106),0)</f>
        <v>0</v>
      </c>
    </row>
    <row r="107" customFormat="false" ht="15" hidden="false" customHeight="false" outlineLevel="0" collapsed="false">
      <c r="B107" s="52"/>
      <c r="C107" s="53"/>
      <c r="D107" s="53"/>
      <c r="E107" s="53"/>
      <c r="F107" s="59"/>
      <c r="G107" s="59"/>
      <c r="H107" s="59"/>
      <c r="I107" s="57"/>
      <c r="J107" s="60" t="str">
        <f aca="false">IF(AND(ISNUMBER(F107),ISNUMBER(G107)),MAX(0,G107-F107),IF(ISNUMBER(H107),H107*IF(I107="Yes / Sí",2,1),""))</f>
        <v/>
      </c>
      <c r="K107" s="61" t="str">
        <f aca="false">IF(OR(J107="",NOT(ISNUMBER(B107))),"",IF(COUNTIF(Settings!$B$8:$B$17,"&lt;="&amp;B107)=0,Settings!$C$8,INDEX(Settings!$C$8:$C$17,COUNTIF(Settings!$B$8:$B$17,"&lt;="&amp;B107))))</f>
        <v/>
      </c>
      <c r="L107" s="56" t="str">
        <f aca="false">IF(K107="","",ROUND(J107*K107,2))</f>
        <v/>
      </c>
      <c r="M107" s="58" t="str">
        <f aca="false">IF(AND(B107="",F107="",G107="",H107=""),"",IF(NOT(ISNUMBER(B107)),"⚠ ADD DATE / AGREGA FECHA",IF(J107="","⚠ ADD MILES / AGREGA MILLAS",IF(AND(ISNUMBER(F107),ISNUMBER(G107)),IF(G107&lt;F107,"⚠ CHECK ODOMETER / REVISA ODÓMETRO","✔ OK"),"✔ OK"))))</f>
        <v/>
      </c>
      <c r="N107" s="53"/>
      <c r="P107" s="51" t="n">
        <f aca="false">IF(ISNUMBER(L107),1,0)</f>
        <v>0</v>
      </c>
      <c r="Q107" s="51" t="n">
        <f aca="false">IF(P107=1,YEAR(B107),0)</f>
        <v>0</v>
      </c>
      <c r="R107" s="51" t="n">
        <f aca="false">IF(P107=1,YEAR(B107)*100+MONTH(B107),0)</f>
        <v>0</v>
      </c>
    </row>
    <row r="108" customFormat="false" ht="15" hidden="false" customHeight="false" outlineLevel="0" collapsed="false">
      <c r="B108" s="52"/>
      <c r="C108" s="53"/>
      <c r="D108" s="53"/>
      <c r="E108" s="53"/>
      <c r="F108" s="59"/>
      <c r="G108" s="59"/>
      <c r="H108" s="59"/>
      <c r="I108" s="57"/>
      <c r="J108" s="60" t="str">
        <f aca="false">IF(AND(ISNUMBER(F108),ISNUMBER(G108)),MAX(0,G108-F108),IF(ISNUMBER(H108),H108*IF(I108="Yes / Sí",2,1),""))</f>
        <v/>
      </c>
      <c r="K108" s="61" t="str">
        <f aca="false">IF(OR(J108="",NOT(ISNUMBER(B108))),"",IF(COUNTIF(Settings!$B$8:$B$17,"&lt;="&amp;B108)=0,Settings!$C$8,INDEX(Settings!$C$8:$C$17,COUNTIF(Settings!$B$8:$B$17,"&lt;="&amp;B108))))</f>
        <v/>
      </c>
      <c r="L108" s="56" t="str">
        <f aca="false">IF(K108="","",ROUND(J108*K108,2))</f>
        <v/>
      </c>
      <c r="M108" s="58" t="str">
        <f aca="false">IF(AND(B108="",F108="",G108="",H108=""),"",IF(NOT(ISNUMBER(B108)),"⚠ ADD DATE / AGREGA FECHA",IF(J108="","⚠ ADD MILES / AGREGA MILLAS",IF(AND(ISNUMBER(F108),ISNUMBER(G108)),IF(G108&lt;F108,"⚠ CHECK ODOMETER / REVISA ODÓMETRO","✔ OK"),"✔ OK"))))</f>
        <v/>
      </c>
      <c r="N108" s="53"/>
      <c r="P108" s="51" t="n">
        <f aca="false">IF(ISNUMBER(L108),1,0)</f>
        <v>0</v>
      </c>
      <c r="Q108" s="51" t="n">
        <f aca="false">IF(P108=1,YEAR(B108),0)</f>
        <v>0</v>
      </c>
      <c r="R108" s="51" t="n">
        <f aca="false">IF(P108=1,YEAR(B108)*100+MONTH(B108),0)</f>
        <v>0</v>
      </c>
    </row>
    <row r="109" customFormat="false" ht="15" hidden="false" customHeight="false" outlineLevel="0" collapsed="false">
      <c r="B109" s="52"/>
      <c r="C109" s="53"/>
      <c r="D109" s="53"/>
      <c r="E109" s="53"/>
      <c r="F109" s="59"/>
      <c r="G109" s="59"/>
      <c r="H109" s="59"/>
      <c r="I109" s="57"/>
      <c r="J109" s="60" t="str">
        <f aca="false">IF(AND(ISNUMBER(F109),ISNUMBER(G109)),MAX(0,G109-F109),IF(ISNUMBER(H109),H109*IF(I109="Yes / Sí",2,1),""))</f>
        <v/>
      </c>
      <c r="K109" s="61" t="str">
        <f aca="false">IF(OR(J109="",NOT(ISNUMBER(B109))),"",IF(COUNTIF(Settings!$B$8:$B$17,"&lt;="&amp;B109)=0,Settings!$C$8,INDEX(Settings!$C$8:$C$17,COUNTIF(Settings!$B$8:$B$17,"&lt;="&amp;B109))))</f>
        <v/>
      </c>
      <c r="L109" s="56" t="str">
        <f aca="false">IF(K109="","",ROUND(J109*K109,2))</f>
        <v/>
      </c>
      <c r="M109" s="58" t="str">
        <f aca="false">IF(AND(B109="",F109="",G109="",H109=""),"",IF(NOT(ISNUMBER(B109)),"⚠ ADD DATE / AGREGA FECHA",IF(J109="","⚠ ADD MILES / AGREGA MILLAS",IF(AND(ISNUMBER(F109),ISNUMBER(G109)),IF(G109&lt;F109,"⚠ CHECK ODOMETER / REVISA ODÓMETRO","✔ OK"),"✔ OK"))))</f>
        <v/>
      </c>
      <c r="N109" s="53"/>
      <c r="P109" s="51" t="n">
        <f aca="false">IF(ISNUMBER(L109),1,0)</f>
        <v>0</v>
      </c>
      <c r="Q109" s="51" t="n">
        <f aca="false">IF(P109=1,YEAR(B109),0)</f>
        <v>0</v>
      </c>
      <c r="R109" s="51" t="n">
        <f aca="false">IF(P109=1,YEAR(B109)*100+MONTH(B109),0)</f>
        <v>0</v>
      </c>
    </row>
    <row r="110" customFormat="false" ht="15" hidden="false" customHeight="false" outlineLevel="0" collapsed="false">
      <c r="B110" s="52"/>
      <c r="C110" s="53"/>
      <c r="D110" s="53"/>
      <c r="E110" s="53"/>
      <c r="F110" s="59"/>
      <c r="G110" s="59"/>
      <c r="H110" s="59"/>
      <c r="I110" s="57"/>
      <c r="J110" s="60" t="str">
        <f aca="false">IF(AND(ISNUMBER(F110),ISNUMBER(G110)),MAX(0,G110-F110),IF(ISNUMBER(H110),H110*IF(I110="Yes / Sí",2,1),""))</f>
        <v/>
      </c>
      <c r="K110" s="61" t="str">
        <f aca="false">IF(OR(J110="",NOT(ISNUMBER(B110))),"",IF(COUNTIF(Settings!$B$8:$B$17,"&lt;="&amp;B110)=0,Settings!$C$8,INDEX(Settings!$C$8:$C$17,COUNTIF(Settings!$B$8:$B$17,"&lt;="&amp;B110))))</f>
        <v/>
      </c>
      <c r="L110" s="56" t="str">
        <f aca="false">IF(K110="","",ROUND(J110*K110,2))</f>
        <v/>
      </c>
      <c r="M110" s="58" t="str">
        <f aca="false">IF(AND(B110="",F110="",G110="",H110=""),"",IF(NOT(ISNUMBER(B110)),"⚠ ADD DATE / AGREGA FECHA",IF(J110="","⚠ ADD MILES / AGREGA MILLAS",IF(AND(ISNUMBER(F110),ISNUMBER(G110)),IF(G110&lt;F110,"⚠ CHECK ODOMETER / REVISA ODÓMETRO","✔ OK"),"✔ OK"))))</f>
        <v/>
      </c>
      <c r="N110" s="53"/>
      <c r="P110" s="51" t="n">
        <f aca="false">IF(ISNUMBER(L110),1,0)</f>
        <v>0</v>
      </c>
      <c r="Q110" s="51" t="n">
        <f aca="false">IF(P110=1,YEAR(B110),0)</f>
        <v>0</v>
      </c>
      <c r="R110" s="51" t="n">
        <f aca="false">IF(P110=1,YEAR(B110)*100+MONTH(B110),0)</f>
        <v>0</v>
      </c>
    </row>
    <row r="111" customFormat="false" ht="15" hidden="false" customHeight="false" outlineLevel="0" collapsed="false">
      <c r="B111" s="52"/>
      <c r="C111" s="53"/>
      <c r="D111" s="53"/>
      <c r="E111" s="53"/>
      <c r="F111" s="59"/>
      <c r="G111" s="59"/>
      <c r="H111" s="59"/>
      <c r="I111" s="57"/>
      <c r="J111" s="60" t="str">
        <f aca="false">IF(AND(ISNUMBER(F111),ISNUMBER(G111)),MAX(0,G111-F111),IF(ISNUMBER(H111),H111*IF(I111="Yes / Sí",2,1),""))</f>
        <v/>
      </c>
      <c r="K111" s="61" t="str">
        <f aca="false">IF(OR(J111="",NOT(ISNUMBER(B111))),"",IF(COUNTIF(Settings!$B$8:$B$17,"&lt;="&amp;B111)=0,Settings!$C$8,INDEX(Settings!$C$8:$C$17,COUNTIF(Settings!$B$8:$B$17,"&lt;="&amp;B111))))</f>
        <v/>
      </c>
      <c r="L111" s="56" t="str">
        <f aca="false">IF(K111="","",ROUND(J111*K111,2))</f>
        <v/>
      </c>
      <c r="M111" s="58" t="str">
        <f aca="false">IF(AND(B111="",F111="",G111="",H111=""),"",IF(NOT(ISNUMBER(B111)),"⚠ ADD DATE / AGREGA FECHA",IF(J111="","⚠ ADD MILES / AGREGA MILLAS",IF(AND(ISNUMBER(F111),ISNUMBER(G111)),IF(G111&lt;F111,"⚠ CHECK ODOMETER / REVISA ODÓMETRO","✔ OK"),"✔ OK"))))</f>
        <v/>
      </c>
      <c r="N111" s="53"/>
      <c r="P111" s="51" t="n">
        <f aca="false">IF(ISNUMBER(L111),1,0)</f>
        <v>0</v>
      </c>
      <c r="Q111" s="51" t="n">
        <f aca="false">IF(P111=1,YEAR(B111),0)</f>
        <v>0</v>
      </c>
      <c r="R111" s="51" t="n">
        <f aca="false">IF(P111=1,YEAR(B111)*100+MONTH(B111),0)</f>
        <v>0</v>
      </c>
    </row>
    <row r="112" customFormat="false" ht="15" hidden="false" customHeight="false" outlineLevel="0" collapsed="false">
      <c r="B112" s="52"/>
      <c r="C112" s="53"/>
      <c r="D112" s="53"/>
      <c r="E112" s="53"/>
      <c r="F112" s="59"/>
      <c r="G112" s="59"/>
      <c r="H112" s="59"/>
      <c r="I112" s="57"/>
      <c r="J112" s="60" t="str">
        <f aca="false">IF(AND(ISNUMBER(F112),ISNUMBER(G112)),MAX(0,G112-F112),IF(ISNUMBER(H112),H112*IF(I112="Yes / Sí",2,1),""))</f>
        <v/>
      </c>
      <c r="K112" s="61" t="str">
        <f aca="false">IF(OR(J112="",NOT(ISNUMBER(B112))),"",IF(COUNTIF(Settings!$B$8:$B$17,"&lt;="&amp;B112)=0,Settings!$C$8,INDEX(Settings!$C$8:$C$17,COUNTIF(Settings!$B$8:$B$17,"&lt;="&amp;B112))))</f>
        <v/>
      </c>
      <c r="L112" s="56" t="str">
        <f aca="false">IF(K112="","",ROUND(J112*K112,2))</f>
        <v/>
      </c>
      <c r="M112" s="58" t="str">
        <f aca="false">IF(AND(B112="",F112="",G112="",H112=""),"",IF(NOT(ISNUMBER(B112)),"⚠ ADD DATE / AGREGA FECHA",IF(J112="","⚠ ADD MILES / AGREGA MILLAS",IF(AND(ISNUMBER(F112),ISNUMBER(G112)),IF(G112&lt;F112,"⚠ CHECK ODOMETER / REVISA ODÓMETRO","✔ OK"),"✔ OK"))))</f>
        <v/>
      </c>
      <c r="N112" s="53"/>
      <c r="P112" s="51" t="n">
        <f aca="false">IF(ISNUMBER(L112),1,0)</f>
        <v>0</v>
      </c>
      <c r="Q112" s="51" t="n">
        <f aca="false">IF(P112=1,YEAR(B112),0)</f>
        <v>0</v>
      </c>
      <c r="R112" s="51" t="n">
        <f aca="false">IF(P112=1,YEAR(B112)*100+MONTH(B112),0)</f>
        <v>0</v>
      </c>
    </row>
    <row r="113" customFormat="false" ht="15" hidden="false" customHeight="false" outlineLevel="0" collapsed="false">
      <c r="B113" s="52"/>
      <c r="C113" s="53"/>
      <c r="D113" s="53"/>
      <c r="E113" s="53"/>
      <c r="F113" s="59"/>
      <c r="G113" s="59"/>
      <c r="H113" s="59"/>
      <c r="I113" s="57"/>
      <c r="J113" s="60" t="str">
        <f aca="false">IF(AND(ISNUMBER(F113),ISNUMBER(G113)),MAX(0,G113-F113),IF(ISNUMBER(H113),H113*IF(I113="Yes / Sí",2,1),""))</f>
        <v/>
      </c>
      <c r="K113" s="61" t="str">
        <f aca="false">IF(OR(J113="",NOT(ISNUMBER(B113))),"",IF(COUNTIF(Settings!$B$8:$B$17,"&lt;="&amp;B113)=0,Settings!$C$8,INDEX(Settings!$C$8:$C$17,COUNTIF(Settings!$B$8:$B$17,"&lt;="&amp;B113))))</f>
        <v/>
      </c>
      <c r="L113" s="56" t="str">
        <f aca="false">IF(K113="","",ROUND(J113*K113,2))</f>
        <v/>
      </c>
      <c r="M113" s="58" t="str">
        <f aca="false">IF(AND(B113="",F113="",G113="",H113=""),"",IF(NOT(ISNUMBER(B113)),"⚠ ADD DATE / AGREGA FECHA",IF(J113="","⚠ ADD MILES / AGREGA MILLAS",IF(AND(ISNUMBER(F113),ISNUMBER(G113)),IF(G113&lt;F113,"⚠ CHECK ODOMETER / REVISA ODÓMETRO","✔ OK"),"✔ OK"))))</f>
        <v/>
      </c>
      <c r="N113" s="53"/>
      <c r="P113" s="51" t="n">
        <f aca="false">IF(ISNUMBER(L113),1,0)</f>
        <v>0</v>
      </c>
      <c r="Q113" s="51" t="n">
        <f aca="false">IF(P113=1,YEAR(B113),0)</f>
        <v>0</v>
      </c>
      <c r="R113" s="51" t="n">
        <f aca="false">IF(P113=1,YEAR(B113)*100+MONTH(B113),0)</f>
        <v>0</v>
      </c>
    </row>
    <row r="114" customFormat="false" ht="15" hidden="false" customHeight="false" outlineLevel="0" collapsed="false">
      <c r="B114" s="52"/>
      <c r="C114" s="53"/>
      <c r="D114" s="53"/>
      <c r="E114" s="53"/>
      <c r="F114" s="59"/>
      <c r="G114" s="59"/>
      <c r="H114" s="59"/>
      <c r="I114" s="57"/>
      <c r="J114" s="60" t="str">
        <f aca="false">IF(AND(ISNUMBER(F114),ISNUMBER(G114)),MAX(0,G114-F114),IF(ISNUMBER(H114),H114*IF(I114="Yes / Sí",2,1),""))</f>
        <v/>
      </c>
      <c r="K114" s="61" t="str">
        <f aca="false">IF(OR(J114="",NOT(ISNUMBER(B114))),"",IF(COUNTIF(Settings!$B$8:$B$17,"&lt;="&amp;B114)=0,Settings!$C$8,INDEX(Settings!$C$8:$C$17,COUNTIF(Settings!$B$8:$B$17,"&lt;="&amp;B114))))</f>
        <v/>
      </c>
      <c r="L114" s="56" t="str">
        <f aca="false">IF(K114="","",ROUND(J114*K114,2))</f>
        <v/>
      </c>
      <c r="M114" s="58" t="str">
        <f aca="false">IF(AND(B114="",F114="",G114="",H114=""),"",IF(NOT(ISNUMBER(B114)),"⚠ ADD DATE / AGREGA FECHA",IF(J114="","⚠ ADD MILES / AGREGA MILLAS",IF(AND(ISNUMBER(F114),ISNUMBER(G114)),IF(G114&lt;F114,"⚠ CHECK ODOMETER / REVISA ODÓMETRO","✔ OK"),"✔ OK"))))</f>
        <v/>
      </c>
      <c r="N114" s="53"/>
      <c r="P114" s="51" t="n">
        <f aca="false">IF(ISNUMBER(L114),1,0)</f>
        <v>0</v>
      </c>
      <c r="Q114" s="51" t="n">
        <f aca="false">IF(P114=1,YEAR(B114),0)</f>
        <v>0</v>
      </c>
      <c r="R114" s="51" t="n">
        <f aca="false">IF(P114=1,YEAR(B114)*100+MONTH(B114),0)</f>
        <v>0</v>
      </c>
    </row>
    <row r="115" customFormat="false" ht="15" hidden="false" customHeight="false" outlineLevel="0" collapsed="false">
      <c r="B115" s="52"/>
      <c r="C115" s="53"/>
      <c r="D115" s="53"/>
      <c r="E115" s="53"/>
      <c r="F115" s="59"/>
      <c r="G115" s="59"/>
      <c r="H115" s="59"/>
      <c r="I115" s="57"/>
      <c r="J115" s="60" t="str">
        <f aca="false">IF(AND(ISNUMBER(F115),ISNUMBER(G115)),MAX(0,G115-F115),IF(ISNUMBER(H115),H115*IF(I115="Yes / Sí",2,1),""))</f>
        <v/>
      </c>
      <c r="K115" s="61" t="str">
        <f aca="false">IF(OR(J115="",NOT(ISNUMBER(B115))),"",IF(COUNTIF(Settings!$B$8:$B$17,"&lt;="&amp;B115)=0,Settings!$C$8,INDEX(Settings!$C$8:$C$17,COUNTIF(Settings!$B$8:$B$17,"&lt;="&amp;B115))))</f>
        <v/>
      </c>
      <c r="L115" s="56" t="str">
        <f aca="false">IF(K115="","",ROUND(J115*K115,2))</f>
        <v/>
      </c>
      <c r="M115" s="58" t="str">
        <f aca="false">IF(AND(B115="",F115="",G115="",H115=""),"",IF(NOT(ISNUMBER(B115)),"⚠ ADD DATE / AGREGA FECHA",IF(J115="","⚠ ADD MILES / AGREGA MILLAS",IF(AND(ISNUMBER(F115),ISNUMBER(G115)),IF(G115&lt;F115,"⚠ CHECK ODOMETER / REVISA ODÓMETRO","✔ OK"),"✔ OK"))))</f>
        <v/>
      </c>
      <c r="N115" s="53"/>
      <c r="P115" s="51" t="n">
        <f aca="false">IF(ISNUMBER(L115),1,0)</f>
        <v>0</v>
      </c>
      <c r="Q115" s="51" t="n">
        <f aca="false">IF(P115=1,YEAR(B115),0)</f>
        <v>0</v>
      </c>
      <c r="R115" s="51" t="n">
        <f aca="false">IF(P115=1,YEAR(B115)*100+MONTH(B115),0)</f>
        <v>0</v>
      </c>
    </row>
    <row r="116" customFormat="false" ht="15" hidden="false" customHeight="false" outlineLevel="0" collapsed="false">
      <c r="B116" s="52"/>
      <c r="C116" s="53"/>
      <c r="D116" s="53"/>
      <c r="E116" s="53"/>
      <c r="F116" s="59"/>
      <c r="G116" s="59"/>
      <c r="H116" s="59"/>
      <c r="I116" s="57"/>
      <c r="J116" s="60" t="str">
        <f aca="false">IF(AND(ISNUMBER(F116),ISNUMBER(G116)),MAX(0,G116-F116),IF(ISNUMBER(H116),H116*IF(I116="Yes / Sí",2,1),""))</f>
        <v/>
      </c>
      <c r="K116" s="61" t="str">
        <f aca="false">IF(OR(J116="",NOT(ISNUMBER(B116))),"",IF(COUNTIF(Settings!$B$8:$B$17,"&lt;="&amp;B116)=0,Settings!$C$8,INDEX(Settings!$C$8:$C$17,COUNTIF(Settings!$B$8:$B$17,"&lt;="&amp;B116))))</f>
        <v/>
      </c>
      <c r="L116" s="56" t="str">
        <f aca="false">IF(K116="","",ROUND(J116*K116,2))</f>
        <v/>
      </c>
      <c r="M116" s="58" t="str">
        <f aca="false">IF(AND(B116="",F116="",G116="",H116=""),"",IF(NOT(ISNUMBER(B116)),"⚠ ADD DATE / AGREGA FECHA",IF(J116="","⚠ ADD MILES / AGREGA MILLAS",IF(AND(ISNUMBER(F116),ISNUMBER(G116)),IF(G116&lt;F116,"⚠ CHECK ODOMETER / REVISA ODÓMETRO","✔ OK"),"✔ OK"))))</f>
        <v/>
      </c>
      <c r="N116" s="53"/>
      <c r="P116" s="51" t="n">
        <f aca="false">IF(ISNUMBER(L116),1,0)</f>
        <v>0</v>
      </c>
      <c r="Q116" s="51" t="n">
        <f aca="false">IF(P116=1,YEAR(B116),0)</f>
        <v>0</v>
      </c>
      <c r="R116" s="51" t="n">
        <f aca="false">IF(P116=1,YEAR(B116)*100+MONTH(B116),0)</f>
        <v>0</v>
      </c>
    </row>
    <row r="117" customFormat="false" ht="15" hidden="false" customHeight="false" outlineLevel="0" collapsed="false">
      <c r="B117" s="52"/>
      <c r="C117" s="53"/>
      <c r="D117" s="53"/>
      <c r="E117" s="53"/>
      <c r="F117" s="59"/>
      <c r="G117" s="59"/>
      <c r="H117" s="59"/>
      <c r="I117" s="57"/>
      <c r="J117" s="60" t="str">
        <f aca="false">IF(AND(ISNUMBER(F117),ISNUMBER(G117)),MAX(0,G117-F117),IF(ISNUMBER(H117),H117*IF(I117="Yes / Sí",2,1),""))</f>
        <v/>
      </c>
      <c r="K117" s="61" t="str">
        <f aca="false">IF(OR(J117="",NOT(ISNUMBER(B117))),"",IF(COUNTIF(Settings!$B$8:$B$17,"&lt;="&amp;B117)=0,Settings!$C$8,INDEX(Settings!$C$8:$C$17,COUNTIF(Settings!$B$8:$B$17,"&lt;="&amp;B117))))</f>
        <v/>
      </c>
      <c r="L117" s="56" t="str">
        <f aca="false">IF(K117="","",ROUND(J117*K117,2))</f>
        <v/>
      </c>
      <c r="M117" s="58" t="str">
        <f aca="false">IF(AND(B117="",F117="",G117="",H117=""),"",IF(NOT(ISNUMBER(B117)),"⚠ ADD DATE / AGREGA FECHA",IF(J117="","⚠ ADD MILES / AGREGA MILLAS",IF(AND(ISNUMBER(F117),ISNUMBER(G117)),IF(G117&lt;F117,"⚠ CHECK ODOMETER / REVISA ODÓMETRO","✔ OK"),"✔ OK"))))</f>
        <v/>
      </c>
      <c r="N117" s="53"/>
      <c r="P117" s="51" t="n">
        <f aca="false">IF(ISNUMBER(L117),1,0)</f>
        <v>0</v>
      </c>
      <c r="Q117" s="51" t="n">
        <f aca="false">IF(P117=1,YEAR(B117),0)</f>
        <v>0</v>
      </c>
      <c r="R117" s="51" t="n">
        <f aca="false">IF(P117=1,YEAR(B117)*100+MONTH(B117),0)</f>
        <v>0</v>
      </c>
    </row>
    <row r="118" customFormat="false" ht="15" hidden="false" customHeight="false" outlineLevel="0" collapsed="false">
      <c r="B118" s="52"/>
      <c r="C118" s="53"/>
      <c r="D118" s="53"/>
      <c r="E118" s="53"/>
      <c r="F118" s="59"/>
      <c r="G118" s="59"/>
      <c r="H118" s="59"/>
      <c r="I118" s="57"/>
      <c r="J118" s="60" t="str">
        <f aca="false">IF(AND(ISNUMBER(F118),ISNUMBER(G118)),MAX(0,G118-F118),IF(ISNUMBER(H118),H118*IF(I118="Yes / Sí",2,1),""))</f>
        <v/>
      </c>
      <c r="K118" s="61" t="str">
        <f aca="false">IF(OR(J118="",NOT(ISNUMBER(B118))),"",IF(COUNTIF(Settings!$B$8:$B$17,"&lt;="&amp;B118)=0,Settings!$C$8,INDEX(Settings!$C$8:$C$17,COUNTIF(Settings!$B$8:$B$17,"&lt;="&amp;B118))))</f>
        <v/>
      </c>
      <c r="L118" s="56" t="str">
        <f aca="false">IF(K118="","",ROUND(J118*K118,2))</f>
        <v/>
      </c>
      <c r="M118" s="58" t="str">
        <f aca="false">IF(AND(B118="",F118="",G118="",H118=""),"",IF(NOT(ISNUMBER(B118)),"⚠ ADD DATE / AGREGA FECHA",IF(J118="","⚠ ADD MILES / AGREGA MILLAS",IF(AND(ISNUMBER(F118),ISNUMBER(G118)),IF(G118&lt;F118,"⚠ CHECK ODOMETER / REVISA ODÓMETRO","✔ OK"),"✔ OK"))))</f>
        <v/>
      </c>
      <c r="N118" s="53"/>
      <c r="P118" s="51" t="n">
        <f aca="false">IF(ISNUMBER(L118),1,0)</f>
        <v>0</v>
      </c>
      <c r="Q118" s="51" t="n">
        <f aca="false">IF(P118=1,YEAR(B118),0)</f>
        <v>0</v>
      </c>
      <c r="R118" s="51" t="n">
        <f aca="false">IF(P118=1,YEAR(B118)*100+MONTH(B118),0)</f>
        <v>0</v>
      </c>
    </row>
    <row r="119" customFormat="false" ht="15" hidden="false" customHeight="false" outlineLevel="0" collapsed="false">
      <c r="B119" s="52"/>
      <c r="C119" s="53"/>
      <c r="D119" s="53"/>
      <c r="E119" s="53"/>
      <c r="F119" s="59"/>
      <c r="G119" s="59"/>
      <c r="H119" s="59"/>
      <c r="I119" s="57"/>
      <c r="J119" s="60" t="str">
        <f aca="false">IF(AND(ISNUMBER(F119),ISNUMBER(G119)),MAX(0,G119-F119),IF(ISNUMBER(H119),H119*IF(I119="Yes / Sí",2,1),""))</f>
        <v/>
      </c>
      <c r="K119" s="61" t="str">
        <f aca="false">IF(OR(J119="",NOT(ISNUMBER(B119))),"",IF(COUNTIF(Settings!$B$8:$B$17,"&lt;="&amp;B119)=0,Settings!$C$8,INDEX(Settings!$C$8:$C$17,COUNTIF(Settings!$B$8:$B$17,"&lt;="&amp;B119))))</f>
        <v/>
      </c>
      <c r="L119" s="56" t="str">
        <f aca="false">IF(K119="","",ROUND(J119*K119,2))</f>
        <v/>
      </c>
      <c r="M119" s="58" t="str">
        <f aca="false">IF(AND(B119="",F119="",G119="",H119=""),"",IF(NOT(ISNUMBER(B119)),"⚠ ADD DATE / AGREGA FECHA",IF(J119="","⚠ ADD MILES / AGREGA MILLAS",IF(AND(ISNUMBER(F119),ISNUMBER(G119)),IF(G119&lt;F119,"⚠ CHECK ODOMETER / REVISA ODÓMETRO","✔ OK"),"✔ OK"))))</f>
        <v/>
      </c>
      <c r="N119" s="53"/>
      <c r="P119" s="51" t="n">
        <f aca="false">IF(ISNUMBER(L119),1,0)</f>
        <v>0</v>
      </c>
      <c r="Q119" s="51" t="n">
        <f aca="false">IF(P119=1,YEAR(B119),0)</f>
        <v>0</v>
      </c>
      <c r="R119" s="51" t="n">
        <f aca="false">IF(P119=1,YEAR(B119)*100+MONTH(B119),0)</f>
        <v>0</v>
      </c>
    </row>
    <row r="120" customFormat="false" ht="15" hidden="false" customHeight="false" outlineLevel="0" collapsed="false">
      <c r="B120" s="52"/>
      <c r="C120" s="53"/>
      <c r="D120" s="53"/>
      <c r="E120" s="53"/>
      <c r="F120" s="59"/>
      <c r="G120" s="59"/>
      <c r="H120" s="59"/>
      <c r="I120" s="57"/>
      <c r="J120" s="60" t="str">
        <f aca="false">IF(AND(ISNUMBER(F120),ISNUMBER(G120)),MAX(0,G120-F120),IF(ISNUMBER(H120),H120*IF(I120="Yes / Sí",2,1),""))</f>
        <v/>
      </c>
      <c r="K120" s="61" t="str">
        <f aca="false">IF(OR(J120="",NOT(ISNUMBER(B120))),"",IF(COUNTIF(Settings!$B$8:$B$17,"&lt;="&amp;B120)=0,Settings!$C$8,INDEX(Settings!$C$8:$C$17,COUNTIF(Settings!$B$8:$B$17,"&lt;="&amp;B120))))</f>
        <v/>
      </c>
      <c r="L120" s="56" t="str">
        <f aca="false">IF(K120="","",ROUND(J120*K120,2))</f>
        <v/>
      </c>
      <c r="M120" s="58" t="str">
        <f aca="false">IF(AND(B120="",F120="",G120="",H120=""),"",IF(NOT(ISNUMBER(B120)),"⚠ ADD DATE / AGREGA FECHA",IF(J120="","⚠ ADD MILES / AGREGA MILLAS",IF(AND(ISNUMBER(F120),ISNUMBER(G120)),IF(G120&lt;F120,"⚠ CHECK ODOMETER / REVISA ODÓMETRO","✔ OK"),"✔ OK"))))</f>
        <v/>
      </c>
      <c r="N120" s="53"/>
      <c r="P120" s="51" t="n">
        <f aca="false">IF(ISNUMBER(L120),1,0)</f>
        <v>0</v>
      </c>
      <c r="Q120" s="51" t="n">
        <f aca="false">IF(P120=1,YEAR(B120),0)</f>
        <v>0</v>
      </c>
      <c r="R120" s="51" t="n">
        <f aca="false">IF(P120=1,YEAR(B120)*100+MONTH(B120),0)</f>
        <v>0</v>
      </c>
    </row>
    <row r="121" customFormat="false" ht="15" hidden="false" customHeight="false" outlineLevel="0" collapsed="false">
      <c r="B121" s="52"/>
      <c r="C121" s="53"/>
      <c r="D121" s="53"/>
      <c r="E121" s="53"/>
      <c r="F121" s="59"/>
      <c r="G121" s="59"/>
      <c r="H121" s="59"/>
      <c r="I121" s="57"/>
      <c r="J121" s="60" t="str">
        <f aca="false">IF(AND(ISNUMBER(F121),ISNUMBER(G121)),MAX(0,G121-F121),IF(ISNUMBER(H121),H121*IF(I121="Yes / Sí",2,1),""))</f>
        <v/>
      </c>
      <c r="K121" s="61" t="str">
        <f aca="false">IF(OR(J121="",NOT(ISNUMBER(B121))),"",IF(COUNTIF(Settings!$B$8:$B$17,"&lt;="&amp;B121)=0,Settings!$C$8,INDEX(Settings!$C$8:$C$17,COUNTIF(Settings!$B$8:$B$17,"&lt;="&amp;B121))))</f>
        <v/>
      </c>
      <c r="L121" s="56" t="str">
        <f aca="false">IF(K121="","",ROUND(J121*K121,2))</f>
        <v/>
      </c>
      <c r="M121" s="58" t="str">
        <f aca="false">IF(AND(B121="",F121="",G121="",H121=""),"",IF(NOT(ISNUMBER(B121)),"⚠ ADD DATE / AGREGA FECHA",IF(J121="","⚠ ADD MILES / AGREGA MILLAS",IF(AND(ISNUMBER(F121),ISNUMBER(G121)),IF(G121&lt;F121,"⚠ CHECK ODOMETER / REVISA ODÓMETRO","✔ OK"),"✔ OK"))))</f>
        <v/>
      </c>
      <c r="N121" s="53"/>
      <c r="P121" s="51" t="n">
        <f aca="false">IF(ISNUMBER(L121),1,0)</f>
        <v>0</v>
      </c>
      <c r="Q121" s="51" t="n">
        <f aca="false">IF(P121=1,YEAR(B121),0)</f>
        <v>0</v>
      </c>
      <c r="R121" s="51" t="n">
        <f aca="false">IF(P121=1,YEAR(B121)*100+MONTH(B121),0)</f>
        <v>0</v>
      </c>
    </row>
    <row r="122" customFormat="false" ht="15" hidden="false" customHeight="false" outlineLevel="0" collapsed="false">
      <c r="B122" s="52"/>
      <c r="C122" s="53"/>
      <c r="D122" s="53"/>
      <c r="E122" s="53"/>
      <c r="F122" s="59"/>
      <c r="G122" s="59"/>
      <c r="H122" s="59"/>
      <c r="I122" s="57"/>
      <c r="J122" s="60" t="str">
        <f aca="false">IF(AND(ISNUMBER(F122),ISNUMBER(G122)),MAX(0,G122-F122),IF(ISNUMBER(H122),H122*IF(I122="Yes / Sí",2,1),""))</f>
        <v/>
      </c>
      <c r="K122" s="61" t="str">
        <f aca="false">IF(OR(J122="",NOT(ISNUMBER(B122))),"",IF(COUNTIF(Settings!$B$8:$B$17,"&lt;="&amp;B122)=0,Settings!$C$8,INDEX(Settings!$C$8:$C$17,COUNTIF(Settings!$B$8:$B$17,"&lt;="&amp;B122))))</f>
        <v/>
      </c>
      <c r="L122" s="56" t="str">
        <f aca="false">IF(K122="","",ROUND(J122*K122,2))</f>
        <v/>
      </c>
      <c r="M122" s="58" t="str">
        <f aca="false">IF(AND(B122="",F122="",G122="",H122=""),"",IF(NOT(ISNUMBER(B122)),"⚠ ADD DATE / AGREGA FECHA",IF(J122="","⚠ ADD MILES / AGREGA MILLAS",IF(AND(ISNUMBER(F122),ISNUMBER(G122)),IF(G122&lt;F122,"⚠ CHECK ODOMETER / REVISA ODÓMETRO","✔ OK"),"✔ OK"))))</f>
        <v/>
      </c>
      <c r="N122" s="53"/>
      <c r="P122" s="51" t="n">
        <f aca="false">IF(ISNUMBER(L122),1,0)</f>
        <v>0</v>
      </c>
      <c r="Q122" s="51" t="n">
        <f aca="false">IF(P122=1,YEAR(B122),0)</f>
        <v>0</v>
      </c>
      <c r="R122" s="51" t="n">
        <f aca="false">IF(P122=1,YEAR(B122)*100+MONTH(B122),0)</f>
        <v>0</v>
      </c>
    </row>
    <row r="123" customFormat="false" ht="15" hidden="false" customHeight="false" outlineLevel="0" collapsed="false">
      <c r="B123" s="52"/>
      <c r="C123" s="53"/>
      <c r="D123" s="53"/>
      <c r="E123" s="53"/>
      <c r="F123" s="59"/>
      <c r="G123" s="59"/>
      <c r="H123" s="59"/>
      <c r="I123" s="57"/>
      <c r="J123" s="60" t="str">
        <f aca="false">IF(AND(ISNUMBER(F123),ISNUMBER(G123)),MAX(0,G123-F123),IF(ISNUMBER(H123),H123*IF(I123="Yes / Sí",2,1),""))</f>
        <v/>
      </c>
      <c r="K123" s="61" t="str">
        <f aca="false">IF(OR(J123="",NOT(ISNUMBER(B123))),"",IF(COUNTIF(Settings!$B$8:$B$17,"&lt;="&amp;B123)=0,Settings!$C$8,INDEX(Settings!$C$8:$C$17,COUNTIF(Settings!$B$8:$B$17,"&lt;="&amp;B123))))</f>
        <v/>
      </c>
      <c r="L123" s="56" t="str">
        <f aca="false">IF(K123="","",ROUND(J123*K123,2))</f>
        <v/>
      </c>
      <c r="M123" s="58" t="str">
        <f aca="false">IF(AND(B123="",F123="",G123="",H123=""),"",IF(NOT(ISNUMBER(B123)),"⚠ ADD DATE / AGREGA FECHA",IF(J123="","⚠ ADD MILES / AGREGA MILLAS",IF(AND(ISNUMBER(F123),ISNUMBER(G123)),IF(G123&lt;F123,"⚠ CHECK ODOMETER / REVISA ODÓMETRO","✔ OK"),"✔ OK"))))</f>
        <v/>
      </c>
      <c r="N123" s="53"/>
      <c r="P123" s="51" t="n">
        <f aca="false">IF(ISNUMBER(L123),1,0)</f>
        <v>0</v>
      </c>
      <c r="Q123" s="51" t="n">
        <f aca="false">IF(P123=1,YEAR(B123),0)</f>
        <v>0</v>
      </c>
      <c r="R123" s="51" t="n">
        <f aca="false">IF(P123=1,YEAR(B123)*100+MONTH(B123),0)</f>
        <v>0</v>
      </c>
    </row>
    <row r="124" customFormat="false" ht="15" hidden="false" customHeight="false" outlineLevel="0" collapsed="false">
      <c r="B124" s="52"/>
      <c r="C124" s="53"/>
      <c r="D124" s="53"/>
      <c r="E124" s="53"/>
      <c r="F124" s="59"/>
      <c r="G124" s="59"/>
      <c r="H124" s="59"/>
      <c r="I124" s="57"/>
      <c r="J124" s="60" t="str">
        <f aca="false">IF(AND(ISNUMBER(F124),ISNUMBER(G124)),MAX(0,G124-F124),IF(ISNUMBER(H124),H124*IF(I124="Yes / Sí",2,1),""))</f>
        <v/>
      </c>
      <c r="K124" s="61" t="str">
        <f aca="false">IF(OR(J124="",NOT(ISNUMBER(B124))),"",IF(COUNTIF(Settings!$B$8:$B$17,"&lt;="&amp;B124)=0,Settings!$C$8,INDEX(Settings!$C$8:$C$17,COUNTIF(Settings!$B$8:$B$17,"&lt;="&amp;B124))))</f>
        <v/>
      </c>
      <c r="L124" s="56" t="str">
        <f aca="false">IF(K124="","",ROUND(J124*K124,2))</f>
        <v/>
      </c>
      <c r="M124" s="58" t="str">
        <f aca="false">IF(AND(B124="",F124="",G124="",H124=""),"",IF(NOT(ISNUMBER(B124)),"⚠ ADD DATE / AGREGA FECHA",IF(J124="","⚠ ADD MILES / AGREGA MILLAS",IF(AND(ISNUMBER(F124),ISNUMBER(G124)),IF(G124&lt;F124,"⚠ CHECK ODOMETER / REVISA ODÓMETRO","✔ OK"),"✔ OK"))))</f>
        <v/>
      </c>
      <c r="N124" s="53"/>
      <c r="P124" s="51" t="n">
        <f aca="false">IF(ISNUMBER(L124),1,0)</f>
        <v>0</v>
      </c>
      <c r="Q124" s="51" t="n">
        <f aca="false">IF(P124=1,YEAR(B124),0)</f>
        <v>0</v>
      </c>
      <c r="R124" s="51" t="n">
        <f aca="false">IF(P124=1,YEAR(B124)*100+MONTH(B124),0)</f>
        <v>0</v>
      </c>
    </row>
    <row r="125" customFormat="false" ht="15" hidden="false" customHeight="false" outlineLevel="0" collapsed="false">
      <c r="B125" s="52"/>
      <c r="C125" s="53"/>
      <c r="D125" s="53"/>
      <c r="E125" s="53"/>
      <c r="F125" s="59"/>
      <c r="G125" s="59"/>
      <c r="H125" s="59"/>
      <c r="I125" s="57"/>
      <c r="J125" s="60" t="str">
        <f aca="false">IF(AND(ISNUMBER(F125),ISNUMBER(G125)),MAX(0,G125-F125),IF(ISNUMBER(H125),H125*IF(I125="Yes / Sí",2,1),""))</f>
        <v/>
      </c>
      <c r="K125" s="61" t="str">
        <f aca="false">IF(OR(J125="",NOT(ISNUMBER(B125))),"",IF(COUNTIF(Settings!$B$8:$B$17,"&lt;="&amp;B125)=0,Settings!$C$8,INDEX(Settings!$C$8:$C$17,COUNTIF(Settings!$B$8:$B$17,"&lt;="&amp;B125))))</f>
        <v/>
      </c>
      <c r="L125" s="56" t="str">
        <f aca="false">IF(K125="","",ROUND(J125*K125,2))</f>
        <v/>
      </c>
      <c r="M125" s="58" t="str">
        <f aca="false">IF(AND(B125="",F125="",G125="",H125=""),"",IF(NOT(ISNUMBER(B125)),"⚠ ADD DATE / AGREGA FECHA",IF(J125="","⚠ ADD MILES / AGREGA MILLAS",IF(AND(ISNUMBER(F125),ISNUMBER(G125)),IF(G125&lt;F125,"⚠ CHECK ODOMETER / REVISA ODÓMETRO","✔ OK"),"✔ OK"))))</f>
        <v/>
      </c>
      <c r="N125" s="53"/>
      <c r="P125" s="51" t="n">
        <f aca="false">IF(ISNUMBER(L125),1,0)</f>
        <v>0</v>
      </c>
      <c r="Q125" s="51" t="n">
        <f aca="false">IF(P125=1,YEAR(B125),0)</f>
        <v>0</v>
      </c>
      <c r="R125" s="51" t="n">
        <f aca="false">IF(P125=1,YEAR(B125)*100+MONTH(B125),0)</f>
        <v>0</v>
      </c>
    </row>
    <row r="126" customFormat="false" ht="15" hidden="false" customHeight="false" outlineLevel="0" collapsed="false">
      <c r="B126" s="52"/>
      <c r="C126" s="53"/>
      <c r="D126" s="53"/>
      <c r="E126" s="53"/>
      <c r="F126" s="59"/>
      <c r="G126" s="59"/>
      <c r="H126" s="59"/>
      <c r="I126" s="57"/>
      <c r="J126" s="60" t="str">
        <f aca="false">IF(AND(ISNUMBER(F126),ISNUMBER(G126)),MAX(0,G126-F126),IF(ISNUMBER(H126),H126*IF(I126="Yes / Sí",2,1),""))</f>
        <v/>
      </c>
      <c r="K126" s="61" t="str">
        <f aca="false">IF(OR(J126="",NOT(ISNUMBER(B126))),"",IF(COUNTIF(Settings!$B$8:$B$17,"&lt;="&amp;B126)=0,Settings!$C$8,INDEX(Settings!$C$8:$C$17,COUNTIF(Settings!$B$8:$B$17,"&lt;="&amp;B126))))</f>
        <v/>
      </c>
      <c r="L126" s="56" t="str">
        <f aca="false">IF(K126="","",ROUND(J126*K126,2))</f>
        <v/>
      </c>
      <c r="M126" s="58" t="str">
        <f aca="false">IF(AND(B126="",F126="",G126="",H126=""),"",IF(NOT(ISNUMBER(B126)),"⚠ ADD DATE / AGREGA FECHA",IF(J126="","⚠ ADD MILES / AGREGA MILLAS",IF(AND(ISNUMBER(F126),ISNUMBER(G126)),IF(G126&lt;F126,"⚠ CHECK ODOMETER / REVISA ODÓMETRO","✔ OK"),"✔ OK"))))</f>
        <v/>
      </c>
      <c r="N126" s="53"/>
      <c r="P126" s="51" t="n">
        <f aca="false">IF(ISNUMBER(L126),1,0)</f>
        <v>0</v>
      </c>
      <c r="Q126" s="51" t="n">
        <f aca="false">IF(P126=1,YEAR(B126),0)</f>
        <v>0</v>
      </c>
      <c r="R126" s="51" t="n">
        <f aca="false">IF(P126=1,YEAR(B126)*100+MONTH(B126),0)</f>
        <v>0</v>
      </c>
    </row>
    <row r="127" customFormat="false" ht="15" hidden="false" customHeight="false" outlineLevel="0" collapsed="false">
      <c r="B127" s="52"/>
      <c r="C127" s="53"/>
      <c r="D127" s="53"/>
      <c r="E127" s="53"/>
      <c r="F127" s="59"/>
      <c r="G127" s="59"/>
      <c r="H127" s="59"/>
      <c r="I127" s="57"/>
      <c r="J127" s="60" t="str">
        <f aca="false">IF(AND(ISNUMBER(F127),ISNUMBER(G127)),MAX(0,G127-F127),IF(ISNUMBER(H127),H127*IF(I127="Yes / Sí",2,1),""))</f>
        <v/>
      </c>
      <c r="K127" s="61" t="str">
        <f aca="false">IF(OR(J127="",NOT(ISNUMBER(B127))),"",IF(COUNTIF(Settings!$B$8:$B$17,"&lt;="&amp;B127)=0,Settings!$C$8,INDEX(Settings!$C$8:$C$17,COUNTIF(Settings!$B$8:$B$17,"&lt;="&amp;B127))))</f>
        <v/>
      </c>
      <c r="L127" s="56" t="str">
        <f aca="false">IF(K127="","",ROUND(J127*K127,2))</f>
        <v/>
      </c>
      <c r="M127" s="58" t="str">
        <f aca="false">IF(AND(B127="",F127="",G127="",H127=""),"",IF(NOT(ISNUMBER(B127)),"⚠ ADD DATE / AGREGA FECHA",IF(J127="","⚠ ADD MILES / AGREGA MILLAS",IF(AND(ISNUMBER(F127),ISNUMBER(G127)),IF(G127&lt;F127,"⚠ CHECK ODOMETER / REVISA ODÓMETRO","✔ OK"),"✔ OK"))))</f>
        <v/>
      </c>
      <c r="N127" s="53"/>
      <c r="P127" s="51" t="n">
        <f aca="false">IF(ISNUMBER(L127),1,0)</f>
        <v>0</v>
      </c>
      <c r="Q127" s="51" t="n">
        <f aca="false">IF(P127=1,YEAR(B127),0)</f>
        <v>0</v>
      </c>
      <c r="R127" s="51" t="n">
        <f aca="false">IF(P127=1,YEAR(B127)*100+MONTH(B127),0)</f>
        <v>0</v>
      </c>
    </row>
    <row r="128" customFormat="false" ht="15" hidden="false" customHeight="false" outlineLevel="0" collapsed="false">
      <c r="B128" s="52"/>
      <c r="C128" s="53"/>
      <c r="D128" s="53"/>
      <c r="E128" s="53"/>
      <c r="F128" s="59"/>
      <c r="G128" s="59"/>
      <c r="H128" s="59"/>
      <c r="I128" s="57"/>
      <c r="J128" s="60" t="str">
        <f aca="false">IF(AND(ISNUMBER(F128),ISNUMBER(G128)),MAX(0,G128-F128),IF(ISNUMBER(H128),H128*IF(I128="Yes / Sí",2,1),""))</f>
        <v/>
      </c>
      <c r="K128" s="61" t="str">
        <f aca="false">IF(OR(J128="",NOT(ISNUMBER(B128))),"",IF(COUNTIF(Settings!$B$8:$B$17,"&lt;="&amp;B128)=0,Settings!$C$8,INDEX(Settings!$C$8:$C$17,COUNTIF(Settings!$B$8:$B$17,"&lt;="&amp;B128))))</f>
        <v/>
      </c>
      <c r="L128" s="56" t="str">
        <f aca="false">IF(K128="","",ROUND(J128*K128,2))</f>
        <v/>
      </c>
      <c r="M128" s="58" t="str">
        <f aca="false">IF(AND(B128="",F128="",G128="",H128=""),"",IF(NOT(ISNUMBER(B128)),"⚠ ADD DATE / AGREGA FECHA",IF(J128="","⚠ ADD MILES / AGREGA MILLAS",IF(AND(ISNUMBER(F128),ISNUMBER(G128)),IF(G128&lt;F128,"⚠ CHECK ODOMETER / REVISA ODÓMETRO","✔ OK"),"✔ OK"))))</f>
        <v/>
      </c>
      <c r="N128" s="53"/>
      <c r="P128" s="51" t="n">
        <f aca="false">IF(ISNUMBER(L128),1,0)</f>
        <v>0</v>
      </c>
      <c r="Q128" s="51" t="n">
        <f aca="false">IF(P128=1,YEAR(B128),0)</f>
        <v>0</v>
      </c>
      <c r="R128" s="51" t="n">
        <f aca="false">IF(P128=1,YEAR(B128)*100+MONTH(B128),0)</f>
        <v>0</v>
      </c>
    </row>
    <row r="129" customFormat="false" ht="15" hidden="false" customHeight="false" outlineLevel="0" collapsed="false">
      <c r="B129" s="52"/>
      <c r="C129" s="53"/>
      <c r="D129" s="53"/>
      <c r="E129" s="53"/>
      <c r="F129" s="59"/>
      <c r="G129" s="59"/>
      <c r="H129" s="59"/>
      <c r="I129" s="57"/>
      <c r="J129" s="60" t="str">
        <f aca="false">IF(AND(ISNUMBER(F129),ISNUMBER(G129)),MAX(0,G129-F129),IF(ISNUMBER(H129),H129*IF(I129="Yes / Sí",2,1),""))</f>
        <v/>
      </c>
      <c r="K129" s="61" t="str">
        <f aca="false">IF(OR(J129="",NOT(ISNUMBER(B129))),"",IF(COUNTIF(Settings!$B$8:$B$17,"&lt;="&amp;B129)=0,Settings!$C$8,INDEX(Settings!$C$8:$C$17,COUNTIF(Settings!$B$8:$B$17,"&lt;="&amp;B129))))</f>
        <v/>
      </c>
      <c r="L129" s="56" t="str">
        <f aca="false">IF(K129="","",ROUND(J129*K129,2))</f>
        <v/>
      </c>
      <c r="M129" s="58" t="str">
        <f aca="false">IF(AND(B129="",F129="",G129="",H129=""),"",IF(NOT(ISNUMBER(B129)),"⚠ ADD DATE / AGREGA FECHA",IF(J129="","⚠ ADD MILES / AGREGA MILLAS",IF(AND(ISNUMBER(F129),ISNUMBER(G129)),IF(G129&lt;F129,"⚠ CHECK ODOMETER / REVISA ODÓMETRO","✔ OK"),"✔ OK"))))</f>
        <v/>
      </c>
      <c r="N129" s="53"/>
      <c r="P129" s="51" t="n">
        <f aca="false">IF(ISNUMBER(L129),1,0)</f>
        <v>0</v>
      </c>
      <c r="Q129" s="51" t="n">
        <f aca="false">IF(P129=1,YEAR(B129),0)</f>
        <v>0</v>
      </c>
      <c r="R129" s="51" t="n">
        <f aca="false">IF(P129=1,YEAR(B129)*100+MONTH(B129),0)</f>
        <v>0</v>
      </c>
    </row>
    <row r="130" customFormat="false" ht="15" hidden="false" customHeight="false" outlineLevel="0" collapsed="false">
      <c r="B130" s="52"/>
      <c r="C130" s="53"/>
      <c r="D130" s="53"/>
      <c r="E130" s="53"/>
      <c r="F130" s="59"/>
      <c r="G130" s="59"/>
      <c r="H130" s="59"/>
      <c r="I130" s="57"/>
      <c r="J130" s="60" t="str">
        <f aca="false">IF(AND(ISNUMBER(F130),ISNUMBER(G130)),MAX(0,G130-F130),IF(ISNUMBER(H130),H130*IF(I130="Yes / Sí",2,1),""))</f>
        <v/>
      </c>
      <c r="K130" s="61" t="str">
        <f aca="false">IF(OR(J130="",NOT(ISNUMBER(B130))),"",IF(COUNTIF(Settings!$B$8:$B$17,"&lt;="&amp;B130)=0,Settings!$C$8,INDEX(Settings!$C$8:$C$17,COUNTIF(Settings!$B$8:$B$17,"&lt;="&amp;B130))))</f>
        <v/>
      </c>
      <c r="L130" s="56" t="str">
        <f aca="false">IF(K130="","",ROUND(J130*K130,2))</f>
        <v/>
      </c>
      <c r="M130" s="58" t="str">
        <f aca="false">IF(AND(B130="",F130="",G130="",H130=""),"",IF(NOT(ISNUMBER(B130)),"⚠ ADD DATE / AGREGA FECHA",IF(J130="","⚠ ADD MILES / AGREGA MILLAS",IF(AND(ISNUMBER(F130),ISNUMBER(G130)),IF(G130&lt;F130,"⚠ CHECK ODOMETER / REVISA ODÓMETRO","✔ OK"),"✔ OK"))))</f>
        <v/>
      </c>
      <c r="N130" s="53"/>
      <c r="P130" s="51" t="n">
        <f aca="false">IF(ISNUMBER(L130),1,0)</f>
        <v>0</v>
      </c>
      <c r="Q130" s="51" t="n">
        <f aca="false">IF(P130=1,YEAR(B130),0)</f>
        <v>0</v>
      </c>
      <c r="R130" s="51" t="n">
        <f aca="false">IF(P130=1,YEAR(B130)*100+MONTH(B130),0)</f>
        <v>0</v>
      </c>
    </row>
    <row r="131" customFormat="false" ht="15" hidden="false" customHeight="false" outlineLevel="0" collapsed="false">
      <c r="B131" s="52"/>
      <c r="C131" s="53"/>
      <c r="D131" s="53"/>
      <c r="E131" s="53"/>
      <c r="F131" s="59"/>
      <c r="G131" s="59"/>
      <c r="H131" s="59"/>
      <c r="I131" s="57"/>
      <c r="J131" s="60" t="str">
        <f aca="false">IF(AND(ISNUMBER(F131),ISNUMBER(G131)),MAX(0,G131-F131),IF(ISNUMBER(H131),H131*IF(I131="Yes / Sí",2,1),""))</f>
        <v/>
      </c>
      <c r="K131" s="61" t="str">
        <f aca="false">IF(OR(J131="",NOT(ISNUMBER(B131))),"",IF(COUNTIF(Settings!$B$8:$B$17,"&lt;="&amp;B131)=0,Settings!$C$8,INDEX(Settings!$C$8:$C$17,COUNTIF(Settings!$B$8:$B$17,"&lt;="&amp;B131))))</f>
        <v/>
      </c>
      <c r="L131" s="56" t="str">
        <f aca="false">IF(K131="","",ROUND(J131*K131,2))</f>
        <v/>
      </c>
      <c r="M131" s="58" t="str">
        <f aca="false">IF(AND(B131="",F131="",G131="",H131=""),"",IF(NOT(ISNUMBER(B131)),"⚠ ADD DATE / AGREGA FECHA",IF(J131="","⚠ ADD MILES / AGREGA MILLAS",IF(AND(ISNUMBER(F131),ISNUMBER(G131)),IF(G131&lt;F131,"⚠ CHECK ODOMETER / REVISA ODÓMETRO","✔ OK"),"✔ OK"))))</f>
        <v/>
      </c>
      <c r="N131" s="53"/>
      <c r="P131" s="51" t="n">
        <f aca="false">IF(ISNUMBER(L131),1,0)</f>
        <v>0</v>
      </c>
      <c r="Q131" s="51" t="n">
        <f aca="false">IF(P131=1,YEAR(B131),0)</f>
        <v>0</v>
      </c>
      <c r="R131" s="51" t="n">
        <f aca="false">IF(P131=1,YEAR(B131)*100+MONTH(B131),0)</f>
        <v>0</v>
      </c>
    </row>
    <row r="132" customFormat="false" ht="15" hidden="false" customHeight="false" outlineLevel="0" collapsed="false">
      <c r="B132" s="52"/>
      <c r="C132" s="53"/>
      <c r="D132" s="53"/>
      <c r="E132" s="53"/>
      <c r="F132" s="59"/>
      <c r="G132" s="59"/>
      <c r="H132" s="59"/>
      <c r="I132" s="57"/>
      <c r="J132" s="60" t="str">
        <f aca="false">IF(AND(ISNUMBER(F132),ISNUMBER(G132)),MAX(0,G132-F132),IF(ISNUMBER(H132),H132*IF(I132="Yes / Sí",2,1),""))</f>
        <v/>
      </c>
      <c r="K132" s="61" t="str">
        <f aca="false">IF(OR(J132="",NOT(ISNUMBER(B132))),"",IF(COUNTIF(Settings!$B$8:$B$17,"&lt;="&amp;B132)=0,Settings!$C$8,INDEX(Settings!$C$8:$C$17,COUNTIF(Settings!$B$8:$B$17,"&lt;="&amp;B132))))</f>
        <v/>
      </c>
      <c r="L132" s="56" t="str">
        <f aca="false">IF(K132="","",ROUND(J132*K132,2))</f>
        <v/>
      </c>
      <c r="M132" s="58" t="str">
        <f aca="false">IF(AND(B132="",F132="",G132="",H132=""),"",IF(NOT(ISNUMBER(B132)),"⚠ ADD DATE / AGREGA FECHA",IF(J132="","⚠ ADD MILES / AGREGA MILLAS",IF(AND(ISNUMBER(F132),ISNUMBER(G132)),IF(G132&lt;F132,"⚠ CHECK ODOMETER / REVISA ODÓMETRO","✔ OK"),"✔ OK"))))</f>
        <v/>
      </c>
      <c r="N132" s="53"/>
      <c r="P132" s="51" t="n">
        <f aca="false">IF(ISNUMBER(L132),1,0)</f>
        <v>0</v>
      </c>
      <c r="Q132" s="51" t="n">
        <f aca="false">IF(P132=1,YEAR(B132),0)</f>
        <v>0</v>
      </c>
      <c r="R132" s="51" t="n">
        <f aca="false">IF(P132=1,YEAR(B132)*100+MONTH(B132),0)</f>
        <v>0</v>
      </c>
    </row>
    <row r="133" customFormat="false" ht="15" hidden="false" customHeight="false" outlineLevel="0" collapsed="false">
      <c r="B133" s="52"/>
      <c r="C133" s="53"/>
      <c r="D133" s="53"/>
      <c r="E133" s="53"/>
      <c r="F133" s="59"/>
      <c r="G133" s="59"/>
      <c r="H133" s="59"/>
      <c r="I133" s="57"/>
      <c r="J133" s="60" t="str">
        <f aca="false">IF(AND(ISNUMBER(F133),ISNUMBER(G133)),MAX(0,G133-F133),IF(ISNUMBER(H133),H133*IF(I133="Yes / Sí",2,1),""))</f>
        <v/>
      </c>
      <c r="K133" s="61" t="str">
        <f aca="false">IF(OR(J133="",NOT(ISNUMBER(B133))),"",IF(COUNTIF(Settings!$B$8:$B$17,"&lt;="&amp;B133)=0,Settings!$C$8,INDEX(Settings!$C$8:$C$17,COUNTIF(Settings!$B$8:$B$17,"&lt;="&amp;B133))))</f>
        <v/>
      </c>
      <c r="L133" s="56" t="str">
        <f aca="false">IF(K133="","",ROUND(J133*K133,2))</f>
        <v/>
      </c>
      <c r="M133" s="58" t="str">
        <f aca="false">IF(AND(B133="",F133="",G133="",H133=""),"",IF(NOT(ISNUMBER(B133)),"⚠ ADD DATE / AGREGA FECHA",IF(J133="","⚠ ADD MILES / AGREGA MILLAS",IF(AND(ISNUMBER(F133),ISNUMBER(G133)),IF(G133&lt;F133,"⚠ CHECK ODOMETER / REVISA ODÓMETRO","✔ OK"),"✔ OK"))))</f>
        <v/>
      </c>
      <c r="N133" s="53"/>
      <c r="P133" s="51" t="n">
        <f aca="false">IF(ISNUMBER(L133),1,0)</f>
        <v>0</v>
      </c>
      <c r="Q133" s="51" t="n">
        <f aca="false">IF(P133=1,YEAR(B133),0)</f>
        <v>0</v>
      </c>
      <c r="R133" s="51" t="n">
        <f aca="false">IF(P133=1,YEAR(B133)*100+MONTH(B133),0)</f>
        <v>0</v>
      </c>
    </row>
    <row r="134" customFormat="false" ht="15" hidden="false" customHeight="false" outlineLevel="0" collapsed="false">
      <c r="B134" s="52"/>
      <c r="C134" s="53"/>
      <c r="D134" s="53"/>
      <c r="E134" s="53"/>
      <c r="F134" s="59"/>
      <c r="G134" s="59"/>
      <c r="H134" s="59"/>
      <c r="I134" s="57"/>
      <c r="J134" s="60" t="str">
        <f aca="false">IF(AND(ISNUMBER(F134),ISNUMBER(G134)),MAX(0,G134-F134),IF(ISNUMBER(H134),H134*IF(I134="Yes / Sí",2,1),""))</f>
        <v/>
      </c>
      <c r="K134" s="61" t="str">
        <f aca="false">IF(OR(J134="",NOT(ISNUMBER(B134))),"",IF(COUNTIF(Settings!$B$8:$B$17,"&lt;="&amp;B134)=0,Settings!$C$8,INDEX(Settings!$C$8:$C$17,COUNTIF(Settings!$B$8:$B$17,"&lt;="&amp;B134))))</f>
        <v/>
      </c>
      <c r="L134" s="56" t="str">
        <f aca="false">IF(K134="","",ROUND(J134*K134,2))</f>
        <v/>
      </c>
      <c r="M134" s="58" t="str">
        <f aca="false">IF(AND(B134="",F134="",G134="",H134=""),"",IF(NOT(ISNUMBER(B134)),"⚠ ADD DATE / AGREGA FECHA",IF(J134="","⚠ ADD MILES / AGREGA MILLAS",IF(AND(ISNUMBER(F134),ISNUMBER(G134)),IF(G134&lt;F134,"⚠ CHECK ODOMETER / REVISA ODÓMETRO","✔ OK"),"✔ OK"))))</f>
        <v/>
      </c>
      <c r="N134" s="53"/>
      <c r="P134" s="51" t="n">
        <f aca="false">IF(ISNUMBER(L134),1,0)</f>
        <v>0</v>
      </c>
      <c r="Q134" s="51" t="n">
        <f aca="false">IF(P134=1,YEAR(B134),0)</f>
        <v>0</v>
      </c>
      <c r="R134" s="51" t="n">
        <f aca="false">IF(P134=1,YEAR(B134)*100+MONTH(B134),0)</f>
        <v>0</v>
      </c>
    </row>
    <row r="135" customFormat="false" ht="15" hidden="false" customHeight="false" outlineLevel="0" collapsed="false">
      <c r="B135" s="52"/>
      <c r="C135" s="53"/>
      <c r="D135" s="53"/>
      <c r="E135" s="53"/>
      <c r="F135" s="59"/>
      <c r="G135" s="59"/>
      <c r="H135" s="59"/>
      <c r="I135" s="57"/>
      <c r="J135" s="60" t="str">
        <f aca="false">IF(AND(ISNUMBER(F135),ISNUMBER(G135)),MAX(0,G135-F135),IF(ISNUMBER(H135),H135*IF(I135="Yes / Sí",2,1),""))</f>
        <v/>
      </c>
      <c r="K135" s="61" t="str">
        <f aca="false">IF(OR(J135="",NOT(ISNUMBER(B135))),"",IF(COUNTIF(Settings!$B$8:$B$17,"&lt;="&amp;B135)=0,Settings!$C$8,INDEX(Settings!$C$8:$C$17,COUNTIF(Settings!$B$8:$B$17,"&lt;="&amp;B135))))</f>
        <v/>
      </c>
      <c r="L135" s="56" t="str">
        <f aca="false">IF(K135="","",ROUND(J135*K135,2))</f>
        <v/>
      </c>
      <c r="M135" s="58" t="str">
        <f aca="false">IF(AND(B135="",F135="",G135="",H135=""),"",IF(NOT(ISNUMBER(B135)),"⚠ ADD DATE / AGREGA FECHA",IF(J135="","⚠ ADD MILES / AGREGA MILLAS",IF(AND(ISNUMBER(F135),ISNUMBER(G135)),IF(G135&lt;F135,"⚠ CHECK ODOMETER / REVISA ODÓMETRO","✔ OK"),"✔ OK"))))</f>
        <v/>
      </c>
      <c r="N135" s="53"/>
      <c r="P135" s="51" t="n">
        <f aca="false">IF(ISNUMBER(L135),1,0)</f>
        <v>0</v>
      </c>
      <c r="Q135" s="51" t="n">
        <f aca="false">IF(P135=1,YEAR(B135),0)</f>
        <v>0</v>
      </c>
      <c r="R135" s="51" t="n">
        <f aca="false">IF(P135=1,YEAR(B135)*100+MONTH(B135),0)</f>
        <v>0</v>
      </c>
    </row>
    <row r="136" customFormat="false" ht="15" hidden="false" customHeight="false" outlineLevel="0" collapsed="false">
      <c r="B136" s="52"/>
      <c r="C136" s="53"/>
      <c r="D136" s="53"/>
      <c r="E136" s="53"/>
      <c r="F136" s="59"/>
      <c r="G136" s="59"/>
      <c r="H136" s="59"/>
      <c r="I136" s="57"/>
      <c r="J136" s="60" t="str">
        <f aca="false">IF(AND(ISNUMBER(F136),ISNUMBER(G136)),MAX(0,G136-F136),IF(ISNUMBER(H136),H136*IF(I136="Yes / Sí",2,1),""))</f>
        <v/>
      </c>
      <c r="K136" s="61" t="str">
        <f aca="false">IF(OR(J136="",NOT(ISNUMBER(B136))),"",IF(COUNTIF(Settings!$B$8:$B$17,"&lt;="&amp;B136)=0,Settings!$C$8,INDEX(Settings!$C$8:$C$17,COUNTIF(Settings!$B$8:$B$17,"&lt;="&amp;B136))))</f>
        <v/>
      </c>
      <c r="L136" s="56" t="str">
        <f aca="false">IF(K136="","",ROUND(J136*K136,2))</f>
        <v/>
      </c>
      <c r="M136" s="58" t="str">
        <f aca="false">IF(AND(B136="",F136="",G136="",H136=""),"",IF(NOT(ISNUMBER(B136)),"⚠ ADD DATE / AGREGA FECHA",IF(J136="","⚠ ADD MILES / AGREGA MILLAS",IF(AND(ISNUMBER(F136),ISNUMBER(G136)),IF(G136&lt;F136,"⚠ CHECK ODOMETER / REVISA ODÓMETRO","✔ OK"),"✔ OK"))))</f>
        <v/>
      </c>
      <c r="N136" s="53"/>
      <c r="P136" s="51" t="n">
        <f aca="false">IF(ISNUMBER(L136),1,0)</f>
        <v>0</v>
      </c>
      <c r="Q136" s="51" t="n">
        <f aca="false">IF(P136=1,YEAR(B136),0)</f>
        <v>0</v>
      </c>
      <c r="R136" s="51" t="n">
        <f aca="false">IF(P136=1,YEAR(B136)*100+MONTH(B136),0)</f>
        <v>0</v>
      </c>
    </row>
    <row r="137" customFormat="false" ht="15" hidden="false" customHeight="false" outlineLevel="0" collapsed="false">
      <c r="B137" s="52"/>
      <c r="C137" s="53"/>
      <c r="D137" s="53"/>
      <c r="E137" s="53"/>
      <c r="F137" s="59"/>
      <c r="G137" s="59"/>
      <c r="H137" s="59"/>
      <c r="I137" s="57"/>
      <c r="J137" s="60" t="str">
        <f aca="false">IF(AND(ISNUMBER(F137),ISNUMBER(G137)),MAX(0,G137-F137),IF(ISNUMBER(H137),H137*IF(I137="Yes / Sí",2,1),""))</f>
        <v/>
      </c>
      <c r="K137" s="61" t="str">
        <f aca="false">IF(OR(J137="",NOT(ISNUMBER(B137))),"",IF(COUNTIF(Settings!$B$8:$B$17,"&lt;="&amp;B137)=0,Settings!$C$8,INDEX(Settings!$C$8:$C$17,COUNTIF(Settings!$B$8:$B$17,"&lt;="&amp;B137))))</f>
        <v/>
      </c>
      <c r="L137" s="56" t="str">
        <f aca="false">IF(K137="","",ROUND(J137*K137,2))</f>
        <v/>
      </c>
      <c r="M137" s="58" t="str">
        <f aca="false">IF(AND(B137="",F137="",G137="",H137=""),"",IF(NOT(ISNUMBER(B137)),"⚠ ADD DATE / AGREGA FECHA",IF(J137="","⚠ ADD MILES / AGREGA MILLAS",IF(AND(ISNUMBER(F137),ISNUMBER(G137)),IF(G137&lt;F137,"⚠ CHECK ODOMETER / REVISA ODÓMETRO","✔ OK"),"✔ OK"))))</f>
        <v/>
      </c>
      <c r="N137" s="53"/>
      <c r="P137" s="51" t="n">
        <f aca="false">IF(ISNUMBER(L137),1,0)</f>
        <v>0</v>
      </c>
      <c r="Q137" s="51" t="n">
        <f aca="false">IF(P137=1,YEAR(B137),0)</f>
        <v>0</v>
      </c>
      <c r="R137" s="51" t="n">
        <f aca="false">IF(P137=1,YEAR(B137)*100+MONTH(B137),0)</f>
        <v>0</v>
      </c>
    </row>
    <row r="138" customFormat="false" ht="15" hidden="false" customHeight="false" outlineLevel="0" collapsed="false">
      <c r="B138" s="52"/>
      <c r="C138" s="53"/>
      <c r="D138" s="53"/>
      <c r="E138" s="53"/>
      <c r="F138" s="59"/>
      <c r="G138" s="59"/>
      <c r="H138" s="59"/>
      <c r="I138" s="57"/>
      <c r="J138" s="60" t="str">
        <f aca="false">IF(AND(ISNUMBER(F138),ISNUMBER(G138)),MAX(0,G138-F138),IF(ISNUMBER(H138),H138*IF(I138="Yes / Sí",2,1),""))</f>
        <v/>
      </c>
      <c r="K138" s="61" t="str">
        <f aca="false">IF(OR(J138="",NOT(ISNUMBER(B138))),"",IF(COUNTIF(Settings!$B$8:$B$17,"&lt;="&amp;B138)=0,Settings!$C$8,INDEX(Settings!$C$8:$C$17,COUNTIF(Settings!$B$8:$B$17,"&lt;="&amp;B138))))</f>
        <v/>
      </c>
      <c r="L138" s="56" t="str">
        <f aca="false">IF(K138="","",ROUND(J138*K138,2))</f>
        <v/>
      </c>
      <c r="M138" s="58" t="str">
        <f aca="false">IF(AND(B138="",F138="",G138="",H138=""),"",IF(NOT(ISNUMBER(B138)),"⚠ ADD DATE / AGREGA FECHA",IF(J138="","⚠ ADD MILES / AGREGA MILLAS",IF(AND(ISNUMBER(F138),ISNUMBER(G138)),IF(G138&lt;F138,"⚠ CHECK ODOMETER / REVISA ODÓMETRO","✔ OK"),"✔ OK"))))</f>
        <v/>
      </c>
      <c r="N138" s="53"/>
      <c r="P138" s="51" t="n">
        <f aca="false">IF(ISNUMBER(L138),1,0)</f>
        <v>0</v>
      </c>
      <c r="Q138" s="51" t="n">
        <f aca="false">IF(P138=1,YEAR(B138),0)</f>
        <v>0</v>
      </c>
      <c r="R138" s="51" t="n">
        <f aca="false">IF(P138=1,YEAR(B138)*100+MONTH(B138),0)</f>
        <v>0</v>
      </c>
    </row>
    <row r="139" customFormat="false" ht="15" hidden="false" customHeight="false" outlineLevel="0" collapsed="false">
      <c r="B139" s="52"/>
      <c r="C139" s="53"/>
      <c r="D139" s="53"/>
      <c r="E139" s="53"/>
      <c r="F139" s="59"/>
      <c r="G139" s="59"/>
      <c r="H139" s="59"/>
      <c r="I139" s="57"/>
      <c r="J139" s="60" t="str">
        <f aca="false">IF(AND(ISNUMBER(F139),ISNUMBER(G139)),MAX(0,G139-F139),IF(ISNUMBER(H139),H139*IF(I139="Yes / Sí",2,1),""))</f>
        <v/>
      </c>
      <c r="K139" s="61" t="str">
        <f aca="false">IF(OR(J139="",NOT(ISNUMBER(B139))),"",IF(COUNTIF(Settings!$B$8:$B$17,"&lt;="&amp;B139)=0,Settings!$C$8,INDEX(Settings!$C$8:$C$17,COUNTIF(Settings!$B$8:$B$17,"&lt;="&amp;B139))))</f>
        <v/>
      </c>
      <c r="L139" s="56" t="str">
        <f aca="false">IF(K139="","",ROUND(J139*K139,2))</f>
        <v/>
      </c>
      <c r="M139" s="58" t="str">
        <f aca="false">IF(AND(B139="",F139="",G139="",H139=""),"",IF(NOT(ISNUMBER(B139)),"⚠ ADD DATE / AGREGA FECHA",IF(J139="","⚠ ADD MILES / AGREGA MILLAS",IF(AND(ISNUMBER(F139),ISNUMBER(G139)),IF(G139&lt;F139,"⚠ CHECK ODOMETER / REVISA ODÓMETRO","✔ OK"),"✔ OK"))))</f>
        <v/>
      </c>
      <c r="N139" s="53"/>
      <c r="P139" s="51" t="n">
        <f aca="false">IF(ISNUMBER(L139),1,0)</f>
        <v>0</v>
      </c>
      <c r="Q139" s="51" t="n">
        <f aca="false">IF(P139=1,YEAR(B139),0)</f>
        <v>0</v>
      </c>
      <c r="R139" s="51" t="n">
        <f aca="false">IF(P139=1,YEAR(B139)*100+MONTH(B139),0)</f>
        <v>0</v>
      </c>
    </row>
    <row r="140" customFormat="false" ht="15" hidden="false" customHeight="false" outlineLevel="0" collapsed="false">
      <c r="B140" s="52"/>
      <c r="C140" s="53"/>
      <c r="D140" s="53"/>
      <c r="E140" s="53"/>
      <c r="F140" s="59"/>
      <c r="G140" s="59"/>
      <c r="H140" s="59"/>
      <c r="I140" s="57"/>
      <c r="J140" s="60" t="str">
        <f aca="false">IF(AND(ISNUMBER(F140),ISNUMBER(G140)),MAX(0,G140-F140),IF(ISNUMBER(H140),H140*IF(I140="Yes / Sí",2,1),""))</f>
        <v/>
      </c>
      <c r="K140" s="61" t="str">
        <f aca="false">IF(OR(J140="",NOT(ISNUMBER(B140))),"",IF(COUNTIF(Settings!$B$8:$B$17,"&lt;="&amp;B140)=0,Settings!$C$8,INDEX(Settings!$C$8:$C$17,COUNTIF(Settings!$B$8:$B$17,"&lt;="&amp;B140))))</f>
        <v/>
      </c>
      <c r="L140" s="56" t="str">
        <f aca="false">IF(K140="","",ROUND(J140*K140,2))</f>
        <v/>
      </c>
      <c r="M140" s="58" t="str">
        <f aca="false">IF(AND(B140="",F140="",G140="",H140=""),"",IF(NOT(ISNUMBER(B140)),"⚠ ADD DATE / AGREGA FECHA",IF(J140="","⚠ ADD MILES / AGREGA MILLAS",IF(AND(ISNUMBER(F140),ISNUMBER(G140)),IF(G140&lt;F140,"⚠ CHECK ODOMETER / REVISA ODÓMETRO","✔ OK"),"✔ OK"))))</f>
        <v/>
      </c>
      <c r="N140" s="53"/>
      <c r="P140" s="51" t="n">
        <f aca="false">IF(ISNUMBER(L140),1,0)</f>
        <v>0</v>
      </c>
      <c r="Q140" s="51" t="n">
        <f aca="false">IF(P140=1,YEAR(B140),0)</f>
        <v>0</v>
      </c>
      <c r="R140" s="51" t="n">
        <f aca="false">IF(P140=1,YEAR(B140)*100+MONTH(B140),0)</f>
        <v>0</v>
      </c>
    </row>
    <row r="141" customFormat="false" ht="15" hidden="false" customHeight="false" outlineLevel="0" collapsed="false">
      <c r="B141" s="52"/>
      <c r="C141" s="53"/>
      <c r="D141" s="53"/>
      <c r="E141" s="53"/>
      <c r="F141" s="59"/>
      <c r="G141" s="59"/>
      <c r="H141" s="59"/>
      <c r="I141" s="57"/>
      <c r="J141" s="60" t="str">
        <f aca="false">IF(AND(ISNUMBER(F141),ISNUMBER(G141)),MAX(0,G141-F141),IF(ISNUMBER(H141),H141*IF(I141="Yes / Sí",2,1),""))</f>
        <v/>
      </c>
      <c r="K141" s="61" t="str">
        <f aca="false">IF(OR(J141="",NOT(ISNUMBER(B141))),"",IF(COUNTIF(Settings!$B$8:$B$17,"&lt;="&amp;B141)=0,Settings!$C$8,INDEX(Settings!$C$8:$C$17,COUNTIF(Settings!$B$8:$B$17,"&lt;="&amp;B141))))</f>
        <v/>
      </c>
      <c r="L141" s="56" t="str">
        <f aca="false">IF(K141="","",ROUND(J141*K141,2))</f>
        <v/>
      </c>
      <c r="M141" s="58" t="str">
        <f aca="false">IF(AND(B141="",F141="",G141="",H141=""),"",IF(NOT(ISNUMBER(B141)),"⚠ ADD DATE / AGREGA FECHA",IF(J141="","⚠ ADD MILES / AGREGA MILLAS",IF(AND(ISNUMBER(F141),ISNUMBER(G141)),IF(G141&lt;F141,"⚠ CHECK ODOMETER / REVISA ODÓMETRO","✔ OK"),"✔ OK"))))</f>
        <v/>
      </c>
      <c r="N141" s="53"/>
      <c r="P141" s="51" t="n">
        <f aca="false">IF(ISNUMBER(L141),1,0)</f>
        <v>0</v>
      </c>
      <c r="Q141" s="51" t="n">
        <f aca="false">IF(P141=1,YEAR(B141),0)</f>
        <v>0</v>
      </c>
      <c r="R141" s="51" t="n">
        <f aca="false">IF(P141=1,YEAR(B141)*100+MONTH(B141),0)</f>
        <v>0</v>
      </c>
    </row>
    <row r="142" customFormat="false" ht="15" hidden="false" customHeight="false" outlineLevel="0" collapsed="false">
      <c r="B142" s="52"/>
      <c r="C142" s="53"/>
      <c r="D142" s="53"/>
      <c r="E142" s="53"/>
      <c r="F142" s="59"/>
      <c r="G142" s="59"/>
      <c r="H142" s="59"/>
      <c r="I142" s="57"/>
      <c r="J142" s="60" t="str">
        <f aca="false">IF(AND(ISNUMBER(F142),ISNUMBER(G142)),MAX(0,G142-F142),IF(ISNUMBER(H142),H142*IF(I142="Yes / Sí",2,1),""))</f>
        <v/>
      </c>
      <c r="K142" s="61" t="str">
        <f aca="false">IF(OR(J142="",NOT(ISNUMBER(B142))),"",IF(COUNTIF(Settings!$B$8:$B$17,"&lt;="&amp;B142)=0,Settings!$C$8,INDEX(Settings!$C$8:$C$17,COUNTIF(Settings!$B$8:$B$17,"&lt;="&amp;B142))))</f>
        <v/>
      </c>
      <c r="L142" s="56" t="str">
        <f aca="false">IF(K142="","",ROUND(J142*K142,2))</f>
        <v/>
      </c>
      <c r="M142" s="58" t="str">
        <f aca="false">IF(AND(B142="",F142="",G142="",H142=""),"",IF(NOT(ISNUMBER(B142)),"⚠ ADD DATE / AGREGA FECHA",IF(J142="","⚠ ADD MILES / AGREGA MILLAS",IF(AND(ISNUMBER(F142),ISNUMBER(G142)),IF(G142&lt;F142,"⚠ CHECK ODOMETER / REVISA ODÓMETRO","✔ OK"),"✔ OK"))))</f>
        <v/>
      </c>
      <c r="N142" s="53"/>
      <c r="P142" s="51" t="n">
        <f aca="false">IF(ISNUMBER(L142),1,0)</f>
        <v>0</v>
      </c>
      <c r="Q142" s="51" t="n">
        <f aca="false">IF(P142=1,YEAR(B142),0)</f>
        <v>0</v>
      </c>
      <c r="R142" s="51" t="n">
        <f aca="false">IF(P142=1,YEAR(B142)*100+MONTH(B142),0)</f>
        <v>0</v>
      </c>
    </row>
    <row r="143" customFormat="false" ht="15" hidden="false" customHeight="false" outlineLevel="0" collapsed="false">
      <c r="B143" s="52"/>
      <c r="C143" s="53"/>
      <c r="D143" s="53"/>
      <c r="E143" s="53"/>
      <c r="F143" s="59"/>
      <c r="G143" s="59"/>
      <c r="H143" s="59"/>
      <c r="I143" s="57"/>
      <c r="J143" s="60" t="str">
        <f aca="false">IF(AND(ISNUMBER(F143),ISNUMBER(G143)),MAX(0,G143-F143),IF(ISNUMBER(H143),H143*IF(I143="Yes / Sí",2,1),""))</f>
        <v/>
      </c>
      <c r="K143" s="61" t="str">
        <f aca="false">IF(OR(J143="",NOT(ISNUMBER(B143))),"",IF(COUNTIF(Settings!$B$8:$B$17,"&lt;="&amp;B143)=0,Settings!$C$8,INDEX(Settings!$C$8:$C$17,COUNTIF(Settings!$B$8:$B$17,"&lt;="&amp;B143))))</f>
        <v/>
      </c>
      <c r="L143" s="56" t="str">
        <f aca="false">IF(K143="","",ROUND(J143*K143,2))</f>
        <v/>
      </c>
      <c r="M143" s="58" t="str">
        <f aca="false">IF(AND(B143="",F143="",G143="",H143=""),"",IF(NOT(ISNUMBER(B143)),"⚠ ADD DATE / AGREGA FECHA",IF(J143="","⚠ ADD MILES / AGREGA MILLAS",IF(AND(ISNUMBER(F143),ISNUMBER(G143)),IF(G143&lt;F143,"⚠ CHECK ODOMETER / REVISA ODÓMETRO","✔ OK"),"✔ OK"))))</f>
        <v/>
      </c>
      <c r="N143" s="53"/>
      <c r="P143" s="51" t="n">
        <f aca="false">IF(ISNUMBER(L143),1,0)</f>
        <v>0</v>
      </c>
      <c r="Q143" s="51" t="n">
        <f aca="false">IF(P143=1,YEAR(B143),0)</f>
        <v>0</v>
      </c>
      <c r="R143" s="51" t="n">
        <f aca="false">IF(P143=1,YEAR(B143)*100+MONTH(B143),0)</f>
        <v>0</v>
      </c>
    </row>
    <row r="144" customFormat="false" ht="15" hidden="false" customHeight="false" outlineLevel="0" collapsed="false">
      <c r="B144" s="52"/>
      <c r="C144" s="53"/>
      <c r="D144" s="53"/>
      <c r="E144" s="53"/>
      <c r="F144" s="59"/>
      <c r="G144" s="59"/>
      <c r="H144" s="59"/>
      <c r="I144" s="57"/>
      <c r="J144" s="60" t="str">
        <f aca="false">IF(AND(ISNUMBER(F144),ISNUMBER(G144)),MAX(0,G144-F144),IF(ISNUMBER(H144),H144*IF(I144="Yes / Sí",2,1),""))</f>
        <v/>
      </c>
      <c r="K144" s="61" t="str">
        <f aca="false">IF(OR(J144="",NOT(ISNUMBER(B144))),"",IF(COUNTIF(Settings!$B$8:$B$17,"&lt;="&amp;B144)=0,Settings!$C$8,INDEX(Settings!$C$8:$C$17,COUNTIF(Settings!$B$8:$B$17,"&lt;="&amp;B144))))</f>
        <v/>
      </c>
      <c r="L144" s="56" t="str">
        <f aca="false">IF(K144="","",ROUND(J144*K144,2))</f>
        <v/>
      </c>
      <c r="M144" s="58" t="str">
        <f aca="false">IF(AND(B144="",F144="",G144="",H144=""),"",IF(NOT(ISNUMBER(B144)),"⚠ ADD DATE / AGREGA FECHA",IF(J144="","⚠ ADD MILES / AGREGA MILLAS",IF(AND(ISNUMBER(F144),ISNUMBER(G144)),IF(G144&lt;F144,"⚠ CHECK ODOMETER / REVISA ODÓMETRO","✔ OK"),"✔ OK"))))</f>
        <v/>
      </c>
      <c r="N144" s="53"/>
      <c r="P144" s="51" t="n">
        <f aca="false">IF(ISNUMBER(L144),1,0)</f>
        <v>0</v>
      </c>
      <c r="Q144" s="51" t="n">
        <f aca="false">IF(P144=1,YEAR(B144),0)</f>
        <v>0</v>
      </c>
      <c r="R144" s="51" t="n">
        <f aca="false">IF(P144=1,YEAR(B144)*100+MONTH(B144),0)</f>
        <v>0</v>
      </c>
    </row>
    <row r="145" customFormat="false" ht="15" hidden="false" customHeight="false" outlineLevel="0" collapsed="false">
      <c r="B145" s="52"/>
      <c r="C145" s="53"/>
      <c r="D145" s="53"/>
      <c r="E145" s="53"/>
      <c r="F145" s="59"/>
      <c r="G145" s="59"/>
      <c r="H145" s="59"/>
      <c r="I145" s="57"/>
      <c r="J145" s="60" t="str">
        <f aca="false">IF(AND(ISNUMBER(F145),ISNUMBER(G145)),MAX(0,G145-F145),IF(ISNUMBER(H145),H145*IF(I145="Yes / Sí",2,1),""))</f>
        <v/>
      </c>
      <c r="K145" s="61" t="str">
        <f aca="false">IF(OR(J145="",NOT(ISNUMBER(B145))),"",IF(COUNTIF(Settings!$B$8:$B$17,"&lt;="&amp;B145)=0,Settings!$C$8,INDEX(Settings!$C$8:$C$17,COUNTIF(Settings!$B$8:$B$17,"&lt;="&amp;B145))))</f>
        <v/>
      </c>
      <c r="L145" s="56" t="str">
        <f aca="false">IF(K145="","",ROUND(J145*K145,2))</f>
        <v/>
      </c>
      <c r="M145" s="58" t="str">
        <f aca="false">IF(AND(B145="",F145="",G145="",H145=""),"",IF(NOT(ISNUMBER(B145)),"⚠ ADD DATE / AGREGA FECHA",IF(J145="","⚠ ADD MILES / AGREGA MILLAS",IF(AND(ISNUMBER(F145),ISNUMBER(G145)),IF(G145&lt;F145,"⚠ CHECK ODOMETER / REVISA ODÓMETRO","✔ OK"),"✔ OK"))))</f>
        <v/>
      </c>
      <c r="N145" s="53"/>
      <c r="P145" s="51" t="n">
        <f aca="false">IF(ISNUMBER(L145),1,0)</f>
        <v>0</v>
      </c>
      <c r="Q145" s="51" t="n">
        <f aca="false">IF(P145=1,YEAR(B145),0)</f>
        <v>0</v>
      </c>
      <c r="R145" s="51" t="n">
        <f aca="false">IF(P145=1,YEAR(B145)*100+MONTH(B145),0)</f>
        <v>0</v>
      </c>
    </row>
    <row r="146" customFormat="false" ht="15" hidden="false" customHeight="false" outlineLevel="0" collapsed="false">
      <c r="B146" s="52"/>
      <c r="C146" s="53"/>
      <c r="D146" s="53"/>
      <c r="E146" s="53"/>
      <c r="F146" s="59"/>
      <c r="G146" s="59"/>
      <c r="H146" s="59"/>
      <c r="I146" s="57"/>
      <c r="J146" s="60" t="str">
        <f aca="false">IF(AND(ISNUMBER(F146),ISNUMBER(G146)),MAX(0,G146-F146),IF(ISNUMBER(H146),H146*IF(I146="Yes / Sí",2,1),""))</f>
        <v/>
      </c>
      <c r="K146" s="61" t="str">
        <f aca="false">IF(OR(J146="",NOT(ISNUMBER(B146))),"",IF(COUNTIF(Settings!$B$8:$B$17,"&lt;="&amp;B146)=0,Settings!$C$8,INDEX(Settings!$C$8:$C$17,COUNTIF(Settings!$B$8:$B$17,"&lt;="&amp;B146))))</f>
        <v/>
      </c>
      <c r="L146" s="56" t="str">
        <f aca="false">IF(K146="","",ROUND(J146*K146,2))</f>
        <v/>
      </c>
      <c r="M146" s="58" t="str">
        <f aca="false">IF(AND(B146="",F146="",G146="",H146=""),"",IF(NOT(ISNUMBER(B146)),"⚠ ADD DATE / AGREGA FECHA",IF(J146="","⚠ ADD MILES / AGREGA MILLAS",IF(AND(ISNUMBER(F146),ISNUMBER(G146)),IF(G146&lt;F146,"⚠ CHECK ODOMETER / REVISA ODÓMETRO","✔ OK"),"✔ OK"))))</f>
        <v/>
      </c>
      <c r="N146" s="53"/>
      <c r="P146" s="51" t="n">
        <f aca="false">IF(ISNUMBER(L146),1,0)</f>
        <v>0</v>
      </c>
      <c r="Q146" s="51" t="n">
        <f aca="false">IF(P146=1,YEAR(B146),0)</f>
        <v>0</v>
      </c>
      <c r="R146" s="51" t="n">
        <f aca="false">IF(P146=1,YEAR(B146)*100+MONTH(B146),0)</f>
        <v>0</v>
      </c>
    </row>
    <row r="147" customFormat="false" ht="15" hidden="false" customHeight="false" outlineLevel="0" collapsed="false">
      <c r="B147" s="52"/>
      <c r="C147" s="53"/>
      <c r="D147" s="53"/>
      <c r="E147" s="53"/>
      <c r="F147" s="59"/>
      <c r="G147" s="59"/>
      <c r="H147" s="59"/>
      <c r="I147" s="57"/>
      <c r="J147" s="60" t="str">
        <f aca="false">IF(AND(ISNUMBER(F147),ISNUMBER(G147)),MAX(0,G147-F147),IF(ISNUMBER(H147),H147*IF(I147="Yes / Sí",2,1),""))</f>
        <v/>
      </c>
      <c r="K147" s="61" t="str">
        <f aca="false">IF(OR(J147="",NOT(ISNUMBER(B147))),"",IF(COUNTIF(Settings!$B$8:$B$17,"&lt;="&amp;B147)=0,Settings!$C$8,INDEX(Settings!$C$8:$C$17,COUNTIF(Settings!$B$8:$B$17,"&lt;="&amp;B147))))</f>
        <v/>
      </c>
      <c r="L147" s="56" t="str">
        <f aca="false">IF(K147="","",ROUND(J147*K147,2))</f>
        <v/>
      </c>
      <c r="M147" s="58" t="str">
        <f aca="false">IF(AND(B147="",F147="",G147="",H147=""),"",IF(NOT(ISNUMBER(B147)),"⚠ ADD DATE / AGREGA FECHA",IF(J147="","⚠ ADD MILES / AGREGA MILLAS",IF(AND(ISNUMBER(F147),ISNUMBER(G147)),IF(G147&lt;F147,"⚠ CHECK ODOMETER / REVISA ODÓMETRO","✔ OK"),"✔ OK"))))</f>
        <v/>
      </c>
      <c r="N147" s="53"/>
      <c r="P147" s="51" t="n">
        <f aca="false">IF(ISNUMBER(L147),1,0)</f>
        <v>0</v>
      </c>
      <c r="Q147" s="51" t="n">
        <f aca="false">IF(P147=1,YEAR(B147),0)</f>
        <v>0</v>
      </c>
      <c r="R147" s="51" t="n">
        <f aca="false">IF(P147=1,YEAR(B147)*100+MONTH(B147),0)</f>
        <v>0</v>
      </c>
    </row>
    <row r="148" customFormat="false" ht="15" hidden="false" customHeight="false" outlineLevel="0" collapsed="false">
      <c r="B148" s="52"/>
      <c r="C148" s="53"/>
      <c r="D148" s="53"/>
      <c r="E148" s="53"/>
      <c r="F148" s="59"/>
      <c r="G148" s="59"/>
      <c r="H148" s="59"/>
      <c r="I148" s="57"/>
      <c r="J148" s="60" t="str">
        <f aca="false">IF(AND(ISNUMBER(F148),ISNUMBER(G148)),MAX(0,G148-F148),IF(ISNUMBER(H148),H148*IF(I148="Yes / Sí",2,1),""))</f>
        <v/>
      </c>
      <c r="K148" s="61" t="str">
        <f aca="false">IF(OR(J148="",NOT(ISNUMBER(B148))),"",IF(COUNTIF(Settings!$B$8:$B$17,"&lt;="&amp;B148)=0,Settings!$C$8,INDEX(Settings!$C$8:$C$17,COUNTIF(Settings!$B$8:$B$17,"&lt;="&amp;B148))))</f>
        <v/>
      </c>
      <c r="L148" s="56" t="str">
        <f aca="false">IF(K148="","",ROUND(J148*K148,2))</f>
        <v/>
      </c>
      <c r="M148" s="58" t="str">
        <f aca="false">IF(AND(B148="",F148="",G148="",H148=""),"",IF(NOT(ISNUMBER(B148)),"⚠ ADD DATE / AGREGA FECHA",IF(J148="","⚠ ADD MILES / AGREGA MILLAS",IF(AND(ISNUMBER(F148),ISNUMBER(G148)),IF(G148&lt;F148,"⚠ CHECK ODOMETER / REVISA ODÓMETRO","✔ OK"),"✔ OK"))))</f>
        <v/>
      </c>
      <c r="N148" s="53"/>
      <c r="P148" s="51" t="n">
        <f aca="false">IF(ISNUMBER(L148),1,0)</f>
        <v>0</v>
      </c>
      <c r="Q148" s="51" t="n">
        <f aca="false">IF(P148=1,YEAR(B148),0)</f>
        <v>0</v>
      </c>
      <c r="R148" s="51" t="n">
        <f aca="false">IF(P148=1,YEAR(B148)*100+MONTH(B148),0)</f>
        <v>0</v>
      </c>
    </row>
    <row r="149" customFormat="false" ht="15" hidden="false" customHeight="false" outlineLevel="0" collapsed="false">
      <c r="B149" s="52"/>
      <c r="C149" s="53"/>
      <c r="D149" s="53"/>
      <c r="E149" s="53"/>
      <c r="F149" s="59"/>
      <c r="G149" s="59"/>
      <c r="H149" s="59"/>
      <c r="I149" s="57"/>
      <c r="J149" s="60" t="str">
        <f aca="false">IF(AND(ISNUMBER(F149),ISNUMBER(G149)),MAX(0,G149-F149),IF(ISNUMBER(H149),H149*IF(I149="Yes / Sí",2,1),""))</f>
        <v/>
      </c>
      <c r="K149" s="61" t="str">
        <f aca="false">IF(OR(J149="",NOT(ISNUMBER(B149))),"",IF(COUNTIF(Settings!$B$8:$B$17,"&lt;="&amp;B149)=0,Settings!$C$8,INDEX(Settings!$C$8:$C$17,COUNTIF(Settings!$B$8:$B$17,"&lt;="&amp;B149))))</f>
        <v/>
      </c>
      <c r="L149" s="56" t="str">
        <f aca="false">IF(K149="","",ROUND(J149*K149,2))</f>
        <v/>
      </c>
      <c r="M149" s="58" t="str">
        <f aca="false">IF(AND(B149="",F149="",G149="",H149=""),"",IF(NOT(ISNUMBER(B149)),"⚠ ADD DATE / AGREGA FECHA",IF(J149="","⚠ ADD MILES / AGREGA MILLAS",IF(AND(ISNUMBER(F149),ISNUMBER(G149)),IF(G149&lt;F149,"⚠ CHECK ODOMETER / REVISA ODÓMETRO","✔ OK"),"✔ OK"))))</f>
        <v/>
      </c>
      <c r="N149" s="53"/>
      <c r="P149" s="51" t="n">
        <f aca="false">IF(ISNUMBER(L149),1,0)</f>
        <v>0</v>
      </c>
      <c r="Q149" s="51" t="n">
        <f aca="false">IF(P149=1,YEAR(B149),0)</f>
        <v>0</v>
      </c>
      <c r="R149" s="51" t="n">
        <f aca="false">IF(P149=1,YEAR(B149)*100+MONTH(B149),0)</f>
        <v>0</v>
      </c>
    </row>
    <row r="150" customFormat="false" ht="15" hidden="false" customHeight="false" outlineLevel="0" collapsed="false">
      <c r="B150" s="52"/>
      <c r="C150" s="53"/>
      <c r="D150" s="53"/>
      <c r="E150" s="53"/>
      <c r="F150" s="59"/>
      <c r="G150" s="59"/>
      <c r="H150" s="59"/>
      <c r="I150" s="57"/>
      <c r="J150" s="60" t="str">
        <f aca="false">IF(AND(ISNUMBER(F150),ISNUMBER(G150)),MAX(0,G150-F150),IF(ISNUMBER(H150),H150*IF(I150="Yes / Sí",2,1),""))</f>
        <v/>
      </c>
      <c r="K150" s="61" t="str">
        <f aca="false">IF(OR(J150="",NOT(ISNUMBER(B150))),"",IF(COUNTIF(Settings!$B$8:$B$17,"&lt;="&amp;B150)=0,Settings!$C$8,INDEX(Settings!$C$8:$C$17,COUNTIF(Settings!$B$8:$B$17,"&lt;="&amp;B150))))</f>
        <v/>
      </c>
      <c r="L150" s="56" t="str">
        <f aca="false">IF(K150="","",ROUND(J150*K150,2))</f>
        <v/>
      </c>
      <c r="M150" s="58" t="str">
        <f aca="false">IF(AND(B150="",F150="",G150="",H150=""),"",IF(NOT(ISNUMBER(B150)),"⚠ ADD DATE / AGREGA FECHA",IF(J150="","⚠ ADD MILES / AGREGA MILLAS",IF(AND(ISNUMBER(F150),ISNUMBER(G150)),IF(G150&lt;F150,"⚠ CHECK ODOMETER / REVISA ODÓMETRO","✔ OK"),"✔ OK"))))</f>
        <v/>
      </c>
      <c r="N150" s="53"/>
      <c r="P150" s="51" t="n">
        <f aca="false">IF(ISNUMBER(L150),1,0)</f>
        <v>0</v>
      </c>
      <c r="Q150" s="51" t="n">
        <f aca="false">IF(P150=1,YEAR(B150),0)</f>
        <v>0</v>
      </c>
      <c r="R150" s="51" t="n">
        <f aca="false">IF(P150=1,YEAR(B150)*100+MONTH(B150),0)</f>
        <v>0</v>
      </c>
    </row>
    <row r="151" customFormat="false" ht="15" hidden="false" customHeight="false" outlineLevel="0" collapsed="false">
      <c r="B151" s="52"/>
      <c r="C151" s="53"/>
      <c r="D151" s="53"/>
      <c r="E151" s="53"/>
      <c r="F151" s="59"/>
      <c r="G151" s="59"/>
      <c r="H151" s="59"/>
      <c r="I151" s="57"/>
      <c r="J151" s="60" t="str">
        <f aca="false">IF(AND(ISNUMBER(F151),ISNUMBER(G151)),MAX(0,G151-F151),IF(ISNUMBER(H151),H151*IF(I151="Yes / Sí",2,1),""))</f>
        <v/>
      </c>
      <c r="K151" s="61" t="str">
        <f aca="false">IF(OR(J151="",NOT(ISNUMBER(B151))),"",IF(COUNTIF(Settings!$B$8:$B$17,"&lt;="&amp;B151)=0,Settings!$C$8,INDEX(Settings!$C$8:$C$17,COUNTIF(Settings!$B$8:$B$17,"&lt;="&amp;B151))))</f>
        <v/>
      </c>
      <c r="L151" s="56" t="str">
        <f aca="false">IF(K151="","",ROUND(J151*K151,2))</f>
        <v/>
      </c>
      <c r="M151" s="58" t="str">
        <f aca="false">IF(AND(B151="",F151="",G151="",H151=""),"",IF(NOT(ISNUMBER(B151)),"⚠ ADD DATE / AGREGA FECHA",IF(J151="","⚠ ADD MILES / AGREGA MILLAS",IF(AND(ISNUMBER(F151),ISNUMBER(G151)),IF(G151&lt;F151,"⚠ CHECK ODOMETER / REVISA ODÓMETRO","✔ OK"),"✔ OK"))))</f>
        <v/>
      </c>
      <c r="N151" s="53"/>
      <c r="P151" s="51" t="n">
        <f aca="false">IF(ISNUMBER(L151),1,0)</f>
        <v>0</v>
      </c>
      <c r="Q151" s="51" t="n">
        <f aca="false">IF(P151=1,YEAR(B151),0)</f>
        <v>0</v>
      </c>
      <c r="R151" s="51" t="n">
        <f aca="false">IF(P151=1,YEAR(B151)*100+MONTH(B151),0)</f>
        <v>0</v>
      </c>
    </row>
    <row r="152" customFormat="false" ht="15" hidden="false" customHeight="false" outlineLevel="0" collapsed="false">
      <c r="B152" s="52"/>
      <c r="C152" s="53"/>
      <c r="D152" s="53"/>
      <c r="E152" s="53"/>
      <c r="F152" s="59"/>
      <c r="G152" s="59"/>
      <c r="H152" s="59"/>
      <c r="I152" s="57"/>
      <c r="J152" s="60" t="str">
        <f aca="false">IF(AND(ISNUMBER(F152),ISNUMBER(G152)),MAX(0,G152-F152),IF(ISNUMBER(H152),H152*IF(I152="Yes / Sí",2,1),""))</f>
        <v/>
      </c>
      <c r="K152" s="61" t="str">
        <f aca="false">IF(OR(J152="",NOT(ISNUMBER(B152))),"",IF(COUNTIF(Settings!$B$8:$B$17,"&lt;="&amp;B152)=0,Settings!$C$8,INDEX(Settings!$C$8:$C$17,COUNTIF(Settings!$B$8:$B$17,"&lt;="&amp;B152))))</f>
        <v/>
      </c>
      <c r="L152" s="56" t="str">
        <f aca="false">IF(K152="","",ROUND(J152*K152,2))</f>
        <v/>
      </c>
      <c r="M152" s="58" t="str">
        <f aca="false">IF(AND(B152="",F152="",G152="",H152=""),"",IF(NOT(ISNUMBER(B152)),"⚠ ADD DATE / AGREGA FECHA",IF(J152="","⚠ ADD MILES / AGREGA MILLAS",IF(AND(ISNUMBER(F152),ISNUMBER(G152)),IF(G152&lt;F152,"⚠ CHECK ODOMETER / REVISA ODÓMETRO","✔ OK"),"✔ OK"))))</f>
        <v/>
      </c>
      <c r="N152" s="53"/>
      <c r="P152" s="51" t="n">
        <f aca="false">IF(ISNUMBER(L152),1,0)</f>
        <v>0</v>
      </c>
      <c r="Q152" s="51" t="n">
        <f aca="false">IF(P152=1,YEAR(B152),0)</f>
        <v>0</v>
      </c>
      <c r="R152" s="51" t="n">
        <f aca="false">IF(P152=1,YEAR(B152)*100+MONTH(B152),0)</f>
        <v>0</v>
      </c>
    </row>
    <row r="153" customFormat="false" ht="15" hidden="false" customHeight="false" outlineLevel="0" collapsed="false">
      <c r="B153" s="52"/>
      <c r="C153" s="53"/>
      <c r="D153" s="53"/>
      <c r="E153" s="53"/>
      <c r="F153" s="59"/>
      <c r="G153" s="59"/>
      <c r="H153" s="59"/>
      <c r="I153" s="57"/>
      <c r="J153" s="60" t="str">
        <f aca="false">IF(AND(ISNUMBER(F153),ISNUMBER(G153)),MAX(0,G153-F153),IF(ISNUMBER(H153),H153*IF(I153="Yes / Sí",2,1),""))</f>
        <v/>
      </c>
      <c r="K153" s="61" t="str">
        <f aca="false">IF(OR(J153="",NOT(ISNUMBER(B153))),"",IF(COUNTIF(Settings!$B$8:$B$17,"&lt;="&amp;B153)=0,Settings!$C$8,INDEX(Settings!$C$8:$C$17,COUNTIF(Settings!$B$8:$B$17,"&lt;="&amp;B153))))</f>
        <v/>
      </c>
      <c r="L153" s="56" t="str">
        <f aca="false">IF(K153="","",ROUND(J153*K153,2))</f>
        <v/>
      </c>
      <c r="M153" s="58" t="str">
        <f aca="false">IF(AND(B153="",F153="",G153="",H153=""),"",IF(NOT(ISNUMBER(B153)),"⚠ ADD DATE / AGREGA FECHA",IF(J153="","⚠ ADD MILES / AGREGA MILLAS",IF(AND(ISNUMBER(F153),ISNUMBER(G153)),IF(G153&lt;F153,"⚠ CHECK ODOMETER / REVISA ODÓMETRO","✔ OK"),"✔ OK"))))</f>
        <v/>
      </c>
      <c r="N153" s="53"/>
      <c r="P153" s="51" t="n">
        <f aca="false">IF(ISNUMBER(L153),1,0)</f>
        <v>0</v>
      </c>
      <c r="Q153" s="51" t="n">
        <f aca="false">IF(P153=1,YEAR(B153),0)</f>
        <v>0</v>
      </c>
      <c r="R153" s="51" t="n">
        <f aca="false">IF(P153=1,YEAR(B153)*100+MONTH(B153),0)</f>
        <v>0</v>
      </c>
    </row>
    <row r="154" customFormat="false" ht="15" hidden="false" customHeight="false" outlineLevel="0" collapsed="false">
      <c r="B154" s="52"/>
      <c r="C154" s="53"/>
      <c r="D154" s="53"/>
      <c r="E154" s="53"/>
      <c r="F154" s="59"/>
      <c r="G154" s="59"/>
      <c r="H154" s="59"/>
      <c r="I154" s="57"/>
      <c r="J154" s="60" t="str">
        <f aca="false">IF(AND(ISNUMBER(F154),ISNUMBER(G154)),MAX(0,G154-F154),IF(ISNUMBER(H154),H154*IF(I154="Yes / Sí",2,1),""))</f>
        <v/>
      </c>
      <c r="K154" s="61" t="str">
        <f aca="false">IF(OR(J154="",NOT(ISNUMBER(B154))),"",IF(COUNTIF(Settings!$B$8:$B$17,"&lt;="&amp;B154)=0,Settings!$C$8,INDEX(Settings!$C$8:$C$17,COUNTIF(Settings!$B$8:$B$17,"&lt;="&amp;B154))))</f>
        <v/>
      </c>
      <c r="L154" s="56" t="str">
        <f aca="false">IF(K154="","",ROUND(J154*K154,2))</f>
        <v/>
      </c>
      <c r="M154" s="58" t="str">
        <f aca="false">IF(AND(B154="",F154="",G154="",H154=""),"",IF(NOT(ISNUMBER(B154)),"⚠ ADD DATE / AGREGA FECHA",IF(J154="","⚠ ADD MILES / AGREGA MILLAS",IF(AND(ISNUMBER(F154),ISNUMBER(G154)),IF(G154&lt;F154,"⚠ CHECK ODOMETER / REVISA ODÓMETRO","✔ OK"),"✔ OK"))))</f>
        <v/>
      </c>
      <c r="N154" s="53"/>
      <c r="P154" s="51" t="n">
        <f aca="false">IF(ISNUMBER(L154),1,0)</f>
        <v>0</v>
      </c>
      <c r="Q154" s="51" t="n">
        <f aca="false">IF(P154=1,YEAR(B154),0)</f>
        <v>0</v>
      </c>
      <c r="R154" s="51" t="n">
        <f aca="false">IF(P154=1,YEAR(B154)*100+MONTH(B154),0)</f>
        <v>0</v>
      </c>
    </row>
    <row r="155" customFormat="false" ht="15" hidden="false" customHeight="false" outlineLevel="0" collapsed="false">
      <c r="B155" s="52"/>
      <c r="C155" s="53"/>
      <c r="D155" s="53"/>
      <c r="E155" s="53"/>
      <c r="F155" s="59"/>
      <c r="G155" s="59"/>
      <c r="H155" s="59"/>
      <c r="I155" s="57"/>
      <c r="J155" s="60" t="str">
        <f aca="false">IF(AND(ISNUMBER(F155),ISNUMBER(G155)),MAX(0,G155-F155),IF(ISNUMBER(H155),H155*IF(I155="Yes / Sí",2,1),""))</f>
        <v/>
      </c>
      <c r="K155" s="61" t="str">
        <f aca="false">IF(OR(J155="",NOT(ISNUMBER(B155))),"",IF(COUNTIF(Settings!$B$8:$B$17,"&lt;="&amp;B155)=0,Settings!$C$8,INDEX(Settings!$C$8:$C$17,COUNTIF(Settings!$B$8:$B$17,"&lt;="&amp;B155))))</f>
        <v/>
      </c>
      <c r="L155" s="56" t="str">
        <f aca="false">IF(K155="","",ROUND(J155*K155,2))</f>
        <v/>
      </c>
      <c r="M155" s="58" t="str">
        <f aca="false">IF(AND(B155="",F155="",G155="",H155=""),"",IF(NOT(ISNUMBER(B155)),"⚠ ADD DATE / AGREGA FECHA",IF(J155="","⚠ ADD MILES / AGREGA MILLAS",IF(AND(ISNUMBER(F155),ISNUMBER(G155)),IF(G155&lt;F155,"⚠ CHECK ODOMETER / REVISA ODÓMETRO","✔ OK"),"✔ OK"))))</f>
        <v/>
      </c>
      <c r="N155" s="53"/>
      <c r="P155" s="51" t="n">
        <f aca="false">IF(ISNUMBER(L155),1,0)</f>
        <v>0</v>
      </c>
      <c r="Q155" s="51" t="n">
        <f aca="false">IF(P155=1,YEAR(B155),0)</f>
        <v>0</v>
      </c>
      <c r="R155" s="51" t="n">
        <f aca="false">IF(P155=1,YEAR(B155)*100+MONTH(B155),0)</f>
        <v>0</v>
      </c>
    </row>
    <row r="156" customFormat="false" ht="15" hidden="false" customHeight="false" outlineLevel="0" collapsed="false">
      <c r="B156" s="52"/>
      <c r="C156" s="53"/>
      <c r="D156" s="53"/>
      <c r="E156" s="53"/>
      <c r="F156" s="59"/>
      <c r="G156" s="59"/>
      <c r="H156" s="59"/>
      <c r="I156" s="57"/>
      <c r="J156" s="60" t="str">
        <f aca="false">IF(AND(ISNUMBER(F156),ISNUMBER(G156)),MAX(0,G156-F156),IF(ISNUMBER(H156),H156*IF(I156="Yes / Sí",2,1),""))</f>
        <v/>
      </c>
      <c r="K156" s="61" t="str">
        <f aca="false">IF(OR(J156="",NOT(ISNUMBER(B156))),"",IF(COUNTIF(Settings!$B$8:$B$17,"&lt;="&amp;B156)=0,Settings!$C$8,INDEX(Settings!$C$8:$C$17,COUNTIF(Settings!$B$8:$B$17,"&lt;="&amp;B156))))</f>
        <v/>
      </c>
      <c r="L156" s="56" t="str">
        <f aca="false">IF(K156="","",ROUND(J156*K156,2))</f>
        <v/>
      </c>
      <c r="M156" s="58" t="str">
        <f aca="false">IF(AND(B156="",F156="",G156="",H156=""),"",IF(NOT(ISNUMBER(B156)),"⚠ ADD DATE / AGREGA FECHA",IF(J156="","⚠ ADD MILES / AGREGA MILLAS",IF(AND(ISNUMBER(F156),ISNUMBER(G156)),IF(G156&lt;F156,"⚠ CHECK ODOMETER / REVISA ODÓMETRO","✔ OK"),"✔ OK"))))</f>
        <v/>
      </c>
      <c r="N156" s="53"/>
      <c r="P156" s="51" t="n">
        <f aca="false">IF(ISNUMBER(L156),1,0)</f>
        <v>0</v>
      </c>
      <c r="Q156" s="51" t="n">
        <f aca="false">IF(P156=1,YEAR(B156),0)</f>
        <v>0</v>
      </c>
      <c r="R156" s="51" t="n">
        <f aca="false">IF(P156=1,YEAR(B156)*100+MONTH(B156),0)</f>
        <v>0</v>
      </c>
    </row>
    <row r="157" customFormat="false" ht="15" hidden="false" customHeight="false" outlineLevel="0" collapsed="false">
      <c r="B157" s="52"/>
      <c r="C157" s="53"/>
      <c r="D157" s="53"/>
      <c r="E157" s="53"/>
      <c r="F157" s="59"/>
      <c r="G157" s="59"/>
      <c r="H157" s="59"/>
      <c r="I157" s="57"/>
      <c r="J157" s="60" t="str">
        <f aca="false">IF(AND(ISNUMBER(F157),ISNUMBER(G157)),MAX(0,G157-F157),IF(ISNUMBER(H157),H157*IF(I157="Yes / Sí",2,1),""))</f>
        <v/>
      </c>
      <c r="K157" s="61" t="str">
        <f aca="false">IF(OR(J157="",NOT(ISNUMBER(B157))),"",IF(COUNTIF(Settings!$B$8:$B$17,"&lt;="&amp;B157)=0,Settings!$C$8,INDEX(Settings!$C$8:$C$17,COUNTIF(Settings!$B$8:$B$17,"&lt;="&amp;B157))))</f>
        <v/>
      </c>
      <c r="L157" s="56" t="str">
        <f aca="false">IF(K157="","",ROUND(J157*K157,2))</f>
        <v/>
      </c>
      <c r="M157" s="58" t="str">
        <f aca="false">IF(AND(B157="",F157="",G157="",H157=""),"",IF(NOT(ISNUMBER(B157)),"⚠ ADD DATE / AGREGA FECHA",IF(J157="","⚠ ADD MILES / AGREGA MILLAS",IF(AND(ISNUMBER(F157),ISNUMBER(G157)),IF(G157&lt;F157,"⚠ CHECK ODOMETER / REVISA ODÓMETRO","✔ OK"),"✔ OK"))))</f>
        <v/>
      </c>
      <c r="N157" s="53"/>
      <c r="P157" s="51" t="n">
        <f aca="false">IF(ISNUMBER(L157),1,0)</f>
        <v>0</v>
      </c>
      <c r="Q157" s="51" t="n">
        <f aca="false">IF(P157=1,YEAR(B157),0)</f>
        <v>0</v>
      </c>
      <c r="R157" s="51" t="n">
        <f aca="false">IF(P157=1,YEAR(B157)*100+MONTH(B157),0)</f>
        <v>0</v>
      </c>
    </row>
    <row r="158" customFormat="false" ht="15" hidden="false" customHeight="false" outlineLevel="0" collapsed="false">
      <c r="B158" s="52"/>
      <c r="C158" s="53"/>
      <c r="D158" s="53"/>
      <c r="E158" s="53"/>
      <c r="F158" s="59"/>
      <c r="G158" s="59"/>
      <c r="H158" s="59"/>
      <c r="I158" s="57"/>
      <c r="J158" s="60" t="str">
        <f aca="false">IF(AND(ISNUMBER(F158),ISNUMBER(G158)),MAX(0,G158-F158),IF(ISNUMBER(H158),H158*IF(I158="Yes / Sí",2,1),""))</f>
        <v/>
      </c>
      <c r="K158" s="61" t="str">
        <f aca="false">IF(OR(J158="",NOT(ISNUMBER(B158))),"",IF(COUNTIF(Settings!$B$8:$B$17,"&lt;="&amp;B158)=0,Settings!$C$8,INDEX(Settings!$C$8:$C$17,COUNTIF(Settings!$B$8:$B$17,"&lt;="&amp;B158))))</f>
        <v/>
      </c>
      <c r="L158" s="56" t="str">
        <f aca="false">IF(K158="","",ROUND(J158*K158,2))</f>
        <v/>
      </c>
      <c r="M158" s="58" t="str">
        <f aca="false">IF(AND(B158="",F158="",G158="",H158=""),"",IF(NOT(ISNUMBER(B158)),"⚠ ADD DATE / AGREGA FECHA",IF(J158="","⚠ ADD MILES / AGREGA MILLAS",IF(AND(ISNUMBER(F158),ISNUMBER(G158)),IF(G158&lt;F158,"⚠ CHECK ODOMETER / REVISA ODÓMETRO","✔ OK"),"✔ OK"))))</f>
        <v/>
      </c>
      <c r="N158" s="53"/>
      <c r="P158" s="51" t="n">
        <f aca="false">IF(ISNUMBER(L158),1,0)</f>
        <v>0</v>
      </c>
      <c r="Q158" s="51" t="n">
        <f aca="false">IF(P158=1,YEAR(B158),0)</f>
        <v>0</v>
      </c>
      <c r="R158" s="51" t="n">
        <f aca="false">IF(P158=1,YEAR(B158)*100+MONTH(B158),0)</f>
        <v>0</v>
      </c>
    </row>
    <row r="159" customFormat="false" ht="15" hidden="false" customHeight="false" outlineLevel="0" collapsed="false">
      <c r="B159" s="52"/>
      <c r="C159" s="53"/>
      <c r="D159" s="53"/>
      <c r="E159" s="53"/>
      <c r="F159" s="59"/>
      <c r="G159" s="59"/>
      <c r="H159" s="59"/>
      <c r="I159" s="57"/>
      <c r="J159" s="60" t="str">
        <f aca="false">IF(AND(ISNUMBER(F159),ISNUMBER(G159)),MAX(0,G159-F159),IF(ISNUMBER(H159),H159*IF(I159="Yes / Sí",2,1),""))</f>
        <v/>
      </c>
      <c r="K159" s="61" t="str">
        <f aca="false">IF(OR(J159="",NOT(ISNUMBER(B159))),"",IF(COUNTIF(Settings!$B$8:$B$17,"&lt;="&amp;B159)=0,Settings!$C$8,INDEX(Settings!$C$8:$C$17,COUNTIF(Settings!$B$8:$B$17,"&lt;="&amp;B159))))</f>
        <v/>
      </c>
      <c r="L159" s="56" t="str">
        <f aca="false">IF(K159="","",ROUND(J159*K159,2))</f>
        <v/>
      </c>
      <c r="M159" s="58" t="str">
        <f aca="false">IF(AND(B159="",F159="",G159="",H159=""),"",IF(NOT(ISNUMBER(B159)),"⚠ ADD DATE / AGREGA FECHA",IF(J159="","⚠ ADD MILES / AGREGA MILLAS",IF(AND(ISNUMBER(F159),ISNUMBER(G159)),IF(G159&lt;F159,"⚠ CHECK ODOMETER / REVISA ODÓMETRO","✔ OK"),"✔ OK"))))</f>
        <v/>
      </c>
      <c r="N159" s="53"/>
      <c r="P159" s="51" t="n">
        <f aca="false">IF(ISNUMBER(L159),1,0)</f>
        <v>0</v>
      </c>
      <c r="Q159" s="51" t="n">
        <f aca="false">IF(P159=1,YEAR(B159),0)</f>
        <v>0</v>
      </c>
      <c r="R159" s="51" t="n">
        <f aca="false">IF(P159=1,YEAR(B159)*100+MONTH(B159),0)</f>
        <v>0</v>
      </c>
    </row>
    <row r="160" customFormat="false" ht="15" hidden="false" customHeight="false" outlineLevel="0" collapsed="false">
      <c r="B160" s="52"/>
      <c r="C160" s="53"/>
      <c r="D160" s="53"/>
      <c r="E160" s="53"/>
      <c r="F160" s="59"/>
      <c r="G160" s="59"/>
      <c r="H160" s="59"/>
      <c r="I160" s="57"/>
      <c r="J160" s="60" t="str">
        <f aca="false">IF(AND(ISNUMBER(F160),ISNUMBER(G160)),MAX(0,G160-F160),IF(ISNUMBER(H160),H160*IF(I160="Yes / Sí",2,1),""))</f>
        <v/>
      </c>
      <c r="K160" s="61" t="str">
        <f aca="false">IF(OR(J160="",NOT(ISNUMBER(B160))),"",IF(COUNTIF(Settings!$B$8:$B$17,"&lt;="&amp;B160)=0,Settings!$C$8,INDEX(Settings!$C$8:$C$17,COUNTIF(Settings!$B$8:$B$17,"&lt;="&amp;B160))))</f>
        <v/>
      </c>
      <c r="L160" s="56" t="str">
        <f aca="false">IF(K160="","",ROUND(J160*K160,2))</f>
        <v/>
      </c>
      <c r="M160" s="58" t="str">
        <f aca="false">IF(AND(B160="",F160="",G160="",H160=""),"",IF(NOT(ISNUMBER(B160)),"⚠ ADD DATE / AGREGA FECHA",IF(J160="","⚠ ADD MILES / AGREGA MILLAS",IF(AND(ISNUMBER(F160),ISNUMBER(G160)),IF(G160&lt;F160,"⚠ CHECK ODOMETER / REVISA ODÓMETRO","✔ OK"),"✔ OK"))))</f>
        <v/>
      </c>
      <c r="N160" s="53"/>
      <c r="P160" s="51" t="n">
        <f aca="false">IF(ISNUMBER(L160),1,0)</f>
        <v>0</v>
      </c>
      <c r="Q160" s="51" t="n">
        <f aca="false">IF(P160=1,YEAR(B160),0)</f>
        <v>0</v>
      </c>
      <c r="R160" s="51" t="n">
        <f aca="false">IF(P160=1,YEAR(B160)*100+MONTH(B160),0)</f>
        <v>0</v>
      </c>
    </row>
    <row r="161" customFormat="false" ht="15" hidden="false" customHeight="false" outlineLevel="0" collapsed="false">
      <c r="B161" s="52"/>
      <c r="C161" s="53"/>
      <c r="D161" s="53"/>
      <c r="E161" s="53"/>
      <c r="F161" s="59"/>
      <c r="G161" s="59"/>
      <c r="H161" s="59"/>
      <c r="I161" s="57"/>
      <c r="J161" s="60" t="str">
        <f aca="false">IF(AND(ISNUMBER(F161),ISNUMBER(G161)),MAX(0,G161-F161),IF(ISNUMBER(H161),H161*IF(I161="Yes / Sí",2,1),""))</f>
        <v/>
      </c>
      <c r="K161" s="61" t="str">
        <f aca="false">IF(OR(J161="",NOT(ISNUMBER(B161))),"",IF(COUNTIF(Settings!$B$8:$B$17,"&lt;="&amp;B161)=0,Settings!$C$8,INDEX(Settings!$C$8:$C$17,COUNTIF(Settings!$B$8:$B$17,"&lt;="&amp;B161))))</f>
        <v/>
      </c>
      <c r="L161" s="56" t="str">
        <f aca="false">IF(K161="","",ROUND(J161*K161,2))</f>
        <v/>
      </c>
      <c r="M161" s="58" t="str">
        <f aca="false">IF(AND(B161="",F161="",G161="",H161=""),"",IF(NOT(ISNUMBER(B161)),"⚠ ADD DATE / AGREGA FECHA",IF(J161="","⚠ ADD MILES / AGREGA MILLAS",IF(AND(ISNUMBER(F161),ISNUMBER(G161)),IF(G161&lt;F161,"⚠ CHECK ODOMETER / REVISA ODÓMETRO","✔ OK"),"✔ OK"))))</f>
        <v/>
      </c>
      <c r="N161" s="53"/>
      <c r="P161" s="51" t="n">
        <f aca="false">IF(ISNUMBER(L161),1,0)</f>
        <v>0</v>
      </c>
      <c r="Q161" s="51" t="n">
        <f aca="false">IF(P161=1,YEAR(B161),0)</f>
        <v>0</v>
      </c>
      <c r="R161" s="51" t="n">
        <f aca="false">IF(P161=1,YEAR(B161)*100+MONTH(B161),0)</f>
        <v>0</v>
      </c>
    </row>
    <row r="162" customFormat="false" ht="15" hidden="false" customHeight="false" outlineLevel="0" collapsed="false">
      <c r="B162" s="52"/>
      <c r="C162" s="53"/>
      <c r="D162" s="53"/>
      <c r="E162" s="53"/>
      <c r="F162" s="59"/>
      <c r="G162" s="59"/>
      <c r="H162" s="59"/>
      <c r="I162" s="57"/>
      <c r="J162" s="60" t="str">
        <f aca="false">IF(AND(ISNUMBER(F162),ISNUMBER(G162)),MAX(0,G162-F162),IF(ISNUMBER(H162),H162*IF(I162="Yes / Sí",2,1),""))</f>
        <v/>
      </c>
      <c r="K162" s="61" t="str">
        <f aca="false">IF(OR(J162="",NOT(ISNUMBER(B162))),"",IF(COUNTIF(Settings!$B$8:$B$17,"&lt;="&amp;B162)=0,Settings!$C$8,INDEX(Settings!$C$8:$C$17,COUNTIF(Settings!$B$8:$B$17,"&lt;="&amp;B162))))</f>
        <v/>
      </c>
      <c r="L162" s="56" t="str">
        <f aca="false">IF(K162="","",ROUND(J162*K162,2))</f>
        <v/>
      </c>
      <c r="M162" s="58" t="str">
        <f aca="false">IF(AND(B162="",F162="",G162="",H162=""),"",IF(NOT(ISNUMBER(B162)),"⚠ ADD DATE / AGREGA FECHA",IF(J162="","⚠ ADD MILES / AGREGA MILLAS",IF(AND(ISNUMBER(F162),ISNUMBER(G162)),IF(G162&lt;F162,"⚠ CHECK ODOMETER / REVISA ODÓMETRO","✔ OK"),"✔ OK"))))</f>
        <v/>
      </c>
      <c r="N162" s="53"/>
      <c r="P162" s="51" t="n">
        <f aca="false">IF(ISNUMBER(L162),1,0)</f>
        <v>0</v>
      </c>
      <c r="Q162" s="51" t="n">
        <f aca="false">IF(P162=1,YEAR(B162),0)</f>
        <v>0</v>
      </c>
      <c r="R162" s="51" t="n">
        <f aca="false">IF(P162=1,YEAR(B162)*100+MONTH(B162),0)</f>
        <v>0</v>
      </c>
    </row>
    <row r="163" customFormat="false" ht="15" hidden="false" customHeight="false" outlineLevel="0" collapsed="false">
      <c r="B163" s="52"/>
      <c r="C163" s="53"/>
      <c r="D163" s="53"/>
      <c r="E163" s="53"/>
      <c r="F163" s="59"/>
      <c r="G163" s="59"/>
      <c r="H163" s="59"/>
      <c r="I163" s="57"/>
      <c r="J163" s="60" t="str">
        <f aca="false">IF(AND(ISNUMBER(F163),ISNUMBER(G163)),MAX(0,G163-F163),IF(ISNUMBER(H163),H163*IF(I163="Yes / Sí",2,1),""))</f>
        <v/>
      </c>
      <c r="K163" s="61" t="str">
        <f aca="false">IF(OR(J163="",NOT(ISNUMBER(B163))),"",IF(COUNTIF(Settings!$B$8:$B$17,"&lt;="&amp;B163)=0,Settings!$C$8,INDEX(Settings!$C$8:$C$17,COUNTIF(Settings!$B$8:$B$17,"&lt;="&amp;B163))))</f>
        <v/>
      </c>
      <c r="L163" s="56" t="str">
        <f aca="false">IF(K163="","",ROUND(J163*K163,2))</f>
        <v/>
      </c>
      <c r="M163" s="58" t="str">
        <f aca="false">IF(AND(B163="",F163="",G163="",H163=""),"",IF(NOT(ISNUMBER(B163)),"⚠ ADD DATE / AGREGA FECHA",IF(J163="","⚠ ADD MILES / AGREGA MILLAS",IF(AND(ISNUMBER(F163),ISNUMBER(G163)),IF(G163&lt;F163,"⚠ CHECK ODOMETER / REVISA ODÓMETRO","✔ OK"),"✔ OK"))))</f>
        <v/>
      </c>
      <c r="N163" s="53"/>
      <c r="P163" s="51" t="n">
        <f aca="false">IF(ISNUMBER(L163),1,0)</f>
        <v>0</v>
      </c>
      <c r="Q163" s="51" t="n">
        <f aca="false">IF(P163=1,YEAR(B163),0)</f>
        <v>0</v>
      </c>
      <c r="R163" s="51" t="n">
        <f aca="false">IF(P163=1,YEAR(B163)*100+MONTH(B163),0)</f>
        <v>0</v>
      </c>
    </row>
    <row r="164" customFormat="false" ht="15" hidden="false" customHeight="false" outlineLevel="0" collapsed="false">
      <c r="B164" s="52"/>
      <c r="C164" s="53"/>
      <c r="D164" s="53"/>
      <c r="E164" s="53"/>
      <c r="F164" s="59"/>
      <c r="G164" s="59"/>
      <c r="H164" s="59"/>
      <c r="I164" s="57"/>
      <c r="J164" s="60" t="str">
        <f aca="false">IF(AND(ISNUMBER(F164),ISNUMBER(G164)),MAX(0,G164-F164),IF(ISNUMBER(H164),H164*IF(I164="Yes / Sí",2,1),""))</f>
        <v/>
      </c>
      <c r="K164" s="61" t="str">
        <f aca="false">IF(OR(J164="",NOT(ISNUMBER(B164))),"",IF(COUNTIF(Settings!$B$8:$B$17,"&lt;="&amp;B164)=0,Settings!$C$8,INDEX(Settings!$C$8:$C$17,COUNTIF(Settings!$B$8:$B$17,"&lt;="&amp;B164))))</f>
        <v/>
      </c>
      <c r="L164" s="56" t="str">
        <f aca="false">IF(K164="","",ROUND(J164*K164,2))</f>
        <v/>
      </c>
      <c r="M164" s="58" t="str">
        <f aca="false">IF(AND(B164="",F164="",G164="",H164=""),"",IF(NOT(ISNUMBER(B164)),"⚠ ADD DATE / AGREGA FECHA",IF(J164="","⚠ ADD MILES / AGREGA MILLAS",IF(AND(ISNUMBER(F164),ISNUMBER(G164)),IF(G164&lt;F164,"⚠ CHECK ODOMETER / REVISA ODÓMETRO","✔ OK"),"✔ OK"))))</f>
        <v/>
      </c>
      <c r="N164" s="53"/>
      <c r="P164" s="51" t="n">
        <f aca="false">IF(ISNUMBER(L164),1,0)</f>
        <v>0</v>
      </c>
      <c r="Q164" s="51" t="n">
        <f aca="false">IF(P164=1,YEAR(B164),0)</f>
        <v>0</v>
      </c>
      <c r="R164" s="51" t="n">
        <f aca="false">IF(P164=1,YEAR(B164)*100+MONTH(B164),0)</f>
        <v>0</v>
      </c>
    </row>
    <row r="165" customFormat="false" ht="15" hidden="false" customHeight="false" outlineLevel="0" collapsed="false">
      <c r="B165" s="52"/>
      <c r="C165" s="53"/>
      <c r="D165" s="53"/>
      <c r="E165" s="53"/>
      <c r="F165" s="59"/>
      <c r="G165" s="59"/>
      <c r="H165" s="59"/>
      <c r="I165" s="57"/>
      <c r="J165" s="60" t="str">
        <f aca="false">IF(AND(ISNUMBER(F165),ISNUMBER(G165)),MAX(0,G165-F165),IF(ISNUMBER(H165),H165*IF(I165="Yes / Sí",2,1),""))</f>
        <v/>
      </c>
      <c r="K165" s="61" t="str">
        <f aca="false">IF(OR(J165="",NOT(ISNUMBER(B165))),"",IF(COUNTIF(Settings!$B$8:$B$17,"&lt;="&amp;B165)=0,Settings!$C$8,INDEX(Settings!$C$8:$C$17,COUNTIF(Settings!$B$8:$B$17,"&lt;="&amp;B165))))</f>
        <v/>
      </c>
      <c r="L165" s="56" t="str">
        <f aca="false">IF(K165="","",ROUND(J165*K165,2))</f>
        <v/>
      </c>
      <c r="M165" s="58" t="str">
        <f aca="false">IF(AND(B165="",F165="",G165="",H165=""),"",IF(NOT(ISNUMBER(B165)),"⚠ ADD DATE / AGREGA FECHA",IF(J165="","⚠ ADD MILES / AGREGA MILLAS",IF(AND(ISNUMBER(F165),ISNUMBER(G165)),IF(G165&lt;F165,"⚠ CHECK ODOMETER / REVISA ODÓMETRO","✔ OK"),"✔ OK"))))</f>
        <v/>
      </c>
      <c r="N165" s="53"/>
      <c r="P165" s="51" t="n">
        <f aca="false">IF(ISNUMBER(L165),1,0)</f>
        <v>0</v>
      </c>
      <c r="Q165" s="51" t="n">
        <f aca="false">IF(P165=1,YEAR(B165),0)</f>
        <v>0</v>
      </c>
      <c r="R165" s="51" t="n">
        <f aca="false">IF(P165=1,YEAR(B165)*100+MONTH(B165),0)</f>
        <v>0</v>
      </c>
    </row>
    <row r="166" customFormat="false" ht="15" hidden="false" customHeight="false" outlineLevel="0" collapsed="false">
      <c r="B166" s="52"/>
      <c r="C166" s="53"/>
      <c r="D166" s="53"/>
      <c r="E166" s="53"/>
      <c r="F166" s="59"/>
      <c r="G166" s="59"/>
      <c r="H166" s="59"/>
      <c r="I166" s="57"/>
      <c r="J166" s="60" t="str">
        <f aca="false">IF(AND(ISNUMBER(F166),ISNUMBER(G166)),MAX(0,G166-F166),IF(ISNUMBER(H166),H166*IF(I166="Yes / Sí",2,1),""))</f>
        <v/>
      </c>
      <c r="K166" s="61" t="str">
        <f aca="false">IF(OR(J166="",NOT(ISNUMBER(B166))),"",IF(COUNTIF(Settings!$B$8:$B$17,"&lt;="&amp;B166)=0,Settings!$C$8,INDEX(Settings!$C$8:$C$17,COUNTIF(Settings!$B$8:$B$17,"&lt;="&amp;B166))))</f>
        <v/>
      </c>
      <c r="L166" s="56" t="str">
        <f aca="false">IF(K166="","",ROUND(J166*K166,2))</f>
        <v/>
      </c>
      <c r="M166" s="58" t="str">
        <f aca="false">IF(AND(B166="",F166="",G166="",H166=""),"",IF(NOT(ISNUMBER(B166)),"⚠ ADD DATE / AGREGA FECHA",IF(J166="","⚠ ADD MILES / AGREGA MILLAS",IF(AND(ISNUMBER(F166),ISNUMBER(G166)),IF(G166&lt;F166,"⚠ CHECK ODOMETER / REVISA ODÓMETRO","✔ OK"),"✔ OK"))))</f>
        <v/>
      </c>
      <c r="N166" s="53"/>
      <c r="P166" s="51" t="n">
        <f aca="false">IF(ISNUMBER(L166),1,0)</f>
        <v>0</v>
      </c>
      <c r="Q166" s="51" t="n">
        <f aca="false">IF(P166=1,YEAR(B166),0)</f>
        <v>0</v>
      </c>
      <c r="R166" s="51" t="n">
        <f aca="false">IF(P166=1,YEAR(B166)*100+MONTH(B166),0)</f>
        <v>0</v>
      </c>
    </row>
    <row r="167" customFormat="false" ht="15" hidden="false" customHeight="false" outlineLevel="0" collapsed="false">
      <c r="B167" s="52"/>
      <c r="C167" s="53"/>
      <c r="D167" s="53"/>
      <c r="E167" s="53"/>
      <c r="F167" s="59"/>
      <c r="G167" s="59"/>
      <c r="H167" s="59"/>
      <c r="I167" s="57"/>
      <c r="J167" s="60" t="str">
        <f aca="false">IF(AND(ISNUMBER(F167),ISNUMBER(G167)),MAX(0,G167-F167),IF(ISNUMBER(H167),H167*IF(I167="Yes / Sí",2,1),""))</f>
        <v/>
      </c>
      <c r="K167" s="61" t="str">
        <f aca="false">IF(OR(J167="",NOT(ISNUMBER(B167))),"",IF(COUNTIF(Settings!$B$8:$B$17,"&lt;="&amp;B167)=0,Settings!$C$8,INDEX(Settings!$C$8:$C$17,COUNTIF(Settings!$B$8:$B$17,"&lt;="&amp;B167))))</f>
        <v/>
      </c>
      <c r="L167" s="56" t="str">
        <f aca="false">IF(K167="","",ROUND(J167*K167,2))</f>
        <v/>
      </c>
      <c r="M167" s="58" t="str">
        <f aca="false">IF(AND(B167="",F167="",G167="",H167=""),"",IF(NOT(ISNUMBER(B167)),"⚠ ADD DATE / AGREGA FECHA",IF(J167="","⚠ ADD MILES / AGREGA MILLAS",IF(AND(ISNUMBER(F167),ISNUMBER(G167)),IF(G167&lt;F167,"⚠ CHECK ODOMETER / REVISA ODÓMETRO","✔ OK"),"✔ OK"))))</f>
        <v/>
      </c>
      <c r="N167" s="53"/>
      <c r="P167" s="51" t="n">
        <f aca="false">IF(ISNUMBER(L167),1,0)</f>
        <v>0</v>
      </c>
      <c r="Q167" s="51" t="n">
        <f aca="false">IF(P167=1,YEAR(B167),0)</f>
        <v>0</v>
      </c>
      <c r="R167" s="51" t="n">
        <f aca="false">IF(P167=1,YEAR(B167)*100+MONTH(B167),0)</f>
        <v>0</v>
      </c>
    </row>
    <row r="168" customFormat="false" ht="15" hidden="false" customHeight="false" outlineLevel="0" collapsed="false">
      <c r="B168" s="52"/>
      <c r="C168" s="53"/>
      <c r="D168" s="53"/>
      <c r="E168" s="53"/>
      <c r="F168" s="59"/>
      <c r="G168" s="59"/>
      <c r="H168" s="59"/>
      <c r="I168" s="57"/>
      <c r="J168" s="60" t="str">
        <f aca="false">IF(AND(ISNUMBER(F168),ISNUMBER(G168)),MAX(0,G168-F168),IF(ISNUMBER(H168),H168*IF(I168="Yes / Sí",2,1),""))</f>
        <v/>
      </c>
      <c r="K168" s="61" t="str">
        <f aca="false">IF(OR(J168="",NOT(ISNUMBER(B168))),"",IF(COUNTIF(Settings!$B$8:$B$17,"&lt;="&amp;B168)=0,Settings!$C$8,INDEX(Settings!$C$8:$C$17,COUNTIF(Settings!$B$8:$B$17,"&lt;="&amp;B168))))</f>
        <v/>
      </c>
      <c r="L168" s="56" t="str">
        <f aca="false">IF(K168="","",ROUND(J168*K168,2))</f>
        <v/>
      </c>
      <c r="M168" s="58" t="str">
        <f aca="false">IF(AND(B168="",F168="",G168="",H168=""),"",IF(NOT(ISNUMBER(B168)),"⚠ ADD DATE / AGREGA FECHA",IF(J168="","⚠ ADD MILES / AGREGA MILLAS",IF(AND(ISNUMBER(F168),ISNUMBER(G168)),IF(G168&lt;F168,"⚠ CHECK ODOMETER / REVISA ODÓMETRO","✔ OK"),"✔ OK"))))</f>
        <v/>
      </c>
      <c r="N168" s="53"/>
      <c r="P168" s="51" t="n">
        <f aca="false">IF(ISNUMBER(L168),1,0)</f>
        <v>0</v>
      </c>
      <c r="Q168" s="51" t="n">
        <f aca="false">IF(P168=1,YEAR(B168),0)</f>
        <v>0</v>
      </c>
      <c r="R168" s="51" t="n">
        <f aca="false">IF(P168=1,YEAR(B168)*100+MONTH(B168),0)</f>
        <v>0</v>
      </c>
    </row>
    <row r="169" customFormat="false" ht="15" hidden="false" customHeight="false" outlineLevel="0" collapsed="false">
      <c r="B169" s="52"/>
      <c r="C169" s="53"/>
      <c r="D169" s="53"/>
      <c r="E169" s="53"/>
      <c r="F169" s="59"/>
      <c r="G169" s="59"/>
      <c r="H169" s="59"/>
      <c r="I169" s="57"/>
      <c r="J169" s="60" t="str">
        <f aca="false">IF(AND(ISNUMBER(F169),ISNUMBER(G169)),MAX(0,G169-F169),IF(ISNUMBER(H169),H169*IF(I169="Yes / Sí",2,1),""))</f>
        <v/>
      </c>
      <c r="K169" s="61" t="str">
        <f aca="false">IF(OR(J169="",NOT(ISNUMBER(B169))),"",IF(COUNTIF(Settings!$B$8:$B$17,"&lt;="&amp;B169)=0,Settings!$C$8,INDEX(Settings!$C$8:$C$17,COUNTIF(Settings!$B$8:$B$17,"&lt;="&amp;B169))))</f>
        <v/>
      </c>
      <c r="L169" s="56" t="str">
        <f aca="false">IF(K169="","",ROUND(J169*K169,2))</f>
        <v/>
      </c>
      <c r="M169" s="58" t="str">
        <f aca="false">IF(AND(B169="",F169="",G169="",H169=""),"",IF(NOT(ISNUMBER(B169)),"⚠ ADD DATE / AGREGA FECHA",IF(J169="","⚠ ADD MILES / AGREGA MILLAS",IF(AND(ISNUMBER(F169),ISNUMBER(G169)),IF(G169&lt;F169,"⚠ CHECK ODOMETER / REVISA ODÓMETRO","✔ OK"),"✔ OK"))))</f>
        <v/>
      </c>
      <c r="N169" s="53"/>
      <c r="P169" s="51" t="n">
        <f aca="false">IF(ISNUMBER(L169),1,0)</f>
        <v>0</v>
      </c>
      <c r="Q169" s="51" t="n">
        <f aca="false">IF(P169=1,YEAR(B169),0)</f>
        <v>0</v>
      </c>
      <c r="R169" s="51" t="n">
        <f aca="false">IF(P169=1,YEAR(B169)*100+MONTH(B169),0)</f>
        <v>0</v>
      </c>
    </row>
    <row r="170" customFormat="false" ht="15" hidden="false" customHeight="false" outlineLevel="0" collapsed="false">
      <c r="B170" s="52"/>
      <c r="C170" s="53"/>
      <c r="D170" s="53"/>
      <c r="E170" s="53"/>
      <c r="F170" s="59"/>
      <c r="G170" s="59"/>
      <c r="H170" s="59"/>
      <c r="I170" s="57"/>
      <c r="J170" s="60" t="str">
        <f aca="false">IF(AND(ISNUMBER(F170),ISNUMBER(G170)),MAX(0,G170-F170),IF(ISNUMBER(H170),H170*IF(I170="Yes / Sí",2,1),""))</f>
        <v/>
      </c>
      <c r="K170" s="61" t="str">
        <f aca="false">IF(OR(J170="",NOT(ISNUMBER(B170))),"",IF(COUNTIF(Settings!$B$8:$B$17,"&lt;="&amp;B170)=0,Settings!$C$8,INDEX(Settings!$C$8:$C$17,COUNTIF(Settings!$B$8:$B$17,"&lt;="&amp;B170))))</f>
        <v/>
      </c>
      <c r="L170" s="56" t="str">
        <f aca="false">IF(K170="","",ROUND(J170*K170,2))</f>
        <v/>
      </c>
      <c r="M170" s="58" t="str">
        <f aca="false">IF(AND(B170="",F170="",G170="",H170=""),"",IF(NOT(ISNUMBER(B170)),"⚠ ADD DATE / AGREGA FECHA",IF(J170="","⚠ ADD MILES / AGREGA MILLAS",IF(AND(ISNUMBER(F170),ISNUMBER(G170)),IF(G170&lt;F170,"⚠ CHECK ODOMETER / REVISA ODÓMETRO","✔ OK"),"✔ OK"))))</f>
        <v/>
      </c>
      <c r="N170" s="53"/>
      <c r="P170" s="51" t="n">
        <f aca="false">IF(ISNUMBER(L170),1,0)</f>
        <v>0</v>
      </c>
      <c r="Q170" s="51" t="n">
        <f aca="false">IF(P170=1,YEAR(B170),0)</f>
        <v>0</v>
      </c>
      <c r="R170" s="51" t="n">
        <f aca="false">IF(P170=1,YEAR(B170)*100+MONTH(B170),0)</f>
        <v>0</v>
      </c>
    </row>
    <row r="171" customFormat="false" ht="15" hidden="false" customHeight="false" outlineLevel="0" collapsed="false">
      <c r="B171" s="52"/>
      <c r="C171" s="53"/>
      <c r="D171" s="53"/>
      <c r="E171" s="53"/>
      <c r="F171" s="59"/>
      <c r="G171" s="59"/>
      <c r="H171" s="59"/>
      <c r="I171" s="57"/>
      <c r="J171" s="60" t="str">
        <f aca="false">IF(AND(ISNUMBER(F171),ISNUMBER(G171)),MAX(0,G171-F171),IF(ISNUMBER(H171),H171*IF(I171="Yes / Sí",2,1),""))</f>
        <v/>
      </c>
      <c r="K171" s="61" t="str">
        <f aca="false">IF(OR(J171="",NOT(ISNUMBER(B171))),"",IF(COUNTIF(Settings!$B$8:$B$17,"&lt;="&amp;B171)=0,Settings!$C$8,INDEX(Settings!$C$8:$C$17,COUNTIF(Settings!$B$8:$B$17,"&lt;="&amp;B171))))</f>
        <v/>
      </c>
      <c r="L171" s="56" t="str">
        <f aca="false">IF(K171="","",ROUND(J171*K171,2))</f>
        <v/>
      </c>
      <c r="M171" s="58" t="str">
        <f aca="false">IF(AND(B171="",F171="",G171="",H171=""),"",IF(NOT(ISNUMBER(B171)),"⚠ ADD DATE / AGREGA FECHA",IF(J171="","⚠ ADD MILES / AGREGA MILLAS",IF(AND(ISNUMBER(F171),ISNUMBER(G171)),IF(G171&lt;F171,"⚠ CHECK ODOMETER / REVISA ODÓMETRO","✔ OK"),"✔ OK"))))</f>
        <v/>
      </c>
      <c r="N171" s="53"/>
      <c r="P171" s="51" t="n">
        <f aca="false">IF(ISNUMBER(L171),1,0)</f>
        <v>0</v>
      </c>
      <c r="Q171" s="51" t="n">
        <f aca="false">IF(P171=1,YEAR(B171),0)</f>
        <v>0</v>
      </c>
      <c r="R171" s="51" t="n">
        <f aca="false">IF(P171=1,YEAR(B171)*100+MONTH(B171),0)</f>
        <v>0</v>
      </c>
    </row>
    <row r="172" customFormat="false" ht="15" hidden="false" customHeight="false" outlineLevel="0" collapsed="false">
      <c r="B172" s="52"/>
      <c r="C172" s="53"/>
      <c r="D172" s="53"/>
      <c r="E172" s="53"/>
      <c r="F172" s="59"/>
      <c r="G172" s="59"/>
      <c r="H172" s="59"/>
      <c r="I172" s="57"/>
      <c r="J172" s="60" t="str">
        <f aca="false">IF(AND(ISNUMBER(F172),ISNUMBER(G172)),MAX(0,G172-F172),IF(ISNUMBER(H172),H172*IF(I172="Yes / Sí",2,1),""))</f>
        <v/>
      </c>
      <c r="K172" s="61" t="str">
        <f aca="false">IF(OR(J172="",NOT(ISNUMBER(B172))),"",IF(COUNTIF(Settings!$B$8:$B$17,"&lt;="&amp;B172)=0,Settings!$C$8,INDEX(Settings!$C$8:$C$17,COUNTIF(Settings!$B$8:$B$17,"&lt;="&amp;B172))))</f>
        <v/>
      </c>
      <c r="L172" s="56" t="str">
        <f aca="false">IF(K172="","",ROUND(J172*K172,2))</f>
        <v/>
      </c>
      <c r="M172" s="58" t="str">
        <f aca="false">IF(AND(B172="",F172="",G172="",H172=""),"",IF(NOT(ISNUMBER(B172)),"⚠ ADD DATE / AGREGA FECHA",IF(J172="","⚠ ADD MILES / AGREGA MILLAS",IF(AND(ISNUMBER(F172),ISNUMBER(G172)),IF(G172&lt;F172,"⚠ CHECK ODOMETER / REVISA ODÓMETRO","✔ OK"),"✔ OK"))))</f>
        <v/>
      </c>
      <c r="N172" s="53"/>
      <c r="P172" s="51" t="n">
        <f aca="false">IF(ISNUMBER(L172),1,0)</f>
        <v>0</v>
      </c>
      <c r="Q172" s="51" t="n">
        <f aca="false">IF(P172=1,YEAR(B172),0)</f>
        <v>0</v>
      </c>
      <c r="R172" s="51" t="n">
        <f aca="false">IF(P172=1,YEAR(B172)*100+MONTH(B172),0)</f>
        <v>0</v>
      </c>
    </row>
    <row r="173" customFormat="false" ht="15" hidden="false" customHeight="false" outlineLevel="0" collapsed="false">
      <c r="B173" s="52"/>
      <c r="C173" s="53"/>
      <c r="D173" s="53"/>
      <c r="E173" s="53"/>
      <c r="F173" s="59"/>
      <c r="G173" s="59"/>
      <c r="H173" s="59"/>
      <c r="I173" s="57"/>
      <c r="J173" s="60" t="str">
        <f aca="false">IF(AND(ISNUMBER(F173),ISNUMBER(G173)),MAX(0,G173-F173),IF(ISNUMBER(H173),H173*IF(I173="Yes / Sí",2,1),""))</f>
        <v/>
      </c>
      <c r="K173" s="61" t="str">
        <f aca="false">IF(OR(J173="",NOT(ISNUMBER(B173))),"",IF(COUNTIF(Settings!$B$8:$B$17,"&lt;="&amp;B173)=0,Settings!$C$8,INDEX(Settings!$C$8:$C$17,COUNTIF(Settings!$B$8:$B$17,"&lt;="&amp;B173))))</f>
        <v/>
      </c>
      <c r="L173" s="56" t="str">
        <f aca="false">IF(K173="","",ROUND(J173*K173,2))</f>
        <v/>
      </c>
      <c r="M173" s="58" t="str">
        <f aca="false">IF(AND(B173="",F173="",G173="",H173=""),"",IF(NOT(ISNUMBER(B173)),"⚠ ADD DATE / AGREGA FECHA",IF(J173="","⚠ ADD MILES / AGREGA MILLAS",IF(AND(ISNUMBER(F173),ISNUMBER(G173)),IF(G173&lt;F173,"⚠ CHECK ODOMETER / REVISA ODÓMETRO","✔ OK"),"✔ OK"))))</f>
        <v/>
      </c>
      <c r="N173" s="53"/>
      <c r="P173" s="51" t="n">
        <f aca="false">IF(ISNUMBER(L173),1,0)</f>
        <v>0</v>
      </c>
      <c r="Q173" s="51" t="n">
        <f aca="false">IF(P173=1,YEAR(B173),0)</f>
        <v>0</v>
      </c>
      <c r="R173" s="51" t="n">
        <f aca="false">IF(P173=1,YEAR(B173)*100+MONTH(B173),0)</f>
        <v>0</v>
      </c>
    </row>
    <row r="174" customFormat="false" ht="15" hidden="false" customHeight="false" outlineLevel="0" collapsed="false">
      <c r="B174" s="52"/>
      <c r="C174" s="53"/>
      <c r="D174" s="53"/>
      <c r="E174" s="53"/>
      <c r="F174" s="59"/>
      <c r="G174" s="59"/>
      <c r="H174" s="59"/>
      <c r="I174" s="57"/>
      <c r="J174" s="60" t="str">
        <f aca="false">IF(AND(ISNUMBER(F174),ISNUMBER(G174)),MAX(0,G174-F174),IF(ISNUMBER(H174),H174*IF(I174="Yes / Sí",2,1),""))</f>
        <v/>
      </c>
      <c r="K174" s="61" t="str">
        <f aca="false">IF(OR(J174="",NOT(ISNUMBER(B174))),"",IF(COUNTIF(Settings!$B$8:$B$17,"&lt;="&amp;B174)=0,Settings!$C$8,INDEX(Settings!$C$8:$C$17,COUNTIF(Settings!$B$8:$B$17,"&lt;="&amp;B174))))</f>
        <v/>
      </c>
      <c r="L174" s="56" t="str">
        <f aca="false">IF(K174="","",ROUND(J174*K174,2))</f>
        <v/>
      </c>
      <c r="M174" s="58" t="str">
        <f aca="false">IF(AND(B174="",F174="",G174="",H174=""),"",IF(NOT(ISNUMBER(B174)),"⚠ ADD DATE / AGREGA FECHA",IF(J174="","⚠ ADD MILES / AGREGA MILLAS",IF(AND(ISNUMBER(F174),ISNUMBER(G174)),IF(G174&lt;F174,"⚠ CHECK ODOMETER / REVISA ODÓMETRO","✔ OK"),"✔ OK"))))</f>
        <v/>
      </c>
      <c r="N174" s="53"/>
      <c r="P174" s="51" t="n">
        <f aca="false">IF(ISNUMBER(L174),1,0)</f>
        <v>0</v>
      </c>
      <c r="Q174" s="51" t="n">
        <f aca="false">IF(P174=1,YEAR(B174),0)</f>
        <v>0</v>
      </c>
      <c r="R174" s="51" t="n">
        <f aca="false">IF(P174=1,YEAR(B174)*100+MONTH(B174),0)</f>
        <v>0</v>
      </c>
    </row>
    <row r="175" customFormat="false" ht="15" hidden="false" customHeight="false" outlineLevel="0" collapsed="false">
      <c r="B175" s="52"/>
      <c r="C175" s="53"/>
      <c r="D175" s="53"/>
      <c r="E175" s="53"/>
      <c r="F175" s="59"/>
      <c r="G175" s="59"/>
      <c r="H175" s="59"/>
      <c r="I175" s="57"/>
      <c r="J175" s="60" t="str">
        <f aca="false">IF(AND(ISNUMBER(F175),ISNUMBER(G175)),MAX(0,G175-F175),IF(ISNUMBER(H175),H175*IF(I175="Yes / Sí",2,1),""))</f>
        <v/>
      </c>
      <c r="K175" s="61" t="str">
        <f aca="false">IF(OR(J175="",NOT(ISNUMBER(B175))),"",IF(COUNTIF(Settings!$B$8:$B$17,"&lt;="&amp;B175)=0,Settings!$C$8,INDEX(Settings!$C$8:$C$17,COUNTIF(Settings!$B$8:$B$17,"&lt;="&amp;B175))))</f>
        <v/>
      </c>
      <c r="L175" s="56" t="str">
        <f aca="false">IF(K175="","",ROUND(J175*K175,2))</f>
        <v/>
      </c>
      <c r="M175" s="58" t="str">
        <f aca="false">IF(AND(B175="",F175="",G175="",H175=""),"",IF(NOT(ISNUMBER(B175)),"⚠ ADD DATE / AGREGA FECHA",IF(J175="","⚠ ADD MILES / AGREGA MILLAS",IF(AND(ISNUMBER(F175),ISNUMBER(G175)),IF(G175&lt;F175,"⚠ CHECK ODOMETER / REVISA ODÓMETRO","✔ OK"),"✔ OK"))))</f>
        <v/>
      </c>
      <c r="N175" s="53"/>
      <c r="P175" s="51" t="n">
        <f aca="false">IF(ISNUMBER(L175),1,0)</f>
        <v>0</v>
      </c>
      <c r="Q175" s="51" t="n">
        <f aca="false">IF(P175=1,YEAR(B175),0)</f>
        <v>0</v>
      </c>
      <c r="R175" s="51" t="n">
        <f aca="false">IF(P175=1,YEAR(B175)*100+MONTH(B175),0)</f>
        <v>0</v>
      </c>
    </row>
    <row r="176" customFormat="false" ht="15" hidden="false" customHeight="false" outlineLevel="0" collapsed="false">
      <c r="B176" s="52"/>
      <c r="C176" s="53"/>
      <c r="D176" s="53"/>
      <c r="E176" s="53"/>
      <c r="F176" s="59"/>
      <c r="G176" s="59"/>
      <c r="H176" s="59"/>
      <c r="I176" s="57"/>
      <c r="J176" s="60" t="str">
        <f aca="false">IF(AND(ISNUMBER(F176),ISNUMBER(G176)),MAX(0,G176-F176),IF(ISNUMBER(H176),H176*IF(I176="Yes / Sí",2,1),""))</f>
        <v/>
      </c>
      <c r="K176" s="61" t="str">
        <f aca="false">IF(OR(J176="",NOT(ISNUMBER(B176))),"",IF(COUNTIF(Settings!$B$8:$B$17,"&lt;="&amp;B176)=0,Settings!$C$8,INDEX(Settings!$C$8:$C$17,COUNTIF(Settings!$B$8:$B$17,"&lt;="&amp;B176))))</f>
        <v/>
      </c>
      <c r="L176" s="56" t="str">
        <f aca="false">IF(K176="","",ROUND(J176*K176,2))</f>
        <v/>
      </c>
      <c r="M176" s="58" t="str">
        <f aca="false">IF(AND(B176="",F176="",G176="",H176=""),"",IF(NOT(ISNUMBER(B176)),"⚠ ADD DATE / AGREGA FECHA",IF(J176="","⚠ ADD MILES / AGREGA MILLAS",IF(AND(ISNUMBER(F176),ISNUMBER(G176)),IF(G176&lt;F176,"⚠ CHECK ODOMETER / REVISA ODÓMETRO","✔ OK"),"✔ OK"))))</f>
        <v/>
      </c>
      <c r="N176" s="53"/>
      <c r="P176" s="51" t="n">
        <f aca="false">IF(ISNUMBER(L176),1,0)</f>
        <v>0</v>
      </c>
      <c r="Q176" s="51" t="n">
        <f aca="false">IF(P176=1,YEAR(B176),0)</f>
        <v>0</v>
      </c>
      <c r="R176" s="51" t="n">
        <f aca="false">IF(P176=1,YEAR(B176)*100+MONTH(B176),0)</f>
        <v>0</v>
      </c>
    </row>
    <row r="177" customFormat="false" ht="15" hidden="false" customHeight="false" outlineLevel="0" collapsed="false">
      <c r="B177" s="52"/>
      <c r="C177" s="53"/>
      <c r="D177" s="53"/>
      <c r="E177" s="53"/>
      <c r="F177" s="59"/>
      <c r="G177" s="59"/>
      <c r="H177" s="59"/>
      <c r="I177" s="57"/>
      <c r="J177" s="60" t="str">
        <f aca="false">IF(AND(ISNUMBER(F177),ISNUMBER(G177)),MAX(0,G177-F177),IF(ISNUMBER(H177),H177*IF(I177="Yes / Sí",2,1),""))</f>
        <v/>
      </c>
      <c r="K177" s="61" t="str">
        <f aca="false">IF(OR(J177="",NOT(ISNUMBER(B177))),"",IF(COUNTIF(Settings!$B$8:$B$17,"&lt;="&amp;B177)=0,Settings!$C$8,INDEX(Settings!$C$8:$C$17,COUNTIF(Settings!$B$8:$B$17,"&lt;="&amp;B177))))</f>
        <v/>
      </c>
      <c r="L177" s="56" t="str">
        <f aca="false">IF(K177="","",ROUND(J177*K177,2))</f>
        <v/>
      </c>
      <c r="M177" s="58" t="str">
        <f aca="false">IF(AND(B177="",F177="",G177="",H177=""),"",IF(NOT(ISNUMBER(B177)),"⚠ ADD DATE / AGREGA FECHA",IF(J177="","⚠ ADD MILES / AGREGA MILLAS",IF(AND(ISNUMBER(F177),ISNUMBER(G177)),IF(G177&lt;F177,"⚠ CHECK ODOMETER / REVISA ODÓMETRO","✔ OK"),"✔ OK"))))</f>
        <v/>
      </c>
      <c r="N177" s="53"/>
      <c r="P177" s="51" t="n">
        <f aca="false">IF(ISNUMBER(L177),1,0)</f>
        <v>0</v>
      </c>
      <c r="Q177" s="51" t="n">
        <f aca="false">IF(P177=1,YEAR(B177),0)</f>
        <v>0</v>
      </c>
      <c r="R177" s="51" t="n">
        <f aca="false">IF(P177=1,YEAR(B177)*100+MONTH(B177),0)</f>
        <v>0</v>
      </c>
    </row>
    <row r="178" customFormat="false" ht="15" hidden="false" customHeight="false" outlineLevel="0" collapsed="false">
      <c r="B178" s="52"/>
      <c r="C178" s="53"/>
      <c r="D178" s="53"/>
      <c r="E178" s="53"/>
      <c r="F178" s="59"/>
      <c r="G178" s="59"/>
      <c r="H178" s="59"/>
      <c r="I178" s="57"/>
      <c r="J178" s="60" t="str">
        <f aca="false">IF(AND(ISNUMBER(F178),ISNUMBER(G178)),MAX(0,G178-F178),IF(ISNUMBER(H178),H178*IF(I178="Yes / Sí",2,1),""))</f>
        <v/>
      </c>
      <c r="K178" s="61" t="str">
        <f aca="false">IF(OR(J178="",NOT(ISNUMBER(B178))),"",IF(COUNTIF(Settings!$B$8:$B$17,"&lt;="&amp;B178)=0,Settings!$C$8,INDEX(Settings!$C$8:$C$17,COUNTIF(Settings!$B$8:$B$17,"&lt;="&amp;B178))))</f>
        <v/>
      </c>
      <c r="L178" s="56" t="str">
        <f aca="false">IF(K178="","",ROUND(J178*K178,2))</f>
        <v/>
      </c>
      <c r="M178" s="58" t="str">
        <f aca="false">IF(AND(B178="",F178="",G178="",H178=""),"",IF(NOT(ISNUMBER(B178)),"⚠ ADD DATE / AGREGA FECHA",IF(J178="","⚠ ADD MILES / AGREGA MILLAS",IF(AND(ISNUMBER(F178),ISNUMBER(G178)),IF(G178&lt;F178,"⚠ CHECK ODOMETER / REVISA ODÓMETRO","✔ OK"),"✔ OK"))))</f>
        <v/>
      </c>
      <c r="N178" s="53"/>
      <c r="P178" s="51" t="n">
        <f aca="false">IF(ISNUMBER(L178),1,0)</f>
        <v>0</v>
      </c>
      <c r="Q178" s="51" t="n">
        <f aca="false">IF(P178=1,YEAR(B178),0)</f>
        <v>0</v>
      </c>
      <c r="R178" s="51" t="n">
        <f aca="false">IF(P178=1,YEAR(B178)*100+MONTH(B178),0)</f>
        <v>0</v>
      </c>
    </row>
    <row r="179" customFormat="false" ht="15" hidden="false" customHeight="false" outlineLevel="0" collapsed="false">
      <c r="B179" s="52"/>
      <c r="C179" s="53"/>
      <c r="D179" s="53"/>
      <c r="E179" s="53"/>
      <c r="F179" s="59"/>
      <c r="G179" s="59"/>
      <c r="H179" s="59"/>
      <c r="I179" s="57"/>
      <c r="J179" s="60" t="str">
        <f aca="false">IF(AND(ISNUMBER(F179),ISNUMBER(G179)),MAX(0,G179-F179),IF(ISNUMBER(H179),H179*IF(I179="Yes / Sí",2,1),""))</f>
        <v/>
      </c>
      <c r="K179" s="61" t="str">
        <f aca="false">IF(OR(J179="",NOT(ISNUMBER(B179))),"",IF(COUNTIF(Settings!$B$8:$B$17,"&lt;="&amp;B179)=0,Settings!$C$8,INDEX(Settings!$C$8:$C$17,COUNTIF(Settings!$B$8:$B$17,"&lt;="&amp;B179))))</f>
        <v/>
      </c>
      <c r="L179" s="56" t="str">
        <f aca="false">IF(K179="","",ROUND(J179*K179,2))</f>
        <v/>
      </c>
      <c r="M179" s="58" t="str">
        <f aca="false">IF(AND(B179="",F179="",G179="",H179=""),"",IF(NOT(ISNUMBER(B179)),"⚠ ADD DATE / AGREGA FECHA",IF(J179="","⚠ ADD MILES / AGREGA MILLAS",IF(AND(ISNUMBER(F179),ISNUMBER(G179)),IF(G179&lt;F179,"⚠ CHECK ODOMETER / REVISA ODÓMETRO","✔ OK"),"✔ OK"))))</f>
        <v/>
      </c>
      <c r="N179" s="53"/>
      <c r="P179" s="51" t="n">
        <f aca="false">IF(ISNUMBER(L179),1,0)</f>
        <v>0</v>
      </c>
      <c r="Q179" s="51" t="n">
        <f aca="false">IF(P179=1,YEAR(B179),0)</f>
        <v>0</v>
      </c>
      <c r="R179" s="51" t="n">
        <f aca="false">IF(P179=1,YEAR(B179)*100+MONTH(B179),0)</f>
        <v>0</v>
      </c>
    </row>
    <row r="180" customFormat="false" ht="15" hidden="false" customHeight="false" outlineLevel="0" collapsed="false">
      <c r="B180" s="52"/>
      <c r="C180" s="53"/>
      <c r="D180" s="53"/>
      <c r="E180" s="53"/>
      <c r="F180" s="59"/>
      <c r="G180" s="59"/>
      <c r="H180" s="59"/>
      <c r="I180" s="57"/>
      <c r="J180" s="60" t="str">
        <f aca="false">IF(AND(ISNUMBER(F180),ISNUMBER(G180)),MAX(0,G180-F180),IF(ISNUMBER(H180),H180*IF(I180="Yes / Sí",2,1),""))</f>
        <v/>
      </c>
      <c r="K180" s="61" t="str">
        <f aca="false">IF(OR(J180="",NOT(ISNUMBER(B180))),"",IF(COUNTIF(Settings!$B$8:$B$17,"&lt;="&amp;B180)=0,Settings!$C$8,INDEX(Settings!$C$8:$C$17,COUNTIF(Settings!$B$8:$B$17,"&lt;="&amp;B180))))</f>
        <v/>
      </c>
      <c r="L180" s="56" t="str">
        <f aca="false">IF(K180="","",ROUND(J180*K180,2))</f>
        <v/>
      </c>
      <c r="M180" s="58" t="str">
        <f aca="false">IF(AND(B180="",F180="",G180="",H180=""),"",IF(NOT(ISNUMBER(B180)),"⚠ ADD DATE / AGREGA FECHA",IF(J180="","⚠ ADD MILES / AGREGA MILLAS",IF(AND(ISNUMBER(F180),ISNUMBER(G180)),IF(G180&lt;F180,"⚠ CHECK ODOMETER / REVISA ODÓMETRO","✔ OK"),"✔ OK"))))</f>
        <v/>
      </c>
      <c r="N180" s="53"/>
      <c r="P180" s="51" t="n">
        <f aca="false">IF(ISNUMBER(L180),1,0)</f>
        <v>0</v>
      </c>
      <c r="Q180" s="51" t="n">
        <f aca="false">IF(P180=1,YEAR(B180),0)</f>
        <v>0</v>
      </c>
      <c r="R180" s="51" t="n">
        <f aca="false">IF(P180=1,YEAR(B180)*100+MONTH(B180),0)</f>
        <v>0</v>
      </c>
    </row>
    <row r="181" customFormat="false" ht="15" hidden="false" customHeight="false" outlineLevel="0" collapsed="false">
      <c r="B181" s="52"/>
      <c r="C181" s="53"/>
      <c r="D181" s="53"/>
      <c r="E181" s="53"/>
      <c r="F181" s="59"/>
      <c r="G181" s="59"/>
      <c r="H181" s="59"/>
      <c r="I181" s="57"/>
      <c r="J181" s="60" t="str">
        <f aca="false">IF(AND(ISNUMBER(F181),ISNUMBER(G181)),MAX(0,G181-F181),IF(ISNUMBER(H181),H181*IF(I181="Yes / Sí",2,1),""))</f>
        <v/>
      </c>
      <c r="K181" s="61" t="str">
        <f aca="false">IF(OR(J181="",NOT(ISNUMBER(B181))),"",IF(COUNTIF(Settings!$B$8:$B$17,"&lt;="&amp;B181)=0,Settings!$C$8,INDEX(Settings!$C$8:$C$17,COUNTIF(Settings!$B$8:$B$17,"&lt;="&amp;B181))))</f>
        <v/>
      </c>
      <c r="L181" s="56" t="str">
        <f aca="false">IF(K181="","",ROUND(J181*K181,2))</f>
        <v/>
      </c>
      <c r="M181" s="58" t="str">
        <f aca="false">IF(AND(B181="",F181="",G181="",H181=""),"",IF(NOT(ISNUMBER(B181)),"⚠ ADD DATE / AGREGA FECHA",IF(J181="","⚠ ADD MILES / AGREGA MILLAS",IF(AND(ISNUMBER(F181),ISNUMBER(G181)),IF(G181&lt;F181,"⚠ CHECK ODOMETER / REVISA ODÓMETRO","✔ OK"),"✔ OK"))))</f>
        <v/>
      </c>
      <c r="N181" s="53"/>
      <c r="P181" s="51" t="n">
        <f aca="false">IF(ISNUMBER(L181),1,0)</f>
        <v>0</v>
      </c>
      <c r="Q181" s="51" t="n">
        <f aca="false">IF(P181=1,YEAR(B181),0)</f>
        <v>0</v>
      </c>
      <c r="R181" s="51" t="n">
        <f aca="false">IF(P181=1,YEAR(B181)*100+MONTH(B181),0)</f>
        <v>0</v>
      </c>
    </row>
    <row r="182" customFormat="false" ht="15" hidden="false" customHeight="false" outlineLevel="0" collapsed="false">
      <c r="B182" s="52"/>
      <c r="C182" s="53"/>
      <c r="D182" s="53"/>
      <c r="E182" s="53"/>
      <c r="F182" s="59"/>
      <c r="G182" s="59"/>
      <c r="H182" s="59"/>
      <c r="I182" s="57"/>
      <c r="J182" s="60" t="str">
        <f aca="false">IF(AND(ISNUMBER(F182),ISNUMBER(G182)),MAX(0,G182-F182),IF(ISNUMBER(H182),H182*IF(I182="Yes / Sí",2,1),""))</f>
        <v/>
      </c>
      <c r="K182" s="61" t="str">
        <f aca="false">IF(OR(J182="",NOT(ISNUMBER(B182))),"",IF(COUNTIF(Settings!$B$8:$B$17,"&lt;="&amp;B182)=0,Settings!$C$8,INDEX(Settings!$C$8:$C$17,COUNTIF(Settings!$B$8:$B$17,"&lt;="&amp;B182))))</f>
        <v/>
      </c>
      <c r="L182" s="56" t="str">
        <f aca="false">IF(K182="","",ROUND(J182*K182,2))</f>
        <v/>
      </c>
      <c r="M182" s="58" t="str">
        <f aca="false">IF(AND(B182="",F182="",G182="",H182=""),"",IF(NOT(ISNUMBER(B182)),"⚠ ADD DATE / AGREGA FECHA",IF(J182="","⚠ ADD MILES / AGREGA MILLAS",IF(AND(ISNUMBER(F182),ISNUMBER(G182)),IF(G182&lt;F182,"⚠ CHECK ODOMETER / REVISA ODÓMETRO","✔ OK"),"✔ OK"))))</f>
        <v/>
      </c>
      <c r="N182" s="53"/>
      <c r="P182" s="51" t="n">
        <f aca="false">IF(ISNUMBER(L182),1,0)</f>
        <v>0</v>
      </c>
      <c r="Q182" s="51" t="n">
        <f aca="false">IF(P182=1,YEAR(B182),0)</f>
        <v>0</v>
      </c>
      <c r="R182" s="51" t="n">
        <f aca="false">IF(P182=1,YEAR(B182)*100+MONTH(B182),0)</f>
        <v>0</v>
      </c>
    </row>
    <row r="183" customFormat="false" ht="15" hidden="false" customHeight="false" outlineLevel="0" collapsed="false">
      <c r="B183" s="52"/>
      <c r="C183" s="53"/>
      <c r="D183" s="53"/>
      <c r="E183" s="53"/>
      <c r="F183" s="59"/>
      <c r="G183" s="59"/>
      <c r="H183" s="59"/>
      <c r="I183" s="57"/>
      <c r="J183" s="60" t="str">
        <f aca="false">IF(AND(ISNUMBER(F183),ISNUMBER(G183)),MAX(0,G183-F183),IF(ISNUMBER(H183),H183*IF(I183="Yes / Sí",2,1),""))</f>
        <v/>
      </c>
      <c r="K183" s="61" t="str">
        <f aca="false">IF(OR(J183="",NOT(ISNUMBER(B183))),"",IF(COUNTIF(Settings!$B$8:$B$17,"&lt;="&amp;B183)=0,Settings!$C$8,INDEX(Settings!$C$8:$C$17,COUNTIF(Settings!$B$8:$B$17,"&lt;="&amp;B183))))</f>
        <v/>
      </c>
      <c r="L183" s="56" t="str">
        <f aca="false">IF(K183="","",ROUND(J183*K183,2))</f>
        <v/>
      </c>
      <c r="M183" s="58" t="str">
        <f aca="false">IF(AND(B183="",F183="",G183="",H183=""),"",IF(NOT(ISNUMBER(B183)),"⚠ ADD DATE / AGREGA FECHA",IF(J183="","⚠ ADD MILES / AGREGA MILLAS",IF(AND(ISNUMBER(F183),ISNUMBER(G183)),IF(G183&lt;F183,"⚠ CHECK ODOMETER / REVISA ODÓMETRO","✔ OK"),"✔ OK"))))</f>
        <v/>
      </c>
      <c r="N183" s="53"/>
      <c r="P183" s="51" t="n">
        <f aca="false">IF(ISNUMBER(L183),1,0)</f>
        <v>0</v>
      </c>
      <c r="Q183" s="51" t="n">
        <f aca="false">IF(P183=1,YEAR(B183),0)</f>
        <v>0</v>
      </c>
      <c r="R183" s="51" t="n">
        <f aca="false">IF(P183=1,YEAR(B183)*100+MONTH(B183),0)</f>
        <v>0</v>
      </c>
    </row>
    <row r="184" customFormat="false" ht="15" hidden="false" customHeight="false" outlineLevel="0" collapsed="false">
      <c r="B184" s="52"/>
      <c r="C184" s="53"/>
      <c r="D184" s="53"/>
      <c r="E184" s="53"/>
      <c r="F184" s="59"/>
      <c r="G184" s="59"/>
      <c r="H184" s="59"/>
      <c r="I184" s="57"/>
      <c r="J184" s="60" t="str">
        <f aca="false">IF(AND(ISNUMBER(F184),ISNUMBER(G184)),MAX(0,G184-F184),IF(ISNUMBER(H184),H184*IF(I184="Yes / Sí",2,1),""))</f>
        <v/>
      </c>
      <c r="K184" s="61" t="str">
        <f aca="false">IF(OR(J184="",NOT(ISNUMBER(B184))),"",IF(COUNTIF(Settings!$B$8:$B$17,"&lt;="&amp;B184)=0,Settings!$C$8,INDEX(Settings!$C$8:$C$17,COUNTIF(Settings!$B$8:$B$17,"&lt;="&amp;B184))))</f>
        <v/>
      </c>
      <c r="L184" s="56" t="str">
        <f aca="false">IF(K184="","",ROUND(J184*K184,2))</f>
        <v/>
      </c>
      <c r="M184" s="58" t="str">
        <f aca="false">IF(AND(B184="",F184="",G184="",H184=""),"",IF(NOT(ISNUMBER(B184)),"⚠ ADD DATE / AGREGA FECHA",IF(J184="","⚠ ADD MILES / AGREGA MILLAS",IF(AND(ISNUMBER(F184),ISNUMBER(G184)),IF(G184&lt;F184,"⚠ CHECK ODOMETER / REVISA ODÓMETRO","✔ OK"),"✔ OK"))))</f>
        <v/>
      </c>
      <c r="N184" s="53"/>
      <c r="P184" s="51" t="n">
        <f aca="false">IF(ISNUMBER(L184),1,0)</f>
        <v>0</v>
      </c>
      <c r="Q184" s="51" t="n">
        <f aca="false">IF(P184=1,YEAR(B184),0)</f>
        <v>0</v>
      </c>
      <c r="R184" s="51" t="n">
        <f aca="false">IF(P184=1,YEAR(B184)*100+MONTH(B184),0)</f>
        <v>0</v>
      </c>
    </row>
    <row r="185" customFormat="false" ht="15" hidden="false" customHeight="false" outlineLevel="0" collapsed="false">
      <c r="B185" s="52"/>
      <c r="C185" s="53"/>
      <c r="D185" s="53"/>
      <c r="E185" s="53"/>
      <c r="F185" s="59"/>
      <c r="G185" s="59"/>
      <c r="H185" s="59"/>
      <c r="I185" s="57"/>
      <c r="J185" s="60" t="str">
        <f aca="false">IF(AND(ISNUMBER(F185),ISNUMBER(G185)),MAX(0,G185-F185),IF(ISNUMBER(H185),H185*IF(I185="Yes / Sí",2,1),""))</f>
        <v/>
      </c>
      <c r="K185" s="61" t="str">
        <f aca="false">IF(OR(J185="",NOT(ISNUMBER(B185))),"",IF(COUNTIF(Settings!$B$8:$B$17,"&lt;="&amp;B185)=0,Settings!$C$8,INDEX(Settings!$C$8:$C$17,COUNTIF(Settings!$B$8:$B$17,"&lt;="&amp;B185))))</f>
        <v/>
      </c>
      <c r="L185" s="56" t="str">
        <f aca="false">IF(K185="","",ROUND(J185*K185,2))</f>
        <v/>
      </c>
      <c r="M185" s="58" t="str">
        <f aca="false">IF(AND(B185="",F185="",G185="",H185=""),"",IF(NOT(ISNUMBER(B185)),"⚠ ADD DATE / AGREGA FECHA",IF(J185="","⚠ ADD MILES / AGREGA MILLAS",IF(AND(ISNUMBER(F185),ISNUMBER(G185)),IF(G185&lt;F185,"⚠ CHECK ODOMETER / REVISA ODÓMETRO","✔ OK"),"✔ OK"))))</f>
        <v/>
      </c>
      <c r="N185" s="53"/>
      <c r="P185" s="51" t="n">
        <f aca="false">IF(ISNUMBER(L185),1,0)</f>
        <v>0</v>
      </c>
      <c r="Q185" s="51" t="n">
        <f aca="false">IF(P185=1,YEAR(B185),0)</f>
        <v>0</v>
      </c>
      <c r="R185" s="51" t="n">
        <f aca="false">IF(P185=1,YEAR(B185)*100+MONTH(B185),0)</f>
        <v>0</v>
      </c>
    </row>
    <row r="186" customFormat="false" ht="15" hidden="false" customHeight="false" outlineLevel="0" collapsed="false">
      <c r="B186" s="52"/>
      <c r="C186" s="53"/>
      <c r="D186" s="53"/>
      <c r="E186" s="53"/>
      <c r="F186" s="59"/>
      <c r="G186" s="59"/>
      <c r="H186" s="59"/>
      <c r="I186" s="57"/>
      <c r="J186" s="60" t="str">
        <f aca="false">IF(AND(ISNUMBER(F186),ISNUMBER(G186)),MAX(0,G186-F186),IF(ISNUMBER(H186),H186*IF(I186="Yes / Sí",2,1),""))</f>
        <v/>
      </c>
      <c r="K186" s="61" t="str">
        <f aca="false">IF(OR(J186="",NOT(ISNUMBER(B186))),"",IF(COUNTIF(Settings!$B$8:$B$17,"&lt;="&amp;B186)=0,Settings!$C$8,INDEX(Settings!$C$8:$C$17,COUNTIF(Settings!$B$8:$B$17,"&lt;="&amp;B186))))</f>
        <v/>
      </c>
      <c r="L186" s="56" t="str">
        <f aca="false">IF(K186="","",ROUND(J186*K186,2))</f>
        <v/>
      </c>
      <c r="M186" s="58" t="str">
        <f aca="false">IF(AND(B186="",F186="",G186="",H186=""),"",IF(NOT(ISNUMBER(B186)),"⚠ ADD DATE / AGREGA FECHA",IF(J186="","⚠ ADD MILES / AGREGA MILLAS",IF(AND(ISNUMBER(F186),ISNUMBER(G186)),IF(G186&lt;F186,"⚠ CHECK ODOMETER / REVISA ODÓMETRO","✔ OK"),"✔ OK"))))</f>
        <v/>
      </c>
      <c r="N186" s="53"/>
      <c r="P186" s="51" t="n">
        <f aca="false">IF(ISNUMBER(L186),1,0)</f>
        <v>0</v>
      </c>
      <c r="Q186" s="51" t="n">
        <f aca="false">IF(P186=1,YEAR(B186),0)</f>
        <v>0</v>
      </c>
      <c r="R186" s="51" t="n">
        <f aca="false">IF(P186=1,YEAR(B186)*100+MONTH(B186),0)</f>
        <v>0</v>
      </c>
    </row>
    <row r="187" customFormat="false" ht="15" hidden="false" customHeight="false" outlineLevel="0" collapsed="false">
      <c r="B187" s="52"/>
      <c r="C187" s="53"/>
      <c r="D187" s="53"/>
      <c r="E187" s="53"/>
      <c r="F187" s="59"/>
      <c r="G187" s="59"/>
      <c r="H187" s="59"/>
      <c r="I187" s="57"/>
      <c r="J187" s="60" t="str">
        <f aca="false">IF(AND(ISNUMBER(F187),ISNUMBER(G187)),MAX(0,G187-F187),IF(ISNUMBER(H187),H187*IF(I187="Yes / Sí",2,1),""))</f>
        <v/>
      </c>
      <c r="K187" s="61" t="str">
        <f aca="false">IF(OR(J187="",NOT(ISNUMBER(B187))),"",IF(COUNTIF(Settings!$B$8:$B$17,"&lt;="&amp;B187)=0,Settings!$C$8,INDEX(Settings!$C$8:$C$17,COUNTIF(Settings!$B$8:$B$17,"&lt;="&amp;B187))))</f>
        <v/>
      </c>
      <c r="L187" s="56" t="str">
        <f aca="false">IF(K187="","",ROUND(J187*K187,2))</f>
        <v/>
      </c>
      <c r="M187" s="58" t="str">
        <f aca="false">IF(AND(B187="",F187="",G187="",H187=""),"",IF(NOT(ISNUMBER(B187)),"⚠ ADD DATE / AGREGA FECHA",IF(J187="","⚠ ADD MILES / AGREGA MILLAS",IF(AND(ISNUMBER(F187),ISNUMBER(G187)),IF(G187&lt;F187,"⚠ CHECK ODOMETER / REVISA ODÓMETRO","✔ OK"),"✔ OK"))))</f>
        <v/>
      </c>
      <c r="N187" s="53"/>
      <c r="P187" s="51" t="n">
        <f aca="false">IF(ISNUMBER(L187),1,0)</f>
        <v>0</v>
      </c>
      <c r="Q187" s="51" t="n">
        <f aca="false">IF(P187=1,YEAR(B187),0)</f>
        <v>0</v>
      </c>
      <c r="R187" s="51" t="n">
        <f aca="false">IF(P187=1,YEAR(B187)*100+MONTH(B187),0)</f>
        <v>0</v>
      </c>
    </row>
    <row r="188" customFormat="false" ht="15" hidden="false" customHeight="false" outlineLevel="0" collapsed="false">
      <c r="B188" s="52"/>
      <c r="C188" s="53"/>
      <c r="D188" s="53"/>
      <c r="E188" s="53"/>
      <c r="F188" s="59"/>
      <c r="G188" s="59"/>
      <c r="H188" s="59"/>
      <c r="I188" s="57"/>
      <c r="J188" s="60" t="str">
        <f aca="false">IF(AND(ISNUMBER(F188),ISNUMBER(G188)),MAX(0,G188-F188),IF(ISNUMBER(H188),H188*IF(I188="Yes / Sí",2,1),""))</f>
        <v/>
      </c>
      <c r="K188" s="61" t="str">
        <f aca="false">IF(OR(J188="",NOT(ISNUMBER(B188))),"",IF(COUNTIF(Settings!$B$8:$B$17,"&lt;="&amp;B188)=0,Settings!$C$8,INDEX(Settings!$C$8:$C$17,COUNTIF(Settings!$B$8:$B$17,"&lt;="&amp;B188))))</f>
        <v/>
      </c>
      <c r="L188" s="56" t="str">
        <f aca="false">IF(K188="","",ROUND(J188*K188,2))</f>
        <v/>
      </c>
      <c r="M188" s="58" t="str">
        <f aca="false">IF(AND(B188="",F188="",G188="",H188=""),"",IF(NOT(ISNUMBER(B188)),"⚠ ADD DATE / AGREGA FECHA",IF(J188="","⚠ ADD MILES / AGREGA MILLAS",IF(AND(ISNUMBER(F188),ISNUMBER(G188)),IF(G188&lt;F188,"⚠ CHECK ODOMETER / REVISA ODÓMETRO","✔ OK"),"✔ OK"))))</f>
        <v/>
      </c>
      <c r="N188" s="53"/>
      <c r="P188" s="51" t="n">
        <f aca="false">IF(ISNUMBER(L188),1,0)</f>
        <v>0</v>
      </c>
      <c r="Q188" s="51" t="n">
        <f aca="false">IF(P188=1,YEAR(B188),0)</f>
        <v>0</v>
      </c>
      <c r="R188" s="51" t="n">
        <f aca="false">IF(P188=1,YEAR(B188)*100+MONTH(B188),0)</f>
        <v>0</v>
      </c>
    </row>
    <row r="189" customFormat="false" ht="15" hidden="false" customHeight="false" outlineLevel="0" collapsed="false">
      <c r="B189" s="52"/>
      <c r="C189" s="53"/>
      <c r="D189" s="53"/>
      <c r="E189" s="53"/>
      <c r="F189" s="59"/>
      <c r="G189" s="59"/>
      <c r="H189" s="59"/>
      <c r="I189" s="57"/>
      <c r="J189" s="60" t="str">
        <f aca="false">IF(AND(ISNUMBER(F189),ISNUMBER(G189)),MAX(0,G189-F189),IF(ISNUMBER(H189),H189*IF(I189="Yes / Sí",2,1),""))</f>
        <v/>
      </c>
      <c r="K189" s="61" t="str">
        <f aca="false">IF(OR(J189="",NOT(ISNUMBER(B189))),"",IF(COUNTIF(Settings!$B$8:$B$17,"&lt;="&amp;B189)=0,Settings!$C$8,INDEX(Settings!$C$8:$C$17,COUNTIF(Settings!$B$8:$B$17,"&lt;="&amp;B189))))</f>
        <v/>
      </c>
      <c r="L189" s="56" t="str">
        <f aca="false">IF(K189="","",ROUND(J189*K189,2))</f>
        <v/>
      </c>
      <c r="M189" s="58" t="str">
        <f aca="false">IF(AND(B189="",F189="",G189="",H189=""),"",IF(NOT(ISNUMBER(B189)),"⚠ ADD DATE / AGREGA FECHA",IF(J189="","⚠ ADD MILES / AGREGA MILLAS",IF(AND(ISNUMBER(F189),ISNUMBER(G189)),IF(G189&lt;F189,"⚠ CHECK ODOMETER / REVISA ODÓMETRO","✔ OK"),"✔ OK"))))</f>
        <v/>
      </c>
      <c r="N189" s="53"/>
      <c r="P189" s="51" t="n">
        <f aca="false">IF(ISNUMBER(L189),1,0)</f>
        <v>0</v>
      </c>
      <c r="Q189" s="51" t="n">
        <f aca="false">IF(P189=1,YEAR(B189),0)</f>
        <v>0</v>
      </c>
      <c r="R189" s="51" t="n">
        <f aca="false">IF(P189=1,YEAR(B189)*100+MONTH(B189),0)</f>
        <v>0</v>
      </c>
    </row>
    <row r="190" customFormat="false" ht="15" hidden="false" customHeight="false" outlineLevel="0" collapsed="false">
      <c r="B190" s="52"/>
      <c r="C190" s="53"/>
      <c r="D190" s="53"/>
      <c r="E190" s="53"/>
      <c r="F190" s="59"/>
      <c r="G190" s="59"/>
      <c r="H190" s="59"/>
      <c r="I190" s="57"/>
      <c r="J190" s="60" t="str">
        <f aca="false">IF(AND(ISNUMBER(F190),ISNUMBER(G190)),MAX(0,G190-F190),IF(ISNUMBER(H190),H190*IF(I190="Yes / Sí",2,1),""))</f>
        <v/>
      </c>
      <c r="K190" s="61" t="str">
        <f aca="false">IF(OR(J190="",NOT(ISNUMBER(B190))),"",IF(COUNTIF(Settings!$B$8:$B$17,"&lt;="&amp;B190)=0,Settings!$C$8,INDEX(Settings!$C$8:$C$17,COUNTIF(Settings!$B$8:$B$17,"&lt;="&amp;B190))))</f>
        <v/>
      </c>
      <c r="L190" s="56" t="str">
        <f aca="false">IF(K190="","",ROUND(J190*K190,2))</f>
        <v/>
      </c>
      <c r="M190" s="58" t="str">
        <f aca="false">IF(AND(B190="",F190="",G190="",H190=""),"",IF(NOT(ISNUMBER(B190)),"⚠ ADD DATE / AGREGA FECHA",IF(J190="","⚠ ADD MILES / AGREGA MILLAS",IF(AND(ISNUMBER(F190),ISNUMBER(G190)),IF(G190&lt;F190,"⚠ CHECK ODOMETER / REVISA ODÓMETRO","✔ OK"),"✔ OK"))))</f>
        <v/>
      </c>
      <c r="N190" s="53"/>
      <c r="P190" s="51" t="n">
        <f aca="false">IF(ISNUMBER(L190),1,0)</f>
        <v>0</v>
      </c>
      <c r="Q190" s="51" t="n">
        <f aca="false">IF(P190=1,YEAR(B190),0)</f>
        <v>0</v>
      </c>
      <c r="R190" s="51" t="n">
        <f aca="false">IF(P190=1,YEAR(B190)*100+MONTH(B190),0)</f>
        <v>0</v>
      </c>
    </row>
    <row r="191" customFormat="false" ht="15" hidden="false" customHeight="false" outlineLevel="0" collapsed="false">
      <c r="B191" s="52"/>
      <c r="C191" s="53"/>
      <c r="D191" s="53"/>
      <c r="E191" s="53"/>
      <c r="F191" s="59"/>
      <c r="G191" s="59"/>
      <c r="H191" s="59"/>
      <c r="I191" s="57"/>
      <c r="J191" s="60" t="str">
        <f aca="false">IF(AND(ISNUMBER(F191),ISNUMBER(G191)),MAX(0,G191-F191),IF(ISNUMBER(H191),H191*IF(I191="Yes / Sí",2,1),""))</f>
        <v/>
      </c>
      <c r="K191" s="61" t="str">
        <f aca="false">IF(OR(J191="",NOT(ISNUMBER(B191))),"",IF(COUNTIF(Settings!$B$8:$B$17,"&lt;="&amp;B191)=0,Settings!$C$8,INDEX(Settings!$C$8:$C$17,COUNTIF(Settings!$B$8:$B$17,"&lt;="&amp;B191))))</f>
        <v/>
      </c>
      <c r="L191" s="56" t="str">
        <f aca="false">IF(K191="","",ROUND(J191*K191,2))</f>
        <v/>
      </c>
      <c r="M191" s="58" t="str">
        <f aca="false">IF(AND(B191="",F191="",G191="",H191=""),"",IF(NOT(ISNUMBER(B191)),"⚠ ADD DATE / AGREGA FECHA",IF(J191="","⚠ ADD MILES / AGREGA MILLAS",IF(AND(ISNUMBER(F191),ISNUMBER(G191)),IF(G191&lt;F191,"⚠ CHECK ODOMETER / REVISA ODÓMETRO","✔ OK"),"✔ OK"))))</f>
        <v/>
      </c>
      <c r="N191" s="53"/>
      <c r="P191" s="51" t="n">
        <f aca="false">IF(ISNUMBER(L191),1,0)</f>
        <v>0</v>
      </c>
      <c r="Q191" s="51" t="n">
        <f aca="false">IF(P191=1,YEAR(B191),0)</f>
        <v>0</v>
      </c>
      <c r="R191" s="51" t="n">
        <f aca="false">IF(P191=1,YEAR(B191)*100+MONTH(B191),0)</f>
        <v>0</v>
      </c>
    </row>
    <row r="192" customFormat="false" ht="15" hidden="false" customHeight="false" outlineLevel="0" collapsed="false">
      <c r="B192" s="52"/>
      <c r="C192" s="53"/>
      <c r="D192" s="53"/>
      <c r="E192" s="53"/>
      <c r="F192" s="59"/>
      <c r="G192" s="59"/>
      <c r="H192" s="59"/>
      <c r="I192" s="57"/>
      <c r="J192" s="60" t="str">
        <f aca="false">IF(AND(ISNUMBER(F192),ISNUMBER(G192)),MAX(0,G192-F192),IF(ISNUMBER(H192),H192*IF(I192="Yes / Sí",2,1),""))</f>
        <v/>
      </c>
      <c r="K192" s="61" t="str">
        <f aca="false">IF(OR(J192="",NOT(ISNUMBER(B192))),"",IF(COUNTIF(Settings!$B$8:$B$17,"&lt;="&amp;B192)=0,Settings!$C$8,INDEX(Settings!$C$8:$C$17,COUNTIF(Settings!$B$8:$B$17,"&lt;="&amp;B192))))</f>
        <v/>
      </c>
      <c r="L192" s="56" t="str">
        <f aca="false">IF(K192="","",ROUND(J192*K192,2))</f>
        <v/>
      </c>
      <c r="M192" s="58" t="str">
        <f aca="false">IF(AND(B192="",F192="",G192="",H192=""),"",IF(NOT(ISNUMBER(B192)),"⚠ ADD DATE / AGREGA FECHA",IF(J192="","⚠ ADD MILES / AGREGA MILLAS",IF(AND(ISNUMBER(F192),ISNUMBER(G192)),IF(G192&lt;F192,"⚠ CHECK ODOMETER / REVISA ODÓMETRO","✔ OK"),"✔ OK"))))</f>
        <v/>
      </c>
      <c r="N192" s="53"/>
      <c r="P192" s="51" t="n">
        <f aca="false">IF(ISNUMBER(L192),1,0)</f>
        <v>0</v>
      </c>
      <c r="Q192" s="51" t="n">
        <f aca="false">IF(P192=1,YEAR(B192),0)</f>
        <v>0</v>
      </c>
      <c r="R192" s="51" t="n">
        <f aca="false">IF(P192=1,YEAR(B192)*100+MONTH(B192),0)</f>
        <v>0</v>
      </c>
    </row>
    <row r="193" customFormat="false" ht="15" hidden="false" customHeight="false" outlineLevel="0" collapsed="false">
      <c r="B193" s="52"/>
      <c r="C193" s="53"/>
      <c r="D193" s="53"/>
      <c r="E193" s="53"/>
      <c r="F193" s="59"/>
      <c r="G193" s="59"/>
      <c r="H193" s="59"/>
      <c r="I193" s="57"/>
      <c r="J193" s="60" t="str">
        <f aca="false">IF(AND(ISNUMBER(F193),ISNUMBER(G193)),MAX(0,G193-F193),IF(ISNUMBER(H193),H193*IF(I193="Yes / Sí",2,1),""))</f>
        <v/>
      </c>
      <c r="K193" s="61" t="str">
        <f aca="false">IF(OR(J193="",NOT(ISNUMBER(B193))),"",IF(COUNTIF(Settings!$B$8:$B$17,"&lt;="&amp;B193)=0,Settings!$C$8,INDEX(Settings!$C$8:$C$17,COUNTIF(Settings!$B$8:$B$17,"&lt;="&amp;B193))))</f>
        <v/>
      </c>
      <c r="L193" s="56" t="str">
        <f aca="false">IF(K193="","",ROUND(J193*K193,2))</f>
        <v/>
      </c>
      <c r="M193" s="58" t="str">
        <f aca="false">IF(AND(B193="",F193="",G193="",H193=""),"",IF(NOT(ISNUMBER(B193)),"⚠ ADD DATE / AGREGA FECHA",IF(J193="","⚠ ADD MILES / AGREGA MILLAS",IF(AND(ISNUMBER(F193),ISNUMBER(G193)),IF(G193&lt;F193,"⚠ CHECK ODOMETER / REVISA ODÓMETRO","✔ OK"),"✔ OK"))))</f>
        <v/>
      </c>
      <c r="N193" s="53"/>
      <c r="P193" s="51" t="n">
        <f aca="false">IF(ISNUMBER(L193),1,0)</f>
        <v>0</v>
      </c>
      <c r="Q193" s="51" t="n">
        <f aca="false">IF(P193=1,YEAR(B193),0)</f>
        <v>0</v>
      </c>
      <c r="R193" s="51" t="n">
        <f aca="false">IF(P193=1,YEAR(B193)*100+MONTH(B193),0)</f>
        <v>0</v>
      </c>
    </row>
    <row r="194" customFormat="false" ht="15" hidden="false" customHeight="false" outlineLevel="0" collapsed="false">
      <c r="B194" s="52"/>
      <c r="C194" s="53"/>
      <c r="D194" s="53"/>
      <c r="E194" s="53"/>
      <c r="F194" s="59"/>
      <c r="G194" s="59"/>
      <c r="H194" s="59"/>
      <c r="I194" s="57"/>
      <c r="J194" s="60" t="str">
        <f aca="false">IF(AND(ISNUMBER(F194),ISNUMBER(G194)),MAX(0,G194-F194),IF(ISNUMBER(H194),H194*IF(I194="Yes / Sí",2,1),""))</f>
        <v/>
      </c>
      <c r="K194" s="61" t="str">
        <f aca="false">IF(OR(J194="",NOT(ISNUMBER(B194))),"",IF(COUNTIF(Settings!$B$8:$B$17,"&lt;="&amp;B194)=0,Settings!$C$8,INDEX(Settings!$C$8:$C$17,COUNTIF(Settings!$B$8:$B$17,"&lt;="&amp;B194))))</f>
        <v/>
      </c>
      <c r="L194" s="56" t="str">
        <f aca="false">IF(K194="","",ROUND(J194*K194,2))</f>
        <v/>
      </c>
      <c r="M194" s="58" t="str">
        <f aca="false">IF(AND(B194="",F194="",G194="",H194=""),"",IF(NOT(ISNUMBER(B194)),"⚠ ADD DATE / AGREGA FECHA",IF(J194="","⚠ ADD MILES / AGREGA MILLAS",IF(AND(ISNUMBER(F194),ISNUMBER(G194)),IF(G194&lt;F194,"⚠ CHECK ODOMETER / REVISA ODÓMETRO","✔ OK"),"✔ OK"))))</f>
        <v/>
      </c>
      <c r="N194" s="53"/>
      <c r="P194" s="51" t="n">
        <f aca="false">IF(ISNUMBER(L194),1,0)</f>
        <v>0</v>
      </c>
      <c r="Q194" s="51" t="n">
        <f aca="false">IF(P194=1,YEAR(B194),0)</f>
        <v>0</v>
      </c>
      <c r="R194" s="51" t="n">
        <f aca="false">IF(P194=1,YEAR(B194)*100+MONTH(B194),0)</f>
        <v>0</v>
      </c>
    </row>
    <row r="195" customFormat="false" ht="15" hidden="false" customHeight="false" outlineLevel="0" collapsed="false">
      <c r="B195" s="52"/>
      <c r="C195" s="53"/>
      <c r="D195" s="53"/>
      <c r="E195" s="53"/>
      <c r="F195" s="59"/>
      <c r="G195" s="59"/>
      <c r="H195" s="59"/>
      <c r="I195" s="57"/>
      <c r="J195" s="60" t="str">
        <f aca="false">IF(AND(ISNUMBER(F195),ISNUMBER(G195)),MAX(0,G195-F195),IF(ISNUMBER(H195),H195*IF(I195="Yes / Sí",2,1),""))</f>
        <v/>
      </c>
      <c r="K195" s="61" t="str">
        <f aca="false">IF(OR(J195="",NOT(ISNUMBER(B195))),"",IF(COUNTIF(Settings!$B$8:$B$17,"&lt;="&amp;B195)=0,Settings!$C$8,INDEX(Settings!$C$8:$C$17,COUNTIF(Settings!$B$8:$B$17,"&lt;="&amp;B195))))</f>
        <v/>
      </c>
      <c r="L195" s="56" t="str">
        <f aca="false">IF(K195="","",ROUND(J195*K195,2))</f>
        <v/>
      </c>
      <c r="M195" s="58" t="str">
        <f aca="false">IF(AND(B195="",F195="",G195="",H195=""),"",IF(NOT(ISNUMBER(B195)),"⚠ ADD DATE / AGREGA FECHA",IF(J195="","⚠ ADD MILES / AGREGA MILLAS",IF(AND(ISNUMBER(F195),ISNUMBER(G195)),IF(G195&lt;F195,"⚠ CHECK ODOMETER / REVISA ODÓMETRO","✔ OK"),"✔ OK"))))</f>
        <v/>
      </c>
      <c r="N195" s="53"/>
      <c r="P195" s="51" t="n">
        <f aca="false">IF(ISNUMBER(L195),1,0)</f>
        <v>0</v>
      </c>
      <c r="Q195" s="51" t="n">
        <f aca="false">IF(P195=1,YEAR(B195),0)</f>
        <v>0</v>
      </c>
      <c r="R195" s="51" t="n">
        <f aca="false">IF(P195=1,YEAR(B195)*100+MONTH(B195),0)</f>
        <v>0</v>
      </c>
    </row>
    <row r="196" customFormat="false" ht="15" hidden="false" customHeight="false" outlineLevel="0" collapsed="false">
      <c r="B196" s="52"/>
      <c r="C196" s="53"/>
      <c r="D196" s="53"/>
      <c r="E196" s="53"/>
      <c r="F196" s="59"/>
      <c r="G196" s="59"/>
      <c r="H196" s="59"/>
      <c r="I196" s="57"/>
      <c r="J196" s="60" t="str">
        <f aca="false">IF(AND(ISNUMBER(F196),ISNUMBER(G196)),MAX(0,G196-F196),IF(ISNUMBER(H196),H196*IF(I196="Yes / Sí",2,1),""))</f>
        <v/>
      </c>
      <c r="K196" s="61" t="str">
        <f aca="false">IF(OR(J196="",NOT(ISNUMBER(B196))),"",IF(COUNTIF(Settings!$B$8:$B$17,"&lt;="&amp;B196)=0,Settings!$C$8,INDEX(Settings!$C$8:$C$17,COUNTIF(Settings!$B$8:$B$17,"&lt;="&amp;B196))))</f>
        <v/>
      </c>
      <c r="L196" s="56" t="str">
        <f aca="false">IF(K196="","",ROUND(J196*K196,2))</f>
        <v/>
      </c>
      <c r="M196" s="58" t="str">
        <f aca="false">IF(AND(B196="",F196="",G196="",H196=""),"",IF(NOT(ISNUMBER(B196)),"⚠ ADD DATE / AGREGA FECHA",IF(J196="","⚠ ADD MILES / AGREGA MILLAS",IF(AND(ISNUMBER(F196),ISNUMBER(G196)),IF(G196&lt;F196,"⚠ CHECK ODOMETER / REVISA ODÓMETRO","✔ OK"),"✔ OK"))))</f>
        <v/>
      </c>
      <c r="N196" s="53"/>
      <c r="P196" s="51" t="n">
        <f aca="false">IF(ISNUMBER(L196),1,0)</f>
        <v>0</v>
      </c>
      <c r="Q196" s="51" t="n">
        <f aca="false">IF(P196=1,YEAR(B196),0)</f>
        <v>0</v>
      </c>
      <c r="R196" s="51" t="n">
        <f aca="false">IF(P196=1,YEAR(B196)*100+MONTH(B196),0)</f>
        <v>0</v>
      </c>
    </row>
    <row r="197" customFormat="false" ht="15" hidden="false" customHeight="false" outlineLevel="0" collapsed="false">
      <c r="B197" s="52"/>
      <c r="C197" s="53"/>
      <c r="D197" s="53"/>
      <c r="E197" s="53"/>
      <c r="F197" s="59"/>
      <c r="G197" s="59"/>
      <c r="H197" s="59"/>
      <c r="I197" s="57"/>
      <c r="J197" s="60" t="str">
        <f aca="false">IF(AND(ISNUMBER(F197),ISNUMBER(G197)),MAX(0,G197-F197),IF(ISNUMBER(H197),H197*IF(I197="Yes / Sí",2,1),""))</f>
        <v/>
      </c>
      <c r="K197" s="61" t="str">
        <f aca="false">IF(OR(J197="",NOT(ISNUMBER(B197))),"",IF(COUNTIF(Settings!$B$8:$B$17,"&lt;="&amp;B197)=0,Settings!$C$8,INDEX(Settings!$C$8:$C$17,COUNTIF(Settings!$B$8:$B$17,"&lt;="&amp;B197))))</f>
        <v/>
      </c>
      <c r="L197" s="56" t="str">
        <f aca="false">IF(K197="","",ROUND(J197*K197,2))</f>
        <v/>
      </c>
      <c r="M197" s="58" t="str">
        <f aca="false">IF(AND(B197="",F197="",G197="",H197=""),"",IF(NOT(ISNUMBER(B197)),"⚠ ADD DATE / AGREGA FECHA",IF(J197="","⚠ ADD MILES / AGREGA MILLAS",IF(AND(ISNUMBER(F197),ISNUMBER(G197)),IF(G197&lt;F197,"⚠ CHECK ODOMETER / REVISA ODÓMETRO","✔ OK"),"✔ OK"))))</f>
        <v/>
      </c>
      <c r="N197" s="53"/>
      <c r="P197" s="51" t="n">
        <f aca="false">IF(ISNUMBER(L197),1,0)</f>
        <v>0</v>
      </c>
      <c r="Q197" s="51" t="n">
        <f aca="false">IF(P197=1,YEAR(B197),0)</f>
        <v>0</v>
      </c>
      <c r="R197" s="51" t="n">
        <f aca="false">IF(P197=1,YEAR(B197)*100+MONTH(B197),0)</f>
        <v>0</v>
      </c>
    </row>
    <row r="198" customFormat="false" ht="15" hidden="false" customHeight="false" outlineLevel="0" collapsed="false">
      <c r="B198" s="52"/>
      <c r="C198" s="53"/>
      <c r="D198" s="53"/>
      <c r="E198" s="53"/>
      <c r="F198" s="59"/>
      <c r="G198" s="59"/>
      <c r="H198" s="59"/>
      <c r="I198" s="57"/>
      <c r="J198" s="60" t="str">
        <f aca="false">IF(AND(ISNUMBER(F198),ISNUMBER(G198)),MAX(0,G198-F198),IF(ISNUMBER(H198),H198*IF(I198="Yes / Sí",2,1),""))</f>
        <v/>
      </c>
      <c r="K198" s="61" t="str">
        <f aca="false">IF(OR(J198="",NOT(ISNUMBER(B198))),"",IF(COUNTIF(Settings!$B$8:$B$17,"&lt;="&amp;B198)=0,Settings!$C$8,INDEX(Settings!$C$8:$C$17,COUNTIF(Settings!$B$8:$B$17,"&lt;="&amp;B198))))</f>
        <v/>
      </c>
      <c r="L198" s="56" t="str">
        <f aca="false">IF(K198="","",ROUND(J198*K198,2))</f>
        <v/>
      </c>
      <c r="M198" s="58" t="str">
        <f aca="false">IF(AND(B198="",F198="",G198="",H198=""),"",IF(NOT(ISNUMBER(B198)),"⚠ ADD DATE / AGREGA FECHA",IF(J198="","⚠ ADD MILES / AGREGA MILLAS",IF(AND(ISNUMBER(F198),ISNUMBER(G198)),IF(G198&lt;F198,"⚠ CHECK ODOMETER / REVISA ODÓMETRO","✔ OK"),"✔ OK"))))</f>
        <v/>
      </c>
      <c r="N198" s="53"/>
      <c r="P198" s="51" t="n">
        <f aca="false">IF(ISNUMBER(L198),1,0)</f>
        <v>0</v>
      </c>
      <c r="Q198" s="51" t="n">
        <f aca="false">IF(P198=1,YEAR(B198),0)</f>
        <v>0</v>
      </c>
      <c r="R198" s="51" t="n">
        <f aca="false">IF(P198=1,YEAR(B198)*100+MONTH(B198),0)</f>
        <v>0</v>
      </c>
    </row>
    <row r="199" customFormat="false" ht="15" hidden="false" customHeight="false" outlineLevel="0" collapsed="false">
      <c r="B199" s="52"/>
      <c r="C199" s="53"/>
      <c r="D199" s="53"/>
      <c r="E199" s="53"/>
      <c r="F199" s="59"/>
      <c r="G199" s="59"/>
      <c r="H199" s="59"/>
      <c r="I199" s="57"/>
      <c r="J199" s="60" t="str">
        <f aca="false">IF(AND(ISNUMBER(F199),ISNUMBER(G199)),MAX(0,G199-F199),IF(ISNUMBER(H199),H199*IF(I199="Yes / Sí",2,1),""))</f>
        <v/>
      </c>
      <c r="K199" s="61" t="str">
        <f aca="false">IF(OR(J199="",NOT(ISNUMBER(B199))),"",IF(COUNTIF(Settings!$B$8:$B$17,"&lt;="&amp;B199)=0,Settings!$C$8,INDEX(Settings!$C$8:$C$17,COUNTIF(Settings!$B$8:$B$17,"&lt;="&amp;B199))))</f>
        <v/>
      </c>
      <c r="L199" s="56" t="str">
        <f aca="false">IF(K199="","",ROUND(J199*K199,2))</f>
        <v/>
      </c>
      <c r="M199" s="58" t="str">
        <f aca="false">IF(AND(B199="",F199="",G199="",H199=""),"",IF(NOT(ISNUMBER(B199)),"⚠ ADD DATE / AGREGA FECHA",IF(J199="","⚠ ADD MILES / AGREGA MILLAS",IF(AND(ISNUMBER(F199),ISNUMBER(G199)),IF(G199&lt;F199,"⚠ CHECK ODOMETER / REVISA ODÓMETRO","✔ OK"),"✔ OK"))))</f>
        <v/>
      </c>
      <c r="N199" s="53"/>
      <c r="P199" s="51" t="n">
        <f aca="false">IF(ISNUMBER(L199),1,0)</f>
        <v>0</v>
      </c>
      <c r="Q199" s="51" t="n">
        <f aca="false">IF(P199=1,YEAR(B199),0)</f>
        <v>0</v>
      </c>
      <c r="R199" s="51" t="n">
        <f aca="false">IF(P199=1,YEAR(B199)*100+MONTH(B199),0)</f>
        <v>0</v>
      </c>
    </row>
    <row r="200" customFormat="false" ht="15" hidden="false" customHeight="false" outlineLevel="0" collapsed="false">
      <c r="B200" s="52"/>
      <c r="C200" s="53"/>
      <c r="D200" s="53"/>
      <c r="E200" s="53"/>
      <c r="F200" s="59"/>
      <c r="G200" s="59"/>
      <c r="H200" s="59"/>
      <c r="I200" s="57"/>
      <c r="J200" s="60" t="str">
        <f aca="false">IF(AND(ISNUMBER(F200),ISNUMBER(G200)),MAX(0,G200-F200),IF(ISNUMBER(H200),H200*IF(I200="Yes / Sí",2,1),""))</f>
        <v/>
      </c>
      <c r="K200" s="61" t="str">
        <f aca="false">IF(OR(J200="",NOT(ISNUMBER(B200))),"",IF(COUNTIF(Settings!$B$8:$B$17,"&lt;="&amp;B200)=0,Settings!$C$8,INDEX(Settings!$C$8:$C$17,COUNTIF(Settings!$B$8:$B$17,"&lt;="&amp;B200))))</f>
        <v/>
      </c>
      <c r="L200" s="56" t="str">
        <f aca="false">IF(K200="","",ROUND(J200*K200,2))</f>
        <v/>
      </c>
      <c r="M200" s="58" t="str">
        <f aca="false">IF(AND(B200="",F200="",G200="",H200=""),"",IF(NOT(ISNUMBER(B200)),"⚠ ADD DATE / AGREGA FECHA",IF(J200="","⚠ ADD MILES / AGREGA MILLAS",IF(AND(ISNUMBER(F200),ISNUMBER(G200)),IF(G200&lt;F200,"⚠ CHECK ODOMETER / REVISA ODÓMETRO","✔ OK"),"✔ OK"))))</f>
        <v/>
      </c>
      <c r="N200" s="53"/>
      <c r="P200" s="51" t="n">
        <f aca="false">IF(ISNUMBER(L200),1,0)</f>
        <v>0</v>
      </c>
      <c r="Q200" s="51" t="n">
        <f aca="false">IF(P200=1,YEAR(B200),0)</f>
        <v>0</v>
      </c>
      <c r="R200" s="51" t="n">
        <f aca="false">IF(P200=1,YEAR(B200)*100+MONTH(B200),0)</f>
        <v>0</v>
      </c>
    </row>
    <row r="201" customFormat="false" ht="15" hidden="false" customHeight="false" outlineLevel="0" collapsed="false">
      <c r="B201" s="52"/>
      <c r="C201" s="53"/>
      <c r="D201" s="53"/>
      <c r="E201" s="53"/>
      <c r="F201" s="59"/>
      <c r="G201" s="59"/>
      <c r="H201" s="59"/>
      <c r="I201" s="57"/>
      <c r="J201" s="60" t="str">
        <f aca="false">IF(AND(ISNUMBER(F201),ISNUMBER(G201)),MAX(0,G201-F201),IF(ISNUMBER(H201),H201*IF(I201="Yes / Sí",2,1),""))</f>
        <v/>
      </c>
      <c r="K201" s="61" t="str">
        <f aca="false">IF(OR(J201="",NOT(ISNUMBER(B201))),"",IF(COUNTIF(Settings!$B$8:$B$17,"&lt;="&amp;B201)=0,Settings!$C$8,INDEX(Settings!$C$8:$C$17,COUNTIF(Settings!$B$8:$B$17,"&lt;="&amp;B201))))</f>
        <v/>
      </c>
      <c r="L201" s="56" t="str">
        <f aca="false">IF(K201="","",ROUND(J201*K201,2))</f>
        <v/>
      </c>
      <c r="M201" s="58" t="str">
        <f aca="false">IF(AND(B201="",F201="",G201="",H201=""),"",IF(NOT(ISNUMBER(B201)),"⚠ ADD DATE / AGREGA FECHA",IF(J201="","⚠ ADD MILES / AGREGA MILLAS",IF(AND(ISNUMBER(F201),ISNUMBER(G201)),IF(G201&lt;F201,"⚠ CHECK ODOMETER / REVISA ODÓMETRO","✔ OK"),"✔ OK"))))</f>
        <v/>
      </c>
      <c r="N201" s="53"/>
      <c r="P201" s="51" t="n">
        <f aca="false">IF(ISNUMBER(L201),1,0)</f>
        <v>0</v>
      </c>
      <c r="Q201" s="51" t="n">
        <f aca="false">IF(P201=1,YEAR(B201),0)</f>
        <v>0</v>
      </c>
      <c r="R201" s="51" t="n">
        <f aca="false">IF(P201=1,YEAR(B201)*100+MONTH(B201),0)</f>
        <v>0</v>
      </c>
    </row>
    <row r="202" customFormat="false" ht="15" hidden="false" customHeight="false" outlineLevel="0" collapsed="false">
      <c r="B202" s="52"/>
      <c r="C202" s="53"/>
      <c r="D202" s="53"/>
      <c r="E202" s="53"/>
      <c r="F202" s="59"/>
      <c r="G202" s="59"/>
      <c r="H202" s="59"/>
      <c r="I202" s="57"/>
      <c r="J202" s="60" t="str">
        <f aca="false">IF(AND(ISNUMBER(F202),ISNUMBER(G202)),MAX(0,G202-F202),IF(ISNUMBER(H202),H202*IF(I202="Yes / Sí",2,1),""))</f>
        <v/>
      </c>
      <c r="K202" s="61" t="str">
        <f aca="false">IF(OR(J202="",NOT(ISNUMBER(B202))),"",IF(COUNTIF(Settings!$B$8:$B$17,"&lt;="&amp;B202)=0,Settings!$C$8,INDEX(Settings!$C$8:$C$17,COUNTIF(Settings!$B$8:$B$17,"&lt;="&amp;B202))))</f>
        <v/>
      </c>
      <c r="L202" s="56" t="str">
        <f aca="false">IF(K202="","",ROUND(J202*K202,2))</f>
        <v/>
      </c>
      <c r="M202" s="58" t="str">
        <f aca="false">IF(AND(B202="",F202="",G202="",H202=""),"",IF(NOT(ISNUMBER(B202)),"⚠ ADD DATE / AGREGA FECHA",IF(J202="","⚠ ADD MILES / AGREGA MILLAS",IF(AND(ISNUMBER(F202),ISNUMBER(G202)),IF(G202&lt;F202,"⚠ CHECK ODOMETER / REVISA ODÓMETRO","✔ OK"),"✔ OK"))))</f>
        <v/>
      </c>
      <c r="N202" s="53"/>
      <c r="P202" s="51" t="n">
        <f aca="false">IF(ISNUMBER(L202),1,0)</f>
        <v>0</v>
      </c>
      <c r="Q202" s="51" t="n">
        <f aca="false">IF(P202=1,YEAR(B202),0)</f>
        <v>0</v>
      </c>
      <c r="R202" s="51" t="n">
        <f aca="false">IF(P202=1,YEAR(B202)*100+MONTH(B202),0)</f>
        <v>0</v>
      </c>
    </row>
    <row r="203" customFormat="false" ht="15" hidden="false" customHeight="false" outlineLevel="0" collapsed="false">
      <c r="B203" s="52"/>
      <c r="C203" s="53"/>
      <c r="D203" s="53"/>
      <c r="E203" s="53"/>
      <c r="F203" s="59"/>
      <c r="G203" s="59"/>
      <c r="H203" s="59"/>
      <c r="I203" s="57"/>
      <c r="J203" s="60" t="str">
        <f aca="false">IF(AND(ISNUMBER(F203),ISNUMBER(G203)),MAX(0,G203-F203),IF(ISNUMBER(H203),H203*IF(I203="Yes / Sí",2,1),""))</f>
        <v/>
      </c>
      <c r="K203" s="61" t="str">
        <f aca="false">IF(OR(J203="",NOT(ISNUMBER(B203))),"",IF(COUNTIF(Settings!$B$8:$B$17,"&lt;="&amp;B203)=0,Settings!$C$8,INDEX(Settings!$C$8:$C$17,COUNTIF(Settings!$B$8:$B$17,"&lt;="&amp;B203))))</f>
        <v/>
      </c>
      <c r="L203" s="56" t="str">
        <f aca="false">IF(K203="","",ROUND(J203*K203,2))</f>
        <v/>
      </c>
      <c r="M203" s="58" t="str">
        <f aca="false">IF(AND(B203="",F203="",G203="",H203=""),"",IF(NOT(ISNUMBER(B203)),"⚠ ADD DATE / AGREGA FECHA",IF(J203="","⚠ ADD MILES / AGREGA MILLAS",IF(AND(ISNUMBER(F203),ISNUMBER(G203)),IF(G203&lt;F203,"⚠ CHECK ODOMETER / REVISA ODÓMETRO","✔ OK"),"✔ OK"))))</f>
        <v/>
      </c>
      <c r="N203" s="53"/>
      <c r="P203" s="51" t="n">
        <f aca="false">IF(ISNUMBER(L203),1,0)</f>
        <v>0</v>
      </c>
      <c r="Q203" s="51" t="n">
        <f aca="false">IF(P203=1,YEAR(B203),0)</f>
        <v>0</v>
      </c>
      <c r="R203" s="51" t="n">
        <f aca="false">IF(P203=1,YEAR(B203)*100+MONTH(B203),0)</f>
        <v>0</v>
      </c>
    </row>
    <row r="204" customFormat="false" ht="15" hidden="false" customHeight="false" outlineLevel="0" collapsed="false">
      <c r="B204" s="52"/>
      <c r="C204" s="53"/>
      <c r="D204" s="53"/>
      <c r="E204" s="53"/>
      <c r="F204" s="59"/>
      <c r="G204" s="59"/>
      <c r="H204" s="59"/>
      <c r="I204" s="57"/>
      <c r="J204" s="60" t="str">
        <f aca="false">IF(AND(ISNUMBER(F204),ISNUMBER(G204)),MAX(0,G204-F204),IF(ISNUMBER(H204),H204*IF(I204="Yes / Sí",2,1),""))</f>
        <v/>
      </c>
      <c r="K204" s="61" t="str">
        <f aca="false">IF(OR(J204="",NOT(ISNUMBER(B204))),"",IF(COUNTIF(Settings!$B$8:$B$17,"&lt;="&amp;B204)=0,Settings!$C$8,INDEX(Settings!$C$8:$C$17,COUNTIF(Settings!$B$8:$B$17,"&lt;="&amp;B204))))</f>
        <v/>
      </c>
      <c r="L204" s="56" t="str">
        <f aca="false">IF(K204="","",ROUND(J204*K204,2))</f>
        <v/>
      </c>
      <c r="M204" s="58" t="str">
        <f aca="false">IF(AND(B204="",F204="",G204="",H204=""),"",IF(NOT(ISNUMBER(B204)),"⚠ ADD DATE / AGREGA FECHA",IF(J204="","⚠ ADD MILES / AGREGA MILLAS",IF(AND(ISNUMBER(F204),ISNUMBER(G204)),IF(G204&lt;F204,"⚠ CHECK ODOMETER / REVISA ODÓMETRO","✔ OK"),"✔ OK"))))</f>
        <v/>
      </c>
      <c r="N204" s="53"/>
      <c r="P204" s="51" t="n">
        <f aca="false">IF(ISNUMBER(L204),1,0)</f>
        <v>0</v>
      </c>
      <c r="Q204" s="51" t="n">
        <f aca="false">IF(P204=1,YEAR(B204),0)</f>
        <v>0</v>
      </c>
      <c r="R204" s="51" t="n">
        <f aca="false">IF(P204=1,YEAR(B204)*100+MONTH(B204),0)</f>
        <v>0</v>
      </c>
    </row>
    <row r="205" customFormat="false" ht="15" hidden="false" customHeight="false" outlineLevel="0" collapsed="false">
      <c r="B205" s="52"/>
      <c r="C205" s="53"/>
      <c r="D205" s="53"/>
      <c r="E205" s="53"/>
      <c r="F205" s="59"/>
      <c r="G205" s="59"/>
      <c r="H205" s="59"/>
      <c r="I205" s="57"/>
      <c r="J205" s="60" t="str">
        <f aca="false">IF(AND(ISNUMBER(F205),ISNUMBER(G205)),MAX(0,G205-F205),IF(ISNUMBER(H205),H205*IF(I205="Yes / Sí",2,1),""))</f>
        <v/>
      </c>
      <c r="K205" s="61" t="str">
        <f aca="false">IF(OR(J205="",NOT(ISNUMBER(B205))),"",IF(COUNTIF(Settings!$B$8:$B$17,"&lt;="&amp;B205)=0,Settings!$C$8,INDEX(Settings!$C$8:$C$17,COUNTIF(Settings!$B$8:$B$17,"&lt;="&amp;B205))))</f>
        <v/>
      </c>
      <c r="L205" s="56" t="str">
        <f aca="false">IF(K205="","",ROUND(J205*K205,2))</f>
        <v/>
      </c>
      <c r="M205" s="58" t="str">
        <f aca="false">IF(AND(B205="",F205="",G205="",H205=""),"",IF(NOT(ISNUMBER(B205)),"⚠ ADD DATE / AGREGA FECHA",IF(J205="","⚠ ADD MILES / AGREGA MILLAS",IF(AND(ISNUMBER(F205),ISNUMBER(G205)),IF(G205&lt;F205,"⚠ CHECK ODOMETER / REVISA ODÓMETRO","✔ OK"),"✔ OK"))))</f>
        <v/>
      </c>
      <c r="N205" s="53"/>
      <c r="P205" s="51" t="n">
        <f aca="false">IF(ISNUMBER(L205),1,0)</f>
        <v>0</v>
      </c>
      <c r="Q205" s="51" t="n">
        <f aca="false">IF(P205=1,YEAR(B205),0)</f>
        <v>0</v>
      </c>
      <c r="R205" s="51" t="n">
        <f aca="false">IF(P205=1,YEAR(B205)*100+MONTH(B205),0)</f>
        <v>0</v>
      </c>
    </row>
    <row r="206" customFormat="false" ht="15" hidden="false" customHeight="false" outlineLevel="0" collapsed="false">
      <c r="B206" s="52"/>
      <c r="C206" s="53"/>
      <c r="D206" s="53"/>
      <c r="E206" s="53"/>
      <c r="F206" s="59"/>
      <c r="G206" s="59"/>
      <c r="H206" s="59"/>
      <c r="I206" s="57"/>
      <c r="J206" s="60" t="str">
        <f aca="false">IF(AND(ISNUMBER(F206),ISNUMBER(G206)),MAX(0,G206-F206),IF(ISNUMBER(H206),H206*IF(I206="Yes / Sí",2,1),""))</f>
        <v/>
      </c>
      <c r="K206" s="61" t="str">
        <f aca="false">IF(OR(J206="",NOT(ISNUMBER(B206))),"",IF(COUNTIF(Settings!$B$8:$B$17,"&lt;="&amp;B206)=0,Settings!$C$8,INDEX(Settings!$C$8:$C$17,COUNTIF(Settings!$B$8:$B$17,"&lt;="&amp;B206))))</f>
        <v/>
      </c>
      <c r="L206" s="56" t="str">
        <f aca="false">IF(K206="","",ROUND(J206*K206,2))</f>
        <v/>
      </c>
      <c r="M206" s="58" t="str">
        <f aca="false">IF(AND(B206="",F206="",G206="",H206=""),"",IF(NOT(ISNUMBER(B206)),"⚠ ADD DATE / AGREGA FECHA",IF(J206="","⚠ ADD MILES / AGREGA MILLAS",IF(AND(ISNUMBER(F206),ISNUMBER(G206)),IF(G206&lt;F206,"⚠ CHECK ODOMETER / REVISA ODÓMETRO","✔ OK"),"✔ OK"))))</f>
        <v/>
      </c>
      <c r="N206" s="53"/>
      <c r="P206" s="51" t="n">
        <f aca="false">IF(ISNUMBER(L206),1,0)</f>
        <v>0</v>
      </c>
      <c r="Q206" s="51" t="n">
        <f aca="false">IF(P206=1,YEAR(B206),0)</f>
        <v>0</v>
      </c>
      <c r="R206" s="51" t="n">
        <f aca="false">IF(P206=1,YEAR(B206)*100+MONTH(B206),0)</f>
        <v>0</v>
      </c>
    </row>
    <row r="207" customFormat="false" ht="15" hidden="false" customHeight="false" outlineLevel="0" collapsed="false">
      <c r="B207" s="52"/>
      <c r="C207" s="53"/>
      <c r="D207" s="53"/>
      <c r="E207" s="53"/>
      <c r="F207" s="59"/>
      <c r="G207" s="59"/>
      <c r="H207" s="59"/>
      <c r="I207" s="57"/>
      <c r="J207" s="60" t="str">
        <f aca="false">IF(AND(ISNUMBER(F207),ISNUMBER(G207)),MAX(0,G207-F207),IF(ISNUMBER(H207),H207*IF(I207="Yes / Sí",2,1),""))</f>
        <v/>
      </c>
      <c r="K207" s="61" t="str">
        <f aca="false">IF(OR(J207="",NOT(ISNUMBER(B207))),"",IF(COUNTIF(Settings!$B$8:$B$17,"&lt;="&amp;B207)=0,Settings!$C$8,INDEX(Settings!$C$8:$C$17,COUNTIF(Settings!$B$8:$B$17,"&lt;="&amp;B207))))</f>
        <v/>
      </c>
      <c r="L207" s="56" t="str">
        <f aca="false">IF(K207="","",ROUND(J207*K207,2))</f>
        <v/>
      </c>
      <c r="M207" s="58" t="str">
        <f aca="false">IF(AND(B207="",F207="",G207="",H207=""),"",IF(NOT(ISNUMBER(B207)),"⚠ ADD DATE / AGREGA FECHA",IF(J207="","⚠ ADD MILES / AGREGA MILLAS",IF(AND(ISNUMBER(F207),ISNUMBER(G207)),IF(G207&lt;F207,"⚠ CHECK ODOMETER / REVISA ODÓMETRO","✔ OK"),"✔ OK"))))</f>
        <v/>
      </c>
      <c r="N207" s="53"/>
      <c r="P207" s="51" t="n">
        <f aca="false">IF(ISNUMBER(L207),1,0)</f>
        <v>0</v>
      </c>
      <c r="Q207" s="51" t="n">
        <f aca="false">IF(P207=1,YEAR(B207),0)</f>
        <v>0</v>
      </c>
      <c r="R207" s="51" t="n">
        <f aca="false">IF(P207=1,YEAR(B207)*100+MONTH(B207),0)</f>
        <v>0</v>
      </c>
    </row>
    <row r="208" customFormat="false" ht="15" hidden="false" customHeight="false" outlineLevel="0" collapsed="false">
      <c r="B208" s="52"/>
      <c r="C208" s="53"/>
      <c r="D208" s="53"/>
      <c r="E208" s="53"/>
      <c r="F208" s="59"/>
      <c r="G208" s="59"/>
      <c r="H208" s="59"/>
      <c r="I208" s="57"/>
      <c r="J208" s="60" t="str">
        <f aca="false">IF(AND(ISNUMBER(F208),ISNUMBER(G208)),MAX(0,G208-F208),IF(ISNUMBER(H208),H208*IF(I208="Yes / Sí",2,1),""))</f>
        <v/>
      </c>
      <c r="K208" s="61" t="str">
        <f aca="false">IF(OR(J208="",NOT(ISNUMBER(B208))),"",IF(COUNTIF(Settings!$B$8:$B$17,"&lt;="&amp;B208)=0,Settings!$C$8,INDEX(Settings!$C$8:$C$17,COUNTIF(Settings!$B$8:$B$17,"&lt;="&amp;B208))))</f>
        <v/>
      </c>
      <c r="L208" s="56" t="str">
        <f aca="false">IF(K208="","",ROUND(J208*K208,2))</f>
        <v/>
      </c>
      <c r="M208" s="58" t="str">
        <f aca="false">IF(AND(B208="",F208="",G208="",H208=""),"",IF(NOT(ISNUMBER(B208)),"⚠ ADD DATE / AGREGA FECHA",IF(J208="","⚠ ADD MILES / AGREGA MILLAS",IF(AND(ISNUMBER(F208),ISNUMBER(G208)),IF(G208&lt;F208,"⚠ CHECK ODOMETER / REVISA ODÓMETRO","✔ OK"),"✔ OK"))))</f>
        <v/>
      </c>
      <c r="N208" s="53"/>
      <c r="P208" s="51" t="n">
        <f aca="false">IF(ISNUMBER(L208),1,0)</f>
        <v>0</v>
      </c>
      <c r="Q208" s="51" t="n">
        <f aca="false">IF(P208=1,YEAR(B208),0)</f>
        <v>0</v>
      </c>
      <c r="R208" s="51" t="n">
        <f aca="false">IF(P208=1,YEAR(B208)*100+MONTH(B208),0)</f>
        <v>0</v>
      </c>
    </row>
    <row r="209" customFormat="false" ht="15" hidden="false" customHeight="false" outlineLevel="0" collapsed="false">
      <c r="B209" s="52"/>
      <c r="C209" s="53"/>
      <c r="D209" s="53"/>
      <c r="E209" s="53"/>
      <c r="F209" s="59"/>
      <c r="G209" s="59"/>
      <c r="H209" s="59"/>
      <c r="I209" s="57"/>
      <c r="J209" s="60" t="str">
        <f aca="false">IF(AND(ISNUMBER(F209),ISNUMBER(G209)),MAX(0,G209-F209),IF(ISNUMBER(H209),H209*IF(I209="Yes / Sí",2,1),""))</f>
        <v/>
      </c>
      <c r="K209" s="61" t="str">
        <f aca="false">IF(OR(J209="",NOT(ISNUMBER(B209))),"",IF(COUNTIF(Settings!$B$8:$B$17,"&lt;="&amp;B209)=0,Settings!$C$8,INDEX(Settings!$C$8:$C$17,COUNTIF(Settings!$B$8:$B$17,"&lt;="&amp;B209))))</f>
        <v/>
      </c>
      <c r="L209" s="56" t="str">
        <f aca="false">IF(K209="","",ROUND(J209*K209,2))</f>
        <v/>
      </c>
      <c r="M209" s="58" t="str">
        <f aca="false">IF(AND(B209="",F209="",G209="",H209=""),"",IF(NOT(ISNUMBER(B209)),"⚠ ADD DATE / AGREGA FECHA",IF(J209="","⚠ ADD MILES / AGREGA MILLAS",IF(AND(ISNUMBER(F209),ISNUMBER(G209)),IF(G209&lt;F209,"⚠ CHECK ODOMETER / REVISA ODÓMETRO","✔ OK"),"✔ OK"))))</f>
        <v/>
      </c>
      <c r="N209" s="53"/>
      <c r="P209" s="51" t="n">
        <f aca="false">IF(ISNUMBER(L209),1,0)</f>
        <v>0</v>
      </c>
      <c r="Q209" s="51" t="n">
        <f aca="false">IF(P209=1,YEAR(B209),0)</f>
        <v>0</v>
      </c>
      <c r="R209" s="51" t="n">
        <f aca="false">IF(P209=1,YEAR(B209)*100+MONTH(B209),0)</f>
        <v>0</v>
      </c>
    </row>
    <row r="210" customFormat="false" ht="15" hidden="false" customHeight="false" outlineLevel="0" collapsed="false">
      <c r="B210" s="52"/>
      <c r="C210" s="53"/>
      <c r="D210" s="53"/>
      <c r="E210" s="53"/>
      <c r="F210" s="59"/>
      <c r="G210" s="59"/>
      <c r="H210" s="59"/>
      <c r="I210" s="57"/>
      <c r="J210" s="60" t="str">
        <f aca="false">IF(AND(ISNUMBER(F210),ISNUMBER(G210)),MAX(0,G210-F210),IF(ISNUMBER(H210),H210*IF(I210="Yes / Sí",2,1),""))</f>
        <v/>
      </c>
      <c r="K210" s="61" t="str">
        <f aca="false">IF(OR(J210="",NOT(ISNUMBER(B210))),"",IF(COUNTIF(Settings!$B$8:$B$17,"&lt;="&amp;B210)=0,Settings!$C$8,INDEX(Settings!$C$8:$C$17,COUNTIF(Settings!$B$8:$B$17,"&lt;="&amp;B210))))</f>
        <v/>
      </c>
      <c r="L210" s="56" t="str">
        <f aca="false">IF(K210="","",ROUND(J210*K210,2))</f>
        <v/>
      </c>
      <c r="M210" s="58" t="str">
        <f aca="false">IF(AND(B210="",F210="",G210="",H210=""),"",IF(NOT(ISNUMBER(B210)),"⚠ ADD DATE / AGREGA FECHA",IF(J210="","⚠ ADD MILES / AGREGA MILLAS",IF(AND(ISNUMBER(F210),ISNUMBER(G210)),IF(G210&lt;F210,"⚠ CHECK ODOMETER / REVISA ODÓMETRO","✔ OK"),"✔ OK"))))</f>
        <v/>
      </c>
      <c r="N210" s="53"/>
      <c r="P210" s="51" t="n">
        <f aca="false">IF(ISNUMBER(L210),1,0)</f>
        <v>0</v>
      </c>
      <c r="Q210" s="51" t="n">
        <f aca="false">IF(P210=1,YEAR(B210),0)</f>
        <v>0</v>
      </c>
      <c r="R210" s="51" t="n">
        <f aca="false">IF(P210=1,YEAR(B210)*100+MONTH(B210),0)</f>
        <v>0</v>
      </c>
    </row>
    <row r="211" customFormat="false" ht="15" hidden="false" customHeight="false" outlineLevel="0" collapsed="false">
      <c r="B211" s="52"/>
      <c r="C211" s="53"/>
      <c r="D211" s="53"/>
      <c r="E211" s="53"/>
      <c r="F211" s="59"/>
      <c r="G211" s="59"/>
      <c r="H211" s="59"/>
      <c r="I211" s="57"/>
      <c r="J211" s="60" t="str">
        <f aca="false">IF(AND(ISNUMBER(F211),ISNUMBER(G211)),MAX(0,G211-F211),IF(ISNUMBER(H211),H211*IF(I211="Yes / Sí",2,1),""))</f>
        <v/>
      </c>
      <c r="K211" s="61" t="str">
        <f aca="false">IF(OR(J211="",NOT(ISNUMBER(B211))),"",IF(COUNTIF(Settings!$B$8:$B$17,"&lt;="&amp;B211)=0,Settings!$C$8,INDEX(Settings!$C$8:$C$17,COUNTIF(Settings!$B$8:$B$17,"&lt;="&amp;B211))))</f>
        <v/>
      </c>
      <c r="L211" s="56" t="str">
        <f aca="false">IF(K211="","",ROUND(J211*K211,2))</f>
        <v/>
      </c>
      <c r="M211" s="58" t="str">
        <f aca="false">IF(AND(B211="",F211="",G211="",H211=""),"",IF(NOT(ISNUMBER(B211)),"⚠ ADD DATE / AGREGA FECHA",IF(J211="","⚠ ADD MILES / AGREGA MILLAS",IF(AND(ISNUMBER(F211),ISNUMBER(G211)),IF(G211&lt;F211,"⚠ CHECK ODOMETER / REVISA ODÓMETRO","✔ OK"),"✔ OK"))))</f>
        <v/>
      </c>
      <c r="N211" s="53"/>
      <c r="P211" s="51" t="n">
        <f aca="false">IF(ISNUMBER(L211),1,0)</f>
        <v>0</v>
      </c>
      <c r="Q211" s="51" t="n">
        <f aca="false">IF(P211=1,YEAR(B211),0)</f>
        <v>0</v>
      </c>
      <c r="R211" s="51" t="n">
        <f aca="false">IF(P211=1,YEAR(B211)*100+MONTH(B211),0)</f>
        <v>0</v>
      </c>
    </row>
    <row r="212" customFormat="false" ht="15" hidden="false" customHeight="false" outlineLevel="0" collapsed="false">
      <c r="B212" s="52"/>
      <c r="C212" s="53"/>
      <c r="D212" s="53"/>
      <c r="E212" s="53"/>
      <c r="F212" s="59"/>
      <c r="G212" s="59"/>
      <c r="H212" s="59"/>
      <c r="I212" s="57"/>
      <c r="J212" s="60" t="str">
        <f aca="false">IF(AND(ISNUMBER(F212),ISNUMBER(G212)),MAX(0,G212-F212),IF(ISNUMBER(H212),H212*IF(I212="Yes / Sí",2,1),""))</f>
        <v/>
      </c>
      <c r="K212" s="61" t="str">
        <f aca="false">IF(OR(J212="",NOT(ISNUMBER(B212))),"",IF(COUNTIF(Settings!$B$8:$B$17,"&lt;="&amp;B212)=0,Settings!$C$8,INDEX(Settings!$C$8:$C$17,COUNTIF(Settings!$B$8:$B$17,"&lt;="&amp;B212))))</f>
        <v/>
      </c>
      <c r="L212" s="56" t="str">
        <f aca="false">IF(K212="","",ROUND(J212*K212,2))</f>
        <v/>
      </c>
      <c r="M212" s="58" t="str">
        <f aca="false">IF(AND(B212="",F212="",G212="",H212=""),"",IF(NOT(ISNUMBER(B212)),"⚠ ADD DATE / AGREGA FECHA",IF(J212="","⚠ ADD MILES / AGREGA MILLAS",IF(AND(ISNUMBER(F212),ISNUMBER(G212)),IF(G212&lt;F212,"⚠ CHECK ODOMETER / REVISA ODÓMETRO","✔ OK"),"✔ OK"))))</f>
        <v/>
      </c>
      <c r="N212" s="53"/>
      <c r="P212" s="51" t="n">
        <f aca="false">IF(ISNUMBER(L212),1,0)</f>
        <v>0</v>
      </c>
      <c r="Q212" s="51" t="n">
        <f aca="false">IF(P212=1,YEAR(B212),0)</f>
        <v>0</v>
      </c>
      <c r="R212" s="51" t="n">
        <f aca="false">IF(P212=1,YEAR(B212)*100+MONTH(B212),0)</f>
        <v>0</v>
      </c>
    </row>
    <row r="213" customFormat="false" ht="15" hidden="false" customHeight="false" outlineLevel="0" collapsed="false">
      <c r="B213" s="52"/>
      <c r="C213" s="53"/>
      <c r="D213" s="53"/>
      <c r="E213" s="53"/>
      <c r="F213" s="59"/>
      <c r="G213" s="59"/>
      <c r="H213" s="59"/>
      <c r="I213" s="57"/>
      <c r="J213" s="60" t="str">
        <f aca="false">IF(AND(ISNUMBER(F213),ISNUMBER(G213)),MAX(0,G213-F213),IF(ISNUMBER(H213),H213*IF(I213="Yes / Sí",2,1),""))</f>
        <v/>
      </c>
      <c r="K213" s="61" t="str">
        <f aca="false">IF(OR(J213="",NOT(ISNUMBER(B213))),"",IF(COUNTIF(Settings!$B$8:$B$17,"&lt;="&amp;B213)=0,Settings!$C$8,INDEX(Settings!$C$8:$C$17,COUNTIF(Settings!$B$8:$B$17,"&lt;="&amp;B213))))</f>
        <v/>
      </c>
      <c r="L213" s="56" t="str">
        <f aca="false">IF(K213="","",ROUND(J213*K213,2))</f>
        <v/>
      </c>
      <c r="M213" s="58" t="str">
        <f aca="false">IF(AND(B213="",F213="",G213="",H213=""),"",IF(NOT(ISNUMBER(B213)),"⚠ ADD DATE / AGREGA FECHA",IF(J213="","⚠ ADD MILES / AGREGA MILLAS",IF(AND(ISNUMBER(F213),ISNUMBER(G213)),IF(G213&lt;F213,"⚠ CHECK ODOMETER / REVISA ODÓMETRO","✔ OK"),"✔ OK"))))</f>
        <v/>
      </c>
      <c r="N213" s="53"/>
      <c r="P213" s="51" t="n">
        <f aca="false">IF(ISNUMBER(L213),1,0)</f>
        <v>0</v>
      </c>
      <c r="Q213" s="51" t="n">
        <f aca="false">IF(P213=1,YEAR(B213),0)</f>
        <v>0</v>
      </c>
      <c r="R213" s="51" t="n">
        <f aca="false">IF(P213=1,YEAR(B213)*100+MONTH(B213),0)</f>
        <v>0</v>
      </c>
    </row>
    <row r="214" customFormat="false" ht="15" hidden="false" customHeight="false" outlineLevel="0" collapsed="false">
      <c r="B214" s="52"/>
      <c r="C214" s="53"/>
      <c r="D214" s="53"/>
      <c r="E214" s="53"/>
      <c r="F214" s="59"/>
      <c r="G214" s="59"/>
      <c r="H214" s="59"/>
      <c r="I214" s="57"/>
      <c r="J214" s="60" t="str">
        <f aca="false">IF(AND(ISNUMBER(F214),ISNUMBER(G214)),MAX(0,G214-F214),IF(ISNUMBER(H214),H214*IF(I214="Yes / Sí",2,1),""))</f>
        <v/>
      </c>
      <c r="K214" s="61" t="str">
        <f aca="false">IF(OR(J214="",NOT(ISNUMBER(B214))),"",IF(COUNTIF(Settings!$B$8:$B$17,"&lt;="&amp;B214)=0,Settings!$C$8,INDEX(Settings!$C$8:$C$17,COUNTIF(Settings!$B$8:$B$17,"&lt;="&amp;B214))))</f>
        <v/>
      </c>
      <c r="L214" s="56" t="str">
        <f aca="false">IF(K214="","",ROUND(J214*K214,2))</f>
        <v/>
      </c>
      <c r="M214" s="58" t="str">
        <f aca="false">IF(AND(B214="",F214="",G214="",H214=""),"",IF(NOT(ISNUMBER(B214)),"⚠ ADD DATE / AGREGA FECHA",IF(J214="","⚠ ADD MILES / AGREGA MILLAS",IF(AND(ISNUMBER(F214),ISNUMBER(G214)),IF(G214&lt;F214,"⚠ CHECK ODOMETER / REVISA ODÓMETRO","✔ OK"),"✔ OK"))))</f>
        <v/>
      </c>
      <c r="N214" s="53"/>
      <c r="P214" s="51" t="n">
        <f aca="false">IF(ISNUMBER(L214),1,0)</f>
        <v>0</v>
      </c>
      <c r="Q214" s="51" t="n">
        <f aca="false">IF(P214=1,YEAR(B214),0)</f>
        <v>0</v>
      </c>
      <c r="R214" s="51" t="n">
        <f aca="false">IF(P214=1,YEAR(B214)*100+MONTH(B214),0)</f>
        <v>0</v>
      </c>
    </row>
    <row r="215" customFormat="false" ht="15" hidden="false" customHeight="false" outlineLevel="0" collapsed="false">
      <c r="B215" s="52"/>
      <c r="C215" s="53"/>
      <c r="D215" s="53"/>
      <c r="E215" s="53"/>
      <c r="F215" s="59"/>
      <c r="G215" s="59"/>
      <c r="H215" s="59"/>
      <c r="I215" s="57"/>
      <c r="J215" s="60" t="str">
        <f aca="false">IF(AND(ISNUMBER(F215),ISNUMBER(G215)),MAX(0,G215-F215),IF(ISNUMBER(H215),H215*IF(I215="Yes / Sí",2,1),""))</f>
        <v/>
      </c>
      <c r="K215" s="61" t="str">
        <f aca="false">IF(OR(J215="",NOT(ISNUMBER(B215))),"",IF(COUNTIF(Settings!$B$8:$B$17,"&lt;="&amp;B215)=0,Settings!$C$8,INDEX(Settings!$C$8:$C$17,COUNTIF(Settings!$B$8:$B$17,"&lt;="&amp;B215))))</f>
        <v/>
      </c>
      <c r="L215" s="56" t="str">
        <f aca="false">IF(K215="","",ROUND(J215*K215,2))</f>
        <v/>
      </c>
      <c r="M215" s="58" t="str">
        <f aca="false">IF(AND(B215="",F215="",G215="",H215=""),"",IF(NOT(ISNUMBER(B215)),"⚠ ADD DATE / AGREGA FECHA",IF(J215="","⚠ ADD MILES / AGREGA MILLAS",IF(AND(ISNUMBER(F215),ISNUMBER(G215)),IF(G215&lt;F215,"⚠ CHECK ODOMETER / REVISA ODÓMETRO","✔ OK"),"✔ OK"))))</f>
        <v/>
      </c>
      <c r="N215" s="53"/>
      <c r="P215" s="51" t="n">
        <f aca="false">IF(ISNUMBER(L215),1,0)</f>
        <v>0</v>
      </c>
      <c r="Q215" s="51" t="n">
        <f aca="false">IF(P215=1,YEAR(B215),0)</f>
        <v>0</v>
      </c>
      <c r="R215" s="51" t="n">
        <f aca="false">IF(P215=1,YEAR(B215)*100+MONTH(B215),0)</f>
        <v>0</v>
      </c>
    </row>
    <row r="216" customFormat="false" ht="15" hidden="false" customHeight="false" outlineLevel="0" collapsed="false">
      <c r="B216" s="52"/>
      <c r="C216" s="53"/>
      <c r="D216" s="53"/>
      <c r="E216" s="53"/>
      <c r="F216" s="59"/>
      <c r="G216" s="59"/>
      <c r="H216" s="59"/>
      <c r="I216" s="57"/>
      <c r="J216" s="60" t="str">
        <f aca="false">IF(AND(ISNUMBER(F216),ISNUMBER(G216)),MAX(0,G216-F216),IF(ISNUMBER(H216),H216*IF(I216="Yes / Sí",2,1),""))</f>
        <v/>
      </c>
      <c r="K216" s="61" t="str">
        <f aca="false">IF(OR(J216="",NOT(ISNUMBER(B216))),"",IF(COUNTIF(Settings!$B$8:$B$17,"&lt;="&amp;B216)=0,Settings!$C$8,INDEX(Settings!$C$8:$C$17,COUNTIF(Settings!$B$8:$B$17,"&lt;="&amp;B216))))</f>
        <v/>
      </c>
      <c r="L216" s="56" t="str">
        <f aca="false">IF(K216="","",ROUND(J216*K216,2))</f>
        <v/>
      </c>
      <c r="M216" s="58" t="str">
        <f aca="false">IF(AND(B216="",F216="",G216="",H216=""),"",IF(NOT(ISNUMBER(B216)),"⚠ ADD DATE / AGREGA FECHA",IF(J216="","⚠ ADD MILES / AGREGA MILLAS",IF(AND(ISNUMBER(F216),ISNUMBER(G216)),IF(G216&lt;F216,"⚠ CHECK ODOMETER / REVISA ODÓMETRO","✔ OK"),"✔ OK"))))</f>
        <v/>
      </c>
      <c r="N216" s="53"/>
      <c r="P216" s="51" t="n">
        <f aca="false">IF(ISNUMBER(L216),1,0)</f>
        <v>0</v>
      </c>
      <c r="Q216" s="51" t="n">
        <f aca="false">IF(P216=1,YEAR(B216),0)</f>
        <v>0</v>
      </c>
      <c r="R216" s="51" t="n">
        <f aca="false">IF(P216=1,YEAR(B216)*100+MONTH(B216),0)</f>
        <v>0</v>
      </c>
    </row>
    <row r="217" customFormat="false" ht="15" hidden="false" customHeight="false" outlineLevel="0" collapsed="false">
      <c r="B217" s="52"/>
      <c r="C217" s="53"/>
      <c r="D217" s="53"/>
      <c r="E217" s="53"/>
      <c r="F217" s="59"/>
      <c r="G217" s="59"/>
      <c r="H217" s="59"/>
      <c r="I217" s="57"/>
      <c r="J217" s="60" t="str">
        <f aca="false">IF(AND(ISNUMBER(F217),ISNUMBER(G217)),MAX(0,G217-F217),IF(ISNUMBER(H217),H217*IF(I217="Yes / Sí",2,1),""))</f>
        <v/>
      </c>
      <c r="K217" s="61" t="str">
        <f aca="false">IF(OR(J217="",NOT(ISNUMBER(B217))),"",IF(COUNTIF(Settings!$B$8:$B$17,"&lt;="&amp;B217)=0,Settings!$C$8,INDEX(Settings!$C$8:$C$17,COUNTIF(Settings!$B$8:$B$17,"&lt;="&amp;B217))))</f>
        <v/>
      </c>
      <c r="L217" s="56" t="str">
        <f aca="false">IF(K217="","",ROUND(J217*K217,2))</f>
        <v/>
      </c>
      <c r="M217" s="58" t="str">
        <f aca="false">IF(AND(B217="",F217="",G217="",H217=""),"",IF(NOT(ISNUMBER(B217)),"⚠ ADD DATE / AGREGA FECHA",IF(J217="","⚠ ADD MILES / AGREGA MILLAS",IF(AND(ISNUMBER(F217),ISNUMBER(G217)),IF(G217&lt;F217,"⚠ CHECK ODOMETER / REVISA ODÓMETRO","✔ OK"),"✔ OK"))))</f>
        <v/>
      </c>
      <c r="N217" s="53"/>
      <c r="P217" s="51" t="n">
        <f aca="false">IF(ISNUMBER(L217),1,0)</f>
        <v>0</v>
      </c>
      <c r="Q217" s="51" t="n">
        <f aca="false">IF(P217=1,YEAR(B217),0)</f>
        <v>0</v>
      </c>
      <c r="R217" s="51" t="n">
        <f aca="false">IF(P217=1,YEAR(B217)*100+MONTH(B217),0)</f>
        <v>0</v>
      </c>
    </row>
    <row r="218" customFormat="false" ht="15" hidden="false" customHeight="false" outlineLevel="0" collapsed="false">
      <c r="B218" s="52"/>
      <c r="C218" s="53"/>
      <c r="D218" s="53"/>
      <c r="E218" s="53"/>
      <c r="F218" s="59"/>
      <c r="G218" s="59"/>
      <c r="H218" s="59"/>
      <c r="I218" s="57"/>
      <c r="J218" s="60" t="str">
        <f aca="false">IF(AND(ISNUMBER(F218),ISNUMBER(G218)),MAX(0,G218-F218),IF(ISNUMBER(H218),H218*IF(I218="Yes / Sí",2,1),""))</f>
        <v/>
      </c>
      <c r="K218" s="61" t="str">
        <f aca="false">IF(OR(J218="",NOT(ISNUMBER(B218))),"",IF(COUNTIF(Settings!$B$8:$B$17,"&lt;="&amp;B218)=0,Settings!$C$8,INDEX(Settings!$C$8:$C$17,COUNTIF(Settings!$B$8:$B$17,"&lt;="&amp;B218))))</f>
        <v/>
      </c>
      <c r="L218" s="56" t="str">
        <f aca="false">IF(K218="","",ROUND(J218*K218,2))</f>
        <v/>
      </c>
      <c r="M218" s="58" t="str">
        <f aca="false">IF(AND(B218="",F218="",G218="",H218=""),"",IF(NOT(ISNUMBER(B218)),"⚠ ADD DATE / AGREGA FECHA",IF(J218="","⚠ ADD MILES / AGREGA MILLAS",IF(AND(ISNUMBER(F218),ISNUMBER(G218)),IF(G218&lt;F218,"⚠ CHECK ODOMETER / REVISA ODÓMETRO","✔ OK"),"✔ OK"))))</f>
        <v/>
      </c>
      <c r="N218" s="53"/>
      <c r="P218" s="51" t="n">
        <f aca="false">IF(ISNUMBER(L218),1,0)</f>
        <v>0</v>
      </c>
      <c r="Q218" s="51" t="n">
        <f aca="false">IF(P218=1,YEAR(B218),0)</f>
        <v>0</v>
      </c>
      <c r="R218" s="51" t="n">
        <f aca="false">IF(P218=1,YEAR(B218)*100+MONTH(B218),0)</f>
        <v>0</v>
      </c>
    </row>
    <row r="219" customFormat="false" ht="15" hidden="false" customHeight="false" outlineLevel="0" collapsed="false">
      <c r="B219" s="52"/>
      <c r="C219" s="53"/>
      <c r="D219" s="53"/>
      <c r="E219" s="53"/>
      <c r="F219" s="59"/>
      <c r="G219" s="59"/>
      <c r="H219" s="59"/>
      <c r="I219" s="57"/>
      <c r="J219" s="60" t="str">
        <f aca="false">IF(AND(ISNUMBER(F219),ISNUMBER(G219)),MAX(0,G219-F219),IF(ISNUMBER(H219),H219*IF(I219="Yes / Sí",2,1),""))</f>
        <v/>
      </c>
      <c r="K219" s="61" t="str">
        <f aca="false">IF(OR(J219="",NOT(ISNUMBER(B219))),"",IF(COUNTIF(Settings!$B$8:$B$17,"&lt;="&amp;B219)=0,Settings!$C$8,INDEX(Settings!$C$8:$C$17,COUNTIF(Settings!$B$8:$B$17,"&lt;="&amp;B219))))</f>
        <v/>
      </c>
      <c r="L219" s="56" t="str">
        <f aca="false">IF(K219="","",ROUND(J219*K219,2))</f>
        <v/>
      </c>
      <c r="M219" s="58" t="str">
        <f aca="false">IF(AND(B219="",F219="",G219="",H219=""),"",IF(NOT(ISNUMBER(B219)),"⚠ ADD DATE / AGREGA FECHA",IF(J219="","⚠ ADD MILES / AGREGA MILLAS",IF(AND(ISNUMBER(F219),ISNUMBER(G219)),IF(G219&lt;F219,"⚠ CHECK ODOMETER / REVISA ODÓMETRO","✔ OK"),"✔ OK"))))</f>
        <v/>
      </c>
      <c r="N219" s="53"/>
      <c r="P219" s="51" t="n">
        <f aca="false">IF(ISNUMBER(L219),1,0)</f>
        <v>0</v>
      </c>
      <c r="Q219" s="51" t="n">
        <f aca="false">IF(P219=1,YEAR(B219),0)</f>
        <v>0</v>
      </c>
      <c r="R219" s="51" t="n">
        <f aca="false">IF(P219=1,YEAR(B219)*100+MONTH(B219),0)</f>
        <v>0</v>
      </c>
    </row>
    <row r="220" customFormat="false" ht="15" hidden="false" customHeight="false" outlineLevel="0" collapsed="false">
      <c r="B220" s="52"/>
      <c r="C220" s="53"/>
      <c r="D220" s="53"/>
      <c r="E220" s="53"/>
      <c r="F220" s="59"/>
      <c r="G220" s="59"/>
      <c r="H220" s="59"/>
      <c r="I220" s="57"/>
      <c r="J220" s="60" t="str">
        <f aca="false">IF(AND(ISNUMBER(F220),ISNUMBER(G220)),MAX(0,G220-F220),IF(ISNUMBER(H220),H220*IF(I220="Yes / Sí",2,1),""))</f>
        <v/>
      </c>
      <c r="K220" s="61" t="str">
        <f aca="false">IF(OR(J220="",NOT(ISNUMBER(B220))),"",IF(COUNTIF(Settings!$B$8:$B$17,"&lt;="&amp;B220)=0,Settings!$C$8,INDEX(Settings!$C$8:$C$17,COUNTIF(Settings!$B$8:$B$17,"&lt;="&amp;B220))))</f>
        <v/>
      </c>
      <c r="L220" s="56" t="str">
        <f aca="false">IF(K220="","",ROUND(J220*K220,2))</f>
        <v/>
      </c>
      <c r="M220" s="58" t="str">
        <f aca="false">IF(AND(B220="",F220="",G220="",H220=""),"",IF(NOT(ISNUMBER(B220)),"⚠ ADD DATE / AGREGA FECHA",IF(J220="","⚠ ADD MILES / AGREGA MILLAS",IF(AND(ISNUMBER(F220),ISNUMBER(G220)),IF(G220&lt;F220,"⚠ CHECK ODOMETER / REVISA ODÓMETRO","✔ OK"),"✔ OK"))))</f>
        <v/>
      </c>
      <c r="N220" s="53"/>
      <c r="P220" s="51" t="n">
        <f aca="false">IF(ISNUMBER(L220),1,0)</f>
        <v>0</v>
      </c>
      <c r="Q220" s="51" t="n">
        <f aca="false">IF(P220=1,YEAR(B220),0)</f>
        <v>0</v>
      </c>
      <c r="R220" s="51" t="n">
        <f aca="false">IF(P220=1,YEAR(B220)*100+MONTH(B220),0)</f>
        <v>0</v>
      </c>
    </row>
    <row r="221" customFormat="false" ht="15" hidden="false" customHeight="false" outlineLevel="0" collapsed="false">
      <c r="B221" s="52"/>
      <c r="C221" s="53"/>
      <c r="D221" s="53"/>
      <c r="E221" s="53"/>
      <c r="F221" s="59"/>
      <c r="G221" s="59"/>
      <c r="H221" s="59"/>
      <c r="I221" s="57"/>
      <c r="J221" s="60" t="str">
        <f aca="false">IF(AND(ISNUMBER(F221),ISNUMBER(G221)),MAX(0,G221-F221),IF(ISNUMBER(H221),H221*IF(I221="Yes / Sí",2,1),""))</f>
        <v/>
      </c>
      <c r="K221" s="61" t="str">
        <f aca="false">IF(OR(J221="",NOT(ISNUMBER(B221))),"",IF(COUNTIF(Settings!$B$8:$B$17,"&lt;="&amp;B221)=0,Settings!$C$8,INDEX(Settings!$C$8:$C$17,COUNTIF(Settings!$B$8:$B$17,"&lt;="&amp;B221))))</f>
        <v/>
      </c>
      <c r="L221" s="56" t="str">
        <f aca="false">IF(K221="","",ROUND(J221*K221,2))</f>
        <v/>
      </c>
      <c r="M221" s="58" t="str">
        <f aca="false">IF(AND(B221="",F221="",G221="",H221=""),"",IF(NOT(ISNUMBER(B221)),"⚠ ADD DATE / AGREGA FECHA",IF(J221="","⚠ ADD MILES / AGREGA MILLAS",IF(AND(ISNUMBER(F221),ISNUMBER(G221)),IF(G221&lt;F221,"⚠ CHECK ODOMETER / REVISA ODÓMETRO","✔ OK"),"✔ OK"))))</f>
        <v/>
      </c>
      <c r="N221" s="53"/>
      <c r="P221" s="51" t="n">
        <f aca="false">IF(ISNUMBER(L221),1,0)</f>
        <v>0</v>
      </c>
      <c r="Q221" s="51" t="n">
        <f aca="false">IF(P221=1,YEAR(B221),0)</f>
        <v>0</v>
      </c>
      <c r="R221" s="51" t="n">
        <f aca="false">IF(P221=1,YEAR(B221)*100+MONTH(B221),0)</f>
        <v>0</v>
      </c>
    </row>
    <row r="222" customFormat="false" ht="15" hidden="false" customHeight="false" outlineLevel="0" collapsed="false">
      <c r="B222" s="52"/>
      <c r="C222" s="53"/>
      <c r="D222" s="53"/>
      <c r="E222" s="53"/>
      <c r="F222" s="59"/>
      <c r="G222" s="59"/>
      <c r="H222" s="59"/>
      <c r="I222" s="57"/>
      <c r="J222" s="60" t="str">
        <f aca="false">IF(AND(ISNUMBER(F222),ISNUMBER(G222)),MAX(0,G222-F222),IF(ISNUMBER(H222),H222*IF(I222="Yes / Sí",2,1),""))</f>
        <v/>
      </c>
      <c r="K222" s="61" t="str">
        <f aca="false">IF(OR(J222="",NOT(ISNUMBER(B222))),"",IF(COUNTIF(Settings!$B$8:$B$17,"&lt;="&amp;B222)=0,Settings!$C$8,INDEX(Settings!$C$8:$C$17,COUNTIF(Settings!$B$8:$B$17,"&lt;="&amp;B222))))</f>
        <v/>
      </c>
      <c r="L222" s="56" t="str">
        <f aca="false">IF(K222="","",ROUND(J222*K222,2))</f>
        <v/>
      </c>
      <c r="M222" s="58" t="str">
        <f aca="false">IF(AND(B222="",F222="",G222="",H222=""),"",IF(NOT(ISNUMBER(B222)),"⚠ ADD DATE / AGREGA FECHA",IF(J222="","⚠ ADD MILES / AGREGA MILLAS",IF(AND(ISNUMBER(F222),ISNUMBER(G222)),IF(G222&lt;F222,"⚠ CHECK ODOMETER / REVISA ODÓMETRO","✔ OK"),"✔ OK"))))</f>
        <v/>
      </c>
      <c r="N222" s="53"/>
      <c r="P222" s="51" t="n">
        <f aca="false">IF(ISNUMBER(L222),1,0)</f>
        <v>0</v>
      </c>
      <c r="Q222" s="51" t="n">
        <f aca="false">IF(P222=1,YEAR(B222),0)</f>
        <v>0</v>
      </c>
      <c r="R222" s="51" t="n">
        <f aca="false">IF(P222=1,YEAR(B222)*100+MONTH(B222),0)</f>
        <v>0</v>
      </c>
    </row>
    <row r="223" customFormat="false" ht="15" hidden="false" customHeight="false" outlineLevel="0" collapsed="false">
      <c r="B223" s="52"/>
      <c r="C223" s="53"/>
      <c r="D223" s="53"/>
      <c r="E223" s="53"/>
      <c r="F223" s="59"/>
      <c r="G223" s="59"/>
      <c r="H223" s="59"/>
      <c r="I223" s="57"/>
      <c r="J223" s="60" t="str">
        <f aca="false">IF(AND(ISNUMBER(F223),ISNUMBER(G223)),MAX(0,G223-F223),IF(ISNUMBER(H223),H223*IF(I223="Yes / Sí",2,1),""))</f>
        <v/>
      </c>
      <c r="K223" s="61" t="str">
        <f aca="false">IF(OR(J223="",NOT(ISNUMBER(B223))),"",IF(COUNTIF(Settings!$B$8:$B$17,"&lt;="&amp;B223)=0,Settings!$C$8,INDEX(Settings!$C$8:$C$17,COUNTIF(Settings!$B$8:$B$17,"&lt;="&amp;B223))))</f>
        <v/>
      </c>
      <c r="L223" s="56" t="str">
        <f aca="false">IF(K223="","",ROUND(J223*K223,2))</f>
        <v/>
      </c>
      <c r="M223" s="58" t="str">
        <f aca="false">IF(AND(B223="",F223="",G223="",H223=""),"",IF(NOT(ISNUMBER(B223)),"⚠ ADD DATE / AGREGA FECHA",IF(J223="","⚠ ADD MILES / AGREGA MILLAS",IF(AND(ISNUMBER(F223),ISNUMBER(G223)),IF(G223&lt;F223,"⚠ CHECK ODOMETER / REVISA ODÓMETRO","✔ OK"),"✔ OK"))))</f>
        <v/>
      </c>
      <c r="N223" s="53"/>
      <c r="P223" s="51" t="n">
        <f aca="false">IF(ISNUMBER(L223),1,0)</f>
        <v>0</v>
      </c>
      <c r="Q223" s="51" t="n">
        <f aca="false">IF(P223=1,YEAR(B223),0)</f>
        <v>0</v>
      </c>
      <c r="R223" s="51" t="n">
        <f aca="false">IF(P223=1,YEAR(B223)*100+MONTH(B223),0)</f>
        <v>0</v>
      </c>
    </row>
    <row r="224" customFormat="false" ht="15" hidden="false" customHeight="false" outlineLevel="0" collapsed="false">
      <c r="B224" s="52"/>
      <c r="C224" s="53"/>
      <c r="D224" s="53"/>
      <c r="E224" s="53"/>
      <c r="F224" s="59"/>
      <c r="G224" s="59"/>
      <c r="H224" s="59"/>
      <c r="I224" s="57"/>
      <c r="J224" s="60" t="str">
        <f aca="false">IF(AND(ISNUMBER(F224),ISNUMBER(G224)),MAX(0,G224-F224),IF(ISNUMBER(H224),H224*IF(I224="Yes / Sí",2,1),""))</f>
        <v/>
      </c>
      <c r="K224" s="61" t="str">
        <f aca="false">IF(OR(J224="",NOT(ISNUMBER(B224))),"",IF(COUNTIF(Settings!$B$8:$B$17,"&lt;="&amp;B224)=0,Settings!$C$8,INDEX(Settings!$C$8:$C$17,COUNTIF(Settings!$B$8:$B$17,"&lt;="&amp;B224))))</f>
        <v/>
      </c>
      <c r="L224" s="56" t="str">
        <f aca="false">IF(K224="","",ROUND(J224*K224,2))</f>
        <v/>
      </c>
      <c r="M224" s="58" t="str">
        <f aca="false">IF(AND(B224="",F224="",G224="",H224=""),"",IF(NOT(ISNUMBER(B224)),"⚠ ADD DATE / AGREGA FECHA",IF(J224="","⚠ ADD MILES / AGREGA MILLAS",IF(AND(ISNUMBER(F224),ISNUMBER(G224)),IF(G224&lt;F224,"⚠ CHECK ODOMETER / REVISA ODÓMETRO","✔ OK"),"✔ OK"))))</f>
        <v/>
      </c>
      <c r="N224" s="53"/>
      <c r="P224" s="51" t="n">
        <f aca="false">IF(ISNUMBER(L224),1,0)</f>
        <v>0</v>
      </c>
      <c r="Q224" s="51" t="n">
        <f aca="false">IF(P224=1,YEAR(B224),0)</f>
        <v>0</v>
      </c>
      <c r="R224" s="51" t="n">
        <f aca="false">IF(P224=1,YEAR(B224)*100+MONTH(B224),0)</f>
        <v>0</v>
      </c>
    </row>
    <row r="225" customFormat="false" ht="15" hidden="false" customHeight="false" outlineLevel="0" collapsed="false">
      <c r="B225" s="52"/>
      <c r="C225" s="53"/>
      <c r="D225" s="53"/>
      <c r="E225" s="53"/>
      <c r="F225" s="59"/>
      <c r="G225" s="59"/>
      <c r="H225" s="59"/>
      <c r="I225" s="57"/>
      <c r="J225" s="60" t="str">
        <f aca="false">IF(AND(ISNUMBER(F225),ISNUMBER(G225)),MAX(0,G225-F225),IF(ISNUMBER(H225),H225*IF(I225="Yes / Sí",2,1),""))</f>
        <v/>
      </c>
      <c r="K225" s="61" t="str">
        <f aca="false">IF(OR(J225="",NOT(ISNUMBER(B225))),"",IF(COUNTIF(Settings!$B$8:$B$17,"&lt;="&amp;B225)=0,Settings!$C$8,INDEX(Settings!$C$8:$C$17,COUNTIF(Settings!$B$8:$B$17,"&lt;="&amp;B225))))</f>
        <v/>
      </c>
      <c r="L225" s="56" t="str">
        <f aca="false">IF(K225="","",ROUND(J225*K225,2))</f>
        <v/>
      </c>
      <c r="M225" s="58" t="str">
        <f aca="false">IF(AND(B225="",F225="",G225="",H225=""),"",IF(NOT(ISNUMBER(B225)),"⚠ ADD DATE / AGREGA FECHA",IF(J225="","⚠ ADD MILES / AGREGA MILLAS",IF(AND(ISNUMBER(F225),ISNUMBER(G225)),IF(G225&lt;F225,"⚠ CHECK ODOMETER / REVISA ODÓMETRO","✔ OK"),"✔ OK"))))</f>
        <v/>
      </c>
      <c r="N225" s="53"/>
      <c r="P225" s="51" t="n">
        <f aca="false">IF(ISNUMBER(L225),1,0)</f>
        <v>0</v>
      </c>
      <c r="Q225" s="51" t="n">
        <f aca="false">IF(P225=1,YEAR(B225),0)</f>
        <v>0</v>
      </c>
      <c r="R225" s="51" t="n">
        <f aca="false">IF(P225=1,YEAR(B225)*100+MONTH(B225),0)</f>
        <v>0</v>
      </c>
    </row>
    <row r="226" customFormat="false" ht="15" hidden="false" customHeight="false" outlineLevel="0" collapsed="false">
      <c r="B226" s="52"/>
      <c r="C226" s="53"/>
      <c r="D226" s="53"/>
      <c r="E226" s="53"/>
      <c r="F226" s="59"/>
      <c r="G226" s="59"/>
      <c r="H226" s="59"/>
      <c r="I226" s="57"/>
      <c r="J226" s="60" t="str">
        <f aca="false">IF(AND(ISNUMBER(F226),ISNUMBER(G226)),MAX(0,G226-F226),IF(ISNUMBER(H226),H226*IF(I226="Yes / Sí",2,1),""))</f>
        <v/>
      </c>
      <c r="K226" s="61" t="str">
        <f aca="false">IF(OR(J226="",NOT(ISNUMBER(B226))),"",IF(COUNTIF(Settings!$B$8:$B$17,"&lt;="&amp;B226)=0,Settings!$C$8,INDEX(Settings!$C$8:$C$17,COUNTIF(Settings!$B$8:$B$17,"&lt;="&amp;B226))))</f>
        <v/>
      </c>
      <c r="L226" s="56" t="str">
        <f aca="false">IF(K226="","",ROUND(J226*K226,2))</f>
        <v/>
      </c>
      <c r="M226" s="58" t="str">
        <f aca="false">IF(AND(B226="",F226="",G226="",H226=""),"",IF(NOT(ISNUMBER(B226)),"⚠ ADD DATE / AGREGA FECHA",IF(J226="","⚠ ADD MILES / AGREGA MILLAS",IF(AND(ISNUMBER(F226),ISNUMBER(G226)),IF(G226&lt;F226,"⚠ CHECK ODOMETER / REVISA ODÓMETRO","✔ OK"),"✔ OK"))))</f>
        <v/>
      </c>
      <c r="N226" s="53"/>
      <c r="P226" s="51" t="n">
        <f aca="false">IF(ISNUMBER(L226),1,0)</f>
        <v>0</v>
      </c>
      <c r="Q226" s="51" t="n">
        <f aca="false">IF(P226=1,YEAR(B226),0)</f>
        <v>0</v>
      </c>
      <c r="R226" s="51" t="n">
        <f aca="false">IF(P226=1,YEAR(B226)*100+MONTH(B226),0)</f>
        <v>0</v>
      </c>
    </row>
    <row r="227" customFormat="false" ht="15" hidden="false" customHeight="false" outlineLevel="0" collapsed="false">
      <c r="B227" s="52"/>
      <c r="C227" s="53"/>
      <c r="D227" s="53"/>
      <c r="E227" s="53"/>
      <c r="F227" s="59"/>
      <c r="G227" s="59"/>
      <c r="H227" s="59"/>
      <c r="I227" s="57"/>
      <c r="J227" s="60" t="str">
        <f aca="false">IF(AND(ISNUMBER(F227),ISNUMBER(G227)),MAX(0,G227-F227),IF(ISNUMBER(H227),H227*IF(I227="Yes / Sí",2,1),""))</f>
        <v/>
      </c>
      <c r="K227" s="61" t="str">
        <f aca="false">IF(OR(J227="",NOT(ISNUMBER(B227))),"",IF(COUNTIF(Settings!$B$8:$B$17,"&lt;="&amp;B227)=0,Settings!$C$8,INDEX(Settings!$C$8:$C$17,COUNTIF(Settings!$B$8:$B$17,"&lt;="&amp;B227))))</f>
        <v/>
      </c>
      <c r="L227" s="56" t="str">
        <f aca="false">IF(K227="","",ROUND(J227*K227,2))</f>
        <v/>
      </c>
      <c r="M227" s="58" t="str">
        <f aca="false">IF(AND(B227="",F227="",G227="",H227=""),"",IF(NOT(ISNUMBER(B227)),"⚠ ADD DATE / AGREGA FECHA",IF(J227="","⚠ ADD MILES / AGREGA MILLAS",IF(AND(ISNUMBER(F227),ISNUMBER(G227)),IF(G227&lt;F227,"⚠ CHECK ODOMETER / REVISA ODÓMETRO","✔ OK"),"✔ OK"))))</f>
        <v/>
      </c>
      <c r="N227" s="53"/>
      <c r="P227" s="51" t="n">
        <f aca="false">IF(ISNUMBER(L227),1,0)</f>
        <v>0</v>
      </c>
      <c r="Q227" s="51" t="n">
        <f aca="false">IF(P227=1,YEAR(B227),0)</f>
        <v>0</v>
      </c>
      <c r="R227" s="51" t="n">
        <f aca="false">IF(P227=1,YEAR(B227)*100+MONTH(B227),0)</f>
        <v>0</v>
      </c>
    </row>
    <row r="228" customFormat="false" ht="15" hidden="false" customHeight="false" outlineLevel="0" collapsed="false">
      <c r="B228" s="52"/>
      <c r="C228" s="53"/>
      <c r="D228" s="53"/>
      <c r="E228" s="53"/>
      <c r="F228" s="59"/>
      <c r="G228" s="59"/>
      <c r="H228" s="59"/>
      <c r="I228" s="57"/>
      <c r="J228" s="60" t="str">
        <f aca="false">IF(AND(ISNUMBER(F228),ISNUMBER(G228)),MAX(0,G228-F228),IF(ISNUMBER(H228),H228*IF(I228="Yes / Sí",2,1),""))</f>
        <v/>
      </c>
      <c r="K228" s="61" t="str">
        <f aca="false">IF(OR(J228="",NOT(ISNUMBER(B228))),"",IF(COUNTIF(Settings!$B$8:$B$17,"&lt;="&amp;B228)=0,Settings!$C$8,INDEX(Settings!$C$8:$C$17,COUNTIF(Settings!$B$8:$B$17,"&lt;="&amp;B228))))</f>
        <v/>
      </c>
      <c r="L228" s="56" t="str">
        <f aca="false">IF(K228="","",ROUND(J228*K228,2))</f>
        <v/>
      </c>
      <c r="M228" s="58" t="str">
        <f aca="false">IF(AND(B228="",F228="",G228="",H228=""),"",IF(NOT(ISNUMBER(B228)),"⚠ ADD DATE / AGREGA FECHA",IF(J228="","⚠ ADD MILES / AGREGA MILLAS",IF(AND(ISNUMBER(F228),ISNUMBER(G228)),IF(G228&lt;F228,"⚠ CHECK ODOMETER / REVISA ODÓMETRO","✔ OK"),"✔ OK"))))</f>
        <v/>
      </c>
      <c r="N228" s="53"/>
      <c r="P228" s="51" t="n">
        <f aca="false">IF(ISNUMBER(L228),1,0)</f>
        <v>0</v>
      </c>
      <c r="Q228" s="51" t="n">
        <f aca="false">IF(P228=1,YEAR(B228),0)</f>
        <v>0</v>
      </c>
      <c r="R228" s="51" t="n">
        <f aca="false">IF(P228=1,YEAR(B228)*100+MONTH(B228),0)</f>
        <v>0</v>
      </c>
    </row>
    <row r="229" customFormat="false" ht="15" hidden="false" customHeight="false" outlineLevel="0" collapsed="false">
      <c r="B229" s="52"/>
      <c r="C229" s="53"/>
      <c r="D229" s="53"/>
      <c r="E229" s="53"/>
      <c r="F229" s="59"/>
      <c r="G229" s="59"/>
      <c r="H229" s="59"/>
      <c r="I229" s="57"/>
      <c r="J229" s="60" t="str">
        <f aca="false">IF(AND(ISNUMBER(F229),ISNUMBER(G229)),MAX(0,G229-F229),IF(ISNUMBER(H229),H229*IF(I229="Yes / Sí",2,1),""))</f>
        <v/>
      </c>
      <c r="K229" s="61" t="str">
        <f aca="false">IF(OR(J229="",NOT(ISNUMBER(B229))),"",IF(COUNTIF(Settings!$B$8:$B$17,"&lt;="&amp;B229)=0,Settings!$C$8,INDEX(Settings!$C$8:$C$17,COUNTIF(Settings!$B$8:$B$17,"&lt;="&amp;B229))))</f>
        <v/>
      </c>
      <c r="L229" s="56" t="str">
        <f aca="false">IF(K229="","",ROUND(J229*K229,2))</f>
        <v/>
      </c>
      <c r="M229" s="58" t="str">
        <f aca="false">IF(AND(B229="",F229="",G229="",H229=""),"",IF(NOT(ISNUMBER(B229)),"⚠ ADD DATE / AGREGA FECHA",IF(J229="","⚠ ADD MILES / AGREGA MILLAS",IF(AND(ISNUMBER(F229),ISNUMBER(G229)),IF(G229&lt;F229,"⚠ CHECK ODOMETER / REVISA ODÓMETRO","✔ OK"),"✔ OK"))))</f>
        <v/>
      </c>
      <c r="N229" s="53"/>
      <c r="P229" s="51" t="n">
        <f aca="false">IF(ISNUMBER(L229),1,0)</f>
        <v>0</v>
      </c>
      <c r="Q229" s="51" t="n">
        <f aca="false">IF(P229=1,YEAR(B229),0)</f>
        <v>0</v>
      </c>
      <c r="R229" s="51" t="n">
        <f aca="false">IF(P229=1,YEAR(B229)*100+MONTH(B229),0)</f>
        <v>0</v>
      </c>
    </row>
    <row r="230" customFormat="false" ht="15" hidden="false" customHeight="false" outlineLevel="0" collapsed="false">
      <c r="B230" s="52"/>
      <c r="C230" s="53"/>
      <c r="D230" s="53"/>
      <c r="E230" s="53"/>
      <c r="F230" s="59"/>
      <c r="G230" s="59"/>
      <c r="H230" s="59"/>
      <c r="I230" s="57"/>
      <c r="J230" s="60" t="str">
        <f aca="false">IF(AND(ISNUMBER(F230),ISNUMBER(G230)),MAX(0,G230-F230),IF(ISNUMBER(H230),H230*IF(I230="Yes / Sí",2,1),""))</f>
        <v/>
      </c>
      <c r="K230" s="61" t="str">
        <f aca="false">IF(OR(J230="",NOT(ISNUMBER(B230))),"",IF(COUNTIF(Settings!$B$8:$B$17,"&lt;="&amp;B230)=0,Settings!$C$8,INDEX(Settings!$C$8:$C$17,COUNTIF(Settings!$B$8:$B$17,"&lt;="&amp;B230))))</f>
        <v/>
      </c>
      <c r="L230" s="56" t="str">
        <f aca="false">IF(K230="","",ROUND(J230*K230,2))</f>
        <v/>
      </c>
      <c r="M230" s="58" t="str">
        <f aca="false">IF(AND(B230="",F230="",G230="",H230=""),"",IF(NOT(ISNUMBER(B230)),"⚠ ADD DATE / AGREGA FECHA",IF(J230="","⚠ ADD MILES / AGREGA MILLAS",IF(AND(ISNUMBER(F230),ISNUMBER(G230)),IF(G230&lt;F230,"⚠ CHECK ODOMETER / REVISA ODÓMETRO","✔ OK"),"✔ OK"))))</f>
        <v/>
      </c>
      <c r="N230" s="53"/>
      <c r="P230" s="51" t="n">
        <f aca="false">IF(ISNUMBER(L230),1,0)</f>
        <v>0</v>
      </c>
      <c r="Q230" s="51" t="n">
        <f aca="false">IF(P230=1,YEAR(B230),0)</f>
        <v>0</v>
      </c>
      <c r="R230" s="51" t="n">
        <f aca="false">IF(P230=1,YEAR(B230)*100+MONTH(B230),0)</f>
        <v>0</v>
      </c>
    </row>
    <row r="231" customFormat="false" ht="15" hidden="false" customHeight="false" outlineLevel="0" collapsed="false">
      <c r="B231" s="52"/>
      <c r="C231" s="53"/>
      <c r="D231" s="53"/>
      <c r="E231" s="53"/>
      <c r="F231" s="59"/>
      <c r="G231" s="59"/>
      <c r="H231" s="59"/>
      <c r="I231" s="57"/>
      <c r="J231" s="60" t="str">
        <f aca="false">IF(AND(ISNUMBER(F231),ISNUMBER(G231)),MAX(0,G231-F231),IF(ISNUMBER(H231),H231*IF(I231="Yes / Sí",2,1),""))</f>
        <v/>
      </c>
      <c r="K231" s="61" t="str">
        <f aca="false">IF(OR(J231="",NOT(ISNUMBER(B231))),"",IF(COUNTIF(Settings!$B$8:$B$17,"&lt;="&amp;B231)=0,Settings!$C$8,INDEX(Settings!$C$8:$C$17,COUNTIF(Settings!$B$8:$B$17,"&lt;="&amp;B231))))</f>
        <v/>
      </c>
      <c r="L231" s="56" t="str">
        <f aca="false">IF(K231="","",ROUND(J231*K231,2))</f>
        <v/>
      </c>
      <c r="M231" s="58" t="str">
        <f aca="false">IF(AND(B231="",F231="",G231="",H231=""),"",IF(NOT(ISNUMBER(B231)),"⚠ ADD DATE / AGREGA FECHA",IF(J231="","⚠ ADD MILES / AGREGA MILLAS",IF(AND(ISNUMBER(F231),ISNUMBER(G231)),IF(G231&lt;F231,"⚠ CHECK ODOMETER / REVISA ODÓMETRO","✔ OK"),"✔ OK"))))</f>
        <v/>
      </c>
      <c r="N231" s="53"/>
      <c r="P231" s="51" t="n">
        <f aca="false">IF(ISNUMBER(L231),1,0)</f>
        <v>0</v>
      </c>
      <c r="Q231" s="51" t="n">
        <f aca="false">IF(P231=1,YEAR(B231),0)</f>
        <v>0</v>
      </c>
      <c r="R231" s="51" t="n">
        <f aca="false">IF(P231=1,YEAR(B231)*100+MONTH(B231),0)</f>
        <v>0</v>
      </c>
    </row>
    <row r="232" customFormat="false" ht="15" hidden="false" customHeight="false" outlineLevel="0" collapsed="false">
      <c r="B232" s="52"/>
      <c r="C232" s="53"/>
      <c r="D232" s="53"/>
      <c r="E232" s="53"/>
      <c r="F232" s="59"/>
      <c r="G232" s="59"/>
      <c r="H232" s="59"/>
      <c r="I232" s="57"/>
      <c r="J232" s="60" t="str">
        <f aca="false">IF(AND(ISNUMBER(F232),ISNUMBER(G232)),MAX(0,G232-F232),IF(ISNUMBER(H232),H232*IF(I232="Yes / Sí",2,1),""))</f>
        <v/>
      </c>
      <c r="K232" s="61" t="str">
        <f aca="false">IF(OR(J232="",NOT(ISNUMBER(B232))),"",IF(COUNTIF(Settings!$B$8:$B$17,"&lt;="&amp;B232)=0,Settings!$C$8,INDEX(Settings!$C$8:$C$17,COUNTIF(Settings!$B$8:$B$17,"&lt;="&amp;B232))))</f>
        <v/>
      </c>
      <c r="L232" s="56" t="str">
        <f aca="false">IF(K232="","",ROUND(J232*K232,2))</f>
        <v/>
      </c>
      <c r="M232" s="58" t="str">
        <f aca="false">IF(AND(B232="",F232="",G232="",H232=""),"",IF(NOT(ISNUMBER(B232)),"⚠ ADD DATE / AGREGA FECHA",IF(J232="","⚠ ADD MILES / AGREGA MILLAS",IF(AND(ISNUMBER(F232),ISNUMBER(G232)),IF(G232&lt;F232,"⚠ CHECK ODOMETER / REVISA ODÓMETRO","✔ OK"),"✔ OK"))))</f>
        <v/>
      </c>
      <c r="N232" s="53"/>
      <c r="P232" s="51" t="n">
        <f aca="false">IF(ISNUMBER(L232),1,0)</f>
        <v>0</v>
      </c>
      <c r="Q232" s="51" t="n">
        <f aca="false">IF(P232=1,YEAR(B232),0)</f>
        <v>0</v>
      </c>
      <c r="R232" s="51" t="n">
        <f aca="false">IF(P232=1,YEAR(B232)*100+MONTH(B232),0)</f>
        <v>0</v>
      </c>
    </row>
    <row r="233" customFormat="false" ht="15" hidden="false" customHeight="false" outlineLevel="0" collapsed="false">
      <c r="B233" s="52"/>
      <c r="C233" s="53"/>
      <c r="D233" s="53"/>
      <c r="E233" s="53"/>
      <c r="F233" s="59"/>
      <c r="G233" s="59"/>
      <c r="H233" s="59"/>
      <c r="I233" s="57"/>
      <c r="J233" s="60" t="str">
        <f aca="false">IF(AND(ISNUMBER(F233),ISNUMBER(G233)),MAX(0,G233-F233),IF(ISNUMBER(H233),H233*IF(I233="Yes / Sí",2,1),""))</f>
        <v/>
      </c>
      <c r="K233" s="61" t="str">
        <f aca="false">IF(OR(J233="",NOT(ISNUMBER(B233))),"",IF(COUNTIF(Settings!$B$8:$B$17,"&lt;="&amp;B233)=0,Settings!$C$8,INDEX(Settings!$C$8:$C$17,COUNTIF(Settings!$B$8:$B$17,"&lt;="&amp;B233))))</f>
        <v/>
      </c>
      <c r="L233" s="56" t="str">
        <f aca="false">IF(K233="","",ROUND(J233*K233,2))</f>
        <v/>
      </c>
      <c r="M233" s="58" t="str">
        <f aca="false">IF(AND(B233="",F233="",G233="",H233=""),"",IF(NOT(ISNUMBER(B233)),"⚠ ADD DATE / AGREGA FECHA",IF(J233="","⚠ ADD MILES / AGREGA MILLAS",IF(AND(ISNUMBER(F233),ISNUMBER(G233)),IF(G233&lt;F233,"⚠ CHECK ODOMETER / REVISA ODÓMETRO","✔ OK"),"✔ OK"))))</f>
        <v/>
      </c>
      <c r="N233" s="53"/>
      <c r="P233" s="51" t="n">
        <f aca="false">IF(ISNUMBER(L233),1,0)</f>
        <v>0</v>
      </c>
      <c r="Q233" s="51" t="n">
        <f aca="false">IF(P233=1,YEAR(B233),0)</f>
        <v>0</v>
      </c>
      <c r="R233" s="51" t="n">
        <f aca="false">IF(P233=1,YEAR(B233)*100+MONTH(B233),0)</f>
        <v>0</v>
      </c>
    </row>
    <row r="234" customFormat="false" ht="15" hidden="false" customHeight="false" outlineLevel="0" collapsed="false">
      <c r="B234" s="52"/>
      <c r="C234" s="53"/>
      <c r="D234" s="53"/>
      <c r="E234" s="53"/>
      <c r="F234" s="59"/>
      <c r="G234" s="59"/>
      <c r="H234" s="59"/>
      <c r="I234" s="57"/>
      <c r="J234" s="60" t="str">
        <f aca="false">IF(AND(ISNUMBER(F234),ISNUMBER(G234)),MAX(0,G234-F234),IF(ISNUMBER(H234),H234*IF(I234="Yes / Sí",2,1),""))</f>
        <v/>
      </c>
      <c r="K234" s="61" t="str">
        <f aca="false">IF(OR(J234="",NOT(ISNUMBER(B234))),"",IF(COUNTIF(Settings!$B$8:$B$17,"&lt;="&amp;B234)=0,Settings!$C$8,INDEX(Settings!$C$8:$C$17,COUNTIF(Settings!$B$8:$B$17,"&lt;="&amp;B234))))</f>
        <v/>
      </c>
      <c r="L234" s="56" t="str">
        <f aca="false">IF(K234="","",ROUND(J234*K234,2))</f>
        <v/>
      </c>
      <c r="M234" s="58" t="str">
        <f aca="false">IF(AND(B234="",F234="",G234="",H234=""),"",IF(NOT(ISNUMBER(B234)),"⚠ ADD DATE / AGREGA FECHA",IF(J234="","⚠ ADD MILES / AGREGA MILLAS",IF(AND(ISNUMBER(F234),ISNUMBER(G234)),IF(G234&lt;F234,"⚠ CHECK ODOMETER / REVISA ODÓMETRO","✔ OK"),"✔ OK"))))</f>
        <v/>
      </c>
      <c r="N234" s="53"/>
      <c r="P234" s="51" t="n">
        <f aca="false">IF(ISNUMBER(L234),1,0)</f>
        <v>0</v>
      </c>
      <c r="Q234" s="51" t="n">
        <f aca="false">IF(P234=1,YEAR(B234),0)</f>
        <v>0</v>
      </c>
      <c r="R234" s="51" t="n">
        <f aca="false">IF(P234=1,YEAR(B234)*100+MONTH(B234),0)</f>
        <v>0</v>
      </c>
    </row>
    <row r="235" customFormat="false" ht="15" hidden="false" customHeight="false" outlineLevel="0" collapsed="false">
      <c r="B235" s="52"/>
      <c r="C235" s="53"/>
      <c r="D235" s="53"/>
      <c r="E235" s="53"/>
      <c r="F235" s="59"/>
      <c r="G235" s="59"/>
      <c r="H235" s="59"/>
      <c r="I235" s="57"/>
      <c r="J235" s="60" t="str">
        <f aca="false">IF(AND(ISNUMBER(F235),ISNUMBER(G235)),MAX(0,G235-F235),IF(ISNUMBER(H235),H235*IF(I235="Yes / Sí",2,1),""))</f>
        <v/>
      </c>
      <c r="K235" s="61" t="str">
        <f aca="false">IF(OR(J235="",NOT(ISNUMBER(B235))),"",IF(COUNTIF(Settings!$B$8:$B$17,"&lt;="&amp;B235)=0,Settings!$C$8,INDEX(Settings!$C$8:$C$17,COUNTIF(Settings!$B$8:$B$17,"&lt;="&amp;B235))))</f>
        <v/>
      </c>
      <c r="L235" s="56" t="str">
        <f aca="false">IF(K235="","",ROUND(J235*K235,2))</f>
        <v/>
      </c>
      <c r="M235" s="58" t="str">
        <f aca="false">IF(AND(B235="",F235="",G235="",H235=""),"",IF(NOT(ISNUMBER(B235)),"⚠ ADD DATE / AGREGA FECHA",IF(J235="","⚠ ADD MILES / AGREGA MILLAS",IF(AND(ISNUMBER(F235),ISNUMBER(G235)),IF(G235&lt;F235,"⚠ CHECK ODOMETER / REVISA ODÓMETRO","✔ OK"),"✔ OK"))))</f>
        <v/>
      </c>
      <c r="N235" s="53"/>
      <c r="P235" s="51" t="n">
        <f aca="false">IF(ISNUMBER(L235),1,0)</f>
        <v>0</v>
      </c>
      <c r="Q235" s="51" t="n">
        <f aca="false">IF(P235=1,YEAR(B235),0)</f>
        <v>0</v>
      </c>
      <c r="R235" s="51" t="n">
        <f aca="false">IF(P235=1,YEAR(B235)*100+MONTH(B235),0)</f>
        <v>0</v>
      </c>
    </row>
    <row r="236" customFormat="false" ht="15" hidden="false" customHeight="false" outlineLevel="0" collapsed="false">
      <c r="B236" s="52"/>
      <c r="C236" s="53"/>
      <c r="D236" s="53"/>
      <c r="E236" s="53"/>
      <c r="F236" s="59"/>
      <c r="G236" s="59"/>
      <c r="H236" s="59"/>
      <c r="I236" s="57"/>
      <c r="J236" s="60" t="str">
        <f aca="false">IF(AND(ISNUMBER(F236),ISNUMBER(G236)),MAX(0,G236-F236),IF(ISNUMBER(H236),H236*IF(I236="Yes / Sí",2,1),""))</f>
        <v/>
      </c>
      <c r="K236" s="61" t="str">
        <f aca="false">IF(OR(J236="",NOT(ISNUMBER(B236))),"",IF(COUNTIF(Settings!$B$8:$B$17,"&lt;="&amp;B236)=0,Settings!$C$8,INDEX(Settings!$C$8:$C$17,COUNTIF(Settings!$B$8:$B$17,"&lt;="&amp;B236))))</f>
        <v/>
      </c>
      <c r="L236" s="56" t="str">
        <f aca="false">IF(K236="","",ROUND(J236*K236,2))</f>
        <v/>
      </c>
      <c r="M236" s="58" t="str">
        <f aca="false">IF(AND(B236="",F236="",G236="",H236=""),"",IF(NOT(ISNUMBER(B236)),"⚠ ADD DATE / AGREGA FECHA",IF(J236="","⚠ ADD MILES / AGREGA MILLAS",IF(AND(ISNUMBER(F236),ISNUMBER(G236)),IF(G236&lt;F236,"⚠ CHECK ODOMETER / REVISA ODÓMETRO","✔ OK"),"✔ OK"))))</f>
        <v/>
      </c>
      <c r="N236" s="53"/>
      <c r="P236" s="51" t="n">
        <f aca="false">IF(ISNUMBER(L236),1,0)</f>
        <v>0</v>
      </c>
      <c r="Q236" s="51" t="n">
        <f aca="false">IF(P236=1,YEAR(B236),0)</f>
        <v>0</v>
      </c>
      <c r="R236" s="51" t="n">
        <f aca="false">IF(P236=1,YEAR(B236)*100+MONTH(B236),0)</f>
        <v>0</v>
      </c>
    </row>
    <row r="237" customFormat="false" ht="15" hidden="false" customHeight="false" outlineLevel="0" collapsed="false">
      <c r="B237" s="52"/>
      <c r="C237" s="53"/>
      <c r="D237" s="53"/>
      <c r="E237" s="53"/>
      <c r="F237" s="59"/>
      <c r="G237" s="59"/>
      <c r="H237" s="59"/>
      <c r="I237" s="57"/>
      <c r="J237" s="60" t="str">
        <f aca="false">IF(AND(ISNUMBER(F237),ISNUMBER(G237)),MAX(0,G237-F237),IF(ISNUMBER(H237),H237*IF(I237="Yes / Sí",2,1),""))</f>
        <v/>
      </c>
      <c r="K237" s="61" t="str">
        <f aca="false">IF(OR(J237="",NOT(ISNUMBER(B237))),"",IF(COUNTIF(Settings!$B$8:$B$17,"&lt;="&amp;B237)=0,Settings!$C$8,INDEX(Settings!$C$8:$C$17,COUNTIF(Settings!$B$8:$B$17,"&lt;="&amp;B237))))</f>
        <v/>
      </c>
      <c r="L237" s="56" t="str">
        <f aca="false">IF(K237="","",ROUND(J237*K237,2))</f>
        <v/>
      </c>
      <c r="M237" s="58" t="str">
        <f aca="false">IF(AND(B237="",F237="",G237="",H237=""),"",IF(NOT(ISNUMBER(B237)),"⚠ ADD DATE / AGREGA FECHA",IF(J237="","⚠ ADD MILES / AGREGA MILLAS",IF(AND(ISNUMBER(F237),ISNUMBER(G237)),IF(G237&lt;F237,"⚠ CHECK ODOMETER / REVISA ODÓMETRO","✔ OK"),"✔ OK"))))</f>
        <v/>
      </c>
      <c r="N237" s="53"/>
      <c r="P237" s="51" t="n">
        <f aca="false">IF(ISNUMBER(L237),1,0)</f>
        <v>0</v>
      </c>
      <c r="Q237" s="51" t="n">
        <f aca="false">IF(P237=1,YEAR(B237),0)</f>
        <v>0</v>
      </c>
      <c r="R237" s="51" t="n">
        <f aca="false">IF(P237=1,YEAR(B237)*100+MONTH(B237),0)</f>
        <v>0</v>
      </c>
    </row>
    <row r="238" customFormat="false" ht="15" hidden="false" customHeight="false" outlineLevel="0" collapsed="false">
      <c r="B238" s="52"/>
      <c r="C238" s="53"/>
      <c r="D238" s="53"/>
      <c r="E238" s="53"/>
      <c r="F238" s="59"/>
      <c r="G238" s="59"/>
      <c r="H238" s="59"/>
      <c r="I238" s="57"/>
      <c r="J238" s="60" t="str">
        <f aca="false">IF(AND(ISNUMBER(F238),ISNUMBER(G238)),MAX(0,G238-F238),IF(ISNUMBER(H238),H238*IF(I238="Yes / Sí",2,1),""))</f>
        <v/>
      </c>
      <c r="K238" s="61" t="str">
        <f aca="false">IF(OR(J238="",NOT(ISNUMBER(B238))),"",IF(COUNTIF(Settings!$B$8:$B$17,"&lt;="&amp;B238)=0,Settings!$C$8,INDEX(Settings!$C$8:$C$17,COUNTIF(Settings!$B$8:$B$17,"&lt;="&amp;B238))))</f>
        <v/>
      </c>
      <c r="L238" s="56" t="str">
        <f aca="false">IF(K238="","",ROUND(J238*K238,2))</f>
        <v/>
      </c>
      <c r="M238" s="58" t="str">
        <f aca="false">IF(AND(B238="",F238="",G238="",H238=""),"",IF(NOT(ISNUMBER(B238)),"⚠ ADD DATE / AGREGA FECHA",IF(J238="","⚠ ADD MILES / AGREGA MILLAS",IF(AND(ISNUMBER(F238),ISNUMBER(G238)),IF(G238&lt;F238,"⚠ CHECK ODOMETER / REVISA ODÓMETRO","✔ OK"),"✔ OK"))))</f>
        <v/>
      </c>
      <c r="N238" s="53"/>
      <c r="P238" s="51" t="n">
        <f aca="false">IF(ISNUMBER(L238),1,0)</f>
        <v>0</v>
      </c>
      <c r="Q238" s="51" t="n">
        <f aca="false">IF(P238=1,YEAR(B238),0)</f>
        <v>0</v>
      </c>
      <c r="R238" s="51" t="n">
        <f aca="false">IF(P238=1,YEAR(B238)*100+MONTH(B238),0)</f>
        <v>0</v>
      </c>
    </row>
    <row r="239" customFormat="false" ht="15" hidden="false" customHeight="false" outlineLevel="0" collapsed="false">
      <c r="B239" s="52"/>
      <c r="C239" s="53"/>
      <c r="D239" s="53"/>
      <c r="E239" s="53"/>
      <c r="F239" s="59"/>
      <c r="G239" s="59"/>
      <c r="H239" s="59"/>
      <c r="I239" s="57"/>
      <c r="J239" s="60" t="str">
        <f aca="false">IF(AND(ISNUMBER(F239),ISNUMBER(G239)),MAX(0,G239-F239),IF(ISNUMBER(H239),H239*IF(I239="Yes / Sí",2,1),""))</f>
        <v/>
      </c>
      <c r="K239" s="61" t="str">
        <f aca="false">IF(OR(J239="",NOT(ISNUMBER(B239))),"",IF(COUNTIF(Settings!$B$8:$B$17,"&lt;="&amp;B239)=0,Settings!$C$8,INDEX(Settings!$C$8:$C$17,COUNTIF(Settings!$B$8:$B$17,"&lt;="&amp;B239))))</f>
        <v/>
      </c>
      <c r="L239" s="56" t="str">
        <f aca="false">IF(K239="","",ROUND(J239*K239,2))</f>
        <v/>
      </c>
      <c r="M239" s="58" t="str">
        <f aca="false">IF(AND(B239="",F239="",G239="",H239=""),"",IF(NOT(ISNUMBER(B239)),"⚠ ADD DATE / AGREGA FECHA",IF(J239="","⚠ ADD MILES / AGREGA MILLAS",IF(AND(ISNUMBER(F239),ISNUMBER(G239)),IF(G239&lt;F239,"⚠ CHECK ODOMETER / REVISA ODÓMETRO","✔ OK"),"✔ OK"))))</f>
        <v/>
      </c>
      <c r="N239" s="53"/>
      <c r="P239" s="51" t="n">
        <f aca="false">IF(ISNUMBER(L239),1,0)</f>
        <v>0</v>
      </c>
      <c r="Q239" s="51" t="n">
        <f aca="false">IF(P239=1,YEAR(B239),0)</f>
        <v>0</v>
      </c>
      <c r="R239" s="51" t="n">
        <f aca="false">IF(P239=1,YEAR(B239)*100+MONTH(B239),0)</f>
        <v>0</v>
      </c>
    </row>
    <row r="240" customFormat="false" ht="15" hidden="false" customHeight="false" outlineLevel="0" collapsed="false">
      <c r="B240" s="52"/>
      <c r="C240" s="53"/>
      <c r="D240" s="53"/>
      <c r="E240" s="53"/>
      <c r="F240" s="59"/>
      <c r="G240" s="59"/>
      <c r="H240" s="59"/>
      <c r="I240" s="57"/>
      <c r="J240" s="60" t="str">
        <f aca="false">IF(AND(ISNUMBER(F240),ISNUMBER(G240)),MAX(0,G240-F240),IF(ISNUMBER(H240),H240*IF(I240="Yes / Sí",2,1),""))</f>
        <v/>
      </c>
      <c r="K240" s="61" t="str">
        <f aca="false">IF(OR(J240="",NOT(ISNUMBER(B240))),"",IF(COUNTIF(Settings!$B$8:$B$17,"&lt;="&amp;B240)=0,Settings!$C$8,INDEX(Settings!$C$8:$C$17,COUNTIF(Settings!$B$8:$B$17,"&lt;="&amp;B240))))</f>
        <v/>
      </c>
      <c r="L240" s="56" t="str">
        <f aca="false">IF(K240="","",ROUND(J240*K240,2))</f>
        <v/>
      </c>
      <c r="M240" s="58" t="str">
        <f aca="false">IF(AND(B240="",F240="",G240="",H240=""),"",IF(NOT(ISNUMBER(B240)),"⚠ ADD DATE / AGREGA FECHA",IF(J240="","⚠ ADD MILES / AGREGA MILLAS",IF(AND(ISNUMBER(F240),ISNUMBER(G240)),IF(G240&lt;F240,"⚠ CHECK ODOMETER / REVISA ODÓMETRO","✔ OK"),"✔ OK"))))</f>
        <v/>
      </c>
      <c r="N240" s="53"/>
      <c r="P240" s="51" t="n">
        <f aca="false">IF(ISNUMBER(L240),1,0)</f>
        <v>0</v>
      </c>
      <c r="Q240" s="51" t="n">
        <f aca="false">IF(P240=1,YEAR(B240),0)</f>
        <v>0</v>
      </c>
      <c r="R240" s="51" t="n">
        <f aca="false">IF(P240=1,YEAR(B240)*100+MONTH(B240),0)</f>
        <v>0</v>
      </c>
    </row>
    <row r="241" customFormat="false" ht="15" hidden="false" customHeight="false" outlineLevel="0" collapsed="false">
      <c r="B241" s="52"/>
      <c r="C241" s="53"/>
      <c r="D241" s="53"/>
      <c r="E241" s="53"/>
      <c r="F241" s="59"/>
      <c r="G241" s="59"/>
      <c r="H241" s="59"/>
      <c r="I241" s="57"/>
      <c r="J241" s="60" t="str">
        <f aca="false">IF(AND(ISNUMBER(F241),ISNUMBER(G241)),MAX(0,G241-F241),IF(ISNUMBER(H241),H241*IF(I241="Yes / Sí",2,1),""))</f>
        <v/>
      </c>
      <c r="K241" s="61" t="str">
        <f aca="false">IF(OR(J241="",NOT(ISNUMBER(B241))),"",IF(COUNTIF(Settings!$B$8:$B$17,"&lt;="&amp;B241)=0,Settings!$C$8,INDEX(Settings!$C$8:$C$17,COUNTIF(Settings!$B$8:$B$17,"&lt;="&amp;B241))))</f>
        <v/>
      </c>
      <c r="L241" s="56" t="str">
        <f aca="false">IF(K241="","",ROUND(J241*K241,2))</f>
        <v/>
      </c>
      <c r="M241" s="58" t="str">
        <f aca="false">IF(AND(B241="",F241="",G241="",H241=""),"",IF(NOT(ISNUMBER(B241)),"⚠ ADD DATE / AGREGA FECHA",IF(J241="","⚠ ADD MILES / AGREGA MILLAS",IF(AND(ISNUMBER(F241),ISNUMBER(G241)),IF(G241&lt;F241,"⚠ CHECK ODOMETER / REVISA ODÓMETRO","✔ OK"),"✔ OK"))))</f>
        <v/>
      </c>
      <c r="N241" s="53"/>
      <c r="P241" s="51" t="n">
        <f aca="false">IF(ISNUMBER(L241),1,0)</f>
        <v>0</v>
      </c>
      <c r="Q241" s="51" t="n">
        <f aca="false">IF(P241=1,YEAR(B241),0)</f>
        <v>0</v>
      </c>
      <c r="R241" s="51" t="n">
        <f aca="false">IF(P241=1,YEAR(B241)*100+MONTH(B241),0)</f>
        <v>0</v>
      </c>
    </row>
    <row r="242" customFormat="false" ht="15" hidden="false" customHeight="false" outlineLevel="0" collapsed="false">
      <c r="B242" s="52"/>
      <c r="C242" s="53"/>
      <c r="D242" s="53"/>
      <c r="E242" s="53"/>
      <c r="F242" s="59"/>
      <c r="G242" s="59"/>
      <c r="H242" s="59"/>
      <c r="I242" s="57"/>
      <c r="J242" s="60" t="str">
        <f aca="false">IF(AND(ISNUMBER(F242),ISNUMBER(G242)),MAX(0,G242-F242),IF(ISNUMBER(H242),H242*IF(I242="Yes / Sí",2,1),""))</f>
        <v/>
      </c>
      <c r="K242" s="61" t="str">
        <f aca="false">IF(OR(J242="",NOT(ISNUMBER(B242))),"",IF(COUNTIF(Settings!$B$8:$B$17,"&lt;="&amp;B242)=0,Settings!$C$8,INDEX(Settings!$C$8:$C$17,COUNTIF(Settings!$B$8:$B$17,"&lt;="&amp;B242))))</f>
        <v/>
      </c>
      <c r="L242" s="56" t="str">
        <f aca="false">IF(K242="","",ROUND(J242*K242,2))</f>
        <v/>
      </c>
      <c r="M242" s="58" t="str">
        <f aca="false">IF(AND(B242="",F242="",G242="",H242=""),"",IF(NOT(ISNUMBER(B242)),"⚠ ADD DATE / AGREGA FECHA",IF(J242="","⚠ ADD MILES / AGREGA MILLAS",IF(AND(ISNUMBER(F242),ISNUMBER(G242)),IF(G242&lt;F242,"⚠ CHECK ODOMETER / REVISA ODÓMETRO","✔ OK"),"✔ OK"))))</f>
        <v/>
      </c>
      <c r="N242" s="53"/>
      <c r="P242" s="51" t="n">
        <f aca="false">IF(ISNUMBER(L242),1,0)</f>
        <v>0</v>
      </c>
      <c r="Q242" s="51" t="n">
        <f aca="false">IF(P242=1,YEAR(B242),0)</f>
        <v>0</v>
      </c>
      <c r="R242" s="51" t="n">
        <f aca="false">IF(P242=1,YEAR(B242)*100+MONTH(B242),0)</f>
        <v>0</v>
      </c>
    </row>
    <row r="243" customFormat="false" ht="15" hidden="false" customHeight="false" outlineLevel="0" collapsed="false">
      <c r="B243" s="52"/>
      <c r="C243" s="53"/>
      <c r="D243" s="53"/>
      <c r="E243" s="53"/>
      <c r="F243" s="59"/>
      <c r="G243" s="59"/>
      <c r="H243" s="59"/>
      <c r="I243" s="57"/>
      <c r="J243" s="60" t="str">
        <f aca="false">IF(AND(ISNUMBER(F243),ISNUMBER(G243)),MAX(0,G243-F243),IF(ISNUMBER(H243),H243*IF(I243="Yes / Sí",2,1),""))</f>
        <v/>
      </c>
      <c r="K243" s="61" t="str">
        <f aca="false">IF(OR(J243="",NOT(ISNUMBER(B243))),"",IF(COUNTIF(Settings!$B$8:$B$17,"&lt;="&amp;B243)=0,Settings!$C$8,INDEX(Settings!$C$8:$C$17,COUNTIF(Settings!$B$8:$B$17,"&lt;="&amp;B243))))</f>
        <v/>
      </c>
      <c r="L243" s="56" t="str">
        <f aca="false">IF(K243="","",ROUND(J243*K243,2))</f>
        <v/>
      </c>
      <c r="M243" s="58" t="str">
        <f aca="false">IF(AND(B243="",F243="",G243="",H243=""),"",IF(NOT(ISNUMBER(B243)),"⚠ ADD DATE / AGREGA FECHA",IF(J243="","⚠ ADD MILES / AGREGA MILLAS",IF(AND(ISNUMBER(F243),ISNUMBER(G243)),IF(G243&lt;F243,"⚠ CHECK ODOMETER / REVISA ODÓMETRO","✔ OK"),"✔ OK"))))</f>
        <v/>
      </c>
      <c r="N243" s="53"/>
      <c r="P243" s="51" t="n">
        <f aca="false">IF(ISNUMBER(L243),1,0)</f>
        <v>0</v>
      </c>
      <c r="Q243" s="51" t="n">
        <f aca="false">IF(P243=1,YEAR(B243),0)</f>
        <v>0</v>
      </c>
      <c r="R243" s="51" t="n">
        <f aca="false">IF(P243=1,YEAR(B243)*100+MONTH(B243),0)</f>
        <v>0</v>
      </c>
    </row>
    <row r="244" customFormat="false" ht="15" hidden="false" customHeight="false" outlineLevel="0" collapsed="false">
      <c r="B244" s="52"/>
      <c r="C244" s="53"/>
      <c r="D244" s="53"/>
      <c r="E244" s="53"/>
      <c r="F244" s="59"/>
      <c r="G244" s="59"/>
      <c r="H244" s="59"/>
      <c r="I244" s="57"/>
      <c r="J244" s="60" t="str">
        <f aca="false">IF(AND(ISNUMBER(F244),ISNUMBER(G244)),MAX(0,G244-F244),IF(ISNUMBER(H244),H244*IF(I244="Yes / Sí",2,1),""))</f>
        <v/>
      </c>
      <c r="K244" s="61" t="str">
        <f aca="false">IF(OR(J244="",NOT(ISNUMBER(B244))),"",IF(COUNTIF(Settings!$B$8:$B$17,"&lt;="&amp;B244)=0,Settings!$C$8,INDEX(Settings!$C$8:$C$17,COUNTIF(Settings!$B$8:$B$17,"&lt;="&amp;B244))))</f>
        <v/>
      </c>
      <c r="L244" s="56" t="str">
        <f aca="false">IF(K244="","",ROUND(J244*K244,2))</f>
        <v/>
      </c>
      <c r="M244" s="58" t="str">
        <f aca="false">IF(AND(B244="",F244="",G244="",H244=""),"",IF(NOT(ISNUMBER(B244)),"⚠ ADD DATE / AGREGA FECHA",IF(J244="","⚠ ADD MILES / AGREGA MILLAS",IF(AND(ISNUMBER(F244),ISNUMBER(G244)),IF(G244&lt;F244,"⚠ CHECK ODOMETER / REVISA ODÓMETRO","✔ OK"),"✔ OK"))))</f>
        <v/>
      </c>
      <c r="N244" s="53"/>
      <c r="P244" s="51" t="n">
        <f aca="false">IF(ISNUMBER(L244),1,0)</f>
        <v>0</v>
      </c>
      <c r="Q244" s="51" t="n">
        <f aca="false">IF(P244=1,YEAR(B244),0)</f>
        <v>0</v>
      </c>
      <c r="R244" s="51" t="n">
        <f aca="false">IF(P244=1,YEAR(B244)*100+MONTH(B244),0)</f>
        <v>0</v>
      </c>
    </row>
    <row r="245" customFormat="false" ht="15" hidden="false" customHeight="false" outlineLevel="0" collapsed="false">
      <c r="B245" s="52"/>
      <c r="C245" s="53"/>
      <c r="D245" s="53"/>
      <c r="E245" s="53"/>
      <c r="F245" s="59"/>
      <c r="G245" s="59"/>
      <c r="H245" s="59"/>
      <c r="I245" s="57"/>
      <c r="J245" s="60" t="str">
        <f aca="false">IF(AND(ISNUMBER(F245),ISNUMBER(G245)),MAX(0,G245-F245),IF(ISNUMBER(H245),H245*IF(I245="Yes / Sí",2,1),""))</f>
        <v/>
      </c>
      <c r="K245" s="61" t="str">
        <f aca="false">IF(OR(J245="",NOT(ISNUMBER(B245))),"",IF(COUNTIF(Settings!$B$8:$B$17,"&lt;="&amp;B245)=0,Settings!$C$8,INDEX(Settings!$C$8:$C$17,COUNTIF(Settings!$B$8:$B$17,"&lt;="&amp;B245))))</f>
        <v/>
      </c>
      <c r="L245" s="56" t="str">
        <f aca="false">IF(K245="","",ROUND(J245*K245,2))</f>
        <v/>
      </c>
      <c r="M245" s="58" t="str">
        <f aca="false">IF(AND(B245="",F245="",G245="",H245=""),"",IF(NOT(ISNUMBER(B245)),"⚠ ADD DATE / AGREGA FECHA",IF(J245="","⚠ ADD MILES / AGREGA MILLAS",IF(AND(ISNUMBER(F245),ISNUMBER(G245)),IF(G245&lt;F245,"⚠ CHECK ODOMETER / REVISA ODÓMETRO","✔ OK"),"✔ OK"))))</f>
        <v/>
      </c>
      <c r="N245" s="53"/>
      <c r="P245" s="51" t="n">
        <f aca="false">IF(ISNUMBER(L245),1,0)</f>
        <v>0</v>
      </c>
      <c r="Q245" s="51" t="n">
        <f aca="false">IF(P245=1,YEAR(B245),0)</f>
        <v>0</v>
      </c>
      <c r="R245" s="51" t="n">
        <f aca="false">IF(P245=1,YEAR(B245)*100+MONTH(B245),0)</f>
        <v>0</v>
      </c>
    </row>
    <row r="246" customFormat="false" ht="15" hidden="false" customHeight="false" outlineLevel="0" collapsed="false">
      <c r="B246" s="52"/>
      <c r="C246" s="53"/>
      <c r="D246" s="53"/>
      <c r="E246" s="53"/>
      <c r="F246" s="59"/>
      <c r="G246" s="59"/>
      <c r="H246" s="59"/>
      <c r="I246" s="57"/>
      <c r="J246" s="60" t="str">
        <f aca="false">IF(AND(ISNUMBER(F246),ISNUMBER(G246)),MAX(0,G246-F246),IF(ISNUMBER(H246),H246*IF(I246="Yes / Sí",2,1),""))</f>
        <v/>
      </c>
      <c r="K246" s="61" t="str">
        <f aca="false">IF(OR(J246="",NOT(ISNUMBER(B246))),"",IF(COUNTIF(Settings!$B$8:$B$17,"&lt;="&amp;B246)=0,Settings!$C$8,INDEX(Settings!$C$8:$C$17,COUNTIF(Settings!$B$8:$B$17,"&lt;="&amp;B246))))</f>
        <v/>
      </c>
      <c r="L246" s="56" t="str">
        <f aca="false">IF(K246="","",ROUND(J246*K246,2))</f>
        <v/>
      </c>
      <c r="M246" s="58" t="str">
        <f aca="false">IF(AND(B246="",F246="",G246="",H246=""),"",IF(NOT(ISNUMBER(B246)),"⚠ ADD DATE / AGREGA FECHA",IF(J246="","⚠ ADD MILES / AGREGA MILLAS",IF(AND(ISNUMBER(F246),ISNUMBER(G246)),IF(G246&lt;F246,"⚠ CHECK ODOMETER / REVISA ODÓMETRO","✔ OK"),"✔ OK"))))</f>
        <v/>
      </c>
      <c r="N246" s="53"/>
      <c r="P246" s="51" t="n">
        <f aca="false">IF(ISNUMBER(L246),1,0)</f>
        <v>0</v>
      </c>
      <c r="Q246" s="51" t="n">
        <f aca="false">IF(P246=1,YEAR(B246),0)</f>
        <v>0</v>
      </c>
      <c r="R246" s="51" t="n">
        <f aca="false">IF(P246=1,YEAR(B246)*100+MONTH(B246),0)</f>
        <v>0</v>
      </c>
    </row>
    <row r="247" customFormat="false" ht="15" hidden="false" customHeight="false" outlineLevel="0" collapsed="false">
      <c r="B247" s="52"/>
      <c r="C247" s="53"/>
      <c r="D247" s="53"/>
      <c r="E247" s="53"/>
      <c r="F247" s="59"/>
      <c r="G247" s="59"/>
      <c r="H247" s="59"/>
      <c r="I247" s="57"/>
      <c r="J247" s="60" t="str">
        <f aca="false">IF(AND(ISNUMBER(F247),ISNUMBER(G247)),MAX(0,G247-F247),IF(ISNUMBER(H247),H247*IF(I247="Yes / Sí",2,1),""))</f>
        <v/>
      </c>
      <c r="K247" s="61" t="str">
        <f aca="false">IF(OR(J247="",NOT(ISNUMBER(B247))),"",IF(COUNTIF(Settings!$B$8:$B$17,"&lt;="&amp;B247)=0,Settings!$C$8,INDEX(Settings!$C$8:$C$17,COUNTIF(Settings!$B$8:$B$17,"&lt;="&amp;B247))))</f>
        <v/>
      </c>
      <c r="L247" s="56" t="str">
        <f aca="false">IF(K247="","",ROUND(J247*K247,2))</f>
        <v/>
      </c>
      <c r="M247" s="58" t="str">
        <f aca="false">IF(AND(B247="",F247="",G247="",H247=""),"",IF(NOT(ISNUMBER(B247)),"⚠ ADD DATE / AGREGA FECHA",IF(J247="","⚠ ADD MILES / AGREGA MILLAS",IF(AND(ISNUMBER(F247),ISNUMBER(G247)),IF(G247&lt;F247,"⚠ CHECK ODOMETER / REVISA ODÓMETRO","✔ OK"),"✔ OK"))))</f>
        <v/>
      </c>
      <c r="N247" s="53"/>
      <c r="P247" s="51" t="n">
        <f aca="false">IF(ISNUMBER(L247),1,0)</f>
        <v>0</v>
      </c>
      <c r="Q247" s="51" t="n">
        <f aca="false">IF(P247=1,YEAR(B247),0)</f>
        <v>0</v>
      </c>
      <c r="R247" s="51" t="n">
        <f aca="false">IF(P247=1,YEAR(B247)*100+MONTH(B247),0)</f>
        <v>0</v>
      </c>
    </row>
    <row r="248" customFormat="false" ht="15" hidden="false" customHeight="false" outlineLevel="0" collapsed="false">
      <c r="B248" s="52"/>
      <c r="C248" s="53"/>
      <c r="D248" s="53"/>
      <c r="E248" s="53"/>
      <c r="F248" s="59"/>
      <c r="G248" s="59"/>
      <c r="H248" s="59"/>
      <c r="I248" s="57"/>
      <c r="J248" s="60" t="str">
        <f aca="false">IF(AND(ISNUMBER(F248),ISNUMBER(G248)),MAX(0,G248-F248),IF(ISNUMBER(H248),H248*IF(I248="Yes / Sí",2,1),""))</f>
        <v/>
      </c>
      <c r="K248" s="61" t="str">
        <f aca="false">IF(OR(J248="",NOT(ISNUMBER(B248))),"",IF(COUNTIF(Settings!$B$8:$B$17,"&lt;="&amp;B248)=0,Settings!$C$8,INDEX(Settings!$C$8:$C$17,COUNTIF(Settings!$B$8:$B$17,"&lt;="&amp;B248))))</f>
        <v/>
      </c>
      <c r="L248" s="56" t="str">
        <f aca="false">IF(K248="","",ROUND(J248*K248,2))</f>
        <v/>
      </c>
      <c r="M248" s="58" t="str">
        <f aca="false">IF(AND(B248="",F248="",G248="",H248=""),"",IF(NOT(ISNUMBER(B248)),"⚠ ADD DATE / AGREGA FECHA",IF(J248="","⚠ ADD MILES / AGREGA MILLAS",IF(AND(ISNUMBER(F248),ISNUMBER(G248)),IF(G248&lt;F248,"⚠ CHECK ODOMETER / REVISA ODÓMETRO","✔ OK"),"✔ OK"))))</f>
        <v/>
      </c>
      <c r="N248" s="53"/>
      <c r="P248" s="51" t="n">
        <f aca="false">IF(ISNUMBER(L248),1,0)</f>
        <v>0</v>
      </c>
      <c r="Q248" s="51" t="n">
        <f aca="false">IF(P248=1,YEAR(B248),0)</f>
        <v>0</v>
      </c>
      <c r="R248" s="51" t="n">
        <f aca="false">IF(P248=1,YEAR(B248)*100+MONTH(B248),0)</f>
        <v>0</v>
      </c>
    </row>
    <row r="249" customFormat="false" ht="15" hidden="false" customHeight="false" outlineLevel="0" collapsed="false">
      <c r="B249" s="52"/>
      <c r="C249" s="53"/>
      <c r="D249" s="53"/>
      <c r="E249" s="53"/>
      <c r="F249" s="59"/>
      <c r="G249" s="59"/>
      <c r="H249" s="59"/>
      <c r="I249" s="57"/>
      <c r="J249" s="60" t="str">
        <f aca="false">IF(AND(ISNUMBER(F249),ISNUMBER(G249)),MAX(0,G249-F249),IF(ISNUMBER(H249),H249*IF(I249="Yes / Sí",2,1),""))</f>
        <v/>
      </c>
      <c r="K249" s="61" t="str">
        <f aca="false">IF(OR(J249="",NOT(ISNUMBER(B249))),"",IF(COUNTIF(Settings!$B$8:$B$17,"&lt;="&amp;B249)=0,Settings!$C$8,INDEX(Settings!$C$8:$C$17,COUNTIF(Settings!$B$8:$B$17,"&lt;="&amp;B249))))</f>
        <v/>
      </c>
      <c r="L249" s="56" t="str">
        <f aca="false">IF(K249="","",ROUND(J249*K249,2))</f>
        <v/>
      </c>
      <c r="M249" s="58" t="str">
        <f aca="false">IF(AND(B249="",F249="",G249="",H249=""),"",IF(NOT(ISNUMBER(B249)),"⚠ ADD DATE / AGREGA FECHA",IF(J249="","⚠ ADD MILES / AGREGA MILLAS",IF(AND(ISNUMBER(F249),ISNUMBER(G249)),IF(G249&lt;F249,"⚠ CHECK ODOMETER / REVISA ODÓMETRO","✔ OK"),"✔ OK"))))</f>
        <v/>
      </c>
      <c r="N249" s="53"/>
      <c r="P249" s="51" t="n">
        <f aca="false">IF(ISNUMBER(L249),1,0)</f>
        <v>0</v>
      </c>
      <c r="Q249" s="51" t="n">
        <f aca="false">IF(P249=1,YEAR(B249),0)</f>
        <v>0</v>
      </c>
      <c r="R249" s="51" t="n">
        <f aca="false">IF(P249=1,YEAR(B249)*100+MONTH(B249),0)</f>
        <v>0</v>
      </c>
    </row>
    <row r="250" customFormat="false" ht="15" hidden="false" customHeight="false" outlineLevel="0" collapsed="false">
      <c r="B250" s="52"/>
      <c r="C250" s="53"/>
      <c r="D250" s="53"/>
      <c r="E250" s="53"/>
      <c r="F250" s="59"/>
      <c r="G250" s="59"/>
      <c r="H250" s="59"/>
      <c r="I250" s="57"/>
      <c r="J250" s="60" t="str">
        <f aca="false">IF(AND(ISNUMBER(F250),ISNUMBER(G250)),MAX(0,G250-F250),IF(ISNUMBER(H250),H250*IF(I250="Yes / Sí",2,1),""))</f>
        <v/>
      </c>
      <c r="K250" s="61" t="str">
        <f aca="false">IF(OR(J250="",NOT(ISNUMBER(B250))),"",IF(COUNTIF(Settings!$B$8:$B$17,"&lt;="&amp;B250)=0,Settings!$C$8,INDEX(Settings!$C$8:$C$17,COUNTIF(Settings!$B$8:$B$17,"&lt;="&amp;B250))))</f>
        <v/>
      </c>
      <c r="L250" s="56" t="str">
        <f aca="false">IF(K250="","",ROUND(J250*K250,2))</f>
        <v/>
      </c>
      <c r="M250" s="58" t="str">
        <f aca="false">IF(AND(B250="",F250="",G250="",H250=""),"",IF(NOT(ISNUMBER(B250)),"⚠ ADD DATE / AGREGA FECHA",IF(J250="","⚠ ADD MILES / AGREGA MILLAS",IF(AND(ISNUMBER(F250),ISNUMBER(G250)),IF(G250&lt;F250,"⚠ CHECK ODOMETER / REVISA ODÓMETRO","✔ OK"),"✔ OK"))))</f>
        <v/>
      </c>
      <c r="N250" s="53"/>
      <c r="P250" s="51" t="n">
        <f aca="false">IF(ISNUMBER(L250),1,0)</f>
        <v>0</v>
      </c>
      <c r="Q250" s="51" t="n">
        <f aca="false">IF(P250=1,YEAR(B250),0)</f>
        <v>0</v>
      </c>
      <c r="R250" s="51" t="n">
        <f aca="false">IF(P250=1,YEAR(B250)*100+MONTH(B250),0)</f>
        <v>0</v>
      </c>
    </row>
    <row r="251" customFormat="false" ht="15" hidden="false" customHeight="false" outlineLevel="0" collapsed="false">
      <c r="B251" s="52"/>
      <c r="C251" s="53"/>
      <c r="D251" s="53"/>
      <c r="E251" s="53"/>
      <c r="F251" s="59"/>
      <c r="G251" s="59"/>
      <c r="H251" s="59"/>
      <c r="I251" s="57"/>
      <c r="J251" s="60" t="str">
        <f aca="false">IF(AND(ISNUMBER(F251),ISNUMBER(G251)),MAX(0,G251-F251),IF(ISNUMBER(H251),H251*IF(I251="Yes / Sí",2,1),""))</f>
        <v/>
      </c>
      <c r="K251" s="61" t="str">
        <f aca="false">IF(OR(J251="",NOT(ISNUMBER(B251))),"",IF(COUNTIF(Settings!$B$8:$B$17,"&lt;="&amp;B251)=0,Settings!$C$8,INDEX(Settings!$C$8:$C$17,COUNTIF(Settings!$B$8:$B$17,"&lt;="&amp;B251))))</f>
        <v/>
      </c>
      <c r="L251" s="56" t="str">
        <f aca="false">IF(K251="","",ROUND(J251*K251,2))</f>
        <v/>
      </c>
      <c r="M251" s="58" t="str">
        <f aca="false">IF(AND(B251="",F251="",G251="",H251=""),"",IF(NOT(ISNUMBER(B251)),"⚠ ADD DATE / AGREGA FECHA",IF(J251="","⚠ ADD MILES / AGREGA MILLAS",IF(AND(ISNUMBER(F251),ISNUMBER(G251)),IF(G251&lt;F251,"⚠ CHECK ODOMETER / REVISA ODÓMETRO","✔ OK"),"✔ OK"))))</f>
        <v/>
      </c>
      <c r="N251" s="53"/>
      <c r="P251" s="51" t="n">
        <f aca="false">IF(ISNUMBER(L251),1,0)</f>
        <v>0</v>
      </c>
      <c r="Q251" s="51" t="n">
        <f aca="false">IF(P251=1,YEAR(B251),0)</f>
        <v>0</v>
      </c>
      <c r="R251" s="51" t="n">
        <f aca="false">IF(P251=1,YEAR(B251)*100+MONTH(B251),0)</f>
        <v>0</v>
      </c>
    </row>
    <row r="252" customFormat="false" ht="15" hidden="false" customHeight="false" outlineLevel="0" collapsed="false">
      <c r="B252" s="52"/>
      <c r="C252" s="53"/>
      <c r="D252" s="53"/>
      <c r="E252" s="53"/>
      <c r="F252" s="59"/>
      <c r="G252" s="59"/>
      <c r="H252" s="59"/>
      <c r="I252" s="57"/>
      <c r="J252" s="60" t="str">
        <f aca="false">IF(AND(ISNUMBER(F252),ISNUMBER(G252)),MAX(0,G252-F252),IF(ISNUMBER(H252),H252*IF(I252="Yes / Sí",2,1),""))</f>
        <v/>
      </c>
      <c r="K252" s="61" t="str">
        <f aca="false">IF(OR(J252="",NOT(ISNUMBER(B252))),"",IF(COUNTIF(Settings!$B$8:$B$17,"&lt;="&amp;B252)=0,Settings!$C$8,INDEX(Settings!$C$8:$C$17,COUNTIF(Settings!$B$8:$B$17,"&lt;="&amp;B252))))</f>
        <v/>
      </c>
      <c r="L252" s="56" t="str">
        <f aca="false">IF(K252="","",ROUND(J252*K252,2))</f>
        <v/>
      </c>
      <c r="M252" s="58" t="str">
        <f aca="false">IF(AND(B252="",F252="",G252="",H252=""),"",IF(NOT(ISNUMBER(B252)),"⚠ ADD DATE / AGREGA FECHA",IF(J252="","⚠ ADD MILES / AGREGA MILLAS",IF(AND(ISNUMBER(F252),ISNUMBER(G252)),IF(G252&lt;F252,"⚠ CHECK ODOMETER / REVISA ODÓMETRO","✔ OK"),"✔ OK"))))</f>
        <v/>
      </c>
      <c r="N252" s="53"/>
      <c r="P252" s="51" t="n">
        <f aca="false">IF(ISNUMBER(L252),1,0)</f>
        <v>0</v>
      </c>
      <c r="Q252" s="51" t="n">
        <f aca="false">IF(P252=1,YEAR(B252),0)</f>
        <v>0</v>
      </c>
      <c r="R252" s="51" t="n">
        <f aca="false">IF(P252=1,YEAR(B252)*100+MONTH(B252),0)</f>
        <v>0</v>
      </c>
    </row>
    <row r="253" customFormat="false" ht="15" hidden="false" customHeight="false" outlineLevel="0" collapsed="false">
      <c r="B253" s="52"/>
      <c r="C253" s="53"/>
      <c r="D253" s="53"/>
      <c r="E253" s="53"/>
      <c r="F253" s="59"/>
      <c r="G253" s="59"/>
      <c r="H253" s="59"/>
      <c r="I253" s="57"/>
      <c r="J253" s="60" t="str">
        <f aca="false">IF(AND(ISNUMBER(F253),ISNUMBER(G253)),MAX(0,G253-F253),IF(ISNUMBER(H253),H253*IF(I253="Yes / Sí",2,1),""))</f>
        <v/>
      </c>
      <c r="K253" s="61" t="str">
        <f aca="false">IF(OR(J253="",NOT(ISNUMBER(B253))),"",IF(COUNTIF(Settings!$B$8:$B$17,"&lt;="&amp;B253)=0,Settings!$C$8,INDEX(Settings!$C$8:$C$17,COUNTIF(Settings!$B$8:$B$17,"&lt;="&amp;B253))))</f>
        <v/>
      </c>
      <c r="L253" s="56" t="str">
        <f aca="false">IF(K253="","",ROUND(J253*K253,2))</f>
        <v/>
      </c>
      <c r="M253" s="58" t="str">
        <f aca="false">IF(AND(B253="",F253="",G253="",H253=""),"",IF(NOT(ISNUMBER(B253)),"⚠ ADD DATE / AGREGA FECHA",IF(J253="","⚠ ADD MILES / AGREGA MILLAS",IF(AND(ISNUMBER(F253),ISNUMBER(G253)),IF(G253&lt;F253,"⚠ CHECK ODOMETER / REVISA ODÓMETRO","✔ OK"),"✔ OK"))))</f>
        <v/>
      </c>
      <c r="N253" s="53"/>
      <c r="P253" s="51" t="n">
        <f aca="false">IF(ISNUMBER(L253),1,0)</f>
        <v>0</v>
      </c>
      <c r="Q253" s="51" t="n">
        <f aca="false">IF(P253=1,YEAR(B253),0)</f>
        <v>0</v>
      </c>
      <c r="R253" s="51" t="n">
        <f aca="false">IF(P253=1,YEAR(B253)*100+MONTH(B253),0)</f>
        <v>0</v>
      </c>
    </row>
    <row r="254" customFormat="false" ht="15" hidden="false" customHeight="false" outlineLevel="0" collapsed="false">
      <c r="B254" s="52"/>
      <c r="C254" s="53"/>
      <c r="D254" s="53"/>
      <c r="E254" s="53"/>
      <c r="F254" s="59"/>
      <c r="G254" s="59"/>
      <c r="H254" s="59"/>
      <c r="I254" s="57"/>
      <c r="J254" s="60" t="str">
        <f aca="false">IF(AND(ISNUMBER(F254),ISNUMBER(G254)),MAX(0,G254-F254),IF(ISNUMBER(H254),H254*IF(I254="Yes / Sí",2,1),""))</f>
        <v/>
      </c>
      <c r="K254" s="61" t="str">
        <f aca="false">IF(OR(J254="",NOT(ISNUMBER(B254))),"",IF(COUNTIF(Settings!$B$8:$B$17,"&lt;="&amp;B254)=0,Settings!$C$8,INDEX(Settings!$C$8:$C$17,COUNTIF(Settings!$B$8:$B$17,"&lt;="&amp;B254))))</f>
        <v/>
      </c>
      <c r="L254" s="56" t="str">
        <f aca="false">IF(K254="","",ROUND(J254*K254,2))</f>
        <v/>
      </c>
      <c r="M254" s="58" t="str">
        <f aca="false">IF(AND(B254="",F254="",G254="",H254=""),"",IF(NOT(ISNUMBER(B254)),"⚠ ADD DATE / AGREGA FECHA",IF(J254="","⚠ ADD MILES / AGREGA MILLAS",IF(AND(ISNUMBER(F254),ISNUMBER(G254)),IF(G254&lt;F254,"⚠ CHECK ODOMETER / REVISA ODÓMETRO","✔ OK"),"✔ OK"))))</f>
        <v/>
      </c>
      <c r="N254" s="53"/>
      <c r="P254" s="51" t="n">
        <f aca="false">IF(ISNUMBER(L254),1,0)</f>
        <v>0</v>
      </c>
      <c r="Q254" s="51" t="n">
        <f aca="false">IF(P254=1,YEAR(B254),0)</f>
        <v>0</v>
      </c>
      <c r="R254" s="51" t="n">
        <f aca="false">IF(P254=1,YEAR(B254)*100+MONTH(B254),0)</f>
        <v>0</v>
      </c>
    </row>
    <row r="255" customFormat="false" ht="15" hidden="false" customHeight="false" outlineLevel="0" collapsed="false">
      <c r="B255" s="52"/>
      <c r="C255" s="53"/>
      <c r="D255" s="53"/>
      <c r="E255" s="53"/>
      <c r="F255" s="59"/>
      <c r="G255" s="59"/>
      <c r="H255" s="59"/>
      <c r="I255" s="57"/>
      <c r="J255" s="60" t="str">
        <f aca="false">IF(AND(ISNUMBER(F255),ISNUMBER(G255)),MAX(0,G255-F255),IF(ISNUMBER(H255),H255*IF(I255="Yes / Sí",2,1),""))</f>
        <v/>
      </c>
      <c r="K255" s="61" t="str">
        <f aca="false">IF(OR(J255="",NOT(ISNUMBER(B255))),"",IF(COUNTIF(Settings!$B$8:$B$17,"&lt;="&amp;B255)=0,Settings!$C$8,INDEX(Settings!$C$8:$C$17,COUNTIF(Settings!$B$8:$B$17,"&lt;="&amp;B255))))</f>
        <v/>
      </c>
      <c r="L255" s="56" t="str">
        <f aca="false">IF(K255="","",ROUND(J255*K255,2))</f>
        <v/>
      </c>
      <c r="M255" s="58" t="str">
        <f aca="false">IF(AND(B255="",F255="",G255="",H255=""),"",IF(NOT(ISNUMBER(B255)),"⚠ ADD DATE / AGREGA FECHA",IF(J255="","⚠ ADD MILES / AGREGA MILLAS",IF(AND(ISNUMBER(F255),ISNUMBER(G255)),IF(G255&lt;F255,"⚠ CHECK ODOMETER / REVISA ODÓMETRO","✔ OK"),"✔ OK"))))</f>
        <v/>
      </c>
      <c r="N255" s="53"/>
      <c r="P255" s="51" t="n">
        <f aca="false">IF(ISNUMBER(L255),1,0)</f>
        <v>0</v>
      </c>
      <c r="Q255" s="51" t="n">
        <f aca="false">IF(P255=1,YEAR(B255),0)</f>
        <v>0</v>
      </c>
      <c r="R255" s="51" t="n">
        <f aca="false">IF(P255=1,YEAR(B255)*100+MONTH(B255),0)</f>
        <v>0</v>
      </c>
    </row>
    <row r="256" customFormat="false" ht="15" hidden="false" customHeight="false" outlineLevel="0" collapsed="false">
      <c r="B256" s="52"/>
      <c r="C256" s="53"/>
      <c r="D256" s="53"/>
      <c r="E256" s="53"/>
      <c r="F256" s="59"/>
      <c r="G256" s="59"/>
      <c r="H256" s="59"/>
      <c r="I256" s="57"/>
      <c r="J256" s="60" t="str">
        <f aca="false">IF(AND(ISNUMBER(F256),ISNUMBER(G256)),MAX(0,G256-F256),IF(ISNUMBER(H256),H256*IF(I256="Yes / Sí",2,1),""))</f>
        <v/>
      </c>
      <c r="K256" s="61" t="str">
        <f aca="false">IF(OR(J256="",NOT(ISNUMBER(B256))),"",IF(COUNTIF(Settings!$B$8:$B$17,"&lt;="&amp;B256)=0,Settings!$C$8,INDEX(Settings!$C$8:$C$17,COUNTIF(Settings!$B$8:$B$17,"&lt;="&amp;B256))))</f>
        <v/>
      </c>
      <c r="L256" s="56" t="str">
        <f aca="false">IF(K256="","",ROUND(J256*K256,2))</f>
        <v/>
      </c>
      <c r="M256" s="58" t="str">
        <f aca="false">IF(AND(B256="",F256="",G256="",H256=""),"",IF(NOT(ISNUMBER(B256)),"⚠ ADD DATE / AGREGA FECHA",IF(J256="","⚠ ADD MILES / AGREGA MILLAS",IF(AND(ISNUMBER(F256),ISNUMBER(G256)),IF(G256&lt;F256,"⚠ CHECK ODOMETER / REVISA ODÓMETRO","✔ OK"),"✔ OK"))))</f>
        <v/>
      </c>
      <c r="N256" s="53"/>
      <c r="P256" s="51" t="n">
        <f aca="false">IF(ISNUMBER(L256),1,0)</f>
        <v>0</v>
      </c>
      <c r="Q256" s="51" t="n">
        <f aca="false">IF(P256=1,YEAR(B256),0)</f>
        <v>0</v>
      </c>
      <c r="R256" s="51" t="n">
        <f aca="false">IF(P256=1,YEAR(B256)*100+MONTH(B256),0)</f>
        <v>0</v>
      </c>
    </row>
    <row r="257" customFormat="false" ht="15" hidden="false" customHeight="false" outlineLevel="0" collapsed="false">
      <c r="B257" s="52"/>
      <c r="C257" s="53"/>
      <c r="D257" s="53"/>
      <c r="E257" s="53"/>
      <c r="F257" s="59"/>
      <c r="G257" s="59"/>
      <c r="H257" s="59"/>
      <c r="I257" s="57"/>
      <c r="J257" s="60" t="str">
        <f aca="false">IF(AND(ISNUMBER(F257),ISNUMBER(G257)),MAX(0,G257-F257),IF(ISNUMBER(H257),H257*IF(I257="Yes / Sí",2,1),""))</f>
        <v/>
      </c>
      <c r="K257" s="61" t="str">
        <f aca="false">IF(OR(J257="",NOT(ISNUMBER(B257))),"",IF(COUNTIF(Settings!$B$8:$B$17,"&lt;="&amp;B257)=0,Settings!$C$8,INDEX(Settings!$C$8:$C$17,COUNTIF(Settings!$B$8:$B$17,"&lt;="&amp;B257))))</f>
        <v/>
      </c>
      <c r="L257" s="56" t="str">
        <f aca="false">IF(K257="","",ROUND(J257*K257,2))</f>
        <v/>
      </c>
      <c r="M257" s="58" t="str">
        <f aca="false">IF(AND(B257="",F257="",G257="",H257=""),"",IF(NOT(ISNUMBER(B257)),"⚠ ADD DATE / AGREGA FECHA",IF(J257="","⚠ ADD MILES / AGREGA MILLAS",IF(AND(ISNUMBER(F257),ISNUMBER(G257)),IF(G257&lt;F257,"⚠ CHECK ODOMETER / REVISA ODÓMETRO","✔ OK"),"✔ OK"))))</f>
        <v/>
      </c>
      <c r="N257" s="53"/>
      <c r="P257" s="51" t="n">
        <f aca="false">IF(ISNUMBER(L257),1,0)</f>
        <v>0</v>
      </c>
      <c r="Q257" s="51" t="n">
        <f aca="false">IF(P257=1,YEAR(B257),0)</f>
        <v>0</v>
      </c>
      <c r="R257" s="51" t="n">
        <f aca="false">IF(P257=1,YEAR(B257)*100+MONTH(B257),0)</f>
        <v>0</v>
      </c>
    </row>
    <row r="258" customFormat="false" ht="15" hidden="false" customHeight="false" outlineLevel="0" collapsed="false">
      <c r="B258" s="52"/>
      <c r="C258" s="53"/>
      <c r="D258" s="53"/>
      <c r="E258" s="53"/>
      <c r="F258" s="59"/>
      <c r="G258" s="59"/>
      <c r="H258" s="59"/>
      <c r="I258" s="57"/>
      <c r="J258" s="60" t="str">
        <f aca="false">IF(AND(ISNUMBER(F258),ISNUMBER(G258)),MAX(0,G258-F258),IF(ISNUMBER(H258),H258*IF(I258="Yes / Sí",2,1),""))</f>
        <v/>
      </c>
      <c r="K258" s="61" t="str">
        <f aca="false">IF(OR(J258="",NOT(ISNUMBER(B258))),"",IF(COUNTIF(Settings!$B$8:$B$17,"&lt;="&amp;B258)=0,Settings!$C$8,INDEX(Settings!$C$8:$C$17,COUNTIF(Settings!$B$8:$B$17,"&lt;="&amp;B258))))</f>
        <v/>
      </c>
      <c r="L258" s="56" t="str">
        <f aca="false">IF(K258="","",ROUND(J258*K258,2))</f>
        <v/>
      </c>
      <c r="M258" s="58" t="str">
        <f aca="false">IF(AND(B258="",F258="",G258="",H258=""),"",IF(NOT(ISNUMBER(B258)),"⚠ ADD DATE / AGREGA FECHA",IF(J258="","⚠ ADD MILES / AGREGA MILLAS",IF(AND(ISNUMBER(F258),ISNUMBER(G258)),IF(G258&lt;F258,"⚠ CHECK ODOMETER / REVISA ODÓMETRO","✔ OK"),"✔ OK"))))</f>
        <v/>
      </c>
      <c r="N258" s="53"/>
      <c r="P258" s="51" t="n">
        <f aca="false">IF(ISNUMBER(L258),1,0)</f>
        <v>0</v>
      </c>
      <c r="Q258" s="51" t="n">
        <f aca="false">IF(P258=1,YEAR(B258),0)</f>
        <v>0</v>
      </c>
      <c r="R258" s="51" t="n">
        <f aca="false">IF(P258=1,YEAR(B258)*100+MONTH(B258),0)</f>
        <v>0</v>
      </c>
    </row>
    <row r="259" customFormat="false" ht="15" hidden="false" customHeight="false" outlineLevel="0" collapsed="false">
      <c r="B259" s="52"/>
      <c r="C259" s="53"/>
      <c r="D259" s="53"/>
      <c r="E259" s="53"/>
      <c r="F259" s="59"/>
      <c r="G259" s="59"/>
      <c r="H259" s="59"/>
      <c r="I259" s="57"/>
      <c r="J259" s="60" t="str">
        <f aca="false">IF(AND(ISNUMBER(F259),ISNUMBER(G259)),MAX(0,G259-F259),IF(ISNUMBER(H259),H259*IF(I259="Yes / Sí",2,1),""))</f>
        <v/>
      </c>
      <c r="K259" s="61" t="str">
        <f aca="false">IF(OR(J259="",NOT(ISNUMBER(B259))),"",IF(COUNTIF(Settings!$B$8:$B$17,"&lt;="&amp;B259)=0,Settings!$C$8,INDEX(Settings!$C$8:$C$17,COUNTIF(Settings!$B$8:$B$17,"&lt;="&amp;B259))))</f>
        <v/>
      </c>
      <c r="L259" s="56" t="str">
        <f aca="false">IF(K259="","",ROUND(J259*K259,2))</f>
        <v/>
      </c>
      <c r="M259" s="58" t="str">
        <f aca="false">IF(AND(B259="",F259="",G259="",H259=""),"",IF(NOT(ISNUMBER(B259)),"⚠ ADD DATE / AGREGA FECHA",IF(J259="","⚠ ADD MILES / AGREGA MILLAS",IF(AND(ISNUMBER(F259),ISNUMBER(G259)),IF(G259&lt;F259,"⚠ CHECK ODOMETER / REVISA ODÓMETRO","✔ OK"),"✔ OK"))))</f>
        <v/>
      </c>
      <c r="N259" s="53"/>
      <c r="P259" s="51" t="n">
        <f aca="false">IF(ISNUMBER(L259),1,0)</f>
        <v>0</v>
      </c>
      <c r="Q259" s="51" t="n">
        <f aca="false">IF(P259=1,YEAR(B259),0)</f>
        <v>0</v>
      </c>
      <c r="R259" s="51" t="n">
        <f aca="false">IF(P259=1,YEAR(B259)*100+MONTH(B259),0)</f>
        <v>0</v>
      </c>
    </row>
    <row r="260" customFormat="false" ht="15" hidden="false" customHeight="false" outlineLevel="0" collapsed="false">
      <c r="B260" s="52"/>
      <c r="C260" s="53"/>
      <c r="D260" s="53"/>
      <c r="E260" s="53"/>
      <c r="F260" s="59"/>
      <c r="G260" s="59"/>
      <c r="H260" s="59"/>
      <c r="I260" s="57"/>
      <c r="J260" s="60" t="str">
        <f aca="false">IF(AND(ISNUMBER(F260),ISNUMBER(G260)),MAX(0,G260-F260),IF(ISNUMBER(H260),H260*IF(I260="Yes / Sí",2,1),""))</f>
        <v/>
      </c>
      <c r="K260" s="61" t="str">
        <f aca="false">IF(OR(J260="",NOT(ISNUMBER(B260))),"",IF(COUNTIF(Settings!$B$8:$B$17,"&lt;="&amp;B260)=0,Settings!$C$8,INDEX(Settings!$C$8:$C$17,COUNTIF(Settings!$B$8:$B$17,"&lt;="&amp;B260))))</f>
        <v/>
      </c>
      <c r="L260" s="56" t="str">
        <f aca="false">IF(K260="","",ROUND(J260*K260,2))</f>
        <v/>
      </c>
      <c r="M260" s="58" t="str">
        <f aca="false">IF(AND(B260="",F260="",G260="",H260=""),"",IF(NOT(ISNUMBER(B260)),"⚠ ADD DATE / AGREGA FECHA",IF(J260="","⚠ ADD MILES / AGREGA MILLAS",IF(AND(ISNUMBER(F260),ISNUMBER(G260)),IF(G260&lt;F260,"⚠ CHECK ODOMETER / REVISA ODÓMETRO","✔ OK"),"✔ OK"))))</f>
        <v/>
      </c>
      <c r="N260" s="53"/>
      <c r="P260" s="51" t="n">
        <f aca="false">IF(ISNUMBER(L260),1,0)</f>
        <v>0</v>
      </c>
      <c r="Q260" s="51" t="n">
        <f aca="false">IF(P260=1,YEAR(B260),0)</f>
        <v>0</v>
      </c>
      <c r="R260" s="51" t="n">
        <f aca="false">IF(P260=1,YEAR(B260)*100+MONTH(B260),0)</f>
        <v>0</v>
      </c>
    </row>
    <row r="261" customFormat="false" ht="15" hidden="false" customHeight="false" outlineLevel="0" collapsed="false">
      <c r="B261" s="52"/>
      <c r="C261" s="53"/>
      <c r="D261" s="53"/>
      <c r="E261" s="53"/>
      <c r="F261" s="59"/>
      <c r="G261" s="59"/>
      <c r="H261" s="59"/>
      <c r="I261" s="57"/>
      <c r="J261" s="60" t="str">
        <f aca="false">IF(AND(ISNUMBER(F261),ISNUMBER(G261)),MAX(0,G261-F261),IF(ISNUMBER(H261),H261*IF(I261="Yes / Sí",2,1),""))</f>
        <v/>
      </c>
      <c r="K261" s="61" t="str">
        <f aca="false">IF(OR(J261="",NOT(ISNUMBER(B261))),"",IF(COUNTIF(Settings!$B$8:$B$17,"&lt;="&amp;B261)=0,Settings!$C$8,INDEX(Settings!$C$8:$C$17,COUNTIF(Settings!$B$8:$B$17,"&lt;="&amp;B261))))</f>
        <v/>
      </c>
      <c r="L261" s="56" t="str">
        <f aca="false">IF(K261="","",ROUND(J261*K261,2))</f>
        <v/>
      </c>
      <c r="M261" s="58" t="str">
        <f aca="false">IF(AND(B261="",F261="",G261="",H261=""),"",IF(NOT(ISNUMBER(B261)),"⚠ ADD DATE / AGREGA FECHA",IF(J261="","⚠ ADD MILES / AGREGA MILLAS",IF(AND(ISNUMBER(F261),ISNUMBER(G261)),IF(G261&lt;F261,"⚠ CHECK ODOMETER / REVISA ODÓMETRO","✔ OK"),"✔ OK"))))</f>
        <v/>
      </c>
      <c r="N261" s="53"/>
      <c r="P261" s="51" t="n">
        <f aca="false">IF(ISNUMBER(L261),1,0)</f>
        <v>0</v>
      </c>
      <c r="Q261" s="51" t="n">
        <f aca="false">IF(P261=1,YEAR(B261),0)</f>
        <v>0</v>
      </c>
      <c r="R261" s="51" t="n">
        <f aca="false">IF(P261=1,YEAR(B261)*100+MONTH(B261),0)</f>
        <v>0</v>
      </c>
    </row>
    <row r="262" customFormat="false" ht="15" hidden="false" customHeight="false" outlineLevel="0" collapsed="false">
      <c r="B262" s="52"/>
      <c r="C262" s="53"/>
      <c r="D262" s="53"/>
      <c r="E262" s="53"/>
      <c r="F262" s="59"/>
      <c r="G262" s="59"/>
      <c r="H262" s="59"/>
      <c r="I262" s="57"/>
      <c r="J262" s="60" t="str">
        <f aca="false">IF(AND(ISNUMBER(F262),ISNUMBER(G262)),MAX(0,G262-F262),IF(ISNUMBER(H262),H262*IF(I262="Yes / Sí",2,1),""))</f>
        <v/>
      </c>
      <c r="K262" s="61" t="str">
        <f aca="false">IF(OR(J262="",NOT(ISNUMBER(B262))),"",IF(COUNTIF(Settings!$B$8:$B$17,"&lt;="&amp;B262)=0,Settings!$C$8,INDEX(Settings!$C$8:$C$17,COUNTIF(Settings!$B$8:$B$17,"&lt;="&amp;B262))))</f>
        <v/>
      </c>
      <c r="L262" s="56" t="str">
        <f aca="false">IF(K262="","",ROUND(J262*K262,2))</f>
        <v/>
      </c>
      <c r="M262" s="58" t="str">
        <f aca="false">IF(AND(B262="",F262="",G262="",H262=""),"",IF(NOT(ISNUMBER(B262)),"⚠ ADD DATE / AGREGA FECHA",IF(J262="","⚠ ADD MILES / AGREGA MILLAS",IF(AND(ISNUMBER(F262),ISNUMBER(G262)),IF(G262&lt;F262,"⚠ CHECK ODOMETER / REVISA ODÓMETRO","✔ OK"),"✔ OK"))))</f>
        <v/>
      </c>
      <c r="N262" s="53"/>
      <c r="P262" s="51" t="n">
        <f aca="false">IF(ISNUMBER(L262),1,0)</f>
        <v>0</v>
      </c>
      <c r="Q262" s="51" t="n">
        <f aca="false">IF(P262=1,YEAR(B262),0)</f>
        <v>0</v>
      </c>
      <c r="R262" s="51" t="n">
        <f aca="false">IF(P262=1,YEAR(B262)*100+MONTH(B262),0)</f>
        <v>0</v>
      </c>
    </row>
    <row r="263" customFormat="false" ht="15" hidden="false" customHeight="false" outlineLevel="0" collapsed="false">
      <c r="B263" s="52"/>
      <c r="C263" s="53"/>
      <c r="D263" s="53"/>
      <c r="E263" s="53"/>
      <c r="F263" s="59"/>
      <c r="G263" s="59"/>
      <c r="H263" s="59"/>
      <c r="I263" s="57"/>
      <c r="J263" s="60" t="str">
        <f aca="false">IF(AND(ISNUMBER(F263),ISNUMBER(G263)),MAX(0,G263-F263),IF(ISNUMBER(H263),H263*IF(I263="Yes / Sí",2,1),""))</f>
        <v/>
      </c>
      <c r="K263" s="61" t="str">
        <f aca="false">IF(OR(J263="",NOT(ISNUMBER(B263))),"",IF(COUNTIF(Settings!$B$8:$B$17,"&lt;="&amp;B263)=0,Settings!$C$8,INDEX(Settings!$C$8:$C$17,COUNTIF(Settings!$B$8:$B$17,"&lt;="&amp;B263))))</f>
        <v/>
      </c>
      <c r="L263" s="56" t="str">
        <f aca="false">IF(K263="","",ROUND(J263*K263,2))</f>
        <v/>
      </c>
      <c r="M263" s="58" t="str">
        <f aca="false">IF(AND(B263="",F263="",G263="",H263=""),"",IF(NOT(ISNUMBER(B263)),"⚠ ADD DATE / AGREGA FECHA",IF(J263="","⚠ ADD MILES / AGREGA MILLAS",IF(AND(ISNUMBER(F263),ISNUMBER(G263)),IF(G263&lt;F263,"⚠ CHECK ODOMETER / REVISA ODÓMETRO","✔ OK"),"✔ OK"))))</f>
        <v/>
      </c>
      <c r="N263" s="53"/>
      <c r="P263" s="51" t="n">
        <f aca="false">IF(ISNUMBER(L263),1,0)</f>
        <v>0</v>
      </c>
      <c r="Q263" s="51" t="n">
        <f aca="false">IF(P263=1,YEAR(B263),0)</f>
        <v>0</v>
      </c>
      <c r="R263" s="51" t="n">
        <f aca="false">IF(P263=1,YEAR(B263)*100+MONTH(B263),0)</f>
        <v>0</v>
      </c>
    </row>
    <row r="264" customFormat="false" ht="15" hidden="false" customHeight="false" outlineLevel="0" collapsed="false">
      <c r="B264" s="52"/>
      <c r="C264" s="53"/>
      <c r="D264" s="53"/>
      <c r="E264" s="53"/>
      <c r="F264" s="59"/>
      <c r="G264" s="59"/>
      <c r="H264" s="59"/>
      <c r="I264" s="57"/>
      <c r="J264" s="60" t="str">
        <f aca="false">IF(AND(ISNUMBER(F264),ISNUMBER(G264)),MAX(0,G264-F264),IF(ISNUMBER(H264),H264*IF(I264="Yes / Sí",2,1),""))</f>
        <v/>
      </c>
      <c r="K264" s="61" t="str">
        <f aca="false">IF(OR(J264="",NOT(ISNUMBER(B264))),"",IF(COUNTIF(Settings!$B$8:$B$17,"&lt;="&amp;B264)=0,Settings!$C$8,INDEX(Settings!$C$8:$C$17,COUNTIF(Settings!$B$8:$B$17,"&lt;="&amp;B264))))</f>
        <v/>
      </c>
      <c r="L264" s="56" t="str">
        <f aca="false">IF(K264="","",ROUND(J264*K264,2))</f>
        <v/>
      </c>
      <c r="M264" s="58" t="str">
        <f aca="false">IF(AND(B264="",F264="",G264="",H264=""),"",IF(NOT(ISNUMBER(B264)),"⚠ ADD DATE / AGREGA FECHA",IF(J264="","⚠ ADD MILES / AGREGA MILLAS",IF(AND(ISNUMBER(F264),ISNUMBER(G264)),IF(G264&lt;F264,"⚠ CHECK ODOMETER / REVISA ODÓMETRO","✔ OK"),"✔ OK"))))</f>
        <v/>
      </c>
      <c r="N264" s="53"/>
      <c r="P264" s="51" t="n">
        <f aca="false">IF(ISNUMBER(L264),1,0)</f>
        <v>0</v>
      </c>
      <c r="Q264" s="51" t="n">
        <f aca="false">IF(P264=1,YEAR(B264),0)</f>
        <v>0</v>
      </c>
      <c r="R264" s="51" t="n">
        <f aca="false">IF(P264=1,YEAR(B264)*100+MONTH(B264),0)</f>
        <v>0</v>
      </c>
    </row>
    <row r="265" customFormat="false" ht="15" hidden="false" customHeight="false" outlineLevel="0" collapsed="false">
      <c r="B265" s="52"/>
      <c r="C265" s="53"/>
      <c r="D265" s="53"/>
      <c r="E265" s="53"/>
      <c r="F265" s="59"/>
      <c r="G265" s="59"/>
      <c r="H265" s="59"/>
      <c r="I265" s="57"/>
      <c r="J265" s="60" t="str">
        <f aca="false">IF(AND(ISNUMBER(F265),ISNUMBER(G265)),MAX(0,G265-F265),IF(ISNUMBER(H265),H265*IF(I265="Yes / Sí",2,1),""))</f>
        <v/>
      </c>
      <c r="K265" s="61" t="str">
        <f aca="false">IF(OR(J265="",NOT(ISNUMBER(B265))),"",IF(COUNTIF(Settings!$B$8:$B$17,"&lt;="&amp;B265)=0,Settings!$C$8,INDEX(Settings!$C$8:$C$17,COUNTIF(Settings!$B$8:$B$17,"&lt;="&amp;B265))))</f>
        <v/>
      </c>
      <c r="L265" s="56" t="str">
        <f aca="false">IF(K265="","",ROUND(J265*K265,2))</f>
        <v/>
      </c>
      <c r="M265" s="58" t="str">
        <f aca="false">IF(AND(B265="",F265="",G265="",H265=""),"",IF(NOT(ISNUMBER(B265)),"⚠ ADD DATE / AGREGA FECHA",IF(J265="","⚠ ADD MILES / AGREGA MILLAS",IF(AND(ISNUMBER(F265),ISNUMBER(G265)),IF(G265&lt;F265,"⚠ CHECK ODOMETER / REVISA ODÓMETRO","✔ OK"),"✔ OK"))))</f>
        <v/>
      </c>
      <c r="N265" s="53"/>
      <c r="P265" s="51" t="n">
        <f aca="false">IF(ISNUMBER(L265),1,0)</f>
        <v>0</v>
      </c>
      <c r="Q265" s="51" t="n">
        <f aca="false">IF(P265=1,YEAR(B265),0)</f>
        <v>0</v>
      </c>
      <c r="R265" s="51" t="n">
        <f aca="false">IF(P265=1,YEAR(B265)*100+MONTH(B265),0)</f>
        <v>0</v>
      </c>
    </row>
    <row r="266" customFormat="false" ht="15" hidden="false" customHeight="false" outlineLevel="0" collapsed="false">
      <c r="B266" s="52"/>
      <c r="C266" s="53"/>
      <c r="D266" s="53"/>
      <c r="E266" s="53"/>
      <c r="F266" s="59"/>
      <c r="G266" s="59"/>
      <c r="H266" s="59"/>
      <c r="I266" s="57"/>
      <c r="J266" s="60" t="str">
        <f aca="false">IF(AND(ISNUMBER(F266),ISNUMBER(G266)),MAX(0,G266-F266),IF(ISNUMBER(H266),H266*IF(I266="Yes / Sí",2,1),""))</f>
        <v/>
      </c>
      <c r="K266" s="61" t="str">
        <f aca="false">IF(OR(J266="",NOT(ISNUMBER(B266))),"",IF(COUNTIF(Settings!$B$8:$B$17,"&lt;="&amp;B266)=0,Settings!$C$8,INDEX(Settings!$C$8:$C$17,COUNTIF(Settings!$B$8:$B$17,"&lt;="&amp;B266))))</f>
        <v/>
      </c>
      <c r="L266" s="56" t="str">
        <f aca="false">IF(K266="","",ROUND(J266*K266,2))</f>
        <v/>
      </c>
      <c r="M266" s="58" t="str">
        <f aca="false">IF(AND(B266="",F266="",G266="",H266=""),"",IF(NOT(ISNUMBER(B266)),"⚠ ADD DATE / AGREGA FECHA",IF(J266="","⚠ ADD MILES / AGREGA MILLAS",IF(AND(ISNUMBER(F266),ISNUMBER(G266)),IF(G266&lt;F266,"⚠ CHECK ODOMETER / REVISA ODÓMETRO","✔ OK"),"✔ OK"))))</f>
        <v/>
      </c>
      <c r="N266" s="53"/>
      <c r="P266" s="51" t="n">
        <f aca="false">IF(ISNUMBER(L266),1,0)</f>
        <v>0</v>
      </c>
      <c r="Q266" s="51" t="n">
        <f aca="false">IF(P266=1,YEAR(B266),0)</f>
        <v>0</v>
      </c>
      <c r="R266" s="51" t="n">
        <f aca="false">IF(P266=1,YEAR(B266)*100+MONTH(B266),0)</f>
        <v>0</v>
      </c>
    </row>
    <row r="267" customFormat="false" ht="15" hidden="false" customHeight="false" outlineLevel="0" collapsed="false">
      <c r="B267" s="52"/>
      <c r="C267" s="53"/>
      <c r="D267" s="53"/>
      <c r="E267" s="53"/>
      <c r="F267" s="59"/>
      <c r="G267" s="59"/>
      <c r="H267" s="59"/>
      <c r="I267" s="57"/>
      <c r="J267" s="60" t="str">
        <f aca="false">IF(AND(ISNUMBER(F267),ISNUMBER(G267)),MAX(0,G267-F267),IF(ISNUMBER(H267),H267*IF(I267="Yes / Sí",2,1),""))</f>
        <v/>
      </c>
      <c r="K267" s="61" t="str">
        <f aca="false">IF(OR(J267="",NOT(ISNUMBER(B267))),"",IF(COUNTIF(Settings!$B$8:$B$17,"&lt;="&amp;B267)=0,Settings!$C$8,INDEX(Settings!$C$8:$C$17,COUNTIF(Settings!$B$8:$B$17,"&lt;="&amp;B267))))</f>
        <v/>
      </c>
      <c r="L267" s="56" t="str">
        <f aca="false">IF(K267="","",ROUND(J267*K267,2))</f>
        <v/>
      </c>
      <c r="M267" s="58" t="str">
        <f aca="false">IF(AND(B267="",F267="",G267="",H267=""),"",IF(NOT(ISNUMBER(B267)),"⚠ ADD DATE / AGREGA FECHA",IF(J267="","⚠ ADD MILES / AGREGA MILLAS",IF(AND(ISNUMBER(F267),ISNUMBER(G267)),IF(G267&lt;F267,"⚠ CHECK ODOMETER / REVISA ODÓMETRO","✔ OK"),"✔ OK"))))</f>
        <v/>
      </c>
      <c r="N267" s="53"/>
      <c r="P267" s="51" t="n">
        <f aca="false">IF(ISNUMBER(L267),1,0)</f>
        <v>0</v>
      </c>
      <c r="Q267" s="51" t="n">
        <f aca="false">IF(P267=1,YEAR(B267),0)</f>
        <v>0</v>
      </c>
      <c r="R267" s="51" t="n">
        <f aca="false">IF(P267=1,YEAR(B267)*100+MONTH(B267),0)</f>
        <v>0</v>
      </c>
    </row>
    <row r="268" customFormat="false" ht="15" hidden="false" customHeight="false" outlineLevel="0" collapsed="false">
      <c r="B268" s="52"/>
      <c r="C268" s="53"/>
      <c r="D268" s="53"/>
      <c r="E268" s="53"/>
      <c r="F268" s="59"/>
      <c r="G268" s="59"/>
      <c r="H268" s="59"/>
      <c r="I268" s="57"/>
      <c r="J268" s="60" t="str">
        <f aca="false">IF(AND(ISNUMBER(F268),ISNUMBER(G268)),MAX(0,G268-F268),IF(ISNUMBER(H268),H268*IF(I268="Yes / Sí",2,1),""))</f>
        <v/>
      </c>
      <c r="K268" s="61" t="str">
        <f aca="false">IF(OR(J268="",NOT(ISNUMBER(B268))),"",IF(COUNTIF(Settings!$B$8:$B$17,"&lt;="&amp;B268)=0,Settings!$C$8,INDEX(Settings!$C$8:$C$17,COUNTIF(Settings!$B$8:$B$17,"&lt;="&amp;B268))))</f>
        <v/>
      </c>
      <c r="L268" s="56" t="str">
        <f aca="false">IF(K268="","",ROUND(J268*K268,2))</f>
        <v/>
      </c>
      <c r="M268" s="58" t="str">
        <f aca="false">IF(AND(B268="",F268="",G268="",H268=""),"",IF(NOT(ISNUMBER(B268)),"⚠ ADD DATE / AGREGA FECHA",IF(J268="","⚠ ADD MILES / AGREGA MILLAS",IF(AND(ISNUMBER(F268),ISNUMBER(G268)),IF(G268&lt;F268,"⚠ CHECK ODOMETER / REVISA ODÓMETRO","✔ OK"),"✔ OK"))))</f>
        <v/>
      </c>
      <c r="N268" s="53"/>
      <c r="P268" s="51" t="n">
        <f aca="false">IF(ISNUMBER(L268),1,0)</f>
        <v>0</v>
      </c>
      <c r="Q268" s="51" t="n">
        <f aca="false">IF(P268=1,YEAR(B268),0)</f>
        <v>0</v>
      </c>
      <c r="R268" s="51" t="n">
        <f aca="false">IF(P268=1,YEAR(B268)*100+MONTH(B268),0)</f>
        <v>0</v>
      </c>
    </row>
    <row r="269" customFormat="false" ht="15" hidden="false" customHeight="false" outlineLevel="0" collapsed="false">
      <c r="B269" s="52"/>
      <c r="C269" s="53"/>
      <c r="D269" s="53"/>
      <c r="E269" s="53"/>
      <c r="F269" s="59"/>
      <c r="G269" s="59"/>
      <c r="H269" s="59"/>
      <c r="I269" s="57"/>
      <c r="J269" s="60" t="str">
        <f aca="false">IF(AND(ISNUMBER(F269),ISNUMBER(G269)),MAX(0,G269-F269),IF(ISNUMBER(H269),H269*IF(I269="Yes / Sí",2,1),""))</f>
        <v/>
      </c>
      <c r="K269" s="61" t="str">
        <f aca="false">IF(OR(J269="",NOT(ISNUMBER(B269))),"",IF(COUNTIF(Settings!$B$8:$B$17,"&lt;="&amp;B269)=0,Settings!$C$8,INDEX(Settings!$C$8:$C$17,COUNTIF(Settings!$B$8:$B$17,"&lt;="&amp;B269))))</f>
        <v/>
      </c>
      <c r="L269" s="56" t="str">
        <f aca="false">IF(K269="","",ROUND(J269*K269,2))</f>
        <v/>
      </c>
      <c r="M269" s="58" t="str">
        <f aca="false">IF(AND(B269="",F269="",G269="",H269=""),"",IF(NOT(ISNUMBER(B269)),"⚠ ADD DATE / AGREGA FECHA",IF(J269="","⚠ ADD MILES / AGREGA MILLAS",IF(AND(ISNUMBER(F269),ISNUMBER(G269)),IF(G269&lt;F269,"⚠ CHECK ODOMETER / REVISA ODÓMETRO","✔ OK"),"✔ OK"))))</f>
        <v/>
      </c>
      <c r="N269" s="53"/>
      <c r="P269" s="51" t="n">
        <f aca="false">IF(ISNUMBER(L269),1,0)</f>
        <v>0</v>
      </c>
      <c r="Q269" s="51" t="n">
        <f aca="false">IF(P269=1,YEAR(B269),0)</f>
        <v>0</v>
      </c>
      <c r="R269" s="51" t="n">
        <f aca="false">IF(P269=1,YEAR(B269)*100+MONTH(B269),0)</f>
        <v>0</v>
      </c>
    </row>
    <row r="270" customFormat="false" ht="15" hidden="false" customHeight="false" outlineLevel="0" collapsed="false">
      <c r="B270" s="52"/>
      <c r="C270" s="53"/>
      <c r="D270" s="53"/>
      <c r="E270" s="53"/>
      <c r="F270" s="59"/>
      <c r="G270" s="59"/>
      <c r="H270" s="59"/>
      <c r="I270" s="57"/>
      <c r="J270" s="60" t="str">
        <f aca="false">IF(AND(ISNUMBER(F270),ISNUMBER(G270)),MAX(0,G270-F270),IF(ISNUMBER(H270),H270*IF(I270="Yes / Sí",2,1),""))</f>
        <v/>
      </c>
      <c r="K270" s="61" t="str">
        <f aca="false">IF(OR(J270="",NOT(ISNUMBER(B270))),"",IF(COUNTIF(Settings!$B$8:$B$17,"&lt;="&amp;B270)=0,Settings!$C$8,INDEX(Settings!$C$8:$C$17,COUNTIF(Settings!$B$8:$B$17,"&lt;="&amp;B270))))</f>
        <v/>
      </c>
      <c r="L270" s="56" t="str">
        <f aca="false">IF(K270="","",ROUND(J270*K270,2))</f>
        <v/>
      </c>
      <c r="M270" s="58" t="str">
        <f aca="false">IF(AND(B270="",F270="",G270="",H270=""),"",IF(NOT(ISNUMBER(B270)),"⚠ ADD DATE / AGREGA FECHA",IF(J270="","⚠ ADD MILES / AGREGA MILLAS",IF(AND(ISNUMBER(F270),ISNUMBER(G270)),IF(G270&lt;F270,"⚠ CHECK ODOMETER / REVISA ODÓMETRO","✔ OK"),"✔ OK"))))</f>
        <v/>
      </c>
      <c r="N270" s="53"/>
      <c r="P270" s="51" t="n">
        <f aca="false">IF(ISNUMBER(L270),1,0)</f>
        <v>0</v>
      </c>
      <c r="Q270" s="51" t="n">
        <f aca="false">IF(P270=1,YEAR(B270),0)</f>
        <v>0</v>
      </c>
      <c r="R270" s="51" t="n">
        <f aca="false">IF(P270=1,YEAR(B270)*100+MONTH(B270),0)</f>
        <v>0</v>
      </c>
    </row>
    <row r="271" customFormat="false" ht="15" hidden="false" customHeight="false" outlineLevel="0" collapsed="false">
      <c r="B271" s="52"/>
      <c r="C271" s="53"/>
      <c r="D271" s="53"/>
      <c r="E271" s="53"/>
      <c r="F271" s="59"/>
      <c r="G271" s="59"/>
      <c r="H271" s="59"/>
      <c r="I271" s="57"/>
      <c r="J271" s="60" t="str">
        <f aca="false">IF(AND(ISNUMBER(F271),ISNUMBER(G271)),MAX(0,G271-F271),IF(ISNUMBER(H271),H271*IF(I271="Yes / Sí",2,1),""))</f>
        <v/>
      </c>
      <c r="K271" s="61" t="str">
        <f aca="false">IF(OR(J271="",NOT(ISNUMBER(B271))),"",IF(COUNTIF(Settings!$B$8:$B$17,"&lt;="&amp;B271)=0,Settings!$C$8,INDEX(Settings!$C$8:$C$17,COUNTIF(Settings!$B$8:$B$17,"&lt;="&amp;B271))))</f>
        <v/>
      </c>
      <c r="L271" s="56" t="str">
        <f aca="false">IF(K271="","",ROUND(J271*K271,2))</f>
        <v/>
      </c>
      <c r="M271" s="58" t="str">
        <f aca="false">IF(AND(B271="",F271="",G271="",H271=""),"",IF(NOT(ISNUMBER(B271)),"⚠ ADD DATE / AGREGA FECHA",IF(J271="","⚠ ADD MILES / AGREGA MILLAS",IF(AND(ISNUMBER(F271),ISNUMBER(G271)),IF(G271&lt;F271,"⚠ CHECK ODOMETER / REVISA ODÓMETRO","✔ OK"),"✔ OK"))))</f>
        <v/>
      </c>
      <c r="N271" s="53"/>
      <c r="P271" s="51" t="n">
        <f aca="false">IF(ISNUMBER(L271),1,0)</f>
        <v>0</v>
      </c>
      <c r="Q271" s="51" t="n">
        <f aca="false">IF(P271=1,YEAR(B271),0)</f>
        <v>0</v>
      </c>
      <c r="R271" s="51" t="n">
        <f aca="false">IF(P271=1,YEAR(B271)*100+MONTH(B271),0)</f>
        <v>0</v>
      </c>
    </row>
    <row r="272" customFormat="false" ht="15" hidden="false" customHeight="false" outlineLevel="0" collapsed="false">
      <c r="B272" s="52"/>
      <c r="C272" s="53"/>
      <c r="D272" s="53"/>
      <c r="E272" s="53"/>
      <c r="F272" s="59"/>
      <c r="G272" s="59"/>
      <c r="H272" s="59"/>
      <c r="I272" s="57"/>
      <c r="J272" s="60" t="str">
        <f aca="false">IF(AND(ISNUMBER(F272),ISNUMBER(G272)),MAX(0,G272-F272),IF(ISNUMBER(H272),H272*IF(I272="Yes / Sí",2,1),""))</f>
        <v/>
      </c>
      <c r="K272" s="61" t="str">
        <f aca="false">IF(OR(J272="",NOT(ISNUMBER(B272))),"",IF(COUNTIF(Settings!$B$8:$B$17,"&lt;="&amp;B272)=0,Settings!$C$8,INDEX(Settings!$C$8:$C$17,COUNTIF(Settings!$B$8:$B$17,"&lt;="&amp;B272))))</f>
        <v/>
      </c>
      <c r="L272" s="56" t="str">
        <f aca="false">IF(K272="","",ROUND(J272*K272,2))</f>
        <v/>
      </c>
      <c r="M272" s="58" t="str">
        <f aca="false">IF(AND(B272="",F272="",G272="",H272=""),"",IF(NOT(ISNUMBER(B272)),"⚠ ADD DATE / AGREGA FECHA",IF(J272="","⚠ ADD MILES / AGREGA MILLAS",IF(AND(ISNUMBER(F272),ISNUMBER(G272)),IF(G272&lt;F272,"⚠ CHECK ODOMETER / REVISA ODÓMETRO","✔ OK"),"✔ OK"))))</f>
        <v/>
      </c>
      <c r="N272" s="53"/>
      <c r="P272" s="51" t="n">
        <f aca="false">IF(ISNUMBER(L272),1,0)</f>
        <v>0</v>
      </c>
      <c r="Q272" s="51" t="n">
        <f aca="false">IF(P272=1,YEAR(B272),0)</f>
        <v>0</v>
      </c>
      <c r="R272" s="51" t="n">
        <f aca="false">IF(P272=1,YEAR(B272)*100+MONTH(B272),0)</f>
        <v>0</v>
      </c>
    </row>
    <row r="273" customFormat="false" ht="15" hidden="false" customHeight="false" outlineLevel="0" collapsed="false">
      <c r="B273" s="52"/>
      <c r="C273" s="53"/>
      <c r="D273" s="53"/>
      <c r="E273" s="53"/>
      <c r="F273" s="59"/>
      <c r="G273" s="59"/>
      <c r="H273" s="59"/>
      <c r="I273" s="57"/>
      <c r="J273" s="60" t="str">
        <f aca="false">IF(AND(ISNUMBER(F273),ISNUMBER(G273)),MAX(0,G273-F273),IF(ISNUMBER(H273),H273*IF(I273="Yes / Sí",2,1),""))</f>
        <v/>
      </c>
      <c r="K273" s="61" t="str">
        <f aca="false">IF(OR(J273="",NOT(ISNUMBER(B273))),"",IF(COUNTIF(Settings!$B$8:$B$17,"&lt;="&amp;B273)=0,Settings!$C$8,INDEX(Settings!$C$8:$C$17,COUNTIF(Settings!$B$8:$B$17,"&lt;="&amp;B273))))</f>
        <v/>
      </c>
      <c r="L273" s="56" t="str">
        <f aca="false">IF(K273="","",ROUND(J273*K273,2))</f>
        <v/>
      </c>
      <c r="M273" s="58" t="str">
        <f aca="false">IF(AND(B273="",F273="",G273="",H273=""),"",IF(NOT(ISNUMBER(B273)),"⚠ ADD DATE / AGREGA FECHA",IF(J273="","⚠ ADD MILES / AGREGA MILLAS",IF(AND(ISNUMBER(F273),ISNUMBER(G273)),IF(G273&lt;F273,"⚠ CHECK ODOMETER / REVISA ODÓMETRO","✔ OK"),"✔ OK"))))</f>
        <v/>
      </c>
      <c r="N273" s="53"/>
      <c r="P273" s="51" t="n">
        <f aca="false">IF(ISNUMBER(L273),1,0)</f>
        <v>0</v>
      </c>
      <c r="Q273" s="51" t="n">
        <f aca="false">IF(P273=1,YEAR(B273),0)</f>
        <v>0</v>
      </c>
      <c r="R273" s="51" t="n">
        <f aca="false">IF(P273=1,YEAR(B273)*100+MONTH(B273),0)</f>
        <v>0</v>
      </c>
    </row>
    <row r="274" customFormat="false" ht="15" hidden="false" customHeight="false" outlineLevel="0" collapsed="false">
      <c r="B274" s="52"/>
      <c r="C274" s="53"/>
      <c r="D274" s="53"/>
      <c r="E274" s="53"/>
      <c r="F274" s="59"/>
      <c r="G274" s="59"/>
      <c r="H274" s="59"/>
      <c r="I274" s="57"/>
      <c r="J274" s="60" t="str">
        <f aca="false">IF(AND(ISNUMBER(F274),ISNUMBER(G274)),MAX(0,G274-F274),IF(ISNUMBER(H274),H274*IF(I274="Yes / Sí",2,1),""))</f>
        <v/>
      </c>
      <c r="K274" s="61" t="str">
        <f aca="false">IF(OR(J274="",NOT(ISNUMBER(B274))),"",IF(COUNTIF(Settings!$B$8:$B$17,"&lt;="&amp;B274)=0,Settings!$C$8,INDEX(Settings!$C$8:$C$17,COUNTIF(Settings!$B$8:$B$17,"&lt;="&amp;B274))))</f>
        <v/>
      </c>
      <c r="L274" s="56" t="str">
        <f aca="false">IF(K274="","",ROUND(J274*K274,2))</f>
        <v/>
      </c>
      <c r="M274" s="58" t="str">
        <f aca="false">IF(AND(B274="",F274="",G274="",H274=""),"",IF(NOT(ISNUMBER(B274)),"⚠ ADD DATE / AGREGA FECHA",IF(J274="","⚠ ADD MILES / AGREGA MILLAS",IF(AND(ISNUMBER(F274),ISNUMBER(G274)),IF(G274&lt;F274,"⚠ CHECK ODOMETER / REVISA ODÓMETRO","✔ OK"),"✔ OK"))))</f>
        <v/>
      </c>
      <c r="N274" s="53"/>
      <c r="P274" s="51" t="n">
        <f aca="false">IF(ISNUMBER(L274),1,0)</f>
        <v>0</v>
      </c>
      <c r="Q274" s="51" t="n">
        <f aca="false">IF(P274=1,YEAR(B274),0)</f>
        <v>0</v>
      </c>
      <c r="R274" s="51" t="n">
        <f aca="false">IF(P274=1,YEAR(B274)*100+MONTH(B274),0)</f>
        <v>0</v>
      </c>
    </row>
    <row r="275" customFormat="false" ht="15" hidden="false" customHeight="false" outlineLevel="0" collapsed="false">
      <c r="B275" s="52"/>
      <c r="C275" s="53"/>
      <c r="D275" s="53"/>
      <c r="E275" s="53"/>
      <c r="F275" s="59"/>
      <c r="G275" s="59"/>
      <c r="H275" s="59"/>
      <c r="I275" s="57"/>
      <c r="J275" s="60" t="str">
        <f aca="false">IF(AND(ISNUMBER(F275),ISNUMBER(G275)),MAX(0,G275-F275),IF(ISNUMBER(H275),H275*IF(I275="Yes / Sí",2,1),""))</f>
        <v/>
      </c>
      <c r="K275" s="61" t="str">
        <f aca="false">IF(OR(J275="",NOT(ISNUMBER(B275))),"",IF(COUNTIF(Settings!$B$8:$B$17,"&lt;="&amp;B275)=0,Settings!$C$8,INDEX(Settings!$C$8:$C$17,COUNTIF(Settings!$B$8:$B$17,"&lt;="&amp;B275))))</f>
        <v/>
      </c>
      <c r="L275" s="56" t="str">
        <f aca="false">IF(K275="","",ROUND(J275*K275,2))</f>
        <v/>
      </c>
      <c r="M275" s="58" t="str">
        <f aca="false">IF(AND(B275="",F275="",G275="",H275=""),"",IF(NOT(ISNUMBER(B275)),"⚠ ADD DATE / AGREGA FECHA",IF(J275="","⚠ ADD MILES / AGREGA MILLAS",IF(AND(ISNUMBER(F275),ISNUMBER(G275)),IF(G275&lt;F275,"⚠ CHECK ODOMETER / REVISA ODÓMETRO","✔ OK"),"✔ OK"))))</f>
        <v/>
      </c>
      <c r="N275" s="53"/>
      <c r="P275" s="51" t="n">
        <f aca="false">IF(ISNUMBER(L275),1,0)</f>
        <v>0</v>
      </c>
      <c r="Q275" s="51" t="n">
        <f aca="false">IF(P275=1,YEAR(B275),0)</f>
        <v>0</v>
      </c>
      <c r="R275" s="51" t="n">
        <f aca="false">IF(P275=1,YEAR(B275)*100+MONTH(B275),0)</f>
        <v>0</v>
      </c>
    </row>
    <row r="276" customFormat="false" ht="15" hidden="false" customHeight="false" outlineLevel="0" collapsed="false">
      <c r="B276" s="52"/>
      <c r="C276" s="53"/>
      <c r="D276" s="53"/>
      <c r="E276" s="53"/>
      <c r="F276" s="59"/>
      <c r="G276" s="59"/>
      <c r="H276" s="59"/>
      <c r="I276" s="57"/>
      <c r="J276" s="60" t="str">
        <f aca="false">IF(AND(ISNUMBER(F276),ISNUMBER(G276)),MAX(0,G276-F276),IF(ISNUMBER(H276),H276*IF(I276="Yes / Sí",2,1),""))</f>
        <v/>
      </c>
      <c r="K276" s="61" t="str">
        <f aca="false">IF(OR(J276="",NOT(ISNUMBER(B276))),"",IF(COUNTIF(Settings!$B$8:$B$17,"&lt;="&amp;B276)=0,Settings!$C$8,INDEX(Settings!$C$8:$C$17,COUNTIF(Settings!$B$8:$B$17,"&lt;="&amp;B276))))</f>
        <v/>
      </c>
      <c r="L276" s="56" t="str">
        <f aca="false">IF(K276="","",ROUND(J276*K276,2))</f>
        <v/>
      </c>
      <c r="M276" s="58" t="str">
        <f aca="false">IF(AND(B276="",F276="",G276="",H276=""),"",IF(NOT(ISNUMBER(B276)),"⚠ ADD DATE / AGREGA FECHA",IF(J276="","⚠ ADD MILES / AGREGA MILLAS",IF(AND(ISNUMBER(F276),ISNUMBER(G276)),IF(G276&lt;F276,"⚠ CHECK ODOMETER / REVISA ODÓMETRO","✔ OK"),"✔ OK"))))</f>
        <v/>
      </c>
      <c r="N276" s="53"/>
      <c r="P276" s="51" t="n">
        <f aca="false">IF(ISNUMBER(L276),1,0)</f>
        <v>0</v>
      </c>
      <c r="Q276" s="51" t="n">
        <f aca="false">IF(P276=1,YEAR(B276),0)</f>
        <v>0</v>
      </c>
      <c r="R276" s="51" t="n">
        <f aca="false">IF(P276=1,YEAR(B276)*100+MONTH(B276),0)</f>
        <v>0</v>
      </c>
    </row>
    <row r="277" customFormat="false" ht="15" hidden="false" customHeight="false" outlineLevel="0" collapsed="false">
      <c r="B277" s="52"/>
      <c r="C277" s="53"/>
      <c r="D277" s="53"/>
      <c r="E277" s="53"/>
      <c r="F277" s="59"/>
      <c r="G277" s="59"/>
      <c r="H277" s="59"/>
      <c r="I277" s="57"/>
      <c r="J277" s="60" t="str">
        <f aca="false">IF(AND(ISNUMBER(F277),ISNUMBER(G277)),MAX(0,G277-F277),IF(ISNUMBER(H277),H277*IF(I277="Yes / Sí",2,1),""))</f>
        <v/>
      </c>
      <c r="K277" s="61" t="str">
        <f aca="false">IF(OR(J277="",NOT(ISNUMBER(B277))),"",IF(COUNTIF(Settings!$B$8:$B$17,"&lt;="&amp;B277)=0,Settings!$C$8,INDEX(Settings!$C$8:$C$17,COUNTIF(Settings!$B$8:$B$17,"&lt;="&amp;B277))))</f>
        <v/>
      </c>
      <c r="L277" s="56" t="str">
        <f aca="false">IF(K277="","",ROUND(J277*K277,2))</f>
        <v/>
      </c>
      <c r="M277" s="58" t="str">
        <f aca="false">IF(AND(B277="",F277="",G277="",H277=""),"",IF(NOT(ISNUMBER(B277)),"⚠ ADD DATE / AGREGA FECHA",IF(J277="","⚠ ADD MILES / AGREGA MILLAS",IF(AND(ISNUMBER(F277),ISNUMBER(G277)),IF(G277&lt;F277,"⚠ CHECK ODOMETER / REVISA ODÓMETRO","✔ OK"),"✔ OK"))))</f>
        <v/>
      </c>
      <c r="N277" s="53"/>
      <c r="P277" s="51" t="n">
        <f aca="false">IF(ISNUMBER(L277),1,0)</f>
        <v>0</v>
      </c>
      <c r="Q277" s="51" t="n">
        <f aca="false">IF(P277=1,YEAR(B277),0)</f>
        <v>0</v>
      </c>
      <c r="R277" s="51" t="n">
        <f aca="false">IF(P277=1,YEAR(B277)*100+MONTH(B277),0)</f>
        <v>0</v>
      </c>
    </row>
    <row r="278" customFormat="false" ht="15" hidden="false" customHeight="false" outlineLevel="0" collapsed="false">
      <c r="B278" s="52"/>
      <c r="C278" s="53"/>
      <c r="D278" s="53"/>
      <c r="E278" s="53"/>
      <c r="F278" s="59"/>
      <c r="G278" s="59"/>
      <c r="H278" s="59"/>
      <c r="I278" s="57"/>
      <c r="J278" s="60" t="str">
        <f aca="false">IF(AND(ISNUMBER(F278),ISNUMBER(G278)),MAX(0,G278-F278),IF(ISNUMBER(H278),H278*IF(I278="Yes / Sí",2,1),""))</f>
        <v/>
      </c>
      <c r="K278" s="61" t="str">
        <f aca="false">IF(OR(J278="",NOT(ISNUMBER(B278))),"",IF(COUNTIF(Settings!$B$8:$B$17,"&lt;="&amp;B278)=0,Settings!$C$8,INDEX(Settings!$C$8:$C$17,COUNTIF(Settings!$B$8:$B$17,"&lt;="&amp;B278))))</f>
        <v/>
      </c>
      <c r="L278" s="56" t="str">
        <f aca="false">IF(K278="","",ROUND(J278*K278,2))</f>
        <v/>
      </c>
      <c r="M278" s="58" t="str">
        <f aca="false">IF(AND(B278="",F278="",G278="",H278=""),"",IF(NOT(ISNUMBER(B278)),"⚠ ADD DATE / AGREGA FECHA",IF(J278="","⚠ ADD MILES / AGREGA MILLAS",IF(AND(ISNUMBER(F278),ISNUMBER(G278)),IF(G278&lt;F278,"⚠ CHECK ODOMETER / REVISA ODÓMETRO","✔ OK"),"✔ OK"))))</f>
        <v/>
      </c>
      <c r="N278" s="53"/>
      <c r="P278" s="51" t="n">
        <f aca="false">IF(ISNUMBER(L278),1,0)</f>
        <v>0</v>
      </c>
      <c r="Q278" s="51" t="n">
        <f aca="false">IF(P278=1,YEAR(B278),0)</f>
        <v>0</v>
      </c>
      <c r="R278" s="51" t="n">
        <f aca="false">IF(P278=1,YEAR(B278)*100+MONTH(B278),0)</f>
        <v>0</v>
      </c>
    </row>
    <row r="279" customFormat="false" ht="15" hidden="false" customHeight="false" outlineLevel="0" collapsed="false">
      <c r="B279" s="52"/>
      <c r="C279" s="53"/>
      <c r="D279" s="53"/>
      <c r="E279" s="53"/>
      <c r="F279" s="59"/>
      <c r="G279" s="59"/>
      <c r="H279" s="59"/>
      <c r="I279" s="57"/>
      <c r="J279" s="60" t="str">
        <f aca="false">IF(AND(ISNUMBER(F279),ISNUMBER(G279)),MAX(0,G279-F279),IF(ISNUMBER(H279),H279*IF(I279="Yes / Sí",2,1),""))</f>
        <v/>
      </c>
      <c r="K279" s="61" t="str">
        <f aca="false">IF(OR(J279="",NOT(ISNUMBER(B279))),"",IF(COUNTIF(Settings!$B$8:$B$17,"&lt;="&amp;B279)=0,Settings!$C$8,INDEX(Settings!$C$8:$C$17,COUNTIF(Settings!$B$8:$B$17,"&lt;="&amp;B279))))</f>
        <v/>
      </c>
      <c r="L279" s="56" t="str">
        <f aca="false">IF(K279="","",ROUND(J279*K279,2))</f>
        <v/>
      </c>
      <c r="M279" s="58" t="str">
        <f aca="false">IF(AND(B279="",F279="",G279="",H279=""),"",IF(NOT(ISNUMBER(B279)),"⚠ ADD DATE / AGREGA FECHA",IF(J279="","⚠ ADD MILES / AGREGA MILLAS",IF(AND(ISNUMBER(F279),ISNUMBER(G279)),IF(G279&lt;F279,"⚠ CHECK ODOMETER / REVISA ODÓMETRO","✔ OK"),"✔ OK"))))</f>
        <v/>
      </c>
      <c r="N279" s="53"/>
      <c r="P279" s="51" t="n">
        <f aca="false">IF(ISNUMBER(L279),1,0)</f>
        <v>0</v>
      </c>
      <c r="Q279" s="51" t="n">
        <f aca="false">IF(P279=1,YEAR(B279),0)</f>
        <v>0</v>
      </c>
      <c r="R279" s="51" t="n">
        <f aca="false">IF(P279=1,YEAR(B279)*100+MONTH(B279),0)</f>
        <v>0</v>
      </c>
    </row>
    <row r="280" customFormat="false" ht="15" hidden="false" customHeight="false" outlineLevel="0" collapsed="false">
      <c r="B280" s="52"/>
      <c r="C280" s="53"/>
      <c r="D280" s="53"/>
      <c r="E280" s="53"/>
      <c r="F280" s="59"/>
      <c r="G280" s="59"/>
      <c r="H280" s="59"/>
      <c r="I280" s="57"/>
      <c r="J280" s="60" t="str">
        <f aca="false">IF(AND(ISNUMBER(F280),ISNUMBER(G280)),MAX(0,G280-F280),IF(ISNUMBER(H280),H280*IF(I280="Yes / Sí",2,1),""))</f>
        <v/>
      </c>
      <c r="K280" s="61" t="str">
        <f aca="false">IF(OR(J280="",NOT(ISNUMBER(B280))),"",IF(COUNTIF(Settings!$B$8:$B$17,"&lt;="&amp;B280)=0,Settings!$C$8,INDEX(Settings!$C$8:$C$17,COUNTIF(Settings!$B$8:$B$17,"&lt;="&amp;B280))))</f>
        <v/>
      </c>
      <c r="L280" s="56" t="str">
        <f aca="false">IF(K280="","",ROUND(J280*K280,2))</f>
        <v/>
      </c>
      <c r="M280" s="58" t="str">
        <f aca="false">IF(AND(B280="",F280="",G280="",H280=""),"",IF(NOT(ISNUMBER(B280)),"⚠ ADD DATE / AGREGA FECHA",IF(J280="","⚠ ADD MILES / AGREGA MILLAS",IF(AND(ISNUMBER(F280),ISNUMBER(G280)),IF(G280&lt;F280,"⚠ CHECK ODOMETER / REVISA ODÓMETRO","✔ OK"),"✔ OK"))))</f>
        <v/>
      </c>
      <c r="N280" s="53"/>
      <c r="P280" s="51" t="n">
        <f aca="false">IF(ISNUMBER(L280),1,0)</f>
        <v>0</v>
      </c>
      <c r="Q280" s="51" t="n">
        <f aca="false">IF(P280=1,YEAR(B280),0)</f>
        <v>0</v>
      </c>
      <c r="R280" s="51" t="n">
        <f aca="false">IF(P280=1,YEAR(B280)*100+MONTH(B280),0)</f>
        <v>0</v>
      </c>
    </row>
    <row r="281" customFormat="false" ht="15" hidden="false" customHeight="false" outlineLevel="0" collapsed="false">
      <c r="B281" s="52"/>
      <c r="C281" s="53"/>
      <c r="D281" s="53"/>
      <c r="E281" s="53"/>
      <c r="F281" s="59"/>
      <c r="G281" s="59"/>
      <c r="H281" s="59"/>
      <c r="I281" s="57"/>
      <c r="J281" s="60" t="str">
        <f aca="false">IF(AND(ISNUMBER(F281),ISNUMBER(G281)),MAX(0,G281-F281),IF(ISNUMBER(H281),H281*IF(I281="Yes / Sí",2,1),""))</f>
        <v/>
      </c>
      <c r="K281" s="61" t="str">
        <f aca="false">IF(OR(J281="",NOT(ISNUMBER(B281))),"",IF(COUNTIF(Settings!$B$8:$B$17,"&lt;="&amp;B281)=0,Settings!$C$8,INDEX(Settings!$C$8:$C$17,COUNTIF(Settings!$B$8:$B$17,"&lt;="&amp;B281))))</f>
        <v/>
      </c>
      <c r="L281" s="56" t="str">
        <f aca="false">IF(K281="","",ROUND(J281*K281,2))</f>
        <v/>
      </c>
      <c r="M281" s="58" t="str">
        <f aca="false">IF(AND(B281="",F281="",G281="",H281=""),"",IF(NOT(ISNUMBER(B281)),"⚠ ADD DATE / AGREGA FECHA",IF(J281="","⚠ ADD MILES / AGREGA MILLAS",IF(AND(ISNUMBER(F281),ISNUMBER(G281)),IF(G281&lt;F281,"⚠ CHECK ODOMETER / REVISA ODÓMETRO","✔ OK"),"✔ OK"))))</f>
        <v/>
      </c>
      <c r="N281" s="53"/>
      <c r="P281" s="51" t="n">
        <f aca="false">IF(ISNUMBER(L281),1,0)</f>
        <v>0</v>
      </c>
      <c r="Q281" s="51" t="n">
        <f aca="false">IF(P281=1,YEAR(B281),0)</f>
        <v>0</v>
      </c>
      <c r="R281" s="51" t="n">
        <f aca="false">IF(P281=1,YEAR(B281)*100+MONTH(B281),0)</f>
        <v>0</v>
      </c>
    </row>
    <row r="282" customFormat="false" ht="15" hidden="false" customHeight="false" outlineLevel="0" collapsed="false">
      <c r="B282" s="52"/>
      <c r="C282" s="53"/>
      <c r="D282" s="53"/>
      <c r="E282" s="53"/>
      <c r="F282" s="59"/>
      <c r="G282" s="59"/>
      <c r="H282" s="59"/>
      <c r="I282" s="57"/>
      <c r="J282" s="60" t="str">
        <f aca="false">IF(AND(ISNUMBER(F282),ISNUMBER(G282)),MAX(0,G282-F282),IF(ISNUMBER(H282),H282*IF(I282="Yes / Sí",2,1),""))</f>
        <v/>
      </c>
      <c r="K282" s="61" t="str">
        <f aca="false">IF(OR(J282="",NOT(ISNUMBER(B282))),"",IF(COUNTIF(Settings!$B$8:$B$17,"&lt;="&amp;B282)=0,Settings!$C$8,INDEX(Settings!$C$8:$C$17,COUNTIF(Settings!$B$8:$B$17,"&lt;="&amp;B282))))</f>
        <v/>
      </c>
      <c r="L282" s="56" t="str">
        <f aca="false">IF(K282="","",ROUND(J282*K282,2))</f>
        <v/>
      </c>
      <c r="M282" s="58" t="str">
        <f aca="false">IF(AND(B282="",F282="",G282="",H282=""),"",IF(NOT(ISNUMBER(B282)),"⚠ ADD DATE / AGREGA FECHA",IF(J282="","⚠ ADD MILES / AGREGA MILLAS",IF(AND(ISNUMBER(F282),ISNUMBER(G282)),IF(G282&lt;F282,"⚠ CHECK ODOMETER / REVISA ODÓMETRO","✔ OK"),"✔ OK"))))</f>
        <v/>
      </c>
      <c r="N282" s="53"/>
      <c r="P282" s="51" t="n">
        <f aca="false">IF(ISNUMBER(L282),1,0)</f>
        <v>0</v>
      </c>
      <c r="Q282" s="51" t="n">
        <f aca="false">IF(P282=1,YEAR(B282),0)</f>
        <v>0</v>
      </c>
      <c r="R282" s="51" t="n">
        <f aca="false">IF(P282=1,YEAR(B282)*100+MONTH(B282),0)</f>
        <v>0</v>
      </c>
    </row>
    <row r="283" customFormat="false" ht="15" hidden="false" customHeight="false" outlineLevel="0" collapsed="false">
      <c r="B283" s="52"/>
      <c r="C283" s="53"/>
      <c r="D283" s="53"/>
      <c r="E283" s="53"/>
      <c r="F283" s="59"/>
      <c r="G283" s="59"/>
      <c r="H283" s="59"/>
      <c r="I283" s="57"/>
      <c r="J283" s="60" t="str">
        <f aca="false">IF(AND(ISNUMBER(F283),ISNUMBER(G283)),MAX(0,G283-F283),IF(ISNUMBER(H283),H283*IF(I283="Yes / Sí",2,1),""))</f>
        <v/>
      </c>
      <c r="K283" s="61" t="str">
        <f aca="false">IF(OR(J283="",NOT(ISNUMBER(B283))),"",IF(COUNTIF(Settings!$B$8:$B$17,"&lt;="&amp;B283)=0,Settings!$C$8,INDEX(Settings!$C$8:$C$17,COUNTIF(Settings!$B$8:$B$17,"&lt;="&amp;B283))))</f>
        <v/>
      </c>
      <c r="L283" s="56" t="str">
        <f aca="false">IF(K283="","",ROUND(J283*K283,2))</f>
        <v/>
      </c>
      <c r="M283" s="58" t="str">
        <f aca="false">IF(AND(B283="",F283="",G283="",H283=""),"",IF(NOT(ISNUMBER(B283)),"⚠ ADD DATE / AGREGA FECHA",IF(J283="","⚠ ADD MILES / AGREGA MILLAS",IF(AND(ISNUMBER(F283),ISNUMBER(G283)),IF(G283&lt;F283,"⚠ CHECK ODOMETER / REVISA ODÓMETRO","✔ OK"),"✔ OK"))))</f>
        <v/>
      </c>
      <c r="N283" s="53"/>
      <c r="P283" s="51" t="n">
        <f aca="false">IF(ISNUMBER(L283),1,0)</f>
        <v>0</v>
      </c>
      <c r="Q283" s="51" t="n">
        <f aca="false">IF(P283=1,YEAR(B283),0)</f>
        <v>0</v>
      </c>
      <c r="R283" s="51" t="n">
        <f aca="false">IF(P283=1,YEAR(B283)*100+MONTH(B283),0)</f>
        <v>0</v>
      </c>
    </row>
    <row r="284" customFormat="false" ht="15" hidden="false" customHeight="false" outlineLevel="0" collapsed="false">
      <c r="B284" s="52"/>
      <c r="C284" s="53"/>
      <c r="D284" s="53"/>
      <c r="E284" s="53"/>
      <c r="F284" s="59"/>
      <c r="G284" s="59"/>
      <c r="H284" s="59"/>
      <c r="I284" s="57"/>
      <c r="J284" s="60" t="str">
        <f aca="false">IF(AND(ISNUMBER(F284),ISNUMBER(G284)),MAX(0,G284-F284),IF(ISNUMBER(H284),H284*IF(I284="Yes / Sí",2,1),""))</f>
        <v/>
      </c>
      <c r="K284" s="61" t="str">
        <f aca="false">IF(OR(J284="",NOT(ISNUMBER(B284))),"",IF(COUNTIF(Settings!$B$8:$B$17,"&lt;="&amp;B284)=0,Settings!$C$8,INDEX(Settings!$C$8:$C$17,COUNTIF(Settings!$B$8:$B$17,"&lt;="&amp;B284))))</f>
        <v/>
      </c>
      <c r="L284" s="56" t="str">
        <f aca="false">IF(K284="","",ROUND(J284*K284,2))</f>
        <v/>
      </c>
      <c r="M284" s="58" t="str">
        <f aca="false">IF(AND(B284="",F284="",G284="",H284=""),"",IF(NOT(ISNUMBER(B284)),"⚠ ADD DATE / AGREGA FECHA",IF(J284="","⚠ ADD MILES / AGREGA MILLAS",IF(AND(ISNUMBER(F284),ISNUMBER(G284)),IF(G284&lt;F284,"⚠ CHECK ODOMETER / REVISA ODÓMETRO","✔ OK"),"✔ OK"))))</f>
        <v/>
      </c>
      <c r="N284" s="53"/>
      <c r="P284" s="51" t="n">
        <f aca="false">IF(ISNUMBER(L284),1,0)</f>
        <v>0</v>
      </c>
      <c r="Q284" s="51" t="n">
        <f aca="false">IF(P284=1,YEAR(B284),0)</f>
        <v>0</v>
      </c>
      <c r="R284" s="51" t="n">
        <f aca="false">IF(P284=1,YEAR(B284)*100+MONTH(B284),0)</f>
        <v>0</v>
      </c>
    </row>
    <row r="285" customFormat="false" ht="15" hidden="false" customHeight="false" outlineLevel="0" collapsed="false">
      <c r="B285" s="52"/>
      <c r="C285" s="53"/>
      <c r="D285" s="53"/>
      <c r="E285" s="53"/>
      <c r="F285" s="59"/>
      <c r="G285" s="59"/>
      <c r="H285" s="59"/>
      <c r="I285" s="57"/>
      <c r="J285" s="60" t="str">
        <f aca="false">IF(AND(ISNUMBER(F285),ISNUMBER(G285)),MAX(0,G285-F285),IF(ISNUMBER(H285),H285*IF(I285="Yes / Sí",2,1),""))</f>
        <v/>
      </c>
      <c r="K285" s="61" t="str">
        <f aca="false">IF(OR(J285="",NOT(ISNUMBER(B285))),"",IF(COUNTIF(Settings!$B$8:$B$17,"&lt;="&amp;B285)=0,Settings!$C$8,INDEX(Settings!$C$8:$C$17,COUNTIF(Settings!$B$8:$B$17,"&lt;="&amp;B285))))</f>
        <v/>
      </c>
      <c r="L285" s="56" t="str">
        <f aca="false">IF(K285="","",ROUND(J285*K285,2))</f>
        <v/>
      </c>
      <c r="M285" s="58" t="str">
        <f aca="false">IF(AND(B285="",F285="",G285="",H285=""),"",IF(NOT(ISNUMBER(B285)),"⚠ ADD DATE / AGREGA FECHA",IF(J285="","⚠ ADD MILES / AGREGA MILLAS",IF(AND(ISNUMBER(F285),ISNUMBER(G285)),IF(G285&lt;F285,"⚠ CHECK ODOMETER / REVISA ODÓMETRO","✔ OK"),"✔ OK"))))</f>
        <v/>
      </c>
      <c r="N285" s="53"/>
      <c r="P285" s="51" t="n">
        <f aca="false">IF(ISNUMBER(L285),1,0)</f>
        <v>0</v>
      </c>
      <c r="Q285" s="51" t="n">
        <f aca="false">IF(P285=1,YEAR(B285),0)</f>
        <v>0</v>
      </c>
      <c r="R285" s="51" t="n">
        <f aca="false">IF(P285=1,YEAR(B285)*100+MONTH(B285),0)</f>
        <v>0</v>
      </c>
    </row>
    <row r="286" customFormat="false" ht="15" hidden="false" customHeight="false" outlineLevel="0" collapsed="false">
      <c r="B286" s="52"/>
      <c r="C286" s="53"/>
      <c r="D286" s="53"/>
      <c r="E286" s="53"/>
      <c r="F286" s="59"/>
      <c r="G286" s="59"/>
      <c r="H286" s="59"/>
      <c r="I286" s="57"/>
      <c r="J286" s="60" t="str">
        <f aca="false">IF(AND(ISNUMBER(F286),ISNUMBER(G286)),MAX(0,G286-F286),IF(ISNUMBER(H286),H286*IF(I286="Yes / Sí",2,1),""))</f>
        <v/>
      </c>
      <c r="K286" s="61" t="str">
        <f aca="false">IF(OR(J286="",NOT(ISNUMBER(B286))),"",IF(COUNTIF(Settings!$B$8:$B$17,"&lt;="&amp;B286)=0,Settings!$C$8,INDEX(Settings!$C$8:$C$17,COUNTIF(Settings!$B$8:$B$17,"&lt;="&amp;B286))))</f>
        <v/>
      </c>
      <c r="L286" s="56" t="str">
        <f aca="false">IF(K286="","",ROUND(J286*K286,2))</f>
        <v/>
      </c>
      <c r="M286" s="58" t="str">
        <f aca="false">IF(AND(B286="",F286="",G286="",H286=""),"",IF(NOT(ISNUMBER(B286)),"⚠ ADD DATE / AGREGA FECHA",IF(J286="","⚠ ADD MILES / AGREGA MILLAS",IF(AND(ISNUMBER(F286),ISNUMBER(G286)),IF(G286&lt;F286,"⚠ CHECK ODOMETER / REVISA ODÓMETRO","✔ OK"),"✔ OK"))))</f>
        <v/>
      </c>
      <c r="N286" s="53"/>
      <c r="P286" s="51" t="n">
        <f aca="false">IF(ISNUMBER(L286),1,0)</f>
        <v>0</v>
      </c>
      <c r="Q286" s="51" t="n">
        <f aca="false">IF(P286=1,YEAR(B286),0)</f>
        <v>0</v>
      </c>
      <c r="R286" s="51" t="n">
        <f aca="false">IF(P286=1,YEAR(B286)*100+MONTH(B286),0)</f>
        <v>0</v>
      </c>
    </row>
    <row r="287" customFormat="false" ht="15" hidden="false" customHeight="false" outlineLevel="0" collapsed="false">
      <c r="B287" s="52"/>
      <c r="C287" s="53"/>
      <c r="D287" s="53"/>
      <c r="E287" s="53"/>
      <c r="F287" s="59"/>
      <c r="G287" s="59"/>
      <c r="H287" s="59"/>
      <c r="I287" s="57"/>
      <c r="J287" s="60" t="str">
        <f aca="false">IF(AND(ISNUMBER(F287),ISNUMBER(G287)),MAX(0,G287-F287),IF(ISNUMBER(H287),H287*IF(I287="Yes / Sí",2,1),""))</f>
        <v/>
      </c>
      <c r="K287" s="61" t="str">
        <f aca="false">IF(OR(J287="",NOT(ISNUMBER(B287))),"",IF(COUNTIF(Settings!$B$8:$B$17,"&lt;="&amp;B287)=0,Settings!$C$8,INDEX(Settings!$C$8:$C$17,COUNTIF(Settings!$B$8:$B$17,"&lt;="&amp;B287))))</f>
        <v/>
      </c>
      <c r="L287" s="56" t="str">
        <f aca="false">IF(K287="","",ROUND(J287*K287,2))</f>
        <v/>
      </c>
      <c r="M287" s="58" t="str">
        <f aca="false">IF(AND(B287="",F287="",G287="",H287=""),"",IF(NOT(ISNUMBER(B287)),"⚠ ADD DATE / AGREGA FECHA",IF(J287="","⚠ ADD MILES / AGREGA MILLAS",IF(AND(ISNUMBER(F287),ISNUMBER(G287)),IF(G287&lt;F287,"⚠ CHECK ODOMETER / REVISA ODÓMETRO","✔ OK"),"✔ OK"))))</f>
        <v/>
      </c>
      <c r="N287" s="53"/>
      <c r="P287" s="51" t="n">
        <f aca="false">IF(ISNUMBER(L287),1,0)</f>
        <v>0</v>
      </c>
      <c r="Q287" s="51" t="n">
        <f aca="false">IF(P287=1,YEAR(B287),0)</f>
        <v>0</v>
      </c>
      <c r="R287" s="51" t="n">
        <f aca="false">IF(P287=1,YEAR(B287)*100+MONTH(B287),0)</f>
        <v>0</v>
      </c>
    </row>
    <row r="288" customFormat="false" ht="15" hidden="false" customHeight="false" outlineLevel="0" collapsed="false">
      <c r="B288" s="52"/>
      <c r="C288" s="53"/>
      <c r="D288" s="53"/>
      <c r="E288" s="53"/>
      <c r="F288" s="59"/>
      <c r="G288" s="59"/>
      <c r="H288" s="59"/>
      <c r="I288" s="57"/>
      <c r="J288" s="60" t="str">
        <f aca="false">IF(AND(ISNUMBER(F288),ISNUMBER(G288)),MAX(0,G288-F288),IF(ISNUMBER(H288),H288*IF(I288="Yes / Sí",2,1),""))</f>
        <v/>
      </c>
      <c r="K288" s="61" t="str">
        <f aca="false">IF(OR(J288="",NOT(ISNUMBER(B288))),"",IF(COUNTIF(Settings!$B$8:$B$17,"&lt;="&amp;B288)=0,Settings!$C$8,INDEX(Settings!$C$8:$C$17,COUNTIF(Settings!$B$8:$B$17,"&lt;="&amp;B288))))</f>
        <v/>
      </c>
      <c r="L288" s="56" t="str">
        <f aca="false">IF(K288="","",ROUND(J288*K288,2))</f>
        <v/>
      </c>
      <c r="M288" s="58" t="str">
        <f aca="false">IF(AND(B288="",F288="",G288="",H288=""),"",IF(NOT(ISNUMBER(B288)),"⚠ ADD DATE / AGREGA FECHA",IF(J288="","⚠ ADD MILES / AGREGA MILLAS",IF(AND(ISNUMBER(F288),ISNUMBER(G288)),IF(G288&lt;F288,"⚠ CHECK ODOMETER / REVISA ODÓMETRO","✔ OK"),"✔ OK"))))</f>
        <v/>
      </c>
      <c r="N288" s="53"/>
      <c r="P288" s="51" t="n">
        <f aca="false">IF(ISNUMBER(L288),1,0)</f>
        <v>0</v>
      </c>
      <c r="Q288" s="51" t="n">
        <f aca="false">IF(P288=1,YEAR(B288),0)</f>
        <v>0</v>
      </c>
      <c r="R288" s="51" t="n">
        <f aca="false">IF(P288=1,YEAR(B288)*100+MONTH(B288),0)</f>
        <v>0</v>
      </c>
    </row>
    <row r="289" customFormat="false" ht="15" hidden="false" customHeight="false" outlineLevel="0" collapsed="false">
      <c r="B289" s="52"/>
      <c r="C289" s="53"/>
      <c r="D289" s="53"/>
      <c r="E289" s="53"/>
      <c r="F289" s="59"/>
      <c r="G289" s="59"/>
      <c r="H289" s="59"/>
      <c r="I289" s="57"/>
      <c r="J289" s="60" t="str">
        <f aca="false">IF(AND(ISNUMBER(F289),ISNUMBER(G289)),MAX(0,G289-F289),IF(ISNUMBER(H289),H289*IF(I289="Yes / Sí",2,1),""))</f>
        <v/>
      </c>
      <c r="K289" s="61" t="str">
        <f aca="false">IF(OR(J289="",NOT(ISNUMBER(B289))),"",IF(COUNTIF(Settings!$B$8:$B$17,"&lt;="&amp;B289)=0,Settings!$C$8,INDEX(Settings!$C$8:$C$17,COUNTIF(Settings!$B$8:$B$17,"&lt;="&amp;B289))))</f>
        <v/>
      </c>
      <c r="L289" s="56" t="str">
        <f aca="false">IF(K289="","",ROUND(J289*K289,2))</f>
        <v/>
      </c>
      <c r="M289" s="58" t="str">
        <f aca="false">IF(AND(B289="",F289="",G289="",H289=""),"",IF(NOT(ISNUMBER(B289)),"⚠ ADD DATE / AGREGA FECHA",IF(J289="","⚠ ADD MILES / AGREGA MILLAS",IF(AND(ISNUMBER(F289),ISNUMBER(G289)),IF(G289&lt;F289,"⚠ CHECK ODOMETER / REVISA ODÓMETRO","✔ OK"),"✔ OK"))))</f>
        <v/>
      </c>
      <c r="N289" s="53"/>
      <c r="P289" s="51" t="n">
        <f aca="false">IF(ISNUMBER(L289),1,0)</f>
        <v>0</v>
      </c>
      <c r="Q289" s="51" t="n">
        <f aca="false">IF(P289=1,YEAR(B289),0)</f>
        <v>0</v>
      </c>
      <c r="R289" s="51" t="n">
        <f aca="false">IF(P289=1,YEAR(B289)*100+MONTH(B289),0)</f>
        <v>0</v>
      </c>
    </row>
    <row r="290" customFormat="false" ht="15" hidden="false" customHeight="false" outlineLevel="0" collapsed="false">
      <c r="B290" s="52"/>
      <c r="C290" s="53"/>
      <c r="D290" s="53"/>
      <c r="E290" s="53"/>
      <c r="F290" s="59"/>
      <c r="G290" s="59"/>
      <c r="H290" s="59"/>
      <c r="I290" s="57"/>
      <c r="J290" s="60" t="str">
        <f aca="false">IF(AND(ISNUMBER(F290),ISNUMBER(G290)),MAX(0,G290-F290),IF(ISNUMBER(H290),H290*IF(I290="Yes / Sí",2,1),""))</f>
        <v/>
      </c>
      <c r="K290" s="61" t="str">
        <f aca="false">IF(OR(J290="",NOT(ISNUMBER(B290))),"",IF(COUNTIF(Settings!$B$8:$B$17,"&lt;="&amp;B290)=0,Settings!$C$8,INDEX(Settings!$C$8:$C$17,COUNTIF(Settings!$B$8:$B$17,"&lt;="&amp;B290))))</f>
        <v/>
      </c>
      <c r="L290" s="56" t="str">
        <f aca="false">IF(K290="","",ROUND(J290*K290,2))</f>
        <v/>
      </c>
      <c r="M290" s="58" t="str">
        <f aca="false">IF(AND(B290="",F290="",G290="",H290=""),"",IF(NOT(ISNUMBER(B290)),"⚠ ADD DATE / AGREGA FECHA",IF(J290="","⚠ ADD MILES / AGREGA MILLAS",IF(AND(ISNUMBER(F290),ISNUMBER(G290)),IF(G290&lt;F290,"⚠ CHECK ODOMETER / REVISA ODÓMETRO","✔ OK"),"✔ OK"))))</f>
        <v/>
      </c>
      <c r="N290" s="53"/>
      <c r="P290" s="51" t="n">
        <f aca="false">IF(ISNUMBER(L290),1,0)</f>
        <v>0</v>
      </c>
      <c r="Q290" s="51" t="n">
        <f aca="false">IF(P290=1,YEAR(B290),0)</f>
        <v>0</v>
      </c>
      <c r="R290" s="51" t="n">
        <f aca="false">IF(P290=1,YEAR(B290)*100+MONTH(B290),0)</f>
        <v>0</v>
      </c>
    </row>
    <row r="291" customFormat="false" ht="15" hidden="false" customHeight="false" outlineLevel="0" collapsed="false">
      <c r="B291" s="52"/>
      <c r="C291" s="53"/>
      <c r="D291" s="53"/>
      <c r="E291" s="53"/>
      <c r="F291" s="59"/>
      <c r="G291" s="59"/>
      <c r="H291" s="59"/>
      <c r="I291" s="57"/>
      <c r="J291" s="60" t="str">
        <f aca="false">IF(AND(ISNUMBER(F291),ISNUMBER(G291)),MAX(0,G291-F291),IF(ISNUMBER(H291),H291*IF(I291="Yes / Sí",2,1),""))</f>
        <v/>
      </c>
      <c r="K291" s="61" t="str">
        <f aca="false">IF(OR(J291="",NOT(ISNUMBER(B291))),"",IF(COUNTIF(Settings!$B$8:$B$17,"&lt;="&amp;B291)=0,Settings!$C$8,INDEX(Settings!$C$8:$C$17,COUNTIF(Settings!$B$8:$B$17,"&lt;="&amp;B291))))</f>
        <v/>
      </c>
      <c r="L291" s="56" t="str">
        <f aca="false">IF(K291="","",ROUND(J291*K291,2))</f>
        <v/>
      </c>
      <c r="M291" s="58" t="str">
        <f aca="false">IF(AND(B291="",F291="",G291="",H291=""),"",IF(NOT(ISNUMBER(B291)),"⚠ ADD DATE / AGREGA FECHA",IF(J291="","⚠ ADD MILES / AGREGA MILLAS",IF(AND(ISNUMBER(F291),ISNUMBER(G291)),IF(G291&lt;F291,"⚠ CHECK ODOMETER / REVISA ODÓMETRO","✔ OK"),"✔ OK"))))</f>
        <v/>
      </c>
      <c r="N291" s="53"/>
      <c r="P291" s="51" t="n">
        <f aca="false">IF(ISNUMBER(L291),1,0)</f>
        <v>0</v>
      </c>
      <c r="Q291" s="51" t="n">
        <f aca="false">IF(P291=1,YEAR(B291),0)</f>
        <v>0</v>
      </c>
      <c r="R291" s="51" t="n">
        <f aca="false">IF(P291=1,YEAR(B291)*100+MONTH(B291),0)</f>
        <v>0</v>
      </c>
    </row>
    <row r="292" customFormat="false" ht="15" hidden="false" customHeight="false" outlineLevel="0" collapsed="false">
      <c r="B292" s="52"/>
      <c r="C292" s="53"/>
      <c r="D292" s="53"/>
      <c r="E292" s="53"/>
      <c r="F292" s="59"/>
      <c r="G292" s="59"/>
      <c r="H292" s="59"/>
      <c r="I292" s="57"/>
      <c r="J292" s="60" t="str">
        <f aca="false">IF(AND(ISNUMBER(F292),ISNUMBER(G292)),MAX(0,G292-F292),IF(ISNUMBER(H292),H292*IF(I292="Yes / Sí",2,1),""))</f>
        <v/>
      </c>
      <c r="K292" s="61" t="str">
        <f aca="false">IF(OR(J292="",NOT(ISNUMBER(B292))),"",IF(COUNTIF(Settings!$B$8:$B$17,"&lt;="&amp;B292)=0,Settings!$C$8,INDEX(Settings!$C$8:$C$17,COUNTIF(Settings!$B$8:$B$17,"&lt;="&amp;B292))))</f>
        <v/>
      </c>
      <c r="L292" s="56" t="str">
        <f aca="false">IF(K292="","",ROUND(J292*K292,2))</f>
        <v/>
      </c>
      <c r="M292" s="58" t="str">
        <f aca="false">IF(AND(B292="",F292="",G292="",H292=""),"",IF(NOT(ISNUMBER(B292)),"⚠ ADD DATE / AGREGA FECHA",IF(J292="","⚠ ADD MILES / AGREGA MILLAS",IF(AND(ISNUMBER(F292),ISNUMBER(G292)),IF(G292&lt;F292,"⚠ CHECK ODOMETER / REVISA ODÓMETRO","✔ OK"),"✔ OK"))))</f>
        <v/>
      </c>
      <c r="N292" s="53"/>
      <c r="P292" s="51" t="n">
        <f aca="false">IF(ISNUMBER(L292),1,0)</f>
        <v>0</v>
      </c>
      <c r="Q292" s="51" t="n">
        <f aca="false">IF(P292=1,YEAR(B292),0)</f>
        <v>0</v>
      </c>
      <c r="R292" s="51" t="n">
        <f aca="false">IF(P292=1,YEAR(B292)*100+MONTH(B292),0)</f>
        <v>0</v>
      </c>
    </row>
    <row r="293" customFormat="false" ht="15" hidden="false" customHeight="false" outlineLevel="0" collapsed="false">
      <c r="B293" s="52"/>
      <c r="C293" s="53"/>
      <c r="D293" s="53"/>
      <c r="E293" s="53"/>
      <c r="F293" s="59"/>
      <c r="G293" s="59"/>
      <c r="H293" s="59"/>
      <c r="I293" s="57"/>
      <c r="J293" s="60" t="str">
        <f aca="false">IF(AND(ISNUMBER(F293),ISNUMBER(G293)),MAX(0,G293-F293),IF(ISNUMBER(H293),H293*IF(I293="Yes / Sí",2,1),""))</f>
        <v/>
      </c>
      <c r="K293" s="61" t="str">
        <f aca="false">IF(OR(J293="",NOT(ISNUMBER(B293))),"",IF(COUNTIF(Settings!$B$8:$B$17,"&lt;="&amp;B293)=0,Settings!$C$8,INDEX(Settings!$C$8:$C$17,COUNTIF(Settings!$B$8:$B$17,"&lt;="&amp;B293))))</f>
        <v/>
      </c>
      <c r="L293" s="56" t="str">
        <f aca="false">IF(K293="","",ROUND(J293*K293,2))</f>
        <v/>
      </c>
      <c r="M293" s="58" t="str">
        <f aca="false">IF(AND(B293="",F293="",G293="",H293=""),"",IF(NOT(ISNUMBER(B293)),"⚠ ADD DATE / AGREGA FECHA",IF(J293="","⚠ ADD MILES / AGREGA MILLAS",IF(AND(ISNUMBER(F293),ISNUMBER(G293)),IF(G293&lt;F293,"⚠ CHECK ODOMETER / REVISA ODÓMETRO","✔ OK"),"✔ OK"))))</f>
        <v/>
      </c>
      <c r="N293" s="53"/>
      <c r="P293" s="51" t="n">
        <f aca="false">IF(ISNUMBER(L293),1,0)</f>
        <v>0</v>
      </c>
      <c r="Q293" s="51" t="n">
        <f aca="false">IF(P293=1,YEAR(B293),0)</f>
        <v>0</v>
      </c>
      <c r="R293" s="51" t="n">
        <f aca="false">IF(P293=1,YEAR(B293)*100+MONTH(B293),0)</f>
        <v>0</v>
      </c>
    </row>
    <row r="294" customFormat="false" ht="15" hidden="false" customHeight="false" outlineLevel="0" collapsed="false">
      <c r="B294" s="52"/>
      <c r="C294" s="53"/>
      <c r="D294" s="53"/>
      <c r="E294" s="53"/>
      <c r="F294" s="59"/>
      <c r="G294" s="59"/>
      <c r="H294" s="59"/>
      <c r="I294" s="57"/>
      <c r="J294" s="60" t="str">
        <f aca="false">IF(AND(ISNUMBER(F294),ISNUMBER(G294)),MAX(0,G294-F294),IF(ISNUMBER(H294),H294*IF(I294="Yes / Sí",2,1),""))</f>
        <v/>
      </c>
      <c r="K294" s="61" t="str">
        <f aca="false">IF(OR(J294="",NOT(ISNUMBER(B294))),"",IF(COUNTIF(Settings!$B$8:$B$17,"&lt;="&amp;B294)=0,Settings!$C$8,INDEX(Settings!$C$8:$C$17,COUNTIF(Settings!$B$8:$B$17,"&lt;="&amp;B294))))</f>
        <v/>
      </c>
      <c r="L294" s="56" t="str">
        <f aca="false">IF(K294="","",ROUND(J294*K294,2))</f>
        <v/>
      </c>
      <c r="M294" s="58" t="str">
        <f aca="false">IF(AND(B294="",F294="",G294="",H294=""),"",IF(NOT(ISNUMBER(B294)),"⚠ ADD DATE / AGREGA FECHA",IF(J294="","⚠ ADD MILES / AGREGA MILLAS",IF(AND(ISNUMBER(F294),ISNUMBER(G294)),IF(G294&lt;F294,"⚠ CHECK ODOMETER / REVISA ODÓMETRO","✔ OK"),"✔ OK"))))</f>
        <v/>
      </c>
      <c r="N294" s="53"/>
      <c r="P294" s="51" t="n">
        <f aca="false">IF(ISNUMBER(L294),1,0)</f>
        <v>0</v>
      </c>
      <c r="Q294" s="51" t="n">
        <f aca="false">IF(P294=1,YEAR(B294),0)</f>
        <v>0</v>
      </c>
      <c r="R294" s="51" t="n">
        <f aca="false">IF(P294=1,YEAR(B294)*100+MONTH(B294),0)</f>
        <v>0</v>
      </c>
    </row>
    <row r="295" customFormat="false" ht="15" hidden="false" customHeight="false" outlineLevel="0" collapsed="false">
      <c r="B295" s="52"/>
      <c r="C295" s="53"/>
      <c r="D295" s="53"/>
      <c r="E295" s="53"/>
      <c r="F295" s="59"/>
      <c r="G295" s="59"/>
      <c r="H295" s="59"/>
      <c r="I295" s="57"/>
      <c r="J295" s="60" t="str">
        <f aca="false">IF(AND(ISNUMBER(F295),ISNUMBER(G295)),MAX(0,G295-F295),IF(ISNUMBER(H295),H295*IF(I295="Yes / Sí",2,1),""))</f>
        <v/>
      </c>
      <c r="K295" s="61" t="str">
        <f aca="false">IF(OR(J295="",NOT(ISNUMBER(B295))),"",IF(COUNTIF(Settings!$B$8:$B$17,"&lt;="&amp;B295)=0,Settings!$C$8,INDEX(Settings!$C$8:$C$17,COUNTIF(Settings!$B$8:$B$17,"&lt;="&amp;B295))))</f>
        <v/>
      </c>
      <c r="L295" s="56" t="str">
        <f aca="false">IF(K295="","",ROUND(J295*K295,2))</f>
        <v/>
      </c>
      <c r="M295" s="58" t="str">
        <f aca="false">IF(AND(B295="",F295="",G295="",H295=""),"",IF(NOT(ISNUMBER(B295)),"⚠ ADD DATE / AGREGA FECHA",IF(J295="","⚠ ADD MILES / AGREGA MILLAS",IF(AND(ISNUMBER(F295),ISNUMBER(G295)),IF(G295&lt;F295,"⚠ CHECK ODOMETER / REVISA ODÓMETRO","✔ OK"),"✔ OK"))))</f>
        <v/>
      </c>
      <c r="N295" s="53"/>
      <c r="P295" s="51" t="n">
        <f aca="false">IF(ISNUMBER(L295),1,0)</f>
        <v>0</v>
      </c>
      <c r="Q295" s="51" t="n">
        <f aca="false">IF(P295=1,YEAR(B295),0)</f>
        <v>0</v>
      </c>
      <c r="R295" s="51" t="n">
        <f aca="false">IF(P295=1,YEAR(B295)*100+MONTH(B295),0)</f>
        <v>0</v>
      </c>
    </row>
    <row r="296" customFormat="false" ht="15" hidden="false" customHeight="false" outlineLevel="0" collapsed="false">
      <c r="B296" s="52"/>
      <c r="C296" s="53"/>
      <c r="D296" s="53"/>
      <c r="E296" s="53"/>
      <c r="F296" s="59"/>
      <c r="G296" s="59"/>
      <c r="H296" s="59"/>
      <c r="I296" s="57"/>
      <c r="J296" s="60" t="str">
        <f aca="false">IF(AND(ISNUMBER(F296),ISNUMBER(G296)),MAX(0,G296-F296),IF(ISNUMBER(H296),H296*IF(I296="Yes / Sí",2,1),""))</f>
        <v/>
      </c>
      <c r="K296" s="61" t="str">
        <f aca="false">IF(OR(J296="",NOT(ISNUMBER(B296))),"",IF(COUNTIF(Settings!$B$8:$B$17,"&lt;="&amp;B296)=0,Settings!$C$8,INDEX(Settings!$C$8:$C$17,COUNTIF(Settings!$B$8:$B$17,"&lt;="&amp;B296))))</f>
        <v/>
      </c>
      <c r="L296" s="56" t="str">
        <f aca="false">IF(K296="","",ROUND(J296*K296,2))</f>
        <v/>
      </c>
      <c r="M296" s="58" t="str">
        <f aca="false">IF(AND(B296="",F296="",G296="",H296=""),"",IF(NOT(ISNUMBER(B296)),"⚠ ADD DATE / AGREGA FECHA",IF(J296="","⚠ ADD MILES / AGREGA MILLAS",IF(AND(ISNUMBER(F296),ISNUMBER(G296)),IF(G296&lt;F296,"⚠ CHECK ODOMETER / REVISA ODÓMETRO","✔ OK"),"✔ OK"))))</f>
        <v/>
      </c>
      <c r="N296" s="53"/>
      <c r="P296" s="51" t="n">
        <f aca="false">IF(ISNUMBER(L296),1,0)</f>
        <v>0</v>
      </c>
      <c r="Q296" s="51" t="n">
        <f aca="false">IF(P296=1,YEAR(B296),0)</f>
        <v>0</v>
      </c>
      <c r="R296" s="51" t="n">
        <f aca="false">IF(P296=1,YEAR(B296)*100+MONTH(B296),0)</f>
        <v>0</v>
      </c>
    </row>
    <row r="297" customFormat="false" ht="15" hidden="false" customHeight="false" outlineLevel="0" collapsed="false">
      <c r="B297" s="52"/>
      <c r="C297" s="53"/>
      <c r="D297" s="53"/>
      <c r="E297" s="53"/>
      <c r="F297" s="59"/>
      <c r="G297" s="59"/>
      <c r="H297" s="59"/>
      <c r="I297" s="57"/>
      <c r="J297" s="60" t="str">
        <f aca="false">IF(AND(ISNUMBER(F297),ISNUMBER(G297)),MAX(0,G297-F297),IF(ISNUMBER(H297),H297*IF(I297="Yes / Sí",2,1),""))</f>
        <v/>
      </c>
      <c r="K297" s="61" t="str">
        <f aca="false">IF(OR(J297="",NOT(ISNUMBER(B297))),"",IF(COUNTIF(Settings!$B$8:$B$17,"&lt;="&amp;B297)=0,Settings!$C$8,INDEX(Settings!$C$8:$C$17,COUNTIF(Settings!$B$8:$B$17,"&lt;="&amp;B297))))</f>
        <v/>
      </c>
      <c r="L297" s="56" t="str">
        <f aca="false">IF(K297="","",ROUND(J297*K297,2))</f>
        <v/>
      </c>
      <c r="M297" s="58" t="str">
        <f aca="false">IF(AND(B297="",F297="",G297="",H297=""),"",IF(NOT(ISNUMBER(B297)),"⚠ ADD DATE / AGREGA FECHA",IF(J297="","⚠ ADD MILES / AGREGA MILLAS",IF(AND(ISNUMBER(F297),ISNUMBER(G297)),IF(G297&lt;F297,"⚠ CHECK ODOMETER / REVISA ODÓMETRO","✔ OK"),"✔ OK"))))</f>
        <v/>
      </c>
      <c r="N297" s="53"/>
      <c r="P297" s="51" t="n">
        <f aca="false">IF(ISNUMBER(L297),1,0)</f>
        <v>0</v>
      </c>
      <c r="Q297" s="51" t="n">
        <f aca="false">IF(P297=1,YEAR(B297),0)</f>
        <v>0</v>
      </c>
      <c r="R297" s="51" t="n">
        <f aca="false">IF(P297=1,YEAR(B297)*100+MONTH(B297),0)</f>
        <v>0</v>
      </c>
    </row>
    <row r="298" customFormat="false" ht="15" hidden="false" customHeight="false" outlineLevel="0" collapsed="false">
      <c r="B298" s="52"/>
      <c r="C298" s="53"/>
      <c r="D298" s="53"/>
      <c r="E298" s="53"/>
      <c r="F298" s="59"/>
      <c r="G298" s="59"/>
      <c r="H298" s="59"/>
      <c r="I298" s="57"/>
      <c r="J298" s="60" t="str">
        <f aca="false">IF(AND(ISNUMBER(F298),ISNUMBER(G298)),MAX(0,G298-F298),IF(ISNUMBER(H298),H298*IF(I298="Yes / Sí",2,1),""))</f>
        <v/>
      </c>
      <c r="K298" s="61" t="str">
        <f aca="false">IF(OR(J298="",NOT(ISNUMBER(B298))),"",IF(COUNTIF(Settings!$B$8:$B$17,"&lt;="&amp;B298)=0,Settings!$C$8,INDEX(Settings!$C$8:$C$17,COUNTIF(Settings!$B$8:$B$17,"&lt;="&amp;B298))))</f>
        <v/>
      </c>
      <c r="L298" s="56" t="str">
        <f aca="false">IF(K298="","",ROUND(J298*K298,2))</f>
        <v/>
      </c>
      <c r="M298" s="58" t="str">
        <f aca="false">IF(AND(B298="",F298="",G298="",H298=""),"",IF(NOT(ISNUMBER(B298)),"⚠ ADD DATE / AGREGA FECHA",IF(J298="","⚠ ADD MILES / AGREGA MILLAS",IF(AND(ISNUMBER(F298),ISNUMBER(G298)),IF(G298&lt;F298,"⚠ CHECK ODOMETER / REVISA ODÓMETRO","✔ OK"),"✔ OK"))))</f>
        <v/>
      </c>
      <c r="N298" s="53"/>
      <c r="P298" s="51" t="n">
        <f aca="false">IF(ISNUMBER(L298),1,0)</f>
        <v>0</v>
      </c>
      <c r="Q298" s="51" t="n">
        <f aca="false">IF(P298=1,YEAR(B298),0)</f>
        <v>0</v>
      </c>
      <c r="R298" s="51" t="n">
        <f aca="false">IF(P298=1,YEAR(B298)*100+MONTH(B298),0)</f>
        <v>0</v>
      </c>
    </row>
    <row r="299" customFormat="false" ht="15" hidden="false" customHeight="false" outlineLevel="0" collapsed="false">
      <c r="B299" s="52"/>
      <c r="C299" s="53"/>
      <c r="D299" s="53"/>
      <c r="E299" s="53"/>
      <c r="F299" s="59"/>
      <c r="G299" s="59"/>
      <c r="H299" s="59"/>
      <c r="I299" s="57"/>
      <c r="J299" s="60" t="str">
        <f aca="false">IF(AND(ISNUMBER(F299),ISNUMBER(G299)),MAX(0,G299-F299),IF(ISNUMBER(H299),H299*IF(I299="Yes / Sí",2,1),""))</f>
        <v/>
      </c>
      <c r="K299" s="61" t="str">
        <f aca="false">IF(OR(J299="",NOT(ISNUMBER(B299))),"",IF(COUNTIF(Settings!$B$8:$B$17,"&lt;="&amp;B299)=0,Settings!$C$8,INDEX(Settings!$C$8:$C$17,COUNTIF(Settings!$B$8:$B$17,"&lt;="&amp;B299))))</f>
        <v/>
      </c>
      <c r="L299" s="56" t="str">
        <f aca="false">IF(K299="","",ROUND(J299*K299,2))</f>
        <v/>
      </c>
      <c r="M299" s="58" t="str">
        <f aca="false">IF(AND(B299="",F299="",G299="",H299=""),"",IF(NOT(ISNUMBER(B299)),"⚠ ADD DATE / AGREGA FECHA",IF(J299="","⚠ ADD MILES / AGREGA MILLAS",IF(AND(ISNUMBER(F299),ISNUMBER(G299)),IF(G299&lt;F299,"⚠ CHECK ODOMETER / REVISA ODÓMETRO","✔ OK"),"✔ OK"))))</f>
        <v/>
      </c>
      <c r="N299" s="53"/>
      <c r="P299" s="51" t="n">
        <f aca="false">IF(ISNUMBER(L299),1,0)</f>
        <v>0</v>
      </c>
      <c r="Q299" s="51" t="n">
        <f aca="false">IF(P299=1,YEAR(B299),0)</f>
        <v>0</v>
      </c>
      <c r="R299" s="51" t="n">
        <f aca="false">IF(P299=1,YEAR(B299)*100+MONTH(B299),0)</f>
        <v>0</v>
      </c>
    </row>
    <row r="300" customFormat="false" ht="15" hidden="false" customHeight="false" outlineLevel="0" collapsed="false">
      <c r="B300" s="52"/>
      <c r="C300" s="53"/>
      <c r="D300" s="53"/>
      <c r="E300" s="53"/>
      <c r="F300" s="59"/>
      <c r="G300" s="59"/>
      <c r="H300" s="59"/>
      <c r="I300" s="57"/>
      <c r="J300" s="60" t="str">
        <f aca="false">IF(AND(ISNUMBER(F300),ISNUMBER(G300)),MAX(0,G300-F300),IF(ISNUMBER(H300),H300*IF(I300="Yes / Sí",2,1),""))</f>
        <v/>
      </c>
      <c r="K300" s="61" t="str">
        <f aca="false">IF(OR(J300="",NOT(ISNUMBER(B300))),"",IF(COUNTIF(Settings!$B$8:$B$17,"&lt;="&amp;B300)=0,Settings!$C$8,INDEX(Settings!$C$8:$C$17,COUNTIF(Settings!$B$8:$B$17,"&lt;="&amp;B300))))</f>
        <v/>
      </c>
      <c r="L300" s="56" t="str">
        <f aca="false">IF(K300="","",ROUND(J300*K300,2))</f>
        <v/>
      </c>
      <c r="M300" s="58" t="str">
        <f aca="false">IF(AND(B300="",F300="",G300="",H300=""),"",IF(NOT(ISNUMBER(B300)),"⚠ ADD DATE / AGREGA FECHA",IF(J300="","⚠ ADD MILES / AGREGA MILLAS",IF(AND(ISNUMBER(F300),ISNUMBER(G300)),IF(G300&lt;F300,"⚠ CHECK ODOMETER / REVISA ODÓMETRO","✔ OK"),"✔ OK"))))</f>
        <v/>
      </c>
      <c r="N300" s="53"/>
      <c r="P300" s="51" t="n">
        <f aca="false">IF(ISNUMBER(L300),1,0)</f>
        <v>0</v>
      </c>
      <c r="Q300" s="51" t="n">
        <f aca="false">IF(P300=1,YEAR(B300),0)</f>
        <v>0</v>
      </c>
      <c r="R300" s="51" t="n">
        <f aca="false">IF(P300=1,YEAR(B300)*100+MONTH(B300),0)</f>
        <v>0</v>
      </c>
    </row>
    <row r="301" customFormat="false" ht="15" hidden="false" customHeight="false" outlineLevel="0" collapsed="false">
      <c r="B301" s="52"/>
      <c r="C301" s="53"/>
      <c r="D301" s="53"/>
      <c r="E301" s="53"/>
      <c r="F301" s="59"/>
      <c r="G301" s="59"/>
      <c r="H301" s="59"/>
      <c r="I301" s="57"/>
      <c r="J301" s="60" t="str">
        <f aca="false">IF(AND(ISNUMBER(F301),ISNUMBER(G301)),MAX(0,G301-F301),IF(ISNUMBER(H301),H301*IF(I301="Yes / Sí",2,1),""))</f>
        <v/>
      </c>
      <c r="K301" s="61" t="str">
        <f aca="false">IF(OR(J301="",NOT(ISNUMBER(B301))),"",IF(COUNTIF(Settings!$B$8:$B$17,"&lt;="&amp;B301)=0,Settings!$C$8,INDEX(Settings!$C$8:$C$17,COUNTIF(Settings!$B$8:$B$17,"&lt;="&amp;B301))))</f>
        <v/>
      </c>
      <c r="L301" s="56" t="str">
        <f aca="false">IF(K301="","",ROUND(J301*K301,2))</f>
        <v/>
      </c>
      <c r="M301" s="58" t="str">
        <f aca="false">IF(AND(B301="",F301="",G301="",H301=""),"",IF(NOT(ISNUMBER(B301)),"⚠ ADD DATE / AGREGA FECHA",IF(J301="","⚠ ADD MILES / AGREGA MILLAS",IF(AND(ISNUMBER(F301),ISNUMBER(G301)),IF(G301&lt;F301,"⚠ CHECK ODOMETER / REVISA ODÓMETRO","✔ OK"),"✔ OK"))))</f>
        <v/>
      </c>
      <c r="N301" s="53"/>
      <c r="P301" s="51" t="n">
        <f aca="false">IF(ISNUMBER(L301),1,0)</f>
        <v>0</v>
      </c>
      <c r="Q301" s="51" t="n">
        <f aca="false">IF(P301=1,YEAR(B301),0)</f>
        <v>0</v>
      </c>
      <c r="R301" s="51" t="n">
        <f aca="false">IF(P301=1,YEAR(B301)*100+MONTH(B301),0)</f>
        <v>0</v>
      </c>
    </row>
    <row r="302" customFormat="false" ht="15" hidden="false" customHeight="false" outlineLevel="0" collapsed="false">
      <c r="B302" s="52"/>
      <c r="C302" s="53"/>
      <c r="D302" s="53"/>
      <c r="E302" s="53"/>
      <c r="F302" s="59"/>
      <c r="G302" s="59"/>
      <c r="H302" s="59"/>
      <c r="I302" s="57"/>
      <c r="J302" s="60" t="str">
        <f aca="false">IF(AND(ISNUMBER(F302),ISNUMBER(G302)),MAX(0,G302-F302),IF(ISNUMBER(H302),H302*IF(I302="Yes / Sí",2,1),""))</f>
        <v/>
      </c>
      <c r="K302" s="61" t="str">
        <f aca="false">IF(OR(J302="",NOT(ISNUMBER(B302))),"",IF(COUNTIF(Settings!$B$8:$B$17,"&lt;="&amp;B302)=0,Settings!$C$8,INDEX(Settings!$C$8:$C$17,COUNTIF(Settings!$B$8:$B$17,"&lt;="&amp;B302))))</f>
        <v/>
      </c>
      <c r="L302" s="56" t="str">
        <f aca="false">IF(K302="","",ROUND(J302*K302,2))</f>
        <v/>
      </c>
      <c r="M302" s="58" t="str">
        <f aca="false">IF(AND(B302="",F302="",G302="",H302=""),"",IF(NOT(ISNUMBER(B302)),"⚠ ADD DATE / AGREGA FECHA",IF(J302="","⚠ ADD MILES / AGREGA MILLAS",IF(AND(ISNUMBER(F302),ISNUMBER(G302)),IF(G302&lt;F302,"⚠ CHECK ODOMETER / REVISA ODÓMETRO","✔ OK"),"✔ OK"))))</f>
        <v/>
      </c>
      <c r="N302" s="53"/>
      <c r="P302" s="51" t="n">
        <f aca="false">IF(ISNUMBER(L302),1,0)</f>
        <v>0</v>
      </c>
      <c r="Q302" s="51" t="n">
        <f aca="false">IF(P302=1,YEAR(B302),0)</f>
        <v>0</v>
      </c>
      <c r="R302" s="51" t="n">
        <f aca="false">IF(P302=1,YEAR(B302)*100+MONTH(B302),0)</f>
        <v>0</v>
      </c>
    </row>
    <row r="303" customFormat="false" ht="15" hidden="false" customHeight="false" outlineLevel="0" collapsed="false">
      <c r="B303" s="52"/>
      <c r="C303" s="53"/>
      <c r="D303" s="53"/>
      <c r="E303" s="53"/>
      <c r="F303" s="59"/>
      <c r="G303" s="59"/>
      <c r="H303" s="59"/>
      <c r="I303" s="57"/>
      <c r="J303" s="60" t="str">
        <f aca="false">IF(AND(ISNUMBER(F303),ISNUMBER(G303)),MAX(0,G303-F303),IF(ISNUMBER(H303),H303*IF(I303="Yes / Sí",2,1),""))</f>
        <v/>
      </c>
      <c r="K303" s="61" t="str">
        <f aca="false">IF(OR(J303="",NOT(ISNUMBER(B303))),"",IF(COUNTIF(Settings!$B$8:$B$17,"&lt;="&amp;B303)=0,Settings!$C$8,INDEX(Settings!$C$8:$C$17,COUNTIF(Settings!$B$8:$B$17,"&lt;="&amp;B303))))</f>
        <v/>
      </c>
      <c r="L303" s="56" t="str">
        <f aca="false">IF(K303="","",ROUND(J303*K303,2))</f>
        <v/>
      </c>
      <c r="M303" s="58" t="str">
        <f aca="false">IF(AND(B303="",F303="",G303="",H303=""),"",IF(NOT(ISNUMBER(B303)),"⚠ ADD DATE / AGREGA FECHA",IF(J303="","⚠ ADD MILES / AGREGA MILLAS",IF(AND(ISNUMBER(F303),ISNUMBER(G303)),IF(G303&lt;F303,"⚠ CHECK ODOMETER / REVISA ODÓMETRO","✔ OK"),"✔ OK"))))</f>
        <v/>
      </c>
      <c r="N303" s="53"/>
      <c r="P303" s="51" t="n">
        <f aca="false">IF(ISNUMBER(L303),1,0)</f>
        <v>0</v>
      </c>
      <c r="Q303" s="51" t="n">
        <f aca="false">IF(P303=1,YEAR(B303),0)</f>
        <v>0</v>
      </c>
      <c r="R303" s="51" t="n">
        <f aca="false">IF(P303=1,YEAR(B303)*100+MONTH(B303),0)</f>
        <v>0</v>
      </c>
    </row>
    <row r="304" customFormat="false" ht="15" hidden="false" customHeight="false" outlineLevel="0" collapsed="false">
      <c r="B304" s="52"/>
      <c r="C304" s="53"/>
      <c r="D304" s="53"/>
      <c r="E304" s="53"/>
      <c r="F304" s="59"/>
      <c r="G304" s="59"/>
      <c r="H304" s="59"/>
      <c r="I304" s="57"/>
      <c r="J304" s="60" t="str">
        <f aca="false">IF(AND(ISNUMBER(F304),ISNUMBER(G304)),MAX(0,G304-F304),IF(ISNUMBER(H304),H304*IF(I304="Yes / Sí",2,1),""))</f>
        <v/>
      </c>
      <c r="K304" s="61" t="str">
        <f aca="false">IF(OR(J304="",NOT(ISNUMBER(B304))),"",IF(COUNTIF(Settings!$B$8:$B$17,"&lt;="&amp;B304)=0,Settings!$C$8,INDEX(Settings!$C$8:$C$17,COUNTIF(Settings!$B$8:$B$17,"&lt;="&amp;B304))))</f>
        <v/>
      </c>
      <c r="L304" s="56" t="str">
        <f aca="false">IF(K304="","",ROUND(J304*K304,2))</f>
        <v/>
      </c>
      <c r="M304" s="58" t="str">
        <f aca="false">IF(AND(B304="",F304="",G304="",H304=""),"",IF(NOT(ISNUMBER(B304)),"⚠ ADD DATE / AGREGA FECHA",IF(J304="","⚠ ADD MILES / AGREGA MILLAS",IF(AND(ISNUMBER(F304),ISNUMBER(G304)),IF(G304&lt;F304,"⚠ CHECK ODOMETER / REVISA ODÓMETRO","✔ OK"),"✔ OK"))))</f>
        <v/>
      </c>
      <c r="N304" s="53"/>
      <c r="P304" s="51" t="n">
        <f aca="false">IF(ISNUMBER(L304),1,0)</f>
        <v>0</v>
      </c>
      <c r="Q304" s="51" t="n">
        <f aca="false">IF(P304=1,YEAR(B304),0)</f>
        <v>0</v>
      </c>
      <c r="R304" s="51" t="n">
        <f aca="false">IF(P304=1,YEAR(B304)*100+MONTH(B304),0)</f>
        <v>0</v>
      </c>
    </row>
    <row r="305" customFormat="false" ht="15" hidden="false" customHeight="false" outlineLevel="0" collapsed="false">
      <c r="B305" s="52"/>
      <c r="C305" s="53"/>
      <c r="D305" s="53"/>
      <c r="E305" s="53"/>
      <c r="F305" s="59"/>
      <c r="G305" s="59"/>
      <c r="H305" s="59"/>
      <c r="I305" s="57"/>
      <c r="J305" s="60" t="str">
        <f aca="false">IF(AND(ISNUMBER(F305),ISNUMBER(G305)),MAX(0,G305-F305),IF(ISNUMBER(H305),H305*IF(I305="Yes / Sí",2,1),""))</f>
        <v/>
      </c>
      <c r="K305" s="61" t="str">
        <f aca="false">IF(OR(J305="",NOT(ISNUMBER(B305))),"",IF(COUNTIF(Settings!$B$8:$B$17,"&lt;="&amp;B305)=0,Settings!$C$8,INDEX(Settings!$C$8:$C$17,COUNTIF(Settings!$B$8:$B$17,"&lt;="&amp;B305))))</f>
        <v/>
      </c>
      <c r="L305" s="56" t="str">
        <f aca="false">IF(K305="","",ROUND(J305*K305,2))</f>
        <v/>
      </c>
      <c r="M305" s="58" t="str">
        <f aca="false">IF(AND(B305="",F305="",G305="",H305=""),"",IF(NOT(ISNUMBER(B305)),"⚠ ADD DATE / AGREGA FECHA",IF(J305="","⚠ ADD MILES / AGREGA MILLAS",IF(AND(ISNUMBER(F305),ISNUMBER(G305)),IF(G305&lt;F305,"⚠ CHECK ODOMETER / REVISA ODÓMETRO","✔ OK"),"✔ OK"))))</f>
        <v/>
      </c>
      <c r="N305" s="53"/>
      <c r="P305" s="51" t="n">
        <f aca="false">IF(ISNUMBER(L305),1,0)</f>
        <v>0</v>
      </c>
      <c r="Q305" s="51" t="n">
        <f aca="false">IF(P305=1,YEAR(B305),0)</f>
        <v>0</v>
      </c>
      <c r="R305" s="51" t="n">
        <f aca="false">IF(P305=1,YEAR(B305)*100+MONTH(B305),0)</f>
        <v>0</v>
      </c>
    </row>
    <row r="306" customFormat="false" ht="15" hidden="false" customHeight="false" outlineLevel="0" collapsed="false">
      <c r="B306" s="52"/>
      <c r="C306" s="53"/>
      <c r="D306" s="53"/>
      <c r="E306" s="53"/>
      <c r="F306" s="59"/>
      <c r="G306" s="59"/>
      <c r="H306" s="59"/>
      <c r="I306" s="57"/>
      <c r="J306" s="60" t="str">
        <f aca="false">IF(AND(ISNUMBER(F306),ISNUMBER(G306)),MAX(0,G306-F306),IF(ISNUMBER(H306),H306*IF(I306="Yes / Sí",2,1),""))</f>
        <v/>
      </c>
      <c r="K306" s="61" t="str">
        <f aca="false">IF(OR(J306="",NOT(ISNUMBER(B306))),"",IF(COUNTIF(Settings!$B$8:$B$17,"&lt;="&amp;B306)=0,Settings!$C$8,INDEX(Settings!$C$8:$C$17,COUNTIF(Settings!$B$8:$B$17,"&lt;="&amp;B306))))</f>
        <v/>
      </c>
      <c r="L306" s="56" t="str">
        <f aca="false">IF(K306="","",ROUND(J306*K306,2))</f>
        <v/>
      </c>
      <c r="M306" s="58" t="str">
        <f aca="false">IF(AND(B306="",F306="",G306="",H306=""),"",IF(NOT(ISNUMBER(B306)),"⚠ ADD DATE / AGREGA FECHA",IF(J306="","⚠ ADD MILES / AGREGA MILLAS",IF(AND(ISNUMBER(F306),ISNUMBER(G306)),IF(G306&lt;F306,"⚠ CHECK ODOMETER / REVISA ODÓMETRO","✔ OK"),"✔ OK"))))</f>
        <v/>
      </c>
      <c r="N306" s="53"/>
      <c r="P306" s="51" t="n">
        <f aca="false">IF(ISNUMBER(L306),1,0)</f>
        <v>0</v>
      </c>
      <c r="Q306" s="51" t="n">
        <f aca="false">IF(P306=1,YEAR(B306),0)</f>
        <v>0</v>
      </c>
      <c r="R306" s="51" t="n">
        <f aca="false">IF(P306=1,YEAR(B306)*100+MONTH(B306),0)</f>
        <v>0</v>
      </c>
    </row>
    <row r="307" customFormat="false" ht="15" hidden="false" customHeight="false" outlineLevel="0" collapsed="false">
      <c r="B307" s="52"/>
      <c r="C307" s="53"/>
      <c r="D307" s="53"/>
      <c r="E307" s="53"/>
      <c r="F307" s="59"/>
      <c r="G307" s="59"/>
      <c r="H307" s="59"/>
      <c r="I307" s="57"/>
      <c r="J307" s="60" t="str">
        <f aca="false">IF(AND(ISNUMBER(F307),ISNUMBER(G307)),MAX(0,G307-F307),IF(ISNUMBER(H307),H307*IF(I307="Yes / Sí",2,1),""))</f>
        <v/>
      </c>
      <c r="K307" s="61" t="str">
        <f aca="false">IF(OR(J307="",NOT(ISNUMBER(B307))),"",IF(COUNTIF(Settings!$B$8:$B$17,"&lt;="&amp;B307)=0,Settings!$C$8,INDEX(Settings!$C$8:$C$17,COUNTIF(Settings!$B$8:$B$17,"&lt;="&amp;B307))))</f>
        <v/>
      </c>
      <c r="L307" s="56" t="str">
        <f aca="false">IF(K307="","",ROUND(J307*K307,2))</f>
        <v/>
      </c>
      <c r="M307" s="58" t="str">
        <f aca="false">IF(AND(B307="",F307="",G307="",H307=""),"",IF(NOT(ISNUMBER(B307)),"⚠ ADD DATE / AGREGA FECHA",IF(J307="","⚠ ADD MILES / AGREGA MILLAS",IF(AND(ISNUMBER(F307),ISNUMBER(G307)),IF(G307&lt;F307,"⚠ CHECK ODOMETER / REVISA ODÓMETRO","✔ OK"),"✔ OK"))))</f>
        <v/>
      </c>
      <c r="N307" s="53"/>
      <c r="P307" s="51" t="n">
        <f aca="false">IF(ISNUMBER(L307),1,0)</f>
        <v>0</v>
      </c>
      <c r="Q307" s="51" t="n">
        <f aca="false">IF(P307=1,YEAR(B307),0)</f>
        <v>0</v>
      </c>
      <c r="R307" s="51" t="n">
        <f aca="false">IF(P307=1,YEAR(B307)*100+MONTH(B307),0)</f>
        <v>0</v>
      </c>
    </row>
    <row r="308" customFormat="false" ht="15" hidden="false" customHeight="false" outlineLevel="0" collapsed="false">
      <c r="B308" s="52"/>
      <c r="C308" s="53"/>
      <c r="D308" s="53"/>
      <c r="E308" s="53"/>
      <c r="F308" s="59"/>
      <c r="G308" s="59"/>
      <c r="H308" s="59"/>
      <c r="I308" s="57"/>
      <c r="J308" s="60" t="str">
        <f aca="false">IF(AND(ISNUMBER(F308),ISNUMBER(G308)),MAX(0,G308-F308),IF(ISNUMBER(H308),H308*IF(I308="Yes / Sí",2,1),""))</f>
        <v/>
      </c>
      <c r="K308" s="61" t="str">
        <f aca="false">IF(OR(J308="",NOT(ISNUMBER(B308))),"",IF(COUNTIF(Settings!$B$8:$B$17,"&lt;="&amp;B308)=0,Settings!$C$8,INDEX(Settings!$C$8:$C$17,COUNTIF(Settings!$B$8:$B$17,"&lt;="&amp;B308))))</f>
        <v/>
      </c>
      <c r="L308" s="56" t="str">
        <f aca="false">IF(K308="","",ROUND(J308*K308,2))</f>
        <v/>
      </c>
      <c r="M308" s="58" t="str">
        <f aca="false">IF(AND(B308="",F308="",G308="",H308=""),"",IF(NOT(ISNUMBER(B308)),"⚠ ADD DATE / AGREGA FECHA",IF(J308="","⚠ ADD MILES / AGREGA MILLAS",IF(AND(ISNUMBER(F308),ISNUMBER(G308)),IF(G308&lt;F308,"⚠ CHECK ODOMETER / REVISA ODÓMETRO","✔ OK"),"✔ OK"))))</f>
        <v/>
      </c>
      <c r="N308" s="53"/>
      <c r="P308" s="51" t="n">
        <f aca="false">IF(ISNUMBER(L308),1,0)</f>
        <v>0</v>
      </c>
      <c r="Q308" s="51" t="n">
        <f aca="false">IF(P308=1,YEAR(B308),0)</f>
        <v>0</v>
      </c>
      <c r="R308" s="51" t="n">
        <f aca="false">IF(P308=1,YEAR(B308)*100+MONTH(B308),0)</f>
        <v>0</v>
      </c>
    </row>
    <row r="309" customFormat="false" ht="15" hidden="false" customHeight="false" outlineLevel="0" collapsed="false">
      <c r="B309" s="52"/>
      <c r="C309" s="53"/>
      <c r="D309" s="53"/>
      <c r="E309" s="53"/>
      <c r="F309" s="59"/>
      <c r="G309" s="59"/>
      <c r="H309" s="59"/>
      <c r="I309" s="57"/>
      <c r="J309" s="60" t="str">
        <f aca="false">IF(AND(ISNUMBER(F309),ISNUMBER(G309)),MAX(0,G309-F309),IF(ISNUMBER(H309),H309*IF(I309="Yes / Sí",2,1),""))</f>
        <v/>
      </c>
      <c r="K309" s="61" t="str">
        <f aca="false">IF(OR(J309="",NOT(ISNUMBER(B309))),"",IF(COUNTIF(Settings!$B$8:$B$17,"&lt;="&amp;B309)=0,Settings!$C$8,INDEX(Settings!$C$8:$C$17,COUNTIF(Settings!$B$8:$B$17,"&lt;="&amp;B309))))</f>
        <v/>
      </c>
      <c r="L309" s="56" t="str">
        <f aca="false">IF(K309="","",ROUND(J309*K309,2))</f>
        <v/>
      </c>
      <c r="M309" s="58" t="str">
        <f aca="false">IF(AND(B309="",F309="",G309="",H309=""),"",IF(NOT(ISNUMBER(B309)),"⚠ ADD DATE / AGREGA FECHA",IF(J309="","⚠ ADD MILES / AGREGA MILLAS",IF(AND(ISNUMBER(F309),ISNUMBER(G309)),IF(G309&lt;F309,"⚠ CHECK ODOMETER / REVISA ODÓMETRO","✔ OK"),"✔ OK"))))</f>
        <v/>
      </c>
      <c r="N309" s="53"/>
      <c r="P309" s="51" t="n">
        <f aca="false">IF(ISNUMBER(L309),1,0)</f>
        <v>0</v>
      </c>
      <c r="Q309" s="51" t="n">
        <f aca="false">IF(P309=1,YEAR(B309),0)</f>
        <v>0</v>
      </c>
      <c r="R309" s="51" t="n">
        <f aca="false">IF(P309=1,YEAR(B309)*100+MONTH(B309),0)</f>
        <v>0</v>
      </c>
    </row>
    <row r="310" customFormat="false" ht="15" hidden="false" customHeight="false" outlineLevel="0" collapsed="false">
      <c r="B310" s="52"/>
      <c r="C310" s="53"/>
      <c r="D310" s="53"/>
      <c r="E310" s="53"/>
      <c r="F310" s="59"/>
      <c r="G310" s="59"/>
      <c r="H310" s="59"/>
      <c r="I310" s="57"/>
      <c r="J310" s="60" t="str">
        <f aca="false">IF(AND(ISNUMBER(F310),ISNUMBER(G310)),MAX(0,G310-F310),IF(ISNUMBER(H310),H310*IF(I310="Yes / Sí",2,1),""))</f>
        <v/>
      </c>
      <c r="K310" s="61" t="str">
        <f aca="false">IF(OR(J310="",NOT(ISNUMBER(B310))),"",IF(COUNTIF(Settings!$B$8:$B$17,"&lt;="&amp;B310)=0,Settings!$C$8,INDEX(Settings!$C$8:$C$17,COUNTIF(Settings!$B$8:$B$17,"&lt;="&amp;B310))))</f>
        <v/>
      </c>
      <c r="L310" s="56" t="str">
        <f aca="false">IF(K310="","",ROUND(J310*K310,2))</f>
        <v/>
      </c>
      <c r="M310" s="58" t="str">
        <f aca="false">IF(AND(B310="",F310="",G310="",H310=""),"",IF(NOT(ISNUMBER(B310)),"⚠ ADD DATE / AGREGA FECHA",IF(J310="","⚠ ADD MILES / AGREGA MILLAS",IF(AND(ISNUMBER(F310),ISNUMBER(G310)),IF(G310&lt;F310,"⚠ CHECK ODOMETER / REVISA ODÓMETRO","✔ OK"),"✔ OK"))))</f>
        <v/>
      </c>
      <c r="N310" s="53"/>
      <c r="P310" s="51" t="n">
        <f aca="false">IF(ISNUMBER(L310),1,0)</f>
        <v>0</v>
      </c>
      <c r="Q310" s="51" t="n">
        <f aca="false">IF(P310=1,YEAR(B310),0)</f>
        <v>0</v>
      </c>
      <c r="R310" s="51" t="n">
        <f aca="false">IF(P310=1,YEAR(B310)*100+MONTH(B310),0)</f>
        <v>0</v>
      </c>
    </row>
    <row r="311" customFormat="false" ht="15" hidden="false" customHeight="false" outlineLevel="0" collapsed="false">
      <c r="B311" s="52"/>
      <c r="C311" s="53"/>
      <c r="D311" s="53"/>
      <c r="E311" s="53"/>
      <c r="F311" s="59"/>
      <c r="G311" s="59"/>
      <c r="H311" s="59"/>
      <c r="I311" s="57"/>
      <c r="J311" s="60" t="str">
        <f aca="false">IF(AND(ISNUMBER(F311),ISNUMBER(G311)),MAX(0,G311-F311),IF(ISNUMBER(H311),H311*IF(I311="Yes / Sí",2,1),""))</f>
        <v/>
      </c>
      <c r="K311" s="61" t="str">
        <f aca="false">IF(OR(J311="",NOT(ISNUMBER(B311))),"",IF(COUNTIF(Settings!$B$8:$B$17,"&lt;="&amp;B311)=0,Settings!$C$8,INDEX(Settings!$C$8:$C$17,COUNTIF(Settings!$B$8:$B$17,"&lt;="&amp;B311))))</f>
        <v/>
      </c>
      <c r="L311" s="56" t="str">
        <f aca="false">IF(K311="","",ROUND(J311*K311,2))</f>
        <v/>
      </c>
      <c r="M311" s="58" t="str">
        <f aca="false">IF(AND(B311="",F311="",G311="",H311=""),"",IF(NOT(ISNUMBER(B311)),"⚠ ADD DATE / AGREGA FECHA",IF(J311="","⚠ ADD MILES / AGREGA MILLAS",IF(AND(ISNUMBER(F311),ISNUMBER(G311)),IF(G311&lt;F311,"⚠ CHECK ODOMETER / REVISA ODÓMETRO","✔ OK"),"✔ OK"))))</f>
        <v/>
      </c>
      <c r="N311" s="53"/>
      <c r="P311" s="51" t="n">
        <f aca="false">IF(ISNUMBER(L311),1,0)</f>
        <v>0</v>
      </c>
      <c r="Q311" s="51" t="n">
        <f aca="false">IF(P311=1,YEAR(B311),0)</f>
        <v>0</v>
      </c>
      <c r="R311" s="51" t="n">
        <f aca="false">IF(P311=1,YEAR(B311)*100+MONTH(B311),0)</f>
        <v>0</v>
      </c>
    </row>
    <row r="312" customFormat="false" ht="15" hidden="false" customHeight="false" outlineLevel="0" collapsed="false">
      <c r="B312" s="52"/>
      <c r="C312" s="53"/>
      <c r="D312" s="53"/>
      <c r="E312" s="53"/>
      <c r="F312" s="59"/>
      <c r="G312" s="59"/>
      <c r="H312" s="59"/>
      <c r="I312" s="57"/>
      <c r="J312" s="60" t="str">
        <f aca="false">IF(AND(ISNUMBER(F312),ISNUMBER(G312)),MAX(0,G312-F312),IF(ISNUMBER(H312),H312*IF(I312="Yes / Sí",2,1),""))</f>
        <v/>
      </c>
      <c r="K312" s="61" t="str">
        <f aca="false">IF(OR(J312="",NOT(ISNUMBER(B312))),"",IF(COUNTIF(Settings!$B$8:$B$17,"&lt;="&amp;B312)=0,Settings!$C$8,INDEX(Settings!$C$8:$C$17,COUNTIF(Settings!$B$8:$B$17,"&lt;="&amp;B312))))</f>
        <v/>
      </c>
      <c r="L312" s="56" t="str">
        <f aca="false">IF(K312="","",ROUND(J312*K312,2))</f>
        <v/>
      </c>
      <c r="M312" s="58" t="str">
        <f aca="false">IF(AND(B312="",F312="",G312="",H312=""),"",IF(NOT(ISNUMBER(B312)),"⚠ ADD DATE / AGREGA FECHA",IF(J312="","⚠ ADD MILES / AGREGA MILLAS",IF(AND(ISNUMBER(F312),ISNUMBER(G312)),IF(G312&lt;F312,"⚠ CHECK ODOMETER / REVISA ODÓMETRO","✔ OK"),"✔ OK"))))</f>
        <v/>
      </c>
      <c r="N312" s="53"/>
      <c r="P312" s="51" t="n">
        <f aca="false">IF(ISNUMBER(L312),1,0)</f>
        <v>0</v>
      </c>
      <c r="Q312" s="51" t="n">
        <f aca="false">IF(P312=1,YEAR(B312),0)</f>
        <v>0</v>
      </c>
      <c r="R312" s="51" t="n">
        <f aca="false">IF(P312=1,YEAR(B312)*100+MONTH(B312),0)</f>
        <v>0</v>
      </c>
    </row>
    <row r="313" customFormat="false" ht="15" hidden="false" customHeight="false" outlineLevel="0" collapsed="false">
      <c r="B313" s="52"/>
      <c r="C313" s="53"/>
      <c r="D313" s="53"/>
      <c r="E313" s="53"/>
      <c r="F313" s="59"/>
      <c r="G313" s="59"/>
      <c r="H313" s="59"/>
      <c r="I313" s="57"/>
      <c r="J313" s="60" t="str">
        <f aca="false">IF(AND(ISNUMBER(F313),ISNUMBER(G313)),MAX(0,G313-F313),IF(ISNUMBER(H313),H313*IF(I313="Yes / Sí",2,1),""))</f>
        <v/>
      </c>
      <c r="K313" s="61" t="str">
        <f aca="false">IF(OR(J313="",NOT(ISNUMBER(B313))),"",IF(COUNTIF(Settings!$B$8:$B$17,"&lt;="&amp;B313)=0,Settings!$C$8,INDEX(Settings!$C$8:$C$17,COUNTIF(Settings!$B$8:$B$17,"&lt;="&amp;B313))))</f>
        <v/>
      </c>
      <c r="L313" s="56" t="str">
        <f aca="false">IF(K313="","",ROUND(J313*K313,2))</f>
        <v/>
      </c>
      <c r="M313" s="58" t="str">
        <f aca="false">IF(AND(B313="",F313="",G313="",H313=""),"",IF(NOT(ISNUMBER(B313)),"⚠ ADD DATE / AGREGA FECHA",IF(J313="","⚠ ADD MILES / AGREGA MILLAS",IF(AND(ISNUMBER(F313),ISNUMBER(G313)),IF(G313&lt;F313,"⚠ CHECK ODOMETER / REVISA ODÓMETRO","✔ OK"),"✔ OK"))))</f>
        <v/>
      </c>
      <c r="N313" s="53"/>
      <c r="P313" s="51" t="n">
        <f aca="false">IF(ISNUMBER(L313),1,0)</f>
        <v>0</v>
      </c>
      <c r="Q313" s="51" t="n">
        <f aca="false">IF(P313=1,YEAR(B313),0)</f>
        <v>0</v>
      </c>
      <c r="R313" s="51" t="n">
        <f aca="false">IF(P313=1,YEAR(B313)*100+MONTH(B313),0)</f>
        <v>0</v>
      </c>
    </row>
    <row r="314" customFormat="false" ht="15" hidden="false" customHeight="false" outlineLevel="0" collapsed="false">
      <c r="B314" s="52"/>
      <c r="C314" s="53"/>
      <c r="D314" s="53"/>
      <c r="E314" s="53"/>
      <c r="F314" s="59"/>
      <c r="G314" s="59"/>
      <c r="H314" s="59"/>
      <c r="I314" s="57"/>
      <c r="J314" s="60" t="str">
        <f aca="false">IF(AND(ISNUMBER(F314),ISNUMBER(G314)),MAX(0,G314-F314),IF(ISNUMBER(H314),H314*IF(I314="Yes / Sí",2,1),""))</f>
        <v/>
      </c>
      <c r="K314" s="61" t="str">
        <f aca="false">IF(OR(J314="",NOT(ISNUMBER(B314))),"",IF(COUNTIF(Settings!$B$8:$B$17,"&lt;="&amp;B314)=0,Settings!$C$8,INDEX(Settings!$C$8:$C$17,COUNTIF(Settings!$B$8:$B$17,"&lt;="&amp;B314))))</f>
        <v/>
      </c>
      <c r="L314" s="56" t="str">
        <f aca="false">IF(K314="","",ROUND(J314*K314,2))</f>
        <v/>
      </c>
      <c r="M314" s="58" t="str">
        <f aca="false">IF(AND(B314="",F314="",G314="",H314=""),"",IF(NOT(ISNUMBER(B314)),"⚠ ADD DATE / AGREGA FECHA",IF(J314="","⚠ ADD MILES / AGREGA MILLAS",IF(AND(ISNUMBER(F314),ISNUMBER(G314)),IF(G314&lt;F314,"⚠ CHECK ODOMETER / REVISA ODÓMETRO","✔ OK"),"✔ OK"))))</f>
        <v/>
      </c>
      <c r="N314" s="53"/>
      <c r="P314" s="51" t="n">
        <f aca="false">IF(ISNUMBER(L314),1,0)</f>
        <v>0</v>
      </c>
      <c r="Q314" s="51" t="n">
        <f aca="false">IF(P314=1,YEAR(B314),0)</f>
        <v>0</v>
      </c>
      <c r="R314" s="51" t="n">
        <f aca="false">IF(P314=1,YEAR(B314)*100+MONTH(B314),0)</f>
        <v>0</v>
      </c>
    </row>
    <row r="315" customFormat="false" ht="15" hidden="false" customHeight="false" outlineLevel="0" collapsed="false">
      <c r="B315" s="52"/>
      <c r="C315" s="53"/>
      <c r="D315" s="53"/>
      <c r="E315" s="53"/>
      <c r="F315" s="59"/>
      <c r="G315" s="59"/>
      <c r="H315" s="59"/>
      <c r="I315" s="57"/>
      <c r="J315" s="60" t="str">
        <f aca="false">IF(AND(ISNUMBER(F315),ISNUMBER(G315)),MAX(0,G315-F315),IF(ISNUMBER(H315),H315*IF(I315="Yes / Sí",2,1),""))</f>
        <v/>
      </c>
      <c r="K315" s="61" t="str">
        <f aca="false">IF(OR(J315="",NOT(ISNUMBER(B315))),"",IF(COUNTIF(Settings!$B$8:$B$17,"&lt;="&amp;B315)=0,Settings!$C$8,INDEX(Settings!$C$8:$C$17,COUNTIF(Settings!$B$8:$B$17,"&lt;="&amp;B315))))</f>
        <v/>
      </c>
      <c r="L315" s="56" t="str">
        <f aca="false">IF(K315="","",ROUND(J315*K315,2))</f>
        <v/>
      </c>
      <c r="M315" s="58" t="str">
        <f aca="false">IF(AND(B315="",F315="",G315="",H315=""),"",IF(NOT(ISNUMBER(B315)),"⚠ ADD DATE / AGREGA FECHA",IF(J315="","⚠ ADD MILES / AGREGA MILLAS",IF(AND(ISNUMBER(F315),ISNUMBER(G315)),IF(G315&lt;F315,"⚠ CHECK ODOMETER / REVISA ODÓMETRO","✔ OK"),"✔ OK"))))</f>
        <v/>
      </c>
      <c r="N315" s="53"/>
      <c r="P315" s="51" t="n">
        <f aca="false">IF(ISNUMBER(L315),1,0)</f>
        <v>0</v>
      </c>
      <c r="Q315" s="51" t="n">
        <f aca="false">IF(P315=1,YEAR(B315),0)</f>
        <v>0</v>
      </c>
      <c r="R315" s="51" t="n">
        <f aca="false">IF(P315=1,YEAR(B315)*100+MONTH(B315),0)</f>
        <v>0</v>
      </c>
    </row>
    <row r="316" customFormat="false" ht="15" hidden="false" customHeight="false" outlineLevel="0" collapsed="false">
      <c r="B316" s="52"/>
      <c r="C316" s="53"/>
      <c r="D316" s="53"/>
      <c r="E316" s="53"/>
      <c r="F316" s="59"/>
      <c r="G316" s="59"/>
      <c r="H316" s="59"/>
      <c r="I316" s="57"/>
      <c r="J316" s="60" t="str">
        <f aca="false">IF(AND(ISNUMBER(F316),ISNUMBER(G316)),MAX(0,G316-F316),IF(ISNUMBER(H316),H316*IF(I316="Yes / Sí",2,1),""))</f>
        <v/>
      </c>
      <c r="K316" s="61" t="str">
        <f aca="false">IF(OR(J316="",NOT(ISNUMBER(B316))),"",IF(COUNTIF(Settings!$B$8:$B$17,"&lt;="&amp;B316)=0,Settings!$C$8,INDEX(Settings!$C$8:$C$17,COUNTIF(Settings!$B$8:$B$17,"&lt;="&amp;B316))))</f>
        <v/>
      </c>
      <c r="L316" s="56" t="str">
        <f aca="false">IF(K316="","",ROUND(J316*K316,2))</f>
        <v/>
      </c>
      <c r="M316" s="58" t="str">
        <f aca="false">IF(AND(B316="",F316="",G316="",H316=""),"",IF(NOT(ISNUMBER(B316)),"⚠ ADD DATE / AGREGA FECHA",IF(J316="","⚠ ADD MILES / AGREGA MILLAS",IF(AND(ISNUMBER(F316),ISNUMBER(G316)),IF(G316&lt;F316,"⚠ CHECK ODOMETER / REVISA ODÓMETRO","✔ OK"),"✔ OK"))))</f>
        <v/>
      </c>
      <c r="N316" s="53"/>
      <c r="P316" s="51" t="n">
        <f aca="false">IF(ISNUMBER(L316),1,0)</f>
        <v>0</v>
      </c>
      <c r="Q316" s="51" t="n">
        <f aca="false">IF(P316=1,YEAR(B316),0)</f>
        <v>0</v>
      </c>
      <c r="R316" s="51" t="n">
        <f aca="false">IF(P316=1,YEAR(B316)*100+MONTH(B316),0)</f>
        <v>0</v>
      </c>
    </row>
    <row r="317" customFormat="false" ht="15" hidden="false" customHeight="false" outlineLevel="0" collapsed="false">
      <c r="B317" s="52"/>
      <c r="C317" s="53"/>
      <c r="D317" s="53"/>
      <c r="E317" s="53"/>
      <c r="F317" s="59"/>
      <c r="G317" s="59"/>
      <c r="H317" s="59"/>
      <c r="I317" s="57"/>
      <c r="J317" s="60" t="str">
        <f aca="false">IF(AND(ISNUMBER(F317),ISNUMBER(G317)),MAX(0,G317-F317),IF(ISNUMBER(H317),H317*IF(I317="Yes / Sí",2,1),""))</f>
        <v/>
      </c>
      <c r="K317" s="61" t="str">
        <f aca="false">IF(OR(J317="",NOT(ISNUMBER(B317))),"",IF(COUNTIF(Settings!$B$8:$B$17,"&lt;="&amp;B317)=0,Settings!$C$8,INDEX(Settings!$C$8:$C$17,COUNTIF(Settings!$B$8:$B$17,"&lt;="&amp;B317))))</f>
        <v/>
      </c>
      <c r="L317" s="56" t="str">
        <f aca="false">IF(K317="","",ROUND(J317*K317,2))</f>
        <v/>
      </c>
      <c r="M317" s="58" t="str">
        <f aca="false">IF(AND(B317="",F317="",G317="",H317=""),"",IF(NOT(ISNUMBER(B317)),"⚠ ADD DATE / AGREGA FECHA",IF(J317="","⚠ ADD MILES / AGREGA MILLAS",IF(AND(ISNUMBER(F317),ISNUMBER(G317)),IF(G317&lt;F317,"⚠ CHECK ODOMETER / REVISA ODÓMETRO","✔ OK"),"✔ OK"))))</f>
        <v/>
      </c>
      <c r="N317" s="53"/>
      <c r="P317" s="51" t="n">
        <f aca="false">IF(ISNUMBER(L317),1,0)</f>
        <v>0</v>
      </c>
      <c r="Q317" s="51" t="n">
        <f aca="false">IF(P317=1,YEAR(B317),0)</f>
        <v>0</v>
      </c>
      <c r="R317" s="51" t="n">
        <f aca="false">IF(P317=1,YEAR(B317)*100+MONTH(B317),0)</f>
        <v>0</v>
      </c>
    </row>
    <row r="318" customFormat="false" ht="15" hidden="false" customHeight="false" outlineLevel="0" collapsed="false">
      <c r="B318" s="52"/>
      <c r="C318" s="53"/>
      <c r="D318" s="53"/>
      <c r="E318" s="53"/>
      <c r="F318" s="59"/>
      <c r="G318" s="59"/>
      <c r="H318" s="59"/>
      <c r="I318" s="57"/>
      <c r="J318" s="60" t="str">
        <f aca="false">IF(AND(ISNUMBER(F318),ISNUMBER(G318)),MAX(0,G318-F318),IF(ISNUMBER(H318),H318*IF(I318="Yes / Sí",2,1),""))</f>
        <v/>
      </c>
      <c r="K318" s="61" t="str">
        <f aca="false">IF(OR(J318="",NOT(ISNUMBER(B318))),"",IF(COUNTIF(Settings!$B$8:$B$17,"&lt;="&amp;B318)=0,Settings!$C$8,INDEX(Settings!$C$8:$C$17,COUNTIF(Settings!$B$8:$B$17,"&lt;="&amp;B318))))</f>
        <v/>
      </c>
      <c r="L318" s="56" t="str">
        <f aca="false">IF(K318="","",ROUND(J318*K318,2))</f>
        <v/>
      </c>
      <c r="M318" s="58" t="str">
        <f aca="false">IF(AND(B318="",F318="",G318="",H318=""),"",IF(NOT(ISNUMBER(B318)),"⚠ ADD DATE / AGREGA FECHA",IF(J318="","⚠ ADD MILES / AGREGA MILLAS",IF(AND(ISNUMBER(F318),ISNUMBER(G318)),IF(G318&lt;F318,"⚠ CHECK ODOMETER / REVISA ODÓMETRO","✔ OK"),"✔ OK"))))</f>
        <v/>
      </c>
      <c r="N318" s="53"/>
      <c r="P318" s="51" t="n">
        <f aca="false">IF(ISNUMBER(L318),1,0)</f>
        <v>0</v>
      </c>
      <c r="Q318" s="51" t="n">
        <f aca="false">IF(P318=1,YEAR(B318),0)</f>
        <v>0</v>
      </c>
      <c r="R318" s="51" t="n">
        <f aca="false">IF(P318=1,YEAR(B318)*100+MONTH(B318),0)</f>
        <v>0</v>
      </c>
    </row>
    <row r="319" customFormat="false" ht="15" hidden="false" customHeight="false" outlineLevel="0" collapsed="false">
      <c r="B319" s="52"/>
      <c r="C319" s="53"/>
      <c r="D319" s="53"/>
      <c r="E319" s="53"/>
      <c r="F319" s="59"/>
      <c r="G319" s="59"/>
      <c r="H319" s="59"/>
      <c r="I319" s="57"/>
      <c r="J319" s="60" t="str">
        <f aca="false">IF(AND(ISNUMBER(F319),ISNUMBER(G319)),MAX(0,G319-F319),IF(ISNUMBER(H319),H319*IF(I319="Yes / Sí",2,1),""))</f>
        <v/>
      </c>
      <c r="K319" s="61" t="str">
        <f aca="false">IF(OR(J319="",NOT(ISNUMBER(B319))),"",IF(COUNTIF(Settings!$B$8:$B$17,"&lt;="&amp;B319)=0,Settings!$C$8,INDEX(Settings!$C$8:$C$17,COUNTIF(Settings!$B$8:$B$17,"&lt;="&amp;B319))))</f>
        <v/>
      </c>
      <c r="L319" s="56" t="str">
        <f aca="false">IF(K319="","",ROUND(J319*K319,2))</f>
        <v/>
      </c>
      <c r="M319" s="58" t="str">
        <f aca="false">IF(AND(B319="",F319="",G319="",H319=""),"",IF(NOT(ISNUMBER(B319)),"⚠ ADD DATE / AGREGA FECHA",IF(J319="","⚠ ADD MILES / AGREGA MILLAS",IF(AND(ISNUMBER(F319),ISNUMBER(G319)),IF(G319&lt;F319,"⚠ CHECK ODOMETER / REVISA ODÓMETRO","✔ OK"),"✔ OK"))))</f>
        <v/>
      </c>
      <c r="N319" s="53"/>
      <c r="P319" s="51" t="n">
        <f aca="false">IF(ISNUMBER(L319),1,0)</f>
        <v>0</v>
      </c>
      <c r="Q319" s="51" t="n">
        <f aca="false">IF(P319=1,YEAR(B319),0)</f>
        <v>0</v>
      </c>
      <c r="R319" s="51" t="n">
        <f aca="false">IF(P319=1,YEAR(B319)*100+MONTH(B319),0)</f>
        <v>0</v>
      </c>
    </row>
    <row r="320" customFormat="false" ht="15" hidden="false" customHeight="false" outlineLevel="0" collapsed="false">
      <c r="B320" s="52"/>
      <c r="C320" s="53"/>
      <c r="D320" s="53"/>
      <c r="E320" s="53"/>
      <c r="F320" s="59"/>
      <c r="G320" s="59"/>
      <c r="H320" s="59"/>
      <c r="I320" s="57"/>
      <c r="J320" s="60" t="str">
        <f aca="false">IF(AND(ISNUMBER(F320),ISNUMBER(G320)),MAX(0,G320-F320),IF(ISNUMBER(H320),H320*IF(I320="Yes / Sí",2,1),""))</f>
        <v/>
      </c>
      <c r="K320" s="61" t="str">
        <f aca="false">IF(OR(J320="",NOT(ISNUMBER(B320))),"",IF(COUNTIF(Settings!$B$8:$B$17,"&lt;="&amp;B320)=0,Settings!$C$8,INDEX(Settings!$C$8:$C$17,COUNTIF(Settings!$B$8:$B$17,"&lt;="&amp;B320))))</f>
        <v/>
      </c>
      <c r="L320" s="56" t="str">
        <f aca="false">IF(K320="","",ROUND(J320*K320,2))</f>
        <v/>
      </c>
      <c r="M320" s="58" t="str">
        <f aca="false">IF(AND(B320="",F320="",G320="",H320=""),"",IF(NOT(ISNUMBER(B320)),"⚠ ADD DATE / AGREGA FECHA",IF(J320="","⚠ ADD MILES / AGREGA MILLAS",IF(AND(ISNUMBER(F320),ISNUMBER(G320)),IF(G320&lt;F320,"⚠ CHECK ODOMETER / REVISA ODÓMETRO","✔ OK"),"✔ OK"))))</f>
        <v/>
      </c>
      <c r="N320" s="53"/>
      <c r="P320" s="51" t="n">
        <f aca="false">IF(ISNUMBER(L320),1,0)</f>
        <v>0</v>
      </c>
      <c r="Q320" s="51" t="n">
        <f aca="false">IF(P320=1,YEAR(B320),0)</f>
        <v>0</v>
      </c>
      <c r="R320" s="51" t="n">
        <f aca="false">IF(P320=1,YEAR(B320)*100+MONTH(B320),0)</f>
        <v>0</v>
      </c>
    </row>
    <row r="321" customFormat="false" ht="15" hidden="false" customHeight="false" outlineLevel="0" collapsed="false">
      <c r="B321" s="52"/>
      <c r="C321" s="53"/>
      <c r="D321" s="53"/>
      <c r="E321" s="53"/>
      <c r="F321" s="59"/>
      <c r="G321" s="59"/>
      <c r="H321" s="59"/>
      <c r="I321" s="57"/>
      <c r="J321" s="60" t="str">
        <f aca="false">IF(AND(ISNUMBER(F321),ISNUMBER(G321)),MAX(0,G321-F321),IF(ISNUMBER(H321),H321*IF(I321="Yes / Sí",2,1),""))</f>
        <v/>
      </c>
      <c r="K321" s="61" t="str">
        <f aca="false">IF(OR(J321="",NOT(ISNUMBER(B321))),"",IF(COUNTIF(Settings!$B$8:$B$17,"&lt;="&amp;B321)=0,Settings!$C$8,INDEX(Settings!$C$8:$C$17,COUNTIF(Settings!$B$8:$B$17,"&lt;="&amp;B321))))</f>
        <v/>
      </c>
      <c r="L321" s="56" t="str">
        <f aca="false">IF(K321="","",ROUND(J321*K321,2))</f>
        <v/>
      </c>
      <c r="M321" s="58" t="str">
        <f aca="false">IF(AND(B321="",F321="",G321="",H321=""),"",IF(NOT(ISNUMBER(B321)),"⚠ ADD DATE / AGREGA FECHA",IF(J321="","⚠ ADD MILES / AGREGA MILLAS",IF(AND(ISNUMBER(F321),ISNUMBER(G321)),IF(G321&lt;F321,"⚠ CHECK ODOMETER / REVISA ODÓMETRO","✔ OK"),"✔ OK"))))</f>
        <v/>
      </c>
      <c r="N321" s="53"/>
      <c r="P321" s="51" t="n">
        <f aca="false">IF(ISNUMBER(L321),1,0)</f>
        <v>0</v>
      </c>
      <c r="Q321" s="51" t="n">
        <f aca="false">IF(P321=1,YEAR(B321),0)</f>
        <v>0</v>
      </c>
      <c r="R321" s="51" t="n">
        <f aca="false">IF(P321=1,YEAR(B321)*100+MONTH(B321),0)</f>
        <v>0</v>
      </c>
    </row>
    <row r="322" customFormat="false" ht="15" hidden="false" customHeight="false" outlineLevel="0" collapsed="false">
      <c r="B322" s="52"/>
      <c r="C322" s="53"/>
      <c r="D322" s="53"/>
      <c r="E322" s="53"/>
      <c r="F322" s="59"/>
      <c r="G322" s="59"/>
      <c r="H322" s="59"/>
      <c r="I322" s="57"/>
      <c r="J322" s="60" t="str">
        <f aca="false">IF(AND(ISNUMBER(F322),ISNUMBER(G322)),MAX(0,G322-F322),IF(ISNUMBER(H322),H322*IF(I322="Yes / Sí",2,1),""))</f>
        <v/>
      </c>
      <c r="K322" s="61" t="str">
        <f aca="false">IF(OR(J322="",NOT(ISNUMBER(B322))),"",IF(COUNTIF(Settings!$B$8:$B$17,"&lt;="&amp;B322)=0,Settings!$C$8,INDEX(Settings!$C$8:$C$17,COUNTIF(Settings!$B$8:$B$17,"&lt;="&amp;B322))))</f>
        <v/>
      </c>
      <c r="L322" s="56" t="str">
        <f aca="false">IF(K322="","",ROUND(J322*K322,2))</f>
        <v/>
      </c>
      <c r="M322" s="58" t="str">
        <f aca="false">IF(AND(B322="",F322="",G322="",H322=""),"",IF(NOT(ISNUMBER(B322)),"⚠ ADD DATE / AGREGA FECHA",IF(J322="","⚠ ADD MILES / AGREGA MILLAS",IF(AND(ISNUMBER(F322),ISNUMBER(G322)),IF(G322&lt;F322,"⚠ CHECK ODOMETER / REVISA ODÓMETRO","✔ OK"),"✔ OK"))))</f>
        <v/>
      </c>
      <c r="N322" s="53"/>
      <c r="P322" s="51" t="n">
        <f aca="false">IF(ISNUMBER(L322),1,0)</f>
        <v>0</v>
      </c>
      <c r="Q322" s="51" t="n">
        <f aca="false">IF(P322=1,YEAR(B322),0)</f>
        <v>0</v>
      </c>
      <c r="R322" s="51" t="n">
        <f aca="false">IF(P322=1,YEAR(B322)*100+MONTH(B322),0)</f>
        <v>0</v>
      </c>
    </row>
    <row r="323" customFormat="false" ht="15" hidden="false" customHeight="false" outlineLevel="0" collapsed="false">
      <c r="B323" s="52"/>
      <c r="C323" s="53"/>
      <c r="D323" s="53"/>
      <c r="E323" s="53"/>
      <c r="F323" s="59"/>
      <c r="G323" s="59"/>
      <c r="H323" s="59"/>
      <c r="I323" s="57"/>
      <c r="J323" s="60" t="str">
        <f aca="false">IF(AND(ISNUMBER(F323),ISNUMBER(G323)),MAX(0,G323-F323),IF(ISNUMBER(H323),H323*IF(I323="Yes / Sí",2,1),""))</f>
        <v/>
      </c>
      <c r="K323" s="61" t="str">
        <f aca="false">IF(OR(J323="",NOT(ISNUMBER(B323))),"",IF(COUNTIF(Settings!$B$8:$B$17,"&lt;="&amp;B323)=0,Settings!$C$8,INDEX(Settings!$C$8:$C$17,COUNTIF(Settings!$B$8:$B$17,"&lt;="&amp;B323))))</f>
        <v/>
      </c>
      <c r="L323" s="56" t="str">
        <f aca="false">IF(K323="","",ROUND(J323*K323,2))</f>
        <v/>
      </c>
      <c r="M323" s="58" t="str">
        <f aca="false">IF(AND(B323="",F323="",G323="",H323=""),"",IF(NOT(ISNUMBER(B323)),"⚠ ADD DATE / AGREGA FECHA",IF(J323="","⚠ ADD MILES / AGREGA MILLAS",IF(AND(ISNUMBER(F323),ISNUMBER(G323)),IF(G323&lt;F323,"⚠ CHECK ODOMETER / REVISA ODÓMETRO","✔ OK"),"✔ OK"))))</f>
        <v/>
      </c>
      <c r="N323" s="53"/>
      <c r="P323" s="51" t="n">
        <f aca="false">IF(ISNUMBER(L323),1,0)</f>
        <v>0</v>
      </c>
      <c r="Q323" s="51" t="n">
        <f aca="false">IF(P323=1,YEAR(B323),0)</f>
        <v>0</v>
      </c>
      <c r="R323" s="51" t="n">
        <f aca="false">IF(P323=1,YEAR(B323)*100+MONTH(B323),0)</f>
        <v>0</v>
      </c>
    </row>
    <row r="324" customFormat="false" ht="15" hidden="false" customHeight="false" outlineLevel="0" collapsed="false">
      <c r="B324" s="52"/>
      <c r="C324" s="53"/>
      <c r="D324" s="53"/>
      <c r="E324" s="53"/>
      <c r="F324" s="59"/>
      <c r="G324" s="59"/>
      <c r="H324" s="59"/>
      <c r="I324" s="57"/>
      <c r="J324" s="60" t="str">
        <f aca="false">IF(AND(ISNUMBER(F324),ISNUMBER(G324)),MAX(0,G324-F324),IF(ISNUMBER(H324),H324*IF(I324="Yes / Sí",2,1),""))</f>
        <v/>
      </c>
      <c r="K324" s="61" t="str">
        <f aca="false">IF(OR(J324="",NOT(ISNUMBER(B324))),"",IF(COUNTIF(Settings!$B$8:$B$17,"&lt;="&amp;B324)=0,Settings!$C$8,INDEX(Settings!$C$8:$C$17,COUNTIF(Settings!$B$8:$B$17,"&lt;="&amp;B324))))</f>
        <v/>
      </c>
      <c r="L324" s="56" t="str">
        <f aca="false">IF(K324="","",ROUND(J324*K324,2))</f>
        <v/>
      </c>
      <c r="M324" s="58" t="str">
        <f aca="false">IF(AND(B324="",F324="",G324="",H324=""),"",IF(NOT(ISNUMBER(B324)),"⚠ ADD DATE / AGREGA FECHA",IF(J324="","⚠ ADD MILES / AGREGA MILLAS",IF(AND(ISNUMBER(F324),ISNUMBER(G324)),IF(G324&lt;F324,"⚠ CHECK ODOMETER / REVISA ODÓMETRO","✔ OK"),"✔ OK"))))</f>
        <v/>
      </c>
      <c r="N324" s="53"/>
      <c r="P324" s="51" t="n">
        <f aca="false">IF(ISNUMBER(L324),1,0)</f>
        <v>0</v>
      </c>
      <c r="Q324" s="51" t="n">
        <f aca="false">IF(P324=1,YEAR(B324),0)</f>
        <v>0</v>
      </c>
      <c r="R324" s="51" t="n">
        <f aca="false">IF(P324=1,YEAR(B324)*100+MONTH(B324),0)</f>
        <v>0</v>
      </c>
    </row>
    <row r="325" customFormat="false" ht="15" hidden="false" customHeight="false" outlineLevel="0" collapsed="false">
      <c r="B325" s="52"/>
      <c r="C325" s="53"/>
      <c r="D325" s="53"/>
      <c r="E325" s="53"/>
      <c r="F325" s="59"/>
      <c r="G325" s="59"/>
      <c r="H325" s="59"/>
      <c r="I325" s="57"/>
      <c r="J325" s="60" t="str">
        <f aca="false">IF(AND(ISNUMBER(F325),ISNUMBER(G325)),MAX(0,G325-F325),IF(ISNUMBER(H325),H325*IF(I325="Yes / Sí",2,1),""))</f>
        <v/>
      </c>
      <c r="K325" s="61" t="str">
        <f aca="false">IF(OR(J325="",NOT(ISNUMBER(B325))),"",IF(COUNTIF(Settings!$B$8:$B$17,"&lt;="&amp;B325)=0,Settings!$C$8,INDEX(Settings!$C$8:$C$17,COUNTIF(Settings!$B$8:$B$17,"&lt;="&amp;B325))))</f>
        <v/>
      </c>
      <c r="L325" s="56" t="str">
        <f aca="false">IF(K325="","",ROUND(J325*K325,2))</f>
        <v/>
      </c>
      <c r="M325" s="58" t="str">
        <f aca="false">IF(AND(B325="",F325="",G325="",H325=""),"",IF(NOT(ISNUMBER(B325)),"⚠ ADD DATE / AGREGA FECHA",IF(J325="","⚠ ADD MILES / AGREGA MILLAS",IF(AND(ISNUMBER(F325),ISNUMBER(G325)),IF(G325&lt;F325,"⚠ CHECK ODOMETER / REVISA ODÓMETRO","✔ OK"),"✔ OK"))))</f>
        <v/>
      </c>
      <c r="N325" s="53"/>
      <c r="P325" s="51" t="n">
        <f aca="false">IF(ISNUMBER(L325),1,0)</f>
        <v>0</v>
      </c>
      <c r="Q325" s="51" t="n">
        <f aca="false">IF(P325=1,YEAR(B325),0)</f>
        <v>0</v>
      </c>
      <c r="R325" s="51" t="n">
        <f aca="false">IF(P325=1,YEAR(B325)*100+MONTH(B325),0)</f>
        <v>0</v>
      </c>
    </row>
    <row r="326" customFormat="false" ht="15" hidden="false" customHeight="false" outlineLevel="0" collapsed="false">
      <c r="B326" s="52"/>
      <c r="C326" s="53"/>
      <c r="D326" s="53"/>
      <c r="E326" s="53"/>
      <c r="F326" s="59"/>
      <c r="G326" s="59"/>
      <c r="H326" s="59"/>
      <c r="I326" s="57"/>
      <c r="J326" s="60" t="str">
        <f aca="false">IF(AND(ISNUMBER(F326),ISNUMBER(G326)),MAX(0,G326-F326),IF(ISNUMBER(H326),H326*IF(I326="Yes / Sí",2,1),""))</f>
        <v/>
      </c>
      <c r="K326" s="61" t="str">
        <f aca="false">IF(OR(J326="",NOT(ISNUMBER(B326))),"",IF(COUNTIF(Settings!$B$8:$B$17,"&lt;="&amp;B326)=0,Settings!$C$8,INDEX(Settings!$C$8:$C$17,COUNTIF(Settings!$B$8:$B$17,"&lt;="&amp;B326))))</f>
        <v/>
      </c>
      <c r="L326" s="56" t="str">
        <f aca="false">IF(K326="","",ROUND(J326*K326,2))</f>
        <v/>
      </c>
      <c r="M326" s="58" t="str">
        <f aca="false">IF(AND(B326="",F326="",G326="",H326=""),"",IF(NOT(ISNUMBER(B326)),"⚠ ADD DATE / AGREGA FECHA",IF(J326="","⚠ ADD MILES / AGREGA MILLAS",IF(AND(ISNUMBER(F326),ISNUMBER(G326)),IF(G326&lt;F326,"⚠ CHECK ODOMETER / REVISA ODÓMETRO","✔ OK"),"✔ OK"))))</f>
        <v/>
      </c>
      <c r="N326" s="53"/>
      <c r="P326" s="51" t="n">
        <f aca="false">IF(ISNUMBER(L326),1,0)</f>
        <v>0</v>
      </c>
      <c r="Q326" s="51" t="n">
        <f aca="false">IF(P326=1,YEAR(B326),0)</f>
        <v>0</v>
      </c>
      <c r="R326" s="51" t="n">
        <f aca="false">IF(P326=1,YEAR(B326)*100+MONTH(B326),0)</f>
        <v>0</v>
      </c>
    </row>
    <row r="327" customFormat="false" ht="15" hidden="false" customHeight="false" outlineLevel="0" collapsed="false">
      <c r="B327" s="52"/>
      <c r="C327" s="53"/>
      <c r="D327" s="53"/>
      <c r="E327" s="53"/>
      <c r="F327" s="59"/>
      <c r="G327" s="59"/>
      <c r="H327" s="59"/>
      <c r="I327" s="57"/>
      <c r="J327" s="60" t="str">
        <f aca="false">IF(AND(ISNUMBER(F327),ISNUMBER(G327)),MAX(0,G327-F327),IF(ISNUMBER(H327),H327*IF(I327="Yes / Sí",2,1),""))</f>
        <v/>
      </c>
      <c r="K327" s="61" t="str">
        <f aca="false">IF(OR(J327="",NOT(ISNUMBER(B327))),"",IF(COUNTIF(Settings!$B$8:$B$17,"&lt;="&amp;B327)=0,Settings!$C$8,INDEX(Settings!$C$8:$C$17,COUNTIF(Settings!$B$8:$B$17,"&lt;="&amp;B327))))</f>
        <v/>
      </c>
      <c r="L327" s="56" t="str">
        <f aca="false">IF(K327="","",ROUND(J327*K327,2))</f>
        <v/>
      </c>
      <c r="M327" s="58" t="str">
        <f aca="false">IF(AND(B327="",F327="",G327="",H327=""),"",IF(NOT(ISNUMBER(B327)),"⚠ ADD DATE / AGREGA FECHA",IF(J327="","⚠ ADD MILES / AGREGA MILLAS",IF(AND(ISNUMBER(F327),ISNUMBER(G327)),IF(G327&lt;F327,"⚠ CHECK ODOMETER / REVISA ODÓMETRO","✔ OK"),"✔ OK"))))</f>
        <v/>
      </c>
      <c r="N327" s="53"/>
      <c r="P327" s="51" t="n">
        <f aca="false">IF(ISNUMBER(L327),1,0)</f>
        <v>0</v>
      </c>
      <c r="Q327" s="51" t="n">
        <f aca="false">IF(P327=1,YEAR(B327),0)</f>
        <v>0</v>
      </c>
      <c r="R327" s="51" t="n">
        <f aca="false">IF(P327=1,YEAR(B327)*100+MONTH(B327),0)</f>
        <v>0</v>
      </c>
    </row>
    <row r="328" customFormat="false" ht="15" hidden="false" customHeight="false" outlineLevel="0" collapsed="false">
      <c r="B328" s="52"/>
      <c r="C328" s="53"/>
      <c r="D328" s="53"/>
      <c r="E328" s="53"/>
      <c r="F328" s="59"/>
      <c r="G328" s="59"/>
      <c r="H328" s="59"/>
      <c r="I328" s="57"/>
      <c r="J328" s="60" t="str">
        <f aca="false">IF(AND(ISNUMBER(F328),ISNUMBER(G328)),MAX(0,G328-F328),IF(ISNUMBER(H328),H328*IF(I328="Yes / Sí",2,1),""))</f>
        <v/>
      </c>
      <c r="K328" s="61" t="str">
        <f aca="false">IF(OR(J328="",NOT(ISNUMBER(B328))),"",IF(COUNTIF(Settings!$B$8:$B$17,"&lt;="&amp;B328)=0,Settings!$C$8,INDEX(Settings!$C$8:$C$17,COUNTIF(Settings!$B$8:$B$17,"&lt;="&amp;B328))))</f>
        <v/>
      </c>
      <c r="L328" s="56" t="str">
        <f aca="false">IF(K328="","",ROUND(J328*K328,2))</f>
        <v/>
      </c>
      <c r="M328" s="58" t="str">
        <f aca="false">IF(AND(B328="",F328="",G328="",H328=""),"",IF(NOT(ISNUMBER(B328)),"⚠ ADD DATE / AGREGA FECHA",IF(J328="","⚠ ADD MILES / AGREGA MILLAS",IF(AND(ISNUMBER(F328),ISNUMBER(G328)),IF(G328&lt;F328,"⚠ CHECK ODOMETER / REVISA ODÓMETRO","✔ OK"),"✔ OK"))))</f>
        <v/>
      </c>
      <c r="N328" s="53"/>
      <c r="P328" s="51" t="n">
        <f aca="false">IF(ISNUMBER(L328),1,0)</f>
        <v>0</v>
      </c>
      <c r="Q328" s="51" t="n">
        <f aca="false">IF(P328=1,YEAR(B328),0)</f>
        <v>0</v>
      </c>
      <c r="R328" s="51" t="n">
        <f aca="false">IF(P328=1,YEAR(B328)*100+MONTH(B328),0)</f>
        <v>0</v>
      </c>
    </row>
    <row r="329" customFormat="false" ht="15" hidden="false" customHeight="false" outlineLevel="0" collapsed="false">
      <c r="B329" s="52"/>
      <c r="C329" s="53"/>
      <c r="D329" s="53"/>
      <c r="E329" s="53"/>
      <c r="F329" s="59"/>
      <c r="G329" s="59"/>
      <c r="H329" s="59"/>
      <c r="I329" s="57"/>
      <c r="J329" s="60" t="str">
        <f aca="false">IF(AND(ISNUMBER(F329),ISNUMBER(G329)),MAX(0,G329-F329),IF(ISNUMBER(H329),H329*IF(I329="Yes / Sí",2,1),""))</f>
        <v/>
      </c>
      <c r="K329" s="61" t="str">
        <f aca="false">IF(OR(J329="",NOT(ISNUMBER(B329))),"",IF(COUNTIF(Settings!$B$8:$B$17,"&lt;="&amp;B329)=0,Settings!$C$8,INDEX(Settings!$C$8:$C$17,COUNTIF(Settings!$B$8:$B$17,"&lt;="&amp;B329))))</f>
        <v/>
      </c>
      <c r="L329" s="56" t="str">
        <f aca="false">IF(K329="","",ROUND(J329*K329,2))</f>
        <v/>
      </c>
      <c r="M329" s="58" t="str">
        <f aca="false">IF(AND(B329="",F329="",G329="",H329=""),"",IF(NOT(ISNUMBER(B329)),"⚠ ADD DATE / AGREGA FECHA",IF(J329="","⚠ ADD MILES / AGREGA MILLAS",IF(AND(ISNUMBER(F329),ISNUMBER(G329)),IF(G329&lt;F329,"⚠ CHECK ODOMETER / REVISA ODÓMETRO","✔ OK"),"✔ OK"))))</f>
        <v/>
      </c>
      <c r="N329" s="53"/>
      <c r="P329" s="51" t="n">
        <f aca="false">IF(ISNUMBER(L329),1,0)</f>
        <v>0</v>
      </c>
      <c r="Q329" s="51" t="n">
        <f aca="false">IF(P329=1,YEAR(B329),0)</f>
        <v>0</v>
      </c>
      <c r="R329" s="51" t="n">
        <f aca="false">IF(P329=1,YEAR(B329)*100+MONTH(B329),0)</f>
        <v>0</v>
      </c>
    </row>
    <row r="330" customFormat="false" ht="15" hidden="false" customHeight="false" outlineLevel="0" collapsed="false">
      <c r="B330" s="52"/>
      <c r="C330" s="53"/>
      <c r="D330" s="53"/>
      <c r="E330" s="53"/>
      <c r="F330" s="59"/>
      <c r="G330" s="59"/>
      <c r="H330" s="59"/>
      <c r="I330" s="57"/>
      <c r="J330" s="60" t="str">
        <f aca="false">IF(AND(ISNUMBER(F330),ISNUMBER(G330)),MAX(0,G330-F330),IF(ISNUMBER(H330),H330*IF(I330="Yes / Sí",2,1),""))</f>
        <v/>
      </c>
      <c r="K330" s="61" t="str">
        <f aca="false">IF(OR(J330="",NOT(ISNUMBER(B330))),"",IF(COUNTIF(Settings!$B$8:$B$17,"&lt;="&amp;B330)=0,Settings!$C$8,INDEX(Settings!$C$8:$C$17,COUNTIF(Settings!$B$8:$B$17,"&lt;="&amp;B330))))</f>
        <v/>
      </c>
      <c r="L330" s="56" t="str">
        <f aca="false">IF(K330="","",ROUND(J330*K330,2))</f>
        <v/>
      </c>
      <c r="M330" s="58" t="str">
        <f aca="false">IF(AND(B330="",F330="",G330="",H330=""),"",IF(NOT(ISNUMBER(B330)),"⚠ ADD DATE / AGREGA FECHA",IF(J330="","⚠ ADD MILES / AGREGA MILLAS",IF(AND(ISNUMBER(F330),ISNUMBER(G330)),IF(G330&lt;F330,"⚠ CHECK ODOMETER / REVISA ODÓMETRO","✔ OK"),"✔ OK"))))</f>
        <v/>
      </c>
      <c r="N330" s="53"/>
      <c r="P330" s="51" t="n">
        <f aca="false">IF(ISNUMBER(L330),1,0)</f>
        <v>0</v>
      </c>
      <c r="Q330" s="51" t="n">
        <f aca="false">IF(P330=1,YEAR(B330),0)</f>
        <v>0</v>
      </c>
      <c r="R330" s="51" t="n">
        <f aca="false">IF(P330=1,YEAR(B330)*100+MONTH(B330),0)</f>
        <v>0</v>
      </c>
    </row>
    <row r="331" customFormat="false" ht="15" hidden="false" customHeight="false" outlineLevel="0" collapsed="false">
      <c r="B331" s="52"/>
      <c r="C331" s="53"/>
      <c r="D331" s="53"/>
      <c r="E331" s="53"/>
      <c r="F331" s="59"/>
      <c r="G331" s="59"/>
      <c r="H331" s="59"/>
      <c r="I331" s="57"/>
      <c r="J331" s="60" t="str">
        <f aca="false">IF(AND(ISNUMBER(F331),ISNUMBER(G331)),MAX(0,G331-F331),IF(ISNUMBER(H331),H331*IF(I331="Yes / Sí",2,1),""))</f>
        <v/>
      </c>
      <c r="K331" s="61" t="str">
        <f aca="false">IF(OR(J331="",NOT(ISNUMBER(B331))),"",IF(COUNTIF(Settings!$B$8:$B$17,"&lt;="&amp;B331)=0,Settings!$C$8,INDEX(Settings!$C$8:$C$17,COUNTIF(Settings!$B$8:$B$17,"&lt;="&amp;B331))))</f>
        <v/>
      </c>
      <c r="L331" s="56" t="str">
        <f aca="false">IF(K331="","",ROUND(J331*K331,2))</f>
        <v/>
      </c>
      <c r="M331" s="58" t="str">
        <f aca="false">IF(AND(B331="",F331="",G331="",H331=""),"",IF(NOT(ISNUMBER(B331)),"⚠ ADD DATE / AGREGA FECHA",IF(J331="","⚠ ADD MILES / AGREGA MILLAS",IF(AND(ISNUMBER(F331),ISNUMBER(G331)),IF(G331&lt;F331,"⚠ CHECK ODOMETER / REVISA ODÓMETRO","✔ OK"),"✔ OK"))))</f>
        <v/>
      </c>
      <c r="N331" s="53"/>
      <c r="P331" s="51" t="n">
        <f aca="false">IF(ISNUMBER(L331),1,0)</f>
        <v>0</v>
      </c>
      <c r="Q331" s="51" t="n">
        <f aca="false">IF(P331=1,YEAR(B331),0)</f>
        <v>0</v>
      </c>
      <c r="R331" s="51" t="n">
        <f aca="false">IF(P331=1,YEAR(B331)*100+MONTH(B331),0)</f>
        <v>0</v>
      </c>
    </row>
    <row r="332" customFormat="false" ht="15" hidden="false" customHeight="false" outlineLevel="0" collapsed="false">
      <c r="B332" s="52"/>
      <c r="C332" s="53"/>
      <c r="D332" s="53"/>
      <c r="E332" s="53"/>
      <c r="F332" s="59"/>
      <c r="G332" s="59"/>
      <c r="H332" s="59"/>
      <c r="I332" s="57"/>
      <c r="J332" s="60" t="str">
        <f aca="false">IF(AND(ISNUMBER(F332),ISNUMBER(G332)),MAX(0,G332-F332),IF(ISNUMBER(H332),H332*IF(I332="Yes / Sí",2,1),""))</f>
        <v/>
      </c>
      <c r="K332" s="61" t="str">
        <f aca="false">IF(OR(J332="",NOT(ISNUMBER(B332))),"",IF(COUNTIF(Settings!$B$8:$B$17,"&lt;="&amp;B332)=0,Settings!$C$8,INDEX(Settings!$C$8:$C$17,COUNTIF(Settings!$B$8:$B$17,"&lt;="&amp;B332))))</f>
        <v/>
      </c>
      <c r="L332" s="56" t="str">
        <f aca="false">IF(K332="","",ROUND(J332*K332,2))</f>
        <v/>
      </c>
      <c r="M332" s="58" t="str">
        <f aca="false">IF(AND(B332="",F332="",G332="",H332=""),"",IF(NOT(ISNUMBER(B332)),"⚠ ADD DATE / AGREGA FECHA",IF(J332="","⚠ ADD MILES / AGREGA MILLAS",IF(AND(ISNUMBER(F332),ISNUMBER(G332)),IF(G332&lt;F332,"⚠ CHECK ODOMETER / REVISA ODÓMETRO","✔ OK"),"✔ OK"))))</f>
        <v/>
      </c>
      <c r="N332" s="53"/>
      <c r="P332" s="51" t="n">
        <f aca="false">IF(ISNUMBER(L332),1,0)</f>
        <v>0</v>
      </c>
      <c r="Q332" s="51" t="n">
        <f aca="false">IF(P332=1,YEAR(B332),0)</f>
        <v>0</v>
      </c>
      <c r="R332" s="51" t="n">
        <f aca="false">IF(P332=1,YEAR(B332)*100+MONTH(B332),0)</f>
        <v>0</v>
      </c>
    </row>
    <row r="333" customFormat="false" ht="15" hidden="false" customHeight="false" outlineLevel="0" collapsed="false">
      <c r="B333" s="52"/>
      <c r="C333" s="53"/>
      <c r="D333" s="53"/>
      <c r="E333" s="53"/>
      <c r="F333" s="59"/>
      <c r="G333" s="59"/>
      <c r="H333" s="59"/>
      <c r="I333" s="57"/>
      <c r="J333" s="60" t="str">
        <f aca="false">IF(AND(ISNUMBER(F333),ISNUMBER(G333)),MAX(0,G333-F333),IF(ISNUMBER(H333),H333*IF(I333="Yes / Sí",2,1),""))</f>
        <v/>
      </c>
      <c r="K333" s="61" t="str">
        <f aca="false">IF(OR(J333="",NOT(ISNUMBER(B333))),"",IF(COUNTIF(Settings!$B$8:$B$17,"&lt;="&amp;B333)=0,Settings!$C$8,INDEX(Settings!$C$8:$C$17,COUNTIF(Settings!$B$8:$B$17,"&lt;="&amp;B333))))</f>
        <v/>
      </c>
      <c r="L333" s="56" t="str">
        <f aca="false">IF(K333="","",ROUND(J333*K333,2))</f>
        <v/>
      </c>
      <c r="M333" s="58" t="str">
        <f aca="false">IF(AND(B333="",F333="",G333="",H333=""),"",IF(NOT(ISNUMBER(B333)),"⚠ ADD DATE / AGREGA FECHA",IF(J333="","⚠ ADD MILES / AGREGA MILLAS",IF(AND(ISNUMBER(F333),ISNUMBER(G333)),IF(G333&lt;F333,"⚠ CHECK ODOMETER / REVISA ODÓMETRO","✔ OK"),"✔ OK"))))</f>
        <v/>
      </c>
      <c r="N333" s="53"/>
      <c r="P333" s="51" t="n">
        <f aca="false">IF(ISNUMBER(L333),1,0)</f>
        <v>0</v>
      </c>
      <c r="Q333" s="51" t="n">
        <f aca="false">IF(P333=1,YEAR(B333),0)</f>
        <v>0</v>
      </c>
      <c r="R333" s="51" t="n">
        <f aca="false">IF(P333=1,YEAR(B333)*100+MONTH(B333),0)</f>
        <v>0</v>
      </c>
    </row>
    <row r="334" customFormat="false" ht="15" hidden="false" customHeight="false" outlineLevel="0" collapsed="false">
      <c r="B334" s="52"/>
      <c r="C334" s="53"/>
      <c r="D334" s="53"/>
      <c r="E334" s="53"/>
      <c r="F334" s="59"/>
      <c r="G334" s="59"/>
      <c r="H334" s="59"/>
      <c r="I334" s="57"/>
      <c r="J334" s="60" t="str">
        <f aca="false">IF(AND(ISNUMBER(F334),ISNUMBER(G334)),MAX(0,G334-F334),IF(ISNUMBER(H334),H334*IF(I334="Yes / Sí",2,1),""))</f>
        <v/>
      </c>
      <c r="K334" s="61" t="str">
        <f aca="false">IF(OR(J334="",NOT(ISNUMBER(B334))),"",IF(COUNTIF(Settings!$B$8:$B$17,"&lt;="&amp;B334)=0,Settings!$C$8,INDEX(Settings!$C$8:$C$17,COUNTIF(Settings!$B$8:$B$17,"&lt;="&amp;B334))))</f>
        <v/>
      </c>
      <c r="L334" s="56" t="str">
        <f aca="false">IF(K334="","",ROUND(J334*K334,2))</f>
        <v/>
      </c>
      <c r="M334" s="58" t="str">
        <f aca="false">IF(AND(B334="",F334="",G334="",H334=""),"",IF(NOT(ISNUMBER(B334)),"⚠ ADD DATE / AGREGA FECHA",IF(J334="","⚠ ADD MILES / AGREGA MILLAS",IF(AND(ISNUMBER(F334),ISNUMBER(G334)),IF(G334&lt;F334,"⚠ CHECK ODOMETER / REVISA ODÓMETRO","✔ OK"),"✔ OK"))))</f>
        <v/>
      </c>
      <c r="N334" s="53"/>
      <c r="P334" s="51" t="n">
        <f aca="false">IF(ISNUMBER(L334),1,0)</f>
        <v>0</v>
      </c>
      <c r="Q334" s="51" t="n">
        <f aca="false">IF(P334=1,YEAR(B334),0)</f>
        <v>0</v>
      </c>
      <c r="R334" s="51" t="n">
        <f aca="false">IF(P334=1,YEAR(B334)*100+MONTH(B334),0)</f>
        <v>0</v>
      </c>
    </row>
    <row r="335" customFormat="false" ht="15" hidden="false" customHeight="false" outlineLevel="0" collapsed="false">
      <c r="B335" s="52"/>
      <c r="C335" s="53"/>
      <c r="D335" s="53"/>
      <c r="E335" s="53"/>
      <c r="F335" s="59"/>
      <c r="G335" s="59"/>
      <c r="H335" s="59"/>
      <c r="I335" s="57"/>
      <c r="J335" s="60" t="str">
        <f aca="false">IF(AND(ISNUMBER(F335),ISNUMBER(G335)),MAX(0,G335-F335),IF(ISNUMBER(H335),H335*IF(I335="Yes / Sí",2,1),""))</f>
        <v/>
      </c>
      <c r="K335" s="61" t="str">
        <f aca="false">IF(OR(J335="",NOT(ISNUMBER(B335))),"",IF(COUNTIF(Settings!$B$8:$B$17,"&lt;="&amp;B335)=0,Settings!$C$8,INDEX(Settings!$C$8:$C$17,COUNTIF(Settings!$B$8:$B$17,"&lt;="&amp;B335))))</f>
        <v/>
      </c>
      <c r="L335" s="56" t="str">
        <f aca="false">IF(K335="","",ROUND(J335*K335,2))</f>
        <v/>
      </c>
      <c r="M335" s="58" t="str">
        <f aca="false">IF(AND(B335="",F335="",G335="",H335=""),"",IF(NOT(ISNUMBER(B335)),"⚠ ADD DATE / AGREGA FECHA",IF(J335="","⚠ ADD MILES / AGREGA MILLAS",IF(AND(ISNUMBER(F335),ISNUMBER(G335)),IF(G335&lt;F335,"⚠ CHECK ODOMETER / REVISA ODÓMETRO","✔ OK"),"✔ OK"))))</f>
        <v/>
      </c>
      <c r="N335" s="53"/>
      <c r="P335" s="51" t="n">
        <f aca="false">IF(ISNUMBER(L335),1,0)</f>
        <v>0</v>
      </c>
      <c r="Q335" s="51" t="n">
        <f aca="false">IF(P335=1,YEAR(B335),0)</f>
        <v>0</v>
      </c>
      <c r="R335" s="51" t="n">
        <f aca="false">IF(P335=1,YEAR(B335)*100+MONTH(B335),0)</f>
        <v>0</v>
      </c>
    </row>
    <row r="336" customFormat="false" ht="15" hidden="false" customHeight="false" outlineLevel="0" collapsed="false">
      <c r="B336" s="52"/>
      <c r="C336" s="53"/>
      <c r="D336" s="53"/>
      <c r="E336" s="53"/>
      <c r="F336" s="59"/>
      <c r="G336" s="59"/>
      <c r="H336" s="59"/>
      <c r="I336" s="57"/>
      <c r="J336" s="60" t="str">
        <f aca="false">IF(AND(ISNUMBER(F336),ISNUMBER(G336)),MAX(0,G336-F336),IF(ISNUMBER(H336),H336*IF(I336="Yes / Sí",2,1),""))</f>
        <v/>
      </c>
      <c r="K336" s="61" t="str">
        <f aca="false">IF(OR(J336="",NOT(ISNUMBER(B336))),"",IF(COUNTIF(Settings!$B$8:$B$17,"&lt;="&amp;B336)=0,Settings!$C$8,INDEX(Settings!$C$8:$C$17,COUNTIF(Settings!$B$8:$B$17,"&lt;="&amp;B336))))</f>
        <v/>
      </c>
      <c r="L336" s="56" t="str">
        <f aca="false">IF(K336="","",ROUND(J336*K336,2))</f>
        <v/>
      </c>
      <c r="M336" s="58" t="str">
        <f aca="false">IF(AND(B336="",F336="",G336="",H336=""),"",IF(NOT(ISNUMBER(B336)),"⚠ ADD DATE / AGREGA FECHA",IF(J336="","⚠ ADD MILES / AGREGA MILLAS",IF(AND(ISNUMBER(F336),ISNUMBER(G336)),IF(G336&lt;F336,"⚠ CHECK ODOMETER / REVISA ODÓMETRO","✔ OK"),"✔ OK"))))</f>
        <v/>
      </c>
      <c r="N336" s="53"/>
      <c r="P336" s="51" t="n">
        <f aca="false">IF(ISNUMBER(L336),1,0)</f>
        <v>0</v>
      </c>
      <c r="Q336" s="51" t="n">
        <f aca="false">IF(P336=1,YEAR(B336),0)</f>
        <v>0</v>
      </c>
      <c r="R336" s="51" t="n">
        <f aca="false">IF(P336=1,YEAR(B336)*100+MONTH(B336),0)</f>
        <v>0</v>
      </c>
    </row>
    <row r="337" customFormat="false" ht="15" hidden="false" customHeight="false" outlineLevel="0" collapsed="false">
      <c r="B337" s="52"/>
      <c r="C337" s="53"/>
      <c r="D337" s="53"/>
      <c r="E337" s="53"/>
      <c r="F337" s="59"/>
      <c r="G337" s="59"/>
      <c r="H337" s="59"/>
      <c r="I337" s="57"/>
      <c r="J337" s="60" t="str">
        <f aca="false">IF(AND(ISNUMBER(F337),ISNUMBER(G337)),MAX(0,G337-F337),IF(ISNUMBER(H337),H337*IF(I337="Yes / Sí",2,1),""))</f>
        <v/>
      </c>
      <c r="K337" s="61" t="str">
        <f aca="false">IF(OR(J337="",NOT(ISNUMBER(B337))),"",IF(COUNTIF(Settings!$B$8:$B$17,"&lt;="&amp;B337)=0,Settings!$C$8,INDEX(Settings!$C$8:$C$17,COUNTIF(Settings!$B$8:$B$17,"&lt;="&amp;B337))))</f>
        <v/>
      </c>
      <c r="L337" s="56" t="str">
        <f aca="false">IF(K337="","",ROUND(J337*K337,2))</f>
        <v/>
      </c>
      <c r="M337" s="58" t="str">
        <f aca="false">IF(AND(B337="",F337="",G337="",H337=""),"",IF(NOT(ISNUMBER(B337)),"⚠ ADD DATE / AGREGA FECHA",IF(J337="","⚠ ADD MILES / AGREGA MILLAS",IF(AND(ISNUMBER(F337),ISNUMBER(G337)),IF(G337&lt;F337,"⚠ CHECK ODOMETER / REVISA ODÓMETRO","✔ OK"),"✔ OK"))))</f>
        <v/>
      </c>
      <c r="N337" s="53"/>
      <c r="P337" s="51" t="n">
        <f aca="false">IF(ISNUMBER(L337),1,0)</f>
        <v>0</v>
      </c>
      <c r="Q337" s="51" t="n">
        <f aca="false">IF(P337=1,YEAR(B337),0)</f>
        <v>0</v>
      </c>
      <c r="R337" s="51" t="n">
        <f aca="false">IF(P337=1,YEAR(B337)*100+MONTH(B337),0)</f>
        <v>0</v>
      </c>
    </row>
    <row r="338" customFormat="false" ht="15" hidden="false" customHeight="false" outlineLevel="0" collapsed="false">
      <c r="B338" s="52"/>
      <c r="C338" s="53"/>
      <c r="D338" s="53"/>
      <c r="E338" s="53"/>
      <c r="F338" s="59"/>
      <c r="G338" s="59"/>
      <c r="H338" s="59"/>
      <c r="I338" s="57"/>
      <c r="J338" s="60" t="str">
        <f aca="false">IF(AND(ISNUMBER(F338),ISNUMBER(G338)),MAX(0,G338-F338),IF(ISNUMBER(H338),H338*IF(I338="Yes / Sí",2,1),""))</f>
        <v/>
      </c>
      <c r="K338" s="61" t="str">
        <f aca="false">IF(OR(J338="",NOT(ISNUMBER(B338))),"",IF(COUNTIF(Settings!$B$8:$B$17,"&lt;="&amp;B338)=0,Settings!$C$8,INDEX(Settings!$C$8:$C$17,COUNTIF(Settings!$B$8:$B$17,"&lt;="&amp;B338))))</f>
        <v/>
      </c>
      <c r="L338" s="56" t="str">
        <f aca="false">IF(K338="","",ROUND(J338*K338,2))</f>
        <v/>
      </c>
      <c r="M338" s="58" t="str">
        <f aca="false">IF(AND(B338="",F338="",G338="",H338=""),"",IF(NOT(ISNUMBER(B338)),"⚠ ADD DATE / AGREGA FECHA",IF(J338="","⚠ ADD MILES / AGREGA MILLAS",IF(AND(ISNUMBER(F338),ISNUMBER(G338)),IF(G338&lt;F338,"⚠ CHECK ODOMETER / REVISA ODÓMETRO","✔ OK"),"✔ OK"))))</f>
        <v/>
      </c>
      <c r="N338" s="53"/>
      <c r="P338" s="51" t="n">
        <f aca="false">IF(ISNUMBER(L338),1,0)</f>
        <v>0</v>
      </c>
      <c r="Q338" s="51" t="n">
        <f aca="false">IF(P338=1,YEAR(B338),0)</f>
        <v>0</v>
      </c>
      <c r="R338" s="51" t="n">
        <f aca="false">IF(P338=1,YEAR(B338)*100+MONTH(B338),0)</f>
        <v>0</v>
      </c>
    </row>
    <row r="339" customFormat="false" ht="15" hidden="false" customHeight="false" outlineLevel="0" collapsed="false">
      <c r="B339" s="52"/>
      <c r="C339" s="53"/>
      <c r="D339" s="53"/>
      <c r="E339" s="53"/>
      <c r="F339" s="59"/>
      <c r="G339" s="59"/>
      <c r="H339" s="59"/>
      <c r="I339" s="57"/>
      <c r="J339" s="60" t="str">
        <f aca="false">IF(AND(ISNUMBER(F339),ISNUMBER(G339)),MAX(0,G339-F339),IF(ISNUMBER(H339),H339*IF(I339="Yes / Sí",2,1),""))</f>
        <v/>
      </c>
      <c r="K339" s="61" t="str">
        <f aca="false">IF(OR(J339="",NOT(ISNUMBER(B339))),"",IF(COUNTIF(Settings!$B$8:$B$17,"&lt;="&amp;B339)=0,Settings!$C$8,INDEX(Settings!$C$8:$C$17,COUNTIF(Settings!$B$8:$B$17,"&lt;="&amp;B339))))</f>
        <v/>
      </c>
      <c r="L339" s="56" t="str">
        <f aca="false">IF(K339="","",ROUND(J339*K339,2))</f>
        <v/>
      </c>
      <c r="M339" s="58" t="str">
        <f aca="false">IF(AND(B339="",F339="",G339="",H339=""),"",IF(NOT(ISNUMBER(B339)),"⚠ ADD DATE / AGREGA FECHA",IF(J339="","⚠ ADD MILES / AGREGA MILLAS",IF(AND(ISNUMBER(F339),ISNUMBER(G339)),IF(G339&lt;F339,"⚠ CHECK ODOMETER / REVISA ODÓMETRO","✔ OK"),"✔ OK"))))</f>
        <v/>
      </c>
      <c r="N339" s="53"/>
      <c r="P339" s="51" t="n">
        <f aca="false">IF(ISNUMBER(L339),1,0)</f>
        <v>0</v>
      </c>
      <c r="Q339" s="51" t="n">
        <f aca="false">IF(P339=1,YEAR(B339),0)</f>
        <v>0</v>
      </c>
      <c r="R339" s="51" t="n">
        <f aca="false">IF(P339=1,YEAR(B339)*100+MONTH(B339),0)</f>
        <v>0</v>
      </c>
    </row>
    <row r="340" customFormat="false" ht="15" hidden="false" customHeight="false" outlineLevel="0" collapsed="false">
      <c r="B340" s="52"/>
      <c r="C340" s="53"/>
      <c r="D340" s="53"/>
      <c r="E340" s="53"/>
      <c r="F340" s="59"/>
      <c r="G340" s="59"/>
      <c r="H340" s="59"/>
      <c r="I340" s="57"/>
      <c r="J340" s="60" t="str">
        <f aca="false">IF(AND(ISNUMBER(F340),ISNUMBER(G340)),MAX(0,G340-F340),IF(ISNUMBER(H340),H340*IF(I340="Yes / Sí",2,1),""))</f>
        <v/>
      </c>
      <c r="K340" s="61" t="str">
        <f aca="false">IF(OR(J340="",NOT(ISNUMBER(B340))),"",IF(COUNTIF(Settings!$B$8:$B$17,"&lt;="&amp;B340)=0,Settings!$C$8,INDEX(Settings!$C$8:$C$17,COUNTIF(Settings!$B$8:$B$17,"&lt;="&amp;B340))))</f>
        <v/>
      </c>
      <c r="L340" s="56" t="str">
        <f aca="false">IF(K340="","",ROUND(J340*K340,2))</f>
        <v/>
      </c>
      <c r="M340" s="58" t="str">
        <f aca="false">IF(AND(B340="",F340="",G340="",H340=""),"",IF(NOT(ISNUMBER(B340)),"⚠ ADD DATE / AGREGA FECHA",IF(J340="","⚠ ADD MILES / AGREGA MILLAS",IF(AND(ISNUMBER(F340),ISNUMBER(G340)),IF(G340&lt;F340,"⚠ CHECK ODOMETER / REVISA ODÓMETRO","✔ OK"),"✔ OK"))))</f>
        <v/>
      </c>
      <c r="N340" s="53"/>
      <c r="P340" s="51" t="n">
        <f aca="false">IF(ISNUMBER(L340),1,0)</f>
        <v>0</v>
      </c>
      <c r="Q340" s="51" t="n">
        <f aca="false">IF(P340=1,YEAR(B340),0)</f>
        <v>0</v>
      </c>
      <c r="R340" s="51" t="n">
        <f aca="false">IF(P340=1,YEAR(B340)*100+MONTH(B340),0)</f>
        <v>0</v>
      </c>
    </row>
    <row r="341" customFormat="false" ht="15" hidden="false" customHeight="false" outlineLevel="0" collapsed="false">
      <c r="B341" s="52"/>
      <c r="C341" s="53"/>
      <c r="D341" s="53"/>
      <c r="E341" s="53"/>
      <c r="F341" s="59"/>
      <c r="G341" s="59"/>
      <c r="H341" s="59"/>
      <c r="I341" s="57"/>
      <c r="J341" s="60" t="str">
        <f aca="false">IF(AND(ISNUMBER(F341),ISNUMBER(G341)),MAX(0,G341-F341),IF(ISNUMBER(H341),H341*IF(I341="Yes / Sí",2,1),""))</f>
        <v/>
      </c>
      <c r="K341" s="61" t="str">
        <f aca="false">IF(OR(J341="",NOT(ISNUMBER(B341))),"",IF(COUNTIF(Settings!$B$8:$B$17,"&lt;="&amp;B341)=0,Settings!$C$8,INDEX(Settings!$C$8:$C$17,COUNTIF(Settings!$B$8:$B$17,"&lt;="&amp;B341))))</f>
        <v/>
      </c>
      <c r="L341" s="56" t="str">
        <f aca="false">IF(K341="","",ROUND(J341*K341,2))</f>
        <v/>
      </c>
      <c r="M341" s="58" t="str">
        <f aca="false">IF(AND(B341="",F341="",G341="",H341=""),"",IF(NOT(ISNUMBER(B341)),"⚠ ADD DATE / AGREGA FECHA",IF(J341="","⚠ ADD MILES / AGREGA MILLAS",IF(AND(ISNUMBER(F341),ISNUMBER(G341)),IF(G341&lt;F341,"⚠ CHECK ODOMETER / REVISA ODÓMETRO","✔ OK"),"✔ OK"))))</f>
        <v/>
      </c>
      <c r="N341" s="53"/>
      <c r="P341" s="51" t="n">
        <f aca="false">IF(ISNUMBER(L341),1,0)</f>
        <v>0</v>
      </c>
      <c r="Q341" s="51" t="n">
        <f aca="false">IF(P341=1,YEAR(B341),0)</f>
        <v>0</v>
      </c>
      <c r="R341" s="51" t="n">
        <f aca="false">IF(P341=1,YEAR(B341)*100+MONTH(B341),0)</f>
        <v>0</v>
      </c>
    </row>
    <row r="342" customFormat="false" ht="15" hidden="false" customHeight="false" outlineLevel="0" collapsed="false">
      <c r="B342" s="52"/>
      <c r="C342" s="53"/>
      <c r="D342" s="53"/>
      <c r="E342" s="53"/>
      <c r="F342" s="59"/>
      <c r="G342" s="59"/>
      <c r="H342" s="59"/>
      <c r="I342" s="57"/>
      <c r="J342" s="60" t="str">
        <f aca="false">IF(AND(ISNUMBER(F342),ISNUMBER(G342)),MAX(0,G342-F342),IF(ISNUMBER(H342),H342*IF(I342="Yes / Sí",2,1),""))</f>
        <v/>
      </c>
      <c r="K342" s="61" t="str">
        <f aca="false">IF(OR(J342="",NOT(ISNUMBER(B342))),"",IF(COUNTIF(Settings!$B$8:$B$17,"&lt;="&amp;B342)=0,Settings!$C$8,INDEX(Settings!$C$8:$C$17,COUNTIF(Settings!$B$8:$B$17,"&lt;="&amp;B342))))</f>
        <v/>
      </c>
      <c r="L342" s="56" t="str">
        <f aca="false">IF(K342="","",ROUND(J342*K342,2))</f>
        <v/>
      </c>
      <c r="M342" s="58" t="str">
        <f aca="false">IF(AND(B342="",F342="",G342="",H342=""),"",IF(NOT(ISNUMBER(B342)),"⚠ ADD DATE / AGREGA FECHA",IF(J342="","⚠ ADD MILES / AGREGA MILLAS",IF(AND(ISNUMBER(F342),ISNUMBER(G342)),IF(G342&lt;F342,"⚠ CHECK ODOMETER / REVISA ODÓMETRO","✔ OK"),"✔ OK"))))</f>
        <v/>
      </c>
      <c r="N342" s="53"/>
      <c r="P342" s="51" t="n">
        <f aca="false">IF(ISNUMBER(L342),1,0)</f>
        <v>0</v>
      </c>
      <c r="Q342" s="51" t="n">
        <f aca="false">IF(P342=1,YEAR(B342),0)</f>
        <v>0</v>
      </c>
      <c r="R342" s="51" t="n">
        <f aca="false">IF(P342=1,YEAR(B342)*100+MONTH(B342),0)</f>
        <v>0</v>
      </c>
    </row>
    <row r="343" customFormat="false" ht="15" hidden="false" customHeight="false" outlineLevel="0" collapsed="false">
      <c r="B343" s="52"/>
      <c r="C343" s="53"/>
      <c r="D343" s="53"/>
      <c r="E343" s="53"/>
      <c r="F343" s="59"/>
      <c r="G343" s="59"/>
      <c r="H343" s="59"/>
      <c r="I343" s="57"/>
      <c r="J343" s="60" t="str">
        <f aca="false">IF(AND(ISNUMBER(F343),ISNUMBER(G343)),MAX(0,G343-F343),IF(ISNUMBER(H343),H343*IF(I343="Yes / Sí",2,1),""))</f>
        <v/>
      </c>
      <c r="K343" s="61" t="str">
        <f aca="false">IF(OR(J343="",NOT(ISNUMBER(B343))),"",IF(COUNTIF(Settings!$B$8:$B$17,"&lt;="&amp;B343)=0,Settings!$C$8,INDEX(Settings!$C$8:$C$17,COUNTIF(Settings!$B$8:$B$17,"&lt;="&amp;B343))))</f>
        <v/>
      </c>
      <c r="L343" s="56" t="str">
        <f aca="false">IF(K343="","",ROUND(J343*K343,2))</f>
        <v/>
      </c>
      <c r="M343" s="58" t="str">
        <f aca="false">IF(AND(B343="",F343="",G343="",H343=""),"",IF(NOT(ISNUMBER(B343)),"⚠ ADD DATE / AGREGA FECHA",IF(J343="","⚠ ADD MILES / AGREGA MILLAS",IF(AND(ISNUMBER(F343),ISNUMBER(G343)),IF(G343&lt;F343,"⚠ CHECK ODOMETER / REVISA ODÓMETRO","✔ OK"),"✔ OK"))))</f>
        <v/>
      </c>
      <c r="N343" s="53"/>
      <c r="P343" s="51" t="n">
        <f aca="false">IF(ISNUMBER(L343),1,0)</f>
        <v>0</v>
      </c>
      <c r="Q343" s="51" t="n">
        <f aca="false">IF(P343=1,YEAR(B343),0)</f>
        <v>0</v>
      </c>
      <c r="R343" s="51" t="n">
        <f aca="false">IF(P343=1,YEAR(B343)*100+MONTH(B343),0)</f>
        <v>0</v>
      </c>
    </row>
    <row r="344" customFormat="false" ht="15" hidden="false" customHeight="false" outlineLevel="0" collapsed="false">
      <c r="B344" s="52"/>
      <c r="C344" s="53"/>
      <c r="D344" s="53"/>
      <c r="E344" s="53"/>
      <c r="F344" s="59"/>
      <c r="G344" s="59"/>
      <c r="H344" s="59"/>
      <c r="I344" s="57"/>
      <c r="J344" s="60" t="str">
        <f aca="false">IF(AND(ISNUMBER(F344),ISNUMBER(G344)),MAX(0,G344-F344),IF(ISNUMBER(H344),H344*IF(I344="Yes / Sí",2,1),""))</f>
        <v/>
      </c>
      <c r="K344" s="61" t="str">
        <f aca="false">IF(OR(J344="",NOT(ISNUMBER(B344))),"",IF(COUNTIF(Settings!$B$8:$B$17,"&lt;="&amp;B344)=0,Settings!$C$8,INDEX(Settings!$C$8:$C$17,COUNTIF(Settings!$B$8:$B$17,"&lt;="&amp;B344))))</f>
        <v/>
      </c>
      <c r="L344" s="56" t="str">
        <f aca="false">IF(K344="","",ROUND(J344*K344,2))</f>
        <v/>
      </c>
      <c r="M344" s="58" t="str">
        <f aca="false">IF(AND(B344="",F344="",G344="",H344=""),"",IF(NOT(ISNUMBER(B344)),"⚠ ADD DATE / AGREGA FECHA",IF(J344="","⚠ ADD MILES / AGREGA MILLAS",IF(AND(ISNUMBER(F344),ISNUMBER(G344)),IF(G344&lt;F344,"⚠ CHECK ODOMETER / REVISA ODÓMETRO","✔ OK"),"✔ OK"))))</f>
        <v/>
      </c>
      <c r="N344" s="53"/>
      <c r="P344" s="51" t="n">
        <f aca="false">IF(ISNUMBER(L344),1,0)</f>
        <v>0</v>
      </c>
      <c r="Q344" s="51" t="n">
        <f aca="false">IF(P344=1,YEAR(B344),0)</f>
        <v>0</v>
      </c>
      <c r="R344" s="51" t="n">
        <f aca="false">IF(P344=1,YEAR(B344)*100+MONTH(B344),0)</f>
        <v>0</v>
      </c>
    </row>
    <row r="345" customFormat="false" ht="15" hidden="false" customHeight="false" outlineLevel="0" collapsed="false">
      <c r="B345" s="52"/>
      <c r="C345" s="53"/>
      <c r="D345" s="53"/>
      <c r="E345" s="53"/>
      <c r="F345" s="59"/>
      <c r="G345" s="59"/>
      <c r="H345" s="59"/>
      <c r="I345" s="57"/>
      <c r="J345" s="60" t="str">
        <f aca="false">IF(AND(ISNUMBER(F345),ISNUMBER(G345)),MAX(0,G345-F345),IF(ISNUMBER(H345),H345*IF(I345="Yes / Sí",2,1),""))</f>
        <v/>
      </c>
      <c r="K345" s="61" t="str">
        <f aca="false">IF(OR(J345="",NOT(ISNUMBER(B345))),"",IF(COUNTIF(Settings!$B$8:$B$17,"&lt;="&amp;B345)=0,Settings!$C$8,INDEX(Settings!$C$8:$C$17,COUNTIF(Settings!$B$8:$B$17,"&lt;="&amp;B345))))</f>
        <v/>
      </c>
      <c r="L345" s="56" t="str">
        <f aca="false">IF(K345="","",ROUND(J345*K345,2))</f>
        <v/>
      </c>
      <c r="M345" s="58" t="str">
        <f aca="false">IF(AND(B345="",F345="",G345="",H345=""),"",IF(NOT(ISNUMBER(B345)),"⚠ ADD DATE / AGREGA FECHA",IF(J345="","⚠ ADD MILES / AGREGA MILLAS",IF(AND(ISNUMBER(F345),ISNUMBER(G345)),IF(G345&lt;F345,"⚠ CHECK ODOMETER / REVISA ODÓMETRO","✔ OK"),"✔ OK"))))</f>
        <v/>
      </c>
      <c r="N345" s="53"/>
      <c r="P345" s="51" t="n">
        <f aca="false">IF(ISNUMBER(L345),1,0)</f>
        <v>0</v>
      </c>
      <c r="Q345" s="51" t="n">
        <f aca="false">IF(P345=1,YEAR(B345),0)</f>
        <v>0</v>
      </c>
      <c r="R345" s="51" t="n">
        <f aca="false">IF(P345=1,YEAR(B345)*100+MONTH(B345),0)</f>
        <v>0</v>
      </c>
    </row>
    <row r="346" customFormat="false" ht="15" hidden="false" customHeight="false" outlineLevel="0" collapsed="false">
      <c r="B346" s="52"/>
      <c r="C346" s="53"/>
      <c r="D346" s="53"/>
      <c r="E346" s="53"/>
      <c r="F346" s="59"/>
      <c r="G346" s="59"/>
      <c r="H346" s="59"/>
      <c r="I346" s="57"/>
      <c r="J346" s="60" t="str">
        <f aca="false">IF(AND(ISNUMBER(F346),ISNUMBER(G346)),MAX(0,G346-F346),IF(ISNUMBER(H346),H346*IF(I346="Yes / Sí",2,1),""))</f>
        <v/>
      </c>
      <c r="K346" s="61" t="str">
        <f aca="false">IF(OR(J346="",NOT(ISNUMBER(B346))),"",IF(COUNTIF(Settings!$B$8:$B$17,"&lt;="&amp;B346)=0,Settings!$C$8,INDEX(Settings!$C$8:$C$17,COUNTIF(Settings!$B$8:$B$17,"&lt;="&amp;B346))))</f>
        <v/>
      </c>
      <c r="L346" s="56" t="str">
        <f aca="false">IF(K346="","",ROUND(J346*K346,2))</f>
        <v/>
      </c>
      <c r="M346" s="58" t="str">
        <f aca="false">IF(AND(B346="",F346="",G346="",H346=""),"",IF(NOT(ISNUMBER(B346)),"⚠ ADD DATE / AGREGA FECHA",IF(J346="","⚠ ADD MILES / AGREGA MILLAS",IF(AND(ISNUMBER(F346),ISNUMBER(G346)),IF(G346&lt;F346,"⚠ CHECK ODOMETER / REVISA ODÓMETRO","✔ OK"),"✔ OK"))))</f>
        <v/>
      </c>
      <c r="N346" s="53"/>
      <c r="P346" s="51" t="n">
        <f aca="false">IF(ISNUMBER(L346),1,0)</f>
        <v>0</v>
      </c>
      <c r="Q346" s="51" t="n">
        <f aca="false">IF(P346=1,YEAR(B346),0)</f>
        <v>0</v>
      </c>
      <c r="R346" s="51" t="n">
        <f aca="false">IF(P346=1,YEAR(B346)*100+MONTH(B346),0)</f>
        <v>0</v>
      </c>
    </row>
    <row r="347" customFormat="false" ht="15" hidden="false" customHeight="false" outlineLevel="0" collapsed="false">
      <c r="B347" s="52"/>
      <c r="C347" s="53"/>
      <c r="D347" s="53"/>
      <c r="E347" s="53"/>
      <c r="F347" s="59"/>
      <c r="G347" s="59"/>
      <c r="H347" s="59"/>
      <c r="I347" s="57"/>
      <c r="J347" s="60" t="str">
        <f aca="false">IF(AND(ISNUMBER(F347),ISNUMBER(G347)),MAX(0,G347-F347),IF(ISNUMBER(H347),H347*IF(I347="Yes / Sí",2,1),""))</f>
        <v/>
      </c>
      <c r="K347" s="61" t="str">
        <f aca="false">IF(OR(J347="",NOT(ISNUMBER(B347))),"",IF(COUNTIF(Settings!$B$8:$B$17,"&lt;="&amp;B347)=0,Settings!$C$8,INDEX(Settings!$C$8:$C$17,COUNTIF(Settings!$B$8:$B$17,"&lt;="&amp;B347))))</f>
        <v/>
      </c>
      <c r="L347" s="56" t="str">
        <f aca="false">IF(K347="","",ROUND(J347*K347,2))</f>
        <v/>
      </c>
      <c r="M347" s="58" t="str">
        <f aca="false">IF(AND(B347="",F347="",G347="",H347=""),"",IF(NOT(ISNUMBER(B347)),"⚠ ADD DATE / AGREGA FECHA",IF(J347="","⚠ ADD MILES / AGREGA MILLAS",IF(AND(ISNUMBER(F347),ISNUMBER(G347)),IF(G347&lt;F347,"⚠ CHECK ODOMETER / REVISA ODÓMETRO","✔ OK"),"✔ OK"))))</f>
        <v/>
      </c>
      <c r="N347" s="53"/>
      <c r="P347" s="51" t="n">
        <f aca="false">IF(ISNUMBER(L347),1,0)</f>
        <v>0</v>
      </c>
      <c r="Q347" s="51" t="n">
        <f aca="false">IF(P347=1,YEAR(B347),0)</f>
        <v>0</v>
      </c>
      <c r="R347" s="51" t="n">
        <f aca="false">IF(P347=1,YEAR(B347)*100+MONTH(B347),0)</f>
        <v>0</v>
      </c>
    </row>
    <row r="348" customFormat="false" ht="15" hidden="false" customHeight="false" outlineLevel="0" collapsed="false">
      <c r="B348" s="52"/>
      <c r="C348" s="53"/>
      <c r="D348" s="53"/>
      <c r="E348" s="53"/>
      <c r="F348" s="59"/>
      <c r="G348" s="59"/>
      <c r="H348" s="59"/>
      <c r="I348" s="57"/>
      <c r="J348" s="60" t="str">
        <f aca="false">IF(AND(ISNUMBER(F348),ISNUMBER(G348)),MAX(0,G348-F348),IF(ISNUMBER(H348),H348*IF(I348="Yes / Sí",2,1),""))</f>
        <v/>
      </c>
      <c r="K348" s="61" t="str">
        <f aca="false">IF(OR(J348="",NOT(ISNUMBER(B348))),"",IF(COUNTIF(Settings!$B$8:$B$17,"&lt;="&amp;B348)=0,Settings!$C$8,INDEX(Settings!$C$8:$C$17,COUNTIF(Settings!$B$8:$B$17,"&lt;="&amp;B348))))</f>
        <v/>
      </c>
      <c r="L348" s="56" t="str">
        <f aca="false">IF(K348="","",ROUND(J348*K348,2))</f>
        <v/>
      </c>
      <c r="M348" s="58" t="str">
        <f aca="false">IF(AND(B348="",F348="",G348="",H348=""),"",IF(NOT(ISNUMBER(B348)),"⚠ ADD DATE / AGREGA FECHA",IF(J348="","⚠ ADD MILES / AGREGA MILLAS",IF(AND(ISNUMBER(F348),ISNUMBER(G348)),IF(G348&lt;F348,"⚠ CHECK ODOMETER / REVISA ODÓMETRO","✔ OK"),"✔ OK"))))</f>
        <v/>
      </c>
      <c r="N348" s="53"/>
      <c r="P348" s="51" t="n">
        <f aca="false">IF(ISNUMBER(L348),1,0)</f>
        <v>0</v>
      </c>
      <c r="Q348" s="51" t="n">
        <f aca="false">IF(P348=1,YEAR(B348),0)</f>
        <v>0</v>
      </c>
      <c r="R348" s="51" t="n">
        <f aca="false">IF(P348=1,YEAR(B348)*100+MONTH(B348),0)</f>
        <v>0</v>
      </c>
    </row>
    <row r="349" customFormat="false" ht="15" hidden="false" customHeight="false" outlineLevel="0" collapsed="false">
      <c r="B349" s="52"/>
      <c r="C349" s="53"/>
      <c r="D349" s="53"/>
      <c r="E349" s="53"/>
      <c r="F349" s="59"/>
      <c r="G349" s="59"/>
      <c r="H349" s="59"/>
      <c r="I349" s="57"/>
      <c r="J349" s="60" t="str">
        <f aca="false">IF(AND(ISNUMBER(F349),ISNUMBER(G349)),MAX(0,G349-F349),IF(ISNUMBER(H349),H349*IF(I349="Yes / Sí",2,1),""))</f>
        <v/>
      </c>
      <c r="K349" s="61" t="str">
        <f aca="false">IF(OR(J349="",NOT(ISNUMBER(B349))),"",IF(COUNTIF(Settings!$B$8:$B$17,"&lt;="&amp;B349)=0,Settings!$C$8,INDEX(Settings!$C$8:$C$17,COUNTIF(Settings!$B$8:$B$17,"&lt;="&amp;B349))))</f>
        <v/>
      </c>
      <c r="L349" s="56" t="str">
        <f aca="false">IF(K349="","",ROUND(J349*K349,2))</f>
        <v/>
      </c>
      <c r="M349" s="58" t="str">
        <f aca="false">IF(AND(B349="",F349="",G349="",H349=""),"",IF(NOT(ISNUMBER(B349)),"⚠ ADD DATE / AGREGA FECHA",IF(J349="","⚠ ADD MILES / AGREGA MILLAS",IF(AND(ISNUMBER(F349),ISNUMBER(G349)),IF(G349&lt;F349,"⚠ CHECK ODOMETER / REVISA ODÓMETRO","✔ OK"),"✔ OK"))))</f>
        <v/>
      </c>
      <c r="N349" s="53"/>
      <c r="P349" s="51" t="n">
        <f aca="false">IF(ISNUMBER(L349),1,0)</f>
        <v>0</v>
      </c>
      <c r="Q349" s="51" t="n">
        <f aca="false">IF(P349=1,YEAR(B349),0)</f>
        <v>0</v>
      </c>
      <c r="R349" s="51" t="n">
        <f aca="false">IF(P349=1,YEAR(B349)*100+MONTH(B349),0)</f>
        <v>0</v>
      </c>
    </row>
    <row r="350" customFormat="false" ht="15" hidden="false" customHeight="false" outlineLevel="0" collapsed="false">
      <c r="B350" s="52"/>
      <c r="C350" s="53"/>
      <c r="D350" s="53"/>
      <c r="E350" s="53"/>
      <c r="F350" s="59"/>
      <c r="G350" s="59"/>
      <c r="H350" s="59"/>
      <c r="I350" s="57"/>
      <c r="J350" s="60" t="str">
        <f aca="false">IF(AND(ISNUMBER(F350),ISNUMBER(G350)),MAX(0,G350-F350),IF(ISNUMBER(H350),H350*IF(I350="Yes / Sí",2,1),""))</f>
        <v/>
      </c>
      <c r="K350" s="61" t="str">
        <f aca="false">IF(OR(J350="",NOT(ISNUMBER(B350))),"",IF(COUNTIF(Settings!$B$8:$B$17,"&lt;="&amp;B350)=0,Settings!$C$8,INDEX(Settings!$C$8:$C$17,COUNTIF(Settings!$B$8:$B$17,"&lt;="&amp;B350))))</f>
        <v/>
      </c>
      <c r="L350" s="56" t="str">
        <f aca="false">IF(K350="","",ROUND(J350*K350,2))</f>
        <v/>
      </c>
      <c r="M350" s="58" t="str">
        <f aca="false">IF(AND(B350="",F350="",G350="",H350=""),"",IF(NOT(ISNUMBER(B350)),"⚠ ADD DATE / AGREGA FECHA",IF(J350="","⚠ ADD MILES / AGREGA MILLAS",IF(AND(ISNUMBER(F350),ISNUMBER(G350)),IF(G350&lt;F350,"⚠ CHECK ODOMETER / REVISA ODÓMETRO","✔ OK"),"✔ OK"))))</f>
        <v/>
      </c>
      <c r="N350" s="53"/>
      <c r="P350" s="51" t="n">
        <f aca="false">IF(ISNUMBER(L350),1,0)</f>
        <v>0</v>
      </c>
      <c r="Q350" s="51" t="n">
        <f aca="false">IF(P350=1,YEAR(B350),0)</f>
        <v>0</v>
      </c>
      <c r="R350" s="51" t="n">
        <f aca="false">IF(P350=1,YEAR(B350)*100+MONTH(B350),0)</f>
        <v>0</v>
      </c>
    </row>
    <row r="351" customFormat="false" ht="15" hidden="false" customHeight="false" outlineLevel="0" collapsed="false">
      <c r="B351" s="52"/>
      <c r="C351" s="53"/>
      <c r="D351" s="53"/>
      <c r="E351" s="53"/>
      <c r="F351" s="59"/>
      <c r="G351" s="59"/>
      <c r="H351" s="59"/>
      <c r="I351" s="57"/>
      <c r="J351" s="60" t="str">
        <f aca="false">IF(AND(ISNUMBER(F351),ISNUMBER(G351)),MAX(0,G351-F351),IF(ISNUMBER(H351),H351*IF(I351="Yes / Sí",2,1),""))</f>
        <v/>
      </c>
      <c r="K351" s="61" t="str">
        <f aca="false">IF(OR(J351="",NOT(ISNUMBER(B351))),"",IF(COUNTIF(Settings!$B$8:$B$17,"&lt;="&amp;B351)=0,Settings!$C$8,INDEX(Settings!$C$8:$C$17,COUNTIF(Settings!$B$8:$B$17,"&lt;="&amp;B351))))</f>
        <v/>
      </c>
      <c r="L351" s="56" t="str">
        <f aca="false">IF(K351="","",ROUND(J351*K351,2))</f>
        <v/>
      </c>
      <c r="M351" s="58" t="str">
        <f aca="false">IF(AND(B351="",F351="",G351="",H351=""),"",IF(NOT(ISNUMBER(B351)),"⚠ ADD DATE / AGREGA FECHA",IF(J351="","⚠ ADD MILES / AGREGA MILLAS",IF(AND(ISNUMBER(F351),ISNUMBER(G351)),IF(G351&lt;F351,"⚠ CHECK ODOMETER / REVISA ODÓMETRO","✔ OK"),"✔ OK"))))</f>
        <v/>
      </c>
      <c r="N351" s="53"/>
      <c r="P351" s="51" t="n">
        <f aca="false">IF(ISNUMBER(L351),1,0)</f>
        <v>0</v>
      </c>
      <c r="Q351" s="51" t="n">
        <f aca="false">IF(P351=1,YEAR(B351),0)</f>
        <v>0</v>
      </c>
      <c r="R351" s="51" t="n">
        <f aca="false">IF(P351=1,YEAR(B351)*100+MONTH(B351),0)</f>
        <v>0</v>
      </c>
    </row>
    <row r="352" customFormat="false" ht="15" hidden="false" customHeight="false" outlineLevel="0" collapsed="false">
      <c r="B352" s="52"/>
      <c r="C352" s="53"/>
      <c r="D352" s="53"/>
      <c r="E352" s="53"/>
      <c r="F352" s="59"/>
      <c r="G352" s="59"/>
      <c r="H352" s="59"/>
      <c r="I352" s="57"/>
      <c r="J352" s="60" t="str">
        <f aca="false">IF(AND(ISNUMBER(F352),ISNUMBER(G352)),MAX(0,G352-F352),IF(ISNUMBER(H352),H352*IF(I352="Yes / Sí",2,1),""))</f>
        <v/>
      </c>
      <c r="K352" s="61" t="str">
        <f aca="false">IF(OR(J352="",NOT(ISNUMBER(B352))),"",IF(COUNTIF(Settings!$B$8:$B$17,"&lt;="&amp;B352)=0,Settings!$C$8,INDEX(Settings!$C$8:$C$17,COUNTIF(Settings!$B$8:$B$17,"&lt;="&amp;B352))))</f>
        <v/>
      </c>
      <c r="L352" s="56" t="str">
        <f aca="false">IF(K352="","",ROUND(J352*K352,2))</f>
        <v/>
      </c>
      <c r="M352" s="58" t="str">
        <f aca="false">IF(AND(B352="",F352="",G352="",H352=""),"",IF(NOT(ISNUMBER(B352)),"⚠ ADD DATE / AGREGA FECHA",IF(J352="","⚠ ADD MILES / AGREGA MILLAS",IF(AND(ISNUMBER(F352),ISNUMBER(G352)),IF(G352&lt;F352,"⚠ CHECK ODOMETER / REVISA ODÓMETRO","✔ OK"),"✔ OK"))))</f>
        <v/>
      </c>
      <c r="N352" s="53"/>
      <c r="P352" s="51" t="n">
        <f aca="false">IF(ISNUMBER(L352),1,0)</f>
        <v>0</v>
      </c>
      <c r="Q352" s="51" t="n">
        <f aca="false">IF(P352=1,YEAR(B352),0)</f>
        <v>0</v>
      </c>
      <c r="R352" s="51" t="n">
        <f aca="false">IF(P352=1,YEAR(B352)*100+MONTH(B352),0)</f>
        <v>0</v>
      </c>
    </row>
    <row r="353" customFormat="false" ht="15" hidden="false" customHeight="false" outlineLevel="0" collapsed="false">
      <c r="B353" s="52"/>
      <c r="C353" s="53"/>
      <c r="D353" s="53"/>
      <c r="E353" s="53"/>
      <c r="F353" s="59"/>
      <c r="G353" s="59"/>
      <c r="H353" s="59"/>
      <c r="I353" s="57"/>
      <c r="J353" s="60" t="str">
        <f aca="false">IF(AND(ISNUMBER(F353),ISNUMBER(G353)),MAX(0,G353-F353),IF(ISNUMBER(H353),H353*IF(I353="Yes / Sí",2,1),""))</f>
        <v/>
      </c>
      <c r="K353" s="61" t="str">
        <f aca="false">IF(OR(J353="",NOT(ISNUMBER(B353))),"",IF(COUNTIF(Settings!$B$8:$B$17,"&lt;="&amp;B353)=0,Settings!$C$8,INDEX(Settings!$C$8:$C$17,COUNTIF(Settings!$B$8:$B$17,"&lt;="&amp;B353))))</f>
        <v/>
      </c>
      <c r="L353" s="56" t="str">
        <f aca="false">IF(K353="","",ROUND(J353*K353,2))</f>
        <v/>
      </c>
      <c r="M353" s="58" t="str">
        <f aca="false">IF(AND(B353="",F353="",G353="",H353=""),"",IF(NOT(ISNUMBER(B353)),"⚠ ADD DATE / AGREGA FECHA",IF(J353="","⚠ ADD MILES / AGREGA MILLAS",IF(AND(ISNUMBER(F353),ISNUMBER(G353)),IF(G353&lt;F353,"⚠ CHECK ODOMETER / REVISA ODÓMETRO","✔ OK"),"✔ OK"))))</f>
        <v/>
      </c>
      <c r="N353" s="53"/>
      <c r="P353" s="51" t="n">
        <f aca="false">IF(ISNUMBER(L353),1,0)</f>
        <v>0</v>
      </c>
      <c r="Q353" s="51" t="n">
        <f aca="false">IF(P353=1,YEAR(B353),0)</f>
        <v>0</v>
      </c>
      <c r="R353" s="51" t="n">
        <f aca="false">IF(P353=1,YEAR(B353)*100+MONTH(B353),0)</f>
        <v>0</v>
      </c>
    </row>
    <row r="354" customFormat="false" ht="15" hidden="false" customHeight="false" outlineLevel="0" collapsed="false">
      <c r="B354" s="52"/>
      <c r="C354" s="53"/>
      <c r="D354" s="53"/>
      <c r="E354" s="53"/>
      <c r="F354" s="59"/>
      <c r="G354" s="59"/>
      <c r="H354" s="59"/>
      <c r="I354" s="57"/>
      <c r="J354" s="60" t="str">
        <f aca="false">IF(AND(ISNUMBER(F354),ISNUMBER(G354)),MAX(0,G354-F354),IF(ISNUMBER(H354),H354*IF(I354="Yes / Sí",2,1),""))</f>
        <v/>
      </c>
      <c r="K354" s="61" t="str">
        <f aca="false">IF(OR(J354="",NOT(ISNUMBER(B354))),"",IF(COUNTIF(Settings!$B$8:$B$17,"&lt;="&amp;B354)=0,Settings!$C$8,INDEX(Settings!$C$8:$C$17,COUNTIF(Settings!$B$8:$B$17,"&lt;="&amp;B354))))</f>
        <v/>
      </c>
      <c r="L354" s="56" t="str">
        <f aca="false">IF(K354="","",ROUND(J354*K354,2))</f>
        <v/>
      </c>
      <c r="M354" s="58" t="str">
        <f aca="false">IF(AND(B354="",F354="",G354="",H354=""),"",IF(NOT(ISNUMBER(B354)),"⚠ ADD DATE / AGREGA FECHA",IF(J354="","⚠ ADD MILES / AGREGA MILLAS",IF(AND(ISNUMBER(F354),ISNUMBER(G354)),IF(G354&lt;F354,"⚠ CHECK ODOMETER / REVISA ODÓMETRO","✔ OK"),"✔ OK"))))</f>
        <v/>
      </c>
      <c r="N354" s="53"/>
      <c r="P354" s="51" t="n">
        <f aca="false">IF(ISNUMBER(L354),1,0)</f>
        <v>0</v>
      </c>
      <c r="Q354" s="51" t="n">
        <f aca="false">IF(P354=1,YEAR(B354),0)</f>
        <v>0</v>
      </c>
      <c r="R354" s="51" t="n">
        <f aca="false">IF(P354=1,YEAR(B354)*100+MONTH(B354),0)</f>
        <v>0</v>
      </c>
    </row>
    <row r="355" customFormat="false" ht="15" hidden="false" customHeight="false" outlineLevel="0" collapsed="false">
      <c r="B355" s="52"/>
      <c r="C355" s="53"/>
      <c r="D355" s="53"/>
      <c r="E355" s="53"/>
      <c r="F355" s="59"/>
      <c r="G355" s="59"/>
      <c r="H355" s="59"/>
      <c r="I355" s="57"/>
      <c r="J355" s="60" t="str">
        <f aca="false">IF(AND(ISNUMBER(F355),ISNUMBER(G355)),MAX(0,G355-F355),IF(ISNUMBER(H355),H355*IF(I355="Yes / Sí",2,1),""))</f>
        <v/>
      </c>
      <c r="K355" s="61" t="str">
        <f aca="false">IF(OR(J355="",NOT(ISNUMBER(B355))),"",IF(COUNTIF(Settings!$B$8:$B$17,"&lt;="&amp;B355)=0,Settings!$C$8,INDEX(Settings!$C$8:$C$17,COUNTIF(Settings!$B$8:$B$17,"&lt;="&amp;B355))))</f>
        <v/>
      </c>
      <c r="L355" s="56" t="str">
        <f aca="false">IF(K355="","",ROUND(J355*K355,2))</f>
        <v/>
      </c>
      <c r="M355" s="58" t="str">
        <f aca="false">IF(AND(B355="",F355="",G355="",H355=""),"",IF(NOT(ISNUMBER(B355)),"⚠ ADD DATE / AGREGA FECHA",IF(J355="","⚠ ADD MILES / AGREGA MILLAS",IF(AND(ISNUMBER(F355),ISNUMBER(G355)),IF(G355&lt;F355,"⚠ CHECK ODOMETER / REVISA ODÓMETRO","✔ OK"),"✔ OK"))))</f>
        <v/>
      </c>
      <c r="N355" s="53"/>
      <c r="P355" s="51" t="n">
        <f aca="false">IF(ISNUMBER(L355),1,0)</f>
        <v>0</v>
      </c>
      <c r="Q355" s="51" t="n">
        <f aca="false">IF(P355=1,YEAR(B355),0)</f>
        <v>0</v>
      </c>
      <c r="R355" s="51" t="n">
        <f aca="false">IF(P355=1,YEAR(B355)*100+MONTH(B355),0)</f>
        <v>0</v>
      </c>
    </row>
    <row r="356" customFormat="false" ht="15" hidden="false" customHeight="false" outlineLevel="0" collapsed="false">
      <c r="B356" s="52"/>
      <c r="C356" s="53"/>
      <c r="D356" s="53"/>
      <c r="E356" s="53"/>
      <c r="F356" s="59"/>
      <c r="G356" s="59"/>
      <c r="H356" s="59"/>
      <c r="I356" s="57"/>
      <c r="J356" s="60" t="str">
        <f aca="false">IF(AND(ISNUMBER(F356),ISNUMBER(G356)),MAX(0,G356-F356),IF(ISNUMBER(H356),H356*IF(I356="Yes / Sí",2,1),""))</f>
        <v/>
      </c>
      <c r="K356" s="61" t="str">
        <f aca="false">IF(OR(J356="",NOT(ISNUMBER(B356))),"",IF(COUNTIF(Settings!$B$8:$B$17,"&lt;="&amp;B356)=0,Settings!$C$8,INDEX(Settings!$C$8:$C$17,COUNTIF(Settings!$B$8:$B$17,"&lt;="&amp;B356))))</f>
        <v/>
      </c>
      <c r="L356" s="56" t="str">
        <f aca="false">IF(K356="","",ROUND(J356*K356,2))</f>
        <v/>
      </c>
      <c r="M356" s="58" t="str">
        <f aca="false">IF(AND(B356="",F356="",G356="",H356=""),"",IF(NOT(ISNUMBER(B356)),"⚠ ADD DATE / AGREGA FECHA",IF(J356="","⚠ ADD MILES / AGREGA MILLAS",IF(AND(ISNUMBER(F356),ISNUMBER(G356)),IF(G356&lt;F356,"⚠ CHECK ODOMETER / REVISA ODÓMETRO","✔ OK"),"✔ OK"))))</f>
        <v/>
      </c>
      <c r="N356" s="53"/>
      <c r="P356" s="51" t="n">
        <f aca="false">IF(ISNUMBER(L356),1,0)</f>
        <v>0</v>
      </c>
      <c r="Q356" s="51" t="n">
        <f aca="false">IF(P356=1,YEAR(B356),0)</f>
        <v>0</v>
      </c>
      <c r="R356" s="51" t="n">
        <f aca="false">IF(P356=1,YEAR(B356)*100+MONTH(B356),0)</f>
        <v>0</v>
      </c>
    </row>
    <row r="357" customFormat="false" ht="15" hidden="false" customHeight="false" outlineLevel="0" collapsed="false">
      <c r="B357" s="52"/>
      <c r="C357" s="53"/>
      <c r="D357" s="53"/>
      <c r="E357" s="53"/>
      <c r="F357" s="59"/>
      <c r="G357" s="59"/>
      <c r="H357" s="59"/>
      <c r="I357" s="57"/>
      <c r="J357" s="60" t="str">
        <f aca="false">IF(AND(ISNUMBER(F357),ISNUMBER(G357)),MAX(0,G357-F357),IF(ISNUMBER(H357),H357*IF(I357="Yes / Sí",2,1),""))</f>
        <v/>
      </c>
      <c r="K357" s="61" t="str">
        <f aca="false">IF(OR(J357="",NOT(ISNUMBER(B357))),"",IF(COUNTIF(Settings!$B$8:$B$17,"&lt;="&amp;B357)=0,Settings!$C$8,INDEX(Settings!$C$8:$C$17,COUNTIF(Settings!$B$8:$B$17,"&lt;="&amp;B357))))</f>
        <v/>
      </c>
      <c r="L357" s="56" t="str">
        <f aca="false">IF(K357="","",ROUND(J357*K357,2))</f>
        <v/>
      </c>
      <c r="M357" s="58" t="str">
        <f aca="false">IF(AND(B357="",F357="",G357="",H357=""),"",IF(NOT(ISNUMBER(B357)),"⚠ ADD DATE / AGREGA FECHA",IF(J357="","⚠ ADD MILES / AGREGA MILLAS",IF(AND(ISNUMBER(F357),ISNUMBER(G357)),IF(G357&lt;F357,"⚠ CHECK ODOMETER / REVISA ODÓMETRO","✔ OK"),"✔ OK"))))</f>
        <v/>
      </c>
      <c r="N357" s="53"/>
      <c r="P357" s="51" t="n">
        <f aca="false">IF(ISNUMBER(L357),1,0)</f>
        <v>0</v>
      </c>
      <c r="Q357" s="51" t="n">
        <f aca="false">IF(P357=1,YEAR(B357),0)</f>
        <v>0</v>
      </c>
      <c r="R357" s="51" t="n">
        <f aca="false">IF(P357=1,YEAR(B357)*100+MONTH(B357),0)</f>
        <v>0</v>
      </c>
    </row>
    <row r="358" customFormat="false" ht="15" hidden="false" customHeight="false" outlineLevel="0" collapsed="false">
      <c r="B358" s="52"/>
      <c r="C358" s="53"/>
      <c r="D358" s="53"/>
      <c r="E358" s="53"/>
      <c r="F358" s="59"/>
      <c r="G358" s="59"/>
      <c r="H358" s="59"/>
      <c r="I358" s="57"/>
      <c r="J358" s="60" t="str">
        <f aca="false">IF(AND(ISNUMBER(F358),ISNUMBER(G358)),MAX(0,G358-F358),IF(ISNUMBER(H358),H358*IF(I358="Yes / Sí",2,1),""))</f>
        <v/>
      </c>
      <c r="K358" s="61" t="str">
        <f aca="false">IF(OR(J358="",NOT(ISNUMBER(B358))),"",IF(COUNTIF(Settings!$B$8:$B$17,"&lt;="&amp;B358)=0,Settings!$C$8,INDEX(Settings!$C$8:$C$17,COUNTIF(Settings!$B$8:$B$17,"&lt;="&amp;B358))))</f>
        <v/>
      </c>
      <c r="L358" s="56" t="str">
        <f aca="false">IF(K358="","",ROUND(J358*K358,2))</f>
        <v/>
      </c>
      <c r="M358" s="58" t="str">
        <f aca="false">IF(AND(B358="",F358="",G358="",H358=""),"",IF(NOT(ISNUMBER(B358)),"⚠ ADD DATE / AGREGA FECHA",IF(J358="","⚠ ADD MILES / AGREGA MILLAS",IF(AND(ISNUMBER(F358),ISNUMBER(G358)),IF(G358&lt;F358,"⚠ CHECK ODOMETER / REVISA ODÓMETRO","✔ OK"),"✔ OK"))))</f>
        <v/>
      </c>
      <c r="N358" s="53"/>
      <c r="P358" s="51" t="n">
        <f aca="false">IF(ISNUMBER(L358),1,0)</f>
        <v>0</v>
      </c>
      <c r="Q358" s="51" t="n">
        <f aca="false">IF(P358=1,YEAR(B358),0)</f>
        <v>0</v>
      </c>
      <c r="R358" s="51" t="n">
        <f aca="false">IF(P358=1,YEAR(B358)*100+MONTH(B358),0)</f>
        <v>0</v>
      </c>
    </row>
    <row r="359" customFormat="false" ht="15" hidden="false" customHeight="false" outlineLevel="0" collapsed="false">
      <c r="B359" s="52"/>
      <c r="C359" s="53"/>
      <c r="D359" s="53"/>
      <c r="E359" s="53"/>
      <c r="F359" s="59"/>
      <c r="G359" s="59"/>
      <c r="H359" s="59"/>
      <c r="I359" s="57"/>
      <c r="J359" s="60" t="str">
        <f aca="false">IF(AND(ISNUMBER(F359),ISNUMBER(G359)),MAX(0,G359-F359),IF(ISNUMBER(H359),H359*IF(I359="Yes / Sí",2,1),""))</f>
        <v/>
      </c>
      <c r="K359" s="61" t="str">
        <f aca="false">IF(OR(J359="",NOT(ISNUMBER(B359))),"",IF(COUNTIF(Settings!$B$8:$B$17,"&lt;="&amp;B359)=0,Settings!$C$8,INDEX(Settings!$C$8:$C$17,COUNTIF(Settings!$B$8:$B$17,"&lt;="&amp;B359))))</f>
        <v/>
      </c>
      <c r="L359" s="56" t="str">
        <f aca="false">IF(K359="","",ROUND(J359*K359,2))</f>
        <v/>
      </c>
      <c r="M359" s="58" t="str">
        <f aca="false">IF(AND(B359="",F359="",G359="",H359=""),"",IF(NOT(ISNUMBER(B359)),"⚠ ADD DATE / AGREGA FECHA",IF(J359="","⚠ ADD MILES / AGREGA MILLAS",IF(AND(ISNUMBER(F359),ISNUMBER(G359)),IF(G359&lt;F359,"⚠ CHECK ODOMETER / REVISA ODÓMETRO","✔ OK"),"✔ OK"))))</f>
        <v/>
      </c>
      <c r="N359" s="53"/>
      <c r="P359" s="51" t="n">
        <f aca="false">IF(ISNUMBER(L359),1,0)</f>
        <v>0</v>
      </c>
      <c r="Q359" s="51" t="n">
        <f aca="false">IF(P359=1,YEAR(B359),0)</f>
        <v>0</v>
      </c>
      <c r="R359" s="51" t="n">
        <f aca="false">IF(P359=1,YEAR(B359)*100+MONTH(B359),0)</f>
        <v>0</v>
      </c>
    </row>
    <row r="360" customFormat="false" ht="15" hidden="false" customHeight="false" outlineLevel="0" collapsed="false">
      <c r="B360" s="52"/>
      <c r="C360" s="53"/>
      <c r="D360" s="53"/>
      <c r="E360" s="53"/>
      <c r="F360" s="59"/>
      <c r="G360" s="59"/>
      <c r="H360" s="59"/>
      <c r="I360" s="57"/>
      <c r="J360" s="60" t="str">
        <f aca="false">IF(AND(ISNUMBER(F360),ISNUMBER(G360)),MAX(0,G360-F360),IF(ISNUMBER(H360),H360*IF(I360="Yes / Sí",2,1),""))</f>
        <v/>
      </c>
      <c r="K360" s="61" t="str">
        <f aca="false">IF(OR(J360="",NOT(ISNUMBER(B360))),"",IF(COUNTIF(Settings!$B$8:$B$17,"&lt;="&amp;B360)=0,Settings!$C$8,INDEX(Settings!$C$8:$C$17,COUNTIF(Settings!$B$8:$B$17,"&lt;="&amp;B360))))</f>
        <v/>
      </c>
      <c r="L360" s="56" t="str">
        <f aca="false">IF(K360="","",ROUND(J360*K360,2))</f>
        <v/>
      </c>
      <c r="M360" s="58" t="str">
        <f aca="false">IF(AND(B360="",F360="",G360="",H360=""),"",IF(NOT(ISNUMBER(B360)),"⚠ ADD DATE / AGREGA FECHA",IF(J360="","⚠ ADD MILES / AGREGA MILLAS",IF(AND(ISNUMBER(F360),ISNUMBER(G360)),IF(G360&lt;F360,"⚠ CHECK ODOMETER / REVISA ODÓMETRO","✔ OK"),"✔ OK"))))</f>
        <v/>
      </c>
      <c r="N360" s="53"/>
      <c r="P360" s="51" t="n">
        <f aca="false">IF(ISNUMBER(L360),1,0)</f>
        <v>0</v>
      </c>
      <c r="Q360" s="51" t="n">
        <f aca="false">IF(P360=1,YEAR(B360),0)</f>
        <v>0</v>
      </c>
      <c r="R360" s="51" t="n">
        <f aca="false">IF(P360=1,YEAR(B360)*100+MONTH(B360),0)</f>
        <v>0</v>
      </c>
    </row>
    <row r="361" customFormat="false" ht="15" hidden="false" customHeight="false" outlineLevel="0" collapsed="false">
      <c r="B361" s="52"/>
      <c r="C361" s="53"/>
      <c r="D361" s="53"/>
      <c r="E361" s="53"/>
      <c r="F361" s="59"/>
      <c r="G361" s="59"/>
      <c r="H361" s="59"/>
      <c r="I361" s="57"/>
      <c r="J361" s="60" t="str">
        <f aca="false">IF(AND(ISNUMBER(F361),ISNUMBER(G361)),MAX(0,G361-F361),IF(ISNUMBER(H361),H361*IF(I361="Yes / Sí",2,1),""))</f>
        <v/>
      </c>
      <c r="K361" s="61" t="str">
        <f aca="false">IF(OR(J361="",NOT(ISNUMBER(B361))),"",IF(COUNTIF(Settings!$B$8:$B$17,"&lt;="&amp;B361)=0,Settings!$C$8,INDEX(Settings!$C$8:$C$17,COUNTIF(Settings!$B$8:$B$17,"&lt;="&amp;B361))))</f>
        <v/>
      </c>
      <c r="L361" s="56" t="str">
        <f aca="false">IF(K361="","",ROUND(J361*K361,2))</f>
        <v/>
      </c>
      <c r="M361" s="58" t="str">
        <f aca="false">IF(AND(B361="",F361="",G361="",H361=""),"",IF(NOT(ISNUMBER(B361)),"⚠ ADD DATE / AGREGA FECHA",IF(J361="","⚠ ADD MILES / AGREGA MILLAS",IF(AND(ISNUMBER(F361),ISNUMBER(G361)),IF(G361&lt;F361,"⚠ CHECK ODOMETER / REVISA ODÓMETRO","✔ OK"),"✔ OK"))))</f>
        <v/>
      </c>
      <c r="N361" s="53"/>
      <c r="P361" s="51" t="n">
        <f aca="false">IF(ISNUMBER(L361),1,0)</f>
        <v>0</v>
      </c>
      <c r="Q361" s="51" t="n">
        <f aca="false">IF(P361=1,YEAR(B361),0)</f>
        <v>0</v>
      </c>
      <c r="R361" s="51" t="n">
        <f aca="false">IF(P361=1,YEAR(B361)*100+MONTH(B361),0)</f>
        <v>0</v>
      </c>
    </row>
    <row r="362" customFormat="false" ht="15" hidden="false" customHeight="false" outlineLevel="0" collapsed="false">
      <c r="B362" s="52"/>
      <c r="C362" s="53"/>
      <c r="D362" s="53"/>
      <c r="E362" s="53"/>
      <c r="F362" s="59"/>
      <c r="G362" s="59"/>
      <c r="H362" s="59"/>
      <c r="I362" s="57"/>
      <c r="J362" s="60" t="str">
        <f aca="false">IF(AND(ISNUMBER(F362),ISNUMBER(G362)),MAX(0,G362-F362),IF(ISNUMBER(H362),H362*IF(I362="Yes / Sí",2,1),""))</f>
        <v/>
      </c>
      <c r="K362" s="61" t="str">
        <f aca="false">IF(OR(J362="",NOT(ISNUMBER(B362))),"",IF(COUNTIF(Settings!$B$8:$B$17,"&lt;="&amp;B362)=0,Settings!$C$8,INDEX(Settings!$C$8:$C$17,COUNTIF(Settings!$B$8:$B$17,"&lt;="&amp;B362))))</f>
        <v/>
      </c>
      <c r="L362" s="56" t="str">
        <f aca="false">IF(K362="","",ROUND(J362*K362,2))</f>
        <v/>
      </c>
      <c r="M362" s="58" t="str">
        <f aca="false">IF(AND(B362="",F362="",G362="",H362=""),"",IF(NOT(ISNUMBER(B362)),"⚠ ADD DATE / AGREGA FECHA",IF(J362="","⚠ ADD MILES / AGREGA MILLAS",IF(AND(ISNUMBER(F362),ISNUMBER(G362)),IF(G362&lt;F362,"⚠ CHECK ODOMETER / REVISA ODÓMETRO","✔ OK"),"✔ OK"))))</f>
        <v/>
      </c>
      <c r="N362" s="53"/>
      <c r="P362" s="51" t="n">
        <f aca="false">IF(ISNUMBER(L362),1,0)</f>
        <v>0</v>
      </c>
      <c r="Q362" s="51" t="n">
        <f aca="false">IF(P362=1,YEAR(B362),0)</f>
        <v>0</v>
      </c>
      <c r="R362" s="51" t="n">
        <f aca="false">IF(P362=1,YEAR(B362)*100+MONTH(B362),0)</f>
        <v>0</v>
      </c>
    </row>
    <row r="363" customFormat="false" ht="15" hidden="false" customHeight="false" outlineLevel="0" collapsed="false">
      <c r="B363" s="52"/>
      <c r="C363" s="53"/>
      <c r="D363" s="53"/>
      <c r="E363" s="53"/>
      <c r="F363" s="59"/>
      <c r="G363" s="59"/>
      <c r="H363" s="59"/>
      <c r="I363" s="57"/>
      <c r="J363" s="60" t="str">
        <f aca="false">IF(AND(ISNUMBER(F363),ISNUMBER(G363)),MAX(0,G363-F363),IF(ISNUMBER(H363),H363*IF(I363="Yes / Sí",2,1),""))</f>
        <v/>
      </c>
      <c r="K363" s="61" t="str">
        <f aca="false">IF(OR(J363="",NOT(ISNUMBER(B363))),"",IF(COUNTIF(Settings!$B$8:$B$17,"&lt;="&amp;B363)=0,Settings!$C$8,INDEX(Settings!$C$8:$C$17,COUNTIF(Settings!$B$8:$B$17,"&lt;="&amp;B363))))</f>
        <v/>
      </c>
      <c r="L363" s="56" t="str">
        <f aca="false">IF(K363="","",ROUND(J363*K363,2))</f>
        <v/>
      </c>
      <c r="M363" s="58" t="str">
        <f aca="false">IF(AND(B363="",F363="",G363="",H363=""),"",IF(NOT(ISNUMBER(B363)),"⚠ ADD DATE / AGREGA FECHA",IF(J363="","⚠ ADD MILES / AGREGA MILLAS",IF(AND(ISNUMBER(F363),ISNUMBER(G363)),IF(G363&lt;F363,"⚠ CHECK ODOMETER / REVISA ODÓMETRO","✔ OK"),"✔ OK"))))</f>
        <v/>
      </c>
      <c r="N363" s="53"/>
      <c r="P363" s="51" t="n">
        <f aca="false">IF(ISNUMBER(L363),1,0)</f>
        <v>0</v>
      </c>
      <c r="Q363" s="51" t="n">
        <f aca="false">IF(P363=1,YEAR(B363),0)</f>
        <v>0</v>
      </c>
      <c r="R363" s="51" t="n">
        <f aca="false">IF(P363=1,YEAR(B363)*100+MONTH(B363),0)</f>
        <v>0</v>
      </c>
    </row>
    <row r="364" customFormat="false" ht="15" hidden="false" customHeight="false" outlineLevel="0" collapsed="false">
      <c r="B364" s="52"/>
      <c r="C364" s="53"/>
      <c r="D364" s="53"/>
      <c r="E364" s="53"/>
      <c r="F364" s="59"/>
      <c r="G364" s="59"/>
      <c r="H364" s="59"/>
      <c r="I364" s="57"/>
      <c r="J364" s="60" t="str">
        <f aca="false">IF(AND(ISNUMBER(F364),ISNUMBER(G364)),MAX(0,G364-F364),IF(ISNUMBER(H364),H364*IF(I364="Yes / Sí",2,1),""))</f>
        <v/>
      </c>
      <c r="K364" s="61" t="str">
        <f aca="false">IF(OR(J364="",NOT(ISNUMBER(B364))),"",IF(COUNTIF(Settings!$B$8:$B$17,"&lt;="&amp;B364)=0,Settings!$C$8,INDEX(Settings!$C$8:$C$17,COUNTIF(Settings!$B$8:$B$17,"&lt;="&amp;B364))))</f>
        <v/>
      </c>
      <c r="L364" s="56" t="str">
        <f aca="false">IF(K364="","",ROUND(J364*K364,2))</f>
        <v/>
      </c>
      <c r="M364" s="58" t="str">
        <f aca="false">IF(AND(B364="",F364="",G364="",H364=""),"",IF(NOT(ISNUMBER(B364)),"⚠ ADD DATE / AGREGA FECHA",IF(J364="","⚠ ADD MILES / AGREGA MILLAS",IF(AND(ISNUMBER(F364),ISNUMBER(G364)),IF(G364&lt;F364,"⚠ CHECK ODOMETER / REVISA ODÓMETRO","✔ OK"),"✔ OK"))))</f>
        <v/>
      </c>
      <c r="N364" s="53"/>
      <c r="P364" s="51" t="n">
        <f aca="false">IF(ISNUMBER(L364),1,0)</f>
        <v>0</v>
      </c>
      <c r="Q364" s="51" t="n">
        <f aca="false">IF(P364=1,YEAR(B364),0)</f>
        <v>0</v>
      </c>
      <c r="R364" s="51" t="n">
        <f aca="false">IF(P364=1,YEAR(B364)*100+MONTH(B364),0)</f>
        <v>0</v>
      </c>
    </row>
    <row r="365" customFormat="false" ht="15" hidden="false" customHeight="false" outlineLevel="0" collapsed="false">
      <c r="B365" s="52"/>
      <c r="C365" s="53"/>
      <c r="D365" s="53"/>
      <c r="E365" s="53"/>
      <c r="F365" s="59"/>
      <c r="G365" s="59"/>
      <c r="H365" s="59"/>
      <c r="I365" s="57"/>
      <c r="J365" s="60" t="str">
        <f aca="false">IF(AND(ISNUMBER(F365),ISNUMBER(G365)),MAX(0,G365-F365),IF(ISNUMBER(H365),H365*IF(I365="Yes / Sí",2,1),""))</f>
        <v/>
      </c>
      <c r="K365" s="61" t="str">
        <f aca="false">IF(OR(J365="",NOT(ISNUMBER(B365))),"",IF(COUNTIF(Settings!$B$8:$B$17,"&lt;="&amp;B365)=0,Settings!$C$8,INDEX(Settings!$C$8:$C$17,COUNTIF(Settings!$B$8:$B$17,"&lt;="&amp;B365))))</f>
        <v/>
      </c>
      <c r="L365" s="56" t="str">
        <f aca="false">IF(K365="","",ROUND(J365*K365,2))</f>
        <v/>
      </c>
      <c r="M365" s="58" t="str">
        <f aca="false">IF(AND(B365="",F365="",G365="",H365=""),"",IF(NOT(ISNUMBER(B365)),"⚠ ADD DATE / AGREGA FECHA",IF(J365="","⚠ ADD MILES / AGREGA MILLAS",IF(AND(ISNUMBER(F365),ISNUMBER(G365)),IF(G365&lt;F365,"⚠ CHECK ODOMETER / REVISA ODÓMETRO","✔ OK"),"✔ OK"))))</f>
        <v/>
      </c>
      <c r="N365" s="53"/>
      <c r="P365" s="51" t="n">
        <f aca="false">IF(ISNUMBER(L365),1,0)</f>
        <v>0</v>
      </c>
      <c r="Q365" s="51" t="n">
        <f aca="false">IF(P365=1,YEAR(B365),0)</f>
        <v>0</v>
      </c>
      <c r="R365" s="51" t="n">
        <f aca="false">IF(P365=1,YEAR(B365)*100+MONTH(B365),0)</f>
        <v>0</v>
      </c>
    </row>
    <row r="366" customFormat="false" ht="15" hidden="false" customHeight="false" outlineLevel="0" collapsed="false">
      <c r="B366" s="52"/>
      <c r="C366" s="53"/>
      <c r="D366" s="53"/>
      <c r="E366" s="53"/>
      <c r="F366" s="59"/>
      <c r="G366" s="59"/>
      <c r="H366" s="59"/>
      <c r="I366" s="57"/>
      <c r="J366" s="60" t="str">
        <f aca="false">IF(AND(ISNUMBER(F366),ISNUMBER(G366)),MAX(0,G366-F366),IF(ISNUMBER(H366),H366*IF(I366="Yes / Sí",2,1),""))</f>
        <v/>
      </c>
      <c r="K366" s="61" t="str">
        <f aca="false">IF(OR(J366="",NOT(ISNUMBER(B366))),"",IF(COUNTIF(Settings!$B$8:$B$17,"&lt;="&amp;B366)=0,Settings!$C$8,INDEX(Settings!$C$8:$C$17,COUNTIF(Settings!$B$8:$B$17,"&lt;="&amp;B366))))</f>
        <v/>
      </c>
      <c r="L366" s="56" t="str">
        <f aca="false">IF(K366="","",ROUND(J366*K366,2))</f>
        <v/>
      </c>
      <c r="M366" s="58" t="str">
        <f aca="false">IF(AND(B366="",F366="",G366="",H366=""),"",IF(NOT(ISNUMBER(B366)),"⚠ ADD DATE / AGREGA FECHA",IF(J366="","⚠ ADD MILES / AGREGA MILLAS",IF(AND(ISNUMBER(F366),ISNUMBER(G366)),IF(G366&lt;F366,"⚠ CHECK ODOMETER / REVISA ODÓMETRO","✔ OK"),"✔ OK"))))</f>
        <v/>
      </c>
      <c r="N366" s="53"/>
      <c r="P366" s="51" t="n">
        <f aca="false">IF(ISNUMBER(L366),1,0)</f>
        <v>0</v>
      </c>
      <c r="Q366" s="51" t="n">
        <f aca="false">IF(P366=1,YEAR(B366),0)</f>
        <v>0</v>
      </c>
      <c r="R366" s="51" t="n">
        <f aca="false">IF(P366=1,YEAR(B366)*100+MONTH(B366),0)</f>
        <v>0</v>
      </c>
    </row>
    <row r="367" customFormat="false" ht="15" hidden="false" customHeight="false" outlineLevel="0" collapsed="false">
      <c r="B367" s="52"/>
      <c r="C367" s="53"/>
      <c r="D367" s="53"/>
      <c r="E367" s="53"/>
      <c r="F367" s="59"/>
      <c r="G367" s="59"/>
      <c r="H367" s="59"/>
      <c r="I367" s="57"/>
      <c r="J367" s="60" t="str">
        <f aca="false">IF(AND(ISNUMBER(F367),ISNUMBER(G367)),MAX(0,G367-F367),IF(ISNUMBER(H367),H367*IF(I367="Yes / Sí",2,1),""))</f>
        <v/>
      </c>
      <c r="K367" s="61" t="str">
        <f aca="false">IF(OR(J367="",NOT(ISNUMBER(B367))),"",IF(COUNTIF(Settings!$B$8:$B$17,"&lt;="&amp;B367)=0,Settings!$C$8,INDEX(Settings!$C$8:$C$17,COUNTIF(Settings!$B$8:$B$17,"&lt;="&amp;B367))))</f>
        <v/>
      </c>
      <c r="L367" s="56" t="str">
        <f aca="false">IF(K367="","",ROUND(J367*K367,2))</f>
        <v/>
      </c>
      <c r="M367" s="58" t="str">
        <f aca="false">IF(AND(B367="",F367="",G367="",H367=""),"",IF(NOT(ISNUMBER(B367)),"⚠ ADD DATE / AGREGA FECHA",IF(J367="","⚠ ADD MILES / AGREGA MILLAS",IF(AND(ISNUMBER(F367),ISNUMBER(G367)),IF(G367&lt;F367,"⚠ CHECK ODOMETER / REVISA ODÓMETRO","✔ OK"),"✔ OK"))))</f>
        <v/>
      </c>
      <c r="N367" s="53"/>
      <c r="P367" s="51" t="n">
        <f aca="false">IF(ISNUMBER(L367),1,0)</f>
        <v>0</v>
      </c>
      <c r="Q367" s="51" t="n">
        <f aca="false">IF(P367=1,YEAR(B367),0)</f>
        <v>0</v>
      </c>
      <c r="R367" s="51" t="n">
        <f aca="false">IF(P367=1,YEAR(B367)*100+MONTH(B367),0)</f>
        <v>0</v>
      </c>
    </row>
    <row r="368" customFormat="false" ht="15" hidden="false" customHeight="false" outlineLevel="0" collapsed="false">
      <c r="B368" s="52"/>
      <c r="C368" s="53"/>
      <c r="D368" s="53"/>
      <c r="E368" s="53"/>
      <c r="F368" s="59"/>
      <c r="G368" s="59"/>
      <c r="H368" s="59"/>
      <c r="I368" s="57"/>
      <c r="J368" s="60" t="str">
        <f aca="false">IF(AND(ISNUMBER(F368),ISNUMBER(G368)),MAX(0,G368-F368),IF(ISNUMBER(H368),H368*IF(I368="Yes / Sí",2,1),""))</f>
        <v/>
      </c>
      <c r="K368" s="61" t="str">
        <f aca="false">IF(OR(J368="",NOT(ISNUMBER(B368))),"",IF(COUNTIF(Settings!$B$8:$B$17,"&lt;="&amp;B368)=0,Settings!$C$8,INDEX(Settings!$C$8:$C$17,COUNTIF(Settings!$B$8:$B$17,"&lt;="&amp;B368))))</f>
        <v/>
      </c>
      <c r="L368" s="56" t="str">
        <f aca="false">IF(K368="","",ROUND(J368*K368,2))</f>
        <v/>
      </c>
      <c r="M368" s="58" t="str">
        <f aca="false">IF(AND(B368="",F368="",G368="",H368=""),"",IF(NOT(ISNUMBER(B368)),"⚠ ADD DATE / AGREGA FECHA",IF(J368="","⚠ ADD MILES / AGREGA MILLAS",IF(AND(ISNUMBER(F368),ISNUMBER(G368)),IF(G368&lt;F368,"⚠ CHECK ODOMETER / REVISA ODÓMETRO","✔ OK"),"✔ OK"))))</f>
        <v/>
      </c>
      <c r="N368" s="53"/>
      <c r="P368" s="51" t="n">
        <f aca="false">IF(ISNUMBER(L368),1,0)</f>
        <v>0</v>
      </c>
      <c r="Q368" s="51" t="n">
        <f aca="false">IF(P368=1,YEAR(B368),0)</f>
        <v>0</v>
      </c>
      <c r="R368" s="51" t="n">
        <f aca="false">IF(P368=1,YEAR(B368)*100+MONTH(B368),0)</f>
        <v>0</v>
      </c>
    </row>
    <row r="369" customFormat="false" ht="15" hidden="false" customHeight="false" outlineLevel="0" collapsed="false">
      <c r="B369" s="52"/>
      <c r="C369" s="53"/>
      <c r="D369" s="53"/>
      <c r="E369" s="53"/>
      <c r="F369" s="59"/>
      <c r="G369" s="59"/>
      <c r="H369" s="59"/>
      <c r="I369" s="57"/>
      <c r="J369" s="60" t="str">
        <f aca="false">IF(AND(ISNUMBER(F369),ISNUMBER(G369)),MAX(0,G369-F369),IF(ISNUMBER(H369),H369*IF(I369="Yes / Sí",2,1),""))</f>
        <v/>
      </c>
      <c r="K369" s="61" t="str">
        <f aca="false">IF(OR(J369="",NOT(ISNUMBER(B369))),"",IF(COUNTIF(Settings!$B$8:$B$17,"&lt;="&amp;B369)=0,Settings!$C$8,INDEX(Settings!$C$8:$C$17,COUNTIF(Settings!$B$8:$B$17,"&lt;="&amp;B369))))</f>
        <v/>
      </c>
      <c r="L369" s="56" t="str">
        <f aca="false">IF(K369="","",ROUND(J369*K369,2))</f>
        <v/>
      </c>
      <c r="M369" s="58" t="str">
        <f aca="false">IF(AND(B369="",F369="",G369="",H369=""),"",IF(NOT(ISNUMBER(B369)),"⚠ ADD DATE / AGREGA FECHA",IF(J369="","⚠ ADD MILES / AGREGA MILLAS",IF(AND(ISNUMBER(F369),ISNUMBER(G369)),IF(G369&lt;F369,"⚠ CHECK ODOMETER / REVISA ODÓMETRO","✔ OK"),"✔ OK"))))</f>
        <v/>
      </c>
      <c r="N369" s="53"/>
      <c r="P369" s="51" t="n">
        <f aca="false">IF(ISNUMBER(L369),1,0)</f>
        <v>0</v>
      </c>
      <c r="Q369" s="51" t="n">
        <f aca="false">IF(P369=1,YEAR(B369),0)</f>
        <v>0</v>
      </c>
      <c r="R369" s="51" t="n">
        <f aca="false">IF(P369=1,YEAR(B369)*100+MONTH(B369),0)</f>
        <v>0</v>
      </c>
    </row>
    <row r="370" customFormat="false" ht="15" hidden="false" customHeight="false" outlineLevel="0" collapsed="false">
      <c r="B370" s="52"/>
      <c r="C370" s="53"/>
      <c r="D370" s="53"/>
      <c r="E370" s="53"/>
      <c r="F370" s="59"/>
      <c r="G370" s="59"/>
      <c r="H370" s="59"/>
      <c r="I370" s="57"/>
      <c r="J370" s="60" t="str">
        <f aca="false">IF(AND(ISNUMBER(F370),ISNUMBER(G370)),MAX(0,G370-F370),IF(ISNUMBER(H370),H370*IF(I370="Yes / Sí",2,1),""))</f>
        <v/>
      </c>
      <c r="K370" s="61" t="str">
        <f aca="false">IF(OR(J370="",NOT(ISNUMBER(B370))),"",IF(COUNTIF(Settings!$B$8:$B$17,"&lt;="&amp;B370)=0,Settings!$C$8,INDEX(Settings!$C$8:$C$17,COUNTIF(Settings!$B$8:$B$17,"&lt;="&amp;B370))))</f>
        <v/>
      </c>
      <c r="L370" s="56" t="str">
        <f aca="false">IF(K370="","",ROUND(J370*K370,2))</f>
        <v/>
      </c>
      <c r="M370" s="58" t="str">
        <f aca="false">IF(AND(B370="",F370="",G370="",H370=""),"",IF(NOT(ISNUMBER(B370)),"⚠ ADD DATE / AGREGA FECHA",IF(J370="","⚠ ADD MILES / AGREGA MILLAS",IF(AND(ISNUMBER(F370),ISNUMBER(G370)),IF(G370&lt;F370,"⚠ CHECK ODOMETER / REVISA ODÓMETRO","✔ OK"),"✔ OK"))))</f>
        <v/>
      </c>
      <c r="N370" s="53"/>
      <c r="P370" s="51" t="n">
        <f aca="false">IF(ISNUMBER(L370),1,0)</f>
        <v>0</v>
      </c>
      <c r="Q370" s="51" t="n">
        <f aca="false">IF(P370=1,YEAR(B370),0)</f>
        <v>0</v>
      </c>
      <c r="R370" s="51" t="n">
        <f aca="false">IF(P370=1,YEAR(B370)*100+MONTH(B370),0)</f>
        <v>0</v>
      </c>
    </row>
    <row r="371" customFormat="false" ht="15" hidden="false" customHeight="false" outlineLevel="0" collapsed="false">
      <c r="B371" s="52"/>
      <c r="C371" s="53"/>
      <c r="D371" s="53"/>
      <c r="E371" s="53"/>
      <c r="F371" s="59"/>
      <c r="G371" s="59"/>
      <c r="H371" s="59"/>
      <c r="I371" s="57"/>
      <c r="J371" s="60" t="str">
        <f aca="false">IF(AND(ISNUMBER(F371),ISNUMBER(G371)),MAX(0,G371-F371),IF(ISNUMBER(H371),H371*IF(I371="Yes / Sí",2,1),""))</f>
        <v/>
      </c>
      <c r="K371" s="61" t="str">
        <f aca="false">IF(OR(J371="",NOT(ISNUMBER(B371))),"",IF(COUNTIF(Settings!$B$8:$B$17,"&lt;="&amp;B371)=0,Settings!$C$8,INDEX(Settings!$C$8:$C$17,COUNTIF(Settings!$B$8:$B$17,"&lt;="&amp;B371))))</f>
        <v/>
      </c>
      <c r="L371" s="56" t="str">
        <f aca="false">IF(K371="","",ROUND(J371*K371,2))</f>
        <v/>
      </c>
      <c r="M371" s="58" t="str">
        <f aca="false">IF(AND(B371="",F371="",G371="",H371=""),"",IF(NOT(ISNUMBER(B371)),"⚠ ADD DATE / AGREGA FECHA",IF(J371="","⚠ ADD MILES / AGREGA MILLAS",IF(AND(ISNUMBER(F371),ISNUMBER(G371)),IF(G371&lt;F371,"⚠ CHECK ODOMETER / REVISA ODÓMETRO","✔ OK"),"✔ OK"))))</f>
        <v/>
      </c>
      <c r="N371" s="53"/>
      <c r="P371" s="51" t="n">
        <f aca="false">IF(ISNUMBER(L371),1,0)</f>
        <v>0</v>
      </c>
      <c r="Q371" s="51" t="n">
        <f aca="false">IF(P371=1,YEAR(B371),0)</f>
        <v>0</v>
      </c>
      <c r="R371" s="51" t="n">
        <f aca="false">IF(P371=1,YEAR(B371)*100+MONTH(B371),0)</f>
        <v>0</v>
      </c>
    </row>
    <row r="372" customFormat="false" ht="15" hidden="false" customHeight="false" outlineLevel="0" collapsed="false">
      <c r="B372" s="52"/>
      <c r="C372" s="53"/>
      <c r="D372" s="53"/>
      <c r="E372" s="53"/>
      <c r="F372" s="59"/>
      <c r="G372" s="59"/>
      <c r="H372" s="59"/>
      <c r="I372" s="57"/>
      <c r="J372" s="60" t="str">
        <f aca="false">IF(AND(ISNUMBER(F372),ISNUMBER(G372)),MAX(0,G372-F372),IF(ISNUMBER(H372),H372*IF(I372="Yes / Sí",2,1),""))</f>
        <v/>
      </c>
      <c r="K372" s="61" t="str">
        <f aca="false">IF(OR(J372="",NOT(ISNUMBER(B372))),"",IF(COUNTIF(Settings!$B$8:$B$17,"&lt;="&amp;B372)=0,Settings!$C$8,INDEX(Settings!$C$8:$C$17,COUNTIF(Settings!$B$8:$B$17,"&lt;="&amp;B372))))</f>
        <v/>
      </c>
      <c r="L372" s="56" t="str">
        <f aca="false">IF(K372="","",ROUND(J372*K372,2))</f>
        <v/>
      </c>
      <c r="M372" s="58" t="str">
        <f aca="false">IF(AND(B372="",F372="",G372="",H372=""),"",IF(NOT(ISNUMBER(B372)),"⚠ ADD DATE / AGREGA FECHA",IF(J372="","⚠ ADD MILES / AGREGA MILLAS",IF(AND(ISNUMBER(F372),ISNUMBER(G372)),IF(G372&lt;F372,"⚠ CHECK ODOMETER / REVISA ODÓMETRO","✔ OK"),"✔ OK"))))</f>
        <v/>
      </c>
      <c r="N372" s="53"/>
      <c r="P372" s="51" t="n">
        <f aca="false">IF(ISNUMBER(L372),1,0)</f>
        <v>0</v>
      </c>
      <c r="Q372" s="51" t="n">
        <f aca="false">IF(P372=1,YEAR(B372),0)</f>
        <v>0</v>
      </c>
      <c r="R372" s="51" t="n">
        <f aca="false">IF(P372=1,YEAR(B372)*100+MONTH(B372),0)</f>
        <v>0</v>
      </c>
    </row>
    <row r="373" customFormat="false" ht="15" hidden="false" customHeight="false" outlineLevel="0" collapsed="false">
      <c r="B373" s="52"/>
      <c r="C373" s="53"/>
      <c r="D373" s="53"/>
      <c r="E373" s="53"/>
      <c r="F373" s="59"/>
      <c r="G373" s="59"/>
      <c r="H373" s="59"/>
      <c r="I373" s="57"/>
      <c r="J373" s="60" t="str">
        <f aca="false">IF(AND(ISNUMBER(F373),ISNUMBER(G373)),MAX(0,G373-F373),IF(ISNUMBER(H373),H373*IF(I373="Yes / Sí",2,1),""))</f>
        <v/>
      </c>
      <c r="K373" s="61" t="str">
        <f aca="false">IF(OR(J373="",NOT(ISNUMBER(B373))),"",IF(COUNTIF(Settings!$B$8:$B$17,"&lt;="&amp;B373)=0,Settings!$C$8,INDEX(Settings!$C$8:$C$17,COUNTIF(Settings!$B$8:$B$17,"&lt;="&amp;B373))))</f>
        <v/>
      </c>
      <c r="L373" s="56" t="str">
        <f aca="false">IF(K373="","",ROUND(J373*K373,2))</f>
        <v/>
      </c>
      <c r="M373" s="58" t="str">
        <f aca="false">IF(AND(B373="",F373="",G373="",H373=""),"",IF(NOT(ISNUMBER(B373)),"⚠ ADD DATE / AGREGA FECHA",IF(J373="","⚠ ADD MILES / AGREGA MILLAS",IF(AND(ISNUMBER(F373),ISNUMBER(G373)),IF(G373&lt;F373,"⚠ CHECK ODOMETER / REVISA ODÓMETRO","✔ OK"),"✔ OK"))))</f>
        <v/>
      </c>
      <c r="N373" s="53"/>
      <c r="P373" s="51" t="n">
        <f aca="false">IF(ISNUMBER(L373),1,0)</f>
        <v>0</v>
      </c>
      <c r="Q373" s="51" t="n">
        <f aca="false">IF(P373=1,YEAR(B373),0)</f>
        <v>0</v>
      </c>
      <c r="R373" s="51" t="n">
        <f aca="false">IF(P373=1,YEAR(B373)*100+MONTH(B373),0)</f>
        <v>0</v>
      </c>
    </row>
    <row r="374" customFormat="false" ht="15" hidden="false" customHeight="false" outlineLevel="0" collapsed="false">
      <c r="B374" s="52"/>
      <c r="C374" s="53"/>
      <c r="D374" s="53"/>
      <c r="E374" s="53"/>
      <c r="F374" s="59"/>
      <c r="G374" s="59"/>
      <c r="H374" s="59"/>
      <c r="I374" s="57"/>
      <c r="J374" s="60" t="str">
        <f aca="false">IF(AND(ISNUMBER(F374),ISNUMBER(G374)),MAX(0,G374-F374),IF(ISNUMBER(H374),H374*IF(I374="Yes / Sí",2,1),""))</f>
        <v/>
      </c>
      <c r="K374" s="61" t="str">
        <f aca="false">IF(OR(J374="",NOT(ISNUMBER(B374))),"",IF(COUNTIF(Settings!$B$8:$B$17,"&lt;="&amp;B374)=0,Settings!$C$8,INDEX(Settings!$C$8:$C$17,COUNTIF(Settings!$B$8:$B$17,"&lt;="&amp;B374))))</f>
        <v/>
      </c>
      <c r="L374" s="56" t="str">
        <f aca="false">IF(K374="","",ROUND(J374*K374,2))</f>
        <v/>
      </c>
      <c r="M374" s="58" t="str">
        <f aca="false">IF(AND(B374="",F374="",G374="",H374=""),"",IF(NOT(ISNUMBER(B374)),"⚠ ADD DATE / AGREGA FECHA",IF(J374="","⚠ ADD MILES / AGREGA MILLAS",IF(AND(ISNUMBER(F374),ISNUMBER(G374)),IF(G374&lt;F374,"⚠ CHECK ODOMETER / REVISA ODÓMETRO","✔ OK"),"✔ OK"))))</f>
        <v/>
      </c>
      <c r="N374" s="53"/>
      <c r="P374" s="51" t="n">
        <f aca="false">IF(ISNUMBER(L374),1,0)</f>
        <v>0</v>
      </c>
      <c r="Q374" s="51" t="n">
        <f aca="false">IF(P374=1,YEAR(B374),0)</f>
        <v>0</v>
      </c>
      <c r="R374" s="51" t="n">
        <f aca="false">IF(P374=1,YEAR(B374)*100+MONTH(B374),0)</f>
        <v>0</v>
      </c>
    </row>
    <row r="375" customFormat="false" ht="15" hidden="false" customHeight="false" outlineLevel="0" collapsed="false">
      <c r="B375" s="52"/>
      <c r="C375" s="53"/>
      <c r="D375" s="53"/>
      <c r="E375" s="53"/>
      <c r="F375" s="59"/>
      <c r="G375" s="59"/>
      <c r="H375" s="59"/>
      <c r="I375" s="57"/>
      <c r="J375" s="60" t="str">
        <f aca="false">IF(AND(ISNUMBER(F375),ISNUMBER(G375)),MAX(0,G375-F375),IF(ISNUMBER(H375),H375*IF(I375="Yes / Sí",2,1),""))</f>
        <v/>
      </c>
      <c r="K375" s="61" t="str">
        <f aca="false">IF(OR(J375="",NOT(ISNUMBER(B375))),"",IF(COUNTIF(Settings!$B$8:$B$17,"&lt;="&amp;B375)=0,Settings!$C$8,INDEX(Settings!$C$8:$C$17,COUNTIF(Settings!$B$8:$B$17,"&lt;="&amp;B375))))</f>
        <v/>
      </c>
      <c r="L375" s="56" t="str">
        <f aca="false">IF(K375="","",ROUND(J375*K375,2))</f>
        <v/>
      </c>
      <c r="M375" s="58" t="str">
        <f aca="false">IF(AND(B375="",F375="",G375="",H375=""),"",IF(NOT(ISNUMBER(B375)),"⚠ ADD DATE / AGREGA FECHA",IF(J375="","⚠ ADD MILES / AGREGA MILLAS",IF(AND(ISNUMBER(F375),ISNUMBER(G375)),IF(G375&lt;F375,"⚠ CHECK ODOMETER / REVISA ODÓMETRO","✔ OK"),"✔ OK"))))</f>
        <v/>
      </c>
      <c r="N375" s="53"/>
      <c r="P375" s="51" t="n">
        <f aca="false">IF(ISNUMBER(L375),1,0)</f>
        <v>0</v>
      </c>
      <c r="Q375" s="51" t="n">
        <f aca="false">IF(P375=1,YEAR(B375),0)</f>
        <v>0</v>
      </c>
      <c r="R375" s="51" t="n">
        <f aca="false">IF(P375=1,YEAR(B375)*100+MONTH(B375),0)</f>
        <v>0</v>
      </c>
    </row>
    <row r="376" customFormat="false" ht="15" hidden="false" customHeight="false" outlineLevel="0" collapsed="false">
      <c r="B376" s="52"/>
      <c r="C376" s="53"/>
      <c r="D376" s="53"/>
      <c r="E376" s="53"/>
      <c r="F376" s="59"/>
      <c r="G376" s="59"/>
      <c r="H376" s="59"/>
      <c r="I376" s="57"/>
      <c r="J376" s="60" t="str">
        <f aca="false">IF(AND(ISNUMBER(F376),ISNUMBER(G376)),MAX(0,G376-F376),IF(ISNUMBER(H376),H376*IF(I376="Yes / Sí",2,1),""))</f>
        <v/>
      </c>
      <c r="K376" s="61" t="str">
        <f aca="false">IF(OR(J376="",NOT(ISNUMBER(B376))),"",IF(COUNTIF(Settings!$B$8:$B$17,"&lt;="&amp;B376)=0,Settings!$C$8,INDEX(Settings!$C$8:$C$17,COUNTIF(Settings!$B$8:$B$17,"&lt;="&amp;B376))))</f>
        <v/>
      </c>
      <c r="L376" s="56" t="str">
        <f aca="false">IF(K376="","",ROUND(J376*K376,2))</f>
        <v/>
      </c>
      <c r="M376" s="58" t="str">
        <f aca="false">IF(AND(B376="",F376="",G376="",H376=""),"",IF(NOT(ISNUMBER(B376)),"⚠ ADD DATE / AGREGA FECHA",IF(J376="","⚠ ADD MILES / AGREGA MILLAS",IF(AND(ISNUMBER(F376),ISNUMBER(G376)),IF(G376&lt;F376,"⚠ CHECK ODOMETER / REVISA ODÓMETRO","✔ OK"),"✔ OK"))))</f>
        <v/>
      </c>
      <c r="N376" s="53"/>
      <c r="P376" s="51" t="n">
        <f aca="false">IF(ISNUMBER(L376),1,0)</f>
        <v>0</v>
      </c>
      <c r="Q376" s="51" t="n">
        <f aca="false">IF(P376=1,YEAR(B376),0)</f>
        <v>0</v>
      </c>
      <c r="R376" s="51" t="n">
        <f aca="false">IF(P376=1,YEAR(B376)*100+MONTH(B376),0)</f>
        <v>0</v>
      </c>
    </row>
    <row r="377" customFormat="false" ht="15" hidden="false" customHeight="false" outlineLevel="0" collapsed="false">
      <c r="B377" s="52"/>
      <c r="C377" s="53"/>
      <c r="D377" s="53"/>
      <c r="E377" s="53"/>
      <c r="F377" s="59"/>
      <c r="G377" s="59"/>
      <c r="H377" s="59"/>
      <c r="I377" s="57"/>
      <c r="J377" s="60" t="str">
        <f aca="false">IF(AND(ISNUMBER(F377),ISNUMBER(G377)),MAX(0,G377-F377),IF(ISNUMBER(H377),H377*IF(I377="Yes / Sí",2,1),""))</f>
        <v/>
      </c>
      <c r="K377" s="61" t="str">
        <f aca="false">IF(OR(J377="",NOT(ISNUMBER(B377))),"",IF(COUNTIF(Settings!$B$8:$B$17,"&lt;="&amp;B377)=0,Settings!$C$8,INDEX(Settings!$C$8:$C$17,COUNTIF(Settings!$B$8:$B$17,"&lt;="&amp;B377))))</f>
        <v/>
      </c>
      <c r="L377" s="56" t="str">
        <f aca="false">IF(K377="","",ROUND(J377*K377,2))</f>
        <v/>
      </c>
      <c r="M377" s="58" t="str">
        <f aca="false">IF(AND(B377="",F377="",G377="",H377=""),"",IF(NOT(ISNUMBER(B377)),"⚠ ADD DATE / AGREGA FECHA",IF(J377="","⚠ ADD MILES / AGREGA MILLAS",IF(AND(ISNUMBER(F377),ISNUMBER(G377)),IF(G377&lt;F377,"⚠ CHECK ODOMETER / REVISA ODÓMETRO","✔ OK"),"✔ OK"))))</f>
        <v/>
      </c>
      <c r="N377" s="53"/>
      <c r="P377" s="51" t="n">
        <f aca="false">IF(ISNUMBER(L377),1,0)</f>
        <v>0</v>
      </c>
      <c r="Q377" s="51" t="n">
        <f aca="false">IF(P377=1,YEAR(B377),0)</f>
        <v>0</v>
      </c>
      <c r="R377" s="51" t="n">
        <f aca="false">IF(P377=1,YEAR(B377)*100+MONTH(B377),0)</f>
        <v>0</v>
      </c>
    </row>
    <row r="378" customFormat="false" ht="15" hidden="false" customHeight="false" outlineLevel="0" collapsed="false">
      <c r="B378" s="52"/>
      <c r="C378" s="53"/>
      <c r="D378" s="53"/>
      <c r="E378" s="53"/>
      <c r="F378" s="59"/>
      <c r="G378" s="59"/>
      <c r="H378" s="59"/>
      <c r="I378" s="57"/>
      <c r="J378" s="60" t="str">
        <f aca="false">IF(AND(ISNUMBER(F378),ISNUMBER(G378)),MAX(0,G378-F378),IF(ISNUMBER(H378),H378*IF(I378="Yes / Sí",2,1),""))</f>
        <v/>
      </c>
      <c r="K378" s="61" t="str">
        <f aca="false">IF(OR(J378="",NOT(ISNUMBER(B378))),"",IF(COUNTIF(Settings!$B$8:$B$17,"&lt;="&amp;B378)=0,Settings!$C$8,INDEX(Settings!$C$8:$C$17,COUNTIF(Settings!$B$8:$B$17,"&lt;="&amp;B378))))</f>
        <v/>
      </c>
      <c r="L378" s="56" t="str">
        <f aca="false">IF(K378="","",ROUND(J378*K378,2))</f>
        <v/>
      </c>
      <c r="M378" s="58" t="str">
        <f aca="false">IF(AND(B378="",F378="",G378="",H378=""),"",IF(NOT(ISNUMBER(B378)),"⚠ ADD DATE / AGREGA FECHA",IF(J378="","⚠ ADD MILES / AGREGA MILLAS",IF(AND(ISNUMBER(F378),ISNUMBER(G378)),IF(G378&lt;F378,"⚠ CHECK ODOMETER / REVISA ODÓMETRO","✔ OK"),"✔ OK"))))</f>
        <v/>
      </c>
      <c r="N378" s="53"/>
      <c r="P378" s="51" t="n">
        <f aca="false">IF(ISNUMBER(L378),1,0)</f>
        <v>0</v>
      </c>
      <c r="Q378" s="51" t="n">
        <f aca="false">IF(P378=1,YEAR(B378),0)</f>
        <v>0</v>
      </c>
      <c r="R378" s="51" t="n">
        <f aca="false">IF(P378=1,YEAR(B378)*100+MONTH(B378),0)</f>
        <v>0</v>
      </c>
    </row>
    <row r="379" customFormat="false" ht="15" hidden="false" customHeight="false" outlineLevel="0" collapsed="false">
      <c r="B379" s="52"/>
      <c r="C379" s="53"/>
      <c r="D379" s="53"/>
      <c r="E379" s="53"/>
      <c r="F379" s="59"/>
      <c r="G379" s="59"/>
      <c r="H379" s="59"/>
      <c r="I379" s="57"/>
      <c r="J379" s="60" t="str">
        <f aca="false">IF(AND(ISNUMBER(F379),ISNUMBER(G379)),MAX(0,G379-F379),IF(ISNUMBER(H379),H379*IF(I379="Yes / Sí",2,1),""))</f>
        <v/>
      </c>
      <c r="K379" s="61" t="str">
        <f aca="false">IF(OR(J379="",NOT(ISNUMBER(B379))),"",IF(COUNTIF(Settings!$B$8:$B$17,"&lt;="&amp;B379)=0,Settings!$C$8,INDEX(Settings!$C$8:$C$17,COUNTIF(Settings!$B$8:$B$17,"&lt;="&amp;B379))))</f>
        <v/>
      </c>
      <c r="L379" s="56" t="str">
        <f aca="false">IF(K379="","",ROUND(J379*K379,2))</f>
        <v/>
      </c>
      <c r="M379" s="58" t="str">
        <f aca="false">IF(AND(B379="",F379="",G379="",H379=""),"",IF(NOT(ISNUMBER(B379)),"⚠ ADD DATE / AGREGA FECHA",IF(J379="","⚠ ADD MILES / AGREGA MILLAS",IF(AND(ISNUMBER(F379),ISNUMBER(G379)),IF(G379&lt;F379,"⚠ CHECK ODOMETER / REVISA ODÓMETRO","✔ OK"),"✔ OK"))))</f>
        <v/>
      </c>
      <c r="N379" s="53"/>
      <c r="P379" s="51" t="n">
        <f aca="false">IF(ISNUMBER(L379),1,0)</f>
        <v>0</v>
      </c>
      <c r="Q379" s="51" t="n">
        <f aca="false">IF(P379=1,YEAR(B379),0)</f>
        <v>0</v>
      </c>
      <c r="R379" s="51" t="n">
        <f aca="false">IF(P379=1,YEAR(B379)*100+MONTH(B379),0)</f>
        <v>0</v>
      </c>
    </row>
    <row r="380" customFormat="false" ht="15" hidden="false" customHeight="false" outlineLevel="0" collapsed="false">
      <c r="B380" s="52"/>
      <c r="C380" s="53"/>
      <c r="D380" s="53"/>
      <c r="E380" s="53"/>
      <c r="F380" s="59"/>
      <c r="G380" s="59"/>
      <c r="H380" s="59"/>
      <c r="I380" s="57"/>
      <c r="J380" s="60" t="str">
        <f aca="false">IF(AND(ISNUMBER(F380),ISNUMBER(G380)),MAX(0,G380-F380),IF(ISNUMBER(H380),H380*IF(I380="Yes / Sí",2,1),""))</f>
        <v/>
      </c>
      <c r="K380" s="61" t="str">
        <f aca="false">IF(OR(J380="",NOT(ISNUMBER(B380))),"",IF(COUNTIF(Settings!$B$8:$B$17,"&lt;="&amp;B380)=0,Settings!$C$8,INDEX(Settings!$C$8:$C$17,COUNTIF(Settings!$B$8:$B$17,"&lt;="&amp;B380))))</f>
        <v/>
      </c>
      <c r="L380" s="56" t="str">
        <f aca="false">IF(K380="","",ROUND(J380*K380,2))</f>
        <v/>
      </c>
      <c r="M380" s="58" t="str">
        <f aca="false">IF(AND(B380="",F380="",G380="",H380=""),"",IF(NOT(ISNUMBER(B380)),"⚠ ADD DATE / AGREGA FECHA",IF(J380="","⚠ ADD MILES / AGREGA MILLAS",IF(AND(ISNUMBER(F380),ISNUMBER(G380)),IF(G380&lt;F380,"⚠ CHECK ODOMETER / REVISA ODÓMETRO","✔ OK"),"✔ OK"))))</f>
        <v/>
      </c>
      <c r="N380" s="53"/>
      <c r="P380" s="51" t="n">
        <f aca="false">IF(ISNUMBER(L380),1,0)</f>
        <v>0</v>
      </c>
      <c r="Q380" s="51" t="n">
        <f aca="false">IF(P380=1,YEAR(B380),0)</f>
        <v>0</v>
      </c>
      <c r="R380" s="51" t="n">
        <f aca="false">IF(P380=1,YEAR(B380)*100+MONTH(B380),0)</f>
        <v>0</v>
      </c>
    </row>
    <row r="381" customFormat="false" ht="15" hidden="false" customHeight="false" outlineLevel="0" collapsed="false">
      <c r="B381" s="52"/>
      <c r="C381" s="53"/>
      <c r="D381" s="53"/>
      <c r="E381" s="53"/>
      <c r="F381" s="59"/>
      <c r="G381" s="59"/>
      <c r="H381" s="59"/>
      <c r="I381" s="57"/>
      <c r="J381" s="60" t="str">
        <f aca="false">IF(AND(ISNUMBER(F381),ISNUMBER(G381)),MAX(0,G381-F381),IF(ISNUMBER(H381),H381*IF(I381="Yes / Sí",2,1),""))</f>
        <v/>
      </c>
      <c r="K381" s="61" t="str">
        <f aca="false">IF(OR(J381="",NOT(ISNUMBER(B381))),"",IF(COUNTIF(Settings!$B$8:$B$17,"&lt;="&amp;B381)=0,Settings!$C$8,INDEX(Settings!$C$8:$C$17,COUNTIF(Settings!$B$8:$B$17,"&lt;="&amp;B381))))</f>
        <v/>
      </c>
      <c r="L381" s="56" t="str">
        <f aca="false">IF(K381="","",ROUND(J381*K381,2))</f>
        <v/>
      </c>
      <c r="M381" s="58" t="str">
        <f aca="false">IF(AND(B381="",F381="",G381="",H381=""),"",IF(NOT(ISNUMBER(B381)),"⚠ ADD DATE / AGREGA FECHA",IF(J381="","⚠ ADD MILES / AGREGA MILLAS",IF(AND(ISNUMBER(F381),ISNUMBER(G381)),IF(G381&lt;F381,"⚠ CHECK ODOMETER / REVISA ODÓMETRO","✔ OK"),"✔ OK"))))</f>
        <v/>
      </c>
      <c r="N381" s="53"/>
      <c r="P381" s="51" t="n">
        <f aca="false">IF(ISNUMBER(L381),1,0)</f>
        <v>0</v>
      </c>
      <c r="Q381" s="51" t="n">
        <f aca="false">IF(P381=1,YEAR(B381),0)</f>
        <v>0</v>
      </c>
      <c r="R381" s="51" t="n">
        <f aca="false">IF(P381=1,YEAR(B381)*100+MONTH(B381),0)</f>
        <v>0</v>
      </c>
    </row>
    <row r="382" customFormat="false" ht="15" hidden="false" customHeight="false" outlineLevel="0" collapsed="false">
      <c r="B382" s="52"/>
      <c r="C382" s="53"/>
      <c r="D382" s="53"/>
      <c r="E382" s="53"/>
      <c r="F382" s="59"/>
      <c r="G382" s="59"/>
      <c r="H382" s="59"/>
      <c r="I382" s="57"/>
      <c r="J382" s="60" t="str">
        <f aca="false">IF(AND(ISNUMBER(F382),ISNUMBER(G382)),MAX(0,G382-F382),IF(ISNUMBER(H382),H382*IF(I382="Yes / Sí",2,1),""))</f>
        <v/>
      </c>
      <c r="K382" s="61" t="str">
        <f aca="false">IF(OR(J382="",NOT(ISNUMBER(B382))),"",IF(COUNTIF(Settings!$B$8:$B$17,"&lt;="&amp;B382)=0,Settings!$C$8,INDEX(Settings!$C$8:$C$17,COUNTIF(Settings!$B$8:$B$17,"&lt;="&amp;B382))))</f>
        <v/>
      </c>
      <c r="L382" s="56" t="str">
        <f aca="false">IF(K382="","",ROUND(J382*K382,2))</f>
        <v/>
      </c>
      <c r="M382" s="58" t="str">
        <f aca="false">IF(AND(B382="",F382="",G382="",H382=""),"",IF(NOT(ISNUMBER(B382)),"⚠ ADD DATE / AGREGA FECHA",IF(J382="","⚠ ADD MILES / AGREGA MILLAS",IF(AND(ISNUMBER(F382),ISNUMBER(G382)),IF(G382&lt;F382,"⚠ CHECK ODOMETER / REVISA ODÓMETRO","✔ OK"),"✔ OK"))))</f>
        <v/>
      </c>
      <c r="N382" s="53"/>
      <c r="P382" s="51" t="n">
        <f aca="false">IF(ISNUMBER(L382),1,0)</f>
        <v>0</v>
      </c>
      <c r="Q382" s="51" t="n">
        <f aca="false">IF(P382=1,YEAR(B382),0)</f>
        <v>0</v>
      </c>
      <c r="R382" s="51" t="n">
        <f aca="false">IF(P382=1,YEAR(B382)*100+MONTH(B382),0)</f>
        <v>0</v>
      </c>
    </row>
    <row r="383" customFormat="false" ht="15" hidden="false" customHeight="false" outlineLevel="0" collapsed="false">
      <c r="B383" s="52"/>
      <c r="C383" s="53"/>
      <c r="D383" s="53"/>
      <c r="E383" s="53"/>
      <c r="F383" s="59"/>
      <c r="G383" s="59"/>
      <c r="H383" s="59"/>
      <c r="I383" s="57"/>
      <c r="J383" s="60" t="str">
        <f aca="false">IF(AND(ISNUMBER(F383),ISNUMBER(G383)),MAX(0,G383-F383),IF(ISNUMBER(H383),H383*IF(I383="Yes / Sí",2,1),""))</f>
        <v/>
      </c>
      <c r="K383" s="61" t="str">
        <f aca="false">IF(OR(J383="",NOT(ISNUMBER(B383))),"",IF(COUNTIF(Settings!$B$8:$B$17,"&lt;="&amp;B383)=0,Settings!$C$8,INDEX(Settings!$C$8:$C$17,COUNTIF(Settings!$B$8:$B$17,"&lt;="&amp;B383))))</f>
        <v/>
      </c>
      <c r="L383" s="56" t="str">
        <f aca="false">IF(K383="","",ROUND(J383*K383,2))</f>
        <v/>
      </c>
      <c r="M383" s="58" t="str">
        <f aca="false">IF(AND(B383="",F383="",G383="",H383=""),"",IF(NOT(ISNUMBER(B383)),"⚠ ADD DATE / AGREGA FECHA",IF(J383="","⚠ ADD MILES / AGREGA MILLAS",IF(AND(ISNUMBER(F383),ISNUMBER(G383)),IF(G383&lt;F383,"⚠ CHECK ODOMETER / REVISA ODÓMETRO","✔ OK"),"✔ OK"))))</f>
        <v/>
      </c>
      <c r="N383" s="53"/>
      <c r="P383" s="51" t="n">
        <f aca="false">IF(ISNUMBER(L383),1,0)</f>
        <v>0</v>
      </c>
      <c r="Q383" s="51" t="n">
        <f aca="false">IF(P383=1,YEAR(B383),0)</f>
        <v>0</v>
      </c>
      <c r="R383" s="51" t="n">
        <f aca="false">IF(P383=1,YEAR(B383)*100+MONTH(B383),0)</f>
        <v>0</v>
      </c>
    </row>
    <row r="384" customFormat="false" ht="15" hidden="false" customHeight="false" outlineLevel="0" collapsed="false">
      <c r="B384" s="52"/>
      <c r="C384" s="53"/>
      <c r="D384" s="53"/>
      <c r="E384" s="53"/>
      <c r="F384" s="59"/>
      <c r="G384" s="59"/>
      <c r="H384" s="59"/>
      <c r="I384" s="57"/>
      <c r="J384" s="60" t="str">
        <f aca="false">IF(AND(ISNUMBER(F384),ISNUMBER(G384)),MAX(0,G384-F384),IF(ISNUMBER(H384),H384*IF(I384="Yes / Sí",2,1),""))</f>
        <v/>
      </c>
      <c r="K384" s="61" t="str">
        <f aca="false">IF(OR(J384="",NOT(ISNUMBER(B384))),"",IF(COUNTIF(Settings!$B$8:$B$17,"&lt;="&amp;B384)=0,Settings!$C$8,INDEX(Settings!$C$8:$C$17,COUNTIF(Settings!$B$8:$B$17,"&lt;="&amp;B384))))</f>
        <v/>
      </c>
      <c r="L384" s="56" t="str">
        <f aca="false">IF(K384="","",ROUND(J384*K384,2))</f>
        <v/>
      </c>
      <c r="M384" s="58" t="str">
        <f aca="false">IF(AND(B384="",F384="",G384="",H384=""),"",IF(NOT(ISNUMBER(B384)),"⚠ ADD DATE / AGREGA FECHA",IF(J384="","⚠ ADD MILES / AGREGA MILLAS",IF(AND(ISNUMBER(F384),ISNUMBER(G384)),IF(G384&lt;F384,"⚠ CHECK ODOMETER / REVISA ODÓMETRO","✔ OK"),"✔ OK"))))</f>
        <v/>
      </c>
      <c r="N384" s="53"/>
      <c r="P384" s="51" t="n">
        <f aca="false">IF(ISNUMBER(L384),1,0)</f>
        <v>0</v>
      </c>
      <c r="Q384" s="51" t="n">
        <f aca="false">IF(P384=1,YEAR(B384),0)</f>
        <v>0</v>
      </c>
      <c r="R384" s="51" t="n">
        <f aca="false">IF(P384=1,YEAR(B384)*100+MONTH(B384),0)</f>
        <v>0</v>
      </c>
    </row>
    <row r="385" customFormat="false" ht="15" hidden="false" customHeight="false" outlineLevel="0" collapsed="false">
      <c r="B385" s="52"/>
      <c r="C385" s="53"/>
      <c r="D385" s="53"/>
      <c r="E385" s="53"/>
      <c r="F385" s="59"/>
      <c r="G385" s="59"/>
      <c r="H385" s="59"/>
      <c r="I385" s="57"/>
      <c r="J385" s="60" t="str">
        <f aca="false">IF(AND(ISNUMBER(F385),ISNUMBER(G385)),MAX(0,G385-F385),IF(ISNUMBER(H385),H385*IF(I385="Yes / Sí",2,1),""))</f>
        <v/>
      </c>
      <c r="K385" s="61" t="str">
        <f aca="false">IF(OR(J385="",NOT(ISNUMBER(B385))),"",IF(COUNTIF(Settings!$B$8:$B$17,"&lt;="&amp;B385)=0,Settings!$C$8,INDEX(Settings!$C$8:$C$17,COUNTIF(Settings!$B$8:$B$17,"&lt;="&amp;B385))))</f>
        <v/>
      </c>
      <c r="L385" s="56" t="str">
        <f aca="false">IF(K385="","",ROUND(J385*K385,2))</f>
        <v/>
      </c>
      <c r="M385" s="58" t="str">
        <f aca="false">IF(AND(B385="",F385="",G385="",H385=""),"",IF(NOT(ISNUMBER(B385)),"⚠ ADD DATE / AGREGA FECHA",IF(J385="","⚠ ADD MILES / AGREGA MILLAS",IF(AND(ISNUMBER(F385),ISNUMBER(G385)),IF(G385&lt;F385,"⚠ CHECK ODOMETER / REVISA ODÓMETRO","✔ OK"),"✔ OK"))))</f>
        <v/>
      </c>
      <c r="N385" s="53"/>
      <c r="P385" s="51" t="n">
        <f aca="false">IF(ISNUMBER(L385),1,0)</f>
        <v>0</v>
      </c>
      <c r="Q385" s="51" t="n">
        <f aca="false">IF(P385=1,YEAR(B385),0)</f>
        <v>0</v>
      </c>
      <c r="R385" s="51" t="n">
        <f aca="false">IF(P385=1,YEAR(B385)*100+MONTH(B385),0)</f>
        <v>0</v>
      </c>
    </row>
    <row r="386" customFormat="false" ht="15" hidden="false" customHeight="false" outlineLevel="0" collapsed="false">
      <c r="B386" s="52"/>
      <c r="C386" s="53"/>
      <c r="D386" s="53"/>
      <c r="E386" s="53"/>
      <c r="F386" s="59"/>
      <c r="G386" s="59"/>
      <c r="H386" s="59"/>
      <c r="I386" s="57"/>
      <c r="J386" s="60" t="str">
        <f aca="false">IF(AND(ISNUMBER(F386),ISNUMBER(G386)),MAX(0,G386-F386),IF(ISNUMBER(H386),H386*IF(I386="Yes / Sí",2,1),""))</f>
        <v/>
      </c>
      <c r="K386" s="61" t="str">
        <f aca="false">IF(OR(J386="",NOT(ISNUMBER(B386))),"",IF(COUNTIF(Settings!$B$8:$B$17,"&lt;="&amp;B386)=0,Settings!$C$8,INDEX(Settings!$C$8:$C$17,COUNTIF(Settings!$B$8:$B$17,"&lt;="&amp;B386))))</f>
        <v/>
      </c>
      <c r="L386" s="56" t="str">
        <f aca="false">IF(K386="","",ROUND(J386*K386,2))</f>
        <v/>
      </c>
      <c r="M386" s="58" t="str">
        <f aca="false">IF(AND(B386="",F386="",G386="",H386=""),"",IF(NOT(ISNUMBER(B386)),"⚠ ADD DATE / AGREGA FECHA",IF(J386="","⚠ ADD MILES / AGREGA MILLAS",IF(AND(ISNUMBER(F386),ISNUMBER(G386)),IF(G386&lt;F386,"⚠ CHECK ODOMETER / REVISA ODÓMETRO","✔ OK"),"✔ OK"))))</f>
        <v/>
      </c>
      <c r="N386" s="53"/>
      <c r="P386" s="51" t="n">
        <f aca="false">IF(ISNUMBER(L386),1,0)</f>
        <v>0</v>
      </c>
      <c r="Q386" s="51" t="n">
        <f aca="false">IF(P386=1,YEAR(B386),0)</f>
        <v>0</v>
      </c>
      <c r="R386" s="51" t="n">
        <f aca="false">IF(P386=1,YEAR(B386)*100+MONTH(B386),0)</f>
        <v>0</v>
      </c>
    </row>
    <row r="387" customFormat="false" ht="15" hidden="false" customHeight="false" outlineLevel="0" collapsed="false">
      <c r="B387" s="52"/>
      <c r="C387" s="53"/>
      <c r="D387" s="53"/>
      <c r="E387" s="53"/>
      <c r="F387" s="59"/>
      <c r="G387" s="59"/>
      <c r="H387" s="59"/>
      <c r="I387" s="57"/>
      <c r="J387" s="60" t="str">
        <f aca="false">IF(AND(ISNUMBER(F387),ISNUMBER(G387)),MAX(0,G387-F387),IF(ISNUMBER(H387),H387*IF(I387="Yes / Sí",2,1),""))</f>
        <v/>
      </c>
      <c r="K387" s="61" t="str">
        <f aca="false">IF(OR(J387="",NOT(ISNUMBER(B387))),"",IF(COUNTIF(Settings!$B$8:$B$17,"&lt;="&amp;B387)=0,Settings!$C$8,INDEX(Settings!$C$8:$C$17,COUNTIF(Settings!$B$8:$B$17,"&lt;="&amp;B387))))</f>
        <v/>
      </c>
      <c r="L387" s="56" t="str">
        <f aca="false">IF(K387="","",ROUND(J387*K387,2))</f>
        <v/>
      </c>
      <c r="M387" s="58" t="str">
        <f aca="false">IF(AND(B387="",F387="",G387="",H387=""),"",IF(NOT(ISNUMBER(B387)),"⚠ ADD DATE / AGREGA FECHA",IF(J387="","⚠ ADD MILES / AGREGA MILLAS",IF(AND(ISNUMBER(F387),ISNUMBER(G387)),IF(G387&lt;F387,"⚠ CHECK ODOMETER / REVISA ODÓMETRO","✔ OK"),"✔ OK"))))</f>
        <v/>
      </c>
      <c r="N387" s="53"/>
      <c r="P387" s="51" t="n">
        <f aca="false">IF(ISNUMBER(L387),1,0)</f>
        <v>0</v>
      </c>
      <c r="Q387" s="51" t="n">
        <f aca="false">IF(P387=1,YEAR(B387),0)</f>
        <v>0</v>
      </c>
      <c r="R387" s="51" t="n">
        <f aca="false">IF(P387=1,YEAR(B387)*100+MONTH(B387),0)</f>
        <v>0</v>
      </c>
    </row>
    <row r="388" customFormat="false" ht="15" hidden="false" customHeight="false" outlineLevel="0" collapsed="false">
      <c r="B388" s="52"/>
      <c r="C388" s="53"/>
      <c r="D388" s="53"/>
      <c r="E388" s="53"/>
      <c r="F388" s="59"/>
      <c r="G388" s="59"/>
      <c r="H388" s="59"/>
      <c r="I388" s="57"/>
      <c r="J388" s="60" t="str">
        <f aca="false">IF(AND(ISNUMBER(F388),ISNUMBER(G388)),MAX(0,G388-F388),IF(ISNUMBER(H388),H388*IF(I388="Yes / Sí",2,1),""))</f>
        <v/>
      </c>
      <c r="K388" s="61" t="str">
        <f aca="false">IF(OR(J388="",NOT(ISNUMBER(B388))),"",IF(COUNTIF(Settings!$B$8:$B$17,"&lt;="&amp;B388)=0,Settings!$C$8,INDEX(Settings!$C$8:$C$17,COUNTIF(Settings!$B$8:$B$17,"&lt;="&amp;B388))))</f>
        <v/>
      </c>
      <c r="L388" s="56" t="str">
        <f aca="false">IF(K388="","",ROUND(J388*K388,2))</f>
        <v/>
      </c>
      <c r="M388" s="58" t="str">
        <f aca="false">IF(AND(B388="",F388="",G388="",H388=""),"",IF(NOT(ISNUMBER(B388)),"⚠ ADD DATE / AGREGA FECHA",IF(J388="","⚠ ADD MILES / AGREGA MILLAS",IF(AND(ISNUMBER(F388),ISNUMBER(G388)),IF(G388&lt;F388,"⚠ CHECK ODOMETER / REVISA ODÓMETRO","✔ OK"),"✔ OK"))))</f>
        <v/>
      </c>
      <c r="N388" s="53"/>
      <c r="P388" s="51" t="n">
        <f aca="false">IF(ISNUMBER(L388),1,0)</f>
        <v>0</v>
      </c>
      <c r="Q388" s="51" t="n">
        <f aca="false">IF(P388=1,YEAR(B388),0)</f>
        <v>0</v>
      </c>
      <c r="R388" s="51" t="n">
        <f aca="false">IF(P388=1,YEAR(B388)*100+MONTH(B388),0)</f>
        <v>0</v>
      </c>
    </row>
    <row r="389" customFormat="false" ht="15" hidden="false" customHeight="false" outlineLevel="0" collapsed="false">
      <c r="B389" s="52"/>
      <c r="C389" s="53"/>
      <c r="D389" s="53"/>
      <c r="E389" s="53"/>
      <c r="F389" s="59"/>
      <c r="G389" s="59"/>
      <c r="H389" s="59"/>
      <c r="I389" s="57"/>
      <c r="J389" s="60" t="str">
        <f aca="false">IF(AND(ISNUMBER(F389),ISNUMBER(G389)),MAX(0,G389-F389),IF(ISNUMBER(H389),H389*IF(I389="Yes / Sí",2,1),""))</f>
        <v/>
      </c>
      <c r="K389" s="61" t="str">
        <f aca="false">IF(OR(J389="",NOT(ISNUMBER(B389))),"",IF(COUNTIF(Settings!$B$8:$B$17,"&lt;="&amp;B389)=0,Settings!$C$8,INDEX(Settings!$C$8:$C$17,COUNTIF(Settings!$B$8:$B$17,"&lt;="&amp;B389))))</f>
        <v/>
      </c>
      <c r="L389" s="56" t="str">
        <f aca="false">IF(K389="","",ROUND(J389*K389,2))</f>
        <v/>
      </c>
      <c r="M389" s="58" t="str">
        <f aca="false">IF(AND(B389="",F389="",G389="",H389=""),"",IF(NOT(ISNUMBER(B389)),"⚠ ADD DATE / AGREGA FECHA",IF(J389="","⚠ ADD MILES / AGREGA MILLAS",IF(AND(ISNUMBER(F389),ISNUMBER(G389)),IF(G389&lt;F389,"⚠ CHECK ODOMETER / REVISA ODÓMETRO","✔ OK"),"✔ OK"))))</f>
        <v/>
      </c>
      <c r="N389" s="53"/>
      <c r="P389" s="51" t="n">
        <f aca="false">IF(ISNUMBER(L389),1,0)</f>
        <v>0</v>
      </c>
      <c r="Q389" s="51" t="n">
        <f aca="false">IF(P389=1,YEAR(B389),0)</f>
        <v>0</v>
      </c>
      <c r="R389" s="51" t="n">
        <f aca="false">IF(P389=1,YEAR(B389)*100+MONTH(B389),0)</f>
        <v>0</v>
      </c>
    </row>
    <row r="390" customFormat="false" ht="15" hidden="false" customHeight="false" outlineLevel="0" collapsed="false">
      <c r="B390" s="52"/>
      <c r="C390" s="53"/>
      <c r="D390" s="53"/>
      <c r="E390" s="53"/>
      <c r="F390" s="59"/>
      <c r="G390" s="59"/>
      <c r="H390" s="59"/>
      <c r="I390" s="57"/>
      <c r="J390" s="60" t="str">
        <f aca="false">IF(AND(ISNUMBER(F390),ISNUMBER(G390)),MAX(0,G390-F390),IF(ISNUMBER(H390),H390*IF(I390="Yes / Sí",2,1),""))</f>
        <v/>
      </c>
      <c r="K390" s="61" t="str">
        <f aca="false">IF(OR(J390="",NOT(ISNUMBER(B390))),"",IF(COUNTIF(Settings!$B$8:$B$17,"&lt;="&amp;B390)=0,Settings!$C$8,INDEX(Settings!$C$8:$C$17,COUNTIF(Settings!$B$8:$B$17,"&lt;="&amp;B390))))</f>
        <v/>
      </c>
      <c r="L390" s="56" t="str">
        <f aca="false">IF(K390="","",ROUND(J390*K390,2))</f>
        <v/>
      </c>
      <c r="M390" s="58" t="str">
        <f aca="false">IF(AND(B390="",F390="",G390="",H390=""),"",IF(NOT(ISNUMBER(B390)),"⚠ ADD DATE / AGREGA FECHA",IF(J390="","⚠ ADD MILES / AGREGA MILLAS",IF(AND(ISNUMBER(F390),ISNUMBER(G390)),IF(G390&lt;F390,"⚠ CHECK ODOMETER / REVISA ODÓMETRO","✔ OK"),"✔ OK"))))</f>
        <v/>
      </c>
      <c r="N390" s="53"/>
      <c r="P390" s="51" t="n">
        <f aca="false">IF(ISNUMBER(L390),1,0)</f>
        <v>0</v>
      </c>
      <c r="Q390" s="51" t="n">
        <f aca="false">IF(P390=1,YEAR(B390),0)</f>
        <v>0</v>
      </c>
      <c r="R390" s="51" t="n">
        <f aca="false">IF(P390=1,YEAR(B390)*100+MONTH(B390),0)</f>
        <v>0</v>
      </c>
    </row>
    <row r="391" customFormat="false" ht="15" hidden="false" customHeight="false" outlineLevel="0" collapsed="false">
      <c r="B391" s="52"/>
      <c r="C391" s="53"/>
      <c r="D391" s="53"/>
      <c r="E391" s="53"/>
      <c r="F391" s="59"/>
      <c r="G391" s="59"/>
      <c r="H391" s="59"/>
      <c r="I391" s="57"/>
      <c r="J391" s="60" t="str">
        <f aca="false">IF(AND(ISNUMBER(F391),ISNUMBER(G391)),MAX(0,G391-F391),IF(ISNUMBER(H391),H391*IF(I391="Yes / Sí",2,1),""))</f>
        <v/>
      </c>
      <c r="K391" s="61" t="str">
        <f aca="false">IF(OR(J391="",NOT(ISNUMBER(B391))),"",IF(COUNTIF(Settings!$B$8:$B$17,"&lt;="&amp;B391)=0,Settings!$C$8,INDEX(Settings!$C$8:$C$17,COUNTIF(Settings!$B$8:$B$17,"&lt;="&amp;B391))))</f>
        <v/>
      </c>
      <c r="L391" s="56" t="str">
        <f aca="false">IF(K391="","",ROUND(J391*K391,2))</f>
        <v/>
      </c>
      <c r="M391" s="58" t="str">
        <f aca="false">IF(AND(B391="",F391="",G391="",H391=""),"",IF(NOT(ISNUMBER(B391)),"⚠ ADD DATE / AGREGA FECHA",IF(J391="","⚠ ADD MILES / AGREGA MILLAS",IF(AND(ISNUMBER(F391),ISNUMBER(G391)),IF(G391&lt;F391,"⚠ CHECK ODOMETER / REVISA ODÓMETRO","✔ OK"),"✔ OK"))))</f>
        <v/>
      </c>
      <c r="N391" s="53"/>
      <c r="P391" s="51" t="n">
        <f aca="false">IF(ISNUMBER(L391),1,0)</f>
        <v>0</v>
      </c>
      <c r="Q391" s="51" t="n">
        <f aca="false">IF(P391=1,YEAR(B391),0)</f>
        <v>0</v>
      </c>
      <c r="R391" s="51" t="n">
        <f aca="false">IF(P391=1,YEAR(B391)*100+MONTH(B391),0)</f>
        <v>0</v>
      </c>
    </row>
    <row r="392" customFormat="false" ht="15" hidden="false" customHeight="false" outlineLevel="0" collapsed="false">
      <c r="B392" s="52"/>
      <c r="C392" s="53"/>
      <c r="D392" s="53"/>
      <c r="E392" s="53"/>
      <c r="F392" s="59"/>
      <c r="G392" s="59"/>
      <c r="H392" s="59"/>
      <c r="I392" s="57"/>
      <c r="J392" s="60" t="str">
        <f aca="false">IF(AND(ISNUMBER(F392),ISNUMBER(G392)),MAX(0,G392-F392),IF(ISNUMBER(H392),H392*IF(I392="Yes / Sí",2,1),""))</f>
        <v/>
      </c>
      <c r="K392" s="61" t="str">
        <f aca="false">IF(OR(J392="",NOT(ISNUMBER(B392))),"",IF(COUNTIF(Settings!$B$8:$B$17,"&lt;="&amp;B392)=0,Settings!$C$8,INDEX(Settings!$C$8:$C$17,COUNTIF(Settings!$B$8:$B$17,"&lt;="&amp;B392))))</f>
        <v/>
      </c>
      <c r="L392" s="56" t="str">
        <f aca="false">IF(K392="","",ROUND(J392*K392,2))</f>
        <v/>
      </c>
      <c r="M392" s="58" t="str">
        <f aca="false">IF(AND(B392="",F392="",G392="",H392=""),"",IF(NOT(ISNUMBER(B392)),"⚠ ADD DATE / AGREGA FECHA",IF(J392="","⚠ ADD MILES / AGREGA MILLAS",IF(AND(ISNUMBER(F392),ISNUMBER(G392)),IF(G392&lt;F392,"⚠ CHECK ODOMETER / REVISA ODÓMETRO","✔ OK"),"✔ OK"))))</f>
        <v/>
      </c>
      <c r="N392" s="53"/>
      <c r="P392" s="51" t="n">
        <f aca="false">IF(ISNUMBER(L392),1,0)</f>
        <v>0</v>
      </c>
      <c r="Q392" s="51" t="n">
        <f aca="false">IF(P392=1,YEAR(B392),0)</f>
        <v>0</v>
      </c>
      <c r="R392" s="51" t="n">
        <f aca="false">IF(P392=1,YEAR(B392)*100+MONTH(B392),0)</f>
        <v>0</v>
      </c>
    </row>
    <row r="393" customFormat="false" ht="15" hidden="false" customHeight="false" outlineLevel="0" collapsed="false">
      <c r="B393" s="52"/>
      <c r="C393" s="53"/>
      <c r="D393" s="53"/>
      <c r="E393" s="53"/>
      <c r="F393" s="59"/>
      <c r="G393" s="59"/>
      <c r="H393" s="59"/>
      <c r="I393" s="57"/>
      <c r="J393" s="60" t="str">
        <f aca="false">IF(AND(ISNUMBER(F393),ISNUMBER(G393)),MAX(0,G393-F393),IF(ISNUMBER(H393),H393*IF(I393="Yes / Sí",2,1),""))</f>
        <v/>
      </c>
      <c r="K393" s="61" t="str">
        <f aca="false">IF(OR(J393="",NOT(ISNUMBER(B393))),"",IF(COUNTIF(Settings!$B$8:$B$17,"&lt;="&amp;B393)=0,Settings!$C$8,INDEX(Settings!$C$8:$C$17,COUNTIF(Settings!$B$8:$B$17,"&lt;="&amp;B393))))</f>
        <v/>
      </c>
      <c r="L393" s="56" t="str">
        <f aca="false">IF(K393="","",ROUND(J393*K393,2))</f>
        <v/>
      </c>
      <c r="M393" s="58" t="str">
        <f aca="false">IF(AND(B393="",F393="",G393="",H393=""),"",IF(NOT(ISNUMBER(B393)),"⚠ ADD DATE / AGREGA FECHA",IF(J393="","⚠ ADD MILES / AGREGA MILLAS",IF(AND(ISNUMBER(F393),ISNUMBER(G393)),IF(G393&lt;F393,"⚠ CHECK ODOMETER / REVISA ODÓMETRO","✔ OK"),"✔ OK"))))</f>
        <v/>
      </c>
      <c r="N393" s="53"/>
      <c r="P393" s="51" t="n">
        <f aca="false">IF(ISNUMBER(L393),1,0)</f>
        <v>0</v>
      </c>
      <c r="Q393" s="51" t="n">
        <f aca="false">IF(P393=1,YEAR(B393),0)</f>
        <v>0</v>
      </c>
      <c r="R393" s="51" t="n">
        <f aca="false">IF(P393=1,YEAR(B393)*100+MONTH(B393),0)</f>
        <v>0</v>
      </c>
    </row>
    <row r="394" customFormat="false" ht="15" hidden="false" customHeight="false" outlineLevel="0" collapsed="false">
      <c r="B394" s="52"/>
      <c r="C394" s="53"/>
      <c r="D394" s="53"/>
      <c r="E394" s="53"/>
      <c r="F394" s="59"/>
      <c r="G394" s="59"/>
      <c r="H394" s="59"/>
      <c r="I394" s="57"/>
      <c r="J394" s="60" t="str">
        <f aca="false">IF(AND(ISNUMBER(F394),ISNUMBER(G394)),MAX(0,G394-F394),IF(ISNUMBER(H394),H394*IF(I394="Yes / Sí",2,1),""))</f>
        <v/>
      </c>
      <c r="K394" s="61" t="str">
        <f aca="false">IF(OR(J394="",NOT(ISNUMBER(B394))),"",IF(COUNTIF(Settings!$B$8:$B$17,"&lt;="&amp;B394)=0,Settings!$C$8,INDEX(Settings!$C$8:$C$17,COUNTIF(Settings!$B$8:$B$17,"&lt;="&amp;B394))))</f>
        <v/>
      </c>
      <c r="L394" s="56" t="str">
        <f aca="false">IF(K394="","",ROUND(J394*K394,2))</f>
        <v/>
      </c>
      <c r="M394" s="58" t="str">
        <f aca="false">IF(AND(B394="",F394="",G394="",H394=""),"",IF(NOT(ISNUMBER(B394)),"⚠ ADD DATE / AGREGA FECHA",IF(J394="","⚠ ADD MILES / AGREGA MILLAS",IF(AND(ISNUMBER(F394),ISNUMBER(G394)),IF(G394&lt;F394,"⚠ CHECK ODOMETER / REVISA ODÓMETRO","✔ OK"),"✔ OK"))))</f>
        <v/>
      </c>
      <c r="N394" s="53"/>
      <c r="P394" s="51" t="n">
        <f aca="false">IF(ISNUMBER(L394),1,0)</f>
        <v>0</v>
      </c>
      <c r="Q394" s="51" t="n">
        <f aca="false">IF(P394=1,YEAR(B394),0)</f>
        <v>0</v>
      </c>
      <c r="R394" s="51" t="n">
        <f aca="false">IF(P394=1,YEAR(B394)*100+MONTH(B394),0)</f>
        <v>0</v>
      </c>
    </row>
    <row r="395" customFormat="false" ht="15" hidden="false" customHeight="false" outlineLevel="0" collapsed="false">
      <c r="B395" s="52"/>
      <c r="C395" s="53"/>
      <c r="D395" s="53"/>
      <c r="E395" s="53"/>
      <c r="F395" s="59"/>
      <c r="G395" s="59"/>
      <c r="H395" s="59"/>
      <c r="I395" s="57"/>
      <c r="J395" s="60" t="str">
        <f aca="false">IF(AND(ISNUMBER(F395),ISNUMBER(G395)),MAX(0,G395-F395),IF(ISNUMBER(H395),H395*IF(I395="Yes / Sí",2,1),""))</f>
        <v/>
      </c>
      <c r="K395" s="61" t="str">
        <f aca="false">IF(OR(J395="",NOT(ISNUMBER(B395))),"",IF(COUNTIF(Settings!$B$8:$B$17,"&lt;="&amp;B395)=0,Settings!$C$8,INDEX(Settings!$C$8:$C$17,COUNTIF(Settings!$B$8:$B$17,"&lt;="&amp;B395))))</f>
        <v/>
      </c>
      <c r="L395" s="56" t="str">
        <f aca="false">IF(K395="","",ROUND(J395*K395,2))</f>
        <v/>
      </c>
      <c r="M395" s="58" t="str">
        <f aca="false">IF(AND(B395="",F395="",G395="",H395=""),"",IF(NOT(ISNUMBER(B395)),"⚠ ADD DATE / AGREGA FECHA",IF(J395="","⚠ ADD MILES / AGREGA MILLAS",IF(AND(ISNUMBER(F395),ISNUMBER(G395)),IF(G395&lt;F395,"⚠ CHECK ODOMETER / REVISA ODÓMETRO","✔ OK"),"✔ OK"))))</f>
        <v/>
      </c>
      <c r="N395" s="53"/>
      <c r="P395" s="51" t="n">
        <f aca="false">IF(ISNUMBER(L395),1,0)</f>
        <v>0</v>
      </c>
      <c r="Q395" s="51" t="n">
        <f aca="false">IF(P395=1,YEAR(B395),0)</f>
        <v>0</v>
      </c>
      <c r="R395" s="51" t="n">
        <f aca="false">IF(P395=1,YEAR(B395)*100+MONTH(B395),0)</f>
        <v>0</v>
      </c>
    </row>
    <row r="396" customFormat="false" ht="15" hidden="false" customHeight="false" outlineLevel="0" collapsed="false">
      <c r="B396" s="52"/>
      <c r="C396" s="53"/>
      <c r="D396" s="53"/>
      <c r="E396" s="53"/>
      <c r="F396" s="59"/>
      <c r="G396" s="59"/>
      <c r="H396" s="59"/>
      <c r="I396" s="57"/>
      <c r="J396" s="60" t="str">
        <f aca="false">IF(AND(ISNUMBER(F396),ISNUMBER(G396)),MAX(0,G396-F396),IF(ISNUMBER(H396),H396*IF(I396="Yes / Sí",2,1),""))</f>
        <v/>
      </c>
      <c r="K396" s="61" t="str">
        <f aca="false">IF(OR(J396="",NOT(ISNUMBER(B396))),"",IF(COUNTIF(Settings!$B$8:$B$17,"&lt;="&amp;B396)=0,Settings!$C$8,INDEX(Settings!$C$8:$C$17,COUNTIF(Settings!$B$8:$B$17,"&lt;="&amp;B396))))</f>
        <v/>
      </c>
      <c r="L396" s="56" t="str">
        <f aca="false">IF(K396="","",ROUND(J396*K396,2))</f>
        <v/>
      </c>
      <c r="M396" s="58" t="str">
        <f aca="false">IF(AND(B396="",F396="",G396="",H396=""),"",IF(NOT(ISNUMBER(B396)),"⚠ ADD DATE / AGREGA FECHA",IF(J396="","⚠ ADD MILES / AGREGA MILLAS",IF(AND(ISNUMBER(F396),ISNUMBER(G396)),IF(G396&lt;F396,"⚠ CHECK ODOMETER / REVISA ODÓMETRO","✔ OK"),"✔ OK"))))</f>
        <v/>
      </c>
      <c r="N396" s="53"/>
      <c r="P396" s="51" t="n">
        <f aca="false">IF(ISNUMBER(L396),1,0)</f>
        <v>0</v>
      </c>
      <c r="Q396" s="51" t="n">
        <f aca="false">IF(P396=1,YEAR(B396),0)</f>
        <v>0</v>
      </c>
      <c r="R396" s="51" t="n">
        <f aca="false">IF(P396=1,YEAR(B396)*100+MONTH(B396),0)</f>
        <v>0</v>
      </c>
    </row>
    <row r="397" customFormat="false" ht="15" hidden="false" customHeight="false" outlineLevel="0" collapsed="false">
      <c r="B397" s="52"/>
      <c r="C397" s="53"/>
      <c r="D397" s="53"/>
      <c r="E397" s="53"/>
      <c r="F397" s="59"/>
      <c r="G397" s="59"/>
      <c r="H397" s="59"/>
      <c r="I397" s="57"/>
      <c r="J397" s="60" t="str">
        <f aca="false">IF(AND(ISNUMBER(F397),ISNUMBER(G397)),MAX(0,G397-F397),IF(ISNUMBER(H397),H397*IF(I397="Yes / Sí",2,1),""))</f>
        <v/>
      </c>
      <c r="K397" s="61" t="str">
        <f aca="false">IF(OR(J397="",NOT(ISNUMBER(B397))),"",IF(COUNTIF(Settings!$B$8:$B$17,"&lt;="&amp;B397)=0,Settings!$C$8,INDEX(Settings!$C$8:$C$17,COUNTIF(Settings!$B$8:$B$17,"&lt;="&amp;B397))))</f>
        <v/>
      </c>
      <c r="L397" s="56" t="str">
        <f aca="false">IF(K397="","",ROUND(J397*K397,2))</f>
        <v/>
      </c>
      <c r="M397" s="58" t="str">
        <f aca="false">IF(AND(B397="",F397="",G397="",H397=""),"",IF(NOT(ISNUMBER(B397)),"⚠ ADD DATE / AGREGA FECHA",IF(J397="","⚠ ADD MILES / AGREGA MILLAS",IF(AND(ISNUMBER(F397),ISNUMBER(G397)),IF(G397&lt;F397,"⚠ CHECK ODOMETER / REVISA ODÓMETRO","✔ OK"),"✔ OK"))))</f>
        <v/>
      </c>
      <c r="N397" s="53"/>
      <c r="P397" s="51" t="n">
        <f aca="false">IF(ISNUMBER(L397),1,0)</f>
        <v>0</v>
      </c>
      <c r="Q397" s="51" t="n">
        <f aca="false">IF(P397=1,YEAR(B397),0)</f>
        <v>0</v>
      </c>
      <c r="R397" s="51" t="n">
        <f aca="false">IF(P397=1,YEAR(B397)*100+MONTH(B397),0)</f>
        <v>0</v>
      </c>
    </row>
    <row r="398" customFormat="false" ht="15" hidden="false" customHeight="false" outlineLevel="0" collapsed="false">
      <c r="B398" s="52"/>
      <c r="C398" s="53"/>
      <c r="D398" s="53"/>
      <c r="E398" s="53"/>
      <c r="F398" s="59"/>
      <c r="G398" s="59"/>
      <c r="H398" s="59"/>
      <c r="I398" s="57"/>
      <c r="J398" s="60" t="str">
        <f aca="false">IF(AND(ISNUMBER(F398),ISNUMBER(G398)),MAX(0,G398-F398),IF(ISNUMBER(H398),H398*IF(I398="Yes / Sí",2,1),""))</f>
        <v/>
      </c>
      <c r="K398" s="61" t="str">
        <f aca="false">IF(OR(J398="",NOT(ISNUMBER(B398))),"",IF(COUNTIF(Settings!$B$8:$B$17,"&lt;="&amp;B398)=0,Settings!$C$8,INDEX(Settings!$C$8:$C$17,COUNTIF(Settings!$B$8:$B$17,"&lt;="&amp;B398))))</f>
        <v/>
      </c>
      <c r="L398" s="56" t="str">
        <f aca="false">IF(K398="","",ROUND(J398*K398,2))</f>
        <v/>
      </c>
      <c r="M398" s="58" t="str">
        <f aca="false">IF(AND(B398="",F398="",G398="",H398=""),"",IF(NOT(ISNUMBER(B398)),"⚠ ADD DATE / AGREGA FECHA",IF(J398="","⚠ ADD MILES / AGREGA MILLAS",IF(AND(ISNUMBER(F398),ISNUMBER(G398)),IF(G398&lt;F398,"⚠ CHECK ODOMETER / REVISA ODÓMETRO","✔ OK"),"✔ OK"))))</f>
        <v/>
      </c>
      <c r="N398" s="53"/>
      <c r="P398" s="51" t="n">
        <f aca="false">IF(ISNUMBER(L398),1,0)</f>
        <v>0</v>
      </c>
      <c r="Q398" s="51" t="n">
        <f aca="false">IF(P398=1,YEAR(B398),0)</f>
        <v>0</v>
      </c>
      <c r="R398" s="51" t="n">
        <f aca="false">IF(P398=1,YEAR(B398)*100+MONTH(B398),0)</f>
        <v>0</v>
      </c>
    </row>
    <row r="399" customFormat="false" ht="15" hidden="false" customHeight="false" outlineLevel="0" collapsed="false">
      <c r="B399" s="52"/>
      <c r="C399" s="53"/>
      <c r="D399" s="53"/>
      <c r="E399" s="53"/>
      <c r="F399" s="59"/>
      <c r="G399" s="59"/>
      <c r="H399" s="59"/>
      <c r="I399" s="57"/>
      <c r="J399" s="60" t="str">
        <f aca="false">IF(AND(ISNUMBER(F399),ISNUMBER(G399)),MAX(0,G399-F399),IF(ISNUMBER(H399),H399*IF(I399="Yes / Sí",2,1),""))</f>
        <v/>
      </c>
      <c r="K399" s="61" t="str">
        <f aca="false">IF(OR(J399="",NOT(ISNUMBER(B399))),"",IF(COUNTIF(Settings!$B$8:$B$17,"&lt;="&amp;B399)=0,Settings!$C$8,INDEX(Settings!$C$8:$C$17,COUNTIF(Settings!$B$8:$B$17,"&lt;="&amp;B399))))</f>
        <v/>
      </c>
      <c r="L399" s="56" t="str">
        <f aca="false">IF(K399="","",ROUND(J399*K399,2))</f>
        <v/>
      </c>
      <c r="M399" s="58" t="str">
        <f aca="false">IF(AND(B399="",F399="",G399="",H399=""),"",IF(NOT(ISNUMBER(B399)),"⚠ ADD DATE / AGREGA FECHA",IF(J399="","⚠ ADD MILES / AGREGA MILLAS",IF(AND(ISNUMBER(F399),ISNUMBER(G399)),IF(G399&lt;F399,"⚠ CHECK ODOMETER / REVISA ODÓMETRO","✔ OK"),"✔ OK"))))</f>
        <v/>
      </c>
      <c r="N399" s="53"/>
      <c r="P399" s="51" t="n">
        <f aca="false">IF(ISNUMBER(L399),1,0)</f>
        <v>0</v>
      </c>
      <c r="Q399" s="51" t="n">
        <f aca="false">IF(P399=1,YEAR(B399),0)</f>
        <v>0</v>
      </c>
      <c r="R399" s="51" t="n">
        <f aca="false">IF(P399=1,YEAR(B399)*100+MONTH(B399),0)</f>
        <v>0</v>
      </c>
    </row>
    <row r="400" customFormat="false" ht="15" hidden="false" customHeight="false" outlineLevel="0" collapsed="false">
      <c r="B400" s="52"/>
      <c r="C400" s="53"/>
      <c r="D400" s="53"/>
      <c r="E400" s="53"/>
      <c r="F400" s="59"/>
      <c r="G400" s="59"/>
      <c r="H400" s="59"/>
      <c r="I400" s="57"/>
      <c r="J400" s="60" t="str">
        <f aca="false">IF(AND(ISNUMBER(F400),ISNUMBER(G400)),MAX(0,G400-F400),IF(ISNUMBER(H400),H400*IF(I400="Yes / Sí",2,1),""))</f>
        <v/>
      </c>
      <c r="K400" s="61" t="str">
        <f aca="false">IF(OR(J400="",NOT(ISNUMBER(B400))),"",IF(COUNTIF(Settings!$B$8:$B$17,"&lt;="&amp;B400)=0,Settings!$C$8,INDEX(Settings!$C$8:$C$17,COUNTIF(Settings!$B$8:$B$17,"&lt;="&amp;B400))))</f>
        <v/>
      </c>
      <c r="L400" s="56" t="str">
        <f aca="false">IF(K400="","",ROUND(J400*K400,2))</f>
        <v/>
      </c>
      <c r="M400" s="58" t="str">
        <f aca="false">IF(AND(B400="",F400="",G400="",H400=""),"",IF(NOT(ISNUMBER(B400)),"⚠ ADD DATE / AGREGA FECHA",IF(J400="","⚠ ADD MILES / AGREGA MILLAS",IF(AND(ISNUMBER(F400),ISNUMBER(G400)),IF(G400&lt;F400,"⚠ CHECK ODOMETER / REVISA ODÓMETRO","✔ OK"),"✔ OK"))))</f>
        <v/>
      </c>
      <c r="N400" s="53"/>
      <c r="P400" s="51" t="n">
        <f aca="false">IF(ISNUMBER(L400),1,0)</f>
        <v>0</v>
      </c>
      <c r="Q400" s="51" t="n">
        <f aca="false">IF(P400=1,YEAR(B400),0)</f>
        <v>0</v>
      </c>
      <c r="R400" s="51" t="n">
        <f aca="false">IF(P400=1,YEAR(B400)*100+MONTH(B400),0)</f>
        <v>0</v>
      </c>
    </row>
    <row r="401" customFormat="false" ht="15" hidden="false" customHeight="false" outlineLevel="0" collapsed="false">
      <c r="B401" s="52"/>
      <c r="C401" s="53"/>
      <c r="D401" s="53"/>
      <c r="E401" s="53"/>
      <c r="F401" s="59"/>
      <c r="G401" s="59"/>
      <c r="H401" s="59"/>
      <c r="I401" s="57"/>
      <c r="J401" s="60" t="str">
        <f aca="false">IF(AND(ISNUMBER(F401),ISNUMBER(G401)),MAX(0,G401-F401),IF(ISNUMBER(H401),H401*IF(I401="Yes / Sí",2,1),""))</f>
        <v/>
      </c>
      <c r="K401" s="61" t="str">
        <f aca="false">IF(OR(J401="",NOT(ISNUMBER(B401))),"",IF(COUNTIF(Settings!$B$8:$B$17,"&lt;="&amp;B401)=0,Settings!$C$8,INDEX(Settings!$C$8:$C$17,COUNTIF(Settings!$B$8:$B$17,"&lt;="&amp;B401))))</f>
        <v/>
      </c>
      <c r="L401" s="56" t="str">
        <f aca="false">IF(K401="","",ROUND(J401*K401,2))</f>
        <v/>
      </c>
      <c r="M401" s="58" t="str">
        <f aca="false">IF(AND(B401="",F401="",G401="",H401=""),"",IF(NOT(ISNUMBER(B401)),"⚠ ADD DATE / AGREGA FECHA",IF(J401="","⚠ ADD MILES / AGREGA MILLAS",IF(AND(ISNUMBER(F401),ISNUMBER(G401)),IF(G401&lt;F401,"⚠ CHECK ODOMETER / REVISA ODÓMETRO","✔ OK"),"✔ OK"))))</f>
        <v/>
      </c>
      <c r="N401" s="53"/>
      <c r="P401" s="51" t="n">
        <f aca="false">IF(ISNUMBER(L401),1,0)</f>
        <v>0</v>
      </c>
      <c r="Q401" s="51" t="n">
        <f aca="false">IF(P401=1,YEAR(B401),0)</f>
        <v>0</v>
      </c>
      <c r="R401" s="51" t="n">
        <f aca="false">IF(P401=1,YEAR(B401)*100+MONTH(B401),0)</f>
        <v>0</v>
      </c>
    </row>
    <row r="402" customFormat="false" ht="15" hidden="false" customHeight="false" outlineLevel="0" collapsed="false">
      <c r="B402" s="52"/>
      <c r="C402" s="53"/>
      <c r="D402" s="53"/>
      <c r="E402" s="53"/>
      <c r="F402" s="59"/>
      <c r="G402" s="59"/>
      <c r="H402" s="59"/>
      <c r="I402" s="57"/>
      <c r="J402" s="60" t="str">
        <f aca="false">IF(AND(ISNUMBER(F402),ISNUMBER(G402)),MAX(0,G402-F402),IF(ISNUMBER(H402),H402*IF(I402="Yes / Sí",2,1),""))</f>
        <v/>
      </c>
      <c r="K402" s="61" t="str">
        <f aca="false">IF(OR(J402="",NOT(ISNUMBER(B402))),"",IF(COUNTIF(Settings!$B$8:$B$17,"&lt;="&amp;B402)=0,Settings!$C$8,INDEX(Settings!$C$8:$C$17,COUNTIF(Settings!$B$8:$B$17,"&lt;="&amp;B402))))</f>
        <v/>
      </c>
      <c r="L402" s="56" t="str">
        <f aca="false">IF(K402="","",ROUND(J402*K402,2))</f>
        <v/>
      </c>
      <c r="M402" s="58" t="str">
        <f aca="false">IF(AND(B402="",F402="",G402="",H402=""),"",IF(NOT(ISNUMBER(B402)),"⚠ ADD DATE / AGREGA FECHA",IF(J402="","⚠ ADD MILES / AGREGA MILLAS",IF(AND(ISNUMBER(F402),ISNUMBER(G402)),IF(G402&lt;F402,"⚠ CHECK ODOMETER / REVISA ODÓMETRO","✔ OK"),"✔ OK"))))</f>
        <v/>
      </c>
      <c r="N402" s="53"/>
      <c r="P402" s="51" t="n">
        <f aca="false">IF(ISNUMBER(L402),1,0)</f>
        <v>0</v>
      </c>
      <c r="Q402" s="51" t="n">
        <f aca="false">IF(P402=1,YEAR(B402),0)</f>
        <v>0</v>
      </c>
      <c r="R402" s="51" t="n">
        <f aca="false">IF(P402=1,YEAR(B402)*100+MONTH(B402),0)</f>
        <v>0</v>
      </c>
    </row>
    <row r="403" customFormat="false" ht="15" hidden="false" customHeight="false" outlineLevel="0" collapsed="false">
      <c r="B403" s="52"/>
      <c r="C403" s="53"/>
      <c r="D403" s="53"/>
      <c r="E403" s="53"/>
      <c r="F403" s="59"/>
      <c r="G403" s="59"/>
      <c r="H403" s="59"/>
      <c r="I403" s="57"/>
      <c r="J403" s="60" t="str">
        <f aca="false">IF(AND(ISNUMBER(F403),ISNUMBER(G403)),MAX(0,G403-F403),IF(ISNUMBER(H403),H403*IF(I403="Yes / Sí",2,1),""))</f>
        <v/>
      </c>
      <c r="K403" s="61" t="str">
        <f aca="false">IF(OR(J403="",NOT(ISNUMBER(B403))),"",IF(COUNTIF(Settings!$B$8:$B$17,"&lt;="&amp;B403)=0,Settings!$C$8,INDEX(Settings!$C$8:$C$17,COUNTIF(Settings!$B$8:$B$17,"&lt;="&amp;B403))))</f>
        <v/>
      </c>
      <c r="L403" s="56" t="str">
        <f aca="false">IF(K403="","",ROUND(J403*K403,2))</f>
        <v/>
      </c>
      <c r="M403" s="58" t="str">
        <f aca="false">IF(AND(B403="",F403="",G403="",H403=""),"",IF(NOT(ISNUMBER(B403)),"⚠ ADD DATE / AGREGA FECHA",IF(J403="","⚠ ADD MILES / AGREGA MILLAS",IF(AND(ISNUMBER(F403),ISNUMBER(G403)),IF(G403&lt;F403,"⚠ CHECK ODOMETER / REVISA ODÓMETRO","✔ OK"),"✔ OK"))))</f>
        <v/>
      </c>
      <c r="N403" s="53"/>
      <c r="P403" s="51" t="n">
        <f aca="false">IF(ISNUMBER(L403),1,0)</f>
        <v>0</v>
      </c>
      <c r="Q403" s="51" t="n">
        <f aca="false">IF(P403=1,YEAR(B403),0)</f>
        <v>0</v>
      </c>
      <c r="R403" s="51" t="n">
        <f aca="false">IF(P403=1,YEAR(B403)*100+MONTH(B403),0)</f>
        <v>0</v>
      </c>
    </row>
    <row r="404" customFormat="false" ht="15" hidden="false" customHeight="false" outlineLevel="0" collapsed="false">
      <c r="B404" s="52"/>
      <c r="C404" s="53"/>
      <c r="D404" s="53"/>
      <c r="E404" s="53"/>
      <c r="F404" s="59"/>
      <c r="G404" s="59"/>
      <c r="H404" s="59"/>
      <c r="I404" s="57"/>
      <c r="J404" s="60" t="str">
        <f aca="false">IF(AND(ISNUMBER(F404),ISNUMBER(G404)),MAX(0,G404-F404),IF(ISNUMBER(H404),H404*IF(I404="Yes / Sí",2,1),""))</f>
        <v/>
      </c>
      <c r="K404" s="61" t="str">
        <f aca="false">IF(OR(J404="",NOT(ISNUMBER(B404))),"",IF(COUNTIF(Settings!$B$8:$B$17,"&lt;="&amp;B404)=0,Settings!$C$8,INDEX(Settings!$C$8:$C$17,COUNTIF(Settings!$B$8:$B$17,"&lt;="&amp;B404))))</f>
        <v/>
      </c>
      <c r="L404" s="56" t="str">
        <f aca="false">IF(K404="","",ROUND(J404*K404,2))</f>
        <v/>
      </c>
      <c r="M404" s="58" t="str">
        <f aca="false">IF(AND(B404="",F404="",G404="",H404=""),"",IF(NOT(ISNUMBER(B404)),"⚠ ADD DATE / AGREGA FECHA",IF(J404="","⚠ ADD MILES / AGREGA MILLAS",IF(AND(ISNUMBER(F404),ISNUMBER(G404)),IF(G404&lt;F404,"⚠ CHECK ODOMETER / REVISA ODÓMETRO","✔ OK"),"✔ OK"))))</f>
        <v/>
      </c>
      <c r="N404" s="53"/>
      <c r="P404" s="51" t="n">
        <f aca="false">IF(ISNUMBER(L404),1,0)</f>
        <v>0</v>
      </c>
      <c r="Q404" s="51" t="n">
        <f aca="false">IF(P404=1,YEAR(B404),0)</f>
        <v>0</v>
      </c>
      <c r="R404" s="51" t="n">
        <f aca="false">IF(P404=1,YEAR(B404)*100+MONTH(B404),0)</f>
        <v>0</v>
      </c>
    </row>
    <row r="405" customFormat="false" ht="15" hidden="false" customHeight="false" outlineLevel="0" collapsed="false">
      <c r="B405" s="52"/>
      <c r="C405" s="53"/>
      <c r="D405" s="53"/>
      <c r="E405" s="53"/>
      <c r="F405" s="59"/>
      <c r="G405" s="59"/>
      <c r="H405" s="59"/>
      <c r="I405" s="57"/>
      <c r="J405" s="60" t="str">
        <f aca="false">IF(AND(ISNUMBER(F405),ISNUMBER(G405)),MAX(0,G405-F405),IF(ISNUMBER(H405),H405*IF(I405="Yes / Sí",2,1),""))</f>
        <v/>
      </c>
      <c r="K405" s="61" t="str">
        <f aca="false">IF(OR(J405="",NOT(ISNUMBER(B405))),"",IF(COUNTIF(Settings!$B$8:$B$17,"&lt;="&amp;B405)=0,Settings!$C$8,INDEX(Settings!$C$8:$C$17,COUNTIF(Settings!$B$8:$B$17,"&lt;="&amp;B405))))</f>
        <v/>
      </c>
      <c r="L405" s="56" t="str">
        <f aca="false">IF(K405="","",ROUND(J405*K405,2))</f>
        <v/>
      </c>
      <c r="M405" s="58" t="str">
        <f aca="false">IF(AND(B405="",F405="",G405="",H405=""),"",IF(NOT(ISNUMBER(B405)),"⚠ ADD DATE / AGREGA FECHA",IF(J405="","⚠ ADD MILES / AGREGA MILLAS",IF(AND(ISNUMBER(F405),ISNUMBER(G405)),IF(G405&lt;F405,"⚠ CHECK ODOMETER / REVISA ODÓMETRO","✔ OK"),"✔ OK"))))</f>
        <v/>
      </c>
      <c r="N405" s="53"/>
      <c r="P405" s="51" t="n">
        <f aca="false">IF(ISNUMBER(L405),1,0)</f>
        <v>0</v>
      </c>
      <c r="Q405" s="51" t="n">
        <f aca="false">IF(P405=1,YEAR(B405),0)</f>
        <v>0</v>
      </c>
      <c r="R405" s="51" t="n">
        <f aca="false">IF(P405=1,YEAR(B405)*100+MONTH(B405),0)</f>
        <v>0</v>
      </c>
    </row>
    <row r="406" customFormat="false" ht="15" hidden="false" customHeight="false" outlineLevel="0" collapsed="false">
      <c r="B406" s="52"/>
      <c r="C406" s="53"/>
      <c r="D406" s="53"/>
      <c r="E406" s="53"/>
      <c r="F406" s="59"/>
      <c r="G406" s="59"/>
      <c r="H406" s="59"/>
      <c r="I406" s="57"/>
      <c r="J406" s="60" t="str">
        <f aca="false">IF(AND(ISNUMBER(F406),ISNUMBER(G406)),MAX(0,G406-F406),IF(ISNUMBER(H406),H406*IF(I406="Yes / Sí",2,1),""))</f>
        <v/>
      </c>
      <c r="K406" s="61" t="str">
        <f aca="false">IF(OR(J406="",NOT(ISNUMBER(B406))),"",IF(COUNTIF(Settings!$B$8:$B$17,"&lt;="&amp;B406)=0,Settings!$C$8,INDEX(Settings!$C$8:$C$17,COUNTIF(Settings!$B$8:$B$17,"&lt;="&amp;B406))))</f>
        <v/>
      </c>
      <c r="L406" s="56" t="str">
        <f aca="false">IF(K406="","",ROUND(J406*K406,2))</f>
        <v/>
      </c>
      <c r="M406" s="58" t="str">
        <f aca="false">IF(AND(B406="",F406="",G406="",H406=""),"",IF(NOT(ISNUMBER(B406)),"⚠ ADD DATE / AGREGA FECHA",IF(J406="","⚠ ADD MILES / AGREGA MILLAS",IF(AND(ISNUMBER(F406),ISNUMBER(G406)),IF(G406&lt;F406,"⚠ CHECK ODOMETER / REVISA ODÓMETRO","✔ OK"),"✔ OK"))))</f>
        <v/>
      </c>
      <c r="N406" s="53"/>
      <c r="P406" s="51" t="n">
        <f aca="false">IF(ISNUMBER(L406),1,0)</f>
        <v>0</v>
      </c>
      <c r="Q406" s="51" t="n">
        <f aca="false">IF(P406=1,YEAR(B406),0)</f>
        <v>0</v>
      </c>
      <c r="R406" s="51" t="n">
        <f aca="false">IF(P406=1,YEAR(B406)*100+MONTH(B406),0)</f>
        <v>0</v>
      </c>
    </row>
    <row r="407" customFormat="false" ht="15" hidden="false" customHeight="false" outlineLevel="0" collapsed="false">
      <c r="B407" s="52"/>
      <c r="C407" s="53"/>
      <c r="D407" s="53"/>
      <c r="E407" s="53"/>
      <c r="F407" s="59"/>
      <c r="G407" s="59"/>
      <c r="H407" s="59"/>
      <c r="I407" s="57"/>
      <c r="J407" s="60" t="str">
        <f aca="false">IF(AND(ISNUMBER(F407),ISNUMBER(G407)),MAX(0,G407-F407),IF(ISNUMBER(H407),H407*IF(I407="Yes / Sí",2,1),""))</f>
        <v/>
      </c>
      <c r="K407" s="61" t="str">
        <f aca="false">IF(OR(J407="",NOT(ISNUMBER(B407))),"",IF(COUNTIF(Settings!$B$8:$B$17,"&lt;="&amp;B407)=0,Settings!$C$8,INDEX(Settings!$C$8:$C$17,COUNTIF(Settings!$B$8:$B$17,"&lt;="&amp;B407))))</f>
        <v/>
      </c>
      <c r="L407" s="56" t="str">
        <f aca="false">IF(K407="","",ROUND(J407*K407,2))</f>
        <v/>
      </c>
      <c r="M407" s="58" t="str">
        <f aca="false">IF(AND(B407="",F407="",G407="",H407=""),"",IF(NOT(ISNUMBER(B407)),"⚠ ADD DATE / AGREGA FECHA",IF(J407="","⚠ ADD MILES / AGREGA MILLAS",IF(AND(ISNUMBER(F407),ISNUMBER(G407)),IF(G407&lt;F407,"⚠ CHECK ODOMETER / REVISA ODÓMETRO","✔ OK"),"✔ OK"))))</f>
        <v/>
      </c>
      <c r="N407" s="53"/>
      <c r="P407" s="51" t="n">
        <f aca="false">IF(ISNUMBER(L407),1,0)</f>
        <v>0</v>
      </c>
      <c r="Q407" s="51" t="n">
        <f aca="false">IF(P407=1,YEAR(B407),0)</f>
        <v>0</v>
      </c>
      <c r="R407" s="51" t="n">
        <f aca="false">IF(P407=1,YEAR(B407)*100+MONTH(B407),0)</f>
        <v>0</v>
      </c>
    </row>
    <row r="408" customFormat="false" ht="15" hidden="false" customHeight="false" outlineLevel="0" collapsed="false">
      <c r="B408" s="52"/>
      <c r="C408" s="53"/>
      <c r="D408" s="53"/>
      <c r="E408" s="53"/>
      <c r="F408" s="59"/>
      <c r="G408" s="59"/>
      <c r="H408" s="59"/>
      <c r="I408" s="57"/>
      <c r="J408" s="60" t="str">
        <f aca="false">IF(AND(ISNUMBER(F408),ISNUMBER(G408)),MAX(0,G408-F408),IF(ISNUMBER(H408),H408*IF(I408="Yes / Sí",2,1),""))</f>
        <v/>
      </c>
      <c r="K408" s="61" t="str">
        <f aca="false">IF(OR(J408="",NOT(ISNUMBER(B408))),"",IF(COUNTIF(Settings!$B$8:$B$17,"&lt;="&amp;B408)=0,Settings!$C$8,INDEX(Settings!$C$8:$C$17,COUNTIF(Settings!$B$8:$B$17,"&lt;="&amp;B408))))</f>
        <v/>
      </c>
      <c r="L408" s="56" t="str">
        <f aca="false">IF(K408="","",ROUND(J408*K408,2))</f>
        <v/>
      </c>
      <c r="M408" s="58" t="str">
        <f aca="false">IF(AND(B408="",F408="",G408="",H408=""),"",IF(NOT(ISNUMBER(B408)),"⚠ ADD DATE / AGREGA FECHA",IF(J408="","⚠ ADD MILES / AGREGA MILLAS",IF(AND(ISNUMBER(F408),ISNUMBER(G408)),IF(G408&lt;F408,"⚠ CHECK ODOMETER / REVISA ODÓMETRO","✔ OK"),"✔ OK"))))</f>
        <v/>
      </c>
      <c r="N408" s="53"/>
      <c r="P408" s="51" t="n">
        <f aca="false">IF(ISNUMBER(L408),1,0)</f>
        <v>0</v>
      </c>
      <c r="Q408" s="51" t="n">
        <f aca="false">IF(P408=1,YEAR(B408),0)</f>
        <v>0</v>
      </c>
      <c r="R408" s="51" t="n">
        <f aca="false">IF(P408=1,YEAR(B408)*100+MONTH(B408),0)</f>
        <v>0</v>
      </c>
    </row>
    <row r="409" customFormat="false" ht="15" hidden="false" customHeight="false" outlineLevel="0" collapsed="false">
      <c r="B409" s="52"/>
      <c r="C409" s="53"/>
      <c r="D409" s="53"/>
      <c r="E409" s="53"/>
      <c r="F409" s="59"/>
      <c r="G409" s="59"/>
      <c r="H409" s="59"/>
      <c r="I409" s="57"/>
      <c r="J409" s="60" t="str">
        <f aca="false">IF(AND(ISNUMBER(F409),ISNUMBER(G409)),MAX(0,G409-F409),IF(ISNUMBER(H409),H409*IF(I409="Yes / Sí",2,1),""))</f>
        <v/>
      </c>
      <c r="K409" s="61" t="str">
        <f aca="false">IF(OR(J409="",NOT(ISNUMBER(B409))),"",IF(COUNTIF(Settings!$B$8:$B$17,"&lt;="&amp;B409)=0,Settings!$C$8,INDEX(Settings!$C$8:$C$17,COUNTIF(Settings!$B$8:$B$17,"&lt;="&amp;B409))))</f>
        <v/>
      </c>
      <c r="L409" s="56" t="str">
        <f aca="false">IF(K409="","",ROUND(J409*K409,2))</f>
        <v/>
      </c>
      <c r="M409" s="58" t="str">
        <f aca="false">IF(AND(B409="",F409="",G409="",H409=""),"",IF(NOT(ISNUMBER(B409)),"⚠ ADD DATE / AGREGA FECHA",IF(J409="","⚠ ADD MILES / AGREGA MILLAS",IF(AND(ISNUMBER(F409),ISNUMBER(G409)),IF(G409&lt;F409,"⚠ CHECK ODOMETER / REVISA ODÓMETRO","✔ OK"),"✔ OK"))))</f>
        <v/>
      </c>
      <c r="N409" s="53"/>
      <c r="P409" s="51" t="n">
        <f aca="false">IF(ISNUMBER(L409),1,0)</f>
        <v>0</v>
      </c>
      <c r="Q409" s="51" t="n">
        <f aca="false">IF(P409=1,YEAR(B409),0)</f>
        <v>0</v>
      </c>
      <c r="R409" s="51" t="n">
        <f aca="false">IF(P409=1,YEAR(B409)*100+MONTH(B409),0)</f>
        <v>0</v>
      </c>
    </row>
    <row r="410" customFormat="false" ht="15" hidden="false" customHeight="false" outlineLevel="0" collapsed="false">
      <c r="B410" s="52"/>
      <c r="C410" s="53"/>
      <c r="D410" s="53"/>
      <c r="E410" s="53"/>
      <c r="F410" s="59"/>
      <c r="G410" s="59"/>
      <c r="H410" s="59"/>
      <c r="I410" s="57"/>
      <c r="J410" s="60" t="str">
        <f aca="false">IF(AND(ISNUMBER(F410),ISNUMBER(G410)),MAX(0,G410-F410),IF(ISNUMBER(H410),H410*IF(I410="Yes / Sí",2,1),""))</f>
        <v/>
      </c>
      <c r="K410" s="61" t="str">
        <f aca="false">IF(OR(J410="",NOT(ISNUMBER(B410))),"",IF(COUNTIF(Settings!$B$8:$B$17,"&lt;="&amp;B410)=0,Settings!$C$8,INDEX(Settings!$C$8:$C$17,COUNTIF(Settings!$B$8:$B$17,"&lt;="&amp;B410))))</f>
        <v/>
      </c>
      <c r="L410" s="56" t="str">
        <f aca="false">IF(K410="","",ROUND(J410*K410,2))</f>
        <v/>
      </c>
      <c r="M410" s="58" t="str">
        <f aca="false">IF(AND(B410="",F410="",G410="",H410=""),"",IF(NOT(ISNUMBER(B410)),"⚠ ADD DATE / AGREGA FECHA",IF(J410="","⚠ ADD MILES / AGREGA MILLAS",IF(AND(ISNUMBER(F410),ISNUMBER(G410)),IF(G410&lt;F410,"⚠ CHECK ODOMETER / REVISA ODÓMETRO","✔ OK"),"✔ OK"))))</f>
        <v/>
      </c>
      <c r="N410" s="53"/>
      <c r="P410" s="51" t="n">
        <f aca="false">IF(ISNUMBER(L410),1,0)</f>
        <v>0</v>
      </c>
      <c r="Q410" s="51" t="n">
        <f aca="false">IF(P410=1,YEAR(B410),0)</f>
        <v>0</v>
      </c>
      <c r="R410" s="51" t="n">
        <f aca="false">IF(P410=1,YEAR(B410)*100+MONTH(B410),0)</f>
        <v>0</v>
      </c>
    </row>
    <row r="411" customFormat="false" ht="15" hidden="false" customHeight="false" outlineLevel="0" collapsed="false">
      <c r="B411" s="52"/>
      <c r="C411" s="53"/>
      <c r="D411" s="53"/>
      <c r="E411" s="53"/>
      <c r="F411" s="59"/>
      <c r="G411" s="59"/>
      <c r="H411" s="59"/>
      <c r="I411" s="57"/>
      <c r="J411" s="60" t="str">
        <f aca="false">IF(AND(ISNUMBER(F411),ISNUMBER(G411)),MAX(0,G411-F411),IF(ISNUMBER(H411),H411*IF(I411="Yes / Sí",2,1),""))</f>
        <v/>
      </c>
      <c r="K411" s="61" t="str">
        <f aca="false">IF(OR(J411="",NOT(ISNUMBER(B411))),"",IF(COUNTIF(Settings!$B$8:$B$17,"&lt;="&amp;B411)=0,Settings!$C$8,INDEX(Settings!$C$8:$C$17,COUNTIF(Settings!$B$8:$B$17,"&lt;="&amp;B411))))</f>
        <v/>
      </c>
      <c r="L411" s="56" t="str">
        <f aca="false">IF(K411="","",ROUND(J411*K411,2))</f>
        <v/>
      </c>
      <c r="M411" s="58" t="str">
        <f aca="false">IF(AND(B411="",F411="",G411="",H411=""),"",IF(NOT(ISNUMBER(B411)),"⚠ ADD DATE / AGREGA FECHA",IF(J411="","⚠ ADD MILES / AGREGA MILLAS",IF(AND(ISNUMBER(F411),ISNUMBER(G411)),IF(G411&lt;F411,"⚠ CHECK ODOMETER / REVISA ODÓMETRO","✔ OK"),"✔ OK"))))</f>
        <v/>
      </c>
      <c r="N411" s="53"/>
      <c r="P411" s="51" t="n">
        <f aca="false">IF(ISNUMBER(L411),1,0)</f>
        <v>0</v>
      </c>
      <c r="Q411" s="51" t="n">
        <f aca="false">IF(P411=1,YEAR(B411),0)</f>
        <v>0</v>
      </c>
      <c r="R411" s="51" t="n">
        <f aca="false">IF(P411=1,YEAR(B411)*100+MONTH(B411),0)</f>
        <v>0</v>
      </c>
    </row>
    <row r="412" customFormat="false" ht="15" hidden="false" customHeight="false" outlineLevel="0" collapsed="false">
      <c r="B412" s="52"/>
      <c r="C412" s="53"/>
      <c r="D412" s="53"/>
      <c r="E412" s="53"/>
      <c r="F412" s="59"/>
      <c r="G412" s="59"/>
      <c r="H412" s="59"/>
      <c r="I412" s="57"/>
      <c r="J412" s="60" t="str">
        <f aca="false">IF(AND(ISNUMBER(F412),ISNUMBER(G412)),MAX(0,G412-F412),IF(ISNUMBER(H412),H412*IF(I412="Yes / Sí",2,1),""))</f>
        <v/>
      </c>
      <c r="K412" s="61" t="str">
        <f aca="false">IF(OR(J412="",NOT(ISNUMBER(B412))),"",IF(COUNTIF(Settings!$B$8:$B$17,"&lt;="&amp;B412)=0,Settings!$C$8,INDEX(Settings!$C$8:$C$17,COUNTIF(Settings!$B$8:$B$17,"&lt;="&amp;B412))))</f>
        <v/>
      </c>
      <c r="L412" s="56" t="str">
        <f aca="false">IF(K412="","",ROUND(J412*K412,2))</f>
        <v/>
      </c>
      <c r="M412" s="58" t="str">
        <f aca="false">IF(AND(B412="",F412="",G412="",H412=""),"",IF(NOT(ISNUMBER(B412)),"⚠ ADD DATE / AGREGA FECHA",IF(J412="","⚠ ADD MILES / AGREGA MILLAS",IF(AND(ISNUMBER(F412),ISNUMBER(G412)),IF(G412&lt;F412,"⚠ CHECK ODOMETER / REVISA ODÓMETRO","✔ OK"),"✔ OK"))))</f>
        <v/>
      </c>
      <c r="N412" s="53"/>
      <c r="P412" s="51" t="n">
        <f aca="false">IF(ISNUMBER(L412),1,0)</f>
        <v>0</v>
      </c>
      <c r="Q412" s="51" t="n">
        <f aca="false">IF(P412=1,YEAR(B412),0)</f>
        <v>0</v>
      </c>
      <c r="R412" s="51" t="n">
        <f aca="false">IF(P412=1,YEAR(B412)*100+MONTH(B412),0)</f>
        <v>0</v>
      </c>
    </row>
    <row r="413" customFormat="false" ht="15" hidden="false" customHeight="false" outlineLevel="0" collapsed="false">
      <c r="B413" s="52"/>
      <c r="C413" s="53"/>
      <c r="D413" s="53"/>
      <c r="E413" s="53"/>
      <c r="F413" s="59"/>
      <c r="G413" s="59"/>
      <c r="H413" s="59"/>
      <c r="I413" s="57"/>
      <c r="J413" s="60" t="str">
        <f aca="false">IF(AND(ISNUMBER(F413),ISNUMBER(G413)),MAX(0,G413-F413),IF(ISNUMBER(H413),H413*IF(I413="Yes / Sí",2,1),""))</f>
        <v/>
      </c>
      <c r="K413" s="61" t="str">
        <f aca="false">IF(OR(J413="",NOT(ISNUMBER(B413))),"",IF(COUNTIF(Settings!$B$8:$B$17,"&lt;="&amp;B413)=0,Settings!$C$8,INDEX(Settings!$C$8:$C$17,COUNTIF(Settings!$B$8:$B$17,"&lt;="&amp;B413))))</f>
        <v/>
      </c>
      <c r="L413" s="56" t="str">
        <f aca="false">IF(K413="","",ROUND(J413*K413,2))</f>
        <v/>
      </c>
      <c r="M413" s="58" t="str">
        <f aca="false">IF(AND(B413="",F413="",G413="",H413=""),"",IF(NOT(ISNUMBER(B413)),"⚠ ADD DATE / AGREGA FECHA",IF(J413="","⚠ ADD MILES / AGREGA MILLAS",IF(AND(ISNUMBER(F413),ISNUMBER(G413)),IF(G413&lt;F413,"⚠ CHECK ODOMETER / REVISA ODÓMETRO","✔ OK"),"✔ OK"))))</f>
        <v/>
      </c>
      <c r="N413" s="53"/>
      <c r="P413" s="51" t="n">
        <f aca="false">IF(ISNUMBER(L413),1,0)</f>
        <v>0</v>
      </c>
      <c r="Q413" s="51" t="n">
        <f aca="false">IF(P413=1,YEAR(B413),0)</f>
        <v>0</v>
      </c>
      <c r="R413" s="51" t="n">
        <f aca="false">IF(P413=1,YEAR(B413)*100+MONTH(B413),0)</f>
        <v>0</v>
      </c>
    </row>
    <row r="414" customFormat="false" ht="15" hidden="false" customHeight="false" outlineLevel="0" collapsed="false">
      <c r="B414" s="52"/>
      <c r="C414" s="53"/>
      <c r="D414" s="53"/>
      <c r="E414" s="53"/>
      <c r="F414" s="59"/>
      <c r="G414" s="59"/>
      <c r="H414" s="59"/>
      <c r="I414" s="57"/>
      <c r="J414" s="60" t="str">
        <f aca="false">IF(AND(ISNUMBER(F414),ISNUMBER(G414)),MAX(0,G414-F414),IF(ISNUMBER(H414),H414*IF(I414="Yes / Sí",2,1),""))</f>
        <v/>
      </c>
      <c r="K414" s="61" t="str">
        <f aca="false">IF(OR(J414="",NOT(ISNUMBER(B414))),"",IF(COUNTIF(Settings!$B$8:$B$17,"&lt;="&amp;B414)=0,Settings!$C$8,INDEX(Settings!$C$8:$C$17,COUNTIF(Settings!$B$8:$B$17,"&lt;="&amp;B414))))</f>
        <v/>
      </c>
      <c r="L414" s="56" t="str">
        <f aca="false">IF(K414="","",ROUND(J414*K414,2))</f>
        <v/>
      </c>
      <c r="M414" s="58" t="str">
        <f aca="false">IF(AND(B414="",F414="",G414="",H414=""),"",IF(NOT(ISNUMBER(B414)),"⚠ ADD DATE / AGREGA FECHA",IF(J414="","⚠ ADD MILES / AGREGA MILLAS",IF(AND(ISNUMBER(F414),ISNUMBER(G414)),IF(G414&lt;F414,"⚠ CHECK ODOMETER / REVISA ODÓMETRO","✔ OK"),"✔ OK"))))</f>
        <v/>
      </c>
      <c r="N414" s="53"/>
      <c r="P414" s="51" t="n">
        <f aca="false">IF(ISNUMBER(L414),1,0)</f>
        <v>0</v>
      </c>
      <c r="Q414" s="51" t="n">
        <f aca="false">IF(P414=1,YEAR(B414),0)</f>
        <v>0</v>
      </c>
      <c r="R414" s="51" t="n">
        <f aca="false">IF(P414=1,YEAR(B414)*100+MONTH(B414),0)</f>
        <v>0</v>
      </c>
    </row>
    <row r="415" customFormat="false" ht="15" hidden="false" customHeight="false" outlineLevel="0" collapsed="false">
      <c r="B415" s="52"/>
      <c r="C415" s="53"/>
      <c r="D415" s="53"/>
      <c r="E415" s="53"/>
      <c r="F415" s="59"/>
      <c r="G415" s="59"/>
      <c r="H415" s="59"/>
      <c r="I415" s="57"/>
      <c r="J415" s="60" t="str">
        <f aca="false">IF(AND(ISNUMBER(F415),ISNUMBER(G415)),MAX(0,G415-F415),IF(ISNUMBER(H415),H415*IF(I415="Yes / Sí",2,1),""))</f>
        <v/>
      </c>
      <c r="K415" s="61" t="str">
        <f aca="false">IF(OR(J415="",NOT(ISNUMBER(B415))),"",IF(COUNTIF(Settings!$B$8:$B$17,"&lt;="&amp;B415)=0,Settings!$C$8,INDEX(Settings!$C$8:$C$17,COUNTIF(Settings!$B$8:$B$17,"&lt;="&amp;B415))))</f>
        <v/>
      </c>
      <c r="L415" s="56" t="str">
        <f aca="false">IF(K415="","",ROUND(J415*K415,2))</f>
        <v/>
      </c>
      <c r="M415" s="58" t="str">
        <f aca="false">IF(AND(B415="",F415="",G415="",H415=""),"",IF(NOT(ISNUMBER(B415)),"⚠ ADD DATE / AGREGA FECHA",IF(J415="","⚠ ADD MILES / AGREGA MILLAS",IF(AND(ISNUMBER(F415),ISNUMBER(G415)),IF(G415&lt;F415,"⚠ CHECK ODOMETER / REVISA ODÓMETRO","✔ OK"),"✔ OK"))))</f>
        <v/>
      </c>
      <c r="N415" s="53"/>
      <c r="P415" s="51" t="n">
        <f aca="false">IF(ISNUMBER(L415),1,0)</f>
        <v>0</v>
      </c>
      <c r="Q415" s="51" t="n">
        <f aca="false">IF(P415=1,YEAR(B415),0)</f>
        <v>0</v>
      </c>
      <c r="R415" s="51" t="n">
        <f aca="false">IF(P415=1,YEAR(B415)*100+MONTH(B415),0)</f>
        <v>0</v>
      </c>
    </row>
    <row r="416" customFormat="false" ht="15" hidden="false" customHeight="false" outlineLevel="0" collapsed="false">
      <c r="B416" s="52"/>
      <c r="C416" s="53"/>
      <c r="D416" s="53"/>
      <c r="E416" s="53"/>
      <c r="F416" s="59"/>
      <c r="G416" s="59"/>
      <c r="H416" s="59"/>
      <c r="I416" s="57"/>
      <c r="J416" s="60" t="str">
        <f aca="false">IF(AND(ISNUMBER(F416),ISNUMBER(G416)),MAX(0,G416-F416),IF(ISNUMBER(H416),H416*IF(I416="Yes / Sí",2,1),""))</f>
        <v/>
      </c>
      <c r="K416" s="61" t="str">
        <f aca="false">IF(OR(J416="",NOT(ISNUMBER(B416))),"",IF(COUNTIF(Settings!$B$8:$B$17,"&lt;="&amp;B416)=0,Settings!$C$8,INDEX(Settings!$C$8:$C$17,COUNTIF(Settings!$B$8:$B$17,"&lt;="&amp;B416))))</f>
        <v/>
      </c>
      <c r="L416" s="56" t="str">
        <f aca="false">IF(K416="","",ROUND(J416*K416,2))</f>
        <v/>
      </c>
      <c r="M416" s="58" t="str">
        <f aca="false">IF(AND(B416="",F416="",G416="",H416=""),"",IF(NOT(ISNUMBER(B416)),"⚠ ADD DATE / AGREGA FECHA",IF(J416="","⚠ ADD MILES / AGREGA MILLAS",IF(AND(ISNUMBER(F416),ISNUMBER(G416)),IF(G416&lt;F416,"⚠ CHECK ODOMETER / REVISA ODÓMETRO","✔ OK"),"✔ OK"))))</f>
        <v/>
      </c>
      <c r="N416" s="53"/>
      <c r="P416" s="51" t="n">
        <f aca="false">IF(ISNUMBER(L416),1,0)</f>
        <v>0</v>
      </c>
      <c r="Q416" s="51" t="n">
        <f aca="false">IF(P416=1,YEAR(B416),0)</f>
        <v>0</v>
      </c>
      <c r="R416" s="51" t="n">
        <f aca="false">IF(P416=1,YEAR(B416)*100+MONTH(B416),0)</f>
        <v>0</v>
      </c>
    </row>
    <row r="417" customFormat="false" ht="15" hidden="false" customHeight="false" outlineLevel="0" collapsed="false">
      <c r="B417" s="52"/>
      <c r="C417" s="53"/>
      <c r="D417" s="53"/>
      <c r="E417" s="53"/>
      <c r="F417" s="59"/>
      <c r="G417" s="59"/>
      <c r="H417" s="59"/>
      <c r="I417" s="57"/>
      <c r="J417" s="60" t="str">
        <f aca="false">IF(AND(ISNUMBER(F417),ISNUMBER(G417)),MAX(0,G417-F417),IF(ISNUMBER(H417),H417*IF(I417="Yes / Sí",2,1),""))</f>
        <v/>
      </c>
      <c r="K417" s="61" t="str">
        <f aca="false">IF(OR(J417="",NOT(ISNUMBER(B417))),"",IF(COUNTIF(Settings!$B$8:$B$17,"&lt;="&amp;B417)=0,Settings!$C$8,INDEX(Settings!$C$8:$C$17,COUNTIF(Settings!$B$8:$B$17,"&lt;="&amp;B417))))</f>
        <v/>
      </c>
      <c r="L417" s="56" t="str">
        <f aca="false">IF(K417="","",ROUND(J417*K417,2))</f>
        <v/>
      </c>
      <c r="M417" s="58" t="str">
        <f aca="false">IF(AND(B417="",F417="",G417="",H417=""),"",IF(NOT(ISNUMBER(B417)),"⚠ ADD DATE / AGREGA FECHA",IF(J417="","⚠ ADD MILES / AGREGA MILLAS",IF(AND(ISNUMBER(F417),ISNUMBER(G417)),IF(G417&lt;F417,"⚠ CHECK ODOMETER / REVISA ODÓMETRO","✔ OK"),"✔ OK"))))</f>
        <v/>
      </c>
      <c r="N417" s="53"/>
      <c r="P417" s="51" t="n">
        <f aca="false">IF(ISNUMBER(L417),1,0)</f>
        <v>0</v>
      </c>
      <c r="Q417" s="51" t="n">
        <f aca="false">IF(P417=1,YEAR(B417),0)</f>
        <v>0</v>
      </c>
      <c r="R417" s="51" t="n">
        <f aca="false">IF(P417=1,YEAR(B417)*100+MONTH(B417),0)</f>
        <v>0</v>
      </c>
    </row>
    <row r="418" customFormat="false" ht="15" hidden="false" customHeight="false" outlineLevel="0" collapsed="false">
      <c r="B418" s="52"/>
      <c r="C418" s="53"/>
      <c r="D418" s="53"/>
      <c r="E418" s="53"/>
      <c r="F418" s="59"/>
      <c r="G418" s="59"/>
      <c r="H418" s="59"/>
      <c r="I418" s="57"/>
      <c r="J418" s="60" t="str">
        <f aca="false">IF(AND(ISNUMBER(F418),ISNUMBER(G418)),MAX(0,G418-F418),IF(ISNUMBER(H418),H418*IF(I418="Yes / Sí",2,1),""))</f>
        <v/>
      </c>
      <c r="K418" s="61" t="str">
        <f aca="false">IF(OR(J418="",NOT(ISNUMBER(B418))),"",IF(COUNTIF(Settings!$B$8:$B$17,"&lt;="&amp;B418)=0,Settings!$C$8,INDEX(Settings!$C$8:$C$17,COUNTIF(Settings!$B$8:$B$17,"&lt;="&amp;B418))))</f>
        <v/>
      </c>
      <c r="L418" s="56" t="str">
        <f aca="false">IF(K418="","",ROUND(J418*K418,2))</f>
        <v/>
      </c>
      <c r="M418" s="58" t="str">
        <f aca="false">IF(AND(B418="",F418="",G418="",H418=""),"",IF(NOT(ISNUMBER(B418)),"⚠ ADD DATE / AGREGA FECHA",IF(J418="","⚠ ADD MILES / AGREGA MILLAS",IF(AND(ISNUMBER(F418),ISNUMBER(G418)),IF(G418&lt;F418,"⚠ CHECK ODOMETER / REVISA ODÓMETRO","✔ OK"),"✔ OK"))))</f>
        <v/>
      </c>
      <c r="N418" s="53"/>
      <c r="P418" s="51" t="n">
        <f aca="false">IF(ISNUMBER(L418),1,0)</f>
        <v>0</v>
      </c>
      <c r="Q418" s="51" t="n">
        <f aca="false">IF(P418=1,YEAR(B418),0)</f>
        <v>0</v>
      </c>
      <c r="R418" s="51" t="n">
        <f aca="false">IF(P418=1,YEAR(B418)*100+MONTH(B418),0)</f>
        <v>0</v>
      </c>
    </row>
    <row r="419" customFormat="false" ht="15" hidden="false" customHeight="false" outlineLevel="0" collapsed="false">
      <c r="B419" s="52"/>
      <c r="C419" s="53"/>
      <c r="D419" s="53"/>
      <c r="E419" s="53"/>
      <c r="F419" s="59"/>
      <c r="G419" s="59"/>
      <c r="H419" s="59"/>
      <c r="I419" s="57"/>
      <c r="J419" s="60" t="str">
        <f aca="false">IF(AND(ISNUMBER(F419),ISNUMBER(G419)),MAX(0,G419-F419),IF(ISNUMBER(H419),H419*IF(I419="Yes / Sí",2,1),""))</f>
        <v/>
      </c>
      <c r="K419" s="61" t="str">
        <f aca="false">IF(OR(J419="",NOT(ISNUMBER(B419))),"",IF(COUNTIF(Settings!$B$8:$B$17,"&lt;="&amp;B419)=0,Settings!$C$8,INDEX(Settings!$C$8:$C$17,COUNTIF(Settings!$B$8:$B$17,"&lt;="&amp;B419))))</f>
        <v/>
      </c>
      <c r="L419" s="56" t="str">
        <f aca="false">IF(K419="","",ROUND(J419*K419,2))</f>
        <v/>
      </c>
      <c r="M419" s="58" t="str">
        <f aca="false">IF(AND(B419="",F419="",G419="",H419=""),"",IF(NOT(ISNUMBER(B419)),"⚠ ADD DATE / AGREGA FECHA",IF(J419="","⚠ ADD MILES / AGREGA MILLAS",IF(AND(ISNUMBER(F419),ISNUMBER(G419)),IF(G419&lt;F419,"⚠ CHECK ODOMETER / REVISA ODÓMETRO","✔ OK"),"✔ OK"))))</f>
        <v/>
      </c>
      <c r="N419" s="53"/>
      <c r="P419" s="51" t="n">
        <f aca="false">IF(ISNUMBER(L419),1,0)</f>
        <v>0</v>
      </c>
      <c r="Q419" s="51" t="n">
        <f aca="false">IF(P419=1,YEAR(B419),0)</f>
        <v>0</v>
      </c>
      <c r="R419" s="51" t="n">
        <f aca="false">IF(P419=1,YEAR(B419)*100+MONTH(B419),0)</f>
        <v>0</v>
      </c>
    </row>
    <row r="420" customFormat="false" ht="15" hidden="false" customHeight="false" outlineLevel="0" collapsed="false">
      <c r="B420" s="52"/>
      <c r="C420" s="53"/>
      <c r="D420" s="53"/>
      <c r="E420" s="53"/>
      <c r="F420" s="59"/>
      <c r="G420" s="59"/>
      <c r="H420" s="59"/>
      <c r="I420" s="57"/>
      <c r="J420" s="60" t="str">
        <f aca="false">IF(AND(ISNUMBER(F420),ISNUMBER(G420)),MAX(0,G420-F420),IF(ISNUMBER(H420),H420*IF(I420="Yes / Sí",2,1),""))</f>
        <v/>
      </c>
      <c r="K420" s="61" t="str">
        <f aca="false">IF(OR(J420="",NOT(ISNUMBER(B420))),"",IF(COUNTIF(Settings!$B$8:$B$17,"&lt;="&amp;B420)=0,Settings!$C$8,INDEX(Settings!$C$8:$C$17,COUNTIF(Settings!$B$8:$B$17,"&lt;="&amp;B420))))</f>
        <v/>
      </c>
      <c r="L420" s="56" t="str">
        <f aca="false">IF(K420="","",ROUND(J420*K420,2))</f>
        <v/>
      </c>
      <c r="M420" s="58" t="str">
        <f aca="false">IF(AND(B420="",F420="",G420="",H420=""),"",IF(NOT(ISNUMBER(B420)),"⚠ ADD DATE / AGREGA FECHA",IF(J420="","⚠ ADD MILES / AGREGA MILLAS",IF(AND(ISNUMBER(F420),ISNUMBER(G420)),IF(G420&lt;F420,"⚠ CHECK ODOMETER / REVISA ODÓMETRO","✔ OK"),"✔ OK"))))</f>
        <v/>
      </c>
      <c r="N420" s="53"/>
      <c r="P420" s="51" t="n">
        <f aca="false">IF(ISNUMBER(L420),1,0)</f>
        <v>0</v>
      </c>
      <c r="Q420" s="51" t="n">
        <f aca="false">IF(P420=1,YEAR(B420),0)</f>
        <v>0</v>
      </c>
      <c r="R420" s="51" t="n">
        <f aca="false">IF(P420=1,YEAR(B420)*100+MONTH(B420),0)</f>
        <v>0</v>
      </c>
    </row>
    <row r="421" customFormat="false" ht="15" hidden="false" customHeight="false" outlineLevel="0" collapsed="false">
      <c r="B421" s="52"/>
      <c r="C421" s="53"/>
      <c r="D421" s="53"/>
      <c r="E421" s="53"/>
      <c r="F421" s="59"/>
      <c r="G421" s="59"/>
      <c r="H421" s="59"/>
      <c r="I421" s="57"/>
      <c r="J421" s="60" t="str">
        <f aca="false">IF(AND(ISNUMBER(F421),ISNUMBER(G421)),MAX(0,G421-F421),IF(ISNUMBER(H421),H421*IF(I421="Yes / Sí",2,1),""))</f>
        <v/>
      </c>
      <c r="K421" s="61" t="str">
        <f aca="false">IF(OR(J421="",NOT(ISNUMBER(B421))),"",IF(COUNTIF(Settings!$B$8:$B$17,"&lt;="&amp;B421)=0,Settings!$C$8,INDEX(Settings!$C$8:$C$17,COUNTIF(Settings!$B$8:$B$17,"&lt;="&amp;B421))))</f>
        <v/>
      </c>
      <c r="L421" s="56" t="str">
        <f aca="false">IF(K421="","",ROUND(J421*K421,2))</f>
        <v/>
      </c>
      <c r="M421" s="58" t="str">
        <f aca="false">IF(AND(B421="",F421="",G421="",H421=""),"",IF(NOT(ISNUMBER(B421)),"⚠ ADD DATE / AGREGA FECHA",IF(J421="","⚠ ADD MILES / AGREGA MILLAS",IF(AND(ISNUMBER(F421),ISNUMBER(G421)),IF(G421&lt;F421,"⚠ CHECK ODOMETER / REVISA ODÓMETRO","✔ OK"),"✔ OK"))))</f>
        <v/>
      </c>
      <c r="N421" s="53"/>
      <c r="P421" s="51" t="n">
        <f aca="false">IF(ISNUMBER(L421),1,0)</f>
        <v>0</v>
      </c>
      <c r="Q421" s="51" t="n">
        <f aca="false">IF(P421=1,YEAR(B421),0)</f>
        <v>0</v>
      </c>
      <c r="R421" s="51" t="n">
        <f aca="false">IF(P421=1,YEAR(B421)*100+MONTH(B421),0)</f>
        <v>0</v>
      </c>
    </row>
    <row r="422" customFormat="false" ht="15" hidden="false" customHeight="false" outlineLevel="0" collapsed="false">
      <c r="B422" s="52"/>
      <c r="C422" s="53"/>
      <c r="D422" s="53"/>
      <c r="E422" s="53"/>
      <c r="F422" s="59"/>
      <c r="G422" s="59"/>
      <c r="H422" s="59"/>
      <c r="I422" s="57"/>
      <c r="J422" s="60" t="str">
        <f aca="false">IF(AND(ISNUMBER(F422),ISNUMBER(G422)),MAX(0,G422-F422),IF(ISNUMBER(H422),H422*IF(I422="Yes / Sí",2,1),""))</f>
        <v/>
      </c>
      <c r="K422" s="61" t="str">
        <f aca="false">IF(OR(J422="",NOT(ISNUMBER(B422))),"",IF(COUNTIF(Settings!$B$8:$B$17,"&lt;="&amp;B422)=0,Settings!$C$8,INDEX(Settings!$C$8:$C$17,COUNTIF(Settings!$B$8:$B$17,"&lt;="&amp;B422))))</f>
        <v/>
      </c>
      <c r="L422" s="56" t="str">
        <f aca="false">IF(K422="","",ROUND(J422*K422,2))</f>
        <v/>
      </c>
      <c r="M422" s="58" t="str">
        <f aca="false">IF(AND(B422="",F422="",G422="",H422=""),"",IF(NOT(ISNUMBER(B422)),"⚠ ADD DATE / AGREGA FECHA",IF(J422="","⚠ ADD MILES / AGREGA MILLAS",IF(AND(ISNUMBER(F422),ISNUMBER(G422)),IF(G422&lt;F422,"⚠ CHECK ODOMETER / REVISA ODÓMETRO","✔ OK"),"✔ OK"))))</f>
        <v/>
      </c>
      <c r="N422" s="53"/>
      <c r="P422" s="51" t="n">
        <f aca="false">IF(ISNUMBER(L422),1,0)</f>
        <v>0</v>
      </c>
      <c r="Q422" s="51" t="n">
        <f aca="false">IF(P422=1,YEAR(B422),0)</f>
        <v>0</v>
      </c>
      <c r="R422" s="51" t="n">
        <f aca="false">IF(P422=1,YEAR(B422)*100+MONTH(B422),0)</f>
        <v>0</v>
      </c>
    </row>
    <row r="423" customFormat="false" ht="15" hidden="false" customHeight="false" outlineLevel="0" collapsed="false">
      <c r="B423" s="52"/>
      <c r="C423" s="53"/>
      <c r="D423" s="53"/>
      <c r="E423" s="53"/>
      <c r="F423" s="59"/>
      <c r="G423" s="59"/>
      <c r="H423" s="59"/>
      <c r="I423" s="57"/>
      <c r="J423" s="60" t="str">
        <f aca="false">IF(AND(ISNUMBER(F423),ISNUMBER(G423)),MAX(0,G423-F423),IF(ISNUMBER(H423),H423*IF(I423="Yes / Sí",2,1),""))</f>
        <v/>
      </c>
      <c r="K423" s="61" t="str">
        <f aca="false">IF(OR(J423="",NOT(ISNUMBER(B423))),"",IF(COUNTIF(Settings!$B$8:$B$17,"&lt;="&amp;B423)=0,Settings!$C$8,INDEX(Settings!$C$8:$C$17,COUNTIF(Settings!$B$8:$B$17,"&lt;="&amp;B423))))</f>
        <v/>
      </c>
      <c r="L423" s="56" t="str">
        <f aca="false">IF(K423="","",ROUND(J423*K423,2))</f>
        <v/>
      </c>
      <c r="M423" s="58" t="str">
        <f aca="false">IF(AND(B423="",F423="",G423="",H423=""),"",IF(NOT(ISNUMBER(B423)),"⚠ ADD DATE / AGREGA FECHA",IF(J423="","⚠ ADD MILES / AGREGA MILLAS",IF(AND(ISNUMBER(F423),ISNUMBER(G423)),IF(G423&lt;F423,"⚠ CHECK ODOMETER / REVISA ODÓMETRO","✔ OK"),"✔ OK"))))</f>
        <v/>
      </c>
      <c r="N423" s="53"/>
      <c r="P423" s="51" t="n">
        <f aca="false">IF(ISNUMBER(L423),1,0)</f>
        <v>0</v>
      </c>
      <c r="Q423" s="51" t="n">
        <f aca="false">IF(P423=1,YEAR(B423),0)</f>
        <v>0</v>
      </c>
      <c r="R423" s="51" t="n">
        <f aca="false">IF(P423=1,YEAR(B423)*100+MONTH(B423),0)</f>
        <v>0</v>
      </c>
    </row>
    <row r="424" customFormat="false" ht="15" hidden="false" customHeight="false" outlineLevel="0" collapsed="false">
      <c r="B424" s="52"/>
      <c r="C424" s="53"/>
      <c r="D424" s="53"/>
      <c r="E424" s="53"/>
      <c r="F424" s="59"/>
      <c r="G424" s="59"/>
      <c r="H424" s="59"/>
      <c r="I424" s="57"/>
      <c r="J424" s="60" t="str">
        <f aca="false">IF(AND(ISNUMBER(F424),ISNUMBER(G424)),MAX(0,G424-F424),IF(ISNUMBER(H424),H424*IF(I424="Yes / Sí",2,1),""))</f>
        <v/>
      </c>
      <c r="K424" s="61" t="str">
        <f aca="false">IF(OR(J424="",NOT(ISNUMBER(B424))),"",IF(COUNTIF(Settings!$B$8:$B$17,"&lt;="&amp;B424)=0,Settings!$C$8,INDEX(Settings!$C$8:$C$17,COUNTIF(Settings!$B$8:$B$17,"&lt;="&amp;B424))))</f>
        <v/>
      </c>
      <c r="L424" s="56" t="str">
        <f aca="false">IF(K424="","",ROUND(J424*K424,2))</f>
        <v/>
      </c>
      <c r="M424" s="58" t="str">
        <f aca="false">IF(AND(B424="",F424="",G424="",H424=""),"",IF(NOT(ISNUMBER(B424)),"⚠ ADD DATE / AGREGA FECHA",IF(J424="","⚠ ADD MILES / AGREGA MILLAS",IF(AND(ISNUMBER(F424),ISNUMBER(G424)),IF(G424&lt;F424,"⚠ CHECK ODOMETER / REVISA ODÓMETRO","✔ OK"),"✔ OK"))))</f>
        <v/>
      </c>
      <c r="N424" s="53"/>
      <c r="P424" s="51" t="n">
        <f aca="false">IF(ISNUMBER(L424),1,0)</f>
        <v>0</v>
      </c>
      <c r="Q424" s="51" t="n">
        <f aca="false">IF(P424=1,YEAR(B424),0)</f>
        <v>0</v>
      </c>
      <c r="R424" s="51" t="n">
        <f aca="false">IF(P424=1,YEAR(B424)*100+MONTH(B424),0)</f>
        <v>0</v>
      </c>
    </row>
    <row r="425" customFormat="false" ht="15" hidden="false" customHeight="false" outlineLevel="0" collapsed="false">
      <c r="B425" s="52"/>
      <c r="C425" s="53"/>
      <c r="D425" s="53"/>
      <c r="E425" s="53"/>
      <c r="F425" s="59"/>
      <c r="G425" s="59"/>
      <c r="H425" s="59"/>
      <c r="I425" s="57"/>
      <c r="J425" s="60" t="str">
        <f aca="false">IF(AND(ISNUMBER(F425),ISNUMBER(G425)),MAX(0,G425-F425),IF(ISNUMBER(H425),H425*IF(I425="Yes / Sí",2,1),""))</f>
        <v/>
      </c>
      <c r="K425" s="61" t="str">
        <f aca="false">IF(OR(J425="",NOT(ISNUMBER(B425))),"",IF(COUNTIF(Settings!$B$8:$B$17,"&lt;="&amp;B425)=0,Settings!$C$8,INDEX(Settings!$C$8:$C$17,COUNTIF(Settings!$B$8:$B$17,"&lt;="&amp;B425))))</f>
        <v/>
      </c>
      <c r="L425" s="56" t="str">
        <f aca="false">IF(K425="","",ROUND(J425*K425,2))</f>
        <v/>
      </c>
      <c r="M425" s="58" t="str">
        <f aca="false">IF(AND(B425="",F425="",G425="",H425=""),"",IF(NOT(ISNUMBER(B425)),"⚠ ADD DATE / AGREGA FECHA",IF(J425="","⚠ ADD MILES / AGREGA MILLAS",IF(AND(ISNUMBER(F425),ISNUMBER(G425)),IF(G425&lt;F425,"⚠ CHECK ODOMETER / REVISA ODÓMETRO","✔ OK"),"✔ OK"))))</f>
        <v/>
      </c>
      <c r="N425" s="53"/>
      <c r="P425" s="51" t="n">
        <f aca="false">IF(ISNUMBER(L425),1,0)</f>
        <v>0</v>
      </c>
      <c r="Q425" s="51" t="n">
        <f aca="false">IF(P425=1,YEAR(B425),0)</f>
        <v>0</v>
      </c>
      <c r="R425" s="51" t="n">
        <f aca="false">IF(P425=1,YEAR(B425)*100+MONTH(B425),0)</f>
        <v>0</v>
      </c>
    </row>
    <row r="426" customFormat="false" ht="15" hidden="false" customHeight="false" outlineLevel="0" collapsed="false">
      <c r="B426" s="52"/>
      <c r="C426" s="53"/>
      <c r="D426" s="53"/>
      <c r="E426" s="53"/>
      <c r="F426" s="59"/>
      <c r="G426" s="59"/>
      <c r="H426" s="59"/>
      <c r="I426" s="57"/>
      <c r="J426" s="60" t="str">
        <f aca="false">IF(AND(ISNUMBER(F426),ISNUMBER(G426)),MAX(0,G426-F426),IF(ISNUMBER(H426),H426*IF(I426="Yes / Sí",2,1),""))</f>
        <v/>
      </c>
      <c r="K426" s="61" t="str">
        <f aca="false">IF(OR(J426="",NOT(ISNUMBER(B426))),"",IF(COUNTIF(Settings!$B$8:$B$17,"&lt;="&amp;B426)=0,Settings!$C$8,INDEX(Settings!$C$8:$C$17,COUNTIF(Settings!$B$8:$B$17,"&lt;="&amp;B426))))</f>
        <v/>
      </c>
      <c r="L426" s="56" t="str">
        <f aca="false">IF(K426="","",ROUND(J426*K426,2))</f>
        <v/>
      </c>
      <c r="M426" s="58" t="str">
        <f aca="false">IF(AND(B426="",F426="",G426="",H426=""),"",IF(NOT(ISNUMBER(B426)),"⚠ ADD DATE / AGREGA FECHA",IF(J426="","⚠ ADD MILES / AGREGA MILLAS",IF(AND(ISNUMBER(F426),ISNUMBER(G426)),IF(G426&lt;F426,"⚠ CHECK ODOMETER / REVISA ODÓMETRO","✔ OK"),"✔ OK"))))</f>
        <v/>
      </c>
      <c r="N426" s="53"/>
      <c r="P426" s="51" t="n">
        <f aca="false">IF(ISNUMBER(L426),1,0)</f>
        <v>0</v>
      </c>
      <c r="Q426" s="51" t="n">
        <f aca="false">IF(P426=1,YEAR(B426),0)</f>
        <v>0</v>
      </c>
      <c r="R426" s="51" t="n">
        <f aca="false">IF(P426=1,YEAR(B426)*100+MONTH(B426),0)</f>
        <v>0</v>
      </c>
    </row>
    <row r="427" customFormat="false" ht="15" hidden="false" customHeight="false" outlineLevel="0" collapsed="false">
      <c r="B427" s="52"/>
      <c r="C427" s="53"/>
      <c r="D427" s="53"/>
      <c r="E427" s="53"/>
      <c r="F427" s="59"/>
      <c r="G427" s="59"/>
      <c r="H427" s="59"/>
      <c r="I427" s="57"/>
      <c r="J427" s="60" t="str">
        <f aca="false">IF(AND(ISNUMBER(F427),ISNUMBER(G427)),MAX(0,G427-F427),IF(ISNUMBER(H427),H427*IF(I427="Yes / Sí",2,1),""))</f>
        <v/>
      </c>
      <c r="K427" s="61" t="str">
        <f aca="false">IF(OR(J427="",NOT(ISNUMBER(B427))),"",IF(COUNTIF(Settings!$B$8:$B$17,"&lt;="&amp;B427)=0,Settings!$C$8,INDEX(Settings!$C$8:$C$17,COUNTIF(Settings!$B$8:$B$17,"&lt;="&amp;B427))))</f>
        <v/>
      </c>
      <c r="L427" s="56" t="str">
        <f aca="false">IF(K427="","",ROUND(J427*K427,2))</f>
        <v/>
      </c>
      <c r="M427" s="58" t="str">
        <f aca="false">IF(AND(B427="",F427="",G427="",H427=""),"",IF(NOT(ISNUMBER(B427)),"⚠ ADD DATE / AGREGA FECHA",IF(J427="","⚠ ADD MILES / AGREGA MILLAS",IF(AND(ISNUMBER(F427),ISNUMBER(G427)),IF(G427&lt;F427,"⚠ CHECK ODOMETER / REVISA ODÓMETRO","✔ OK"),"✔ OK"))))</f>
        <v/>
      </c>
      <c r="N427" s="53"/>
      <c r="P427" s="51" t="n">
        <f aca="false">IF(ISNUMBER(L427),1,0)</f>
        <v>0</v>
      </c>
      <c r="Q427" s="51" t="n">
        <f aca="false">IF(P427=1,YEAR(B427),0)</f>
        <v>0</v>
      </c>
      <c r="R427" s="51" t="n">
        <f aca="false">IF(P427=1,YEAR(B427)*100+MONTH(B427),0)</f>
        <v>0</v>
      </c>
    </row>
    <row r="428" customFormat="false" ht="15" hidden="false" customHeight="false" outlineLevel="0" collapsed="false">
      <c r="B428" s="52"/>
      <c r="C428" s="53"/>
      <c r="D428" s="53"/>
      <c r="E428" s="53"/>
      <c r="F428" s="59"/>
      <c r="G428" s="59"/>
      <c r="H428" s="59"/>
      <c r="I428" s="57"/>
      <c r="J428" s="60" t="str">
        <f aca="false">IF(AND(ISNUMBER(F428),ISNUMBER(G428)),MAX(0,G428-F428),IF(ISNUMBER(H428),H428*IF(I428="Yes / Sí",2,1),""))</f>
        <v/>
      </c>
      <c r="K428" s="61" t="str">
        <f aca="false">IF(OR(J428="",NOT(ISNUMBER(B428))),"",IF(COUNTIF(Settings!$B$8:$B$17,"&lt;="&amp;B428)=0,Settings!$C$8,INDEX(Settings!$C$8:$C$17,COUNTIF(Settings!$B$8:$B$17,"&lt;="&amp;B428))))</f>
        <v/>
      </c>
      <c r="L428" s="56" t="str">
        <f aca="false">IF(K428="","",ROUND(J428*K428,2))</f>
        <v/>
      </c>
      <c r="M428" s="58" t="str">
        <f aca="false">IF(AND(B428="",F428="",G428="",H428=""),"",IF(NOT(ISNUMBER(B428)),"⚠ ADD DATE / AGREGA FECHA",IF(J428="","⚠ ADD MILES / AGREGA MILLAS",IF(AND(ISNUMBER(F428),ISNUMBER(G428)),IF(G428&lt;F428,"⚠ CHECK ODOMETER / REVISA ODÓMETRO","✔ OK"),"✔ OK"))))</f>
        <v/>
      </c>
      <c r="N428" s="53"/>
      <c r="P428" s="51" t="n">
        <f aca="false">IF(ISNUMBER(L428),1,0)</f>
        <v>0</v>
      </c>
      <c r="Q428" s="51" t="n">
        <f aca="false">IF(P428=1,YEAR(B428),0)</f>
        <v>0</v>
      </c>
      <c r="R428" s="51" t="n">
        <f aca="false">IF(P428=1,YEAR(B428)*100+MONTH(B428),0)</f>
        <v>0</v>
      </c>
    </row>
    <row r="429" customFormat="false" ht="15" hidden="false" customHeight="false" outlineLevel="0" collapsed="false">
      <c r="B429" s="52"/>
      <c r="C429" s="53"/>
      <c r="D429" s="53"/>
      <c r="E429" s="53"/>
      <c r="F429" s="59"/>
      <c r="G429" s="59"/>
      <c r="H429" s="59"/>
      <c r="I429" s="57"/>
      <c r="J429" s="60" t="str">
        <f aca="false">IF(AND(ISNUMBER(F429),ISNUMBER(G429)),MAX(0,G429-F429),IF(ISNUMBER(H429),H429*IF(I429="Yes / Sí",2,1),""))</f>
        <v/>
      </c>
      <c r="K429" s="61" t="str">
        <f aca="false">IF(OR(J429="",NOT(ISNUMBER(B429))),"",IF(COUNTIF(Settings!$B$8:$B$17,"&lt;="&amp;B429)=0,Settings!$C$8,INDEX(Settings!$C$8:$C$17,COUNTIF(Settings!$B$8:$B$17,"&lt;="&amp;B429))))</f>
        <v/>
      </c>
      <c r="L429" s="56" t="str">
        <f aca="false">IF(K429="","",ROUND(J429*K429,2))</f>
        <v/>
      </c>
      <c r="M429" s="58" t="str">
        <f aca="false">IF(AND(B429="",F429="",G429="",H429=""),"",IF(NOT(ISNUMBER(B429)),"⚠ ADD DATE / AGREGA FECHA",IF(J429="","⚠ ADD MILES / AGREGA MILLAS",IF(AND(ISNUMBER(F429),ISNUMBER(G429)),IF(G429&lt;F429,"⚠ CHECK ODOMETER / REVISA ODÓMETRO","✔ OK"),"✔ OK"))))</f>
        <v/>
      </c>
      <c r="N429" s="53"/>
      <c r="P429" s="51" t="n">
        <f aca="false">IF(ISNUMBER(L429),1,0)</f>
        <v>0</v>
      </c>
      <c r="Q429" s="51" t="n">
        <f aca="false">IF(P429=1,YEAR(B429),0)</f>
        <v>0</v>
      </c>
      <c r="R429" s="51" t="n">
        <f aca="false">IF(P429=1,YEAR(B429)*100+MONTH(B429),0)</f>
        <v>0</v>
      </c>
    </row>
    <row r="430" customFormat="false" ht="15" hidden="false" customHeight="false" outlineLevel="0" collapsed="false">
      <c r="B430" s="52"/>
      <c r="C430" s="53"/>
      <c r="D430" s="53"/>
      <c r="E430" s="53"/>
      <c r="F430" s="59"/>
      <c r="G430" s="59"/>
      <c r="H430" s="59"/>
      <c r="I430" s="57"/>
      <c r="J430" s="60" t="str">
        <f aca="false">IF(AND(ISNUMBER(F430),ISNUMBER(G430)),MAX(0,G430-F430),IF(ISNUMBER(H430),H430*IF(I430="Yes / Sí",2,1),""))</f>
        <v/>
      </c>
      <c r="K430" s="61" t="str">
        <f aca="false">IF(OR(J430="",NOT(ISNUMBER(B430))),"",IF(COUNTIF(Settings!$B$8:$B$17,"&lt;="&amp;B430)=0,Settings!$C$8,INDEX(Settings!$C$8:$C$17,COUNTIF(Settings!$B$8:$B$17,"&lt;="&amp;B430))))</f>
        <v/>
      </c>
      <c r="L430" s="56" t="str">
        <f aca="false">IF(K430="","",ROUND(J430*K430,2))</f>
        <v/>
      </c>
      <c r="M430" s="58" t="str">
        <f aca="false">IF(AND(B430="",F430="",G430="",H430=""),"",IF(NOT(ISNUMBER(B430)),"⚠ ADD DATE / AGREGA FECHA",IF(J430="","⚠ ADD MILES / AGREGA MILLAS",IF(AND(ISNUMBER(F430),ISNUMBER(G430)),IF(G430&lt;F430,"⚠ CHECK ODOMETER / REVISA ODÓMETRO","✔ OK"),"✔ OK"))))</f>
        <v/>
      </c>
      <c r="N430" s="53"/>
      <c r="P430" s="51" t="n">
        <f aca="false">IF(ISNUMBER(L430),1,0)</f>
        <v>0</v>
      </c>
      <c r="Q430" s="51" t="n">
        <f aca="false">IF(P430=1,YEAR(B430),0)</f>
        <v>0</v>
      </c>
      <c r="R430" s="51" t="n">
        <f aca="false">IF(P430=1,YEAR(B430)*100+MONTH(B430),0)</f>
        <v>0</v>
      </c>
    </row>
    <row r="431" customFormat="false" ht="15" hidden="false" customHeight="false" outlineLevel="0" collapsed="false">
      <c r="B431" s="52"/>
      <c r="C431" s="53"/>
      <c r="D431" s="53"/>
      <c r="E431" s="53"/>
      <c r="F431" s="59"/>
      <c r="G431" s="59"/>
      <c r="H431" s="59"/>
      <c r="I431" s="57"/>
      <c r="J431" s="60" t="str">
        <f aca="false">IF(AND(ISNUMBER(F431),ISNUMBER(G431)),MAX(0,G431-F431),IF(ISNUMBER(H431),H431*IF(I431="Yes / Sí",2,1),""))</f>
        <v/>
      </c>
      <c r="K431" s="61" t="str">
        <f aca="false">IF(OR(J431="",NOT(ISNUMBER(B431))),"",IF(COUNTIF(Settings!$B$8:$B$17,"&lt;="&amp;B431)=0,Settings!$C$8,INDEX(Settings!$C$8:$C$17,COUNTIF(Settings!$B$8:$B$17,"&lt;="&amp;B431))))</f>
        <v/>
      </c>
      <c r="L431" s="56" t="str">
        <f aca="false">IF(K431="","",ROUND(J431*K431,2))</f>
        <v/>
      </c>
      <c r="M431" s="58" t="str">
        <f aca="false">IF(AND(B431="",F431="",G431="",H431=""),"",IF(NOT(ISNUMBER(B431)),"⚠ ADD DATE / AGREGA FECHA",IF(J431="","⚠ ADD MILES / AGREGA MILLAS",IF(AND(ISNUMBER(F431),ISNUMBER(G431)),IF(G431&lt;F431,"⚠ CHECK ODOMETER / REVISA ODÓMETRO","✔ OK"),"✔ OK"))))</f>
        <v/>
      </c>
      <c r="N431" s="53"/>
      <c r="P431" s="51" t="n">
        <f aca="false">IF(ISNUMBER(L431),1,0)</f>
        <v>0</v>
      </c>
      <c r="Q431" s="51" t="n">
        <f aca="false">IF(P431=1,YEAR(B431),0)</f>
        <v>0</v>
      </c>
      <c r="R431" s="51" t="n">
        <f aca="false">IF(P431=1,YEAR(B431)*100+MONTH(B431),0)</f>
        <v>0</v>
      </c>
    </row>
    <row r="432" customFormat="false" ht="15" hidden="false" customHeight="false" outlineLevel="0" collapsed="false">
      <c r="B432" s="52"/>
      <c r="C432" s="53"/>
      <c r="D432" s="53"/>
      <c r="E432" s="53"/>
      <c r="F432" s="59"/>
      <c r="G432" s="59"/>
      <c r="H432" s="59"/>
      <c r="I432" s="57"/>
      <c r="J432" s="60" t="str">
        <f aca="false">IF(AND(ISNUMBER(F432),ISNUMBER(G432)),MAX(0,G432-F432),IF(ISNUMBER(H432),H432*IF(I432="Yes / Sí",2,1),""))</f>
        <v/>
      </c>
      <c r="K432" s="61" t="str">
        <f aca="false">IF(OR(J432="",NOT(ISNUMBER(B432))),"",IF(COUNTIF(Settings!$B$8:$B$17,"&lt;="&amp;B432)=0,Settings!$C$8,INDEX(Settings!$C$8:$C$17,COUNTIF(Settings!$B$8:$B$17,"&lt;="&amp;B432))))</f>
        <v/>
      </c>
      <c r="L432" s="56" t="str">
        <f aca="false">IF(K432="","",ROUND(J432*K432,2))</f>
        <v/>
      </c>
      <c r="M432" s="58" t="str">
        <f aca="false">IF(AND(B432="",F432="",G432="",H432=""),"",IF(NOT(ISNUMBER(B432)),"⚠ ADD DATE / AGREGA FECHA",IF(J432="","⚠ ADD MILES / AGREGA MILLAS",IF(AND(ISNUMBER(F432),ISNUMBER(G432)),IF(G432&lt;F432,"⚠ CHECK ODOMETER / REVISA ODÓMETRO","✔ OK"),"✔ OK"))))</f>
        <v/>
      </c>
      <c r="N432" s="53"/>
      <c r="P432" s="51" t="n">
        <f aca="false">IF(ISNUMBER(L432),1,0)</f>
        <v>0</v>
      </c>
      <c r="Q432" s="51" t="n">
        <f aca="false">IF(P432=1,YEAR(B432),0)</f>
        <v>0</v>
      </c>
      <c r="R432" s="51" t="n">
        <f aca="false">IF(P432=1,YEAR(B432)*100+MONTH(B432),0)</f>
        <v>0</v>
      </c>
    </row>
    <row r="433" customFormat="false" ht="15" hidden="false" customHeight="false" outlineLevel="0" collapsed="false">
      <c r="B433" s="52"/>
      <c r="C433" s="53"/>
      <c r="D433" s="53"/>
      <c r="E433" s="53"/>
      <c r="F433" s="59"/>
      <c r="G433" s="59"/>
      <c r="H433" s="59"/>
      <c r="I433" s="57"/>
      <c r="J433" s="60" t="str">
        <f aca="false">IF(AND(ISNUMBER(F433),ISNUMBER(G433)),MAX(0,G433-F433),IF(ISNUMBER(H433),H433*IF(I433="Yes / Sí",2,1),""))</f>
        <v/>
      </c>
      <c r="K433" s="61" t="str">
        <f aca="false">IF(OR(J433="",NOT(ISNUMBER(B433))),"",IF(COUNTIF(Settings!$B$8:$B$17,"&lt;="&amp;B433)=0,Settings!$C$8,INDEX(Settings!$C$8:$C$17,COUNTIF(Settings!$B$8:$B$17,"&lt;="&amp;B433))))</f>
        <v/>
      </c>
      <c r="L433" s="56" t="str">
        <f aca="false">IF(K433="","",ROUND(J433*K433,2))</f>
        <v/>
      </c>
      <c r="M433" s="58" t="str">
        <f aca="false">IF(AND(B433="",F433="",G433="",H433=""),"",IF(NOT(ISNUMBER(B433)),"⚠ ADD DATE / AGREGA FECHA",IF(J433="","⚠ ADD MILES / AGREGA MILLAS",IF(AND(ISNUMBER(F433),ISNUMBER(G433)),IF(G433&lt;F433,"⚠ CHECK ODOMETER / REVISA ODÓMETRO","✔ OK"),"✔ OK"))))</f>
        <v/>
      </c>
      <c r="N433" s="53"/>
      <c r="P433" s="51" t="n">
        <f aca="false">IF(ISNUMBER(L433),1,0)</f>
        <v>0</v>
      </c>
      <c r="Q433" s="51" t="n">
        <f aca="false">IF(P433=1,YEAR(B433),0)</f>
        <v>0</v>
      </c>
      <c r="R433" s="51" t="n">
        <f aca="false">IF(P433=1,YEAR(B433)*100+MONTH(B433),0)</f>
        <v>0</v>
      </c>
    </row>
    <row r="434" customFormat="false" ht="15" hidden="false" customHeight="false" outlineLevel="0" collapsed="false">
      <c r="B434" s="52"/>
      <c r="C434" s="53"/>
      <c r="D434" s="53"/>
      <c r="E434" s="53"/>
      <c r="F434" s="59"/>
      <c r="G434" s="59"/>
      <c r="H434" s="59"/>
      <c r="I434" s="57"/>
      <c r="J434" s="60" t="str">
        <f aca="false">IF(AND(ISNUMBER(F434),ISNUMBER(G434)),MAX(0,G434-F434),IF(ISNUMBER(H434),H434*IF(I434="Yes / Sí",2,1),""))</f>
        <v/>
      </c>
      <c r="K434" s="61" t="str">
        <f aca="false">IF(OR(J434="",NOT(ISNUMBER(B434))),"",IF(COUNTIF(Settings!$B$8:$B$17,"&lt;="&amp;B434)=0,Settings!$C$8,INDEX(Settings!$C$8:$C$17,COUNTIF(Settings!$B$8:$B$17,"&lt;="&amp;B434))))</f>
        <v/>
      </c>
      <c r="L434" s="56" t="str">
        <f aca="false">IF(K434="","",ROUND(J434*K434,2))</f>
        <v/>
      </c>
      <c r="M434" s="58" t="str">
        <f aca="false">IF(AND(B434="",F434="",G434="",H434=""),"",IF(NOT(ISNUMBER(B434)),"⚠ ADD DATE / AGREGA FECHA",IF(J434="","⚠ ADD MILES / AGREGA MILLAS",IF(AND(ISNUMBER(F434),ISNUMBER(G434)),IF(G434&lt;F434,"⚠ CHECK ODOMETER / REVISA ODÓMETRO","✔ OK"),"✔ OK"))))</f>
        <v/>
      </c>
      <c r="N434" s="53"/>
      <c r="P434" s="51" t="n">
        <f aca="false">IF(ISNUMBER(L434),1,0)</f>
        <v>0</v>
      </c>
      <c r="Q434" s="51" t="n">
        <f aca="false">IF(P434=1,YEAR(B434),0)</f>
        <v>0</v>
      </c>
      <c r="R434" s="51" t="n">
        <f aca="false">IF(P434=1,YEAR(B434)*100+MONTH(B434),0)</f>
        <v>0</v>
      </c>
    </row>
    <row r="435" customFormat="false" ht="15" hidden="false" customHeight="false" outlineLevel="0" collapsed="false">
      <c r="B435" s="52"/>
      <c r="C435" s="53"/>
      <c r="D435" s="53"/>
      <c r="E435" s="53"/>
      <c r="F435" s="59"/>
      <c r="G435" s="59"/>
      <c r="H435" s="59"/>
      <c r="I435" s="57"/>
      <c r="J435" s="60" t="str">
        <f aca="false">IF(AND(ISNUMBER(F435),ISNUMBER(G435)),MAX(0,G435-F435),IF(ISNUMBER(H435),H435*IF(I435="Yes / Sí",2,1),""))</f>
        <v/>
      </c>
      <c r="K435" s="61" t="str">
        <f aca="false">IF(OR(J435="",NOT(ISNUMBER(B435))),"",IF(COUNTIF(Settings!$B$8:$B$17,"&lt;="&amp;B435)=0,Settings!$C$8,INDEX(Settings!$C$8:$C$17,COUNTIF(Settings!$B$8:$B$17,"&lt;="&amp;B435))))</f>
        <v/>
      </c>
      <c r="L435" s="56" t="str">
        <f aca="false">IF(K435="","",ROUND(J435*K435,2))</f>
        <v/>
      </c>
      <c r="M435" s="58" t="str">
        <f aca="false">IF(AND(B435="",F435="",G435="",H435=""),"",IF(NOT(ISNUMBER(B435)),"⚠ ADD DATE / AGREGA FECHA",IF(J435="","⚠ ADD MILES / AGREGA MILLAS",IF(AND(ISNUMBER(F435),ISNUMBER(G435)),IF(G435&lt;F435,"⚠ CHECK ODOMETER / REVISA ODÓMETRO","✔ OK"),"✔ OK"))))</f>
        <v/>
      </c>
      <c r="N435" s="53"/>
      <c r="P435" s="51" t="n">
        <f aca="false">IF(ISNUMBER(L435),1,0)</f>
        <v>0</v>
      </c>
      <c r="Q435" s="51" t="n">
        <f aca="false">IF(P435=1,YEAR(B435),0)</f>
        <v>0</v>
      </c>
      <c r="R435" s="51" t="n">
        <f aca="false">IF(P435=1,YEAR(B435)*100+MONTH(B435),0)</f>
        <v>0</v>
      </c>
    </row>
    <row r="436" customFormat="false" ht="15" hidden="false" customHeight="false" outlineLevel="0" collapsed="false">
      <c r="B436" s="52"/>
      <c r="C436" s="53"/>
      <c r="D436" s="53"/>
      <c r="E436" s="53"/>
      <c r="F436" s="59"/>
      <c r="G436" s="59"/>
      <c r="H436" s="59"/>
      <c r="I436" s="57"/>
      <c r="J436" s="60" t="str">
        <f aca="false">IF(AND(ISNUMBER(F436),ISNUMBER(G436)),MAX(0,G436-F436),IF(ISNUMBER(H436),H436*IF(I436="Yes / Sí",2,1),""))</f>
        <v/>
      </c>
      <c r="K436" s="61" t="str">
        <f aca="false">IF(OR(J436="",NOT(ISNUMBER(B436))),"",IF(COUNTIF(Settings!$B$8:$B$17,"&lt;="&amp;B436)=0,Settings!$C$8,INDEX(Settings!$C$8:$C$17,COUNTIF(Settings!$B$8:$B$17,"&lt;="&amp;B436))))</f>
        <v/>
      </c>
      <c r="L436" s="56" t="str">
        <f aca="false">IF(K436="","",ROUND(J436*K436,2))</f>
        <v/>
      </c>
      <c r="M436" s="58" t="str">
        <f aca="false">IF(AND(B436="",F436="",G436="",H436=""),"",IF(NOT(ISNUMBER(B436)),"⚠ ADD DATE / AGREGA FECHA",IF(J436="","⚠ ADD MILES / AGREGA MILLAS",IF(AND(ISNUMBER(F436),ISNUMBER(G436)),IF(G436&lt;F436,"⚠ CHECK ODOMETER / REVISA ODÓMETRO","✔ OK"),"✔ OK"))))</f>
        <v/>
      </c>
      <c r="N436" s="53"/>
      <c r="P436" s="51" t="n">
        <f aca="false">IF(ISNUMBER(L436),1,0)</f>
        <v>0</v>
      </c>
      <c r="Q436" s="51" t="n">
        <f aca="false">IF(P436=1,YEAR(B436),0)</f>
        <v>0</v>
      </c>
      <c r="R436" s="51" t="n">
        <f aca="false">IF(P436=1,YEAR(B436)*100+MONTH(B436),0)</f>
        <v>0</v>
      </c>
    </row>
    <row r="437" customFormat="false" ht="15" hidden="false" customHeight="false" outlineLevel="0" collapsed="false">
      <c r="B437" s="52"/>
      <c r="C437" s="53"/>
      <c r="D437" s="53"/>
      <c r="E437" s="53"/>
      <c r="F437" s="59"/>
      <c r="G437" s="59"/>
      <c r="H437" s="59"/>
      <c r="I437" s="57"/>
      <c r="J437" s="60" t="str">
        <f aca="false">IF(AND(ISNUMBER(F437),ISNUMBER(G437)),MAX(0,G437-F437),IF(ISNUMBER(H437),H437*IF(I437="Yes / Sí",2,1),""))</f>
        <v/>
      </c>
      <c r="K437" s="61" t="str">
        <f aca="false">IF(OR(J437="",NOT(ISNUMBER(B437))),"",IF(COUNTIF(Settings!$B$8:$B$17,"&lt;="&amp;B437)=0,Settings!$C$8,INDEX(Settings!$C$8:$C$17,COUNTIF(Settings!$B$8:$B$17,"&lt;="&amp;B437))))</f>
        <v/>
      </c>
      <c r="L437" s="56" t="str">
        <f aca="false">IF(K437="","",ROUND(J437*K437,2))</f>
        <v/>
      </c>
      <c r="M437" s="58" t="str">
        <f aca="false">IF(AND(B437="",F437="",G437="",H437=""),"",IF(NOT(ISNUMBER(B437)),"⚠ ADD DATE / AGREGA FECHA",IF(J437="","⚠ ADD MILES / AGREGA MILLAS",IF(AND(ISNUMBER(F437),ISNUMBER(G437)),IF(G437&lt;F437,"⚠ CHECK ODOMETER / REVISA ODÓMETRO","✔ OK"),"✔ OK"))))</f>
        <v/>
      </c>
      <c r="N437" s="53"/>
      <c r="P437" s="51" t="n">
        <f aca="false">IF(ISNUMBER(L437),1,0)</f>
        <v>0</v>
      </c>
      <c r="Q437" s="51" t="n">
        <f aca="false">IF(P437=1,YEAR(B437),0)</f>
        <v>0</v>
      </c>
      <c r="R437" s="51" t="n">
        <f aca="false">IF(P437=1,YEAR(B437)*100+MONTH(B437),0)</f>
        <v>0</v>
      </c>
    </row>
    <row r="438" customFormat="false" ht="15" hidden="false" customHeight="false" outlineLevel="0" collapsed="false">
      <c r="B438" s="52"/>
      <c r="C438" s="53"/>
      <c r="D438" s="53"/>
      <c r="E438" s="53"/>
      <c r="F438" s="59"/>
      <c r="G438" s="59"/>
      <c r="H438" s="59"/>
      <c r="I438" s="57"/>
      <c r="J438" s="60" t="str">
        <f aca="false">IF(AND(ISNUMBER(F438),ISNUMBER(G438)),MAX(0,G438-F438),IF(ISNUMBER(H438),H438*IF(I438="Yes / Sí",2,1),""))</f>
        <v/>
      </c>
      <c r="K438" s="61" t="str">
        <f aca="false">IF(OR(J438="",NOT(ISNUMBER(B438))),"",IF(COUNTIF(Settings!$B$8:$B$17,"&lt;="&amp;B438)=0,Settings!$C$8,INDEX(Settings!$C$8:$C$17,COUNTIF(Settings!$B$8:$B$17,"&lt;="&amp;B438))))</f>
        <v/>
      </c>
      <c r="L438" s="56" t="str">
        <f aca="false">IF(K438="","",ROUND(J438*K438,2))</f>
        <v/>
      </c>
      <c r="M438" s="58" t="str">
        <f aca="false">IF(AND(B438="",F438="",G438="",H438=""),"",IF(NOT(ISNUMBER(B438)),"⚠ ADD DATE / AGREGA FECHA",IF(J438="","⚠ ADD MILES / AGREGA MILLAS",IF(AND(ISNUMBER(F438),ISNUMBER(G438)),IF(G438&lt;F438,"⚠ CHECK ODOMETER / REVISA ODÓMETRO","✔ OK"),"✔ OK"))))</f>
        <v/>
      </c>
      <c r="N438" s="53"/>
      <c r="P438" s="51" t="n">
        <f aca="false">IF(ISNUMBER(L438),1,0)</f>
        <v>0</v>
      </c>
      <c r="Q438" s="51" t="n">
        <f aca="false">IF(P438=1,YEAR(B438),0)</f>
        <v>0</v>
      </c>
      <c r="R438" s="51" t="n">
        <f aca="false">IF(P438=1,YEAR(B438)*100+MONTH(B438),0)</f>
        <v>0</v>
      </c>
    </row>
    <row r="439" customFormat="false" ht="15" hidden="false" customHeight="false" outlineLevel="0" collapsed="false">
      <c r="B439" s="52"/>
      <c r="C439" s="53"/>
      <c r="D439" s="53"/>
      <c r="E439" s="53"/>
      <c r="F439" s="59"/>
      <c r="G439" s="59"/>
      <c r="H439" s="59"/>
      <c r="I439" s="57"/>
      <c r="J439" s="60" t="str">
        <f aca="false">IF(AND(ISNUMBER(F439),ISNUMBER(G439)),MAX(0,G439-F439),IF(ISNUMBER(H439),H439*IF(I439="Yes / Sí",2,1),""))</f>
        <v/>
      </c>
      <c r="K439" s="61" t="str">
        <f aca="false">IF(OR(J439="",NOT(ISNUMBER(B439))),"",IF(COUNTIF(Settings!$B$8:$B$17,"&lt;="&amp;B439)=0,Settings!$C$8,INDEX(Settings!$C$8:$C$17,COUNTIF(Settings!$B$8:$B$17,"&lt;="&amp;B439))))</f>
        <v/>
      </c>
      <c r="L439" s="56" t="str">
        <f aca="false">IF(K439="","",ROUND(J439*K439,2))</f>
        <v/>
      </c>
      <c r="M439" s="58" t="str">
        <f aca="false">IF(AND(B439="",F439="",G439="",H439=""),"",IF(NOT(ISNUMBER(B439)),"⚠ ADD DATE / AGREGA FECHA",IF(J439="","⚠ ADD MILES / AGREGA MILLAS",IF(AND(ISNUMBER(F439),ISNUMBER(G439)),IF(G439&lt;F439,"⚠ CHECK ODOMETER / REVISA ODÓMETRO","✔ OK"),"✔ OK"))))</f>
        <v/>
      </c>
      <c r="N439" s="53"/>
      <c r="P439" s="51" t="n">
        <f aca="false">IF(ISNUMBER(L439),1,0)</f>
        <v>0</v>
      </c>
      <c r="Q439" s="51" t="n">
        <f aca="false">IF(P439=1,YEAR(B439),0)</f>
        <v>0</v>
      </c>
      <c r="R439" s="51" t="n">
        <f aca="false">IF(P439=1,YEAR(B439)*100+MONTH(B439),0)</f>
        <v>0</v>
      </c>
    </row>
    <row r="440" customFormat="false" ht="15" hidden="false" customHeight="false" outlineLevel="0" collapsed="false">
      <c r="B440" s="52"/>
      <c r="C440" s="53"/>
      <c r="D440" s="53"/>
      <c r="E440" s="53"/>
      <c r="F440" s="59"/>
      <c r="G440" s="59"/>
      <c r="H440" s="59"/>
      <c r="I440" s="57"/>
      <c r="J440" s="60" t="str">
        <f aca="false">IF(AND(ISNUMBER(F440),ISNUMBER(G440)),MAX(0,G440-F440),IF(ISNUMBER(H440),H440*IF(I440="Yes / Sí",2,1),""))</f>
        <v/>
      </c>
      <c r="K440" s="61" t="str">
        <f aca="false">IF(OR(J440="",NOT(ISNUMBER(B440))),"",IF(COUNTIF(Settings!$B$8:$B$17,"&lt;="&amp;B440)=0,Settings!$C$8,INDEX(Settings!$C$8:$C$17,COUNTIF(Settings!$B$8:$B$17,"&lt;="&amp;B440))))</f>
        <v/>
      </c>
      <c r="L440" s="56" t="str">
        <f aca="false">IF(K440="","",ROUND(J440*K440,2))</f>
        <v/>
      </c>
      <c r="M440" s="58" t="str">
        <f aca="false">IF(AND(B440="",F440="",G440="",H440=""),"",IF(NOT(ISNUMBER(B440)),"⚠ ADD DATE / AGREGA FECHA",IF(J440="","⚠ ADD MILES / AGREGA MILLAS",IF(AND(ISNUMBER(F440),ISNUMBER(G440)),IF(G440&lt;F440,"⚠ CHECK ODOMETER / REVISA ODÓMETRO","✔ OK"),"✔ OK"))))</f>
        <v/>
      </c>
      <c r="N440" s="53"/>
      <c r="P440" s="51" t="n">
        <f aca="false">IF(ISNUMBER(L440),1,0)</f>
        <v>0</v>
      </c>
      <c r="Q440" s="51" t="n">
        <f aca="false">IF(P440=1,YEAR(B440),0)</f>
        <v>0</v>
      </c>
      <c r="R440" s="51" t="n">
        <f aca="false">IF(P440=1,YEAR(B440)*100+MONTH(B440),0)</f>
        <v>0</v>
      </c>
    </row>
    <row r="441" customFormat="false" ht="15" hidden="false" customHeight="false" outlineLevel="0" collapsed="false">
      <c r="B441" s="52"/>
      <c r="C441" s="53"/>
      <c r="D441" s="53"/>
      <c r="E441" s="53"/>
      <c r="F441" s="59"/>
      <c r="G441" s="59"/>
      <c r="H441" s="59"/>
      <c r="I441" s="57"/>
      <c r="J441" s="60" t="str">
        <f aca="false">IF(AND(ISNUMBER(F441),ISNUMBER(G441)),MAX(0,G441-F441),IF(ISNUMBER(H441),H441*IF(I441="Yes / Sí",2,1),""))</f>
        <v/>
      </c>
      <c r="K441" s="61" t="str">
        <f aca="false">IF(OR(J441="",NOT(ISNUMBER(B441))),"",IF(COUNTIF(Settings!$B$8:$B$17,"&lt;="&amp;B441)=0,Settings!$C$8,INDEX(Settings!$C$8:$C$17,COUNTIF(Settings!$B$8:$B$17,"&lt;="&amp;B441))))</f>
        <v/>
      </c>
      <c r="L441" s="56" t="str">
        <f aca="false">IF(K441="","",ROUND(J441*K441,2))</f>
        <v/>
      </c>
      <c r="M441" s="58" t="str">
        <f aca="false">IF(AND(B441="",F441="",G441="",H441=""),"",IF(NOT(ISNUMBER(B441)),"⚠ ADD DATE / AGREGA FECHA",IF(J441="","⚠ ADD MILES / AGREGA MILLAS",IF(AND(ISNUMBER(F441),ISNUMBER(G441)),IF(G441&lt;F441,"⚠ CHECK ODOMETER / REVISA ODÓMETRO","✔ OK"),"✔ OK"))))</f>
        <v/>
      </c>
      <c r="N441" s="53"/>
      <c r="P441" s="51" t="n">
        <f aca="false">IF(ISNUMBER(L441),1,0)</f>
        <v>0</v>
      </c>
      <c r="Q441" s="51" t="n">
        <f aca="false">IF(P441=1,YEAR(B441),0)</f>
        <v>0</v>
      </c>
      <c r="R441" s="51" t="n">
        <f aca="false">IF(P441=1,YEAR(B441)*100+MONTH(B441),0)</f>
        <v>0</v>
      </c>
    </row>
    <row r="442" customFormat="false" ht="15" hidden="false" customHeight="false" outlineLevel="0" collapsed="false">
      <c r="B442" s="52"/>
      <c r="C442" s="53"/>
      <c r="D442" s="53"/>
      <c r="E442" s="53"/>
      <c r="F442" s="59"/>
      <c r="G442" s="59"/>
      <c r="H442" s="59"/>
      <c r="I442" s="57"/>
      <c r="J442" s="60" t="str">
        <f aca="false">IF(AND(ISNUMBER(F442),ISNUMBER(G442)),MAX(0,G442-F442),IF(ISNUMBER(H442),H442*IF(I442="Yes / Sí",2,1),""))</f>
        <v/>
      </c>
      <c r="K442" s="61" t="str">
        <f aca="false">IF(OR(J442="",NOT(ISNUMBER(B442))),"",IF(COUNTIF(Settings!$B$8:$B$17,"&lt;="&amp;B442)=0,Settings!$C$8,INDEX(Settings!$C$8:$C$17,COUNTIF(Settings!$B$8:$B$17,"&lt;="&amp;B442))))</f>
        <v/>
      </c>
      <c r="L442" s="56" t="str">
        <f aca="false">IF(K442="","",ROUND(J442*K442,2))</f>
        <v/>
      </c>
      <c r="M442" s="58" t="str">
        <f aca="false">IF(AND(B442="",F442="",G442="",H442=""),"",IF(NOT(ISNUMBER(B442)),"⚠ ADD DATE / AGREGA FECHA",IF(J442="","⚠ ADD MILES / AGREGA MILLAS",IF(AND(ISNUMBER(F442),ISNUMBER(G442)),IF(G442&lt;F442,"⚠ CHECK ODOMETER / REVISA ODÓMETRO","✔ OK"),"✔ OK"))))</f>
        <v/>
      </c>
      <c r="N442" s="53"/>
      <c r="P442" s="51" t="n">
        <f aca="false">IF(ISNUMBER(L442),1,0)</f>
        <v>0</v>
      </c>
      <c r="Q442" s="51" t="n">
        <f aca="false">IF(P442=1,YEAR(B442),0)</f>
        <v>0</v>
      </c>
      <c r="R442" s="51" t="n">
        <f aca="false">IF(P442=1,YEAR(B442)*100+MONTH(B442),0)</f>
        <v>0</v>
      </c>
    </row>
    <row r="443" customFormat="false" ht="15" hidden="false" customHeight="false" outlineLevel="0" collapsed="false">
      <c r="B443" s="52"/>
      <c r="C443" s="53"/>
      <c r="D443" s="53"/>
      <c r="E443" s="53"/>
      <c r="F443" s="59"/>
      <c r="G443" s="59"/>
      <c r="H443" s="59"/>
      <c r="I443" s="57"/>
      <c r="J443" s="60" t="str">
        <f aca="false">IF(AND(ISNUMBER(F443),ISNUMBER(G443)),MAX(0,G443-F443),IF(ISNUMBER(H443),H443*IF(I443="Yes / Sí",2,1),""))</f>
        <v/>
      </c>
      <c r="K443" s="61" t="str">
        <f aca="false">IF(OR(J443="",NOT(ISNUMBER(B443))),"",IF(COUNTIF(Settings!$B$8:$B$17,"&lt;="&amp;B443)=0,Settings!$C$8,INDEX(Settings!$C$8:$C$17,COUNTIF(Settings!$B$8:$B$17,"&lt;="&amp;B443))))</f>
        <v/>
      </c>
      <c r="L443" s="56" t="str">
        <f aca="false">IF(K443="","",ROUND(J443*K443,2))</f>
        <v/>
      </c>
      <c r="M443" s="58" t="str">
        <f aca="false">IF(AND(B443="",F443="",G443="",H443=""),"",IF(NOT(ISNUMBER(B443)),"⚠ ADD DATE / AGREGA FECHA",IF(J443="","⚠ ADD MILES / AGREGA MILLAS",IF(AND(ISNUMBER(F443),ISNUMBER(G443)),IF(G443&lt;F443,"⚠ CHECK ODOMETER / REVISA ODÓMETRO","✔ OK"),"✔ OK"))))</f>
        <v/>
      </c>
      <c r="N443" s="53"/>
      <c r="P443" s="51" t="n">
        <f aca="false">IF(ISNUMBER(L443),1,0)</f>
        <v>0</v>
      </c>
      <c r="Q443" s="51" t="n">
        <f aca="false">IF(P443=1,YEAR(B443),0)</f>
        <v>0</v>
      </c>
      <c r="R443" s="51" t="n">
        <f aca="false">IF(P443=1,YEAR(B443)*100+MONTH(B443),0)</f>
        <v>0</v>
      </c>
    </row>
    <row r="444" customFormat="false" ht="15" hidden="false" customHeight="false" outlineLevel="0" collapsed="false">
      <c r="B444" s="52"/>
      <c r="C444" s="53"/>
      <c r="D444" s="53"/>
      <c r="E444" s="53"/>
      <c r="F444" s="59"/>
      <c r="G444" s="59"/>
      <c r="H444" s="59"/>
      <c r="I444" s="57"/>
      <c r="J444" s="60" t="str">
        <f aca="false">IF(AND(ISNUMBER(F444),ISNUMBER(G444)),MAX(0,G444-F444),IF(ISNUMBER(H444),H444*IF(I444="Yes / Sí",2,1),""))</f>
        <v/>
      </c>
      <c r="K444" s="61" t="str">
        <f aca="false">IF(OR(J444="",NOT(ISNUMBER(B444))),"",IF(COUNTIF(Settings!$B$8:$B$17,"&lt;="&amp;B444)=0,Settings!$C$8,INDEX(Settings!$C$8:$C$17,COUNTIF(Settings!$B$8:$B$17,"&lt;="&amp;B444))))</f>
        <v/>
      </c>
      <c r="L444" s="56" t="str">
        <f aca="false">IF(K444="","",ROUND(J444*K444,2))</f>
        <v/>
      </c>
      <c r="M444" s="58" t="str">
        <f aca="false">IF(AND(B444="",F444="",G444="",H444=""),"",IF(NOT(ISNUMBER(B444)),"⚠ ADD DATE / AGREGA FECHA",IF(J444="","⚠ ADD MILES / AGREGA MILLAS",IF(AND(ISNUMBER(F444),ISNUMBER(G444)),IF(G444&lt;F444,"⚠ CHECK ODOMETER / REVISA ODÓMETRO","✔ OK"),"✔ OK"))))</f>
        <v/>
      </c>
      <c r="N444" s="53"/>
      <c r="P444" s="51" t="n">
        <f aca="false">IF(ISNUMBER(L444),1,0)</f>
        <v>0</v>
      </c>
      <c r="Q444" s="51" t="n">
        <f aca="false">IF(P444=1,YEAR(B444),0)</f>
        <v>0</v>
      </c>
      <c r="R444" s="51" t="n">
        <f aca="false">IF(P444=1,YEAR(B444)*100+MONTH(B444),0)</f>
        <v>0</v>
      </c>
    </row>
    <row r="445" customFormat="false" ht="15" hidden="false" customHeight="false" outlineLevel="0" collapsed="false">
      <c r="B445" s="52"/>
      <c r="C445" s="53"/>
      <c r="D445" s="53"/>
      <c r="E445" s="53"/>
      <c r="F445" s="59"/>
      <c r="G445" s="59"/>
      <c r="H445" s="59"/>
      <c r="I445" s="57"/>
      <c r="J445" s="60" t="str">
        <f aca="false">IF(AND(ISNUMBER(F445),ISNUMBER(G445)),MAX(0,G445-F445),IF(ISNUMBER(H445),H445*IF(I445="Yes / Sí",2,1),""))</f>
        <v/>
      </c>
      <c r="K445" s="61" t="str">
        <f aca="false">IF(OR(J445="",NOT(ISNUMBER(B445))),"",IF(COUNTIF(Settings!$B$8:$B$17,"&lt;="&amp;B445)=0,Settings!$C$8,INDEX(Settings!$C$8:$C$17,COUNTIF(Settings!$B$8:$B$17,"&lt;="&amp;B445))))</f>
        <v/>
      </c>
      <c r="L445" s="56" t="str">
        <f aca="false">IF(K445="","",ROUND(J445*K445,2))</f>
        <v/>
      </c>
      <c r="M445" s="58" t="str">
        <f aca="false">IF(AND(B445="",F445="",G445="",H445=""),"",IF(NOT(ISNUMBER(B445)),"⚠ ADD DATE / AGREGA FECHA",IF(J445="","⚠ ADD MILES / AGREGA MILLAS",IF(AND(ISNUMBER(F445),ISNUMBER(G445)),IF(G445&lt;F445,"⚠ CHECK ODOMETER / REVISA ODÓMETRO","✔ OK"),"✔ OK"))))</f>
        <v/>
      </c>
      <c r="N445" s="53"/>
      <c r="P445" s="51" t="n">
        <f aca="false">IF(ISNUMBER(L445),1,0)</f>
        <v>0</v>
      </c>
      <c r="Q445" s="51" t="n">
        <f aca="false">IF(P445=1,YEAR(B445),0)</f>
        <v>0</v>
      </c>
      <c r="R445" s="51" t="n">
        <f aca="false">IF(P445=1,YEAR(B445)*100+MONTH(B445),0)</f>
        <v>0</v>
      </c>
    </row>
    <row r="446" customFormat="false" ht="15" hidden="false" customHeight="false" outlineLevel="0" collapsed="false">
      <c r="B446" s="52"/>
      <c r="C446" s="53"/>
      <c r="D446" s="53"/>
      <c r="E446" s="53"/>
      <c r="F446" s="59"/>
      <c r="G446" s="59"/>
      <c r="H446" s="59"/>
      <c r="I446" s="57"/>
      <c r="J446" s="60" t="str">
        <f aca="false">IF(AND(ISNUMBER(F446),ISNUMBER(G446)),MAX(0,G446-F446),IF(ISNUMBER(H446),H446*IF(I446="Yes / Sí",2,1),""))</f>
        <v/>
      </c>
      <c r="K446" s="61" t="str">
        <f aca="false">IF(OR(J446="",NOT(ISNUMBER(B446))),"",IF(COUNTIF(Settings!$B$8:$B$17,"&lt;="&amp;B446)=0,Settings!$C$8,INDEX(Settings!$C$8:$C$17,COUNTIF(Settings!$B$8:$B$17,"&lt;="&amp;B446))))</f>
        <v/>
      </c>
      <c r="L446" s="56" t="str">
        <f aca="false">IF(K446="","",ROUND(J446*K446,2))</f>
        <v/>
      </c>
      <c r="M446" s="58" t="str">
        <f aca="false">IF(AND(B446="",F446="",G446="",H446=""),"",IF(NOT(ISNUMBER(B446)),"⚠ ADD DATE / AGREGA FECHA",IF(J446="","⚠ ADD MILES / AGREGA MILLAS",IF(AND(ISNUMBER(F446),ISNUMBER(G446)),IF(G446&lt;F446,"⚠ CHECK ODOMETER / REVISA ODÓMETRO","✔ OK"),"✔ OK"))))</f>
        <v/>
      </c>
      <c r="N446" s="53"/>
      <c r="P446" s="51" t="n">
        <f aca="false">IF(ISNUMBER(L446),1,0)</f>
        <v>0</v>
      </c>
      <c r="Q446" s="51" t="n">
        <f aca="false">IF(P446=1,YEAR(B446),0)</f>
        <v>0</v>
      </c>
      <c r="R446" s="51" t="n">
        <f aca="false">IF(P446=1,YEAR(B446)*100+MONTH(B446),0)</f>
        <v>0</v>
      </c>
    </row>
    <row r="447" customFormat="false" ht="15" hidden="false" customHeight="false" outlineLevel="0" collapsed="false">
      <c r="B447" s="52"/>
      <c r="C447" s="53"/>
      <c r="D447" s="53"/>
      <c r="E447" s="53"/>
      <c r="F447" s="59"/>
      <c r="G447" s="59"/>
      <c r="H447" s="59"/>
      <c r="I447" s="57"/>
      <c r="J447" s="60" t="str">
        <f aca="false">IF(AND(ISNUMBER(F447),ISNUMBER(G447)),MAX(0,G447-F447),IF(ISNUMBER(H447),H447*IF(I447="Yes / Sí",2,1),""))</f>
        <v/>
      </c>
      <c r="K447" s="61" t="str">
        <f aca="false">IF(OR(J447="",NOT(ISNUMBER(B447))),"",IF(COUNTIF(Settings!$B$8:$B$17,"&lt;="&amp;B447)=0,Settings!$C$8,INDEX(Settings!$C$8:$C$17,COUNTIF(Settings!$B$8:$B$17,"&lt;="&amp;B447))))</f>
        <v/>
      </c>
      <c r="L447" s="56" t="str">
        <f aca="false">IF(K447="","",ROUND(J447*K447,2))</f>
        <v/>
      </c>
      <c r="M447" s="58" t="str">
        <f aca="false">IF(AND(B447="",F447="",G447="",H447=""),"",IF(NOT(ISNUMBER(B447)),"⚠ ADD DATE / AGREGA FECHA",IF(J447="","⚠ ADD MILES / AGREGA MILLAS",IF(AND(ISNUMBER(F447),ISNUMBER(G447)),IF(G447&lt;F447,"⚠ CHECK ODOMETER / REVISA ODÓMETRO","✔ OK"),"✔ OK"))))</f>
        <v/>
      </c>
      <c r="N447" s="53"/>
      <c r="P447" s="51" t="n">
        <f aca="false">IF(ISNUMBER(L447),1,0)</f>
        <v>0</v>
      </c>
      <c r="Q447" s="51" t="n">
        <f aca="false">IF(P447=1,YEAR(B447),0)</f>
        <v>0</v>
      </c>
      <c r="R447" s="51" t="n">
        <f aca="false">IF(P447=1,YEAR(B447)*100+MONTH(B447),0)</f>
        <v>0</v>
      </c>
    </row>
    <row r="448" customFormat="false" ht="15" hidden="false" customHeight="false" outlineLevel="0" collapsed="false">
      <c r="B448" s="52"/>
      <c r="C448" s="53"/>
      <c r="D448" s="53"/>
      <c r="E448" s="53"/>
      <c r="F448" s="59"/>
      <c r="G448" s="59"/>
      <c r="H448" s="59"/>
      <c r="I448" s="57"/>
      <c r="J448" s="60" t="str">
        <f aca="false">IF(AND(ISNUMBER(F448),ISNUMBER(G448)),MAX(0,G448-F448),IF(ISNUMBER(H448),H448*IF(I448="Yes / Sí",2,1),""))</f>
        <v/>
      </c>
      <c r="K448" s="61" t="str">
        <f aca="false">IF(OR(J448="",NOT(ISNUMBER(B448))),"",IF(COUNTIF(Settings!$B$8:$B$17,"&lt;="&amp;B448)=0,Settings!$C$8,INDEX(Settings!$C$8:$C$17,COUNTIF(Settings!$B$8:$B$17,"&lt;="&amp;B448))))</f>
        <v/>
      </c>
      <c r="L448" s="56" t="str">
        <f aca="false">IF(K448="","",ROUND(J448*K448,2))</f>
        <v/>
      </c>
      <c r="M448" s="58" t="str">
        <f aca="false">IF(AND(B448="",F448="",G448="",H448=""),"",IF(NOT(ISNUMBER(B448)),"⚠ ADD DATE / AGREGA FECHA",IF(J448="","⚠ ADD MILES / AGREGA MILLAS",IF(AND(ISNUMBER(F448),ISNUMBER(G448)),IF(G448&lt;F448,"⚠ CHECK ODOMETER / REVISA ODÓMETRO","✔ OK"),"✔ OK"))))</f>
        <v/>
      </c>
      <c r="N448" s="53"/>
      <c r="P448" s="51" t="n">
        <f aca="false">IF(ISNUMBER(L448),1,0)</f>
        <v>0</v>
      </c>
      <c r="Q448" s="51" t="n">
        <f aca="false">IF(P448=1,YEAR(B448),0)</f>
        <v>0</v>
      </c>
      <c r="R448" s="51" t="n">
        <f aca="false">IF(P448=1,YEAR(B448)*100+MONTH(B448),0)</f>
        <v>0</v>
      </c>
    </row>
    <row r="449" customFormat="false" ht="15" hidden="false" customHeight="false" outlineLevel="0" collapsed="false">
      <c r="B449" s="52"/>
      <c r="C449" s="53"/>
      <c r="D449" s="53"/>
      <c r="E449" s="53"/>
      <c r="F449" s="59"/>
      <c r="G449" s="59"/>
      <c r="H449" s="59"/>
      <c r="I449" s="57"/>
      <c r="J449" s="60" t="str">
        <f aca="false">IF(AND(ISNUMBER(F449),ISNUMBER(G449)),MAX(0,G449-F449),IF(ISNUMBER(H449),H449*IF(I449="Yes / Sí",2,1),""))</f>
        <v/>
      </c>
      <c r="K449" s="61" t="str">
        <f aca="false">IF(OR(J449="",NOT(ISNUMBER(B449))),"",IF(COUNTIF(Settings!$B$8:$B$17,"&lt;="&amp;B449)=0,Settings!$C$8,INDEX(Settings!$C$8:$C$17,COUNTIF(Settings!$B$8:$B$17,"&lt;="&amp;B449))))</f>
        <v/>
      </c>
      <c r="L449" s="56" t="str">
        <f aca="false">IF(K449="","",ROUND(J449*K449,2))</f>
        <v/>
      </c>
      <c r="M449" s="58" t="str">
        <f aca="false">IF(AND(B449="",F449="",G449="",H449=""),"",IF(NOT(ISNUMBER(B449)),"⚠ ADD DATE / AGREGA FECHA",IF(J449="","⚠ ADD MILES / AGREGA MILLAS",IF(AND(ISNUMBER(F449),ISNUMBER(G449)),IF(G449&lt;F449,"⚠ CHECK ODOMETER / REVISA ODÓMETRO","✔ OK"),"✔ OK"))))</f>
        <v/>
      </c>
      <c r="N449" s="53"/>
      <c r="P449" s="51" t="n">
        <f aca="false">IF(ISNUMBER(L449),1,0)</f>
        <v>0</v>
      </c>
      <c r="Q449" s="51" t="n">
        <f aca="false">IF(P449=1,YEAR(B449),0)</f>
        <v>0</v>
      </c>
      <c r="R449" s="51" t="n">
        <f aca="false">IF(P449=1,YEAR(B449)*100+MONTH(B449),0)</f>
        <v>0</v>
      </c>
    </row>
    <row r="450" customFormat="false" ht="15" hidden="false" customHeight="false" outlineLevel="0" collapsed="false">
      <c r="B450" s="52"/>
      <c r="C450" s="53"/>
      <c r="D450" s="53"/>
      <c r="E450" s="53"/>
      <c r="F450" s="59"/>
      <c r="G450" s="59"/>
      <c r="H450" s="59"/>
      <c r="I450" s="57"/>
      <c r="J450" s="60" t="str">
        <f aca="false">IF(AND(ISNUMBER(F450),ISNUMBER(G450)),MAX(0,G450-F450),IF(ISNUMBER(H450),H450*IF(I450="Yes / Sí",2,1),""))</f>
        <v/>
      </c>
      <c r="K450" s="61" t="str">
        <f aca="false">IF(OR(J450="",NOT(ISNUMBER(B450))),"",IF(COUNTIF(Settings!$B$8:$B$17,"&lt;="&amp;B450)=0,Settings!$C$8,INDEX(Settings!$C$8:$C$17,COUNTIF(Settings!$B$8:$B$17,"&lt;="&amp;B450))))</f>
        <v/>
      </c>
      <c r="L450" s="56" t="str">
        <f aca="false">IF(K450="","",ROUND(J450*K450,2))</f>
        <v/>
      </c>
      <c r="M450" s="58" t="str">
        <f aca="false">IF(AND(B450="",F450="",G450="",H450=""),"",IF(NOT(ISNUMBER(B450)),"⚠ ADD DATE / AGREGA FECHA",IF(J450="","⚠ ADD MILES / AGREGA MILLAS",IF(AND(ISNUMBER(F450),ISNUMBER(G450)),IF(G450&lt;F450,"⚠ CHECK ODOMETER / REVISA ODÓMETRO","✔ OK"),"✔ OK"))))</f>
        <v/>
      </c>
      <c r="N450" s="53"/>
      <c r="P450" s="51" t="n">
        <f aca="false">IF(ISNUMBER(L450),1,0)</f>
        <v>0</v>
      </c>
      <c r="Q450" s="51" t="n">
        <f aca="false">IF(P450=1,YEAR(B450),0)</f>
        <v>0</v>
      </c>
      <c r="R450" s="51" t="n">
        <f aca="false">IF(P450=1,YEAR(B450)*100+MONTH(B450),0)</f>
        <v>0</v>
      </c>
    </row>
    <row r="451" customFormat="false" ht="15" hidden="false" customHeight="false" outlineLevel="0" collapsed="false">
      <c r="B451" s="52"/>
      <c r="C451" s="53"/>
      <c r="D451" s="53"/>
      <c r="E451" s="53"/>
      <c r="F451" s="59"/>
      <c r="G451" s="59"/>
      <c r="H451" s="59"/>
      <c r="I451" s="57"/>
      <c r="J451" s="60" t="str">
        <f aca="false">IF(AND(ISNUMBER(F451),ISNUMBER(G451)),MAX(0,G451-F451),IF(ISNUMBER(H451),H451*IF(I451="Yes / Sí",2,1),""))</f>
        <v/>
      </c>
      <c r="K451" s="61" t="str">
        <f aca="false">IF(OR(J451="",NOT(ISNUMBER(B451))),"",IF(COUNTIF(Settings!$B$8:$B$17,"&lt;="&amp;B451)=0,Settings!$C$8,INDEX(Settings!$C$8:$C$17,COUNTIF(Settings!$B$8:$B$17,"&lt;="&amp;B451))))</f>
        <v/>
      </c>
      <c r="L451" s="56" t="str">
        <f aca="false">IF(K451="","",ROUND(J451*K451,2))</f>
        <v/>
      </c>
      <c r="M451" s="58" t="str">
        <f aca="false">IF(AND(B451="",F451="",G451="",H451=""),"",IF(NOT(ISNUMBER(B451)),"⚠ ADD DATE / AGREGA FECHA",IF(J451="","⚠ ADD MILES / AGREGA MILLAS",IF(AND(ISNUMBER(F451),ISNUMBER(G451)),IF(G451&lt;F451,"⚠ CHECK ODOMETER / REVISA ODÓMETRO","✔ OK"),"✔ OK"))))</f>
        <v/>
      </c>
      <c r="N451" s="53"/>
      <c r="P451" s="51" t="n">
        <f aca="false">IF(ISNUMBER(L451),1,0)</f>
        <v>0</v>
      </c>
      <c r="Q451" s="51" t="n">
        <f aca="false">IF(P451=1,YEAR(B451),0)</f>
        <v>0</v>
      </c>
      <c r="R451" s="51" t="n">
        <f aca="false">IF(P451=1,YEAR(B451)*100+MONTH(B451),0)</f>
        <v>0</v>
      </c>
    </row>
    <row r="452" customFormat="false" ht="15" hidden="false" customHeight="false" outlineLevel="0" collapsed="false">
      <c r="B452" s="52"/>
      <c r="C452" s="53"/>
      <c r="D452" s="53"/>
      <c r="E452" s="53"/>
      <c r="F452" s="59"/>
      <c r="G452" s="59"/>
      <c r="H452" s="59"/>
      <c r="I452" s="57"/>
      <c r="J452" s="60" t="str">
        <f aca="false">IF(AND(ISNUMBER(F452),ISNUMBER(G452)),MAX(0,G452-F452),IF(ISNUMBER(H452),H452*IF(I452="Yes / Sí",2,1),""))</f>
        <v/>
      </c>
      <c r="K452" s="61" t="str">
        <f aca="false">IF(OR(J452="",NOT(ISNUMBER(B452))),"",IF(COUNTIF(Settings!$B$8:$B$17,"&lt;="&amp;B452)=0,Settings!$C$8,INDEX(Settings!$C$8:$C$17,COUNTIF(Settings!$B$8:$B$17,"&lt;="&amp;B452))))</f>
        <v/>
      </c>
      <c r="L452" s="56" t="str">
        <f aca="false">IF(K452="","",ROUND(J452*K452,2))</f>
        <v/>
      </c>
      <c r="M452" s="58" t="str">
        <f aca="false">IF(AND(B452="",F452="",G452="",H452=""),"",IF(NOT(ISNUMBER(B452)),"⚠ ADD DATE / AGREGA FECHA",IF(J452="","⚠ ADD MILES / AGREGA MILLAS",IF(AND(ISNUMBER(F452),ISNUMBER(G452)),IF(G452&lt;F452,"⚠ CHECK ODOMETER / REVISA ODÓMETRO","✔ OK"),"✔ OK"))))</f>
        <v/>
      </c>
      <c r="N452" s="53"/>
      <c r="P452" s="51" t="n">
        <f aca="false">IF(ISNUMBER(L452),1,0)</f>
        <v>0</v>
      </c>
      <c r="Q452" s="51" t="n">
        <f aca="false">IF(P452=1,YEAR(B452),0)</f>
        <v>0</v>
      </c>
      <c r="R452" s="51" t="n">
        <f aca="false">IF(P452=1,YEAR(B452)*100+MONTH(B452),0)</f>
        <v>0</v>
      </c>
    </row>
    <row r="453" customFormat="false" ht="15" hidden="false" customHeight="false" outlineLevel="0" collapsed="false">
      <c r="B453" s="52"/>
      <c r="C453" s="53"/>
      <c r="D453" s="53"/>
      <c r="E453" s="53"/>
      <c r="F453" s="59"/>
      <c r="G453" s="59"/>
      <c r="H453" s="59"/>
      <c r="I453" s="57"/>
      <c r="J453" s="60" t="str">
        <f aca="false">IF(AND(ISNUMBER(F453),ISNUMBER(G453)),MAX(0,G453-F453),IF(ISNUMBER(H453),H453*IF(I453="Yes / Sí",2,1),""))</f>
        <v/>
      </c>
      <c r="K453" s="61" t="str">
        <f aca="false">IF(OR(J453="",NOT(ISNUMBER(B453))),"",IF(COUNTIF(Settings!$B$8:$B$17,"&lt;="&amp;B453)=0,Settings!$C$8,INDEX(Settings!$C$8:$C$17,COUNTIF(Settings!$B$8:$B$17,"&lt;="&amp;B453))))</f>
        <v/>
      </c>
      <c r="L453" s="56" t="str">
        <f aca="false">IF(K453="","",ROUND(J453*K453,2))</f>
        <v/>
      </c>
      <c r="M453" s="58" t="str">
        <f aca="false">IF(AND(B453="",F453="",G453="",H453=""),"",IF(NOT(ISNUMBER(B453)),"⚠ ADD DATE / AGREGA FECHA",IF(J453="","⚠ ADD MILES / AGREGA MILLAS",IF(AND(ISNUMBER(F453),ISNUMBER(G453)),IF(G453&lt;F453,"⚠ CHECK ODOMETER / REVISA ODÓMETRO","✔ OK"),"✔ OK"))))</f>
        <v/>
      </c>
      <c r="N453" s="53"/>
      <c r="P453" s="51" t="n">
        <f aca="false">IF(ISNUMBER(L453),1,0)</f>
        <v>0</v>
      </c>
      <c r="Q453" s="51" t="n">
        <f aca="false">IF(P453=1,YEAR(B453),0)</f>
        <v>0</v>
      </c>
      <c r="R453" s="51" t="n">
        <f aca="false">IF(P453=1,YEAR(B453)*100+MONTH(B453),0)</f>
        <v>0</v>
      </c>
    </row>
    <row r="454" customFormat="false" ht="15" hidden="false" customHeight="false" outlineLevel="0" collapsed="false">
      <c r="B454" s="52"/>
      <c r="C454" s="53"/>
      <c r="D454" s="53"/>
      <c r="E454" s="53"/>
      <c r="F454" s="59"/>
      <c r="G454" s="59"/>
      <c r="H454" s="59"/>
      <c r="I454" s="57"/>
      <c r="J454" s="60" t="str">
        <f aca="false">IF(AND(ISNUMBER(F454),ISNUMBER(G454)),MAX(0,G454-F454),IF(ISNUMBER(H454),H454*IF(I454="Yes / Sí",2,1),""))</f>
        <v/>
      </c>
      <c r="K454" s="61" t="str">
        <f aca="false">IF(OR(J454="",NOT(ISNUMBER(B454))),"",IF(COUNTIF(Settings!$B$8:$B$17,"&lt;="&amp;B454)=0,Settings!$C$8,INDEX(Settings!$C$8:$C$17,COUNTIF(Settings!$B$8:$B$17,"&lt;="&amp;B454))))</f>
        <v/>
      </c>
      <c r="L454" s="56" t="str">
        <f aca="false">IF(K454="","",ROUND(J454*K454,2))</f>
        <v/>
      </c>
      <c r="M454" s="58" t="str">
        <f aca="false">IF(AND(B454="",F454="",G454="",H454=""),"",IF(NOT(ISNUMBER(B454)),"⚠ ADD DATE / AGREGA FECHA",IF(J454="","⚠ ADD MILES / AGREGA MILLAS",IF(AND(ISNUMBER(F454),ISNUMBER(G454)),IF(G454&lt;F454,"⚠ CHECK ODOMETER / REVISA ODÓMETRO","✔ OK"),"✔ OK"))))</f>
        <v/>
      </c>
      <c r="N454" s="53"/>
      <c r="P454" s="51" t="n">
        <f aca="false">IF(ISNUMBER(L454),1,0)</f>
        <v>0</v>
      </c>
      <c r="Q454" s="51" t="n">
        <f aca="false">IF(P454=1,YEAR(B454),0)</f>
        <v>0</v>
      </c>
      <c r="R454" s="51" t="n">
        <f aca="false">IF(P454=1,YEAR(B454)*100+MONTH(B454),0)</f>
        <v>0</v>
      </c>
    </row>
    <row r="455" customFormat="false" ht="15" hidden="false" customHeight="false" outlineLevel="0" collapsed="false">
      <c r="B455" s="52"/>
      <c r="C455" s="53"/>
      <c r="D455" s="53"/>
      <c r="E455" s="53"/>
      <c r="F455" s="59"/>
      <c r="G455" s="59"/>
      <c r="H455" s="59"/>
      <c r="I455" s="57"/>
      <c r="J455" s="60" t="str">
        <f aca="false">IF(AND(ISNUMBER(F455),ISNUMBER(G455)),MAX(0,G455-F455),IF(ISNUMBER(H455),H455*IF(I455="Yes / Sí",2,1),""))</f>
        <v/>
      </c>
      <c r="K455" s="61" t="str">
        <f aca="false">IF(OR(J455="",NOT(ISNUMBER(B455))),"",IF(COUNTIF(Settings!$B$8:$B$17,"&lt;="&amp;B455)=0,Settings!$C$8,INDEX(Settings!$C$8:$C$17,COUNTIF(Settings!$B$8:$B$17,"&lt;="&amp;B455))))</f>
        <v/>
      </c>
      <c r="L455" s="56" t="str">
        <f aca="false">IF(K455="","",ROUND(J455*K455,2))</f>
        <v/>
      </c>
      <c r="M455" s="58" t="str">
        <f aca="false">IF(AND(B455="",F455="",G455="",H455=""),"",IF(NOT(ISNUMBER(B455)),"⚠ ADD DATE / AGREGA FECHA",IF(J455="","⚠ ADD MILES / AGREGA MILLAS",IF(AND(ISNUMBER(F455),ISNUMBER(G455)),IF(G455&lt;F455,"⚠ CHECK ODOMETER / REVISA ODÓMETRO","✔ OK"),"✔ OK"))))</f>
        <v/>
      </c>
      <c r="N455" s="53"/>
      <c r="P455" s="51" t="n">
        <f aca="false">IF(ISNUMBER(L455),1,0)</f>
        <v>0</v>
      </c>
      <c r="Q455" s="51" t="n">
        <f aca="false">IF(P455=1,YEAR(B455),0)</f>
        <v>0</v>
      </c>
      <c r="R455" s="51" t="n">
        <f aca="false">IF(P455=1,YEAR(B455)*100+MONTH(B455),0)</f>
        <v>0</v>
      </c>
    </row>
    <row r="456" customFormat="false" ht="15" hidden="false" customHeight="false" outlineLevel="0" collapsed="false">
      <c r="B456" s="52"/>
      <c r="C456" s="53"/>
      <c r="D456" s="53"/>
      <c r="E456" s="53"/>
      <c r="F456" s="59"/>
      <c r="G456" s="59"/>
      <c r="H456" s="59"/>
      <c r="I456" s="57"/>
      <c r="J456" s="60" t="str">
        <f aca="false">IF(AND(ISNUMBER(F456),ISNUMBER(G456)),MAX(0,G456-F456),IF(ISNUMBER(H456),H456*IF(I456="Yes / Sí",2,1),""))</f>
        <v/>
      </c>
      <c r="K456" s="61" t="str">
        <f aca="false">IF(OR(J456="",NOT(ISNUMBER(B456))),"",IF(COUNTIF(Settings!$B$8:$B$17,"&lt;="&amp;B456)=0,Settings!$C$8,INDEX(Settings!$C$8:$C$17,COUNTIF(Settings!$B$8:$B$17,"&lt;="&amp;B456))))</f>
        <v/>
      </c>
      <c r="L456" s="56" t="str">
        <f aca="false">IF(K456="","",ROUND(J456*K456,2))</f>
        <v/>
      </c>
      <c r="M456" s="58" t="str">
        <f aca="false">IF(AND(B456="",F456="",G456="",H456=""),"",IF(NOT(ISNUMBER(B456)),"⚠ ADD DATE / AGREGA FECHA",IF(J456="","⚠ ADD MILES / AGREGA MILLAS",IF(AND(ISNUMBER(F456),ISNUMBER(G456)),IF(G456&lt;F456,"⚠ CHECK ODOMETER / REVISA ODÓMETRO","✔ OK"),"✔ OK"))))</f>
        <v/>
      </c>
      <c r="N456" s="53"/>
      <c r="P456" s="51" t="n">
        <f aca="false">IF(ISNUMBER(L456),1,0)</f>
        <v>0</v>
      </c>
      <c r="Q456" s="51" t="n">
        <f aca="false">IF(P456=1,YEAR(B456),0)</f>
        <v>0</v>
      </c>
      <c r="R456" s="51" t="n">
        <f aca="false">IF(P456=1,YEAR(B456)*100+MONTH(B456),0)</f>
        <v>0</v>
      </c>
    </row>
    <row r="457" customFormat="false" ht="15" hidden="false" customHeight="false" outlineLevel="0" collapsed="false">
      <c r="B457" s="52"/>
      <c r="C457" s="53"/>
      <c r="D457" s="53"/>
      <c r="E457" s="53"/>
      <c r="F457" s="59"/>
      <c r="G457" s="59"/>
      <c r="H457" s="59"/>
      <c r="I457" s="57"/>
      <c r="J457" s="60" t="str">
        <f aca="false">IF(AND(ISNUMBER(F457),ISNUMBER(G457)),MAX(0,G457-F457),IF(ISNUMBER(H457),H457*IF(I457="Yes / Sí",2,1),""))</f>
        <v/>
      </c>
      <c r="K457" s="61" t="str">
        <f aca="false">IF(OR(J457="",NOT(ISNUMBER(B457))),"",IF(COUNTIF(Settings!$B$8:$B$17,"&lt;="&amp;B457)=0,Settings!$C$8,INDEX(Settings!$C$8:$C$17,COUNTIF(Settings!$B$8:$B$17,"&lt;="&amp;B457))))</f>
        <v/>
      </c>
      <c r="L457" s="56" t="str">
        <f aca="false">IF(K457="","",ROUND(J457*K457,2))</f>
        <v/>
      </c>
      <c r="M457" s="58" t="str">
        <f aca="false">IF(AND(B457="",F457="",G457="",H457=""),"",IF(NOT(ISNUMBER(B457)),"⚠ ADD DATE / AGREGA FECHA",IF(J457="","⚠ ADD MILES / AGREGA MILLAS",IF(AND(ISNUMBER(F457),ISNUMBER(G457)),IF(G457&lt;F457,"⚠ CHECK ODOMETER / REVISA ODÓMETRO","✔ OK"),"✔ OK"))))</f>
        <v/>
      </c>
      <c r="N457" s="53"/>
      <c r="P457" s="51" t="n">
        <f aca="false">IF(ISNUMBER(L457),1,0)</f>
        <v>0</v>
      </c>
      <c r="Q457" s="51" t="n">
        <f aca="false">IF(P457=1,YEAR(B457),0)</f>
        <v>0</v>
      </c>
      <c r="R457" s="51" t="n">
        <f aca="false">IF(P457=1,YEAR(B457)*100+MONTH(B457),0)</f>
        <v>0</v>
      </c>
    </row>
    <row r="458" customFormat="false" ht="15" hidden="false" customHeight="false" outlineLevel="0" collapsed="false">
      <c r="B458" s="52"/>
      <c r="C458" s="53"/>
      <c r="D458" s="53"/>
      <c r="E458" s="53"/>
      <c r="F458" s="59"/>
      <c r="G458" s="59"/>
      <c r="H458" s="59"/>
      <c r="I458" s="57"/>
      <c r="J458" s="60" t="str">
        <f aca="false">IF(AND(ISNUMBER(F458),ISNUMBER(G458)),MAX(0,G458-F458),IF(ISNUMBER(H458),H458*IF(I458="Yes / Sí",2,1),""))</f>
        <v/>
      </c>
      <c r="K458" s="61" t="str">
        <f aca="false">IF(OR(J458="",NOT(ISNUMBER(B458))),"",IF(COUNTIF(Settings!$B$8:$B$17,"&lt;="&amp;B458)=0,Settings!$C$8,INDEX(Settings!$C$8:$C$17,COUNTIF(Settings!$B$8:$B$17,"&lt;="&amp;B458))))</f>
        <v/>
      </c>
      <c r="L458" s="56" t="str">
        <f aca="false">IF(K458="","",ROUND(J458*K458,2))</f>
        <v/>
      </c>
      <c r="M458" s="58" t="str">
        <f aca="false">IF(AND(B458="",F458="",G458="",H458=""),"",IF(NOT(ISNUMBER(B458)),"⚠ ADD DATE / AGREGA FECHA",IF(J458="","⚠ ADD MILES / AGREGA MILLAS",IF(AND(ISNUMBER(F458),ISNUMBER(G458)),IF(G458&lt;F458,"⚠ CHECK ODOMETER / REVISA ODÓMETRO","✔ OK"),"✔ OK"))))</f>
        <v/>
      </c>
      <c r="N458" s="53"/>
      <c r="P458" s="51" t="n">
        <f aca="false">IF(ISNUMBER(L458),1,0)</f>
        <v>0</v>
      </c>
      <c r="Q458" s="51" t="n">
        <f aca="false">IF(P458=1,YEAR(B458),0)</f>
        <v>0</v>
      </c>
      <c r="R458" s="51" t="n">
        <f aca="false">IF(P458=1,YEAR(B458)*100+MONTH(B458),0)</f>
        <v>0</v>
      </c>
    </row>
    <row r="459" customFormat="false" ht="15" hidden="false" customHeight="false" outlineLevel="0" collapsed="false">
      <c r="B459" s="52"/>
      <c r="C459" s="53"/>
      <c r="D459" s="53"/>
      <c r="E459" s="53"/>
      <c r="F459" s="59"/>
      <c r="G459" s="59"/>
      <c r="H459" s="59"/>
      <c r="I459" s="57"/>
      <c r="J459" s="60" t="str">
        <f aca="false">IF(AND(ISNUMBER(F459),ISNUMBER(G459)),MAX(0,G459-F459),IF(ISNUMBER(H459),H459*IF(I459="Yes / Sí",2,1),""))</f>
        <v/>
      </c>
      <c r="K459" s="61" t="str">
        <f aca="false">IF(OR(J459="",NOT(ISNUMBER(B459))),"",IF(COUNTIF(Settings!$B$8:$B$17,"&lt;="&amp;B459)=0,Settings!$C$8,INDEX(Settings!$C$8:$C$17,COUNTIF(Settings!$B$8:$B$17,"&lt;="&amp;B459))))</f>
        <v/>
      </c>
      <c r="L459" s="56" t="str">
        <f aca="false">IF(K459="","",ROUND(J459*K459,2))</f>
        <v/>
      </c>
      <c r="M459" s="58" t="str">
        <f aca="false">IF(AND(B459="",F459="",G459="",H459=""),"",IF(NOT(ISNUMBER(B459)),"⚠ ADD DATE / AGREGA FECHA",IF(J459="","⚠ ADD MILES / AGREGA MILLAS",IF(AND(ISNUMBER(F459),ISNUMBER(G459)),IF(G459&lt;F459,"⚠ CHECK ODOMETER / REVISA ODÓMETRO","✔ OK"),"✔ OK"))))</f>
        <v/>
      </c>
      <c r="N459" s="53"/>
      <c r="P459" s="51" t="n">
        <f aca="false">IF(ISNUMBER(L459),1,0)</f>
        <v>0</v>
      </c>
      <c r="Q459" s="51" t="n">
        <f aca="false">IF(P459=1,YEAR(B459),0)</f>
        <v>0</v>
      </c>
      <c r="R459" s="51" t="n">
        <f aca="false">IF(P459=1,YEAR(B459)*100+MONTH(B459),0)</f>
        <v>0</v>
      </c>
    </row>
    <row r="460" customFormat="false" ht="15" hidden="false" customHeight="false" outlineLevel="0" collapsed="false">
      <c r="B460" s="52"/>
      <c r="C460" s="53"/>
      <c r="D460" s="53"/>
      <c r="E460" s="53"/>
      <c r="F460" s="59"/>
      <c r="G460" s="59"/>
      <c r="H460" s="59"/>
      <c r="I460" s="57"/>
      <c r="J460" s="60" t="str">
        <f aca="false">IF(AND(ISNUMBER(F460),ISNUMBER(G460)),MAX(0,G460-F460),IF(ISNUMBER(H460),H460*IF(I460="Yes / Sí",2,1),""))</f>
        <v/>
      </c>
      <c r="K460" s="61" t="str">
        <f aca="false">IF(OR(J460="",NOT(ISNUMBER(B460))),"",IF(COUNTIF(Settings!$B$8:$B$17,"&lt;="&amp;B460)=0,Settings!$C$8,INDEX(Settings!$C$8:$C$17,COUNTIF(Settings!$B$8:$B$17,"&lt;="&amp;B460))))</f>
        <v/>
      </c>
      <c r="L460" s="56" t="str">
        <f aca="false">IF(K460="","",ROUND(J460*K460,2))</f>
        <v/>
      </c>
      <c r="M460" s="58" t="str">
        <f aca="false">IF(AND(B460="",F460="",G460="",H460=""),"",IF(NOT(ISNUMBER(B460)),"⚠ ADD DATE / AGREGA FECHA",IF(J460="","⚠ ADD MILES / AGREGA MILLAS",IF(AND(ISNUMBER(F460),ISNUMBER(G460)),IF(G460&lt;F460,"⚠ CHECK ODOMETER / REVISA ODÓMETRO","✔ OK"),"✔ OK"))))</f>
        <v/>
      </c>
      <c r="N460" s="53"/>
      <c r="P460" s="51" t="n">
        <f aca="false">IF(ISNUMBER(L460),1,0)</f>
        <v>0</v>
      </c>
      <c r="Q460" s="51" t="n">
        <f aca="false">IF(P460=1,YEAR(B460),0)</f>
        <v>0</v>
      </c>
      <c r="R460" s="51" t="n">
        <f aca="false">IF(P460=1,YEAR(B460)*100+MONTH(B460),0)</f>
        <v>0</v>
      </c>
    </row>
    <row r="461" customFormat="false" ht="15" hidden="false" customHeight="false" outlineLevel="0" collapsed="false">
      <c r="B461" s="52"/>
      <c r="C461" s="53"/>
      <c r="D461" s="53"/>
      <c r="E461" s="53"/>
      <c r="F461" s="59"/>
      <c r="G461" s="59"/>
      <c r="H461" s="59"/>
      <c r="I461" s="57"/>
      <c r="J461" s="60" t="str">
        <f aca="false">IF(AND(ISNUMBER(F461),ISNUMBER(G461)),MAX(0,G461-F461),IF(ISNUMBER(H461),H461*IF(I461="Yes / Sí",2,1),""))</f>
        <v/>
      </c>
      <c r="K461" s="61" t="str">
        <f aca="false">IF(OR(J461="",NOT(ISNUMBER(B461))),"",IF(COUNTIF(Settings!$B$8:$B$17,"&lt;="&amp;B461)=0,Settings!$C$8,INDEX(Settings!$C$8:$C$17,COUNTIF(Settings!$B$8:$B$17,"&lt;="&amp;B461))))</f>
        <v/>
      </c>
      <c r="L461" s="56" t="str">
        <f aca="false">IF(K461="","",ROUND(J461*K461,2))</f>
        <v/>
      </c>
      <c r="M461" s="58" t="str">
        <f aca="false">IF(AND(B461="",F461="",G461="",H461=""),"",IF(NOT(ISNUMBER(B461)),"⚠ ADD DATE / AGREGA FECHA",IF(J461="","⚠ ADD MILES / AGREGA MILLAS",IF(AND(ISNUMBER(F461),ISNUMBER(G461)),IF(G461&lt;F461,"⚠ CHECK ODOMETER / REVISA ODÓMETRO","✔ OK"),"✔ OK"))))</f>
        <v/>
      </c>
      <c r="N461" s="53"/>
      <c r="P461" s="51" t="n">
        <f aca="false">IF(ISNUMBER(L461),1,0)</f>
        <v>0</v>
      </c>
      <c r="Q461" s="51" t="n">
        <f aca="false">IF(P461=1,YEAR(B461),0)</f>
        <v>0</v>
      </c>
      <c r="R461" s="51" t="n">
        <f aca="false">IF(P461=1,YEAR(B461)*100+MONTH(B461),0)</f>
        <v>0</v>
      </c>
    </row>
    <row r="462" customFormat="false" ht="15" hidden="false" customHeight="false" outlineLevel="0" collapsed="false">
      <c r="B462" s="52"/>
      <c r="C462" s="53"/>
      <c r="D462" s="53"/>
      <c r="E462" s="53"/>
      <c r="F462" s="59"/>
      <c r="G462" s="59"/>
      <c r="H462" s="59"/>
      <c r="I462" s="57"/>
      <c r="J462" s="60" t="str">
        <f aca="false">IF(AND(ISNUMBER(F462),ISNUMBER(G462)),MAX(0,G462-F462),IF(ISNUMBER(H462),H462*IF(I462="Yes / Sí",2,1),""))</f>
        <v/>
      </c>
      <c r="K462" s="61" t="str">
        <f aca="false">IF(OR(J462="",NOT(ISNUMBER(B462))),"",IF(COUNTIF(Settings!$B$8:$B$17,"&lt;="&amp;B462)=0,Settings!$C$8,INDEX(Settings!$C$8:$C$17,COUNTIF(Settings!$B$8:$B$17,"&lt;="&amp;B462))))</f>
        <v/>
      </c>
      <c r="L462" s="56" t="str">
        <f aca="false">IF(K462="","",ROUND(J462*K462,2))</f>
        <v/>
      </c>
      <c r="M462" s="58" t="str">
        <f aca="false">IF(AND(B462="",F462="",G462="",H462=""),"",IF(NOT(ISNUMBER(B462)),"⚠ ADD DATE / AGREGA FECHA",IF(J462="","⚠ ADD MILES / AGREGA MILLAS",IF(AND(ISNUMBER(F462),ISNUMBER(G462)),IF(G462&lt;F462,"⚠ CHECK ODOMETER / REVISA ODÓMETRO","✔ OK"),"✔ OK"))))</f>
        <v/>
      </c>
      <c r="N462" s="53"/>
      <c r="P462" s="51" t="n">
        <f aca="false">IF(ISNUMBER(L462),1,0)</f>
        <v>0</v>
      </c>
      <c r="Q462" s="51" t="n">
        <f aca="false">IF(P462=1,YEAR(B462),0)</f>
        <v>0</v>
      </c>
      <c r="R462" s="51" t="n">
        <f aca="false">IF(P462=1,YEAR(B462)*100+MONTH(B462),0)</f>
        <v>0</v>
      </c>
    </row>
    <row r="463" customFormat="false" ht="15" hidden="false" customHeight="false" outlineLevel="0" collapsed="false">
      <c r="B463" s="52"/>
      <c r="C463" s="53"/>
      <c r="D463" s="53"/>
      <c r="E463" s="53"/>
      <c r="F463" s="59"/>
      <c r="G463" s="59"/>
      <c r="H463" s="59"/>
      <c r="I463" s="57"/>
      <c r="J463" s="60" t="str">
        <f aca="false">IF(AND(ISNUMBER(F463),ISNUMBER(G463)),MAX(0,G463-F463),IF(ISNUMBER(H463),H463*IF(I463="Yes / Sí",2,1),""))</f>
        <v/>
      </c>
      <c r="K463" s="61" t="str">
        <f aca="false">IF(OR(J463="",NOT(ISNUMBER(B463))),"",IF(COUNTIF(Settings!$B$8:$B$17,"&lt;="&amp;B463)=0,Settings!$C$8,INDEX(Settings!$C$8:$C$17,COUNTIF(Settings!$B$8:$B$17,"&lt;="&amp;B463))))</f>
        <v/>
      </c>
      <c r="L463" s="56" t="str">
        <f aca="false">IF(K463="","",ROUND(J463*K463,2))</f>
        <v/>
      </c>
      <c r="M463" s="58" t="str">
        <f aca="false">IF(AND(B463="",F463="",G463="",H463=""),"",IF(NOT(ISNUMBER(B463)),"⚠ ADD DATE / AGREGA FECHA",IF(J463="","⚠ ADD MILES / AGREGA MILLAS",IF(AND(ISNUMBER(F463),ISNUMBER(G463)),IF(G463&lt;F463,"⚠ CHECK ODOMETER / REVISA ODÓMETRO","✔ OK"),"✔ OK"))))</f>
        <v/>
      </c>
      <c r="N463" s="53"/>
      <c r="P463" s="51" t="n">
        <f aca="false">IF(ISNUMBER(L463),1,0)</f>
        <v>0</v>
      </c>
      <c r="Q463" s="51" t="n">
        <f aca="false">IF(P463=1,YEAR(B463),0)</f>
        <v>0</v>
      </c>
      <c r="R463" s="51" t="n">
        <f aca="false">IF(P463=1,YEAR(B463)*100+MONTH(B463),0)</f>
        <v>0</v>
      </c>
    </row>
    <row r="464" customFormat="false" ht="15" hidden="false" customHeight="false" outlineLevel="0" collapsed="false">
      <c r="B464" s="52"/>
      <c r="C464" s="53"/>
      <c r="D464" s="53"/>
      <c r="E464" s="53"/>
      <c r="F464" s="59"/>
      <c r="G464" s="59"/>
      <c r="H464" s="59"/>
      <c r="I464" s="57"/>
      <c r="J464" s="60" t="str">
        <f aca="false">IF(AND(ISNUMBER(F464),ISNUMBER(G464)),MAX(0,G464-F464),IF(ISNUMBER(H464),H464*IF(I464="Yes / Sí",2,1),""))</f>
        <v/>
      </c>
      <c r="K464" s="61" t="str">
        <f aca="false">IF(OR(J464="",NOT(ISNUMBER(B464))),"",IF(COUNTIF(Settings!$B$8:$B$17,"&lt;="&amp;B464)=0,Settings!$C$8,INDEX(Settings!$C$8:$C$17,COUNTIF(Settings!$B$8:$B$17,"&lt;="&amp;B464))))</f>
        <v/>
      </c>
      <c r="L464" s="56" t="str">
        <f aca="false">IF(K464="","",ROUND(J464*K464,2))</f>
        <v/>
      </c>
      <c r="M464" s="58" t="str">
        <f aca="false">IF(AND(B464="",F464="",G464="",H464=""),"",IF(NOT(ISNUMBER(B464)),"⚠ ADD DATE / AGREGA FECHA",IF(J464="","⚠ ADD MILES / AGREGA MILLAS",IF(AND(ISNUMBER(F464),ISNUMBER(G464)),IF(G464&lt;F464,"⚠ CHECK ODOMETER / REVISA ODÓMETRO","✔ OK"),"✔ OK"))))</f>
        <v/>
      </c>
      <c r="N464" s="53"/>
      <c r="P464" s="51" t="n">
        <f aca="false">IF(ISNUMBER(L464),1,0)</f>
        <v>0</v>
      </c>
      <c r="Q464" s="51" t="n">
        <f aca="false">IF(P464=1,YEAR(B464),0)</f>
        <v>0</v>
      </c>
      <c r="R464" s="51" t="n">
        <f aca="false">IF(P464=1,YEAR(B464)*100+MONTH(B464),0)</f>
        <v>0</v>
      </c>
    </row>
    <row r="465" customFormat="false" ht="15" hidden="false" customHeight="false" outlineLevel="0" collapsed="false">
      <c r="B465" s="52"/>
      <c r="C465" s="53"/>
      <c r="D465" s="53"/>
      <c r="E465" s="53"/>
      <c r="F465" s="59"/>
      <c r="G465" s="59"/>
      <c r="H465" s="59"/>
      <c r="I465" s="57"/>
      <c r="J465" s="60" t="str">
        <f aca="false">IF(AND(ISNUMBER(F465),ISNUMBER(G465)),MAX(0,G465-F465),IF(ISNUMBER(H465),H465*IF(I465="Yes / Sí",2,1),""))</f>
        <v/>
      </c>
      <c r="K465" s="61" t="str">
        <f aca="false">IF(OR(J465="",NOT(ISNUMBER(B465))),"",IF(COUNTIF(Settings!$B$8:$B$17,"&lt;="&amp;B465)=0,Settings!$C$8,INDEX(Settings!$C$8:$C$17,COUNTIF(Settings!$B$8:$B$17,"&lt;="&amp;B465))))</f>
        <v/>
      </c>
      <c r="L465" s="56" t="str">
        <f aca="false">IF(K465="","",ROUND(J465*K465,2))</f>
        <v/>
      </c>
      <c r="M465" s="58" t="str">
        <f aca="false">IF(AND(B465="",F465="",G465="",H465=""),"",IF(NOT(ISNUMBER(B465)),"⚠ ADD DATE / AGREGA FECHA",IF(J465="","⚠ ADD MILES / AGREGA MILLAS",IF(AND(ISNUMBER(F465),ISNUMBER(G465)),IF(G465&lt;F465,"⚠ CHECK ODOMETER / REVISA ODÓMETRO","✔ OK"),"✔ OK"))))</f>
        <v/>
      </c>
      <c r="N465" s="53"/>
      <c r="P465" s="51" t="n">
        <f aca="false">IF(ISNUMBER(L465),1,0)</f>
        <v>0</v>
      </c>
      <c r="Q465" s="51" t="n">
        <f aca="false">IF(P465=1,YEAR(B465),0)</f>
        <v>0</v>
      </c>
      <c r="R465" s="51" t="n">
        <f aca="false">IF(P465=1,YEAR(B465)*100+MONTH(B465),0)</f>
        <v>0</v>
      </c>
    </row>
    <row r="466" customFormat="false" ht="15" hidden="false" customHeight="false" outlineLevel="0" collapsed="false">
      <c r="B466" s="52"/>
      <c r="C466" s="53"/>
      <c r="D466" s="53"/>
      <c r="E466" s="53"/>
      <c r="F466" s="59"/>
      <c r="G466" s="59"/>
      <c r="H466" s="59"/>
      <c r="I466" s="57"/>
      <c r="J466" s="60" t="str">
        <f aca="false">IF(AND(ISNUMBER(F466),ISNUMBER(G466)),MAX(0,G466-F466),IF(ISNUMBER(H466),H466*IF(I466="Yes / Sí",2,1),""))</f>
        <v/>
      </c>
      <c r="K466" s="61" t="str">
        <f aca="false">IF(OR(J466="",NOT(ISNUMBER(B466))),"",IF(COUNTIF(Settings!$B$8:$B$17,"&lt;="&amp;B466)=0,Settings!$C$8,INDEX(Settings!$C$8:$C$17,COUNTIF(Settings!$B$8:$B$17,"&lt;="&amp;B466))))</f>
        <v/>
      </c>
      <c r="L466" s="56" t="str">
        <f aca="false">IF(K466="","",ROUND(J466*K466,2))</f>
        <v/>
      </c>
      <c r="M466" s="58" t="str">
        <f aca="false">IF(AND(B466="",F466="",G466="",H466=""),"",IF(NOT(ISNUMBER(B466)),"⚠ ADD DATE / AGREGA FECHA",IF(J466="","⚠ ADD MILES / AGREGA MILLAS",IF(AND(ISNUMBER(F466),ISNUMBER(G466)),IF(G466&lt;F466,"⚠ CHECK ODOMETER / REVISA ODÓMETRO","✔ OK"),"✔ OK"))))</f>
        <v/>
      </c>
      <c r="N466" s="53"/>
      <c r="P466" s="51" t="n">
        <f aca="false">IF(ISNUMBER(L466),1,0)</f>
        <v>0</v>
      </c>
      <c r="Q466" s="51" t="n">
        <f aca="false">IF(P466=1,YEAR(B466),0)</f>
        <v>0</v>
      </c>
      <c r="R466" s="51" t="n">
        <f aca="false">IF(P466=1,YEAR(B466)*100+MONTH(B466),0)</f>
        <v>0</v>
      </c>
    </row>
    <row r="467" customFormat="false" ht="15" hidden="false" customHeight="false" outlineLevel="0" collapsed="false">
      <c r="B467" s="52"/>
      <c r="C467" s="53"/>
      <c r="D467" s="53"/>
      <c r="E467" s="53"/>
      <c r="F467" s="59"/>
      <c r="G467" s="59"/>
      <c r="H467" s="59"/>
      <c r="I467" s="57"/>
      <c r="J467" s="60" t="str">
        <f aca="false">IF(AND(ISNUMBER(F467),ISNUMBER(G467)),MAX(0,G467-F467),IF(ISNUMBER(H467),H467*IF(I467="Yes / Sí",2,1),""))</f>
        <v/>
      </c>
      <c r="K467" s="61" t="str">
        <f aca="false">IF(OR(J467="",NOT(ISNUMBER(B467))),"",IF(COUNTIF(Settings!$B$8:$B$17,"&lt;="&amp;B467)=0,Settings!$C$8,INDEX(Settings!$C$8:$C$17,COUNTIF(Settings!$B$8:$B$17,"&lt;="&amp;B467))))</f>
        <v/>
      </c>
      <c r="L467" s="56" t="str">
        <f aca="false">IF(K467="","",ROUND(J467*K467,2))</f>
        <v/>
      </c>
      <c r="M467" s="58" t="str">
        <f aca="false">IF(AND(B467="",F467="",G467="",H467=""),"",IF(NOT(ISNUMBER(B467)),"⚠ ADD DATE / AGREGA FECHA",IF(J467="","⚠ ADD MILES / AGREGA MILLAS",IF(AND(ISNUMBER(F467),ISNUMBER(G467)),IF(G467&lt;F467,"⚠ CHECK ODOMETER / REVISA ODÓMETRO","✔ OK"),"✔ OK"))))</f>
        <v/>
      </c>
      <c r="N467" s="53"/>
      <c r="P467" s="51" t="n">
        <f aca="false">IF(ISNUMBER(L467),1,0)</f>
        <v>0</v>
      </c>
      <c r="Q467" s="51" t="n">
        <f aca="false">IF(P467=1,YEAR(B467),0)</f>
        <v>0</v>
      </c>
      <c r="R467" s="51" t="n">
        <f aca="false">IF(P467=1,YEAR(B467)*100+MONTH(B467),0)</f>
        <v>0</v>
      </c>
    </row>
    <row r="468" customFormat="false" ht="15" hidden="false" customHeight="false" outlineLevel="0" collapsed="false">
      <c r="B468" s="52"/>
      <c r="C468" s="53"/>
      <c r="D468" s="53"/>
      <c r="E468" s="53"/>
      <c r="F468" s="59"/>
      <c r="G468" s="59"/>
      <c r="H468" s="59"/>
      <c r="I468" s="57"/>
      <c r="J468" s="60" t="str">
        <f aca="false">IF(AND(ISNUMBER(F468),ISNUMBER(G468)),MAX(0,G468-F468),IF(ISNUMBER(H468),H468*IF(I468="Yes / Sí",2,1),""))</f>
        <v/>
      </c>
      <c r="K468" s="61" t="str">
        <f aca="false">IF(OR(J468="",NOT(ISNUMBER(B468))),"",IF(COUNTIF(Settings!$B$8:$B$17,"&lt;="&amp;B468)=0,Settings!$C$8,INDEX(Settings!$C$8:$C$17,COUNTIF(Settings!$B$8:$B$17,"&lt;="&amp;B468))))</f>
        <v/>
      </c>
      <c r="L468" s="56" t="str">
        <f aca="false">IF(K468="","",ROUND(J468*K468,2))</f>
        <v/>
      </c>
      <c r="M468" s="58" t="str">
        <f aca="false">IF(AND(B468="",F468="",G468="",H468=""),"",IF(NOT(ISNUMBER(B468)),"⚠ ADD DATE / AGREGA FECHA",IF(J468="","⚠ ADD MILES / AGREGA MILLAS",IF(AND(ISNUMBER(F468),ISNUMBER(G468)),IF(G468&lt;F468,"⚠ CHECK ODOMETER / REVISA ODÓMETRO","✔ OK"),"✔ OK"))))</f>
        <v/>
      </c>
      <c r="N468" s="53"/>
      <c r="P468" s="51" t="n">
        <f aca="false">IF(ISNUMBER(L468),1,0)</f>
        <v>0</v>
      </c>
      <c r="Q468" s="51" t="n">
        <f aca="false">IF(P468=1,YEAR(B468),0)</f>
        <v>0</v>
      </c>
      <c r="R468" s="51" t="n">
        <f aca="false">IF(P468=1,YEAR(B468)*100+MONTH(B468),0)</f>
        <v>0</v>
      </c>
    </row>
    <row r="469" customFormat="false" ht="15" hidden="false" customHeight="false" outlineLevel="0" collapsed="false">
      <c r="B469" s="52"/>
      <c r="C469" s="53"/>
      <c r="D469" s="53"/>
      <c r="E469" s="53"/>
      <c r="F469" s="59"/>
      <c r="G469" s="59"/>
      <c r="H469" s="59"/>
      <c r="I469" s="57"/>
      <c r="J469" s="60" t="str">
        <f aca="false">IF(AND(ISNUMBER(F469),ISNUMBER(G469)),MAX(0,G469-F469),IF(ISNUMBER(H469),H469*IF(I469="Yes / Sí",2,1),""))</f>
        <v/>
      </c>
      <c r="K469" s="61" t="str">
        <f aca="false">IF(OR(J469="",NOT(ISNUMBER(B469))),"",IF(COUNTIF(Settings!$B$8:$B$17,"&lt;="&amp;B469)=0,Settings!$C$8,INDEX(Settings!$C$8:$C$17,COUNTIF(Settings!$B$8:$B$17,"&lt;="&amp;B469))))</f>
        <v/>
      </c>
      <c r="L469" s="56" t="str">
        <f aca="false">IF(K469="","",ROUND(J469*K469,2))</f>
        <v/>
      </c>
      <c r="M469" s="58" t="str">
        <f aca="false">IF(AND(B469="",F469="",G469="",H469=""),"",IF(NOT(ISNUMBER(B469)),"⚠ ADD DATE / AGREGA FECHA",IF(J469="","⚠ ADD MILES / AGREGA MILLAS",IF(AND(ISNUMBER(F469),ISNUMBER(G469)),IF(G469&lt;F469,"⚠ CHECK ODOMETER / REVISA ODÓMETRO","✔ OK"),"✔ OK"))))</f>
        <v/>
      </c>
      <c r="N469" s="53"/>
      <c r="P469" s="51" t="n">
        <f aca="false">IF(ISNUMBER(L469),1,0)</f>
        <v>0</v>
      </c>
      <c r="Q469" s="51" t="n">
        <f aca="false">IF(P469=1,YEAR(B469),0)</f>
        <v>0</v>
      </c>
      <c r="R469" s="51" t="n">
        <f aca="false">IF(P469=1,YEAR(B469)*100+MONTH(B469),0)</f>
        <v>0</v>
      </c>
    </row>
    <row r="470" customFormat="false" ht="15" hidden="false" customHeight="false" outlineLevel="0" collapsed="false">
      <c r="B470" s="52"/>
      <c r="C470" s="53"/>
      <c r="D470" s="53"/>
      <c r="E470" s="53"/>
      <c r="F470" s="59"/>
      <c r="G470" s="59"/>
      <c r="H470" s="59"/>
      <c r="I470" s="57"/>
      <c r="J470" s="60" t="str">
        <f aca="false">IF(AND(ISNUMBER(F470),ISNUMBER(G470)),MAX(0,G470-F470),IF(ISNUMBER(H470),H470*IF(I470="Yes / Sí",2,1),""))</f>
        <v/>
      </c>
      <c r="K470" s="61" t="str">
        <f aca="false">IF(OR(J470="",NOT(ISNUMBER(B470))),"",IF(COUNTIF(Settings!$B$8:$B$17,"&lt;="&amp;B470)=0,Settings!$C$8,INDEX(Settings!$C$8:$C$17,COUNTIF(Settings!$B$8:$B$17,"&lt;="&amp;B470))))</f>
        <v/>
      </c>
      <c r="L470" s="56" t="str">
        <f aca="false">IF(K470="","",ROUND(J470*K470,2))</f>
        <v/>
      </c>
      <c r="M470" s="58" t="str">
        <f aca="false">IF(AND(B470="",F470="",G470="",H470=""),"",IF(NOT(ISNUMBER(B470)),"⚠ ADD DATE / AGREGA FECHA",IF(J470="","⚠ ADD MILES / AGREGA MILLAS",IF(AND(ISNUMBER(F470),ISNUMBER(G470)),IF(G470&lt;F470,"⚠ CHECK ODOMETER / REVISA ODÓMETRO","✔ OK"),"✔ OK"))))</f>
        <v/>
      </c>
      <c r="N470" s="53"/>
      <c r="P470" s="51" t="n">
        <f aca="false">IF(ISNUMBER(L470),1,0)</f>
        <v>0</v>
      </c>
      <c r="Q470" s="51" t="n">
        <f aca="false">IF(P470=1,YEAR(B470),0)</f>
        <v>0</v>
      </c>
      <c r="R470" s="51" t="n">
        <f aca="false">IF(P470=1,YEAR(B470)*100+MONTH(B470),0)</f>
        <v>0</v>
      </c>
    </row>
    <row r="471" customFormat="false" ht="15" hidden="false" customHeight="false" outlineLevel="0" collapsed="false">
      <c r="B471" s="52"/>
      <c r="C471" s="53"/>
      <c r="D471" s="53"/>
      <c r="E471" s="53"/>
      <c r="F471" s="59"/>
      <c r="G471" s="59"/>
      <c r="H471" s="59"/>
      <c r="I471" s="57"/>
      <c r="J471" s="60" t="str">
        <f aca="false">IF(AND(ISNUMBER(F471),ISNUMBER(G471)),MAX(0,G471-F471),IF(ISNUMBER(H471),H471*IF(I471="Yes / Sí",2,1),""))</f>
        <v/>
      </c>
      <c r="K471" s="61" t="str">
        <f aca="false">IF(OR(J471="",NOT(ISNUMBER(B471))),"",IF(COUNTIF(Settings!$B$8:$B$17,"&lt;="&amp;B471)=0,Settings!$C$8,INDEX(Settings!$C$8:$C$17,COUNTIF(Settings!$B$8:$B$17,"&lt;="&amp;B471))))</f>
        <v/>
      </c>
      <c r="L471" s="56" t="str">
        <f aca="false">IF(K471="","",ROUND(J471*K471,2))</f>
        <v/>
      </c>
      <c r="M471" s="58" t="str">
        <f aca="false">IF(AND(B471="",F471="",G471="",H471=""),"",IF(NOT(ISNUMBER(B471)),"⚠ ADD DATE / AGREGA FECHA",IF(J471="","⚠ ADD MILES / AGREGA MILLAS",IF(AND(ISNUMBER(F471),ISNUMBER(G471)),IF(G471&lt;F471,"⚠ CHECK ODOMETER / REVISA ODÓMETRO","✔ OK"),"✔ OK"))))</f>
        <v/>
      </c>
      <c r="N471" s="53"/>
      <c r="P471" s="51" t="n">
        <f aca="false">IF(ISNUMBER(L471),1,0)</f>
        <v>0</v>
      </c>
      <c r="Q471" s="51" t="n">
        <f aca="false">IF(P471=1,YEAR(B471),0)</f>
        <v>0</v>
      </c>
      <c r="R471" s="51" t="n">
        <f aca="false">IF(P471=1,YEAR(B471)*100+MONTH(B471),0)</f>
        <v>0</v>
      </c>
    </row>
    <row r="472" customFormat="false" ht="15" hidden="false" customHeight="false" outlineLevel="0" collapsed="false">
      <c r="B472" s="52"/>
      <c r="C472" s="53"/>
      <c r="D472" s="53"/>
      <c r="E472" s="53"/>
      <c r="F472" s="59"/>
      <c r="G472" s="59"/>
      <c r="H472" s="59"/>
      <c r="I472" s="57"/>
      <c r="J472" s="60" t="str">
        <f aca="false">IF(AND(ISNUMBER(F472),ISNUMBER(G472)),MAX(0,G472-F472),IF(ISNUMBER(H472),H472*IF(I472="Yes / Sí",2,1),""))</f>
        <v/>
      </c>
      <c r="K472" s="61" t="str">
        <f aca="false">IF(OR(J472="",NOT(ISNUMBER(B472))),"",IF(COUNTIF(Settings!$B$8:$B$17,"&lt;="&amp;B472)=0,Settings!$C$8,INDEX(Settings!$C$8:$C$17,COUNTIF(Settings!$B$8:$B$17,"&lt;="&amp;B472))))</f>
        <v/>
      </c>
      <c r="L472" s="56" t="str">
        <f aca="false">IF(K472="","",ROUND(J472*K472,2))</f>
        <v/>
      </c>
      <c r="M472" s="58" t="str">
        <f aca="false">IF(AND(B472="",F472="",G472="",H472=""),"",IF(NOT(ISNUMBER(B472)),"⚠ ADD DATE / AGREGA FECHA",IF(J472="","⚠ ADD MILES / AGREGA MILLAS",IF(AND(ISNUMBER(F472),ISNUMBER(G472)),IF(G472&lt;F472,"⚠ CHECK ODOMETER / REVISA ODÓMETRO","✔ OK"),"✔ OK"))))</f>
        <v/>
      </c>
      <c r="N472" s="53"/>
      <c r="P472" s="51" t="n">
        <f aca="false">IF(ISNUMBER(L472),1,0)</f>
        <v>0</v>
      </c>
      <c r="Q472" s="51" t="n">
        <f aca="false">IF(P472=1,YEAR(B472),0)</f>
        <v>0</v>
      </c>
      <c r="R472" s="51" t="n">
        <f aca="false">IF(P472=1,YEAR(B472)*100+MONTH(B472),0)</f>
        <v>0</v>
      </c>
    </row>
    <row r="473" customFormat="false" ht="15" hidden="false" customHeight="false" outlineLevel="0" collapsed="false">
      <c r="B473" s="52"/>
      <c r="C473" s="53"/>
      <c r="D473" s="53"/>
      <c r="E473" s="53"/>
      <c r="F473" s="59"/>
      <c r="G473" s="59"/>
      <c r="H473" s="59"/>
      <c r="I473" s="57"/>
      <c r="J473" s="60" t="str">
        <f aca="false">IF(AND(ISNUMBER(F473),ISNUMBER(G473)),MAX(0,G473-F473),IF(ISNUMBER(H473),H473*IF(I473="Yes / Sí",2,1),""))</f>
        <v/>
      </c>
      <c r="K473" s="61" t="str">
        <f aca="false">IF(OR(J473="",NOT(ISNUMBER(B473))),"",IF(COUNTIF(Settings!$B$8:$B$17,"&lt;="&amp;B473)=0,Settings!$C$8,INDEX(Settings!$C$8:$C$17,COUNTIF(Settings!$B$8:$B$17,"&lt;="&amp;B473))))</f>
        <v/>
      </c>
      <c r="L473" s="56" t="str">
        <f aca="false">IF(K473="","",ROUND(J473*K473,2))</f>
        <v/>
      </c>
      <c r="M473" s="58" t="str">
        <f aca="false">IF(AND(B473="",F473="",G473="",H473=""),"",IF(NOT(ISNUMBER(B473)),"⚠ ADD DATE / AGREGA FECHA",IF(J473="","⚠ ADD MILES / AGREGA MILLAS",IF(AND(ISNUMBER(F473),ISNUMBER(G473)),IF(G473&lt;F473,"⚠ CHECK ODOMETER / REVISA ODÓMETRO","✔ OK"),"✔ OK"))))</f>
        <v/>
      </c>
      <c r="N473" s="53"/>
      <c r="P473" s="51" t="n">
        <f aca="false">IF(ISNUMBER(L473),1,0)</f>
        <v>0</v>
      </c>
      <c r="Q473" s="51" t="n">
        <f aca="false">IF(P473=1,YEAR(B473),0)</f>
        <v>0</v>
      </c>
      <c r="R473" s="51" t="n">
        <f aca="false">IF(P473=1,YEAR(B473)*100+MONTH(B473),0)</f>
        <v>0</v>
      </c>
    </row>
    <row r="474" customFormat="false" ht="15" hidden="false" customHeight="false" outlineLevel="0" collapsed="false">
      <c r="B474" s="52"/>
      <c r="C474" s="53"/>
      <c r="D474" s="53"/>
      <c r="E474" s="53"/>
      <c r="F474" s="59"/>
      <c r="G474" s="59"/>
      <c r="H474" s="59"/>
      <c r="I474" s="57"/>
      <c r="J474" s="60" t="str">
        <f aca="false">IF(AND(ISNUMBER(F474),ISNUMBER(G474)),MAX(0,G474-F474),IF(ISNUMBER(H474),H474*IF(I474="Yes / Sí",2,1),""))</f>
        <v/>
      </c>
      <c r="K474" s="61" t="str">
        <f aca="false">IF(OR(J474="",NOT(ISNUMBER(B474))),"",IF(COUNTIF(Settings!$B$8:$B$17,"&lt;="&amp;B474)=0,Settings!$C$8,INDEX(Settings!$C$8:$C$17,COUNTIF(Settings!$B$8:$B$17,"&lt;="&amp;B474))))</f>
        <v/>
      </c>
      <c r="L474" s="56" t="str">
        <f aca="false">IF(K474="","",ROUND(J474*K474,2))</f>
        <v/>
      </c>
      <c r="M474" s="58" t="str">
        <f aca="false">IF(AND(B474="",F474="",G474="",H474=""),"",IF(NOT(ISNUMBER(B474)),"⚠ ADD DATE / AGREGA FECHA",IF(J474="","⚠ ADD MILES / AGREGA MILLAS",IF(AND(ISNUMBER(F474),ISNUMBER(G474)),IF(G474&lt;F474,"⚠ CHECK ODOMETER / REVISA ODÓMETRO","✔ OK"),"✔ OK"))))</f>
        <v/>
      </c>
      <c r="N474" s="53"/>
      <c r="P474" s="51" t="n">
        <f aca="false">IF(ISNUMBER(L474),1,0)</f>
        <v>0</v>
      </c>
      <c r="Q474" s="51" t="n">
        <f aca="false">IF(P474=1,YEAR(B474),0)</f>
        <v>0</v>
      </c>
      <c r="R474" s="51" t="n">
        <f aca="false">IF(P474=1,YEAR(B474)*100+MONTH(B474),0)</f>
        <v>0</v>
      </c>
    </row>
    <row r="475" customFormat="false" ht="15" hidden="false" customHeight="false" outlineLevel="0" collapsed="false">
      <c r="B475" s="52"/>
      <c r="C475" s="53"/>
      <c r="D475" s="53"/>
      <c r="E475" s="53"/>
      <c r="F475" s="59"/>
      <c r="G475" s="59"/>
      <c r="H475" s="59"/>
      <c r="I475" s="57"/>
      <c r="J475" s="60" t="str">
        <f aca="false">IF(AND(ISNUMBER(F475),ISNUMBER(G475)),MAX(0,G475-F475),IF(ISNUMBER(H475),H475*IF(I475="Yes / Sí",2,1),""))</f>
        <v/>
      </c>
      <c r="K475" s="61" t="str">
        <f aca="false">IF(OR(J475="",NOT(ISNUMBER(B475))),"",IF(COUNTIF(Settings!$B$8:$B$17,"&lt;="&amp;B475)=0,Settings!$C$8,INDEX(Settings!$C$8:$C$17,COUNTIF(Settings!$B$8:$B$17,"&lt;="&amp;B475))))</f>
        <v/>
      </c>
      <c r="L475" s="56" t="str">
        <f aca="false">IF(K475="","",ROUND(J475*K475,2))</f>
        <v/>
      </c>
      <c r="M475" s="58" t="str">
        <f aca="false">IF(AND(B475="",F475="",G475="",H475=""),"",IF(NOT(ISNUMBER(B475)),"⚠ ADD DATE / AGREGA FECHA",IF(J475="","⚠ ADD MILES / AGREGA MILLAS",IF(AND(ISNUMBER(F475),ISNUMBER(G475)),IF(G475&lt;F475,"⚠ CHECK ODOMETER / REVISA ODÓMETRO","✔ OK"),"✔ OK"))))</f>
        <v/>
      </c>
      <c r="N475" s="53"/>
      <c r="P475" s="51" t="n">
        <f aca="false">IF(ISNUMBER(L475),1,0)</f>
        <v>0</v>
      </c>
      <c r="Q475" s="51" t="n">
        <f aca="false">IF(P475=1,YEAR(B475),0)</f>
        <v>0</v>
      </c>
      <c r="R475" s="51" t="n">
        <f aca="false">IF(P475=1,YEAR(B475)*100+MONTH(B475),0)</f>
        <v>0</v>
      </c>
    </row>
    <row r="476" customFormat="false" ht="15" hidden="false" customHeight="false" outlineLevel="0" collapsed="false">
      <c r="B476" s="52"/>
      <c r="C476" s="53"/>
      <c r="D476" s="53"/>
      <c r="E476" s="53"/>
      <c r="F476" s="59"/>
      <c r="G476" s="59"/>
      <c r="H476" s="59"/>
      <c r="I476" s="57"/>
      <c r="J476" s="60" t="str">
        <f aca="false">IF(AND(ISNUMBER(F476),ISNUMBER(G476)),MAX(0,G476-F476),IF(ISNUMBER(H476),H476*IF(I476="Yes / Sí",2,1),""))</f>
        <v/>
      </c>
      <c r="K476" s="61" t="str">
        <f aca="false">IF(OR(J476="",NOT(ISNUMBER(B476))),"",IF(COUNTIF(Settings!$B$8:$B$17,"&lt;="&amp;B476)=0,Settings!$C$8,INDEX(Settings!$C$8:$C$17,COUNTIF(Settings!$B$8:$B$17,"&lt;="&amp;B476))))</f>
        <v/>
      </c>
      <c r="L476" s="56" t="str">
        <f aca="false">IF(K476="","",ROUND(J476*K476,2))</f>
        <v/>
      </c>
      <c r="M476" s="58" t="str">
        <f aca="false">IF(AND(B476="",F476="",G476="",H476=""),"",IF(NOT(ISNUMBER(B476)),"⚠ ADD DATE / AGREGA FECHA",IF(J476="","⚠ ADD MILES / AGREGA MILLAS",IF(AND(ISNUMBER(F476),ISNUMBER(G476)),IF(G476&lt;F476,"⚠ CHECK ODOMETER / REVISA ODÓMETRO","✔ OK"),"✔ OK"))))</f>
        <v/>
      </c>
      <c r="N476" s="53"/>
      <c r="P476" s="51" t="n">
        <f aca="false">IF(ISNUMBER(L476),1,0)</f>
        <v>0</v>
      </c>
      <c r="Q476" s="51" t="n">
        <f aca="false">IF(P476=1,YEAR(B476),0)</f>
        <v>0</v>
      </c>
      <c r="R476" s="51" t="n">
        <f aca="false">IF(P476=1,YEAR(B476)*100+MONTH(B476),0)</f>
        <v>0</v>
      </c>
    </row>
    <row r="477" customFormat="false" ht="15" hidden="false" customHeight="false" outlineLevel="0" collapsed="false">
      <c r="B477" s="52"/>
      <c r="C477" s="53"/>
      <c r="D477" s="53"/>
      <c r="E477" s="53"/>
      <c r="F477" s="59"/>
      <c r="G477" s="59"/>
      <c r="H477" s="59"/>
      <c r="I477" s="57"/>
      <c r="J477" s="60" t="str">
        <f aca="false">IF(AND(ISNUMBER(F477),ISNUMBER(G477)),MAX(0,G477-F477),IF(ISNUMBER(H477),H477*IF(I477="Yes / Sí",2,1),""))</f>
        <v/>
      </c>
      <c r="K477" s="61" t="str">
        <f aca="false">IF(OR(J477="",NOT(ISNUMBER(B477))),"",IF(COUNTIF(Settings!$B$8:$B$17,"&lt;="&amp;B477)=0,Settings!$C$8,INDEX(Settings!$C$8:$C$17,COUNTIF(Settings!$B$8:$B$17,"&lt;="&amp;B477))))</f>
        <v/>
      </c>
      <c r="L477" s="56" t="str">
        <f aca="false">IF(K477="","",ROUND(J477*K477,2))</f>
        <v/>
      </c>
      <c r="M477" s="58" t="str">
        <f aca="false">IF(AND(B477="",F477="",G477="",H477=""),"",IF(NOT(ISNUMBER(B477)),"⚠ ADD DATE / AGREGA FECHA",IF(J477="","⚠ ADD MILES / AGREGA MILLAS",IF(AND(ISNUMBER(F477),ISNUMBER(G477)),IF(G477&lt;F477,"⚠ CHECK ODOMETER / REVISA ODÓMETRO","✔ OK"),"✔ OK"))))</f>
        <v/>
      </c>
      <c r="N477" s="53"/>
      <c r="P477" s="51" t="n">
        <f aca="false">IF(ISNUMBER(L477),1,0)</f>
        <v>0</v>
      </c>
      <c r="Q477" s="51" t="n">
        <f aca="false">IF(P477=1,YEAR(B477),0)</f>
        <v>0</v>
      </c>
      <c r="R477" s="51" t="n">
        <f aca="false">IF(P477=1,YEAR(B477)*100+MONTH(B477),0)</f>
        <v>0</v>
      </c>
    </row>
    <row r="478" customFormat="false" ht="15" hidden="false" customHeight="false" outlineLevel="0" collapsed="false">
      <c r="B478" s="52"/>
      <c r="C478" s="53"/>
      <c r="D478" s="53"/>
      <c r="E478" s="53"/>
      <c r="F478" s="59"/>
      <c r="G478" s="59"/>
      <c r="H478" s="59"/>
      <c r="I478" s="57"/>
      <c r="J478" s="60" t="str">
        <f aca="false">IF(AND(ISNUMBER(F478),ISNUMBER(G478)),MAX(0,G478-F478),IF(ISNUMBER(H478),H478*IF(I478="Yes / Sí",2,1),""))</f>
        <v/>
      </c>
      <c r="K478" s="61" t="str">
        <f aca="false">IF(OR(J478="",NOT(ISNUMBER(B478))),"",IF(COUNTIF(Settings!$B$8:$B$17,"&lt;="&amp;B478)=0,Settings!$C$8,INDEX(Settings!$C$8:$C$17,COUNTIF(Settings!$B$8:$B$17,"&lt;="&amp;B478))))</f>
        <v/>
      </c>
      <c r="L478" s="56" t="str">
        <f aca="false">IF(K478="","",ROUND(J478*K478,2))</f>
        <v/>
      </c>
      <c r="M478" s="58" t="str">
        <f aca="false">IF(AND(B478="",F478="",G478="",H478=""),"",IF(NOT(ISNUMBER(B478)),"⚠ ADD DATE / AGREGA FECHA",IF(J478="","⚠ ADD MILES / AGREGA MILLAS",IF(AND(ISNUMBER(F478),ISNUMBER(G478)),IF(G478&lt;F478,"⚠ CHECK ODOMETER / REVISA ODÓMETRO","✔ OK"),"✔ OK"))))</f>
        <v/>
      </c>
      <c r="N478" s="53"/>
      <c r="P478" s="51" t="n">
        <f aca="false">IF(ISNUMBER(L478),1,0)</f>
        <v>0</v>
      </c>
      <c r="Q478" s="51" t="n">
        <f aca="false">IF(P478=1,YEAR(B478),0)</f>
        <v>0</v>
      </c>
      <c r="R478" s="51" t="n">
        <f aca="false">IF(P478=1,YEAR(B478)*100+MONTH(B478),0)</f>
        <v>0</v>
      </c>
    </row>
    <row r="479" customFormat="false" ht="15" hidden="false" customHeight="false" outlineLevel="0" collapsed="false">
      <c r="B479" s="52"/>
      <c r="C479" s="53"/>
      <c r="D479" s="53"/>
      <c r="E479" s="53"/>
      <c r="F479" s="59"/>
      <c r="G479" s="59"/>
      <c r="H479" s="59"/>
      <c r="I479" s="57"/>
      <c r="J479" s="60" t="str">
        <f aca="false">IF(AND(ISNUMBER(F479),ISNUMBER(G479)),MAX(0,G479-F479),IF(ISNUMBER(H479),H479*IF(I479="Yes / Sí",2,1),""))</f>
        <v/>
      </c>
      <c r="K479" s="61" t="str">
        <f aca="false">IF(OR(J479="",NOT(ISNUMBER(B479))),"",IF(COUNTIF(Settings!$B$8:$B$17,"&lt;="&amp;B479)=0,Settings!$C$8,INDEX(Settings!$C$8:$C$17,COUNTIF(Settings!$B$8:$B$17,"&lt;="&amp;B479))))</f>
        <v/>
      </c>
      <c r="L479" s="56" t="str">
        <f aca="false">IF(K479="","",ROUND(J479*K479,2))</f>
        <v/>
      </c>
      <c r="M479" s="58" t="str">
        <f aca="false">IF(AND(B479="",F479="",G479="",H479=""),"",IF(NOT(ISNUMBER(B479)),"⚠ ADD DATE / AGREGA FECHA",IF(J479="","⚠ ADD MILES / AGREGA MILLAS",IF(AND(ISNUMBER(F479),ISNUMBER(G479)),IF(G479&lt;F479,"⚠ CHECK ODOMETER / REVISA ODÓMETRO","✔ OK"),"✔ OK"))))</f>
        <v/>
      </c>
      <c r="N479" s="53"/>
      <c r="P479" s="51" t="n">
        <f aca="false">IF(ISNUMBER(L479),1,0)</f>
        <v>0</v>
      </c>
      <c r="Q479" s="51" t="n">
        <f aca="false">IF(P479=1,YEAR(B479),0)</f>
        <v>0</v>
      </c>
      <c r="R479" s="51" t="n">
        <f aca="false">IF(P479=1,YEAR(B479)*100+MONTH(B479),0)</f>
        <v>0</v>
      </c>
    </row>
    <row r="480" customFormat="false" ht="15" hidden="false" customHeight="false" outlineLevel="0" collapsed="false">
      <c r="B480" s="52"/>
      <c r="C480" s="53"/>
      <c r="D480" s="53"/>
      <c r="E480" s="53"/>
      <c r="F480" s="59"/>
      <c r="G480" s="59"/>
      <c r="H480" s="59"/>
      <c r="I480" s="57"/>
      <c r="J480" s="60" t="str">
        <f aca="false">IF(AND(ISNUMBER(F480),ISNUMBER(G480)),MAX(0,G480-F480),IF(ISNUMBER(H480),H480*IF(I480="Yes / Sí",2,1),""))</f>
        <v/>
      </c>
      <c r="K480" s="61" t="str">
        <f aca="false">IF(OR(J480="",NOT(ISNUMBER(B480))),"",IF(COUNTIF(Settings!$B$8:$B$17,"&lt;="&amp;B480)=0,Settings!$C$8,INDEX(Settings!$C$8:$C$17,COUNTIF(Settings!$B$8:$B$17,"&lt;="&amp;B480))))</f>
        <v/>
      </c>
      <c r="L480" s="56" t="str">
        <f aca="false">IF(K480="","",ROUND(J480*K480,2))</f>
        <v/>
      </c>
      <c r="M480" s="58" t="str">
        <f aca="false">IF(AND(B480="",F480="",G480="",H480=""),"",IF(NOT(ISNUMBER(B480)),"⚠ ADD DATE / AGREGA FECHA",IF(J480="","⚠ ADD MILES / AGREGA MILLAS",IF(AND(ISNUMBER(F480),ISNUMBER(G480)),IF(G480&lt;F480,"⚠ CHECK ODOMETER / REVISA ODÓMETRO","✔ OK"),"✔ OK"))))</f>
        <v/>
      </c>
      <c r="N480" s="53"/>
      <c r="P480" s="51" t="n">
        <f aca="false">IF(ISNUMBER(L480),1,0)</f>
        <v>0</v>
      </c>
      <c r="Q480" s="51" t="n">
        <f aca="false">IF(P480=1,YEAR(B480),0)</f>
        <v>0</v>
      </c>
      <c r="R480" s="51" t="n">
        <f aca="false">IF(P480=1,YEAR(B480)*100+MONTH(B480),0)</f>
        <v>0</v>
      </c>
    </row>
    <row r="481" customFormat="false" ht="15" hidden="false" customHeight="false" outlineLevel="0" collapsed="false">
      <c r="B481" s="52"/>
      <c r="C481" s="53"/>
      <c r="D481" s="53"/>
      <c r="E481" s="53"/>
      <c r="F481" s="59"/>
      <c r="G481" s="59"/>
      <c r="H481" s="59"/>
      <c r="I481" s="57"/>
      <c r="J481" s="60" t="str">
        <f aca="false">IF(AND(ISNUMBER(F481),ISNUMBER(G481)),MAX(0,G481-F481),IF(ISNUMBER(H481),H481*IF(I481="Yes / Sí",2,1),""))</f>
        <v/>
      </c>
      <c r="K481" s="61" t="str">
        <f aca="false">IF(OR(J481="",NOT(ISNUMBER(B481))),"",IF(COUNTIF(Settings!$B$8:$B$17,"&lt;="&amp;B481)=0,Settings!$C$8,INDEX(Settings!$C$8:$C$17,COUNTIF(Settings!$B$8:$B$17,"&lt;="&amp;B481))))</f>
        <v/>
      </c>
      <c r="L481" s="56" t="str">
        <f aca="false">IF(K481="","",ROUND(J481*K481,2))</f>
        <v/>
      </c>
      <c r="M481" s="58" t="str">
        <f aca="false">IF(AND(B481="",F481="",G481="",H481=""),"",IF(NOT(ISNUMBER(B481)),"⚠ ADD DATE / AGREGA FECHA",IF(J481="","⚠ ADD MILES / AGREGA MILLAS",IF(AND(ISNUMBER(F481),ISNUMBER(G481)),IF(G481&lt;F481,"⚠ CHECK ODOMETER / REVISA ODÓMETRO","✔ OK"),"✔ OK"))))</f>
        <v/>
      </c>
      <c r="N481" s="53"/>
      <c r="P481" s="51" t="n">
        <f aca="false">IF(ISNUMBER(L481),1,0)</f>
        <v>0</v>
      </c>
      <c r="Q481" s="51" t="n">
        <f aca="false">IF(P481=1,YEAR(B481),0)</f>
        <v>0</v>
      </c>
      <c r="R481" s="51" t="n">
        <f aca="false">IF(P481=1,YEAR(B481)*100+MONTH(B481),0)</f>
        <v>0</v>
      </c>
    </row>
    <row r="482" customFormat="false" ht="15" hidden="false" customHeight="false" outlineLevel="0" collapsed="false">
      <c r="B482" s="52"/>
      <c r="C482" s="53"/>
      <c r="D482" s="53"/>
      <c r="E482" s="53"/>
      <c r="F482" s="59"/>
      <c r="G482" s="59"/>
      <c r="H482" s="59"/>
      <c r="I482" s="57"/>
      <c r="J482" s="60" t="str">
        <f aca="false">IF(AND(ISNUMBER(F482),ISNUMBER(G482)),MAX(0,G482-F482),IF(ISNUMBER(H482),H482*IF(I482="Yes / Sí",2,1),""))</f>
        <v/>
      </c>
      <c r="K482" s="61" t="str">
        <f aca="false">IF(OR(J482="",NOT(ISNUMBER(B482))),"",IF(COUNTIF(Settings!$B$8:$B$17,"&lt;="&amp;B482)=0,Settings!$C$8,INDEX(Settings!$C$8:$C$17,COUNTIF(Settings!$B$8:$B$17,"&lt;="&amp;B482))))</f>
        <v/>
      </c>
      <c r="L482" s="56" t="str">
        <f aca="false">IF(K482="","",ROUND(J482*K482,2))</f>
        <v/>
      </c>
      <c r="M482" s="58" t="str">
        <f aca="false">IF(AND(B482="",F482="",G482="",H482=""),"",IF(NOT(ISNUMBER(B482)),"⚠ ADD DATE / AGREGA FECHA",IF(J482="","⚠ ADD MILES / AGREGA MILLAS",IF(AND(ISNUMBER(F482),ISNUMBER(G482)),IF(G482&lt;F482,"⚠ CHECK ODOMETER / REVISA ODÓMETRO","✔ OK"),"✔ OK"))))</f>
        <v/>
      </c>
      <c r="N482" s="53"/>
      <c r="P482" s="51" t="n">
        <f aca="false">IF(ISNUMBER(L482),1,0)</f>
        <v>0</v>
      </c>
      <c r="Q482" s="51" t="n">
        <f aca="false">IF(P482=1,YEAR(B482),0)</f>
        <v>0</v>
      </c>
      <c r="R482" s="51" t="n">
        <f aca="false">IF(P482=1,YEAR(B482)*100+MONTH(B482),0)</f>
        <v>0</v>
      </c>
    </row>
    <row r="483" customFormat="false" ht="15" hidden="false" customHeight="false" outlineLevel="0" collapsed="false">
      <c r="B483" s="52"/>
      <c r="C483" s="53"/>
      <c r="D483" s="53"/>
      <c r="E483" s="53"/>
      <c r="F483" s="59"/>
      <c r="G483" s="59"/>
      <c r="H483" s="59"/>
      <c r="I483" s="57"/>
      <c r="J483" s="60" t="str">
        <f aca="false">IF(AND(ISNUMBER(F483),ISNUMBER(G483)),MAX(0,G483-F483),IF(ISNUMBER(H483),H483*IF(I483="Yes / Sí",2,1),""))</f>
        <v/>
      </c>
      <c r="K483" s="61" t="str">
        <f aca="false">IF(OR(J483="",NOT(ISNUMBER(B483))),"",IF(COUNTIF(Settings!$B$8:$B$17,"&lt;="&amp;B483)=0,Settings!$C$8,INDEX(Settings!$C$8:$C$17,COUNTIF(Settings!$B$8:$B$17,"&lt;="&amp;B483))))</f>
        <v/>
      </c>
      <c r="L483" s="56" t="str">
        <f aca="false">IF(K483="","",ROUND(J483*K483,2))</f>
        <v/>
      </c>
      <c r="M483" s="58" t="str">
        <f aca="false">IF(AND(B483="",F483="",G483="",H483=""),"",IF(NOT(ISNUMBER(B483)),"⚠ ADD DATE / AGREGA FECHA",IF(J483="","⚠ ADD MILES / AGREGA MILLAS",IF(AND(ISNUMBER(F483),ISNUMBER(G483)),IF(G483&lt;F483,"⚠ CHECK ODOMETER / REVISA ODÓMETRO","✔ OK"),"✔ OK"))))</f>
        <v/>
      </c>
      <c r="N483" s="53"/>
      <c r="P483" s="51" t="n">
        <f aca="false">IF(ISNUMBER(L483),1,0)</f>
        <v>0</v>
      </c>
      <c r="Q483" s="51" t="n">
        <f aca="false">IF(P483=1,YEAR(B483),0)</f>
        <v>0</v>
      </c>
      <c r="R483" s="51" t="n">
        <f aca="false">IF(P483=1,YEAR(B483)*100+MONTH(B483),0)</f>
        <v>0</v>
      </c>
    </row>
    <row r="484" customFormat="false" ht="15" hidden="false" customHeight="false" outlineLevel="0" collapsed="false">
      <c r="B484" s="52"/>
      <c r="C484" s="53"/>
      <c r="D484" s="53"/>
      <c r="E484" s="53"/>
      <c r="F484" s="59"/>
      <c r="G484" s="59"/>
      <c r="H484" s="59"/>
      <c r="I484" s="57"/>
      <c r="J484" s="60" t="str">
        <f aca="false">IF(AND(ISNUMBER(F484),ISNUMBER(G484)),MAX(0,G484-F484),IF(ISNUMBER(H484),H484*IF(I484="Yes / Sí",2,1),""))</f>
        <v/>
      </c>
      <c r="K484" s="61" t="str">
        <f aca="false">IF(OR(J484="",NOT(ISNUMBER(B484))),"",IF(COUNTIF(Settings!$B$8:$B$17,"&lt;="&amp;B484)=0,Settings!$C$8,INDEX(Settings!$C$8:$C$17,COUNTIF(Settings!$B$8:$B$17,"&lt;="&amp;B484))))</f>
        <v/>
      </c>
      <c r="L484" s="56" t="str">
        <f aca="false">IF(K484="","",ROUND(J484*K484,2))</f>
        <v/>
      </c>
      <c r="M484" s="58" t="str">
        <f aca="false">IF(AND(B484="",F484="",G484="",H484=""),"",IF(NOT(ISNUMBER(B484)),"⚠ ADD DATE / AGREGA FECHA",IF(J484="","⚠ ADD MILES / AGREGA MILLAS",IF(AND(ISNUMBER(F484),ISNUMBER(G484)),IF(G484&lt;F484,"⚠ CHECK ODOMETER / REVISA ODÓMETRO","✔ OK"),"✔ OK"))))</f>
        <v/>
      </c>
      <c r="N484" s="53"/>
      <c r="P484" s="51" t="n">
        <f aca="false">IF(ISNUMBER(L484),1,0)</f>
        <v>0</v>
      </c>
      <c r="Q484" s="51" t="n">
        <f aca="false">IF(P484=1,YEAR(B484),0)</f>
        <v>0</v>
      </c>
      <c r="R484" s="51" t="n">
        <f aca="false">IF(P484=1,YEAR(B484)*100+MONTH(B484),0)</f>
        <v>0</v>
      </c>
    </row>
    <row r="485" customFormat="false" ht="15" hidden="false" customHeight="false" outlineLevel="0" collapsed="false">
      <c r="B485" s="52"/>
      <c r="C485" s="53"/>
      <c r="D485" s="53"/>
      <c r="E485" s="53"/>
      <c r="F485" s="59"/>
      <c r="G485" s="59"/>
      <c r="H485" s="59"/>
      <c r="I485" s="57"/>
      <c r="J485" s="60" t="str">
        <f aca="false">IF(AND(ISNUMBER(F485),ISNUMBER(G485)),MAX(0,G485-F485),IF(ISNUMBER(H485),H485*IF(I485="Yes / Sí",2,1),""))</f>
        <v/>
      </c>
      <c r="K485" s="61" t="str">
        <f aca="false">IF(OR(J485="",NOT(ISNUMBER(B485))),"",IF(COUNTIF(Settings!$B$8:$B$17,"&lt;="&amp;B485)=0,Settings!$C$8,INDEX(Settings!$C$8:$C$17,COUNTIF(Settings!$B$8:$B$17,"&lt;="&amp;B485))))</f>
        <v/>
      </c>
      <c r="L485" s="56" t="str">
        <f aca="false">IF(K485="","",ROUND(J485*K485,2))</f>
        <v/>
      </c>
      <c r="M485" s="58" t="str">
        <f aca="false">IF(AND(B485="",F485="",G485="",H485=""),"",IF(NOT(ISNUMBER(B485)),"⚠ ADD DATE / AGREGA FECHA",IF(J485="","⚠ ADD MILES / AGREGA MILLAS",IF(AND(ISNUMBER(F485),ISNUMBER(G485)),IF(G485&lt;F485,"⚠ CHECK ODOMETER / REVISA ODÓMETRO","✔ OK"),"✔ OK"))))</f>
        <v/>
      </c>
      <c r="N485" s="53"/>
      <c r="P485" s="51" t="n">
        <f aca="false">IF(ISNUMBER(L485),1,0)</f>
        <v>0</v>
      </c>
      <c r="Q485" s="51" t="n">
        <f aca="false">IF(P485=1,YEAR(B485),0)</f>
        <v>0</v>
      </c>
      <c r="R485" s="51" t="n">
        <f aca="false">IF(P485=1,YEAR(B485)*100+MONTH(B485),0)</f>
        <v>0</v>
      </c>
    </row>
    <row r="486" customFormat="false" ht="15" hidden="false" customHeight="false" outlineLevel="0" collapsed="false">
      <c r="B486" s="52"/>
      <c r="C486" s="53"/>
      <c r="D486" s="53"/>
      <c r="E486" s="53"/>
      <c r="F486" s="59"/>
      <c r="G486" s="59"/>
      <c r="H486" s="59"/>
      <c r="I486" s="57"/>
      <c r="J486" s="60" t="str">
        <f aca="false">IF(AND(ISNUMBER(F486),ISNUMBER(G486)),MAX(0,G486-F486),IF(ISNUMBER(H486),H486*IF(I486="Yes / Sí",2,1),""))</f>
        <v/>
      </c>
      <c r="K486" s="61" t="str">
        <f aca="false">IF(OR(J486="",NOT(ISNUMBER(B486))),"",IF(COUNTIF(Settings!$B$8:$B$17,"&lt;="&amp;B486)=0,Settings!$C$8,INDEX(Settings!$C$8:$C$17,COUNTIF(Settings!$B$8:$B$17,"&lt;="&amp;B486))))</f>
        <v/>
      </c>
      <c r="L486" s="56" t="str">
        <f aca="false">IF(K486="","",ROUND(J486*K486,2))</f>
        <v/>
      </c>
      <c r="M486" s="58" t="str">
        <f aca="false">IF(AND(B486="",F486="",G486="",H486=""),"",IF(NOT(ISNUMBER(B486)),"⚠ ADD DATE / AGREGA FECHA",IF(J486="","⚠ ADD MILES / AGREGA MILLAS",IF(AND(ISNUMBER(F486),ISNUMBER(G486)),IF(G486&lt;F486,"⚠ CHECK ODOMETER / REVISA ODÓMETRO","✔ OK"),"✔ OK"))))</f>
        <v/>
      </c>
      <c r="N486" s="53"/>
      <c r="P486" s="51" t="n">
        <f aca="false">IF(ISNUMBER(L486),1,0)</f>
        <v>0</v>
      </c>
      <c r="Q486" s="51" t="n">
        <f aca="false">IF(P486=1,YEAR(B486),0)</f>
        <v>0</v>
      </c>
      <c r="R486" s="51" t="n">
        <f aca="false">IF(P486=1,YEAR(B486)*100+MONTH(B486),0)</f>
        <v>0</v>
      </c>
    </row>
    <row r="487" customFormat="false" ht="15" hidden="false" customHeight="false" outlineLevel="0" collapsed="false">
      <c r="B487" s="52"/>
      <c r="C487" s="53"/>
      <c r="D487" s="53"/>
      <c r="E487" s="53"/>
      <c r="F487" s="59"/>
      <c r="G487" s="59"/>
      <c r="H487" s="59"/>
      <c r="I487" s="57"/>
      <c r="J487" s="60" t="str">
        <f aca="false">IF(AND(ISNUMBER(F487),ISNUMBER(G487)),MAX(0,G487-F487),IF(ISNUMBER(H487),H487*IF(I487="Yes / Sí",2,1),""))</f>
        <v/>
      </c>
      <c r="K487" s="61" t="str">
        <f aca="false">IF(OR(J487="",NOT(ISNUMBER(B487))),"",IF(COUNTIF(Settings!$B$8:$B$17,"&lt;="&amp;B487)=0,Settings!$C$8,INDEX(Settings!$C$8:$C$17,COUNTIF(Settings!$B$8:$B$17,"&lt;="&amp;B487))))</f>
        <v/>
      </c>
      <c r="L487" s="56" t="str">
        <f aca="false">IF(K487="","",ROUND(J487*K487,2))</f>
        <v/>
      </c>
      <c r="M487" s="58" t="str">
        <f aca="false">IF(AND(B487="",F487="",G487="",H487=""),"",IF(NOT(ISNUMBER(B487)),"⚠ ADD DATE / AGREGA FECHA",IF(J487="","⚠ ADD MILES / AGREGA MILLAS",IF(AND(ISNUMBER(F487),ISNUMBER(G487)),IF(G487&lt;F487,"⚠ CHECK ODOMETER / REVISA ODÓMETRO","✔ OK"),"✔ OK"))))</f>
        <v/>
      </c>
      <c r="N487" s="53"/>
      <c r="P487" s="51" t="n">
        <f aca="false">IF(ISNUMBER(L487),1,0)</f>
        <v>0</v>
      </c>
      <c r="Q487" s="51" t="n">
        <f aca="false">IF(P487=1,YEAR(B487),0)</f>
        <v>0</v>
      </c>
      <c r="R487" s="51" t="n">
        <f aca="false">IF(P487=1,YEAR(B487)*100+MONTH(B487),0)</f>
        <v>0</v>
      </c>
    </row>
    <row r="488" customFormat="false" ht="15" hidden="false" customHeight="false" outlineLevel="0" collapsed="false">
      <c r="B488" s="52"/>
      <c r="C488" s="53"/>
      <c r="D488" s="53"/>
      <c r="E488" s="53"/>
      <c r="F488" s="59"/>
      <c r="G488" s="59"/>
      <c r="H488" s="59"/>
      <c r="I488" s="57"/>
      <c r="J488" s="60" t="str">
        <f aca="false">IF(AND(ISNUMBER(F488),ISNUMBER(G488)),MAX(0,G488-F488),IF(ISNUMBER(H488),H488*IF(I488="Yes / Sí",2,1),""))</f>
        <v/>
      </c>
      <c r="K488" s="61" t="str">
        <f aca="false">IF(OR(J488="",NOT(ISNUMBER(B488))),"",IF(COUNTIF(Settings!$B$8:$B$17,"&lt;="&amp;B488)=0,Settings!$C$8,INDEX(Settings!$C$8:$C$17,COUNTIF(Settings!$B$8:$B$17,"&lt;="&amp;B488))))</f>
        <v/>
      </c>
      <c r="L488" s="56" t="str">
        <f aca="false">IF(K488="","",ROUND(J488*K488,2))</f>
        <v/>
      </c>
      <c r="M488" s="58" t="str">
        <f aca="false">IF(AND(B488="",F488="",G488="",H488=""),"",IF(NOT(ISNUMBER(B488)),"⚠ ADD DATE / AGREGA FECHA",IF(J488="","⚠ ADD MILES / AGREGA MILLAS",IF(AND(ISNUMBER(F488),ISNUMBER(G488)),IF(G488&lt;F488,"⚠ CHECK ODOMETER / REVISA ODÓMETRO","✔ OK"),"✔ OK"))))</f>
        <v/>
      </c>
      <c r="N488" s="53"/>
      <c r="P488" s="51" t="n">
        <f aca="false">IF(ISNUMBER(L488),1,0)</f>
        <v>0</v>
      </c>
      <c r="Q488" s="51" t="n">
        <f aca="false">IF(P488=1,YEAR(B488),0)</f>
        <v>0</v>
      </c>
      <c r="R488" s="51" t="n">
        <f aca="false">IF(P488=1,YEAR(B488)*100+MONTH(B488),0)</f>
        <v>0</v>
      </c>
    </row>
    <row r="489" customFormat="false" ht="15" hidden="false" customHeight="false" outlineLevel="0" collapsed="false">
      <c r="B489" s="52"/>
      <c r="C489" s="53"/>
      <c r="D489" s="53"/>
      <c r="E489" s="53"/>
      <c r="F489" s="59"/>
      <c r="G489" s="59"/>
      <c r="H489" s="59"/>
      <c r="I489" s="57"/>
      <c r="J489" s="60" t="str">
        <f aca="false">IF(AND(ISNUMBER(F489),ISNUMBER(G489)),MAX(0,G489-F489),IF(ISNUMBER(H489),H489*IF(I489="Yes / Sí",2,1),""))</f>
        <v/>
      </c>
      <c r="K489" s="61" t="str">
        <f aca="false">IF(OR(J489="",NOT(ISNUMBER(B489))),"",IF(COUNTIF(Settings!$B$8:$B$17,"&lt;="&amp;B489)=0,Settings!$C$8,INDEX(Settings!$C$8:$C$17,COUNTIF(Settings!$B$8:$B$17,"&lt;="&amp;B489))))</f>
        <v/>
      </c>
      <c r="L489" s="56" t="str">
        <f aca="false">IF(K489="","",ROUND(J489*K489,2))</f>
        <v/>
      </c>
      <c r="M489" s="58" t="str">
        <f aca="false">IF(AND(B489="",F489="",G489="",H489=""),"",IF(NOT(ISNUMBER(B489)),"⚠ ADD DATE / AGREGA FECHA",IF(J489="","⚠ ADD MILES / AGREGA MILLAS",IF(AND(ISNUMBER(F489),ISNUMBER(G489)),IF(G489&lt;F489,"⚠ CHECK ODOMETER / REVISA ODÓMETRO","✔ OK"),"✔ OK"))))</f>
        <v/>
      </c>
      <c r="N489" s="53"/>
      <c r="P489" s="51" t="n">
        <f aca="false">IF(ISNUMBER(L489),1,0)</f>
        <v>0</v>
      </c>
      <c r="Q489" s="51" t="n">
        <f aca="false">IF(P489=1,YEAR(B489),0)</f>
        <v>0</v>
      </c>
      <c r="R489" s="51" t="n">
        <f aca="false">IF(P489=1,YEAR(B489)*100+MONTH(B489),0)</f>
        <v>0</v>
      </c>
    </row>
    <row r="490" customFormat="false" ht="15" hidden="false" customHeight="false" outlineLevel="0" collapsed="false">
      <c r="B490" s="52"/>
      <c r="C490" s="53"/>
      <c r="D490" s="53"/>
      <c r="E490" s="53"/>
      <c r="F490" s="59"/>
      <c r="G490" s="59"/>
      <c r="H490" s="59"/>
      <c r="I490" s="57"/>
      <c r="J490" s="60" t="str">
        <f aca="false">IF(AND(ISNUMBER(F490),ISNUMBER(G490)),MAX(0,G490-F490),IF(ISNUMBER(H490),H490*IF(I490="Yes / Sí",2,1),""))</f>
        <v/>
      </c>
      <c r="K490" s="61" t="str">
        <f aca="false">IF(OR(J490="",NOT(ISNUMBER(B490))),"",IF(COUNTIF(Settings!$B$8:$B$17,"&lt;="&amp;B490)=0,Settings!$C$8,INDEX(Settings!$C$8:$C$17,COUNTIF(Settings!$B$8:$B$17,"&lt;="&amp;B490))))</f>
        <v/>
      </c>
      <c r="L490" s="56" t="str">
        <f aca="false">IF(K490="","",ROUND(J490*K490,2))</f>
        <v/>
      </c>
      <c r="M490" s="58" t="str">
        <f aca="false">IF(AND(B490="",F490="",G490="",H490=""),"",IF(NOT(ISNUMBER(B490)),"⚠ ADD DATE / AGREGA FECHA",IF(J490="","⚠ ADD MILES / AGREGA MILLAS",IF(AND(ISNUMBER(F490),ISNUMBER(G490)),IF(G490&lt;F490,"⚠ CHECK ODOMETER / REVISA ODÓMETRO","✔ OK"),"✔ OK"))))</f>
        <v/>
      </c>
      <c r="N490" s="53"/>
      <c r="P490" s="51" t="n">
        <f aca="false">IF(ISNUMBER(L490),1,0)</f>
        <v>0</v>
      </c>
      <c r="Q490" s="51" t="n">
        <f aca="false">IF(P490=1,YEAR(B490),0)</f>
        <v>0</v>
      </c>
      <c r="R490" s="51" t="n">
        <f aca="false">IF(P490=1,YEAR(B490)*100+MONTH(B490),0)</f>
        <v>0</v>
      </c>
    </row>
    <row r="491" customFormat="false" ht="15" hidden="false" customHeight="false" outlineLevel="0" collapsed="false">
      <c r="B491" s="52"/>
      <c r="C491" s="53"/>
      <c r="D491" s="53"/>
      <c r="E491" s="53"/>
      <c r="F491" s="59"/>
      <c r="G491" s="59"/>
      <c r="H491" s="59"/>
      <c r="I491" s="57"/>
      <c r="J491" s="60" t="str">
        <f aca="false">IF(AND(ISNUMBER(F491),ISNUMBER(G491)),MAX(0,G491-F491),IF(ISNUMBER(H491),H491*IF(I491="Yes / Sí",2,1),""))</f>
        <v/>
      </c>
      <c r="K491" s="61" t="str">
        <f aca="false">IF(OR(J491="",NOT(ISNUMBER(B491))),"",IF(COUNTIF(Settings!$B$8:$B$17,"&lt;="&amp;B491)=0,Settings!$C$8,INDEX(Settings!$C$8:$C$17,COUNTIF(Settings!$B$8:$B$17,"&lt;="&amp;B491))))</f>
        <v/>
      </c>
      <c r="L491" s="56" t="str">
        <f aca="false">IF(K491="","",ROUND(J491*K491,2))</f>
        <v/>
      </c>
      <c r="M491" s="58" t="str">
        <f aca="false">IF(AND(B491="",F491="",G491="",H491=""),"",IF(NOT(ISNUMBER(B491)),"⚠ ADD DATE / AGREGA FECHA",IF(J491="","⚠ ADD MILES / AGREGA MILLAS",IF(AND(ISNUMBER(F491),ISNUMBER(G491)),IF(G491&lt;F491,"⚠ CHECK ODOMETER / REVISA ODÓMETRO","✔ OK"),"✔ OK"))))</f>
        <v/>
      </c>
      <c r="N491" s="53"/>
      <c r="P491" s="51" t="n">
        <f aca="false">IF(ISNUMBER(L491),1,0)</f>
        <v>0</v>
      </c>
      <c r="Q491" s="51" t="n">
        <f aca="false">IF(P491=1,YEAR(B491),0)</f>
        <v>0</v>
      </c>
      <c r="R491" s="51" t="n">
        <f aca="false">IF(P491=1,YEAR(B491)*100+MONTH(B491),0)</f>
        <v>0</v>
      </c>
    </row>
    <row r="492" customFormat="false" ht="15" hidden="false" customHeight="false" outlineLevel="0" collapsed="false">
      <c r="B492" s="52"/>
      <c r="C492" s="53"/>
      <c r="D492" s="53"/>
      <c r="E492" s="53"/>
      <c r="F492" s="59"/>
      <c r="G492" s="59"/>
      <c r="H492" s="59"/>
      <c r="I492" s="57"/>
      <c r="J492" s="60" t="str">
        <f aca="false">IF(AND(ISNUMBER(F492),ISNUMBER(G492)),MAX(0,G492-F492),IF(ISNUMBER(H492),H492*IF(I492="Yes / Sí",2,1),""))</f>
        <v/>
      </c>
      <c r="K492" s="61" t="str">
        <f aca="false">IF(OR(J492="",NOT(ISNUMBER(B492))),"",IF(COUNTIF(Settings!$B$8:$B$17,"&lt;="&amp;B492)=0,Settings!$C$8,INDEX(Settings!$C$8:$C$17,COUNTIF(Settings!$B$8:$B$17,"&lt;="&amp;B492))))</f>
        <v/>
      </c>
      <c r="L492" s="56" t="str">
        <f aca="false">IF(K492="","",ROUND(J492*K492,2))</f>
        <v/>
      </c>
      <c r="M492" s="58" t="str">
        <f aca="false">IF(AND(B492="",F492="",G492="",H492=""),"",IF(NOT(ISNUMBER(B492)),"⚠ ADD DATE / AGREGA FECHA",IF(J492="","⚠ ADD MILES / AGREGA MILLAS",IF(AND(ISNUMBER(F492),ISNUMBER(G492)),IF(G492&lt;F492,"⚠ CHECK ODOMETER / REVISA ODÓMETRO","✔ OK"),"✔ OK"))))</f>
        <v/>
      </c>
      <c r="N492" s="53"/>
      <c r="P492" s="51" t="n">
        <f aca="false">IF(ISNUMBER(L492),1,0)</f>
        <v>0</v>
      </c>
      <c r="Q492" s="51" t="n">
        <f aca="false">IF(P492=1,YEAR(B492),0)</f>
        <v>0</v>
      </c>
      <c r="R492" s="51" t="n">
        <f aca="false">IF(P492=1,YEAR(B492)*100+MONTH(B492),0)</f>
        <v>0</v>
      </c>
    </row>
    <row r="493" customFormat="false" ht="15" hidden="false" customHeight="false" outlineLevel="0" collapsed="false">
      <c r="B493" s="52"/>
      <c r="C493" s="53"/>
      <c r="D493" s="53"/>
      <c r="E493" s="53"/>
      <c r="F493" s="59"/>
      <c r="G493" s="59"/>
      <c r="H493" s="59"/>
      <c r="I493" s="57"/>
      <c r="J493" s="60" t="str">
        <f aca="false">IF(AND(ISNUMBER(F493),ISNUMBER(G493)),MAX(0,G493-F493),IF(ISNUMBER(H493),H493*IF(I493="Yes / Sí",2,1),""))</f>
        <v/>
      </c>
      <c r="K493" s="61" t="str">
        <f aca="false">IF(OR(J493="",NOT(ISNUMBER(B493))),"",IF(COUNTIF(Settings!$B$8:$B$17,"&lt;="&amp;B493)=0,Settings!$C$8,INDEX(Settings!$C$8:$C$17,COUNTIF(Settings!$B$8:$B$17,"&lt;="&amp;B493))))</f>
        <v/>
      </c>
      <c r="L493" s="56" t="str">
        <f aca="false">IF(K493="","",ROUND(J493*K493,2))</f>
        <v/>
      </c>
      <c r="M493" s="58" t="str">
        <f aca="false">IF(AND(B493="",F493="",G493="",H493=""),"",IF(NOT(ISNUMBER(B493)),"⚠ ADD DATE / AGREGA FECHA",IF(J493="","⚠ ADD MILES / AGREGA MILLAS",IF(AND(ISNUMBER(F493),ISNUMBER(G493)),IF(G493&lt;F493,"⚠ CHECK ODOMETER / REVISA ODÓMETRO","✔ OK"),"✔ OK"))))</f>
        <v/>
      </c>
      <c r="N493" s="53"/>
      <c r="P493" s="51" t="n">
        <f aca="false">IF(ISNUMBER(L493),1,0)</f>
        <v>0</v>
      </c>
      <c r="Q493" s="51" t="n">
        <f aca="false">IF(P493=1,YEAR(B493),0)</f>
        <v>0</v>
      </c>
      <c r="R493" s="51" t="n">
        <f aca="false">IF(P493=1,YEAR(B493)*100+MONTH(B493),0)</f>
        <v>0</v>
      </c>
    </row>
    <row r="494" customFormat="false" ht="15" hidden="false" customHeight="false" outlineLevel="0" collapsed="false">
      <c r="B494" s="52"/>
      <c r="C494" s="53"/>
      <c r="D494" s="53"/>
      <c r="E494" s="53"/>
      <c r="F494" s="59"/>
      <c r="G494" s="59"/>
      <c r="H494" s="59"/>
      <c r="I494" s="57"/>
      <c r="J494" s="60" t="str">
        <f aca="false">IF(AND(ISNUMBER(F494),ISNUMBER(G494)),MAX(0,G494-F494),IF(ISNUMBER(H494),H494*IF(I494="Yes / Sí",2,1),""))</f>
        <v/>
      </c>
      <c r="K494" s="61" t="str">
        <f aca="false">IF(OR(J494="",NOT(ISNUMBER(B494))),"",IF(COUNTIF(Settings!$B$8:$B$17,"&lt;="&amp;B494)=0,Settings!$C$8,INDEX(Settings!$C$8:$C$17,COUNTIF(Settings!$B$8:$B$17,"&lt;="&amp;B494))))</f>
        <v/>
      </c>
      <c r="L494" s="56" t="str">
        <f aca="false">IF(K494="","",ROUND(J494*K494,2))</f>
        <v/>
      </c>
      <c r="M494" s="58" t="str">
        <f aca="false">IF(AND(B494="",F494="",G494="",H494=""),"",IF(NOT(ISNUMBER(B494)),"⚠ ADD DATE / AGREGA FECHA",IF(J494="","⚠ ADD MILES / AGREGA MILLAS",IF(AND(ISNUMBER(F494),ISNUMBER(G494)),IF(G494&lt;F494,"⚠ CHECK ODOMETER / REVISA ODÓMETRO","✔ OK"),"✔ OK"))))</f>
        <v/>
      </c>
      <c r="N494" s="53"/>
      <c r="P494" s="51" t="n">
        <f aca="false">IF(ISNUMBER(L494),1,0)</f>
        <v>0</v>
      </c>
      <c r="Q494" s="51" t="n">
        <f aca="false">IF(P494=1,YEAR(B494),0)</f>
        <v>0</v>
      </c>
      <c r="R494" s="51" t="n">
        <f aca="false">IF(P494=1,YEAR(B494)*100+MONTH(B494),0)</f>
        <v>0</v>
      </c>
    </row>
    <row r="495" customFormat="false" ht="15" hidden="false" customHeight="false" outlineLevel="0" collapsed="false">
      <c r="B495" s="52"/>
      <c r="C495" s="53"/>
      <c r="D495" s="53"/>
      <c r="E495" s="53"/>
      <c r="F495" s="59"/>
      <c r="G495" s="59"/>
      <c r="H495" s="59"/>
      <c r="I495" s="57"/>
      <c r="J495" s="60" t="str">
        <f aca="false">IF(AND(ISNUMBER(F495),ISNUMBER(G495)),MAX(0,G495-F495),IF(ISNUMBER(H495),H495*IF(I495="Yes / Sí",2,1),""))</f>
        <v/>
      </c>
      <c r="K495" s="61" t="str">
        <f aca="false">IF(OR(J495="",NOT(ISNUMBER(B495))),"",IF(COUNTIF(Settings!$B$8:$B$17,"&lt;="&amp;B495)=0,Settings!$C$8,INDEX(Settings!$C$8:$C$17,COUNTIF(Settings!$B$8:$B$17,"&lt;="&amp;B495))))</f>
        <v/>
      </c>
      <c r="L495" s="56" t="str">
        <f aca="false">IF(K495="","",ROUND(J495*K495,2))</f>
        <v/>
      </c>
      <c r="M495" s="58" t="str">
        <f aca="false">IF(AND(B495="",F495="",G495="",H495=""),"",IF(NOT(ISNUMBER(B495)),"⚠ ADD DATE / AGREGA FECHA",IF(J495="","⚠ ADD MILES / AGREGA MILLAS",IF(AND(ISNUMBER(F495),ISNUMBER(G495)),IF(G495&lt;F495,"⚠ CHECK ODOMETER / REVISA ODÓMETRO","✔ OK"),"✔ OK"))))</f>
        <v/>
      </c>
      <c r="N495" s="53"/>
      <c r="P495" s="51" t="n">
        <f aca="false">IF(ISNUMBER(L495),1,0)</f>
        <v>0</v>
      </c>
      <c r="Q495" s="51" t="n">
        <f aca="false">IF(P495=1,YEAR(B495),0)</f>
        <v>0</v>
      </c>
      <c r="R495" s="51" t="n">
        <f aca="false">IF(P495=1,YEAR(B495)*100+MONTH(B495),0)</f>
        <v>0</v>
      </c>
    </row>
    <row r="496" customFormat="false" ht="15" hidden="false" customHeight="false" outlineLevel="0" collapsed="false">
      <c r="B496" s="52"/>
      <c r="C496" s="53"/>
      <c r="D496" s="53"/>
      <c r="E496" s="53"/>
      <c r="F496" s="59"/>
      <c r="G496" s="59"/>
      <c r="H496" s="59"/>
      <c r="I496" s="57"/>
      <c r="J496" s="60" t="str">
        <f aca="false">IF(AND(ISNUMBER(F496),ISNUMBER(G496)),MAX(0,G496-F496),IF(ISNUMBER(H496),H496*IF(I496="Yes / Sí",2,1),""))</f>
        <v/>
      </c>
      <c r="K496" s="61" t="str">
        <f aca="false">IF(OR(J496="",NOT(ISNUMBER(B496))),"",IF(COUNTIF(Settings!$B$8:$B$17,"&lt;="&amp;B496)=0,Settings!$C$8,INDEX(Settings!$C$8:$C$17,COUNTIF(Settings!$B$8:$B$17,"&lt;="&amp;B496))))</f>
        <v/>
      </c>
      <c r="L496" s="56" t="str">
        <f aca="false">IF(K496="","",ROUND(J496*K496,2))</f>
        <v/>
      </c>
      <c r="M496" s="58" t="str">
        <f aca="false">IF(AND(B496="",F496="",G496="",H496=""),"",IF(NOT(ISNUMBER(B496)),"⚠ ADD DATE / AGREGA FECHA",IF(J496="","⚠ ADD MILES / AGREGA MILLAS",IF(AND(ISNUMBER(F496),ISNUMBER(G496)),IF(G496&lt;F496,"⚠ CHECK ODOMETER / REVISA ODÓMETRO","✔ OK"),"✔ OK"))))</f>
        <v/>
      </c>
      <c r="N496" s="53"/>
      <c r="P496" s="51" t="n">
        <f aca="false">IF(ISNUMBER(L496),1,0)</f>
        <v>0</v>
      </c>
      <c r="Q496" s="51" t="n">
        <f aca="false">IF(P496=1,YEAR(B496),0)</f>
        <v>0</v>
      </c>
      <c r="R496" s="51" t="n">
        <f aca="false">IF(P496=1,YEAR(B496)*100+MONTH(B496),0)</f>
        <v>0</v>
      </c>
    </row>
    <row r="497" customFormat="false" ht="15" hidden="false" customHeight="false" outlineLevel="0" collapsed="false">
      <c r="B497" s="52"/>
      <c r="C497" s="53"/>
      <c r="D497" s="53"/>
      <c r="E497" s="53"/>
      <c r="F497" s="59"/>
      <c r="G497" s="59"/>
      <c r="H497" s="59"/>
      <c r="I497" s="57"/>
      <c r="J497" s="60" t="str">
        <f aca="false">IF(AND(ISNUMBER(F497),ISNUMBER(G497)),MAX(0,G497-F497),IF(ISNUMBER(H497),H497*IF(I497="Yes / Sí",2,1),""))</f>
        <v/>
      </c>
      <c r="K497" s="61" t="str">
        <f aca="false">IF(OR(J497="",NOT(ISNUMBER(B497))),"",IF(COUNTIF(Settings!$B$8:$B$17,"&lt;="&amp;B497)=0,Settings!$C$8,INDEX(Settings!$C$8:$C$17,COUNTIF(Settings!$B$8:$B$17,"&lt;="&amp;B497))))</f>
        <v/>
      </c>
      <c r="L497" s="56" t="str">
        <f aca="false">IF(K497="","",ROUND(J497*K497,2))</f>
        <v/>
      </c>
      <c r="M497" s="58" t="str">
        <f aca="false">IF(AND(B497="",F497="",G497="",H497=""),"",IF(NOT(ISNUMBER(B497)),"⚠ ADD DATE / AGREGA FECHA",IF(J497="","⚠ ADD MILES / AGREGA MILLAS",IF(AND(ISNUMBER(F497),ISNUMBER(G497)),IF(G497&lt;F497,"⚠ CHECK ODOMETER / REVISA ODÓMETRO","✔ OK"),"✔ OK"))))</f>
        <v/>
      </c>
      <c r="N497" s="53"/>
      <c r="P497" s="51" t="n">
        <f aca="false">IF(ISNUMBER(L497),1,0)</f>
        <v>0</v>
      </c>
      <c r="Q497" s="51" t="n">
        <f aca="false">IF(P497=1,YEAR(B497),0)</f>
        <v>0</v>
      </c>
      <c r="R497" s="51" t="n">
        <f aca="false">IF(P497=1,YEAR(B497)*100+MONTH(B497),0)</f>
        <v>0</v>
      </c>
    </row>
    <row r="498" customFormat="false" ht="15" hidden="false" customHeight="false" outlineLevel="0" collapsed="false">
      <c r="B498" s="52"/>
      <c r="C498" s="53"/>
      <c r="D498" s="53"/>
      <c r="E498" s="53"/>
      <c r="F498" s="59"/>
      <c r="G498" s="59"/>
      <c r="H498" s="59"/>
      <c r="I498" s="57"/>
      <c r="J498" s="60" t="str">
        <f aca="false">IF(AND(ISNUMBER(F498),ISNUMBER(G498)),MAX(0,G498-F498),IF(ISNUMBER(H498),H498*IF(I498="Yes / Sí",2,1),""))</f>
        <v/>
      </c>
      <c r="K498" s="61" t="str">
        <f aca="false">IF(OR(J498="",NOT(ISNUMBER(B498))),"",IF(COUNTIF(Settings!$B$8:$B$17,"&lt;="&amp;B498)=0,Settings!$C$8,INDEX(Settings!$C$8:$C$17,COUNTIF(Settings!$B$8:$B$17,"&lt;="&amp;B498))))</f>
        <v/>
      </c>
      <c r="L498" s="56" t="str">
        <f aca="false">IF(K498="","",ROUND(J498*K498,2))</f>
        <v/>
      </c>
      <c r="M498" s="58" t="str">
        <f aca="false">IF(AND(B498="",F498="",G498="",H498=""),"",IF(NOT(ISNUMBER(B498)),"⚠ ADD DATE / AGREGA FECHA",IF(J498="","⚠ ADD MILES / AGREGA MILLAS",IF(AND(ISNUMBER(F498),ISNUMBER(G498)),IF(G498&lt;F498,"⚠ CHECK ODOMETER / REVISA ODÓMETRO","✔ OK"),"✔ OK"))))</f>
        <v/>
      </c>
      <c r="N498" s="53"/>
      <c r="P498" s="51" t="n">
        <f aca="false">IF(ISNUMBER(L498),1,0)</f>
        <v>0</v>
      </c>
      <c r="Q498" s="51" t="n">
        <f aca="false">IF(P498=1,YEAR(B498),0)</f>
        <v>0</v>
      </c>
      <c r="R498" s="51" t="n">
        <f aca="false">IF(P498=1,YEAR(B498)*100+MONTH(B498),0)</f>
        <v>0</v>
      </c>
    </row>
    <row r="499" customFormat="false" ht="15" hidden="false" customHeight="false" outlineLevel="0" collapsed="false">
      <c r="B499" s="52"/>
      <c r="C499" s="53"/>
      <c r="D499" s="53"/>
      <c r="E499" s="53"/>
      <c r="F499" s="59"/>
      <c r="G499" s="59"/>
      <c r="H499" s="59"/>
      <c r="I499" s="57"/>
      <c r="J499" s="60" t="str">
        <f aca="false">IF(AND(ISNUMBER(F499),ISNUMBER(G499)),MAX(0,G499-F499),IF(ISNUMBER(H499),H499*IF(I499="Yes / Sí",2,1),""))</f>
        <v/>
      </c>
      <c r="K499" s="61" t="str">
        <f aca="false">IF(OR(J499="",NOT(ISNUMBER(B499))),"",IF(COUNTIF(Settings!$B$8:$B$17,"&lt;="&amp;B499)=0,Settings!$C$8,INDEX(Settings!$C$8:$C$17,COUNTIF(Settings!$B$8:$B$17,"&lt;="&amp;B499))))</f>
        <v/>
      </c>
      <c r="L499" s="56" t="str">
        <f aca="false">IF(K499="","",ROUND(J499*K499,2))</f>
        <v/>
      </c>
      <c r="M499" s="58" t="str">
        <f aca="false">IF(AND(B499="",F499="",G499="",H499=""),"",IF(NOT(ISNUMBER(B499)),"⚠ ADD DATE / AGREGA FECHA",IF(J499="","⚠ ADD MILES / AGREGA MILLAS",IF(AND(ISNUMBER(F499),ISNUMBER(G499)),IF(G499&lt;F499,"⚠ CHECK ODOMETER / REVISA ODÓMETRO","✔ OK"),"✔ OK"))))</f>
        <v/>
      </c>
      <c r="N499" s="53"/>
      <c r="P499" s="51" t="n">
        <f aca="false">IF(ISNUMBER(L499),1,0)</f>
        <v>0</v>
      </c>
      <c r="Q499" s="51" t="n">
        <f aca="false">IF(P499=1,YEAR(B499),0)</f>
        <v>0</v>
      </c>
      <c r="R499" s="51" t="n">
        <f aca="false">IF(P499=1,YEAR(B499)*100+MONTH(B499),0)</f>
        <v>0</v>
      </c>
    </row>
    <row r="500" customFormat="false" ht="15" hidden="false" customHeight="false" outlineLevel="0" collapsed="false">
      <c r="B500" s="52"/>
      <c r="C500" s="53"/>
      <c r="D500" s="53"/>
      <c r="E500" s="53"/>
      <c r="F500" s="59"/>
      <c r="G500" s="59"/>
      <c r="H500" s="59"/>
      <c r="I500" s="57"/>
      <c r="J500" s="60" t="str">
        <f aca="false">IF(AND(ISNUMBER(F500),ISNUMBER(G500)),MAX(0,G500-F500),IF(ISNUMBER(H500),H500*IF(I500="Yes / Sí",2,1),""))</f>
        <v/>
      </c>
      <c r="K500" s="61" t="str">
        <f aca="false">IF(OR(J500="",NOT(ISNUMBER(B500))),"",IF(COUNTIF(Settings!$B$8:$B$17,"&lt;="&amp;B500)=0,Settings!$C$8,INDEX(Settings!$C$8:$C$17,COUNTIF(Settings!$B$8:$B$17,"&lt;="&amp;B500))))</f>
        <v/>
      </c>
      <c r="L500" s="56" t="str">
        <f aca="false">IF(K500="","",ROUND(J500*K500,2))</f>
        <v/>
      </c>
      <c r="M500" s="58" t="str">
        <f aca="false">IF(AND(B500="",F500="",G500="",H500=""),"",IF(NOT(ISNUMBER(B500)),"⚠ ADD DATE / AGREGA FECHA",IF(J500="","⚠ ADD MILES / AGREGA MILLAS",IF(AND(ISNUMBER(F500),ISNUMBER(G500)),IF(G500&lt;F500,"⚠ CHECK ODOMETER / REVISA ODÓMETRO","✔ OK"),"✔ OK"))))</f>
        <v/>
      </c>
      <c r="N500" s="53"/>
      <c r="P500" s="51" t="n">
        <f aca="false">IF(ISNUMBER(L500),1,0)</f>
        <v>0</v>
      </c>
      <c r="Q500" s="51" t="n">
        <f aca="false">IF(P500=1,YEAR(B500),0)</f>
        <v>0</v>
      </c>
      <c r="R500" s="51" t="n">
        <f aca="false">IF(P500=1,YEAR(B500)*100+MONTH(B500),0)</f>
        <v>0</v>
      </c>
    </row>
    <row r="501" customFormat="false" ht="15" hidden="false" customHeight="false" outlineLevel="0" collapsed="false">
      <c r="B501" s="52"/>
      <c r="C501" s="53"/>
      <c r="D501" s="53"/>
      <c r="E501" s="53"/>
      <c r="F501" s="59"/>
      <c r="G501" s="59"/>
      <c r="H501" s="59"/>
      <c r="I501" s="57"/>
      <c r="J501" s="60" t="str">
        <f aca="false">IF(AND(ISNUMBER(F501),ISNUMBER(G501)),MAX(0,G501-F501),IF(ISNUMBER(H501),H501*IF(I501="Yes / Sí",2,1),""))</f>
        <v/>
      </c>
      <c r="K501" s="61" t="str">
        <f aca="false">IF(OR(J501="",NOT(ISNUMBER(B501))),"",IF(COUNTIF(Settings!$B$8:$B$17,"&lt;="&amp;B501)=0,Settings!$C$8,INDEX(Settings!$C$8:$C$17,COUNTIF(Settings!$B$8:$B$17,"&lt;="&amp;B501))))</f>
        <v/>
      </c>
      <c r="L501" s="56" t="str">
        <f aca="false">IF(K501="","",ROUND(J501*K501,2))</f>
        <v/>
      </c>
      <c r="M501" s="58" t="str">
        <f aca="false">IF(AND(B501="",F501="",G501="",H501=""),"",IF(NOT(ISNUMBER(B501)),"⚠ ADD DATE / AGREGA FECHA",IF(J501="","⚠ ADD MILES / AGREGA MILLAS",IF(AND(ISNUMBER(F501),ISNUMBER(G501)),IF(G501&lt;F501,"⚠ CHECK ODOMETER / REVISA ODÓMETRO","✔ OK"),"✔ OK"))))</f>
        <v/>
      </c>
      <c r="N501" s="53"/>
      <c r="P501" s="51" t="n">
        <f aca="false">IF(ISNUMBER(L501),1,0)</f>
        <v>0</v>
      </c>
      <c r="Q501" s="51" t="n">
        <f aca="false">IF(P501=1,YEAR(B501),0)</f>
        <v>0</v>
      </c>
      <c r="R501" s="51" t="n">
        <f aca="false">IF(P501=1,YEAR(B501)*100+MONTH(B501),0)</f>
        <v>0</v>
      </c>
    </row>
    <row r="502" customFormat="false" ht="15" hidden="false" customHeight="false" outlineLevel="0" collapsed="false">
      <c r="B502" s="52"/>
      <c r="C502" s="53"/>
      <c r="D502" s="53"/>
      <c r="E502" s="53"/>
      <c r="F502" s="59"/>
      <c r="G502" s="59"/>
      <c r="H502" s="59"/>
      <c r="I502" s="57"/>
      <c r="J502" s="60" t="str">
        <f aca="false">IF(AND(ISNUMBER(F502),ISNUMBER(G502)),MAX(0,G502-F502),IF(ISNUMBER(H502),H502*IF(I502="Yes / Sí",2,1),""))</f>
        <v/>
      </c>
      <c r="K502" s="61" t="str">
        <f aca="false">IF(OR(J502="",NOT(ISNUMBER(B502))),"",IF(COUNTIF(Settings!$B$8:$B$17,"&lt;="&amp;B502)=0,Settings!$C$8,INDEX(Settings!$C$8:$C$17,COUNTIF(Settings!$B$8:$B$17,"&lt;="&amp;B502))))</f>
        <v/>
      </c>
      <c r="L502" s="56" t="str">
        <f aca="false">IF(K502="","",ROUND(J502*K502,2))</f>
        <v/>
      </c>
      <c r="M502" s="58" t="str">
        <f aca="false">IF(AND(B502="",F502="",G502="",H502=""),"",IF(NOT(ISNUMBER(B502)),"⚠ ADD DATE / AGREGA FECHA",IF(J502="","⚠ ADD MILES / AGREGA MILLAS",IF(AND(ISNUMBER(F502),ISNUMBER(G502)),IF(G502&lt;F502,"⚠ CHECK ODOMETER / REVISA ODÓMETRO","✔ OK"),"✔ OK"))))</f>
        <v/>
      </c>
      <c r="N502" s="53"/>
      <c r="P502" s="51" t="n">
        <f aca="false">IF(ISNUMBER(L502),1,0)</f>
        <v>0</v>
      </c>
      <c r="Q502" s="51" t="n">
        <f aca="false">IF(P502=1,YEAR(B502),0)</f>
        <v>0</v>
      </c>
      <c r="R502" s="51" t="n">
        <f aca="false">IF(P502=1,YEAR(B502)*100+MONTH(B502),0)</f>
        <v>0</v>
      </c>
    </row>
    <row r="503" customFormat="false" ht="15" hidden="false" customHeight="false" outlineLevel="0" collapsed="false">
      <c r="B503" s="52"/>
      <c r="C503" s="53"/>
      <c r="D503" s="53"/>
      <c r="E503" s="53"/>
      <c r="F503" s="59"/>
      <c r="G503" s="59"/>
      <c r="H503" s="59"/>
      <c r="I503" s="57"/>
      <c r="J503" s="60" t="str">
        <f aca="false">IF(AND(ISNUMBER(F503),ISNUMBER(G503)),MAX(0,G503-F503),IF(ISNUMBER(H503),H503*IF(I503="Yes / Sí",2,1),""))</f>
        <v/>
      </c>
      <c r="K503" s="61" t="str">
        <f aca="false">IF(OR(J503="",NOT(ISNUMBER(B503))),"",IF(COUNTIF(Settings!$B$8:$B$17,"&lt;="&amp;B503)=0,Settings!$C$8,INDEX(Settings!$C$8:$C$17,COUNTIF(Settings!$B$8:$B$17,"&lt;="&amp;B503))))</f>
        <v/>
      </c>
      <c r="L503" s="56" t="str">
        <f aca="false">IF(K503="","",ROUND(J503*K503,2))</f>
        <v/>
      </c>
      <c r="M503" s="58" t="str">
        <f aca="false">IF(AND(B503="",F503="",G503="",H503=""),"",IF(NOT(ISNUMBER(B503)),"⚠ ADD DATE / AGREGA FECHA",IF(J503="","⚠ ADD MILES / AGREGA MILLAS",IF(AND(ISNUMBER(F503),ISNUMBER(G503)),IF(G503&lt;F503,"⚠ CHECK ODOMETER / REVISA ODÓMETRO","✔ OK"),"✔ OK"))))</f>
        <v/>
      </c>
      <c r="N503" s="53"/>
      <c r="P503" s="51" t="n">
        <f aca="false">IF(ISNUMBER(L503),1,0)</f>
        <v>0</v>
      </c>
      <c r="Q503" s="51" t="n">
        <f aca="false">IF(P503=1,YEAR(B503),0)</f>
        <v>0</v>
      </c>
      <c r="R503" s="51" t="n">
        <f aca="false">IF(P503=1,YEAR(B503)*100+MONTH(B503),0)</f>
        <v>0</v>
      </c>
    </row>
    <row r="504" customFormat="false" ht="15" hidden="false" customHeight="false" outlineLevel="0" collapsed="false">
      <c r="B504" s="52"/>
      <c r="C504" s="53"/>
      <c r="D504" s="53"/>
      <c r="E504" s="53"/>
      <c r="F504" s="59"/>
      <c r="G504" s="59"/>
      <c r="H504" s="59"/>
      <c r="I504" s="57"/>
      <c r="J504" s="60" t="str">
        <f aca="false">IF(AND(ISNUMBER(F504),ISNUMBER(G504)),MAX(0,G504-F504),IF(ISNUMBER(H504),H504*IF(I504="Yes / Sí",2,1),""))</f>
        <v/>
      </c>
      <c r="K504" s="61" t="str">
        <f aca="false">IF(OR(J504="",NOT(ISNUMBER(B504))),"",IF(COUNTIF(Settings!$B$8:$B$17,"&lt;="&amp;B504)=0,Settings!$C$8,INDEX(Settings!$C$8:$C$17,COUNTIF(Settings!$B$8:$B$17,"&lt;="&amp;B504))))</f>
        <v/>
      </c>
      <c r="L504" s="56" t="str">
        <f aca="false">IF(K504="","",ROUND(J504*K504,2))</f>
        <v/>
      </c>
      <c r="M504" s="58" t="str">
        <f aca="false">IF(AND(B504="",F504="",G504="",H504=""),"",IF(NOT(ISNUMBER(B504)),"⚠ ADD DATE / AGREGA FECHA",IF(J504="","⚠ ADD MILES / AGREGA MILLAS",IF(AND(ISNUMBER(F504),ISNUMBER(G504)),IF(G504&lt;F504,"⚠ CHECK ODOMETER / REVISA ODÓMETRO","✔ OK"),"✔ OK"))))</f>
        <v/>
      </c>
      <c r="N504" s="53"/>
      <c r="P504" s="51" t="n">
        <f aca="false">IF(ISNUMBER(L504),1,0)</f>
        <v>0</v>
      </c>
      <c r="Q504" s="51" t="n">
        <f aca="false">IF(P504=1,YEAR(B504),0)</f>
        <v>0</v>
      </c>
      <c r="R504" s="51" t="n">
        <f aca="false">IF(P504=1,YEAR(B504)*100+MONTH(B504),0)</f>
        <v>0</v>
      </c>
    </row>
    <row r="505" customFormat="false" ht="15" hidden="false" customHeight="false" outlineLevel="0" collapsed="false">
      <c r="B505" s="52"/>
      <c r="C505" s="53"/>
      <c r="D505" s="53"/>
      <c r="E505" s="53"/>
      <c r="F505" s="59"/>
      <c r="G505" s="59"/>
      <c r="H505" s="59"/>
      <c r="I505" s="57"/>
      <c r="J505" s="60" t="str">
        <f aca="false">IF(AND(ISNUMBER(F505),ISNUMBER(G505)),MAX(0,G505-F505),IF(ISNUMBER(H505),H505*IF(I505="Yes / Sí",2,1),""))</f>
        <v/>
      </c>
      <c r="K505" s="61" t="str">
        <f aca="false">IF(OR(J505="",NOT(ISNUMBER(B505))),"",IF(COUNTIF(Settings!$B$8:$B$17,"&lt;="&amp;B505)=0,Settings!$C$8,INDEX(Settings!$C$8:$C$17,COUNTIF(Settings!$B$8:$B$17,"&lt;="&amp;B505))))</f>
        <v/>
      </c>
      <c r="L505" s="56" t="str">
        <f aca="false">IF(K505="","",ROUND(J505*K505,2))</f>
        <v/>
      </c>
      <c r="M505" s="58" t="str">
        <f aca="false">IF(AND(B505="",F505="",G505="",H505=""),"",IF(NOT(ISNUMBER(B505)),"⚠ ADD DATE / AGREGA FECHA",IF(J505="","⚠ ADD MILES / AGREGA MILLAS",IF(AND(ISNUMBER(F505),ISNUMBER(G505)),IF(G505&lt;F505,"⚠ CHECK ODOMETER / REVISA ODÓMETRO","✔ OK"),"✔ OK"))))</f>
        <v/>
      </c>
      <c r="N505" s="53"/>
      <c r="P505" s="51" t="n">
        <f aca="false">IF(ISNUMBER(L505),1,0)</f>
        <v>0</v>
      </c>
      <c r="Q505" s="51" t="n">
        <f aca="false">IF(P505=1,YEAR(B505),0)</f>
        <v>0</v>
      </c>
      <c r="R505" s="51" t="n">
        <f aca="false">IF(P505=1,YEAR(B505)*100+MONTH(B505),0)</f>
        <v>0</v>
      </c>
    </row>
  </sheetData>
  <autoFilter ref="B5:N505"/>
  <mergeCells count="3">
    <mergeCell ref="B1:N1"/>
    <mergeCell ref="B2:N2"/>
    <mergeCell ref="B3:N3"/>
  </mergeCells>
  <conditionalFormatting sqref="M6:M505">
    <cfRule type="containsText" priority="2" operator="containsText" aboveAverage="0" equalAverage="0" bottom="0" percent="0" rank="0" text="⚠" dxfId="10">
      <formula>NOT(ISERROR(SEARCH("⚠",M6)))</formula>
    </cfRule>
    <cfRule type="containsText" priority="3" operator="containsText" aboveAverage="0" equalAverage="0" bottom="0" percent="0" rank="0" text="OK" dxfId="12">
      <formula>NOT(ISERROR(SEARCH("OK",M6)))</formula>
    </cfRule>
  </conditionalFormatting>
  <dataValidations count="4">
    <dataValidation allowBlank="true" error="Enter a valid date (e.g. 2026-03-15).&#10;Escribe una fecha válida (ej. 2026-03-15)." errorStyle="stop" errorTitle="Date / Fecha" operator="greaterThan" showDropDown="false" showErrorMessage="false" showInputMessage="false" sqref="B6:B505" type="date">
      <formula1>36526</formula1>
      <formula2>0</formula2>
    </dataValidation>
    <dataValidation allowBlank="true" error="Enter a number ≥ 0.&#10;Escribe un número ≥ 0." errorStyle="stop" errorTitle="Number / Número" operator="greaterThanOrEqual" showDropDown="false" showErrorMessage="false" showInputMessage="false" sqref="F6:H505" type="decimal">
      <formula1>0</formula1>
      <formula2>0</formula2>
    </dataValidation>
    <dataValidation allowBlank="true" error="Choose an option from the list.&#10;Elige una opción de la lista." errorStyle="stop" errorTitle="Purpose / Propósito" operator="between" showDropDown="false" showErrorMessage="false" showInputMessage="false" sqref="E6:E505" type="list">
      <formula1>"Sourcing / Compras,Post Office / Correo,Supplies / Materiales,Bank / Banco,Other / Otro"</formula1>
      <formula2>0</formula2>
    </dataValidation>
    <dataValidation allowBlank="true" error="Choose an option from the list.&#10;Elige una opción de la lista." errorStyle="stop" errorTitle="Round trip / Ida y vuelta" operator="between" showDropDown="false" showErrorMessage="false" showInputMessage="false" sqref="I6:I505" type="list">
      <formula1>"Yes / Sí,No"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3" min="2" style="0" width="16"/>
    <col collapsed="false" customWidth="true" hidden="false" outlineLevel="0" max="4" min="4" style="0" width="36"/>
    <col collapsed="false" customWidth="true" hidden="false" outlineLevel="0" max="5" min="5" style="0" width="3"/>
    <col collapsed="false" customWidth="true" hidden="false" outlineLevel="0" max="6" min="6" style="0" width="50"/>
  </cols>
  <sheetData>
    <row r="1" customFormat="false" ht="18" hidden="false" customHeight="true" outlineLevel="0" collapsed="false">
      <c r="A1" s="1"/>
      <c r="B1" s="14" t="s">
        <v>1</v>
      </c>
      <c r="C1" s="14"/>
      <c r="D1" s="14"/>
      <c r="E1" s="14"/>
      <c r="F1" s="14"/>
    </row>
    <row r="2" customFormat="false" ht="30" hidden="false" customHeight="true" outlineLevel="0" collapsed="false">
      <c r="A2" s="1"/>
      <c r="B2" s="15" t="s">
        <v>158</v>
      </c>
      <c r="C2" s="15"/>
      <c r="D2" s="15"/>
      <c r="E2" s="15"/>
      <c r="F2" s="15"/>
    </row>
    <row r="3" customFormat="false" ht="19.5" hidden="false" customHeight="true" outlineLevel="0" collapsed="false">
      <c r="A3" s="1"/>
      <c r="B3" s="16" t="s">
        <v>159</v>
      </c>
      <c r="C3" s="16"/>
      <c r="D3" s="16"/>
      <c r="E3" s="16"/>
      <c r="F3" s="16"/>
    </row>
    <row r="4" customFormat="false" ht="3.75" hidden="false" customHeight="true" outlineLevel="0" collapsed="false">
      <c r="A4" s="7"/>
      <c r="B4" s="7"/>
      <c r="C4" s="7"/>
      <c r="D4" s="7"/>
      <c r="E4" s="7"/>
      <c r="F4" s="7"/>
    </row>
    <row r="6" customFormat="false" ht="15" hidden="false" customHeight="false" outlineLevel="0" collapsed="false">
      <c r="B6" s="31" t="s">
        <v>160</v>
      </c>
      <c r="C6" s="31"/>
      <c r="D6" s="31"/>
      <c r="F6" s="31" t="s">
        <v>161</v>
      </c>
    </row>
    <row r="7" customFormat="false" ht="36" hidden="false" customHeight="true" outlineLevel="0" collapsed="false">
      <c r="B7" s="32" t="s">
        <v>162</v>
      </c>
      <c r="C7" s="32" t="s">
        <v>163</v>
      </c>
      <c r="D7" s="32" t="s">
        <v>164</v>
      </c>
      <c r="F7" s="32" t="s">
        <v>165</v>
      </c>
    </row>
    <row r="8" customFormat="false" ht="15" hidden="false" customHeight="false" outlineLevel="0" collapsed="false">
      <c r="B8" s="62" t="n">
        <v>45658</v>
      </c>
      <c r="C8" s="63" t="n">
        <v>0.7</v>
      </c>
      <c r="D8" s="64" t="s">
        <v>166</v>
      </c>
      <c r="F8" s="64" t="s">
        <v>77</v>
      </c>
    </row>
    <row r="9" customFormat="false" ht="15" hidden="false" customHeight="false" outlineLevel="0" collapsed="false">
      <c r="B9" s="62" t="n">
        <v>46023</v>
      </c>
      <c r="C9" s="63" t="n">
        <v>0.725</v>
      </c>
      <c r="D9" s="64" t="s">
        <v>167</v>
      </c>
      <c r="F9" s="64" t="s">
        <v>101</v>
      </c>
    </row>
    <row r="10" customFormat="false" ht="15" hidden="false" customHeight="false" outlineLevel="0" collapsed="false">
      <c r="B10" s="62" t="n">
        <v>46204</v>
      </c>
      <c r="C10" s="63" t="n">
        <v>0.76</v>
      </c>
      <c r="D10" s="64" t="s">
        <v>168</v>
      </c>
      <c r="F10" s="64" t="s">
        <v>82</v>
      </c>
    </row>
    <row r="11" customFormat="false" ht="15" hidden="false" customHeight="false" outlineLevel="0" collapsed="false">
      <c r="B11" s="62"/>
      <c r="C11" s="63"/>
      <c r="D11" s="64"/>
      <c r="F11" s="64" t="s">
        <v>96</v>
      </c>
    </row>
    <row r="12" customFormat="false" ht="15" hidden="false" customHeight="false" outlineLevel="0" collapsed="false">
      <c r="B12" s="62"/>
      <c r="C12" s="63"/>
      <c r="D12" s="64"/>
      <c r="F12" s="64" t="s">
        <v>86</v>
      </c>
    </row>
    <row r="13" customFormat="false" ht="15" hidden="false" customHeight="false" outlineLevel="0" collapsed="false">
      <c r="B13" s="62"/>
      <c r="C13" s="63"/>
      <c r="D13" s="64"/>
      <c r="F13" s="64" t="s">
        <v>93</v>
      </c>
    </row>
    <row r="14" customFormat="false" ht="15" hidden="false" customHeight="false" outlineLevel="0" collapsed="false">
      <c r="B14" s="62"/>
      <c r="C14" s="63"/>
      <c r="D14" s="64"/>
      <c r="F14" s="64" t="s">
        <v>89</v>
      </c>
    </row>
    <row r="15" customFormat="false" ht="15" hidden="false" customHeight="false" outlineLevel="0" collapsed="false">
      <c r="B15" s="62"/>
      <c r="C15" s="63"/>
      <c r="D15" s="64"/>
      <c r="F15" s="64" t="s">
        <v>105</v>
      </c>
    </row>
    <row r="16" customFormat="false" ht="15" hidden="false" customHeight="false" outlineLevel="0" collapsed="false">
      <c r="B16" s="62"/>
      <c r="C16" s="63"/>
      <c r="D16" s="64"/>
      <c r="F16" s="64" t="s">
        <v>120</v>
      </c>
    </row>
    <row r="17" customFormat="false" ht="15" hidden="false" customHeight="false" outlineLevel="0" collapsed="false">
      <c r="B17" s="62"/>
      <c r="C17" s="63"/>
      <c r="D17" s="64"/>
      <c r="F17" s="64" t="s">
        <v>112</v>
      </c>
    </row>
    <row r="18" customFormat="false" ht="15" hidden="false" customHeight="true" outlineLevel="0" collapsed="false">
      <c r="B18" s="65" t="s">
        <v>169</v>
      </c>
      <c r="C18" s="65"/>
      <c r="D18" s="65"/>
      <c r="F18" s="64" t="s">
        <v>117</v>
      </c>
    </row>
    <row r="19" customFormat="false" ht="15" hidden="false" customHeight="false" outlineLevel="0" collapsed="false">
      <c r="B19" s="65"/>
      <c r="C19" s="65"/>
      <c r="D19" s="65"/>
      <c r="F19" s="64" t="s">
        <v>170</v>
      </c>
    </row>
    <row r="20" customFormat="false" ht="15" hidden="false" customHeight="false" outlineLevel="0" collapsed="false">
      <c r="B20" s="65"/>
      <c r="C20" s="65"/>
      <c r="D20" s="65"/>
      <c r="F20" s="64"/>
    </row>
    <row r="21" customFormat="false" ht="15" hidden="false" customHeight="false" outlineLevel="0" collapsed="false">
      <c r="F21" s="64"/>
    </row>
    <row r="22" customFormat="false" ht="15" hidden="false" customHeight="false" outlineLevel="0" collapsed="false">
      <c r="F22" s="45" t="s">
        <v>171</v>
      </c>
    </row>
  </sheetData>
  <mergeCells count="5">
    <mergeCell ref="B1:F1"/>
    <mergeCell ref="B2:F2"/>
    <mergeCell ref="B3:F3"/>
    <mergeCell ref="B6:D6"/>
    <mergeCell ref="B18:D20"/>
  </mergeCells>
  <dataValidations count="2">
    <dataValidation allowBlank="true" error="Enter a valid date (e.g. 2026-03-15).&#10;Escribe una fecha válida (ej. 2026-03-15)." errorStyle="stop" errorTitle="Date / Fecha" operator="greaterThan" showDropDown="false" showErrorMessage="false" showInputMessage="false" sqref="B8:B17" type="date">
      <formula1>36526</formula1>
      <formula2>0</formula2>
    </dataValidation>
    <dataValidation allowBlank="true" error="Enter the rate in dollars, e.g. 0.76.&#10;Escribe la tarifa en dólares, ej. 0.76." errorStyle="stop" errorTitle="Number / Número" operator="between" showDropDown="false" showErrorMessage="false" showInputMessage="false" sqref="C8:C17"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6"/>
    <col collapsed="false" customWidth="true" hidden="false" outlineLevel="0" max="4" min="3" style="0" width="58"/>
    <col collapsed="false" customWidth="true" hidden="false" outlineLevel="0" max="5" min="5" style="0" width="2"/>
  </cols>
  <sheetData>
    <row r="1" customFormat="false" ht="18" hidden="false" customHeight="true" outlineLevel="0" collapsed="false">
      <c r="A1" s="1"/>
      <c r="B1" s="14" t="s">
        <v>1</v>
      </c>
      <c r="C1" s="14"/>
      <c r="D1" s="14"/>
      <c r="E1" s="14"/>
    </row>
    <row r="2" customFormat="false" ht="30" hidden="false" customHeight="true" outlineLevel="0" collapsed="false">
      <c r="A2" s="1"/>
      <c r="B2" s="15" t="s">
        <v>172</v>
      </c>
      <c r="C2" s="15"/>
      <c r="D2" s="15"/>
      <c r="E2" s="15"/>
    </row>
    <row r="3" customFormat="false" ht="19.5" hidden="false" customHeight="true" outlineLevel="0" collapsed="false">
      <c r="A3" s="1"/>
      <c r="B3" s="16" t="s">
        <v>173</v>
      </c>
      <c r="C3" s="16"/>
      <c r="D3" s="16"/>
      <c r="E3" s="16"/>
    </row>
    <row r="4" customFormat="false" ht="3.75" hidden="false" customHeight="true" outlineLevel="0" collapsed="false">
      <c r="A4" s="7"/>
      <c r="B4" s="7"/>
      <c r="C4" s="7"/>
      <c r="D4" s="7"/>
      <c r="E4" s="7"/>
    </row>
    <row r="6" customFormat="false" ht="21.75" hidden="false" customHeight="true" outlineLevel="0" collapsed="false">
      <c r="B6" s="32" t="s">
        <v>174</v>
      </c>
      <c r="C6" s="32" t="s">
        <v>175</v>
      </c>
      <c r="D6" s="32" t="s">
        <v>176</v>
      </c>
    </row>
    <row r="7" customFormat="false" ht="49.5" hidden="false" customHeight="true" outlineLevel="0" collapsed="false">
      <c r="B7" s="66" t="n">
        <v>1</v>
      </c>
      <c r="C7" s="67" t="s">
        <v>177</v>
      </c>
      <c r="D7" s="67" t="s">
        <v>178</v>
      </c>
    </row>
    <row r="8" customFormat="false" ht="78" hidden="false" customHeight="true" outlineLevel="0" collapsed="false">
      <c r="B8" s="66" t="n">
        <v>2</v>
      </c>
      <c r="C8" s="68" t="s">
        <v>179</v>
      </c>
      <c r="D8" s="68" t="s">
        <v>180</v>
      </c>
    </row>
    <row r="9" customFormat="false" ht="63.75" hidden="false" customHeight="true" outlineLevel="0" collapsed="false">
      <c r="B9" s="66" t="n">
        <v>3</v>
      </c>
      <c r="C9" s="67" t="s">
        <v>181</v>
      </c>
      <c r="D9" s="67" t="s">
        <v>182</v>
      </c>
    </row>
    <row r="10" customFormat="false" ht="36" hidden="false" customHeight="true" outlineLevel="0" collapsed="false">
      <c r="B10" s="66" t="n">
        <v>4</v>
      </c>
      <c r="C10" s="68" t="s">
        <v>183</v>
      </c>
      <c r="D10" s="68" t="s">
        <v>184</v>
      </c>
    </row>
    <row r="11" customFormat="false" ht="63.75" hidden="false" customHeight="true" outlineLevel="0" collapsed="false">
      <c r="B11" s="66" t="n">
        <v>5</v>
      </c>
      <c r="C11" s="67" t="s">
        <v>185</v>
      </c>
      <c r="D11" s="67" t="s">
        <v>186</v>
      </c>
    </row>
    <row r="12" customFormat="false" ht="36" hidden="false" customHeight="true" outlineLevel="0" collapsed="false">
      <c r="B12" s="66" t="n">
        <v>6</v>
      </c>
      <c r="C12" s="68" t="s">
        <v>187</v>
      </c>
      <c r="D12" s="68" t="s">
        <v>188</v>
      </c>
    </row>
    <row r="13" customFormat="false" ht="78" hidden="false" customHeight="true" outlineLevel="0" collapsed="false">
      <c r="B13" s="66" t="n">
        <v>7</v>
      </c>
      <c r="C13" s="67" t="s">
        <v>189</v>
      </c>
      <c r="D13" s="67" t="s">
        <v>190</v>
      </c>
    </row>
    <row r="14" customFormat="false" ht="36" hidden="false" customHeight="true" outlineLevel="0" collapsed="false">
      <c r="B14" s="66" t="n">
        <v>8</v>
      </c>
      <c r="C14" s="68" t="s">
        <v>191</v>
      </c>
      <c r="D14" s="68" t="s">
        <v>192</v>
      </c>
    </row>
    <row r="15" customFormat="false" ht="49.5" hidden="false" customHeight="true" outlineLevel="0" collapsed="false">
      <c r="B15" s="66" t="n">
        <v>9</v>
      </c>
      <c r="C15" s="67" t="s">
        <v>193</v>
      </c>
      <c r="D15" s="67" t="s">
        <v>194</v>
      </c>
    </row>
    <row r="16" customFormat="false" ht="49.5" hidden="false" customHeight="true" outlineLevel="0" collapsed="false">
      <c r="B16" s="66" t="n">
        <v>10</v>
      </c>
      <c r="C16" s="68" t="s">
        <v>195</v>
      </c>
      <c r="D16" s="68" t="s">
        <v>196</v>
      </c>
    </row>
    <row r="18" customFormat="false" ht="15" hidden="false" customHeight="false" outlineLevel="0" collapsed="false">
      <c r="B18" s="69" t="s">
        <v>197</v>
      </c>
      <c r="C18" s="69"/>
      <c r="D18" s="69"/>
    </row>
    <row r="19" customFormat="false" ht="18" hidden="false" customHeight="true" outlineLevel="0" collapsed="false">
      <c r="B19" s="70"/>
      <c r="C19" s="71" t="s">
        <v>198</v>
      </c>
      <c r="D19" s="71" t="s">
        <v>199</v>
      </c>
    </row>
    <row r="20" customFormat="false" ht="18" hidden="false" customHeight="true" outlineLevel="0" collapsed="false">
      <c r="B20" s="72"/>
      <c r="C20" s="71" t="s">
        <v>200</v>
      </c>
      <c r="D20" s="71" t="s">
        <v>201</v>
      </c>
    </row>
    <row r="21" customFormat="false" ht="18" hidden="false" customHeight="true" outlineLevel="0" collapsed="false">
      <c r="B21" s="73"/>
      <c r="C21" s="71" t="s">
        <v>202</v>
      </c>
      <c r="D21" s="71" t="s">
        <v>203</v>
      </c>
    </row>
    <row r="23" customFormat="false" ht="15" hidden="false" customHeight="false" outlineLevel="0" collapsed="false">
      <c r="B23" s="69" t="s">
        <v>204</v>
      </c>
      <c r="C23" s="69"/>
      <c r="D23" s="69"/>
    </row>
    <row r="24" customFormat="false" ht="36" hidden="false" customHeight="true" outlineLevel="0" collapsed="false">
      <c r="B24" s="74"/>
      <c r="C24" s="71" t="s">
        <v>205</v>
      </c>
      <c r="D24" s="71" t="s">
        <v>206</v>
      </c>
    </row>
    <row r="25" customFormat="false" ht="49.5" hidden="false" customHeight="true" outlineLevel="0" collapsed="false">
      <c r="B25" s="74"/>
      <c r="C25" s="71" t="s">
        <v>207</v>
      </c>
      <c r="D25" s="71" t="s">
        <v>208</v>
      </c>
    </row>
    <row r="26" customFormat="false" ht="49.5" hidden="false" customHeight="true" outlineLevel="0" collapsed="false">
      <c r="B26" s="74"/>
      <c r="C26" s="71" t="s">
        <v>209</v>
      </c>
      <c r="D26" s="71" t="s">
        <v>210</v>
      </c>
    </row>
    <row r="27" customFormat="false" ht="36" hidden="false" customHeight="true" outlineLevel="0" collapsed="false">
      <c r="B27" s="74"/>
      <c r="C27" s="71" t="s">
        <v>211</v>
      </c>
      <c r="D27" s="71" t="s">
        <v>212</v>
      </c>
    </row>
    <row r="29" customFormat="false" ht="15" hidden="false" customHeight="false" outlineLevel="0" collapsed="false">
      <c r="B29" s="69" t="s">
        <v>213</v>
      </c>
      <c r="C29" s="69"/>
      <c r="D29" s="69"/>
    </row>
    <row r="30" customFormat="false" ht="78" hidden="false" customHeight="true" outlineLevel="0" collapsed="false">
      <c r="B30" s="74"/>
      <c r="C30" s="71" t="s">
        <v>214</v>
      </c>
      <c r="D30" s="71" t="s">
        <v>215</v>
      </c>
    </row>
    <row r="32" customFormat="false" ht="15" hidden="false" customHeight="false" outlineLevel="0" collapsed="false">
      <c r="B32" s="69" t="s">
        <v>216</v>
      </c>
      <c r="C32" s="69"/>
      <c r="D32" s="69"/>
    </row>
    <row r="33" customFormat="false" ht="36" hidden="false" customHeight="true" outlineLevel="0" collapsed="false">
      <c r="B33" s="74"/>
      <c r="C33" s="71" t="s">
        <v>217</v>
      </c>
      <c r="D33" s="71" t="s">
        <v>218</v>
      </c>
    </row>
    <row r="34" customFormat="false" ht="49.5" hidden="false" customHeight="true" outlineLevel="0" collapsed="false">
      <c r="B34" s="74"/>
      <c r="C34" s="71" t="s">
        <v>219</v>
      </c>
      <c r="D34" s="71" t="s">
        <v>220</v>
      </c>
    </row>
    <row r="35" customFormat="false" ht="91.5" hidden="false" customHeight="true" outlineLevel="0" collapsed="false">
      <c r="B35" s="74"/>
      <c r="C35" s="71" t="s">
        <v>221</v>
      </c>
      <c r="D35" s="71" t="s">
        <v>222</v>
      </c>
    </row>
  </sheetData>
  <mergeCells count="7">
    <mergeCell ref="B1:E1"/>
    <mergeCell ref="B2:E2"/>
    <mergeCell ref="B3:E3"/>
    <mergeCell ref="B18:D18"/>
    <mergeCell ref="B23:D23"/>
    <mergeCell ref="B29:D29"/>
    <mergeCell ref="B32:D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2026-09-30T23:47:39Z</dcterms:created>
  <dc:creator>ProfitTrack</dc:creator>
  <dc:description/>
  <dc:language>en-US</dc:language>
  <cp:lastModifiedBy/>
  <dcterms:modified xsi:type="dcterms:W3CDTF">2026-09-30T23:47:44Z</dcterms:modified>
  <cp:revision>1</cp:revision>
  <dc:subject/>
  <dc:title>ProfitTrack Expenses — Reseller Expense &amp; Mileage Tracker</dc:title>
</cp:coreProperties>
</file>

<file path=docProps/custom.xml><?xml version="1.0" encoding="utf-8"?>
<Properties xmlns="http://schemas.openxmlformats.org/officeDocument/2006/custom-properties" xmlns:vt="http://schemas.openxmlformats.org/officeDocument/2006/docPropsVTypes"/>
</file>