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ashboard" sheetId="2" state="visible" r:id="rId4"/>
    <sheet name="Tracker" sheetId="3" state="visible" r:id="rId5"/>
    <sheet name="Sourcing List" sheetId="4" state="visible" r:id="rId6"/>
    <sheet name="Quick Start Guide" sheetId="5" state="visible" r:id="rId7"/>
  </sheets>
  <definedNames>
    <definedName function="false" hidden="false" localSheetId="2" name="_xlnm.Print_Titles" vbProcedure="false">Tracker!$5:$5</definedName>
    <definedName function="false" hidden="true" localSheetId="2" name="_xlnm._FilterDatabase" vbProcedure="false">Tracker!$B$5:$O$505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2" authorId="0">
      <text>
        <r>
          <rPr>
            <sz val="10"/>
            <rFont val="Arial"/>
            <family val="2"/>
          </rPr>
          <t xml:space="preserve">Shows the year of your latest sale. Type any year (e.g. 2027) to change it.
Muestra el año de tu última venta. Escribe otro año (ej. 2027) para cambiarlo.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Rows 6–25 are EXAMPLES. Select them and press Delete (don't delete the rows) to start fresh.
Las filas 6–25 son EJEMPLOS. Selecciónalas y presiona Suprimir (no borres las filas) para empezar.</t>
        </r>
      </text>
    </comment>
    <comment ref="H5" authorId="0">
      <text>
        <r>
          <rPr>
            <sz val="10"/>
            <rFont val="Arial"/>
            <family val="2"/>
          </rPr>
          <t xml:space="preserve">Enter as a percent, e.g. 13.25%. Typical rates are listed in the Quick Start Guide.
Escribe el porcentaje, ej. 13.25%. Las tarifas típicas están en la Guía Rápida.</t>
        </r>
      </text>
    </comment>
    <comment ref="I5" authorId="0">
      <text>
        <r>
          <rPr>
            <sz val="10"/>
            <rFont val="Arial"/>
            <family val="2"/>
          </rPr>
          <t xml:space="preserve">Auto: Sale Price × Fee %
Auto: Precio de Venta × % Comisión</t>
        </r>
      </text>
    </comment>
    <comment ref="L5" authorId="0">
      <text>
        <r>
          <rPr>
            <sz val="10"/>
            <rFont val="Arial"/>
            <family val="2"/>
          </rPr>
          <t xml:space="preserve">Auto: Sale Price − Purchase Cost − Shipping In − Platform Fee − Shipping Out − Other Costs
Auto: Precio − Costo − Envío entrada − Comisión − Envío salida − Otros</t>
        </r>
      </text>
    </comment>
    <comment ref="M5" authorId="0">
      <text>
        <r>
          <rPr>
            <sz val="10"/>
            <rFont val="Arial"/>
            <family val="2"/>
          </rPr>
          <t xml:space="preserve">Auto: Net Profit ÷ Sale Price
Auto: Ganancia Neta ÷ Precio de Venta</t>
        </r>
      </text>
    </comment>
    <comment ref="O5" authorId="0">
      <text>
        <r>
          <rPr>
            <sz val="10"/>
            <rFont val="Arial"/>
            <family val="2"/>
          </rPr>
          <t xml:space="preserve">Flags any sale with a profit margin below 15%.
Marca cualquier venta con margen menor al 15%.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7" authorId="0">
      <text>
        <r>
          <rPr>
            <sz val="10"/>
            <rFont val="Arial"/>
            <family val="2"/>
          </rPr>
          <t xml:space="preserve">Your target — change it anytime. / Tu objetivo — cámbialo cuando quieras.</t>
        </r>
      </text>
    </comment>
    <comment ref="N10" authorId="0">
      <text>
        <r>
          <rPr>
            <sz val="10"/>
            <rFont val="Arial"/>
            <family val="2"/>
          </rPr>
          <t xml:space="preserve">Return on investment: Est. Profit ÷ (Asking Price + Shipping In)
Retorno de inversión: Ganancia Est. ÷ (Precio de Compra + Envío Entrada)</t>
        </r>
      </text>
    </comment>
    <comment ref="O10" authorId="0">
      <text>
        <r>
          <rPr>
            <sz val="10"/>
            <rFont val="Arial"/>
            <family val="2"/>
          </rPr>
          <t xml:space="preserve">Highest purchase price that still meets your minimum margin AND minimum profit.
Precio de compra más alto que aún cumple tu margen mínimo Y ganancia mínima.</t>
        </r>
      </text>
    </comment>
  </commentList>
</comments>
</file>

<file path=xl/sharedStrings.xml><?xml version="1.0" encoding="utf-8"?>
<sst xmlns="http://schemas.openxmlformats.org/spreadsheetml/2006/main" count="256" uniqueCount="202">
  <si>
    <t xml:space="preserve">RESELLER TOOLKIT  •  KIT PARA REVENDEDORES</t>
  </si>
  <si>
    <t xml:space="preserve">ProfitTrack</t>
  </si>
  <si>
    <t xml:space="preserve">Reseller Profit Tracker &amp; Dashboard</t>
  </si>
  <si>
    <t xml:space="preserve">Registro de Ganancias y Panel para Revendedores</t>
  </si>
  <si>
    <t xml:space="preserve">eBay  •  Facebook Marketplace  •  Etsy  •  Poshmark  •  Other / Otro</t>
  </si>
  <si>
    <t xml:space="preserve">WHAT'S INSIDE  /  CONTENIDO   (click to open • clic para abrir)</t>
  </si>
  <si>
    <t xml:space="preserve">📊  Dashboard / Panel</t>
  </si>
  <si>
    <t xml:space="preserve">KPIs, profit by platform, monthly trend, Top 5 / Indicadores, ganancia por plataforma, tendencia mensual, Top 5</t>
  </si>
  <si>
    <t xml:space="preserve">🧾  Tracker / Registro</t>
  </si>
  <si>
    <t xml:space="preserve">Log every sale – fees, profit &amp; margin auto-calculated / Registra cada venta – comisiones, ganancia y margen automáticos</t>
  </si>
  <si>
    <t xml:space="preserve">🔍  Sourcing List / Lista de Compras (BONUS)</t>
  </si>
  <si>
    <t xml:space="preserve">Check profit BEFORE you buy / Calcula la ganancia ANTES de comprar</t>
  </si>
  <si>
    <t xml:space="preserve">🚀  Quick Start Guide / Guía Rápida</t>
  </si>
  <si>
    <t xml:space="preserve">Step-by-step setup in 5 minutes / Configuración paso a paso en 5 minutos</t>
  </si>
  <si>
    <t xml:space="preserve">💻 PC / Mac  •  📱 iPhone / Android  —  Excel • Google Sheets   |   Computadora y celular — Excel • Google Sheets</t>
  </si>
  <si>
    <t xml:space="preserve">Start here → Quick Start Guide   |   Empieza aquí → Guía Rápida</t>
  </si>
  <si>
    <t xml:space="preserve">© ProfitTrack  •  v1.0  •  For personal use only – do not resell or redistribute / Solo para uso personal – prohibida su reventa o distribución</t>
  </si>
  <si>
    <t xml:space="preserve">Dashboard  /  Panel de Control</t>
  </si>
  <si>
    <t xml:space="preserve">Updates automatically from the Tracker. Returned sales are excluded.  •  Se actualiza automáticamente desde el Registro. Las ventas devueltas se excluyen.</t>
  </si>
  <si>
    <t xml:space="preserve">TOTAL REVENUE</t>
  </si>
  <si>
    <t xml:space="preserve">TOTAL PROFIT</t>
  </si>
  <si>
    <t xml:space="preserve">AVG. PROFIT MARGIN</t>
  </si>
  <si>
    <t xml:space="preserve">NUMBER OF SALES</t>
  </si>
  <si>
    <t xml:space="preserve">Ingresos Totales</t>
  </si>
  <si>
    <t xml:space="preserve">Ganancia Total</t>
  </si>
  <si>
    <t xml:space="preserve">Margen Promedio</t>
  </si>
  <si>
    <t xml:space="preserve">Número de Ventas</t>
  </si>
  <si>
    <t xml:space="preserve">weighted: profit ÷ revenue / ponderado</t>
  </si>
  <si>
    <t xml:space="preserve">Profit by Platform  /  Ganancia por Plataforma</t>
  </si>
  <si>
    <t xml:space="preserve">Platform
Plataforma</t>
  </si>
  <si>
    <t xml:space="preserve">Sales
Ventas</t>
  </si>
  <si>
    <t xml:space="preserve">Revenue
Ingresos</t>
  </si>
  <si>
    <t xml:space="preserve">Profit
Ganancia</t>
  </si>
  <si>
    <t xml:space="preserve">Margin
Margen</t>
  </si>
  <si>
    <t xml:space="preserve">eBay</t>
  </si>
  <si>
    <t xml:space="preserve">Facebook Marketplace</t>
  </si>
  <si>
    <t xml:space="preserve">Etsy</t>
  </si>
  <si>
    <t xml:space="preserve">Poshmark</t>
  </si>
  <si>
    <t xml:space="preserve">Other</t>
  </si>
  <si>
    <t xml:space="preserve">TOTAL</t>
  </si>
  <si>
    <t xml:space="preserve">Totals match the KPI cards above. / Los totales coinciden con los indicadores.</t>
  </si>
  <si>
    <t xml:space="preserve">Monthly Profit Trend  /  Tendencia Mensual de Ganancia</t>
  </si>
  <si>
    <t xml:space="preserve">Year / Año:</t>
  </si>
  <si>
    <t xml:space="preserve">← type a year to change / escribe un año para cambiar</t>
  </si>
  <si>
    <t xml:space="preserve">Month
Mes</t>
  </si>
  <si>
    <t xml:space="preserve">Jan / Ene</t>
  </si>
  <si>
    <t xml:space="preserve">Feb / Feb</t>
  </si>
  <si>
    <t xml:space="preserve">Mar / Mar</t>
  </si>
  <si>
    <t xml:space="preserve">Apr / Abr</t>
  </si>
  <si>
    <t xml:space="preserve">May / May</t>
  </si>
  <si>
    <t xml:space="preserve">Jun / Jun</t>
  </si>
  <si>
    <t xml:space="preserve">Jul / Jul</t>
  </si>
  <si>
    <t xml:space="preserve">Aug / Ago</t>
  </si>
  <si>
    <t xml:space="preserve">Sep / Sep</t>
  </si>
  <si>
    <t xml:space="preserve">Oct / Oct</t>
  </si>
  <si>
    <t xml:space="preserve">Nov / Nov</t>
  </si>
  <si>
    <t xml:space="preserve">Dec / Dic</t>
  </si>
  <si>
    <t xml:space="preserve">YEAR / AÑO</t>
  </si>
  <si>
    <t xml:space="preserve">Top 5 Most Profitable Sales  /  Top 5 Ventas Más Rentables</t>
  </si>
  <si>
    <t xml:space="preserve">#</t>
  </si>
  <si>
    <t xml:space="preserve">Product
Producto</t>
  </si>
  <si>
    <t xml:space="preserve">Sale Date
Fecha</t>
  </si>
  <si>
    <t xml:space="preserve">Net Profit
Ganancia</t>
  </si>
  <si>
    <t xml:space="preserve">Ranked by net profit per sale (returns excluded). / Ordenado por ganancia neta por venta (sin devoluciones).</t>
  </si>
  <si>
    <t xml:space="preserve">Sales Tracker  /  Registro de Ventas</t>
  </si>
  <si>
    <t xml:space="preserve">Type in the light-teal columns only. Grey columns calculate automatically.  •  Escribe solo en las columnas verde claro. Las columnas grises se calculan solas.</t>
  </si>
  <si>
    <t xml:space="preserve">Product Name
Nombre del Producto</t>
  </si>
  <si>
    <t xml:space="preserve">Sale Date
Fecha de Venta</t>
  </si>
  <si>
    <t xml:space="preserve">Purchase Cost
Costo de Compra</t>
  </si>
  <si>
    <t xml:space="preserve">Shipping In
Envío (Entrada)</t>
  </si>
  <si>
    <t xml:space="preserve">Sale Price
Precio de Venta</t>
  </si>
  <si>
    <t xml:space="preserve">Platform Fee %
% Comisión</t>
  </si>
  <si>
    <t xml:space="preserve">Platform Fee $
Comisión $</t>
  </si>
  <si>
    <t xml:space="preserve">Shipping Out
Envío (Salida)</t>
  </si>
  <si>
    <t xml:space="preserve">Other Costs
Otros Costos</t>
  </si>
  <si>
    <t xml:space="preserve">Net Profit
Ganancia Neta</t>
  </si>
  <si>
    <t xml:space="preserve">Profit Margin %
Margen %</t>
  </si>
  <si>
    <t xml:space="preserve">Status
Estado</t>
  </si>
  <si>
    <t xml:space="preserve">Margin Alert (&lt;15%)
Alerta de Margen</t>
  </si>
  <si>
    <t xml:space="preserve">Helper – do not edit: Rank key</t>
  </si>
  <si>
    <t xml:space="preserve">Helper – do not edit: Valid sale (1/0)</t>
  </si>
  <si>
    <t xml:space="preserve">Helper – do not edit: Year-month key</t>
  </si>
  <si>
    <t xml:space="preserve">Helper – do not edit: Low margin (1/0)</t>
  </si>
  <si>
    <t xml:space="preserve">Nike Air Max 90 – Size 10</t>
  </si>
  <si>
    <t xml:space="preserve">Delivered / Entregado</t>
  </si>
  <si>
    <t xml:space="preserve">Levi's 501 Vintage Jeans</t>
  </si>
  <si>
    <t xml:space="preserve">Pyrex Butterprint Bowl Set</t>
  </si>
  <si>
    <t xml:space="preserve">Handmade Ceramic Mug (Vintage)</t>
  </si>
  <si>
    <t xml:space="preserve">Patagonia Better Sweater – M</t>
  </si>
  <si>
    <t xml:space="preserve">LEGO Star Wars 75192 (sealed)</t>
  </si>
  <si>
    <t xml:space="preserve">Coach Tabby Shoulder Bag</t>
  </si>
  <si>
    <t xml:space="preserve">Mid-Century Teak Side Table</t>
  </si>
  <si>
    <t xml:space="preserve">Vintage Band Tee – Nirvana</t>
  </si>
  <si>
    <t xml:space="preserve">Kitchenaid Mixer Attachment</t>
  </si>
  <si>
    <t xml:space="preserve">Lululemon Align Leggings</t>
  </si>
  <si>
    <t xml:space="preserve">Nintendo Switch Games Lot (4)</t>
  </si>
  <si>
    <t xml:space="preserve">Dansk Kobenstyle Casserole</t>
  </si>
  <si>
    <t xml:space="preserve">Funko Pop Exclusive</t>
  </si>
  <si>
    <t xml:space="preserve">Carhartt Detroit Jacket</t>
  </si>
  <si>
    <t xml:space="preserve">Dooney &amp; Bourke Wallet</t>
  </si>
  <si>
    <t xml:space="preserve">Returned / Devuelto</t>
  </si>
  <si>
    <t xml:space="preserve">Vintage Polaroid SX-70</t>
  </si>
  <si>
    <t xml:space="preserve">Air Jordan 1 Mid – Size 9</t>
  </si>
  <si>
    <t xml:space="preserve">Shipped / Enviado</t>
  </si>
  <si>
    <t xml:space="preserve">Anthropologie Maxi Dress</t>
  </si>
  <si>
    <t xml:space="preserve">Sold / Vendido</t>
  </si>
  <si>
    <t xml:space="preserve">Fire-King Jadeite Mug</t>
  </si>
  <si>
    <t xml:space="preserve">Pending / Pendiente</t>
  </si>
  <si>
    <t xml:space="preserve">Sourcing List (Bonus)  /  Lista de Compras (Bono)</t>
  </si>
  <si>
    <t xml:space="preserve">Check the expected profit BEFORE you buy.  •  Calcula la ganancia esperada ANTES de comprar.</t>
  </si>
  <si>
    <t xml:space="preserve">Your Buying Rules  /  Tus Reglas de Compra</t>
  </si>
  <si>
    <t xml:space="preserve">Minimum margin / Margen mínimo</t>
  </si>
  <si>
    <t xml:space="preserve">An item gets ✔ BUY only if it meets BOTH rules. 'Max Buy Price' = the most you can pay and still hit your minimum margin.
Un artículo obtiene ✔ COMPRAR solo si cumple AMBAS reglas. 'Precio Máx. de Compra' = lo máximo que puedes pagar y aún lograr tu margen mínimo.</t>
  </si>
  <si>
    <t xml:space="preserve">Minimum profit per item / Ganancia mínima por artículo</t>
  </si>
  <si>
    <t xml:space="preserve">Item
Artículo</t>
  </si>
  <si>
    <t xml:space="preserve">Where Found
Dónde lo Encontré</t>
  </si>
  <si>
    <t xml:space="preserve">Target Platform
Plataforma</t>
  </si>
  <si>
    <t xml:space="preserve">Asking Price
Precio de Compra</t>
  </si>
  <si>
    <t xml:space="preserve">Est. Sale Price
Precio Est. Venta</t>
  </si>
  <si>
    <t xml:space="preserve">Fee %
% Comisión</t>
  </si>
  <si>
    <t xml:space="preserve">Est. Fee $
Comisión Est. $</t>
  </si>
  <si>
    <t xml:space="preserve">Est. Ship Out
Envío Est. Salida</t>
  </si>
  <si>
    <t xml:space="preserve">Est. Profit
Ganancia Est.</t>
  </si>
  <si>
    <t xml:space="preserve">Est. Margin
Margen Est.</t>
  </si>
  <si>
    <t xml:space="preserve">ROI %
Retorno %</t>
  </si>
  <si>
    <t xml:space="preserve">Max Buy Price
Precio Máx. Compra</t>
  </si>
  <si>
    <t xml:space="preserve">Decision
Decisión</t>
  </si>
  <si>
    <t xml:space="preserve">Notes
Notas</t>
  </si>
  <si>
    <t xml:space="preserve">Vintage Pendleton Wool Shirt</t>
  </si>
  <si>
    <t xml:space="preserve">Goodwill</t>
  </si>
  <si>
    <t xml:space="preserve">Check tags / Revisar etiquetas</t>
  </si>
  <si>
    <t xml:space="preserve">Le Creuset Dutch Oven 5.5qt</t>
  </si>
  <si>
    <t xml:space="preserve">Estate sale</t>
  </si>
  <si>
    <t xml:space="preserve">Local pickup / Recoger local</t>
  </si>
  <si>
    <t xml:space="preserve">Target Brand Graphic Tee</t>
  </si>
  <si>
    <t xml:space="preserve">Garage sale</t>
  </si>
  <si>
    <t xml:space="preserve">Vintage Pyrex Casserole</t>
  </si>
  <si>
    <t xml:space="preserve">Thrift store</t>
  </si>
  <si>
    <t xml:space="preserve">Bose QC45 Headphones</t>
  </si>
  <si>
    <t xml:space="preserve">FB Marketplace</t>
  </si>
  <si>
    <t xml:space="preserve">Test first / Probar primero</t>
  </si>
  <si>
    <t xml:space="preserve">Quick Start Guide  /  Guía Rápida</t>
  </si>
  <si>
    <t xml:space="preserve">Up and running in 5 minutes.  •  Listo en 5 minutos.</t>
  </si>
  <si>
    <t xml:space="preserve">ENGLISH</t>
  </si>
  <si>
    <t xml:space="preserve">ESPAÑOL</t>
  </si>
  <si>
    <t xml:space="preserve">Clear the example data. Go to Tracker, select cells B6:N25 and press Delete. Do the same on Sourcing List (B11:K15 and Q11:Q15). Never delete whole rows or the grey columns.</t>
  </si>
  <si>
    <t xml:space="preserve">Borra los datos de ejemplo. Ve a Tracker (Registro), selecciona B6:N25 y presiona Suprimir. Haz lo mismo en Sourcing List (B11:K15 y Q11:Q15). Nunca borres filas completas ni las columnas grises.</t>
  </si>
  <si>
    <t xml:space="preserve">Log each sale on the Tracker — one row per item. Type only in the light-teal columns: Product Name, Platform (dropdown), Sale Date, Purchase Cost, Shipping In, Sale Price, Platform Fee %, Shipping Out, Other Costs and Status (dropdown).</t>
  </si>
  <si>
    <t xml:space="preserve">Registra cada venta en Tracker — una fila por artículo. Escribe solo en las columnas verde claro: Nombre, Plataforma (lista), Fecha, Costo de Compra, Envío (Entrada), Precio de Venta, % Comisión, Envío (Salida), Otros Costos y Estado (lista).</t>
  </si>
  <si>
    <t xml:space="preserve">Enter the platform fee as a percent (e.g. 13.25%). See the fee reference table below. If you enter a flat fee instead, put it in 'Other Costs'.</t>
  </si>
  <si>
    <t xml:space="preserve">Escribe la comisión como porcentaje (ej. 13.25%). Consulta la tabla de comisiones abajo. Si pagas una tarifa fija, ponla en 'Otros Costos'.</t>
  </si>
  <si>
    <t xml:space="preserve">The grey columns calculate automatically: Platform Fee $ = Sale Price × Fee %;  Net Profit = Sale Price − Purchase Cost − Shipping In − Platform Fee $ − Shipping Out − Other Costs;  Margin % = Net Profit ÷ Sale Price.</t>
  </si>
  <si>
    <t xml:space="preserve">Las columnas grises se calculan solas: Comisión $ = Precio × % Comisión;  Ganancia Neta = Precio − Costo − Envío (Entrada) − Comisión $ − Envío (Salida) − Otros Costos;  Margen % = Ganancia Neta ÷ Precio.</t>
  </si>
  <si>
    <t xml:space="preserve">Watch the Margin Alert column. Any sale under 15% margin is flagged red '⚠ LOW MARGIN' so you can spot items that aren't worth your time.</t>
  </si>
  <si>
    <t xml:space="preserve">Revisa la columna Alerta de Margen. Toda venta con margen menor al 15% se marca en rojo '⚠ MARGEN BAJO' para detectar artículos que no valen la pena.</t>
  </si>
  <si>
    <t xml:space="preserve">If an item is returned, set Status to 'Returned / Devuelto'. It stays in your log (greyed out) but is excluded from every Dashboard number.</t>
  </si>
  <si>
    <t xml:space="preserve">Si un artículo se devuelve, cambia el Estado a 'Returned / Devuelto'. Se queda en tu registro (en gris) pero se excluye de todos los números del Panel.</t>
  </si>
  <si>
    <t xml:space="preserve">Open the Dashboard to see your KPIs, profit by platform, the monthly trend chart and your Top 5 sales. Everything updates instantly. Change the yellow Year cell to view another year.</t>
  </si>
  <si>
    <t xml:space="preserve">Abre el Dashboard (Panel) para ver tus indicadores, ganancia por plataforma, la gráfica mensual y tus Top 5 ventas. Todo se actualiza al instante. Cambia la celda amarilla del Año para ver otro año.</t>
  </si>
  <si>
    <t xml:space="preserve">BONUS — before buying inventory, use the Sourcing List. Set your minimum margin and minimum profit (yellow cells), enter the asking price and your estimated sale price, and get an instant ✔ BUY / ✖ PASS plus the Max Buy Price to negotiate with.</t>
  </si>
  <si>
    <t xml:space="preserve">BONO — antes de comprar mercancía, usa Sourcing List (Lista de Compras). Define tu margen y ganancia mínimos (celdas amarillas), escribe el precio de compra y el precio estimado de venta, y obtén al instante ✔ COMPRAR / ✖ NO COMPRAR y el Precio Máximo de Compra para negociar.</t>
  </si>
  <si>
    <t xml:space="preserve">Google Sheets: upload the file to Google Drive → Open with Google Sheets → File → Save as Google Sheets. All formulas, dropdowns and charts keep working.</t>
  </si>
  <si>
    <t xml:space="preserve">Google Sheets: sube el archivo a Google Drive → Abrir con Google Sheets → Archivo → Guardar como Hojas de cálculo de Google. Todas las fórmulas, listas y gráficas siguen funcionando.</t>
  </si>
  <si>
    <t xml:space="preserve">Tip: save a blank copy of this file before you start, and back up your working file monthly.</t>
  </si>
  <si>
    <t xml:space="preserve">Consejo: guarda una copia en blanco de este archivo antes de empezar y respalda tu archivo cada mes.</t>
  </si>
  <si>
    <t xml:space="preserve">Color Legend  /  Leyenda de Colores</t>
  </si>
  <si>
    <t xml:space="preserve">Light teal = type your data here</t>
  </si>
  <si>
    <t xml:space="preserve">Verde claro = escribe tus datos aquí</t>
  </si>
  <si>
    <t xml:space="preserve">Grey = automatic formula – don't type here</t>
  </si>
  <si>
    <t xml:space="preserve">Gris = fórmula automática – no escribas aquí</t>
  </si>
  <si>
    <t xml:space="preserve">Yellow = settings you can change (Year, buying rules)</t>
  </si>
  <si>
    <t xml:space="preserve">Amarillo = ajustes que puedes cambiar (Año, reglas de compra)</t>
  </si>
  <si>
    <t xml:space="preserve">Platform Fee Reference (approximate)  /  Referencia de Comisiones (aproximada)</t>
  </si>
  <si>
    <t xml:space="preserve">Platform – typical fee  /  Plataforma – comisión típica</t>
  </si>
  <si>
    <t xml:space="preserve">Notes  /  Notas</t>
  </si>
  <si>
    <t xml:space="preserve">eBay – about 13.25% (most categories)</t>
  </si>
  <si>
    <t xml:space="preserve">Plus ~$0.30–0.40 per order → add to Other Costs. / Más ~$0.30–0.40 por pedido → agrégalo a Otros Costos.</t>
  </si>
  <si>
    <t xml:space="preserve">Poshmark – 20% (sales $15+)</t>
  </si>
  <si>
    <t xml:space="preserve">Sales under $15: flat $2.95 → put 0% and $2.95 in Other Costs. / Ventas menores a $15: $2.95 fijo → 0% y $2.95 en Otros Costos.</t>
  </si>
  <si>
    <t xml:space="preserve">Etsy – about 9.5% (6.5% transaction + 3% payment)</t>
  </si>
  <si>
    <t xml:space="preserve">Plus $0.20 listing + $0.25 processing → Other Costs. / Más $0.20 de publicación + $0.25 de procesamiento → Otros Costos.</t>
  </si>
  <si>
    <t xml:space="preserve">Facebook Marketplace – 0% local / ~10% shipped</t>
  </si>
  <si>
    <t xml:space="preserve">Local cash pickup has no fee. / La venta local en efectivo no tiene comisión.</t>
  </si>
  <si>
    <t xml:space="preserve">Other (Mercari, Depop, Vinted, in-person…)</t>
  </si>
  <si>
    <t xml:space="preserve">Enter the rate you actually paid. / Escribe la comisión que realmente pagaste.</t>
  </si>
  <si>
    <t xml:space="preserve">Fees change often – always check each platform's current fee page. Rates above are for reference only (US, 2026). / Las comisiones cambian con frecuencia – revisa siempre la página oficial de cada plataforma. Tarifas solo de referencia (EE. UU., 2026).</t>
  </si>
  <si>
    <t xml:space="preserve">FAQ  /  Preguntas Frecuentes</t>
  </si>
  <si>
    <t xml:space="preserve">Q: How many sales can I log?  A: 500 rows are ready. Need more? Copy the last row down – formulas copy with it (also extend the Tracker ranges on the Dashboard).</t>
  </si>
  <si>
    <t xml:space="preserve">P: ¿Cuántas ventas puedo registrar?  R: Hay 500 filas listas. ¿Necesitas más? Copia la última fila hacia abajo – las fórmulas se copian (también amplía los rangos del Tracker en el Panel).</t>
  </si>
  <si>
    <t xml:space="preserve">Q: Why is Average Margin 'weighted'?  A: It's Total Profit ÷ Total Revenue, so a $500 sale counts more than a $5 sale – the most accurate picture of your business.</t>
  </si>
  <si>
    <t xml:space="preserve">P: ¿Por qué el Margen Promedio es 'ponderado'?  R: Es Ganancia Total ÷ Ingresos Totales, así una venta de $500 pesa más que una de $5 – la imagen más precisa de tu negocio.</t>
  </si>
  <si>
    <t xml:space="preserve">Q: A sale has no profit showing.  A: Profit appears once Product Name and Sale Price are filled in.</t>
  </si>
  <si>
    <t xml:space="preserve">P: Una venta no muestra ganancia.  R: La ganancia aparece cuando llenas el Nombre del Producto y el Precio de Venta.</t>
  </si>
  <si>
    <t xml:space="preserve">Phone, Tablet &amp; Computer  /  Celular, Tableta y Computadora</t>
  </si>
  <si>
    <t xml:space="preserve">💻 Computer (Windows / Mac): open in Microsoft Excel, or in Google Sheets from any browser. Everything works.</t>
  </si>
  <si>
    <t xml:space="preserve">💻 Computadora (Windows / Mac): ábrelo en Microsoft Excel o en Google Sheets desde cualquier navegador. Todo funciona.</t>
  </si>
  <si>
    <t xml:space="preserve">📱 iPhone, iPad &amp; Android — RECOMMENDED: the free Microsoft Excel app or the free Google Sheets app. Formulas, dropdowns, charts and alerts all work.</t>
  </si>
  <si>
    <t xml:space="preserve">📱 iPhone, iPad y Android — RECOMENDADO: la app gratuita Microsoft Excel o la app gratuita Google Sheets. Fórmulas, listas, gráficas y alertas funcionan.</t>
  </si>
  <si>
    <t xml:space="preserve">🍎 Apple Numbers: formulas, Dashboard, charts and alerts work, but Numbers removes dropdown lists when it opens Excel files (you'll see a message – this is normal). Type the Platform and Status exactly as in the list (e.g. Returned / Devuelto), or re-add a menu: select the column cells → Format → Cell → Data Format → Pop-Up Menu.</t>
  </si>
  <si>
    <t xml:space="preserve">🍎 Apple Numbers: las fórmulas, el Panel, las gráficas y las alertas funcionan, pero Numbers elimina las listas desplegables al abrir archivos de Excel (verás un aviso – es normal). Escribe la Plataforma y el Estado exactamente como en la lista (ej. Returned / Devuelto), o vuelve a crear el menú: selecciona las celdas de la columna → Formato → Celda → Formato de datos → Menú desplegable.</t>
  </si>
  <si>
    <t xml:space="preserve">Options for Platform: eBay · Facebook Marketplace · Etsy · Poshmark · Other.   Options for Status: Sold / Vendido · Shipped / Enviado · Delivered / Entregado · Pending / Pendiente · Returned / Devuelto</t>
  </si>
  <si>
    <t xml:space="preserve">Opciones de Plataforma: eBay · Facebook Marketplace · Etsy · Poshmark · Other.   Opciones de Estado: Sold / Vendido · Shipped / Enviado · Delivered / Entregado · Pending / Pendiente · Returned / Devuelto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</si>
</sst>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\$#,##0;[RED]&quot;-$&quot;#,##0;\-"/>
    <numFmt numFmtId="166" formatCode="0.0%;[RED]\-0.0%;\-"/>
    <numFmt numFmtId="167" formatCode="#,##0"/>
    <numFmt numFmtId="168" formatCode="\$#,##0&quot; in fees / en comisiones&quot;"/>
    <numFmt numFmtId="169" formatCode="\$#,##0.00&quot; avg / sale · prom / venta&quot;"/>
    <numFmt numFmtId="170" formatCode="0&quot; low-margin / margen bajo&quot;"/>
    <numFmt numFmtId="171" formatCode="General"/>
    <numFmt numFmtId="172" formatCode="\$#,##0.00;[RED]&quot;-$&quot;#,##0.00;\-"/>
    <numFmt numFmtId="173" formatCode="yyyy\-mm\-dd"/>
    <numFmt numFmtId="174" formatCode="\$#,##0"/>
    <numFmt numFmtId="175" formatCode="0.00%"/>
    <numFmt numFmtId="176" formatCode="0%"/>
    <numFmt numFmtId="177" formatCode="0%;[RED]\-0%;\-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4B8A6"/>
      <name val="Arial"/>
      <family val="0"/>
      <charset val="1"/>
    </font>
    <font>
      <b val="true"/>
      <sz val="48"/>
      <color rgb="FFFFFFFF"/>
      <name val="Arial"/>
      <family val="0"/>
      <charset val="1"/>
    </font>
    <font>
      <b val="true"/>
      <sz val="18"/>
      <color rgb="FFCCFBF1"/>
      <name val="Arial"/>
      <family val="0"/>
      <charset val="1"/>
    </font>
    <font>
      <i val="true"/>
      <sz val="14"/>
      <color rgb="FFC7D2FE"/>
      <name val="Arial"/>
      <family val="0"/>
      <charset val="1"/>
    </font>
    <font>
      <sz val="10"/>
      <color rgb="FF94A3B8"/>
      <name val="Arial"/>
      <family val="0"/>
      <charset val="1"/>
    </font>
    <font>
      <b val="true"/>
      <sz val="12"/>
      <color rgb="FF14B8A6"/>
      <name val="Arial"/>
      <family val="0"/>
      <charset val="1"/>
    </font>
    <font>
      <b val="true"/>
      <u val="single"/>
      <sz val="13"/>
      <color rgb="FFFFFFFF"/>
      <name val="Arial"/>
      <family val="0"/>
      <charset val="1"/>
    </font>
    <font>
      <sz val="9"/>
      <color rgb="FF94A3B8"/>
      <name val="Arial"/>
      <family val="0"/>
      <charset val="1"/>
    </font>
    <font>
      <b val="true"/>
      <u val="single"/>
      <sz val="11"/>
      <color rgb="FF14B8A6"/>
      <name val="Arial"/>
      <family val="0"/>
      <charset val="1"/>
    </font>
    <font>
      <sz val="8"/>
      <color rgb="FF64748B"/>
      <name val="Arial"/>
      <family val="0"/>
      <charset val="1"/>
    </font>
    <font>
      <b val="true"/>
      <sz val="9"/>
      <color rgb="FF14B8A6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10"/>
      <color rgb="FFC7D2FE"/>
      <name val="Arial"/>
      <family val="0"/>
      <charset val="1"/>
    </font>
    <font>
      <i val="true"/>
      <sz val="8"/>
      <color rgb="FFC7D2FE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sz val="7"/>
      <color rgb="FFFFFFFF"/>
      <name val="Arial"/>
      <family val="0"/>
      <charset val="1"/>
    </font>
    <font>
      <b val="true"/>
      <sz val="12"/>
      <color rgb="FF0B1F3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475569"/>
      <name val="Arial"/>
      <family val="0"/>
      <charset val="1"/>
    </font>
    <font>
      <b val="true"/>
      <sz val="10"/>
      <color rgb="FF0B1F3A"/>
      <name val="Arial"/>
      <family val="0"/>
      <charset val="1"/>
    </font>
    <font>
      <b val="true"/>
      <sz val="11"/>
      <color rgb="FF1E3A8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5803D"/>
      <name val="Arial"/>
      <family val="0"/>
      <charset val="1"/>
    </font>
    <font>
      <sz val="10"/>
      <name val="Arial"/>
      <family val="2"/>
    </font>
    <font>
      <b val="true"/>
      <sz val="12"/>
      <color rgb="FF0B1F3A"/>
      <name val="Arial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8"/>
      <color rgb="FF94A3B8"/>
      <name val="Arial"/>
      <family val="0"/>
      <charset val="1"/>
    </font>
    <font>
      <sz val="10"/>
      <color rgb="FF1E3A8A"/>
      <name val="Arial"/>
      <family val="0"/>
      <charset val="1"/>
    </font>
    <font>
      <i val="true"/>
      <sz val="9"/>
      <color rgb="FF475569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B1F3A"/>
        <bgColor rgb="FF16325C"/>
      </patternFill>
    </fill>
    <fill>
      <patternFill patternType="solid">
        <fgColor rgb="FF14B8A6"/>
        <bgColor rgb="FF00CCFF"/>
      </patternFill>
    </fill>
    <fill>
      <patternFill patternType="solid">
        <fgColor rgb="FF16325C"/>
        <bgColor rgb="FF1E3A8A"/>
      </patternFill>
    </fill>
    <fill>
      <patternFill patternType="solid">
        <fgColor rgb="FFFFFFFF"/>
        <bgColor rgb="FFF0FDFA"/>
      </patternFill>
    </fill>
    <fill>
      <patternFill patternType="solid">
        <fgColor rgb="FFCCFBF1"/>
        <bgColor rgb="FFDCFCE7"/>
      </patternFill>
    </fill>
    <fill>
      <patternFill patternType="solid">
        <fgColor rgb="FFFEF9C3"/>
        <bgColor rgb="FFF1F5F9"/>
      </patternFill>
    </fill>
    <fill>
      <patternFill patternType="solid">
        <fgColor rgb="FF0F766E"/>
        <bgColor rgb="FF008080"/>
      </patternFill>
    </fill>
    <fill>
      <patternFill patternType="solid">
        <fgColor rgb="FFF0FDFA"/>
        <bgColor rgb="FFF1F5F9"/>
      </patternFill>
    </fill>
    <fill>
      <patternFill patternType="solid">
        <fgColor rgb="FFF1F5F9"/>
        <bgColor rgb="FFF0FDFA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4B8A6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3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3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3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3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3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3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1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1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6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3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8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3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34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4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34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3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3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6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26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3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16325C"/>
          <bgColor rgb="FF000000"/>
        </patternFill>
      </fill>
    </dxf>
    <dxf>
      <fill>
        <patternFill patternType="solid">
          <fgColor rgb="FFF0FDFA"/>
          <bgColor rgb="FF000000"/>
        </patternFill>
      </fill>
    </dxf>
    <dxf>
      <fill>
        <patternFill patternType="solid">
          <fgColor rgb="FF1E3A8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1F5F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DC2626"/>
          <bgColor rgb="FF000000"/>
        </patternFill>
      </fill>
    </dxf>
    <dxf>
      <fill>
        <patternFill patternType="solid">
          <fgColor rgb="FF94A3B8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15803D"/>
          <bgColor rgb="FF000000"/>
        </patternFill>
      </fill>
    </dxf>
    <dxf>
      <font>
        <name val="Arial"/>
        <charset val="1"/>
        <family val="0"/>
        <b val="1"/>
        <color rgb="FFDC2626"/>
      </font>
      <fill>
        <patternFill>
          <bgColor rgb="FFFEE2E2"/>
        </patternFill>
      </fill>
    </dxf>
    <dxf>
      <font>
        <name val="Arial"/>
        <charset val="1"/>
        <family val="0"/>
        <color rgb="FF15803D"/>
      </font>
      <fill>
        <patternFill>
          <bgColor rgb="FFDCFCE7"/>
        </patternFill>
      </fill>
    </dxf>
    <dxf>
      <font>
        <name val="Arial"/>
        <charset val="1"/>
        <family val="0"/>
        <i val="1"/>
        <color rgb="FF94A3B8"/>
      </font>
    </dxf>
    <dxf>
      <font>
        <name val="Arial"/>
        <charset val="1"/>
        <family val="0"/>
        <b val="1"/>
        <color rgb="FFDC2626"/>
      </font>
    </dxf>
    <dxf>
      <font>
        <name val="Arial"/>
        <charset val="1"/>
        <family val="0"/>
        <b val="1"/>
        <color rgb="FF15803D"/>
      </font>
      <fill>
        <patternFill>
          <bgColor rgb="FFDCFCE7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F766E"/>
      <rgbColor rgb="FFCBD5E1"/>
      <rgbColor rgb="FF878787"/>
      <rgbColor rgb="FF9999FF"/>
      <rgbColor rgb="FF993366"/>
      <rgbColor rgb="FFFEF9C3"/>
      <rgbColor rgb="FFCCFBF1"/>
      <rgbColor rgb="FF660066"/>
      <rgbColor rgb="FFFF8080"/>
      <rgbColor rgb="FF0066CC"/>
      <rgbColor rgb="FFC7D2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FCE7"/>
      <rgbColor rgb="FFF0FDFA"/>
      <rgbColor rgb="FFF1F5F9"/>
      <rgbColor rgb="FFD9D9D9"/>
      <rgbColor rgb="FFFF99CC"/>
      <rgbColor rgb="FFCC99FF"/>
      <rgbColor rgb="FFFEE2E2"/>
      <rgbColor rgb="FF3366FF"/>
      <rgbColor rgb="FF14B8A6"/>
      <rgbColor rgb="FF99CC00"/>
      <rgbColor rgb="FFFFCC00"/>
      <rgbColor rgb="FFFF9900"/>
      <rgbColor rgb="FFFF6600"/>
      <rgbColor rgb="FF64748B"/>
      <rgbColor rgb="FF94A3B8"/>
      <rgbColor rgb="FF16325C"/>
      <rgbColor rgb="FF339966"/>
      <rgbColor rgb="FF0B1F3A"/>
      <rgbColor rgb="FF333300"/>
      <rgbColor rgb="FF993300"/>
      <rgbColor rgb="FF993366"/>
      <rgbColor rgb="FF1E3A8A"/>
      <rgbColor rgb="FF47556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b1f3a"/>
                </a:solidFill>
                <a:latin typeface="Arial"/>
              </a:defRPr>
            </a:pPr>
            <a:r>
              <a:rPr b="1" sz="1200" spc="-1" strike="noStrike">
                <a:solidFill>
                  <a:srgbClr val="0b1f3a"/>
                </a:solidFill>
                <a:latin typeface="Arial"/>
              </a:rPr>
              <a:t>Profit by Platform / Ganancia por Plataforma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Dashboard!F12</c:f>
              <c:strCache>
                <c:ptCount val="1"/>
                <c:pt idx="0">
                  <c:v>Profit
Ganancia</c:v>
                </c:pt>
              </c:strCache>
            </c:strRef>
          </c:tx>
          <c:spPr>
            <a:solidFill>
              <a:srgbClr val="14b8a6"/>
            </a:solidFill>
            <a:ln w="9360">
              <a:solidFill>
                <a:srgbClr val="0f766e"/>
              </a:solidFill>
              <a:round/>
            </a:ln>
          </c:spPr>
          <c:invertIfNegative val="0"/>
          <c:dLbls>
            <c:numFmt formatCode="\$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Dashboard!$B$13:$B$17</c:f>
              <c:strCache>
                <c:ptCount val="5"/>
                <c:pt idx="0">
                  <c:v>eBay</c:v>
                </c:pt>
                <c:pt idx="1">
                  <c:v>Facebook Marketplace</c:v>
                </c:pt>
                <c:pt idx="2">
                  <c:v>Etsy</c:v>
                </c:pt>
                <c:pt idx="3">
                  <c:v>Poshmark</c:v>
                </c:pt>
                <c:pt idx="4">
                  <c:v>Other</c:v>
                </c:pt>
              </c:strCache>
            </c:strRef>
          </c:cat>
          <c:val>
            <c:numRef>
              <c:f>Dashboard!$F$13:$F$17</c:f>
              <c:numCache>
                <c:formatCode>\$#,##0.00;[RED]"-$"#,##0.00;\-</c:formatCode>
                <c:ptCount val="5"/>
                <c:pt idx="0">
                  <c:v>486.933825</c:v>
                </c:pt>
                <c:pt idx="1">
                  <c:v>162.5</c:v>
                </c:pt>
                <c:pt idx="2">
                  <c:v>124.44</c:v>
                </c:pt>
                <c:pt idx="3">
                  <c:v>189.2</c:v>
                </c:pt>
                <c:pt idx="4">
                  <c:v>1.3</c:v>
                </c:pt>
              </c:numCache>
            </c:numRef>
          </c:val>
        </c:ser>
        <c:gapWidth val="150"/>
        <c:overlap val="0"/>
        <c:axId val="50322898"/>
        <c:axId val="52129572"/>
      </c:barChart>
      <c:catAx>
        <c:axId val="503228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129572"/>
        <c:crosses val="autoZero"/>
        <c:auto val="1"/>
        <c:lblAlgn val="ctr"/>
        <c:lblOffset val="100"/>
        <c:noMultiLvlLbl val="0"/>
      </c:catAx>
      <c:valAx>
        <c:axId val="5212957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Profit / Ganancia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3228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b1f3a"/>
                </a:solidFill>
                <a:latin typeface="Arial"/>
              </a:defRPr>
            </a:pPr>
            <a:r>
              <a:rPr b="1" sz="1200" spc="-1" strike="noStrike">
                <a:solidFill>
                  <a:srgbClr val="0b1f3a"/>
                </a:solidFill>
                <a:latin typeface="Arial"/>
              </a:rPr>
              <a:t>Monthly Profit &amp; Revenue / Ganancia e Ingresos Mensuales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Dashboard!F23</c:f>
              <c:strCache>
                <c:ptCount val="1"/>
                <c:pt idx="0">
                  <c:v>Profit
Ganancia</c:v>
                </c:pt>
              </c:strCache>
            </c:strRef>
          </c:tx>
          <c:spPr>
            <a:solidFill>
              <a:srgbClr val="14b8a6"/>
            </a:solidFill>
            <a:ln w="32040">
              <a:solidFill>
                <a:srgbClr val="14b8a6"/>
              </a:solidFill>
              <a:round/>
            </a:ln>
          </c:spPr>
          <c:marker>
            <c:symbol val="circle"/>
            <c:size val="7"/>
            <c:spPr>
              <a:solidFill>
                <a:srgbClr val="14b8a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Dashboard!$B$24:$B$35</c:f>
              <c:strCache>
                <c:ptCount val="12"/>
                <c:pt idx="0">
                  <c:v>Jan / Ene</c:v>
                </c:pt>
                <c:pt idx="1">
                  <c:v>Feb / Feb</c:v>
                </c:pt>
                <c:pt idx="2">
                  <c:v>Mar / Mar</c:v>
                </c:pt>
                <c:pt idx="3">
                  <c:v>Apr / Abr</c:v>
                </c:pt>
                <c:pt idx="4">
                  <c:v>May / May</c:v>
                </c:pt>
                <c:pt idx="5">
                  <c:v>Jun / Jun</c:v>
                </c:pt>
                <c:pt idx="6">
                  <c:v>Jul / Jul</c:v>
                </c:pt>
                <c:pt idx="7">
                  <c:v>Aug / Ago</c:v>
                </c:pt>
                <c:pt idx="8">
                  <c:v>Sep / Sep</c:v>
                </c:pt>
                <c:pt idx="9">
                  <c:v>Oct / Oct</c:v>
                </c:pt>
                <c:pt idx="10">
                  <c:v>Nov / Nov</c:v>
                </c:pt>
                <c:pt idx="11">
                  <c:v>Dec / Dic</c:v>
                </c:pt>
              </c:strCache>
            </c:strRef>
          </c:cat>
          <c:val>
            <c:numRef>
              <c:f>Dashboard!$F$24:$F$35</c:f>
              <c:numCache>
                <c:formatCode>\$#,##0.00;[RED]"-$"#,##0.00;\-</c:formatCode>
                <c:ptCount val="12"/>
                <c:pt idx="0">
                  <c:v>73.616325</c:v>
                </c:pt>
                <c:pt idx="1">
                  <c:v>81.31</c:v>
                </c:pt>
                <c:pt idx="2">
                  <c:v>307.1325</c:v>
                </c:pt>
                <c:pt idx="3">
                  <c:v>140.275</c:v>
                </c:pt>
                <c:pt idx="4">
                  <c:v>32.165</c:v>
                </c:pt>
                <c:pt idx="5">
                  <c:v>81.175</c:v>
                </c:pt>
                <c:pt idx="6">
                  <c:v>85.4125</c:v>
                </c:pt>
                <c:pt idx="7">
                  <c:v>125.175</c:v>
                </c:pt>
                <c:pt idx="8">
                  <c:v>38.1125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Dashboard!E23</c:f>
              <c:strCache>
                <c:ptCount val="1"/>
                <c:pt idx="0">
                  <c:v>Revenue
Ingresos</c:v>
                </c:pt>
              </c:strCache>
            </c:strRef>
          </c:tx>
          <c:spPr>
            <a:solidFill>
              <a:srgbClr val="16325c"/>
            </a:solidFill>
            <a:ln w="19080">
              <a:solidFill>
                <a:srgbClr val="16325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Dashboard!$B$24:$B$35</c:f>
              <c:strCache>
                <c:ptCount val="12"/>
                <c:pt idx="0">
                  <c:v>Jan / Ene</c:v>
                </c:pt>
                <c:pt idx="1">
                  <c:v>Feb / Feb</c:v>
                </c:pt>
                <c:pt idx="2">
                  <c:v>Mar / Mar</c:v>
                </c:pt>
                <c:pt idx="3">
                  <c:v>Apr / Abr</c:v>
                </c:pt>
                <c:pt idx="4">
                  <c:v>May / May</c:v>
                </c:pt>
                <c:pt idx="5">
                  <c:v>Jun / Jun</c:v>
                </c:pt>
                <c:pt idx="6">
                  <c:v>Jul / Jul</c:v>
                </c:pt>
                <c:pt idx="7">
                  <c:v>Aug / Ago</c:v>
                </c:pt>
                <c:pt idx="8">
                  <c:v>Sep / Sep</c:v>
                </c:pt>
                <c:pt idx="9">
                  <c:v>Oct / Oct</c:v>
                </c:pt>
                <c:pt idx="10">
                  <c:v>Nov / Nov</c:v>
                </c:pt>
                <c:pt idx="11">
                  <c:v>Dec / Dic</c:v>
                </c:pt>
              </c:strCache>
            </c:strRef>
          </c:cat>
          <c:val>
            <c:numRef>
              <c:f>Dashboard!$E$24:$E$35</c:f>
              <c:numCache>
                <c:formatCode>\$#,##0.00;[RED]"-$"#,##0.00;\-</c:formatCode>
                <c:ptCount val="12"/>
                <c:pt idx="0">
                  <c:v>134.99</c:v>
                </c:pt>
                <c:pt idx="1">
                  <c:v>132</c:v>
                </c:pt>
                <c:pt idx="2">
                  <c:v>979</c:v>
                </c:pt>
                <c:pt idx="3">
                  <c:v>205</c:v>
                </c:pt>
                <c:pt idx="4">
                  <c:v>86</c:v>
                </c:pt>
                <c:pt idx="5">
                  <c:v>195</c:v>
                </c:pt>
                <c:pt idx="6">
                  <c:v>157</c:v>
                </c:pt>
                <c:pt idx="7">
                  <c:v>210</c:v>
                </c:pt>
                <c:pt idx="8">
                  <c:v>161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4266035"/>
        <c:axId val="80117838"/>
      </c:lineChart>
      <c:catAx>
        <c:axId val="742660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117838"/>
        <c:crosses val="autoZero"/>
        <c:auto val="1"/>
        <c:lblAlgn val="ctr"/>
        <c:lblOffset val="100"/>
        <c:noMultiLvlLbl val="0"/>
      </c:catAx>
      <c:valAx>
        <c:axId val="801178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Profit / Ganancia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26603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10</xdr:row>
      <xdr:rowOff>0</xdr:rowOff>
    </xdr:from>
    <xdr:to>
      <xdr:col>16</xdr:col>
      <xdr:colOff>154800</xdr:colOff>
      <xdr:row>20</xdr:row>
      <xdr:rowOff>28080</xdr:rowOff>
    </xdr:to>
    <xdr:graphicFrame>
      <xdr:nvGraphicFramePr>
        <xdr:cNvPr id="0" name="Chart 1"/>
        <xdr:cNvGraphicFramePr/>
      </xdr:nvGraphicFramePr>
      <xdr:xfrm>
        <a:off x="8756640" y="2438280"/>
        <a:ext cx="5939640" cy="212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21</xdr:row>
      <xdr:rowOff>0</xdr:rowOff>
    </xdr:from>
    <xdr:to>
      <xdr:col>16</xdr:col>
      <xdr:colOff>154800</xdr:colOff>
      <xdr:row>35</xdr:row>
      <xdr:rowOff>21960</xdr:rowOff>
    </xdr:to>
    <xdr:graphicFrame>
      <xdr:nvGraphicFramePr>
        <xdr:cNvPr id="1" name="Chart 2"/>
        <xdr:cNvGraphicFramePr/>
      </xdr:nvGraphicFramePr>
      <xdr:xfrm>
        <a:off x="8756640" y="4724280"/>
        <a:ext cx="59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ProfitTrack_Reseller_Profit_Tracker.xlsx" TargetMode="External"/><Relationship Id="rId2" Type="http://schemas.openxmlformats.org/officeDocument/2006/relationships/hyperlink" Target="ProfitTrack_Reseller_Profit_Tracker.xlsx" TargetMode="External"/><Relationship Id="rId3" Type="http://schemas.openxmlformats.org/officeDocument/2006/relationships/hyperlink" Target="ProfitTrack_Reseller_Profit_Tracker.xlsx" TargetMode="External"/><Relationship Id="rId4" Type="http://schemas.openxmlformats.org/officeDocument/2006/relationships/hyperlink" Target="ProfitTrack_Reseller_Profit_Tracker.xlsx" TargetMode="External"/><Relationship Id="rId5" Type="http://schemas.openxmlformats.org/officeDocument/2006/relationships/hyperlink" Target="ProfitTrack_Reseller_Profit_Tracker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3A"/>
    <pageSetUpPr fitToPage="true"/>
  </sheetPr>
  <dimension ref="A1:L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2" min="1" style="0" width="11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15" hidden="false" customHeight="true" outlineLevel="0" collapsed="false">
      <c r="A4" s="1"/>
      <c r="B4" s="2" t="s">
        <v>0</v>
      </c>
      <c r="C4" s="2"/>
      <c r="D4" s="2"/>
      <c r="E4" s="2"/>
      <c r="F4" s="2"/>
      <c r="G4" s="2"/>
      <c r="H4" s="2"/>
      <c r="I4" s="2"/>
      <c r="J4" s="2"/>
      <c r="K4" s="2"/>
      <c r="L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customFormat="false" ht="21.75" hidden="false" customHeight="true" outlineLevel="0" collapsed="false">
      <c r="A6" s="1"/>
      <c r="B6" s="3" t="s">
        <v>1</v>
      </c>
      <c r="C6" s="3"/>
      <c r="D6" s="3"/>
      <c r="E6" s="3"/>
      <c r="F6" s="3"/>
      <c r="G6" s="3"/>
      <c r="H6" s="3"/>
      <c r="I6" s="3"/>
      <c r="J6" s="3"/>
      <c r="K6" s="3"/>
      <c r="L6" s="1"/>
    </row>
    <row r="7" customFormat="false" ht="21.75" hidden="false" customHeight="true" outlineLevel="0" collapsed="false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1"/>
    </row>
    <row r="8" customFormat="false" ht="21.75" hidden="false" customHeight="true" outlineLevel="0" collapsed="false">
      <c r="A8" s="1"/>
      <c r="B8" s="3"/>
      <c r="C8" s="3"/>
      <c r="D8" s="3"/>
      <c r="E8" s="3"/>
      <c r="F8" s="3"/>
      <c r="G8" s="3"/>
      <c r="H8" s="3"/>
      <c r="I8" s="3"/>
      <c r="J8" s="3"/>
      <c r="K8" s="3"/>
      <c r="L8" s="1"/>
    </row>
    <row r="9" customFormat="false" ht="27.75" hidden="false" customHeight="true" outlineLevel="0" collapsed="false">
      <c r="A9" s="1"/>
      <c r="B9" s="4" t="s">
        <v>2</v>
      </c>
      <c r="C9" s="4"/>
      <c r="D9" s="4"/>
      <c r="E9" s="4"/>
      <c r="F9" s="4"/>
      <c r="G9" s="4"/>
      <c r="H9" s="4"/>
      <c r="I9" s="4"/>
      <c r="J9" s="4"/>
      <c r="K9" s="4"/>
      <c r="L9" s="1"/>
    </row>
    <row r="10" customFormat="false" ht="21.75" hidden="false" customHeight="true" outlineLevel="0" collapsed="false">
      <c r="A10" s="1"/>
      <c r="B10" s="5" t="s">
        <v>3</v>
      </c>
      <c r="C10" s="5"/>
      <c r="D10" s="5"/>
      <c r="E10" s="5"/>
      <c r="F10" s="5"/>
      <c r="G10" s="5"/>
      <c r="H10" s="5"/>
      <c r="I10" s="5"/>
      <c r="J10" s="5"/>
      <c r="K10" s="5"/>
      <c r="L10" s="1"/>
    </row>
    <row r="11" customFormat="false" ht="15" hidden="false" customHeight="true" outlineLevel="0" collapsed="false">
      <c r="A11" s="1"/>
      <c r="B11" s="6" t="s">
        <v>4</v>
      </c>
      <c r="C11" s="6"/>
      <c r="D11" s="6"/>
      <c r="E11" s="6"/>
      <c r="F11" s="6"/>
      <c r="G11" s="6"/>
      <c r="H11" s="6"/>
      <c r="I11" s="6"/>
      <c r="J11" s="6"/>
      <c r="K11" s="6"/>
      <c r="L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customFormat="false" ht="4.5" hidden="false" customHeight="tru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customFormat="false" ht="15" hidden="false" customHeight="true" outlineLevel="0" collapsed="false">
      <c r="A15" s="1"/>
      <c r="B15" s="8" t="s">
        <v>5</v>
      </c>
      <c r="C15" s="8"/>
      <c r="D15" s="8"/>
      <c r="E15" s="8"/>
      <c r="F15" s="8"/>
      <c r="G15" s="8"/>
      <c r="H15" s="8"/>
      <c r="I15" s="8"/>
      <c r="J15" s="8"/>
      <c r="K15" s="8"/>
      <c r="L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customFormat="false" ht="21.75" hidden="false" customHeight="true" outlineLevel="0" collapsed="false">
      <c r="A17" s="1"/>
      <c r="B17" s="1"/>
      <c r="C17" s="9" t="s">
        <v>6</v>
      </c>
      <c r="D17" s="9"/>
      <c r="E17" s="9"/>
      <c r="F17" s="9"/>
      <c r="G17" s="9"/>
      <c r="H17" s="9"/>
      <c r="I17" s="9"/>
      <c r="J17" s="9"/>
      <c r="K17" s="1"/>
      <c r="L17" s="1"/>
    </row>
    <row r="18" customFormat="false" ht="25.5" hidden="false" customHeight="true" outlineLevel="0" collapsed="false">
      <c r="A18" s="1"/>
      <c r="B18" s="1"/>
      <c r="C18" s="10" t="s">
        <v>7</v>
      </c>
      <c r="D18" s="10"/>
      <c r="E18" s="10"/>
      <c r="F18" s="10"/>
      <c r="G18" s="10"/>
      <c r="H18" s="10"/>
      <c r="I18" s="10"/>
      <c r="J18" s="10"/>
      <c r="K18" s="1"/>
      <c r="L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customFormat="false" ht="21.75" hidden="false" customHeight="true" outlineLevel="0" collapsed="false">
      <c r="A20" s="1"/>
      <c r="B20" s="1"/>
      <c r="C20" s="9" t="s">
        <v>8</v>
      </c>
      <c r="D20" s="9"/>
      <c r="E20" s="9"/>
      <c r="F20" s="9"/>
      <c r="G20" s="9"/>
      <c r="H20" s="9"/>
      <c r="I20" s="9"/>
      <c r="J20" s="9"/>
      <c r="K20" s="1"/>
      <c r="L20" s="1"/>
    </row>
    <row r="21" customFormat="false" ht="25.5" hidden="false" customHeight="true" outlineLevel="0" collapsed="false">
      <c r="A21" s="1"/>
      <c r="B21" s="1"/>
      <c r="C21" s="10" t="s">
        <v>9</v>
      </c>
      <c r="D21" s="10"/>
      <c r="E21" s="10"/>
      <c r="F21" s="10"/>
      <c r="G21" s="10"/>
      <c r="H21" s="10"/>
      <c r="I21" s="10"/>
      <c r="J21" s="10"/>
      <c r="K21" s="1"/>
      <c r="L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customFormat="false" ht="21.75" hidden="false" customHeight="true" outlineLevel="0" collapsed="false">
      <c r="A23" s="1"/>
      <c r="B23" s="1"/>
      <c r="C23" s="9" t="s">
        <v>10</v>
      </c>
      <c r="D23" s="9"/>
      <c r="E23" s="9"/>
      <c r="F23" s="9"/>
      <c r="G23" s="9"/>
      <c r="H23" s="9"/>
      <c r="I23" s="9"/>
      <c r="J23" s="9"/>
      <c r="K23" s="1"/>
      <c r="L23" s="1"/>
    </row>
    <row r="24" customFormat="false" ht="25.5" hidden="false" customHeight="true" outlineLevel="0" collapsed="false">
      <c r="A24" s="1"/>
      <c r="B24" s="1"/>
      <c r="C24" s="10" t="s">
        <v>11</v>
      </c>
      <c r="D24" s="10"/>
      <c r="E24" s="10"/>
      <c r="F24" s="10"/>
      <c r="G24" s="10"/>
      <c r="H24" s="10"/>
      <c r="I24" s="10"/>
      <c r="J24" s="10"/>
      <c r="K24" s="1"/>
      <c r="L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customFormat="false" ht="21.75" hidden="false" customHeight="true" outlineLevel="0" collapsed="false">
      <c r="A26" s="1"/>
      <c r="B26" s="1"/>
      <c r="C26" s="9" t="s">
        <v>12</v>
      </c>
      <c r="D26" s="9"/>
      <c r="E26" s="9"/>
      <c r="F26" s="9"/>
      <c r="G26" s="9"/>
      <c r="H26" s="9"/>
      <c r="I26" s="9"/>
      <c r="J26" s="9"/>
      <c r="K26" s="1"/>
      <c r="L26" s="1"/>
    </row>
    <row r="27" customFormat="false" ht="25.5" hidden="false" customHeight="true" outlineLevel="0" collapsed="false">
      <c r="A27" s="1"/>
      <c r="B27" s="1"/>
      <c r="C27" s="10" t="s">
        <v>13</v>
      </c>
      <c r="D27" s="10"/>
      <c r="E27" s="10"/>
      <c r="F27" s="10"/>
      <c r="G27" s="10"/>
      <c r="H27" s="10"/>
      <c r="I27" s="10"/>
      <c r="J27" s="10"/>
      <c r="K27" s="1"/>
      <c r="L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customFormat="false" ht="15" hidden="false" customHeight="true" outlineLevel="0" collapsed="false">
      <c r="A31" s="1"/>
      <c r="B31" s="11" t="s">
        <v>14</v>
      </c>
      <c r="C31" s="11"/>
      <c r="D31" s="11"/>
      <c r="E31" s="11"/>
      <c r="F31" s="11"/>
      <c r="G31" s="11"/>
      <c r="H31" s="11"/>
      <c r="I31" s="11"/>
      <c r="J31" s="11"/>
      <c r="K31" s="11"/>
      <c r="L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customFormat="false" ht="15" hidden="false" customHeight="true" outlineLevel="0" collapsed="false">
      <c r="A33" s="1"/>
      <c r="B33" s="12" t="s">
        <v>15</v>
      </c>
      <c r="C33" s="12"/>
      <c r="D33" s="12"/>
      <c r="E33" s="12"/>
      <c r="F33" s="12"/>
      <c r="G33" s="12"/>
      <c r="H33" s="12"/>
      <c r="I33" s="12"/>
      <c r="J33" s="12"/>
      <c r="K33" s="12"/>
      <c r="L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customFormat="false" ht="15" hidden="false" customHeight="true" outlineLevel="0" collapsed="false">
      <c r="A36" s="1"/>
      <c r="B36" s="13" t="s">
        <v>16</v>
      </c>
      <c r="C36" s="13"/>
      <c r="D36" s="13"/>
      <c r="E36" s="13"/>
      <c r="F36" s="13"/>
      <c r="G36" s="13"/>
      <c r="H36" s="13"/>
      <c r="I36" s="13"/>
      <c r="J36" s="13"/>
      <c r="K36" s="13"/>
      <c r="L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</sheetData>
  <mergeCells count="17">
    <mergeCell ref="B4:K4"/>
    <mergeCell ref="B6:K8"/>
    <mergeCell ref="B9:K9"/>
    <mergeCell ref="B10:K10"/>
    <mergeCell ref="B11:K11"/>
    <mergeCell ref="B15:K15"/>
    <mergeCell ref="C17:J17"/>
    <mergeCell ref="C18:J18"/>
    <mergeCell ref="C20:J20"/>
    <mergeCell ref="C21:J21"/>
    <mergeCell ref="C23:J23"/>
    <mergeCell ref="C24:J24"/>
    <mergeCell ref="C26:J26"/>
    <mergeCell ref="C27:J27"/>
    <mergeCell ref="B31:K31"/>
    <mergeCell ref="B33:K33"/>
    <mergeCell ref="B36:K36"/>
  </mergeCells>
  <hyperlinks>
    <hyperlink ref="C17" r:id="rId1" location="'Dashboard'!A1" display="📊  Dashboard / Panel"/>
    <hyperlink ref="C20" r:id="rId2" location="'Tracker'!A1" display="🧾  Tracker / Registro"/>
    <hyperlink ref="C23" r:id="rId3" location="'Sourcing%20List'!A1" display="🔍  Sourcing List / Lista de Compras (BONUS)"/>
    <hyperlink ref="C26" r:id="rId4" location="'Quick%20Start%20Guide'!A1" display="🚀  Quick Start Guide / Guía Rápida"/>
    <hyperlink ref="B33" r:id="rId5" location="'Quick%20Start%20Guide'!A1" display="Start here → Quick Start Guide   |   Empieza aquí → Guía Rápid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B8A6"/>
    <pageSetUpPr fitToPage="true"/>
  </sheetPr>
  <dimension ref="A1:N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3"/>
    <col collapsed="false" customWidth="true" hidden="false" outlineLevel="0" max="14" min="14" style="0" width="12"/>
  </cols>
  <sheetData>
    <row r="1" customFormat="false" ht="18" hidden="false" customHeight="true" outlineLevel="0" collapsed="false">
      <c r="A1" s="1"/>
      <c r="B1" s="14" t="s">
        <v>1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customFormat="false" ht="30" hidden="false" customHeight="true" outlineLevel="0" collapsed="false">
      <c r="A2" s="1"/>
      <c r="B2" s="15" t="s">
        <v>17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customFormat="false" ht="19.5" hidden="false" customHeight="true" outlineLevel="0" collapsed="false">
      <c r="A3" s="1"/>
      <c r="B3" s="16" t="s">
        <v>18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customFormat="false" ht="3.75" hidden="false" customHeight="true" outlineLevel="0" collapsed="false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6" customFormat="false" ht="19.5" hidden="false" customHeight="true" outlineLevel="0" collapsed="false">
      <c r="B6" s="17" t="s">
        <v>19</v>
      </c>
      <c r="C6" s="17"/>
      <c r="E6" s="17" t="s">
        <v>20</v>
      </c>
      <c r="F6" s="17"/>
      <c r="H6" s="17" t="s">
        <v>21</v>
      </c>
      <c r="I6" s="17"/>
      <c r="K6" s="17" t="s">
        <v>22</v>
      </c>
      <c r="L6" s="17"/>
    </row>
    <row r="7" customFormat="false" ht="15.75" hidden="false" customHeight="true" outlineLevel="0" collapsed="false">
      <c r="B7" s="18" t="s">
        <v>23</v>
      </c>
      <c r="C7" s="18"/>
      <c r="E7" s="18" t="s">
        <v>24</v>
      </c>
      <c r="F7" s="18"/>
      <c r="H7" s="18" t="s">
        <v>25</v>
      </c>
      <c r="I7" s="18"/>
      <c r="K7" s="18" t="s">
        <v>26</v>
      </c>
      <c r="L7" s="18"/>
    </row>
    <row r="8" customFormat="false" ht="37.5" hidden="false" customHeight="true" outlineLevel="0" collapsed="false">
      <c r="B8" s="19" t="n">
        <f aca="false">SUMIFS(Tracker!$G$6:$G$505,Tracker!$Q$6:$Q$505,1)</f>
        <v>2259.99</v>
      </c>
      <c r="C8" s="19"/>
      <c r="E8" s="19" t="n">
        <f aca="false">SUMIFS(Tracker!$L$6:$L$505,Tracker!$Q$6:$Q$505,1)</f>
        <v>964.373825</v>
      </c>
      <c r="F8" s="19"/>
      <c r="H8" s="20" t="n">
        <f aca="false">IF(B8=0,0,E8/B8)</f>
        <v>0.426715969982168</v>
      </c>
      <c r="I8" s="20"/>
      <c r="K8" s="21" t="n">
        <f aca="false">SUM(Tracker!$Q$6:$Q$505)</f>
        <v>19</v>
      </c>
      <c r="L8" s="21"/>
    </row>
    <row r="9" customFormat="false" ht="18" hidden="false" customHeight="true" outlineLevel="0" collapsed="false">
      <c r="B9" s="22" t="n">
        <f aca="false">SUMIFS(Tracker!$I$6:$I$505,Tracker!$Q$6:$Q$505,1)</f>
        <v>283.416175</v>
      </c>
      <c r="C9" s="22"/>
      <c r="E9" s="23" t="n">
        <f aca="false">IF(K8=0,0,E8/K8)</f>
        <v>50.7565171052632</v>
      </c>
      <c r="F9" s="23"/>
      <c r="H9" s="24" t="s">
        <v>27</v>
      </c>
      <c r="I9" s="24"/>
      <c r="K9" s="25" t="n">
        <f aca="false">SUM(Tracker!$S$6:$S$505)</f>
        <v>3</v>
      </c>
      <c r="L9" s="25"/>
    </row>
    <row r="11" customFormat="false" ht="15" hidden="false" customHeight="false" outlineLevel="0" collapsed="false">
      <c r="B11" s="26" t="s">
        <v>28</v>
      </c>
      <c r="C11" s="26"/>
      <c r="D11" s="26"/>
      <c r="E11" s="26"/>
      <c r="F11" s="26"/>
    </row>
    <row r="12" customFormat="false" ht="30" hidden="false" customHeight="true" outlineLevel="0" collapsed="false">
      <c r="B12" s="27" t="s">
        <v>29</v>
      </c>
      <c r="C12" s="27" t="s">
        <v>30</v>
      </c>
      <c r="D12" s="27"/>
      <c r="E12" s="27" t="s">
        <v>31</v>
      </c>
      <c r="F12" s="27" t="s">
        <v>32</v>
      </c>
      <c r="G12" s="28"/>
      <c r="H12" s="27" t="s">
        <v>33</v>
      </c>
    </row>
    <row r="13" customFormat="false" ht="15" hidden="false" customHeight="false" outlineLevel="0" collapsed="false">
      <c r="B13" s="29" t="s">
        <v>34</v>
      </c>
      <c r="C13" s="30" t="n">
        <f aca="false">COUNTIFS(Tracker!$Q$6:$Q$505,1,Tracker!$C$6:$C$505,$B13)</f>
        <v>7</v>
      </c>
      <c r="D13" s="30"/>
      <c r="E13" s="31" t="n">
        <f aca="false">SUMIFS(Tracker!$G$6:$G$505,Tracker!$Q$6:$Q$505,1,Tracker!$C$6:$C$505,$B13)</f>
        <v>1430.99</v>
      </c>
      <c r="F13" s="31" t="n">
        <f aca="false">SUMIFS(Tracker!$L$6:$L$505,Tracker!$Q$6:$Q$505,1,Tracker!$C$6:$C$505,$B13)</f>
        <v>486.933825</v>
      </c>
      <c r="H13" s="32" t="n">
        <f aca="false">IF(E13=0,0,F13/E13)</f>
        <v>0.340277587544288</v>
      </c>
    </row>
    <row r="14" customFormat="false" ht="15" hidden="false" customHeight="false" outlineLevel="0" collapsed="false">
      <c r="B14" s="33" t="s">
        <v>35</v>
      </c>
      <c r="C14" s="34" t="n">
        <f aca="false">COUNTIFS(Tracker!$Q$6:$Q$505,1,Tracker!$C$6:$C$505,$B14)</f>
        <v>3</v>
      </c>
      <c r="D14" s="34"/>
      <c r="E14" s="35" t="n">
        <f aca="false">SUMIFS(Tracker!$G$6:$G$505,Tracker!$Q$6:$Q$505,1,Tracker!$C$6:$C$505,$B14)</f>
        <v>300</v>
      </c>
      <c r="F14" s="35" t="n">
        <f aca="false">SUMIFS(Tracker!$L$6:$L$505,Tracker!$Q$6:$Q$505,1,Tracker!$C$6:$C$505,$B14)</f>
        <v>162.5</v>
      </c>
      <c r="H14" s="36" t="n">
        <f aca="false">IF(E14=0,0,F14/E14)</f>
        <v>0.541666666666667</v>
      </c>
    </row>
    <row r="15" customFormat="false" ht="15" hidden="false" customHeight="false" outlineLevel="0" collapsed="false">
      <c r="B15" s="29" t="s">
        <v>36</v>
      </c>
      <c r="C15" s="30" t="n">
        <f aca="false">COUNTIFS(Tracker!$Q$6:$Q$505,1,Tracker!$C$6:$C$505,$B15)</f>
        <v>4</v>
      </c>
      <c r="D15" s="30"/>
      <c r="E15" s="31" t="n">
        <f aca="false">SUMIFS(Tracker!$G$6:$G$505,Tracker!$Q$6:$Q$505,1,Tracker!$C$6:$C$505,$B15)</f>
        <v>198</v>
      </c>
      <c r="F15" s="31" t="n">
        <f aca="false">SUMIFS(Tracker!$L$6:$L$505,Tracker!$Q$6:$Q$505,1,Tracker!$C$6:$C$505,$B15)</f>
        <v>124.44</v>
      </c>
      <c r="H15" s="32" t="n">
        <f aca="false">IF(E15=0,0,F15/E15)</f>
        <v>0.628484848484848</v>
      </c>
    </row>
    <row r="16" customFormat="false" ht="15" hidden="false" customHeight="false" outlineLevel="0" collapsed="false">
      <c r="B16" s="33" t="s">
        <v>37</v>
      </c>
      <c r="C16" s="34" t="n">
        <f aca="false">COUNTIFS(Tracker!$Q$6:$Q$505,1,Tracker!$C$6:$C$505,$B16)</f>
        <v>4</v>
      </c>
      <c r="D16" s="34"/>
      <c r="E16" s="35" t="n">
        <f aca="false">SUMIFS(Tracker!$G$6:$G$505,Tracker!$Q$6:$Q$505,1,Tracker!$C$6:$C$505,$B16)</f>
        <v>309</v>
      </c>
      <c r="F16" s="35" t="n">
        <f aca="false">SUMIFS(Tracker!$L$6:$L$505,Tracker!$Q$6:$Q$505,1,Tracker!$C$6:$C$505,$B16)</f>
        <v>189.2</v>
      </c>
      <c r="H16" s="36" t="n">
        <f aca="false">IF(E16=0,0,F16/E16)</f>
        <v>0.612297734627832</v>
      </c>
    </row>
    <row r="17" customFormat="false" ht="15" hidden="false" customHeight="false" outlineLevel="0" collapsed="false">
      <c r="B17" s="29" t="s">
        <v>38</v>
      </c>
      <c r="C17" s="30" t="n">
        <f aca="false">COUNTIFS(Tracker!$Q$6:$Q$505,1,Tracker!$C$6:$C$505,$B17)</f>
        <v>1</v>
      </c>
      <c r="D17" s="30"/>
      <c r="E17" s="31" t="n">
        <f aca="false">SUMIFS(Tracker!$G$6:$G$505,Tracker!$Q$6:$Q$505,1,Tracker!$C$6:$C$505,$B17)</f>
        <v>22</v>
      </c>
      <c r="F17" s="31" t="n">
        <f aca="false">SUMIFS(Tracker!$L$6:$L$505,Tracker!$Q$6:$Q$505,1,Tracker!$C$6:$C$505,$B17)</f>
        <v>1.3</v>
      </c>
      <c r="H17" s="32" t="n">
        <f aca="false">IF(E17=0,0,F17/E17)</f>
        <v>0.0590909090909091</v>
      </c>
    </row>
    <row r="18" customFormat="false" ht="15" hidden="false" customHeight="false" outlineLevel="0" collapsed="false">
      <c r="B18" s="37" t="s">
        <v>39</v>
      </c>
      <c r="C18" s="38" t="n">
        <f aca="false">SUM(C13:C17)</f>
        <v>19</v>
      </c>
      <c r="D18" s="38"/>
      <c r="E18" s="39" t="n">
        <f aca="false">SUM(E13:E17)</f>
        <v>2259.99</v>
      </c>
      <c r="F18" s="39" t="n">
        <f aca="false">SUM(F13:F17)</f>
        <v>964.373825</v>
      </c>
      <c r="H18" s="40" t="n">
        <f aca="false">IF(E18=0,0,F18/E18)</f>
        <v>0.426715969982168</v>
      </c>
    </row>
    <row r="19" customFormat="false" ht="15" hidden="false" customHeight="false" outlineLevel="0" collapsed="false">
      <c r="B19" s="41" t="s">
        <v>40</v>
      </c>
    </row>
    <row r="21" customFormat="false" ht="15" hidden="false" customHeight="false" outlineLevel="0" collapsed="false">
      <c r="B21" s="26" t="s">
        <v>41</v>
      </c>
      <c r="C21" s="26"/>
      <c r="D21" s="26"/>
      <c r="E21" s="26"/>
      <c r="F21" s="26"/>
      <c r="G21" s="26"/>
      <c r="H21" s="26"/>
    </row>
    <row r="22" customFormat="false" ht="15" hidden="false" customHeight="false" outlineLevel="0" collapsed="false">
      <c r="B22" s="42" t="s">
        <v>42</v>
      </c>
      <c r="C22" s="43" t="n">
        <f aca="true">IF(COUNT(Tracker!$D$6:$D$505)=0,YEAR(TODAY()),YEAR(MAX(Tracker!$D$6:$D$505)))</f>
        <v>2026</v>
      </c>
      <c r="E22" s="44" t="s">
        <v>43</v>
      </c>
      <c r="F22" s="44"/>
      <c r="G22" s="44"/>
      <c r="H22" s="44"/>
    </row>
    <row r="23" customFormat="false" ht="30" hidden="false" customHeight="true" outlineLevel="0" collapsed="false">
      <c r="B23" s="27" t="s">
        <v>44</v>
      </c>
      <c r="C23" s="27" t="s">
        <v>30</v>
      </c>
      <c r="D23" s="27"/>
      <c r="E23" s="27" t="s">
        <v>31</v>
      </c>
      <c r="F23" s="27" t="s">
        <v>32</v>
      </c>
      <c r="H23" s="27" t="s">
        <v>33</v>
      </c>
    </row>
    <row r="24" customFormat="false" ht="15" hidden="false" customHeight="false" outlineLevel="0" collapsed="false">
      <c r="B24" s="29" t="s">
        <v>45</v>
      </c>
      <c r="C24" s="30" t="n">
        <f aca="false">COUNTIFS(Tracker!$R$6:$R$505,$C$22*100+1)</f>
        <v>2</v>
      </c>
      <c r="D24" s="30"/>
      <c r="E24" s="31" t="n">
        <f aca="false">SUMIFS(Tracker!$G$6:$G$505,Tracker!$R$6:$R$505,$C$22*100+1)</f>
        <v>134.99</v>
      </c>
      <c r="F24" s="31" t="n">
        <f aca="false">SUMIFS(Tracker!$L$6:$L$505,Tracker!$R$6:$R$505,$C$22*100+1)</f>
        <v>73.616325</v>
      </c>
      <c r="H24" s="32" t="n">
        <f aca="false">IF(E24=0,0,F24/E24)</f>
        <v>0.545346507148678</v>
      </c>
    </row>
    <row r="25" customFormat="false" ht="15" hidden="false" customHeight="false" outlineLevel="0" collapsed="false">
      <c r="B25" s="33" t="s">
        <v>46</v>
      </c>
      <c r="C25" s="34" t="n">
        <f aca="false">COUNTIFS(Tracker!$R$6:$R$505,$C$22*100+2)</f>
        <v>3</v>
      </c>
      <c r="D25" s="34"/>
      <c r="E25" s="35" t="n">
        <f aca="false">SUMIFS(Tracker!$G$6:$G$505,Tracker!$R$6:$R$505,$C$22*100+2)</f>
        <v>132</v>
      </c>
      <c r="F25" s="35" t="n">
        <f aca="false">SUMIFS(Tracker!$L$6:$L$505,Tracker!$R$6:$R$505,$C$22*100+2)</f>
        <v>81.31</v>
      </c>
      <c r="H25" s="36" t="n">
        <f aca="false">IF(E25=0,0,F25/E25)</f>
        <v>0.615984848484849</v>
      </c>
    </row>
    <row r="26" customFormat="false" ht="15" hidden="false" customHeight="false" outlineLevel="0" collapsed="false">
      <c r="B26" s="29" t="s">
        <v>47</v>
      </c>
      <c r="C26" s="30" t="n">
        <f aca="false">COUNTIFS(Tracker!$R$6:$R$505,$C$22*100+3)</f>
        <v>2</v>
      </c>
      <c r="D26" s="30"/>
      <c r="E26" s="31" t="n">
        <f aca="false">SUMIFS(Tracker!$G$6:$G$505,Tracker!$R$6:$R$505,$C$22*100+3)</f>
        <v>979</v>
      </c>
      <c r="F26" s="31" t="n">
        <f aca="false">SUMIFS(Tracker!$L$6:$L$505,Tracker!$R$6:$R$505,$C$22*100+3)</f>
        <v>307.1325</v>
      </c>
      <c r="H26" s="32" t="n">
        <f aca="false">IF(E26=0,0,F26/E26)</f>
        <v>0.313720633299285</v>
      </c>
    </row>
    <row r="27" customFormat="false" ht="15" hidden="false" customHeight="false" outlineLevel="0" collapsed="false">
      <c r="B27" s="33" t="s">
        <v>48</v>
      </c>
      <c r="C27" s="34" t="n">
        <f aca="false">COUNTIFS(Tracker!$R$6:$R$505,$C$22*100+4)</f>
        <v>2</v>
      </c>
      <c r="D27" s="34"/>
      <c r="E27" s="35" t="n">
        <f aca="false">SUMIFS(Tracker!$G$6:$G$505,Tracker!$R$6:$R$505,$C$22*100+4)</f>
        <v>205</v>
      </c>
      <c r="F27" s="35" t="n">
        <f aca="false">SUMIFS(Tracker!$L$6:$L$505,Tracker!$R$6:$R$505,$C$22*100+4)</f>
        <v>140.275</v>
      </c>
      <c r="H27" s="36" t="n">
        <f aca="false">IF(E27=0,0,F27/E27)</f>
        <v>0.684268292682927</v>
      </c>
    </row>
    <row r="28" customFormat="false" ht="15" hidden="false" customHeight="false" outlineLevel="0" collapsed="false">
      <c r="B28" s="29" t="s">
        <v>49</v>
      </c>
      <c r="C28" s="30" t="n">
        <f aca="false">COUNTIFS(Tracker!$R$6:$R$505,$C$22*100+5)</f>
        <v>2</v>
      </c>
      <c r="D28" s="30"/>
      <c r="E28" s="31" t="n">
        <f aca="false">SUMIFS(Tracker!$G$6:$G$505,Tracker!$R$6:$R$505,$C$22*100+5)</f>
        <v>86</v>
      </c>
      <c r="F28" s="31" t="n">
        <f aca="false">SUMIFS(Tracker!$L$6:$L$505,Tracker!$R$6:$R$505,$C$22*100+5)</f>
        <v>32.165</v>
      </c>
      <c r="H28" s="32" t="n">
        <f aca="false">IF(E28=0,0,F28/E28)</f>
        <v>0.374011627906977</v>
      </c>
    </row>
    <row r="29" customFormat="false" ht="15" hidden="false" customHeight="false" outlineLevel="0" collapsed="false">
      <c r="B29" s="33" t="s">
        <v>50</v>
      </c>
      <c r="C29" s="34" t="n">
        <f aca="false">COUNTIFS(Tracker!$R$6:$R$505,$C$22*100+6)</f>
        <v>2</v>
      </c>
      <c r="D29" s="34"/>
      <c r="E29" s="35" t="n">
        <f aca="false">SUMIFS(Tracker!$G$6:$G$505,Tracker!$R$6:$R$505,$C$22*100+6)</f>
        <v>195</v>
      </c>
      <c r="F29" s="35" t="n">
        <f aca="false">SUMIFS(Tracker!$L$6:$L$505,Tracker!$R$6:$R$505,$C$22*100+6)</f>
        <v>81.175</v>
      </c>
      <c r="H29" s="36" t="n">
        <f aca="false">IF(E29=0,0,F29/E29)</f>
        <v>0.416282051282051</v>
      </c>
    </row>
    <row r="30" customFormat="false" ht="15" hidden="false" customHeight="false" outlineLevel="0" collapsed="false">
      <c r="B30" s="29" t="s">
        <v>51</v>
      </c>
      <c r="C30" s="30" t="n">
        <f aca="false">COUNTIFS(Tracker!$R$6:$R$505,$C$22*100+7)</f>
        <v>2</v>
      </c>
      <c r="D30" s="30"/>
      <c r="E30" s="31" t="n">
        <f aca="false">SUMIFS(Tracker!$G$6:$G$505,Tracker!$R$6:$R$505,$C$22*100+7)</f>
        <v>157</v>
      </c>
      <c r="F30" s="31" t="n">
        <f aca="false">SUMIFS(Tracker!$L$6:$L$505,Tracker!$R$6:$R$505,$C$22*100+7)</f>
        <v>85.4125</v>
      </c>
      <c r="H30" s="32" t="n">
        <f aca="false">IF(E30=0,0,F30/E30)</f>
        <v>0.544028662420382</v>
      </c>
    </row>
    <row r="31" customFormat="false" ht="15" hidden="false" customHeight="false" outlineLevel="0" collapsed="false">
      <c r="B31" s="33" t="s">
        <v>52</v>
      </c>
      <c r="C31" s="34" t="n">
        <f aca="false">COUNTIFS(Tracker!$R$6:$R$505,$C$22*100+8)</f>
        <v>1</v>
      </c>
      <c r="D31" s="34"/>
      <c r="E31" s="35" t="n">
        <f aca="false">SUMIFS(Tracker!$G$6:$G$505,Tracker!$R$6:$R$505,$C$22*100+8)</f>
        <v>210</v>
      </c>
      <c r="F31" s="35" t="n">
        <f aca="false">SUMIFS(Tracker!$L$6:$L$505,Tracker!$R$6:$R$505,$C$22*100+8)</f>
        <v>125.175</v>
      </c>
      <c r="H31" s="36" t="n">
        <f aca="false">IF(E31=0,0,F31/E31)</f>
        <v>0.596071428571429</v>
      </c>
    </row>
    <row r="32" customFormat="false" ht="15" hidden="false" customHeight="false" outlineLevel="0" collapsed="false">
      <c r="B32" s="29" t="s">
        <v>53</v>
      </c>
      <c r="C32" s="30" t="n">
        <f aca="false">COUNTIFS(Tracker!$R$6:$R$505,$C$22*100+9)</f>
        <v>3</v>
      </c>
      <c r="D32" s="30"/>
      <c r="E32" s="31" t="n">
        <f aca="false">SUMIFS(Tracker!$G$6:$G$505,Tracker!$R$6:$R$505,$C$22*100+9)</f>
        <v>161</v>
      </c>
      <c r="F32" s="31" t="n">
        <f aca="false">SUMIFS(Tracker!$L$6:$L$505,Tracker!$R$6:$R$505,$C$22*100+9)</f>
        <v>38.1125</v>
      </c>
      <c r="H32" s="32" t="n">
        <f aca="false">IF(E32=0,0,F32/E32)</f>
        <v>0.236723602484472</v>
      </c>
    </row>
    <row r="33" customFormat="false" ht="15" hidden="false" customHeight="false" outlineLevel="0" collapsed="false">
      <c r="B33" s="33" t="s">
        <v>54</v>
      </c>
      <c r="C33" s="34" t="n">
        <f aca="false">COUNTIFS(Tracker!$R$6:$R$505,$C$22*100+10)</f>
        <v>0</v>
      </c>
      <c r="D33" s="34"/>
      <c r="E33" s="35" t="n">
        <f aca="false">SUMIFS(Tracker!$G$6:$G$505,Tracker!$R$6:$R$505,$C$22*100+10)</f>
        <v>0</v>
      </c>
      <c r="F33" s="35" t="n">
        <f aca="false">SUMIFS(Tracker!$L$6:$L$505,Tracker!$R$6:$R$505,$C$22*100+10)</f>
        <v>0</v>
      </c>
      <c r="H33" s="36" t="n">
        <f aca="false">IF(E33=0,0,F33/E33)</f>
        <v>0</v>
      </c>
    </row>
    <row r="34" customFormat="false" ht="15" hidden="false" customHeight="false" outlineLevel="0" collapsed="false">
      <c r="B34" s="29" t="s">
        <v>55</v>
      </c>
      <c r="C34" s="30" t="n">
        <f aca="false">COUNTIFS(Tracker!$R$6:$R$505,$C$22*100+11)</f>
        <v>0</v>
      </c>
      <c r="D34" s="30"/>
      <c r="E34" s="31" t="n">
        <f aca="false">SUMIFS(Tracker!$G$6:$G$505,Tracker!$R$6:$R$505,$C$22*100+11)</f>
        <v>0</v>
      </c>
      <c r="F34" s="31" t="n">
        <f aca="false">SUMIFS(Tracker!$L$6:$L$505,Tracker!$R$6:$R$505,$C$22*100+11)</f>
        <v>0</v>
      </c>
      <c r="H34" s="32" t="n">
        <f aca="false">IF(E34=0,0,F34/E34)</f>
        <v>0</v>
      </c>
    </row>
    <row r="35" customFormat="false" ht="15" hidden="false" customHeight="false" outlineLevel="0" collapsed="false">
      <c r="B35" s="33" t="s">
        <v>56</v>
      </c>
      <c r="C35" s="34" t="n">
        <f aca="false">COUNTIFS(Tracker!$R$6:$R$505,$C$22*100+12)</f>
        <v>0</v>
      </c>
      <c r="D35" s="34"/>
      <c r="E35" s="35" t="n">
        <f aca="false">SUMIFS(Tracker!$G$6:$G$505,Tracker!$R$6:$R$505,$C$22*100+12)</f>
        <v>0</v>
      </c>
      <c r="F35" s="35" t="n">
        <f aca="false">SUMIFS(Tracker!$L$6:$L$505,Tracker!$R$6:$R$505,$C$22*100+12)</f>
        <v>0</v>
      </c>
      <c r="H35" s="36" t="n">
        <f aca="false">IF(E35=0,0,F35/E35)</f>
        <v>0</v>
      </c>
    </row>
    <row r="36" customFormat="false" ht="15" hidden="false" customHeight="false" outlineLevel="0" collapsed="false">
      <c r="B36" s="37" t="s">
        <v>57</v>
      </c>
      <c r="C36" s="38" t="n">
        <f aca="false">SUM(C24:C35)</f>
        <v>19</v>
      </c>
      <c r="D36" s="38"/>
      <c r="E36" s="39" t="n">
        <f aca="false">SUM(E24:E35)</f>
        <v>2259.99</v>
      </c>
      <c r="F36" s="39" t="n">
        <f aca="false">SUM(F24:F35)</f>
        <v>964.373825</v>
      </c>
      <c r="H36" s="40" t="n">
        <f aca="false">IF(E36=0,0,F36/E36)</f>
        <v>0.426715969982168</v>
      </c>
    </row>
    <row r="39" customFormat="false" ht="15" hidden="false" customHeight="false" outlineLevel="0" collapsed="false">
      <c r="B39" s="26" t="s">
        <v>58</v>
      </c>
      <c r="C39" s="26"/>
      <c r="D39" s="26"/>
      <c r="E39" s="26"/>
      <c r="F39" s="26"/>
      <c r="G39" s="26"/>
      <c r="H39" s="26"/>
      <c r="I39" s="26"/>
      <c r="J39" s="26"/>
      <c r="K39" s="26"/>
      <c r="L39" s="26"/>
    </row>
    <row r="40" customFormat="false" ht="30" hidden="false" customHeight="true" outlineLevel="0" collapsed="false">
      <c r="B40" s="27" t="s">
        <v>59</v>
      </c>
      <c r="C40" s="27" t="s">
        <v>60</v>
      </c>
      <c r="D40" s="27"/>
      <c r="E40" s="27"/>
      <c r="F40" s="27"/>
      <c r="G40" s="27"/>
      <c r="H40" s="27" t="s">
        <v>29</v>
      </c>
      <c r="I40" s="27" t="s">
        <v>61</v>
      </c>
      <c r="J40" s="27"/>
      <c r="K40" s="27" t="s">
        <v>62</v>
      </c>
      <c r="L40" s="27" t="s">
        <v>33</v>
      </c>
    </row>
    <row r="41" customFormat="false" ht="19.5" hidden="false" customHeight="true" outlineLevel="0" collapsed="false">
      <c r="B41" s="45" t="n">
        <v>1</v>
      </c>
      <c r="C41" s="46" t="str">
        <f aca="false">IFERROR(IF(LARGE(Tracker!$P$6:$P$505,1)&lt;-100000000000000,"—",INDEX(Tracker!$B$6:$B$505,MATCH(LARGE(Tracker!$P$6:$P$505,1),Tracker!$P$6:$P$505,0))),"—")</f>
        <v>LEGO Star Wars 75192 (sealed)</v>
      </c>
      <c r="D41" s="46"/>
      <c r="E41" s="46"/>
      <c r="F41" s="46"/>
      <c r="G41" s="46"/>
      <c r="H41" s="46" t="str">
        <f aca="false">IFERROR(IF(LARGE(Tracker!$P$6:$P$505,1)&lt;-100000000000000,"",INDEX(Tracker!$C$6:$C$505,MATCH(LARGE(Tracker!$P$6:$P$505,1),Tracker!$P$6:$P$505,0))),"")</f>
        <v>eBay</v>
      </c>
      <c r="I41" s="47" t="n">
        <f aca="false">IFERROR(IF(LARGE(Tracker!$P$6:$P$505,1)&lt;-100000000000000,"",IF(INDEX(Tracker!$D$6:$D$505,MATCH(LARGE(Tracker!$P$6:$P$505,1),Tracker!$P$6:$P$505,0))=0,"",INDEX(Tracker!$D$6:$D$505,MATCH(LARGE(Tracker!$P$6:$P$505,1),Tracker!$P$6:$P$505,0)))),"")</f>
        <v>46091</v>
      </c>
      <c r="J41" s="47"/>
      <c r="K41" s="48" t="n">
        <f aca="false">IFERROR(IF(LARGE(Tracker!$P$6:$P$505,1)&lt;-100000000000000,"",INDEX(Tracker!$L$6:$L$505,MATCH(LARGE(Tracker!$P$6:$P$505,1),Tracker!$P$6:$P$505,0))),"")</f>
        <v>198.1325</v>
      </c>
      <c r="L41" s="32" t="n">
        <f aca="false">IFERROR(IF(LARGE(Tracker!$P$6:$P$505,1)&lt;-100000000000000,"",INDEX(Tracker!$M$6:$M$505,MATCH(LARGE(Tracker!$P$6:$P$505,1),Tracker!$P$6:$P$505,0))),"")</f>
        <v>0.247975594493116</v>
      </c>
    </row>
    <row r="42" customFormat="false" ht="19.5" hidden="false" customHeight="true" outlineLevel="0" collapsed="false">
      <c r="B42" s="45" t="n">
        <v>2</v>
      </c>
      <c r="C42" s="49" t="str">
        <f aca="false">IFERROR(IF(LARGE(Tracker!$P$6:$P$505,2)&lt;-100000000000000,"—",INDEX(Tracker!$B$6:$B$505,MATCH(LARGE(Tracker!$P$6:$P$505,2),Tracker!$P$6:$P$505,0))),"—")</f>
        <v>Vintage Polaroid SX-70</v>
      </c>
      <c r="D42" s="49"/>
      <c r="E42" s="49"/>
      <c r="F42" s="49"/>
      <c r="G42" s="49"/>
      <c r="H42" s="49" t="str">
        <f aca="false">IFERROR(IF(LARGE(Tracker!$P$6:$P$505,2)&lt;-100000000000000,"",INDEX(Tracker!$C$6:$C$505,MATCH(LARGE(Tracker!$P$6:$P$505,2),Tracker!$P$6:$P$505,0))),"")</f>
        <v>eBay</v>
      </c>
      <c r="I42" s="50" t="n">
        <f aca="false">IFERROR(IF(LARGE(Tracker!$P$6:$P$505,2)&lt;-100000000000000,"",IF(INDEX(Tracker!$D$6:$D$505,MATCH(LARGE(Tracker!$P$6:$P$505,2),Tracker!$P$6:$P$505,0))=0,"",INDEX(Tracker!$D$6:$D$505,MATCH(LARGE(Tracker!$P$6:$P$505,2),Tracker!$P$6:$P$505,0)))),"")</f>
        <v>46262</v>
      </c>
      <c r="J42" s="50"/>
      <c r="K42" s="51" t="n">
        <f aca="false">IFERROR(IF(LARGE(Tracker!$P$6:$P$505,2)&lt;-100000000000000,"",INDEX(Tracker!$L$6:$L$505,MATCH(LARGE(Tracker!$P$6:$P$505,2),Tracker!$P$6:$P$505,0))),"")</f>
        <v>125.175</v>
      </c>
      <c r="L42" s="36" t="n">
        <f aca="false">IFERROR(IF(LARGE(Tracker!$P$6:$P$505,2)&lt;-100000000000000,"",INDEX(Tracker!$M$6:$M$505,MATCH(LARGE(Tracker!$P$6:$P$505,2),Tracker!$P$6:$P$505,0))),"")</f>
        <v>0.596071428571429</v>
      </c>
    </row>
    <row r="43" customFormat="false" ht="19.5" hidden="false" customHeight="true" outlineLevel="0" collapsed="false">
      <c r="B43" s="45" t="n">
        <v>3</v>
      </c>
      <c r="C43" s="46" t="str">
        <f aca="false">IFERROR(IF(LARGE(Tracker!$P$6:$P$505,3)&lt;-100000000000000,"—",INDEX(Tracker!$B$6:$B$505,MATCH(LARGE(Tracker!$P$6:$P$505,3),Tracker!$P$6:$P$505,0))),"—")</f>
        <v>Coach Tabby Shoulder Bag</v>
      </c>
      <c r="D43" s="46"/>
      <c r="E43" s="46"/>
      <c r="F43" s="46"/>
      <c r="G43" s="46"/>
      <c r="H43" s="46" t="str">
        <f aca="false">IFERROR(IF(LARGE(Tracker!$P$6:$P$505,3)&lt;-100000000000000,"",INDEX(Tracker!$C$6:$C$505,MATCH(LARGE(Tracker!$P$6:$P$505,3),Tracker!$P$6:$P$505,0))),"")</f>
        <v>Poshmark</v>
      </c>
      <c r="I43" s="47" t="n">
        <f aca="false">IFERROR(IF(LARGE(Tracker!$P$6:$P$505,3)&lt;-100000000000000,"",IF(INDEX(Tracker!$D$6:$D$505,MATCH(LARGE(Tracker!$P$6:$P$505,3),Tracker!$P$6:$P$505,0))=0,"",INDEX(Tracker!$D$6:$D$505,MATCH(LARGE(Tracker!$P$6:$P$505,3),Tracker!$P$6:$P$505,0)))),"")</f>
        <v>46103</v>
      </c>
      <c r="J43" s="47"/>
      <c r="K43" s="48" t="n">
        <f aca="false">IFERROR(IF(LARGE(Tracker!$P$6:$P$505,3)&lt;-100000000000000,"",INDEX(Tracker!$L$6:$L$505,MATCH(LARGE(Tracker!$P$6:$P$505,3),Tracker!$P$6:$P$505,0))),"")</f>
        <v>109</v>
      </c>
      <c r="L43" s="32" t="n">
        <f aca="false">IFERROR(IF(LARGE(Tracker!$P$6:$P$505,3)&lt;-100000000000000,"",INDEX(Tracker!$M$6:$M$505,MATCH(LARGE(Tracker!$P$6:$P$505,3),Tracker!$P$6:$P$505,0))),"")</f>
        <v>0.605555555555556</v>
      </c>
    </row>
    <row r="44" customFormat="false" ht="19.5" hidden="false" customHeight="true" outlineLevel="0" collapsed="false">
      <c r="B44" s="45" t="n">
        <v>4</v>
      </c>
      <c r="C44" s="49" t="str">
        <f aca="false">IFERROR(IF(LARGE(Tracker!$P$6:$P$505,4)&lt;-100000000000000,"—",INDEX(Tracker!$B$6:$B$505,MATCH(LARGE(Tracker!$P$6:$P$505,4),Tracker!$P$6:$P$505,0))),"—")</f>
        <v>Mid-Century Teak Side Table</v>
      </c>
      <c r="D44" s="49"/>
      <c r="E44" s="49"/>
      <c r="F44" s="49"/>
      <c r="G44" s="49"/>
      <c r="H44" s="49" t="str">
        <f aca="false">IFERROR(IF(LARGE(Tracker!$P$6:$P$505,4)&lt;-100000000000000,"",INDEX(Tracker!$C$6:$C$505,MATCH(LARGE(Tracker!$P$6:$P$505,4),Tracker!$P$6:$P$505,0))),"")</f>
        <v>Facebook Marketplace</v>
      </c>
      <c r="I44" s="50" t="n">
        <f aca="false">IFERROR(IF(LARGE(Tracker!$P$6:$P$505,4)&lt;-100000000000000,"",IF(INDEX(Tracker!$D$6:$D$505,MATCH(LARGE(Tracker!$P$6:$P$505,4),Tracker!$P$6:$P$505,0))=0,"",INDEX(Tracker!$D$6:$D$505,MATCH(LARGE(Tracker!$P$6:$P$505,4),Tracker!$P$6:$P$505,0)))),"")</f>
        <v>46117</v>
      </c>
      <c r="J44" s="50"/>
      <c r="K44" s="51" t="n">
        <f aca="false">IFERROR(IF(LARGE(Tracker!$P$6:$P$505,4)&lt;-100000000000000,"",INDEX(Tracker!$L$6:$L$505,MATCH(LARGE(Tracker!$P$6:$P$505,4),Tracker!$P$6:$P$505,0))),"")</f>
        <v>100</v>
      </c>
      <c r="L44" s="36" t="n">
        <f aca="false">IFERROR(IF(LARGE(Tracker!$P$6:$P$505,4)&lt;-100000000000000,"",INDEX(Tracker!$M$6:$M$505,MATCH(LARGE(Tracker!$P$6:$P$505,4),Tracker!$P$6:$P$505,0))),"")</f>
        <v>0.666666666666667</v>
      </c>
    </row>
    <row r="45" customFormat="false" ht="19.5" hidden="false" customHeight="true" outlineLevel="0" collapsed="false">
      <c r="B45" s="45" t="n">
        <v>5</v>
      </c>
      <c r="C45" s="46" t="str">
        <f aca="false">IFERROR(IF(LARGE(Tracker!$P$6:$P$505,5)&lt;-100000000000000,"—",INDEX(Tracker!$B$6:$B$505,MATCH(LARGE(Tracker!$P$6:$P$505,5),Tracker!$P$6:$P$505,0))),"—")</f>
        <v>Carhartt Detroit Jacket</v>
      </c>
      <c r="D45" s="46"/>
      <c r="E45" s="46"/>
      <c r="F45" s="46"/>
      <c r="G45" s="46"/>
      <c r="H45" s="46" t="str">
        <f aca="false">IFERROR(IF(LARGE(Tracker!$P$6:$P$505,5)&lt;-100000000000000,"",INDEX(Tracker!$C$6:$C$505,MATCH(LARGE(Tracker!$P$6:$P$505,5),Tracker!$P$6:$P$505,0))),"")</f>
        <v>eBay</v>
      </c>
      <c r="I45" s="47" t="n">
        <f aca="false">IFERROR(IF(LARGE(Tracker!$P$6:$P$505,5)&lt;-100000000000000,"",IF(INDEX(Tracker!$D$6:$D$505,MATCH(LARGE(Tracker!$P$6:$P$505,5),Tracker!$P$6:$P$505,0))=0,"",INDEX(Tracker!$D$6:$D$505,MATCH(LARGE(Tracker!$P$6:$P$505,5),Tracker!$P$6:$P$505,0)))),"")</f>
        <v>46228</v>
      </c>
      <c r="J45" s="47"/>
      <c r="K45" s="48" t="n">
        <f aca="false">IFERROR(IF(LARGE(Tracker!$P$6:$P$505,5)&lt;-100000000000000,"",INDEX(Tracker!$L$6:$L$505,MATCH(LARGE(Tracker!$P$6:$P$505,5),Tracker!$P$6:$P$505,0))),"")</f>
        <v>84.1125</v>
      </c>
      <c r="L45" s="32" t="n">
        <f aca="false">IFERROR(IF(LARGE(Tracker!$P$6:$P$505,5)&lt;-100000000000000,"",INDEX(Tracker!$M$6:$M$505,MATCH(LARGE(Tracker!$P$6:$P$505,5),Tracker!$P$6:$P$505,0))),"")</f>
        <v>0.623055555555556</v>
      </c>
    </row>
    <row r="46" customFormat="false" ht="15" hidden="false" customHeight="false" outlineLevel="0" collapsed="false">
      <c r="B46" s="41" t="s">
        <v>63</v>
      </c>
    </row>
  </sheetData>
  <mergeCells count="56">
    <mergeCell ref="B1:N1"/>
    <mergeCell ref="B2:N2"/>
    <mergeCell ref="B3:N3"/>
    <mergeCell ref="B6:C6"/>
    <mergeCell ref="E6:F6"/>
    <mergeCell ref="H6:I6"/>
    <mergeCell ref="K6:L6"/>
    <mergeCell ref="B7:C7"/>
    <mergeCell ref="E7:F7"/>
    <mergeCell ref="H7:I7"/>
    <mergeCell ref="K7:L7"/>
    <mergeCell ref="B8:C8"/>
    <mergeCell ref="E8:F8"/>
    <mergeCell ref="H8:I8"/>
    <mergeCell ref="K8:L8"/>
    <mergeCell ref="B9:C9"/>
    <mergeCell ref="E9:F9"/>
    <mergeCell ref="H9:I9"/>
    <mergeCell ref="K9:L9"/>
    <mergeCell ref="B11:F11"/>
    <mergeCell ref="C12:D12"/>
    <mergeCell ref="C13:D13"/>
    <mergeCell ref="C14:D14"/>
    <mergeCell ref="C15:D15"/>
    <mergeCell ref="C16:D16"/>
    <mergeCell ref="C17:D17"/>
    <mergeCell ref="C18:D18"/>
    <mergeCell ref="B21:H21"/>
    <mergeCell ref="E22:H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B39:L39"/>
    <mergeCell ref="C40:G40"/>
    <mergeCell ref="I40:J40"/>
    <mergeCell ref="C41:G41"/>
    <mergeCell ref="I41:J41"/>
    <mergeCell ref="C42:G42"/>
    <mergeCell ref="I42:J42"/>
    <mergeCell ref="C43:G43"/>
    <mergeCell ref="I43:J43"/>
    <mergeCell ref="C44:G44"/>
    <mergeCell ref="I44:J44"/>
    <mergeCell ref="C45:G45"/>
    <mergeCell ref="I45:J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B8A6"/>
    <pageSetUpPr fitToPage="true"/>
  </sheetPr>
  <dimension ref="A1:S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7" min="4" style="0" width="13"/>
    <col collapsed="false" customWidth="true" hidden="false" outlineLevel="0" max="8" min="8" style="0" width="12"/>
    <col collapsed="false" customWidth="true" hidden="false" outlineLevel="0" max="10" min="9" style="0" width="13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20"/>
    <col collapsed="false" customWidth="true" hidden="false" outlineLevel="0" max="15" min="15" style="0" width="26"/>
    <col collapsed="false" customWidth="true" hidden="true" outlineLevel="0" max="19" min="16" style="0" width="13"/>
  </cols>
  <sheetData>
    <row r="1" customFormat="false" ht="18" hidden="false" customHeight="true" outlineLevel="0" collapsed="false">
      <c r="A1" s="1"/>
      <c r="B1" s="14" t="s">
        <v>1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customFormat="false" ht="30" hidden="false" customHeight="true" outlineLevel="0" collapsed="false">
      <c r="A2" s="1"/>
      <c r="B2" s="15" t="s">
        <v>64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customFormat="false" ht="19.5" hidden="false" customHeight="true" outlineLevel="0" collapsed="false">
      <c r="A3" s="1"/>
      <c r="B3" s="16" t="s">
        <v>65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customFormat="false" ht="3.75" hidden="false" customHeight="true" outlineLevel="0" collapsed="false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customFormat="false" ht="36" hidden="false" customHeight="true" outlineLevel="0" collapsed="false">
      <c r="B5" s="27" t="s">
        <v>66</v>
      </c>
      <c r="C5" s="27" t="s">
        <v>29</v>
      </c>
      <c r="D5" s="27" t="s">
        <v>67</v>
      </c>
      <c r="E5" s="27" t="s">
        <v>68</v>
      </c>
      <c r="F5" s="27" t="s">
        <v>69</v>
      </c>
      <c r="G5" s="27" t="s">
        <v>70</v>
      </c>
      <c r="H5" s="27" t="s">
        <v>71</v>
      </c>
      <c r="I5" s="27" t="s">
        <v>72</v>
      </c>
      <c r="J5" s="27" t="s">
        <v>73</v>
      </c>
      <c r="K5" s="27" t="s">
        <v>74</v>
      </c>
      <c r="L5" s="27" t="s">
        <v>75</v>
      </c>
      <c r="M5" s="27" t="s">
        <v>76</v>
      </c>
      <c r="N5" s="27" t="s">
        <v>77</v>
      </c>
      <c r="O5" s="27" t="s">
        <v>78</v>
      </c>
      <c r="P5" s="52" t="s">
        <v>79</v>
      </c>
      <c r="Q5" s="52" t="s">
        <v>80</v>
      </c>
      <c r="R5" s="52" t="s">
        <v>81</v>
      </c>
      <c r="S5" s="52" t="s">
        <v>82</v>
      </c>
    </row>
    <row r="6" customFormat="false" ht="15" hidden="false" customHeight="false" outlineLevel="0" collapsed="false">
      <c r="B6" s="53" t="s">
        <v>83</v>
      </c>
      <c r="C6" s="53" t="s">
        <v>34</v>
      </c>
      <c r="D6" s="54" t="n">
        <v>46030</v>
      </c>
      <c r="E6" s="55" t="n">
        <v>22</v>
      </c>
      <c r="F6" s="55" t="n">
        <v>0</v>
      </c>
      <c r="G6" s="55" t="n">
        <v>89.99</v>
      </c>
      <c r="H6" s="56" t="n">
        <v>0.1325</v>
      </c>
      <c r="I6" s="57" t="n">
        <f aca="false">IF(G6="","",G6*H6)</f>
        <v>11.923675</v>
      </c>
      <c r="J6" s="55" t="n">
        <v>12.45</v>
      </c>
      <c r="K6" s="55" t="n">
        <v>0</v>
      </c>
      <c r="L6" s="57" t="n">
        <f aca="false">IF(OR(B6="",G6=""),"",G6-E6-F6-I6-J6-K6)</f>
        <v>43.616325</v>
      </c>
      <c r="M6" s="58" t="n">
        <f aca="false">IF(L6="","",IF(G6=0,0,L6/G6))</f>
        <v>0.484679686631848</v>
      </c>
      <c r="N6" s="53" t="s">
        <v>84</v>
      </c>
      <c r="O6" s="59" t="str">
        <f aca="false">IF(M6="","",IF(M6&lt;0.15,"⚠ LOW MARGIN / MARGEN BAJO","✔ OK"))</f>
        <v>✔ OK</v>
      </c>
      <c r="P6" s="52" t="n">
        <f aca="false">IF(Q6=1,L6+ROW()/1000000,-1000000000000000)</f>
        <v>43.616331</v>
      </c>
      <c r="Q6" s="52" t="n">
        <f aca="false">IF(B6="",0,IF(G6="",0,IF(N6="Returned / Devuelto",0,1)))</f>
        <v>1</v>
      </c>
      <c r="R6" s="52" t="n">
        <f aca="false">IF(Q6=1,IF(ISNUMBER(D6),YEAR(D6)*100+MONTH(D6),0),0)</f>
        <v>202601</v>
      </c>
      <c r="S6" s="52" t="n">
        <f aca="false">IF(Q6=1,IF(M6&lt;0.15,1,0),0)</f>
        <v>0</v>
      </c>
    </row>
    <row r="7" customFormat="false" ht="15" hidden="false" customHeight="false" outlineLevel="0" collapsed="false">
      <c r="B7" s="53" t="s">
        <v>85</v>
      </c>
      <c r="C7" s="53" t="s">
        <v>37</v>
      </c>
      <c r="D7" s="54" t="n">
        <v>46041</v>
      </c>
      <c r="E7" s="55" t="n">
        <v>6</v>
      </c>
      <c r="F7" s="55" t="n">
        <v>0</v>
      </c>
      <c r="G7" s="55" t="n">
        <v>45</v>
      </c>
      <c r="H7" s="56" t="n">
        <v>0.2</v>
      </c>
      <c r="I7" s="57" t="n">
        <f aca="false">IF(G7="","",G7*H7)</f>
        <v>9</v>
      </c>
      <c r="J7" s="55" t="n">
        <v>0</v>
      </c>
      <c r="K7" s="55" t="n">
        <v>0</v>
      </c>
      <c r="L7" s="57" t="n">
        <f aca="false">IF(OR(B7="",G7=""),"",G7-E7-F7-I7-J7-K7)</f>
        <v>30</v>
      </c>
      <c r="M7" s="58" t="n">
        <f aca="false">IF(L7="","",IF(G7=0,0,L7/G7))</f>
        <v>0.666666666666667</v>
      </c>
      <c r="N7" s="53" t="s">
        <v>84</v>
      </c>
      <c r="O7" s="59" t="str">
        <f aca="false">IF(M7="","",IF(M7&lt;0.15,"⚠ LOW MARGIN / MARGEN BAJO","✔ OK"))</f>
        <v>✔ OK</v>
      </c>
      <c r="P7" s="52" t="n">
        <f aca="false">IF(Q7=1,L7+ROW()/1000000,-1000000000000000)</f>
        <v>30.000007</v>
      </c>
      <c r="Q7" s="52" t="n">
        <f aca="false">IF(B7="",0,IF(G7="",0,IF(N7="Returned / Devuelto",0,1)))</f>
        <v>1</v>
      </c>
      <c r="R7" s="52" t="n">
        <f aca="false">IF(Q7=1,IF(ISNUMBER(D7),YEAR(D7)*100+MONTH(D7),0),0)</f>
        <v>202601</v>
      </c>
      <c r="S7" s="52" t="n">
        <f aca="false">IF(Q7=1,IF(M7&lt;0.15,1,0),0)</f>
        <v>0</v>
      </c>
    </row>
    <row r="8" customFormat="false" ht="15" hidden="false" customHeight="false" outlineLevel="0" collapsed="false">
      <c r="B8" s="53" t="s">
        <v>86</v>
      </c>
      <c r="C8" s="53" t="s">
        <v>35</v>
      </c>
      <c r="D8" s="54" t="n">
        <v>46056</v>
      </c>
      <c r="E8" s="55" t="n">
        <v>8</v>
      </c>
      <c r="F8" s="55" t="n">
        <v>0</v>
      </c>
      <c r="G8" s="55" t="n">
        <v>40</v>
      </c>
      <c r="H8" s="56" t="n">
        <v>0</v>
      </c>
      <c r="I8" s="57" t="n">
        <f aca="false">IF(G8="","",G8*H8)</f>
        <v>0</v>
      </c>
      <c r="J8" s="55" t="n">
        <v>0</v>
      </c>
      <c r="K8" s="55" t="n">
        <v>0</v>
      </c>
      <c r="L8" s="57" t="n">
        <f aca="false">IF(OR(B8="",G8=""),"",G8-E8-F8-I8-J8-K8)</f>
        <v>32</v>
      </c>
      <c r="M8" s="58" t="n">
        <f aca="false">IF(L8="","",IF(G8=0,0,L8/G8))</f>
        <v>0.8</v>
      </c>
      <c r="N8" s="53" t="s">
        <v>84</v>
      </c>
      <c r="O8" s="59" t="str">
        <f aca="false">IF(M8="","",IF(M8&lt;0.15,"⚠ LOW MARGIN / MARGEN BAJO","✔ OK"))</f>
        <v>✔ OK</v>
      </c>
      <c r="P8" s="52" t="n">
        <f aca="false">IF(Q8=1,L8+ROW()/1000000,-1000000000000000)</f>
        <v>32.000008</v>
      </c>
      <c r="Q8" s="52" t="n">
        <f aca="false">IF(B8="",0,IF(G8="",0,IF(N8="Returned / Devuelto",0,1)))</f>
        <v>1</v>
      </c>
      <c r="R8" s="52" t="n">
        <f aca="false">IF(Q8=1,IF(ISNUMBER(D8),YEAR(D8)*100+MONTH(D8),0),0)</f>
        <v>202602</v>
      </c>
      <c r="S8" s="52" t="n">
        <f aca="false">IF(Q8=1,IF(M8&lt;0.15,1,0),0)</f>
        <v>0</v>
      </c>
    </row>
    <row r="9" customFormat="false" ht="15" hidden="false" customHeight="false" outlineLevel="0" collapsed="false">
      <c r="B9" s="53" t="s">
        <v>87</v>
      </c>
      <c r="C9" s="53" t="s">
        <v>36</v>
      </c>
      <c r="D9" s="54" t="n">
        <v>46067</v>
      </c>
      <c r="E9" s="55" t="n">
        <v>3</v>
      </c>
      <c r="F9" s="55" t="n">
        <v>0</v>
      </c>
      <c r="G9" s="55" t="n">
        <v>28</v>
      </c>
      <c r="H9" s="56" t="n">
        <v>0.095</v>
      </c>
      <c r="I9" s="57" t="n">
        <f aca="false">IF(G9="","",G9*H9)</f>
        <v>2.66</v>
      </c>
      <c r="J9" s="55" t="n">
        <v>6.5</v>
      </c>
      <c r="K9" s="55" t="n">
        <v>0.25</v>
      </c>
      <c r="L9" s="57" t="n">
        <f aca="false">IF(OR(B9="",G9=""),"",G9-E9-F9-I9-J9-K9)</f>
        <v>15.59</v>
      </c>
      <c r="M9" s="58" t="n">
        <f aca="false">IF(L9="","",IF(G9=0,0,L9/G9))</f>
        <v>0.556785714285714</v>
      </c>
      <c r="N9" s="53" t="s">
        <v>84</v>
      </c>
      <c r="O9" s="59" t="str">
        <f aca="false">IF(M9="","",IF(M9&lt;0.15,"⚠ LOW MARGIN / MARGEN BAJO","✔ OK"))</f>
        <v>✔ OK</v>
      </c>
      <c r="P9" s="52" t="n">
        <f aca="false">IF(Q9=1,L9+ROW()/1000000,-1000000000000000)</f>
        <v>15.590009</v>
      </c>
      <c r="Q9" s="52" t="n">
        <f aca="false">IF(B9="",0,IF(G9="",0,IF(N9="Returned / Devuelto",0,1)))</f>
        <v>1</v>
      </c>
      <c r="R9" s="52" t="n">
        <f aca="false">IF(Q9=1,IF(ISNUMBER(D9),YEAR(D9)*100+MONTH(D9),0),0)</f>
        <v>202602</v>
      </c>
      <c r="S9" s="52" t="n">
        <f aca="false">IF(Q9=1,IF(M9&lt;0.15,1,0),0)</f>
        <v>0</v>
      </c>
    </row>
    <row r="10" customFormat="false" ht="15" hidden="false" customHeight="false" outlineLevel="0" collapsed="false">
      <c r="B10" s="53" t="s">
        <v>88</v>
      </c>
      <c r="C10" s="53" t="s">
        <v>34</v>
      </c>
      <c r="D10" s="54" t="n">
        <v>46080</v>
      </c>
      <c r="E10" s="55" t="n">
        <v>12</v>
      </c>
      <c r="F10" s="55" t="n">
        <v>0</v>
      </c>
      <c r="G10" s="55" t="n">
        <v>64</v>
      </c>
      <c r="H10" s="56" t="n">
        <v>0.1325</v>
      </c>
      <c r="I10" s="57" t="n">
        <f aca="false">IF(G10="","",G10*H10)</f>
        <v>8.48</v>
      </c>
      <c r="J10" s="55" t="n">
        <v>9.8</v>
      </c>
      <c r="K10" s="55" t="n">
        <v>0</v>
      </c>
      <c r="L10" s="57" t="n">
        <f aca="false">IF(OR(B10="",G10=""),"",G10-E10-F10-I10-J10-K10)</f>
        <v>33.72</v>
      </c>
      <c r="M10" s="58" t="n">
        <f aca="false">IF(L10="","",IF(G10=0,0,L10/G10))</f>
        <v>0.526875</v>
      </c>
      <c r="N10" s="53" t="s">
        <v>84</v>
      </c>
      <c r="O10" s="59" t="str">
        <f aca="false">IF(M10="","",IF(M10&lt;0.15,"⚠ LOW MARGIN / MARGEN BAJO","✔ OK"))</f>
        <v>✔ OK</v>
      </c>
      <c r="P10" s="52" t="n">
        <f aca="false">IF(Q10=1,L10+ROW()/1000000,-1000000000000000)</f>
        <v>33.72001</v>
      </c>
      <c r="Q10" s="52" t="n">
        <f aca="false">IF(B10="",0,IF(G10="",0,IF(N10="Returned / Devuelto",0,1)))</f>
        <v>1</v>
      </c>
      <c r="R10" s="52" t="n">
        <f aca="false">IF(Q10=1,IF(ISNUMBER(D10),YEAR(D10)*100+MONTH(D10),0),0)</f>
        <v>202602</v>
      </c>
      <c r="S10" s="52" t="n">
        <f aca="false">IF(Q10=1,IF(M10&lt;0.15,1,0),0)</f>
        <v>0</v>
      </c>
    </row>
    <row r="11" customFormat="false" ht="15" hidden="false" customHeight="false" outlineLevel="0" collapsed="false">
      <c r="B11" s="53" t="s">
        <v>89</v>
      </c>
      <c r="C11" s="53" t="s">
        <v>34</v>
      </c>
      <c r="D11" s="54" t="n">
        <v>46091</v>
      </c>
      <c r="E11" s="55" t="n">
        <v>450</v>
      </c>
      <c r="F11" s="55" t="n">
        <v>0</v>
      </c>
      <c r="G11" s="55" t="n">
        <v>799</v>
      </c>
      <c r="H11" s="56" t="n">
        <v>0.1325</v>
      </c>
      <c r="I11" s="57" t="n">
        <f aca="false">IF(G11="","",G11*H11)</f>
        <v>105.8675</v>
      </c>
      <c r="J11" s="55" t="n">
        <v>45</v>
      </c>
      <c r="K11" s="55" t="n">
        <v>0</v>
      </c>
      <c r="L11" s="57" t="n">
        <f aca="false">IF(OR(B11="",G11=""),"",G11-E11-F11-I11-J11-K11)</f>
        <v>198.1325</v>
      </c>
      <c r="M11" s="58" t="n">
        <f aca="false">IF(L11="","",IF(G11=0,0,L11/G11))</f>
        <v>0.247975594493116</v>
      </c>
      <c r="N11" s="53" t="s">
        <v>84</v>
      </c>
      <c r="O11" s="59" t="str">
        <f aca="false">IF(M11="","",IF(M11&lt;0.15,"⚠ LOW MARGIN / MARGEN BAJO","✔ OK"))</f>
        <v>✔ OK</v>
      </c>
      <c r="P11" s="52" t="n">
        <f aca="false">IF(Q11=1,L11+ROW()/1000000,-1000000000000000)</f>
        <v>198.132511</v>
      </c>
      <c r="Q11" s="52" t="n">
        <f aca="false">IF(B11="",0,IF(G11="",0,IF(N11="Returned / Devuelto",0,1)))</f>
        <v>1</v>
      </c>
      <c r="R11" s="52" t="n">
        <f aca="false">IF(Q11=1,IF(ISNUMBER(D11),YEAR(D11)*100+MONTH(D11),0),0)</f>
        <v>202603</v>
      </c>
      <c r="S11" s="52" t="n">
        <f aca="false">IF(Q11=1,IF(M11&lt;0.15,1,0),0)</f>
        <v>0</v>
      </c>
    </row>
    <row r="12" customFormat="false" ht="15" hidden="false" customHeight="false" outlineLevel="0" collapsed="false">
      <c r="B12" s="53" t="s">
        <v>90</v>
      </c>
      <c r="C12" s="53" t="s">
        <v>37</v>
      </c>
      <c r="D12" s="54" t="n">
        <v>46103</v>
      </c>
      <c r="E12" s="55" t="n">
        <v>35</v>
      </c>
      <c r="F12" s="55" t="n">
        <v>0</v>
      </c>
      <c r="G12" s="55" t="n">
        <v>180</v>
      </c>
      <c r="H12" s="56" t="n">
        <v>0.2</v>
      </c>
      <c r="I12" s="57" t="n">
        <f aca="false">IF(G12="","",G12*H12)</f>
        <v>36</v>
      </c>
      <c r="J12" s="55" t="n">
        <v>0</v>
      </c>
      <c r="K12" s="55" t="n">
        <v>0</v>
      </c>
      <c r="L12" s="57" t="n">
        <f aca="false">IF(OR(B12="",G12=""),"",G12-E12-F12-I12-J12-K12)</f>
        <v>109</v>
      </c>
      <c r="M12" s="58" t="n">
        <f aca="false">IF(L12="","",IF(G12=0,0,L12/G12))</f>
        <v>0.605555555555556</v>
      </c>
      <c r="N12" s="53" t="s">
        <v>84</v>
      </c>
      <c r="O12" s="59" t="str">
        <f aca="false">IF(M12="","",IF(M12&lt;0.15,"⚠ LOW MARGIN / MARGEN BAJO","✔ OK"))</f>
        <v>✔ OK</v>
      </c>
      <c r="P12" s="52" t="n">
        <f aca="false">IF(Q12=1,L12+ROW()/1000000,-1000000000000000)</f>
        <v>109.000012</v>
      </c>
      <c r="Q12" s="52" t="n">
        <f aca="false">IF(B12="",0,IF(G12="",0,IF(N12="Returned / Devuelto",0,1)))</f>
        <v>1</v>
      </c>
      <c r="R12" s="52" t="n">
        <f aca="false">IF(Q12=1,IF(ISNUMBER(D12),YEAR(D12)*100+MONTH(D12),0),0)</f>
        <v>202603</v>
      </c>
      <c r="S12" s="52" t="n">
        <f aca="false">IF(Q12=1,IF(M12&lt;0.15,1,0),0)</f>
        <v>0</v>
      </c>
    </row>
    <row r="13" customFormat="false" ht="15" hidden="false" customHeight="false" outlineLevel="0" collapsed="false">
      <c r="B13" s="53" t="s">
        <v>91</v>
      </c>
      <c r="C13" s="53" t="s">
        <v>35</v>
      </c>
      <c r="D13" s="54" t="n">
        <v>46117</v>
      </c>
      <c r="E13" s="55" t="n">
        <v>40</v>
      </c>
      <c r="F13" s="55" t="n">
        <v>0</v>
      </c>
      <c r="G13" s="55" t="n">
        <v>150</v>
      </c>
      <c r="H13" s="56" t="n">
        <v>0</v>
      </c>
      <c r="I13" s="57" t="n">
        <f aca="false">IF(G13="","",G13*H13)</f>
        <v>0</v>
      </c>
      <c r="J13" s="55" t="n">
        <v>0</v>
      </c>
      <c r="K13" s="55" t="n">
        <v>10</v>
      </c>
      <c r="L13" s="57" t="n">
        <f aca="false">IF(OR(B13="",G13=""),"",G13-E13-F13-I13-J13-K13)</f>
        <v>100</v>
      </c>
      <c r="M13" s="58" t="n">
        <f aca="false">IF(L13="","",IF(G13=0,0,L13/G13))</f>
        <v>0.666666666666667</v>
      </c>
      <c r="N13" s="53" t="s">
        <v>84</v>
      </c>
      <c r="O13" s="59" t="str">
        <f aca="false">IF(M13="","",IF(M13&lt;0.15,"⚠ LOW MARGIN / MARGEN BAJO","✔ OK"))</f>
        <v>✔ OK</v>
      </c>
      <c r="P13" s="52" t="n">
        <f aca="false">IF(Q13=1,L13+ROW()/1000000,-1000000000000000)</f>
        <v>100.000013</v>
      </c>
      <c r="Q13" s="52" t="n">
        <f aca="false">IF(B13="",0,IF(G13="",0,IF(N13="Returned / Devuelto",0,1)))</f>
        <v>1</v>
      </c>
      <c r="R13" s="52" t="n">
        <f aca="false">IF(Q13=1,IF(ISNUMBER(D13),YEAR(D13)*100+MONTH(D13),0),0)</f>
        <v>202604</v>
      </c>
      <c r="S13" s="52" t="n">
        <f aca="false">IF(Q13=1,IF(M13&lt;0.15,1,0),0)</f>
        <v>0</v>
      </c>
    </row>
    <row r="14" customFormat="false" ht="15" hidden="false" customHeight="false" outlineLevel="0" collapsed="false">
      <c r="B14" s="53" t="s">
        <v>92</v>
      </c>
      <c r="C14" s="53" t="s">
        <v>36</v>
      </c>
      <c r="D14" s="54" t="n">
        <v>46130</v>
      </c>
      <c r="E14" s="55" t="n">
        <v>4</v>
      </c>
      <c r="F14" s="55" t="n">
        <v>0</v>
      </c>
      <c r="G14" s="55" t="n">
        <v>55</v>
      </c>
      <c r="H14" s="56" t="n">
        <v>0.095</v>
      </c>
      <c r="I14" s="57" t="n">
        <f aca="false">IF(G14="","",G14*H14)</f>
        <v>5.225</v>
      </c>
      <c r="J14" s="55" t="n">
        <v>5.25</v>
      </c>
      <c r="K14" s="55" t="n">
        <v>0.25</v>
      </c>
      <c r="L14" s="57" t="n">
        <f aca="false">IF(OR(B14="",G14=""),"",G14-E14-F14-I14-J14-K14)</f>
        <v>40.275</v>
      </c>
      <c r="M14" s="58" t="n">
        <f aca="false">IF(L14="","",IF(G14=0,0,L14/G14))</f>
        <v>0.732272727272727</v>
      </c>
      <c r="N14" s="53" t="s">
        <v>84</v>
      </c>
      <c r="O14" s="59" t="str">
        <f aca="false">IF(M14="","",IF(M14&lt;0.15,"⚠ LOW MARGIN / MARGEN BAJO","✔ OK"))</f>
        <v>✔ OK</v>
      </c>
      <c r="P14" s="52" t="n">
        <f aca="false">IF(Q14=1,L14+ROW()/1000000,-1000000000000000)</f>
        <v>40.275014</v>
      </c>
      <c r="Q14" s="52" t="n">
        <f aca="false">IF(B14="",0,IF(G14="",0,IF(N14="Returned / Devuelto",0,1)))</f>
        <v>1</v>
      </c>
      <c r="R14" s="52" t="n">
        <f aca="false">IF(Q14=1,IF(ISNUMBER(D14),YEAR(D14)*100+MONTH(D14),0),0)</f>
        <v>202604</v>
      </c>
      <c r="S14" s="52" t="n">
        <f aca="false">IF(Q14=1,IF(M14&lt;0.15,1,0),0)</f>
        <v>0</v>
      </c>
    </row>
    <row r="15" customFormat="false" ht="15" hidden="false" customHeight="false" outlineLevel="0" collapsed="false">
      <c r="B15" s="53" t="s">
        <v>93</v>
      </c>
      <c r="C15" s="53" t="s">
        <v>34</v>
      </c>
      <c r="D15" s="54" t="n">
        <v>46144</v>
      </c>
      <c r="E15" s="55" t="n">
        <v>15</v>
      </c>
      <c r="F15" s="55" t="n">
        <v>5</v>
      </c>
      <c r="G15" s="55" t="n">
        <v>38</v>
      </c>
      <c r="H15" s="56" t="n">
        <v>0.1325</v>
      </c>
      <c r="I15" s="57" t="n">
        <f aca="false">IF(G15="","",G15*H15)</f>
        <v>5.035</v>
      </c>
      <c r="J15" s="55" t="n">
        <v>9.2</v>
      </c>
      <c r="K15" s="55" t="n">
        <v>0</v>
      </c>
      <c r="L15" s="57" t="n">
        <f aca="false">IF(OR(B15="",G15=""),"",G15-E15-F15-I15-J15-K15)</f>
        <v>3.765</v>
      </c>
      <c r="M15" s="58" t="n">
        <f aca="false">IF(L15="","",IF(G15=0,0,L15/G15))</f>
        <v>0.0990789473684211</v>
      </c>
      <c r="N15" s="53" t="s">
        <v>84</v>
      </c>
      <c r="O15" s="59" t="str">
        <f aca="false">IF(M15="","",IF(M15&lt;0.15,"⚠ LOW MARGIN / MARGEN BAJO","✔ OK"))</f>
        <v>⚠ LOW MARGIN / MARGEN BAJO</v>
      </c>
      <c r="P15" s="52" t="n">
        <f aca="false">IF(Q15=1,L15+ROW()/1000000,-1000000000000000)</f>
        <v>3.765015</v>
      </c>
      <c r="Q15" s="52" t="n">
        <f aca="false">IF(B15="",0,IF(G15="",0,IF(N15="Returned / Devuelto",0,1)))</f>
        <v>1</v>
      </c>
      <c r="R15" s="52" t="n">
        <f aca="false">IF(Q15=1,IF(ISNUMBER(D15),YEAR(D15)*100+MONTH(D15),0),0)</f>
        <v>202605</v>
      </c>
      <c r="S15" s="52" t="n">
        <f aca="false">IF(Q15=1,IF(M15&lt;0.15,1,0),0)</f>
        <v>1</v>
      </c>
    </row>
    <row r="16" customFormat="false" ht="15" hidden="false" customHeight="false" outlineLevel="0" collapsed="false">
      <c r="B16" s="53" t="s">
        <v>94</v>
      </c>
      <c r="C16" s="53" t="s">
        <v>37</v>
      </c>
      <c r="D16" s="54" t="n">
        <v>46158</v>
      </c>
      <c r="E16" s="55" t="n">
        <v>10</v>
      </c>
      <c r="F16" s="55" t="n">
        <v>0</v>
      </c>
      <c r="G16" s="55" t="n">
        <v>48</v>
      </c>
      <c r="H16" s="56" t="n">
        <v>0.2</v>
      </c>
      <c r="I16" s="57" t="n">
        <f aca="false">IF(G16="","",G16*H16)</f>
        <v>9.6</v>
      </c>
      <c r="J16" s="55" t="n">
        <v>0</v>
      </c>
      <c r="K16" s="55" t="n">
        <v>0</v>
      </c>
      <c r="L16" s="57" t="n">
        <f aca="false">IF(OR(B16="",G16=""),"",G16-E16-F16-I16-J16-K16)</f>
        <v>28.4</v>
      </c>
      <c r="M16" s="58" t="n">
        <f aca="false">IF(L16="","",IF(G16=0,0,L16/G16))</f>
        <v>0.591666666666667</v>
      </c>
      <c r="N16" s="53" t="s">
        <v>84</v>
      </c>
      <c r="O16" s="59" t="str">
        <f aca="false">IF(M16="","",IF(M16&lt;0.15,"⚠ LOW MARGIN / MARGEN BAJO","✔ OK"))</f>
        <v>✔ OK</v>
      </c>
      <c r="P16" s="52" t="n">
        <f aca="false">IF(Q16=1,L16+ROW()/1000000,-1000000000000000)</f>
        <v>28.400016</v>
      </c>
      <c r="Q16" s="52" t="n">
        <f aca="false">IF(B16="",0,IF(G16="",0,IF(N16="Returned / Devuelto",0,1)))</f>
        <v>1</v>
      </c>
      <c r="R16" s="52" t="n">
        <f aca="false">IF(Q16=1,IF(ISNUMBER(D16),YEAR(D16)*100+MONTH(D16),0),0)</f>
        <v>202605</v>
      </c>
      <c r="S16" s="52" t="n">
        <f aca="false">IF(Q16=1,IF(M16&lt;0.15,1,0),0)</f>
        <v>0</v>
      </c>
    </row>
    <row r="17" customFormat="false" ht="15" hidden="false" customHeight="false" outlineLevel="0" collapsed="false">
      <c r="B17" s="53" t="s">
        <v>95</v>
      </c>
      <c r="C17" s="53" t="s">
        <v>35</v>
      </c>
      <c r="D17" s="54" t="n">
        <v>46174</v>
      </c>
      <c r="E17" s="55" t="n">
        <v>60</v>
      </c>
      <c r="F17" s="55" t="n">
        <v>0</v>
      </c>
      <c r="G17" s="55" t="n">
        <v>110</v>
      </c>
      <c r="H17" s="56" t="n">
        <v>0.1</v>
      </c>
      <c r="I17" s="57" t="n">
        <f aca="false">IF(G17="","",G17*H17)</f>
        <v>11</v>
      </c>
      <c r="J17" s="55" t="n">
        <v>8.5</v>
      </c>
      <c r="K17" s="55" t="n">
        <v>0</v>
      </c>
      <c r="L17" s="57" t="n">
        <f aca="false">IF(OR(B17="",G17=""),"",G17-E17-F17-I17-J17-K17)</f>
        <v>30.5</v>
      </c>
      <c r="M17" s="58" t="n">
        <f aca="false">IF(L17="","",IF(G17=0,0,L17/G17))</f>
        <v>0.277272727272727</v>
      </c>
      <c r="N17" s="53" t="s">
        <v>84</v>
      </c>
      <c r="O17" s="59" t="str">
        <f aca="false">IF(M17="","",IF(M17&lt;0.15,"⚠ LOW MARGIN / MARGEN BAJO","✔ OK"))</f>
        <v>✔ OK</v>
      </c>
      <c r="P17" s="52" t="n">
        <f aca="false">IF(Q17=1,L17+ROW()/1000000,-1000000000000000)</f>
        <v>30.500017</v>
      </c>
      <c r="Q17" s="52" t="n">
        <f aca="false">IF(B17="",0,IF(G17="",0,IF(N17="Returned / Devuelto",0,1)))</f>
        <v>1</v>
      </c>
      <c r="R17" s="52" t="n">
        <f aca="false">IF(Q17=1,IF(ISNUMBER(D17),YEAR(D17)*100+MONTH(D17),0),0)</f>
        <v>202606</v>
      </c>
      <c r="S17" s="52" t="n">
        <f aca="false">IF(Q17=1,IF(M17&lt;0.15,1,0),0)</f>
        <v>0</v>
      </c>
    </row>
    <row r="18" customFormat="false" ht="15" hidden="false" customHeight="false" outlineLevel="0" collapsed="false">
      <c r="B18" s="53" t="s">
        <v>96</v>
      </c>
      <c r="C18" s="53" t="s">
        <v>36</v>
      </c>
      <c r="D18" s="54" t="n">
        <v>46193</v>
      </c>
      <c r="E18" s="55" t="n">
        <v>12</v>
      </c>
      <c r="F18" s="55" t="n">
        <v>0</v>
      </c>
      <c r="G18" s="55" t="n">
        <v>85</v>
      </c>
      <c r="H18" s="56" t="n">
        <v>0.095</v>
      </c>
      <c r="I18" s="57" t="n">
        <f aca="false">IF(G18="","",G18*H18)</f>
        <v>8.075</v>
      </c>
      <c r="J18" s="55" t="n">
        <v>14</v>
      </c>
      <c r="K18" s="55" t="n">
        <v>0.25</v>
      </c>
      <c r="L18" s="57" t="n">
        <f aca="false">IF(OR(B18="",G18=""),"",G18-E18-F18-I18-J18-K18)</f>
        <v>50.675</v>
      </c>
      <c r="M18" s="58" t="n">
        <f aca="false">IF(L18="","",IF(G18=0,0,L18/G18))</f>
        <v>0.596176470588235</v>
      </c>
      <c r="N18" s="53" t="s">
        <v>84</v>
      </c>
      <c r="O18" s="59" t="str">
        <f aca="false">IF(M18="","",IF(M18&lt;0.15,"⚠ LOW MARGIN / MARGEN BAJO","✔ OK"))</f>
        <v>✔ OK</v>
      </c>
      <c r="P18" s="52" t="n">
        <f aca="false">IF(Q18=1,L18+ROW()/1000000,-1000000000000000)</f>
        <v>50.675018</v>
      </c>
      <c r="Q18" s="52" t="n">
        <f aca="false">IF(B18="",0,IF(G18="",0,IF(N18="Returned / Devuelto",0,1)))</f>
        <v>1</v>
      </c>
      <c r="R18" s="52" t="n">
        <f aca="false">IF(Q18=1,IF(ISNUMBER(D18),YEAR(D18)*100+MONTH(D18),0),0)</f>
        <v>202606</v>
      </c>
      <c r="S18" s="52" t="n">
        <f aca="false">IF(Q18=1,IF(M18&lt;0.15,1,0),0)</f>
        <v>0</v>
      </c>
    </row>
    <row r="19" customFormat="false" ht="15" hidden="false" customHeight="false" outlineLevel="0" collapsed="false">
      <c r="B19" s="53" t="s">
        <v>97</v>
      </c>
      <c r="C19" s="53" t="s">
        <v>38</v>
      </c>
      <c r="D19" s="54" t="n">
        <v>46210</v>
      </c>
      <c r="E19" s="55" t="n">
        <v>14</v>
      </c>
      <c r="F19" s="55" t="n">
        <v>0</v>
      </c>
      <c r="G19" s="55" t="n">
        <v>22</v>
      </c>
      <c r="H19" s="56" t="n">
        <v>0.1</v>
      </c>
      <c r="I19" s="57" t="n">
        <f aca="false">IF(G19="","",G19*H19)</f>
        <v>2.2</v>
      </c>
      <c r="J19" s="55" t="n">
        <v>4.5</v>
      </c>
      <c r="K19" s="55" t="n">
        <v>0</v>
      </c>
      <c r="L19" s="57" t="n">
        <f aca="false">IF(OR(B19="",G19=""),"",G19-E19-F19-I19-J19-K19)</f>
        <v>1.3</v>
      </c>
      <c r="M19" s="58" t="n">
        <f aca="false">IF(L19="","",IF(G19=0,0,L19/G19))</f>
        <v>0.0590909090909091</v>
      </c>
      <c r="N19" s="53" t="s">
        <v>84</v>
      </c>
      <c r="O19" s="59" t="str">
        <f aca="false">IF(M19="","",IF(M19&lt;0.15,"⚠ LOW MARGIN / MARGEN BAJO","✔ OK"))</f>
        <v>⚠ LOW MARGIN / MARGEN BAJO</v>
      </c>
      <c r="P19" s="52" t="n">
        <f aca="false">IF(Q19=1,L19+ROW()/1000000,-1000000000000000)</f>
        <v>1.300019</v>
      </c>
      <c r="Q19" s="52" t="n">
        <f aca="false">IF(B19="",0,IF(G19="",0,IF(N19="Returned / Devuelto",0,1)))</f>
        <v>1</v>
      </c>
      <c r="R19" s="52" t="n">
        <f aca="false">IF(Q19=1,IF(ISNUMBER(D19),YEAR(D19)*100+MONTH(D19),0),0)</f>
        <v>202607</v>
      </c>
      <c r="S19" s="52" t="n">
        <f aca="false">IF(Q19=1,IF(M19&lt;0.15,1,0),0)</f>
        <v>1</v>
      </c>
    </row>
    <row r="20" customFormat="false" ht="15" hidden="false" customHeight="false" outlineLevel="0" collapsed="false">
      <c r="B20" s="53" t="s">
        <v>98</v>
      </c>
      <c r="C20" s="53" t="s">
        <v>34</v>
      </c>
      <c r="D20" s="54" t="n">
        <v>46228</v>
      </c>
      <c r="E20" s="55" t="n">
        <v>18</v>
      </c>
      <c r="F20" s="55" t="n">
        <v>0</v>
      </c>
      <c r="G20" s="55" t="n">
        <v>135</v>
      </c>
      <c r="H20" s="56" t="n">
        <v>0.1325</v>
      </c>
      <c r="I20" s="57" t="n">
        <f aca="false">IF(G20="","",G20*H20)</f>
        <v>17.8875</v>
      </c>
      <c r="J20" s="55" t="n">
        <v>15</v>
      </c>
      <c r="K20" s="55" t="n">
        <v>0</v>
      </c>
      <c r="L20" s="57" t="n">
        <f aca="false">IF(OR(B20="",G20=""),"",G20-E20-F20-I20-J20-K20)</f>
        <v>84.1125</v>
      </c>
      <c r="M20" s="58" t="n">
        <f aca="false">IF(L20="","",IF(G20=0,0,L20/G20))</f>
        <v>0.623055555555556</v>
      </c>
      <c r="N20" s="53" t="s">
        <v>84</v>
      </c>
      <c r="O20" s="59" t="str">
        <f aca="false">IF(M20="","",IF(M20&lt;0.15,"⚠ LOW MARGIN / MARGEN BAJO","✔ OK"))</f>
        <v>✔ OK</v>
      </c>
      <c r="P20" s="52" t="n">
        <f aca="false">IF(Q20=1,L20+ROW()/1000000,-1000000000000000)</f>
        <v>84.11252</v>
      </c>
      <c r="Q20" s="52" t="n">
        <f aca="false">IF(B20="",0,IF(G20="",0,IF(N20="Returned / Devuelto",0,1)))</f>
        <v>1</v>
      </c>
      <c r="R20" s="52" t="n">
        <f aca="false">IF(Q20=1,IF(ISNUMBER(D20),YEAR(D20)*100+MONTH(D20),0),0)</f>
        <v>202607</v>
      </c>
      <c r="S20" s="52" t="n">
        <f aca="false">IF(Q20=1,IF(M20&lt;0.15,1,0),0)</f>
        <v>0</v>
      </c>
    </row>
    <row r="21" customFormat="false" ht="15" hidden="false" customHeight="false" outlineLevel="0" collapsed="false">
      <c r="B21" s="53" t="s">
        <v>99</v>
      </c>
      <c r="C21" s="53" t="s">
        <v>37</v>
      </c>
      <c r="D21" s="54" t="n">
        <v>46243</v>
      </c>
      <c r="E21" s="55" t="n">
        <v>9</v>
      </c>
      <c r="F21" s="55" t="n">
        <v>0</v>
      </c>
      <c r="G21" s="55" t="n">
        <v>42</v>
      </c>
      <c r="H21" s="56" t="n">
        <v>0.2</v>
      </c>
      <c r="I21" s="57" t="n">
        <f aca="false">IF(G21="","",G21*H21)</f>
        <v>8.4</v>
      </c>
      <c r="J21" s="55" t="n">
        <v>0</v>
      </c>
      <c r="K21" s="55" t="n">
        <v>1</v>
      </c>
      <c r="L21" s="57" t="n">
        <f aca="false">IF(OR(B21="",G21=""),"",G21-E21-F21-I21-J21-K21)</f>
        <v>23.6</v>
      </c>
      <c r="M21" s="58" t="n">
        <f aca="false">IF(L21="","",IF(G21=0,0,L21/G21))</f>
        <v>0.561904761904762</v>
      </c>
      <c r="N21" s="53" t="s">
        <v>100</v>
      </c>
      <c r="O21" s="59" t="str">
        <f aca="false">IF(M21="","",IF(M21&lt;0.15,"⚠ LOW MARGIN / MARGEN BAJO","✔ OK"))</f>
        <v>✔ OK</v>
      </c>
      <c r="P21" s="52" t="n">
        <f aca="false">IF(Q21=1,L21+ROW()/1000000,-1000000000000000)</f>
        <v>-1000000000000000</v>
      </c>
      <c r="Q21" s="52" t="n">
        <f aca="false">IF(B21="",0,IF(G21="",0,IF(N21="Returned / Devuelto",0,1)))</f>
        <v>0</v>
      </c>
      <c r="R21" s="52" t="n">
        <f aca="false">IF(Q21=1,IF(ISNUMBER(D21),YEAR(D21)*100+MONTH(D21),0),0)</f>
        <v>0</v>
      </c>
      <c r="S21" s="52" t="n">
        <f aca="false">IF(Q21=1,IF(M21&lt;0.15,1,0),0)</f>
        <v>0</v>
      </c>
    </row>
    <row r="22" customFormat="false" ht="15" hidden="false" customHeight="false" outlineLevel="0" collapsed="false">
      <c r="B22" s="53" t="s">
        <v>101</v>
      </c>
      <c r="C22" s="53" t="s">
        <v>34</v>
      </c>
      <c r="D22" s="54" t="n">
        <v>46262</v>
      </c>
      <c r="E22" s="55" t="n">
        <v>45</v>
      </c>
      <c r="F22" s="55" t="n">
        <v>0</v>
      </c>
      <c r="G22" s="55" t="n">
        <v>210</v>
      </c>
      <c r="H22" s="56" t="n">
        <v>0.1325</v>
      </c>
      <c r="I22" s="57" t="n">
        <f aca="false">IF(G22="","",G22*H22)</f>
        <v>27.825</v>
      </c>
      <c r="J22" s="55" t="n">
        <v>12</v>
      </c>
      <c r="K22" s="55" t="n">
        <v>0</v>
      </c>
      <c r="L22" s="57" t="n">
        <f aca="false">IF(OR(B22="",G22=""),"",G22-E22-F22-I22-J22-K22)</f>
        <v>125.175</v>
      </c>
      <c r="M22" s="58" t="n">
        <f aca="false">IF(L22="","",IF(G22=0,0,L22/G22))</f>
        <v>0.596071428571429</v>
      </c>
      <c r="N22" s="53" t="s">
        <v>84</v>
      </c>
      <c r="O22" s="59" t="str">
        <f aca="false">IF(M22="","",IF(M22&lt;0.15,"⚠ LOW MARGIN / MARGEN BAJO","✔ OK"))</f>
        <v>✔ OK</v>
      </c>
      <c r="P22" s="52" t="n">
        <f aca="false">IF(Q22=1,L22+ROW()/1000000,-1000000000000000)</f>
        <v>125.175022</v>
      </c>
      <c r="Q22" s="52" t="n">
        <f aca="false">IF(B22="",0,IF(G22="",0,IF(N22="Returned / Devuelto",0,1)))</f>
        <v>1</v>
      </c>
      <c r="R22" s="52" t="n">
        <f aca="false">IF(Q22=1,IF(ISNUMBER(D22),YEAR(D22)*100+MONTH(D22),0),0)</f>
        <v>202608</v>
      </c>
      <c r="S22" s="52" t="n">
        <f aca="false">IF(Q22=1,IF(M22&lt;0.15,1,0),0)</f>
        <v>0</v>
      </c>
    </row>
    <row r="23" customFormat="false" ht="15" hidden="false" customHeight="false" outlineLevel="0" collapsed="false">
      <c r="B23" s="53" t="s">
        <v>102</v>
      </c>
      <c r="C23" s="53" t="s">
        <v>34</v>
      </c>
      <c r="D23" s="54" t="n">
        <v>46277</v>
      </c>
      <c r="E23" s="55" t="n">
        <v>70</v>
      </c>
      <c r="F23" s="55" t="n">
        <v>0</v>
      </c>
      <c r="G23" s="55" t="n">
        <v>95</v>
      </c>
      <c r="H23" s="56" t="n">
        <v>0.1325</v>
      </c>
      <c r="I23" s="57" t="n">
        <f aca="false">IF(G23="","",G23*H23)</f>
        <v>12.5875</v>
      </c>
      <c r="J23" s="55" t="n">
        <v>14</v>
      </c>
      <c r="K23" s="55" t="n">
        <v>0</v>
      </c>
      <c r="L23" s="57" t="n">
        <f aca="false">IF(OR(B23="",G23=""),"",G23-E23-F23-I23-J23-K23)</f>
        <v>-1.5875</v>
      </c>
      <c r="M23" s="58" t="n">
        <f aca="false">IF(L23="","",IF(G23=0,0,L23/G23))</f>
        <v>-0.0167105263157895</v>
      </c>
      <c r="N23" s="53" t="s">
        <v>103</v>
      </c>
      <c r="O23" s="59" t="str">
        <f aca="false">IF(M23="","",IF(M23&lt;0.15,"⚠ LOW MARGIN / MARGEN BAJO","✔ OK"))</f>
        <v>⚠ LOW MARGIN / MARGEN BAJO</v>
      </c>
      <c r="P23" s="52" t="n">
        <f aca="false">IF(Q23=1,L23+ROW()/1000000,-1000000000000000)</f>
        <v>-1.587477</v>
      </c>
      <c r="Q23" s="52" t="n">
        <f aca="false">IF(B23="",0,IF(G23="",0,IF(N23="Returned / Devuelto",0,1)))</f>
        <v>1</v>
      </c>
      <c r="R23" s="52" t="n">
        <f aca="false">IF(Q23=1,IF(ISNUMBER(D23),YEAR(D23)*100+MONTH(D23),0),0)</f>
        <v>202609</v>
      </c>
      <c r="S23" s="52" t="n">
        <f aca="false">IF(Q23=1,IF(M23&lt;0.15,1,0),0)</f>
        <v>1</v>
      </c>
    </row>
    <row r="24" customFormat="false" ht="15" hidden="false" customHeight="false" outlineLevel="0" collapsed="false">
      <c r="B24" s="53" t="s">
        <v>104</v>
      </c>
      <c r="C24" s="53" t="s">
        <v>37</v>
      </c>
      <c r="D24" s="54" t="n">
        <v>46286</v>
      </c>
      <c r="E24" s="55" t="n">
        <v>7</v>
      </c>
      <c r="F24" s="55" t="n">
        <v>0</v>
      </c>
      <c r="G24" s="55" t="n">
        <v>36</v>
      </c>
      <c r="H24" s="56" t="n">
        <v>0.2</v>
      </c>
      <c r="I24" s="57" t="n">
        <f aca="false">IF(G24="","",G24*H24)</f>
        <v>7.2</v>
      </c>
      <c r="J24" s="55" t="n">
        <v>0</v>
      </c>
      <c r="K24" s="55" t="n">
        <v>0</v>
      </c>
      <c r="L24" s="57" t="n">
        <f aca="false">IF(OR(B24="",G24=""),"",G24-E24-F24-I24-J24-K24)</f>
        <v>21.8</v>
      </c>
      <c r="M24" s="58" t="n">
        <f aca="false">IF(L24="","",IF(G24=0,0,L24/G24))</f>
        <v>0.605555555555556</v>
      </c>
      <c r="N24" s="53" t="s">
        <v>105</v>
      </c>
      <c r="O24" s="59" t="str">
        <f aca="false">IF(M24="","",IF(M24&lt;0.15,"⚠ LOW MARGIN / MARGEN BAJO","✔ OK"))</f>
        <v>✔ OK</v>
      </c>
      <c r="P24" s="52" t="n">
        <f aca="false">IF(Q24=1,L24+ROW()/1000000,-1000000000000000)</f>
        <v>21.800024</v>
      </c>
      <c r="Q24" s="52" t="n">
        <f aca="false">IF(B24="",0,IF(G24="",0,IF(N24="Returned / Devuelto",0,1)))</f>
        <v>1</v>
      </c>
      <c r="R24" s="52" t="n">
        <f aca="false">IF(Q24=1,IF(ISNUMBER(D24),YEAR(D24)*100+MONTH(D24),0),0)</f>
        <v>202609</v>
      </c>
      <c r="S24" s="52" t="n">
        <f aca="false">IF(Q24=1,IF(M24&lt;0.15,1,0),0)</f>
        <v>0</v>
      </c>
    </row>
    <row r="25" customFormat="false" ht="15" hidden="false" customHeight="false" outlineLevel="0" collapsed="false">
      <c r="B25" s="53" t="s">
        <v>106</v>
      </c>
      <c r="C25" s="53" t="s">
        <v>36</v>
      </c>
      <c r="D25" s="54" t="n">
        <v>46291</v>
      </c>
      <c r="E25" s="55" t="n">
        <v>2</v>
      </c>
      <c r="F25" s="55" t="n">
        <v>0</v>
      </c>
      <c r="G25" s="55" t="n">
        <v>30</v>
      </c>
      <c r="H25" s="56" t="n">
        <v>0.095</v>
      </c>
      <c r="I25" s="57" t="n">
        <f aca="false">IF(G25="","",G25*H25)</f>
        <v>2.85</v>
      </c>
      <c r="J25" s="55" t="n">
        <v>7</v>
      </c>
      <c r="K25" s="55" t="n">
        <v>0.25</v>
      </c>
      <c r="L25" s="57" t="n">
        <f aca="false">IF(OR(B25="",G25=""),"",G25-E25-F25-I25-J25-K25)</f>
        <v>17.9</v>
      </c>
      <c r="M25" s="58" t="n">
        <f aca="false">IF(L25="","",IF(G25=0,0,L25/G25))</f>
        <v>0.596666666666667</v>
      </c>
      <c r="N25" s="53" t="s">
        <v>107</v>
      </c>
      <c r="O25" s="59" t="str">
        <f aca="false">IF(M25="","",IF(M25&lt;0.15,"⚠ LOW MARGIN / MARGEN BAJO","✔ OK"))</f>
        <v>✔ OK</v>
      </c>
      <c r="P25" s="52" t="n">
        <f aca="false">IF(Q25=1,L25+ROW()/1000000,-1000000000000000)</f>
        <v>17.900025</v>
      </c>
      <c r="Q25" s="52" t="n">
        <f aca="false">IF(B25="",0,IF(G25="",0,IF(N25="Returned / Devuelto",0,1)))</f>
        <v>1</v>
      </c>
      <c r="R25" s="52" t="n">
        <f aca="false">IF(Q25=1,IF(ISNUMBER(D25),YEAR(D25)*100+MONTH(D25),0),0)</f>
        <v>202609</v>
      </c>
      <c r="S25" s="52" t="n">
        <f aca="false">IF(Q25=1,IF(M25&lt;0.15,1,0),0)</f>
        <v>0</v>
      </c>
    </row>
    <row r="26" customFormat="false" ht="15" hidden="false" customHeight="false" outlineLevel="0" collapsed="false">
      <c r="B26" s="53"/>
      <c r="C26" s="53"/>
      <c r="D26" s="54"/>
      <c r="E26" s="55"/>
      <c r="F26" s="55"/>
      <c r="G26" s="55"/>
      <c r="H26" s="56"/>
      <c r="I26" s="57" t="str">
        <f aca="false">IF(G26="","",G26*H26)</f>
        <v/>
      </c>
      <c r="J26" s="55"/>
      <c r="K26" s="55"/>
      <c r="L26" s="57" t="str">
        <f aca="false">IF(OR(B26="",G26=""),"",G26-E26-F26-I26-J26-K26)</f>
        <v/>
      </c>
      <c r="M26" s="58" t="str">
        <f aca="false">IF(L26="","",IF(G26=0,0,L26/G26))</f>
        <v/>
      </c>
      <c r="N26" s="53"/>
      <c r="O26" s="59" t="str">
        <f aca="false">IF(M26="","",IF(M26&lt;0.15,"⚠ LOW MARGIN / MARGEN BAJO","✔ OK"))</f>
        <v/>
      </c>
      <c r="P26" s="52" t="n">
        <f aca="false">IF(Q26=1,L26+ROW()/1000000,-1000000000000000)</f>
        <v>-1000000000000000</v>
      </c>
      <c r="Q26" s="52" t="n">
        <f aca="false">IF(B26="",0,IF(G26="",0,IF(N26="Returned / Devuelto",0,1)))</f>
        <v>0</v>
      </c>
      <c r="R26" s="52" t="n">
        <f aca="false">IF(Q26=1,IF(ISNUMBER(D26),YEAR(D26)*100+MONTH(D26),0),0)</f>
        <v>0</v>
      </c>
      <c r="S26" s="52" t="n">
        <f aca="false">IF(Q26=1,IF(M26&lt;0.15,1,0),0)</f>
        <v>0</v>
      </c>
    </row>
    <row r="27" customFormat="false" ht="15" hidden="false" customHeight="false" outlineLevel="0" collapsed="false">
      <c r="B27" s="53"/>
      <c r="C27" s="53"/>
      <c r="D27" s="54"/>
      <c r="E27" s="55"/>
      <c r="F27" s="55"/>
      <c r="G27" s="55"/>
      <c r="H27" s="56"/>
      <c r="I27" s="57" t="str">
        <f aca="false">IF(G27="","",G27*H27)</f>
        <v/>
      </c>
      <c r="J27" s="55"/>
      <c r="K27" s="55"/>
      <c r="L27" s="57" t="str">
        <f aca="false">IF(OR(B27="",G27=""),"",G27-E27-F27-I27-J27-K27)</f>
        <v/>
      </c>
      <c r="M27" s="58" t="str">
        <f aca="false">IF(L27="","",IF(G27=0,0,L27/G27))</f>
        <v/>
      </c>
      <c r="N27" s="53"/>
      <c r="O27" s="59" t="str">
        <f aca="false">IF(M27="","",IF(M27&lt;0.15,"⚠ LOW MARGIN / MARGEN BAJO","✔ OK"))</f>
        <v/>
      </c>
      <c r="P27" s="52" t="n">
        <f aca="false">IF(Q27=1,L27+ROW()/1000000,-1000000000000000)</f>
        <v>-1000000000000000</v>
      </c>
      <c r="Q27" s="52" t="n">
        <f aca="false">IF(B27="",0,IF(G27="",0,IF(N27="Returned / Devuelto",0,1)))</f>
        <v>0</v>
      </c>
      <c r="R27" s="52" t="n">
        <f aca="false">IF(Q27=1,IF(ISNUMBER(D27),YEAR(D27)*100+MONTH(D27),0),0)</f>
        <v>0</v>
      </c>
      <c r="S27" s="52" t="n">
        <f aca="false">IF(Q27=1,IF(M27&lt;0.15,1,0),0)</f>
        <v>0</v>
      </c>
    </row>
    <row r="28" customFormat="false" ht="15" hidden="false" customHeight="false" outlineLevel="0" collapsed="false">
      <c r="B28" s="53"/>
      <c r="C28" s="53"/>
      <c r="D28" s="54"/>
      <c r="E28" s="55"/>
      <c r="F28" s="55"/>
      <c r="G28" s="55"/>
      <c r="H28" s="56"/>
      <c r="I28" s="57" t="str">
        <f aca="false">IF(G28="","",G28*H28)</f>
        <v/>
      </c>
      <c r="J28" s="55"/>
      <c r="K28" s="55"/>
      <c r="L28" s="57" t="str">
        <f aca="false">IF(OR(B28="",G28=""),"",G28-E28-F28-I28-J28-K28)</f>
        <v/>
      </c>
      <c r="M28" s="58" t="str">
        <f aca="false">IF(L28="","",IF(G28=0,0,L28/G28))</f>
        <v/>
      </c>
      <c r="N28" s="53"/>
      <c r="O28" s="59" t="str">
        <f aca="false">IF(M28="","",IF(M28&lt;0.15,"⚠ LOW MARGIN / MARGEN BAJO","✔ OK"))</f>
        <v/>
      </c>
      <c r="P28" s="52" t="n">
        <f aca="false">IF(Q28=1,L28+ROW()/1000000,-1000000000000000)</f>
        <v>-1000000000000000</v>
      </c>
      <c r="Q28" s="52" t="n">
        <f aca="false">IF(B28="",0,IF(G28="",0,IF(N28="Returned / Devuelto",0,1)))</f>
        <v>0</v>
      </c>
      <c r="R28" s="52" t="n">
        <f aca="false">IF(Q28=1,IF(ISNUMBER(D28),YEAR(D28)*100+MONTH(D28),0),0)</f>
        <v>0</v>
      </c>
      <c r="S28" s="52" t="n">
        <f aca="false">IF(Q28=1,IF(M28&lt;0.15,1,0),0)</f>
        <v>0</v>
      </c>
    </row>
    <row r="29" customFormat="false" ht="15" hidden="false" customHeight="false" outlineLevel="0" collapsed="false">
      <c r="B29" s="53"/>
      <c r="C29" s="53"/>
      <c r="D29" s="54"/>
      <c r="E29" s="55"/>
      <c r="F29" s="55"/>
      <c r="G29" s="55"/>
      <c r="H29" s="56"/>
      <c r="I29" s="57" t="str">
        <f aca="false">IF(G29="","",G29*H29)</f>
        <v/>
      </c>
      <c r="J29" s="55"/>
      <c r="K29" s="55"/>
      <c r="L29" s="57" t="str">
        <f aca="false">IF(OR(B29="",G29=""),"",G29-E29-F29-I29-J29-K29)</f>
        <v/>
      </c>
      <c r="M29" s="58" t="str">
        <f aca="false">IF(L29="","",IF(G29=0,0,L29/G29))</f>
        <v/>
      </c>
      <c r="N29" s="53"/>
      <c r="O29" s="59" t="str">
        <f aca="false">IF(M29="","",IF(M29&lt;0.15,"⚠ LOW MARGIN / MARGEN BAJO","✔ OK"))</f>
        <v/>
      </c>
      <c r="P29" s="52" t="n">
        <f aca="false">IF(Q29=1,L29+ROW()/1000000,-1000000000000000)</f>
        <v>-1000000000000000</v>
      </c>
      <c r="Q29" s="52" t="n">
        <f aca="false">IF(B29="",0,IF(G29="",0,IF(N29="Returned / Devuelto",0,1)))</f>
        <v>0</v>
      </c>
      <c r="R29" s="52" t="n">
        <f aca="false">IF(Q29=1,IF(ISNUMBER(D29),YEAR(D29)*100+MONTH(D29),0),0)</f>
        <v>0</v>
      </c>
      <c r="S29" s="52" t="n">
        <f aca="false">IF(Q29=1,IF(M29&lt;0.15,1,0),0)</f>
        <v>0</v>
      </c>
    </row>
    <row r="30" customFormat="false" ht="15" hidden="false" customHeight="false" outlineLevel="0" collapsed="false">
      <c r="B30" s="53"/>
      <c r="C30" s="53"/>
      <c r="D30" s="54"/>
      <c r="E30" s="55"/>
      <c r="F30" s="55"/>
      <c r="G30" s="55"/>
      <c r="H30" s="56"/>
      <c r="I30" s="57" t="str">
        <f aca="false">IF(G30="","",G30*H30)</f>
        <v/>
      </c>
      <c r="J30" s="55"/>
      <c r="K30" s="55"/>
      <c r="L30" s="57" t="str">
        <f aca="false">IF(OR(B30="",G30=""),"",G30-E30-F30-I30-J30-K30)</f>
        <v/>
      </c>
      <c r="M30" s="58" t="str">
        <f aca="false">IF(L30="","",IF(G30=0,0,L30/G30))</f>
        <v/>
      </c>
      <c r="N30" s="53"/>
      <c r="O30" s="59" t="str">
        <f aca="false">IF(M30="","",IF(M30&lt;0.15,"⚠ LOW MARGIN / MARGEN BAJO","✔ OK"))</f>
        <v/>
      </c>
      <c r="P30" s="52" t="n">
        <f aca="false">IF(Q30=1,L30+ROW()/1000000,-1000000000000000)</f>
        <v>-1000000000000000</v>
      </c>
      <c r="Q30" s="52" t="n">
        <f aca="false">IF(B30="",0,IF(G30="",0,IF(N30="Returned / Devuelto",0,1)))</f>
        <v>0</v>
      </c>
      <c r="R30" s="52" t="n">
        <f aca="false">IF(Q30=1,IF(ISNUMBER(D30),YEAR(D30)*100+MONTH(D30),0),0)</f>
        <v>0</v>
      </c>
      <c r="S30" s="52" t="n">
        <f aca="false">IF(Q30=1,IF(M30&lt;0.15,1,0),0)</f>
        <v>0</v>
      </c>
    </row>
    <row r="31" customFormat="false" ht="15" hidden="false" customHeight="false" outlineLevel="0" collapsed="false">
      <c r="B31" s="53"/>
      <c r="C31" s="53"/>
      <c r="D31" s="54"/>
      <c r="E31" s="55"/>
      <c r="F31" s="55"/>
      <c r="G31" s="55"/>
      <c r="H31" s="56"/>
      <c r="I31" s="57" t="str">
        <f aca="false">IF(G31="","",G31*H31)</f>
        <v/>
      </c>
      <c r="J31" s="55"/>
      <c r="K31" s="55"/>
      <c r="L31" s="57" t="str">
        <f aca="false">IF(OR(B31="",G31=""),"",G31-E31-F31-I31-J31-K31)</f>
        <v/>
      </c>
      <c r="M31" s="58" t="str">
        <f aca="false">IF(L31="","",IF(G31=0,0,L31/G31))</f>
        <v/>
      </c>
      <c r="N31" s="53"/>
      <c r="O31" s="59" t="str">
        <f aca="false">IF(M31="","",IF(M31&lt;0.15,"⚠ LOW MARGIN / MARGEN BAJO","✔ OK"))</f>
        <v/>
      </c>
      <c r="P31" s="52" t="n">
        <f aca="false">IF(Q31=1,L31+ROW()/1000000,-1000000000000000)</f>
        <v>-1000000000000000</v>
      </c>
      <c r="Q31" s="52" t="n">
        <f aca="false">IF(B31="",0,IF(G31="",0,IF(N31="Returned / Devuelto",0,1)))</f>
        <v>0</v>
      </c>
      <c r="R31" s="52" t="n">
        <f aca="false">IF(Q31=1,IF(ISNUMBER(D31),YEAR(D31)*100+MONTH(D31),0),0)</f>
        <v>0</v>
      </c>
      <c r="S31" s="52" t="n">
        <f aca="false">IF(Q31=1,IF(M31&lt;0.15,1,0),0)</f>
        <v>0</v>
      </c>
    </row>
    <row r="32" customFormat="false" ht="15" hidden="false" customHeight="false" outlineLevel="0" collapsed="false">
      <c r="B32" s="53"/>
      <c r="C32" s="53"/>
      <c r="D32" s="54"/>
      <c r="E32" s="55"/>
      <c r="F32" s="55"/>
      <c r="G32" s="55"/>
      <c r="H32" s="56"/>
      <c r="I32" s="57" t="str">
        <f aca="false">IF(G32="","",G32*H32)</f>
        <v/>
      </c>
      <c r="J32" s="55"/>
      <c r="K32" s="55"/>
      <c r="L32" s="57" t="str">
        <f aca="false">IF(OR(B32="",G32=""),"",G32-E32-F32-I32-J32-K32)</f>
        <v/>
      </c>
      <c r="M32" s="58" t="str">
        <f aca="false">IF(L32="","",IF(G32=0,0,L32/G32))</f>
        <v/>
      </c>
      <c r="N32" s="53"/>
      <c r="O32" s="59" t="str">
        <f aca="false">IF(M32="","",IF(M32&lt;0.15,"⚠ LOW MARGIN / MARGEN BAJO","✔ OK"))</f>
        <v/>
      </c>
      <c r="P32" s="52" t="n">
        <f aca="false">IF(Q32=1,L32+ROW()/1000000,-1000000000000000)</f>
        <v>-1000000000000000</v>
      </c>
      <c r="Q32" s="52" t="n">
        <f aca="false">IF(B32="",0,IF(G32="",0,IF(N32="Returned / Devuelto",0,1)))</f>
        <v>0</v>
      </c>
      <c r="R32" s="52" t="n">
        <f aca="false">IF(Q32=1,IF(ISNUMBER(D32),YEAR(D32)*100+MONTH(D32),0),0)</f>
        <v>0</v>
      </c>
      <c r="S32" s="52" t="n">
        <f aca="false">IF(Q32=1,IF(M32&lt;0.15,1,0),0)</f>
        <v>0</v>
      </c>
    </row>
    <row r="33" customFormat="false" ht="15" hidden="false" customHeight="false" outlineLevel="0" collapsed="false">
      <c r="B33" s="53"/>
      <c r="C33" s="53"/>
      <c r="D33" s="54"/>
      <c r="E33" s="55"/>
      <c r="F33" s="55"/>
      <c r="G33" s="55"/>
      <c r="H33" s="56"/>
      <c r="I33" s="57" t="str">
        <f aca="false">IF(G33="","",G33*H33)</f>
        <v/>
      </c>
      <c r="J33" s="55"/>
      <c r="K33" s="55"/>
      <c r="L33" s="57" t="str">
        <f aca="false">IF(OR(B33="",G33=""),"",G33-E33-F33-I33-J33-K33)</f>
        <v/>
      </c>
      <c r="M33" s="58" t="str">
        <f aca="false">IF(L33="","",IF(G33=0,0,L33/G33))</f>
        <v/>
      </c>
      <c r="N33" s="53"/>
      <c r="O33" s="59" t="str">
        <f aca="false">IF(M33="","",IF(M33&lt;0.15,"⚠ LOW MARGIN / MARGEN BAJO","✔ OK"))</f>
        <v/>
      </c>
      <c r="P33" s="52" t="n">
        <f aca="false">IF(Q33=1,L33+ROW()/1000000,-1000000000000000)</f>
        <v>-1000000000000000</v>
      </c>
      <c r="Q33" s="52" t="n">
        <f aca="false">IF(B33="",0,IF(G33="",0,IF(N33="Returned / Devuelto",0,1)))</f>
        <v>0</v>
      </c>
      <c r="R33" s="52" t="n">
        <f aca="false">IF(Q33=1,IF(ISNUMBER(D33),YEAR(D33)*100+MONTH(D33),0),0)</f>
        <v>0</v>
      </c>
      <c r="S33" s="52" t="n">
        <f aca="false">IF(Q33=1,IF(M33&lt;0.15,1,0),0)</f>
        <v>0</v>
      </c>
    </row>
    <row r="34" customFormat="false" ht="15" hidden="false" customHeight="false" outlineLevel="0" collapsed="false">
      <c r="B34" s="53"/>
      <c r="C34" s="53"/>
      <c r="D34" s="54"/>
      <c r="E34" s="55"/>
      <c r="F34" s="55"/>
      <c r="G34" s="55"/>
      <c r="H34" s="56"/>
      <c r="I34" s="57" t="str">
        <f aca="false">IF(G34="","",G34*H34)</f>
        <v/>
      </c>
      <c r="J34" s="55"/>
      <c r="K34" s="55"/>
      <c r="L34" s="57" t="str">
        <f aca="false">IF(OR(B34="",G34=""),"",G34-E34-F34-I34-J34-K34)</f>
        <v/>
      </c>
      <c r="M34" s="58" t="str">
        <f aca="false">IF(L34="","",IF(G34=0,0,L34/G34))</f>
        <v/>
      </c>
      <c r="N34" s="53"/>
      <c r="O34" s="59" t="str">
        <f aca="false">IF(M34="","",IF(M34&lt;0.15,"⚠ LOW MARGIN / MARGEN BAJO","✔ OK"))</f>
        <v/>
      </c>
      <c r="P34" s="52" t="n">
        <f aca="false">IF(Q34=1,L34+ROW()/1000000,-1000000000000000)</f>
        <v>-1000000000000000</v>
      </c>
      <c r="Q34" s="52" t="n">
        <f aca="false">IF(B34="",0,IF(G34="",0,IF(N34="Returned / Devuelto",0,1)))</f>
        <v>0</v>
      </c>
      <c r="R34" s="52" t="n">
        <f aca="false">IF(Q34=1,IF(ISNUMBER(D34),YEAR(D34)*100+MONTH(D34),0),0)</f>
        <v>0</v>
      </c>
      <c r="S34" s="52" t="n">
        <f aca="false">IF(Q34=1,IF(M34&lt;0.15,1,0),0)</f>
        <v>0</v>
      </c>
    </row>
    <row r="35" customFormat="false" ht="15" hidden="false" customHeight="false" outlineLevel="0" collapsed="false">
      <c r="B35" s="53"/>
      <c r="C35" s="53"/>
      <c r="D35" s="54"/>
      <c r="E35" s="55"/>
      <c r="F35" s="55"/>
      <c r="G35" s="55"/>
      <c r="H35" s="56"/>
      <c r="I35" s="57" t="str">
        <f aca="false">IF(G35="","",G35*H35)</f>
        <v/>
      </c>
      <c r="J35" s="55"/>
      <c r="K35" s="55"/>
      <c r="L35" s="57" t="str">
        <f aca="false">IF(OR(B35="",G35=""),"",G35-E35-F35-I35-J35-K35)</f>
        <v/>
      </c>
      <c r="M35" s="58" t="str">
        <f aca="false">IF(L35="","",IF(G35=0,0,L35/G35))</f>
        <v/>
      </c>
      <c r="N35" s="53"/>
      <c r="O35" s="59" t="str">
        <f aca="false">IF(M35="","",IF(M35&lt;0.15,"⚠ LOW MARGIN / MARGEN BAJO","✔ OK"))</f>
        <v/>
      </c>
      <c r="P35" s="52" t="n">
        <f aca="false">IF(Q35=1,L35+ROW()/1000000,-1000000000000000)</f>
        <v>-1000000000000000</v>
      </c>
      <c r="Q35" s="52" t="n">
        <f aca="false">IF(B35="",0,IF(G35="",0,IF(N35="Returned / Devuelto",0,1)))</f>
        <v>0</v>
      </c>
      <c r="R35" s="52" t="n">
        <f aca="false">IF(Q35=1,IF(ISNUMBER(D35),YEAR(D35)*100+MONTH(D35),0),0)</f>
        <v>0</v>
      </c>
      <c r="S35" s="52" t="n">
        <f aca="false">IF(Q35=1,IF(M35&lt;0.15,1,0),0)</f>
        <v>0</v>
      </c>
    </row>
    <row r="36" customFormat="false" ht="15" hidden="false" customHeight="false" outlineLevel="0" collapsed="false">
      <c r="B36" s="53"/>
      <c r="C36" s="53"/>
      <c r="D36" s="54"/>
      <c r="E36" s="55"/>
      <c r="F36" s="55"/>
      <c r="G36" s="55"/>
      <c r="H36" s="56"/>
      <c r="I36" s="57" t="str">
        <f aca="false">IF(G36="","",G36*H36)</f>
        <v/>
      </c>
      <c r="J36" s="55"/>
      <c r="K36" s="55"/>
      <c r="L36" s="57" t="str">
        <f aca="false">IF(OR(B36="",G36=""),"",G36-E36-F36-I36-J36-K36)</f>
        <v/>
      </c>
      <c r="M36" s="58" t="str">
        <f aca="false">IF(L36="","",IF(G36=0,0,L36/G36))</f>
        <v/>
      </c>
      <c r="N36" s="53"/>
      <c r="O36" s="59" t="str">
        <f aca="false">IF(M36="","",IF(M36&lt;0.15,"⚠ LOW MARGIN / MARGEN BAJO","✔ OK"))</f>
        <v/>
      </c>
      <c r="P36" s="52" t="n">
        <f aca="false">IF(Q36=1,L36+ROW()/1000000,-1000000000000000)</f>
        <v>-1000000000000000</v>
      </c>
      <c r="Q36" s="52" t="n">
        <f aca="false">IF(B36="",0,IF(G36="",0,IF(N36="Returned / Devuelto",0,1)))</f>
        <v>0</v>
      </c>
      <c r="R36" s="52" t="n">
        <f aca="false">IF(Q36=1,IF(ISNUMBER(D36),YEAR(D36)*100+MONTH(D36),0),0)</f>
        <v>0</v>
      </c>
      <c r="S36" s="52" t="n">
        <f aca="false">IF(Q36=1,IF(M36&lt;0.15,1,0),0)</f>
        <v>0</v>
      </c>
    </row>
    <row r="37" customFormat="false" ht="15" hidden="false" customHeight="false" outlineLevel="0" collapsed="false">
      <c r="B37" s="53"/>
      <c r="C37" s="53"/>
      <c r="D37" s="54"/>
      <c r="E37" s="55"/>
      <c r="F37" s="55"/>
      <c r="G37" s="55"/>
      <c r="H37" s="56"/>
      <c r="I37" s="57" t="str">
        <f aca="false">IF(G37="","",G37*H37)</f>
        <v/>
      </c>
      <c r="J37" s="55"/>
      <c r="K37" s="55"/>
      <c r="L37" s="57" t="str">
        <f aca="false">IF(OR(B37="",G37=""),"",G37-E37-F37-I37-J37-K37)</f>
        <v/>
      </c>
      <c r="M37" s="58" t="str">
        <f aca="false">IF(L37="","",IF(G37=0,0,L37/G37))</f>
        <v/>
      </c>
      <c r="N37" s="53"/>
      <c r="O37" s="59" t="str">
        <f aca="false">IF(M37="","",IF(M37&lt;0.15,"⚠ LOW MARGIN / MARGEN BAJO","✔ OK"))</f>
        <v/>
      </c>
      <c r="P37" s="52" t="n">
        <f aca="false">IF(Q37=1,L37+ROW()/1000000,-1000000000000000)</f>
        <v>-1000000000000000</v>
      </c>
      <c r="Q37" s="52" t="n">
        <f aca="false">IF(B37="",0,IF(G37="",0,IF(N37="Returned / Devuelto",0,1)))</f>
        <v>0</v>
      </c>
      <c r="R37" s="52" t="n">
        <f aca="false">IF(Q37=1,IF(ISNUMBER(D37),YEAR(D37)*100+MONTH(D37),0),0)</f>
        <v>0</v>
      </c>
      <c r="S37" s="52" t="n">
        <f aca="false">IF(Q37=1,IF(M37&lt;0.15,1,0),0)</f>
        <v>0</v>
      </c>
    </row>
    <row r="38" customFormat="false" ht="15" hidden="false" customHeight="false" outlineLevel="0" collapsed="false">
      <c r="B38" s="53"/>
      <c r="C38" s="53"/>
      <c r="D38" s="54"/>
      <c r="E38" s="55"/>
      <c r="F38" s="55"/>
      <c r="G38" s="55"/>
      <c r="H38" s="56"/>
      <c r="I38" s="57" t="str">
        <f aca="false">IF(G38="","",G38*H38)</f>
        <v/>
      </c>
      <c r="J38" s="55"/>
      <c r="K38" s="55"/>
      <c r="L38" s="57" t="str">
        <f aca="false">IF(OR(B38="",G38=""),"",G38-E38-F38-I38-J38-K38)</f>
        <v/>
      </c>
      <c r="M38" s="58" t="str">
        <f aca="false">IF(L38="","",IF(G38=0,0,L38/G38))</f>
        <v/>
      </c>
      <c r="N38" s="53"/>
      <c r="O38" s="59" t="str">
        <f aca="false">IF(M38="","",IF(M38&lt;0.15,"⚠ LOW MARGIN / MARGEN BAJO","✔ OK"))</f>
        <v/>
      </c>
      <c r="P38" s="52" t="n">
        <f aca="false">IF(Q38=1,L38+ROW()/1000000,-1000000000000000)</f>
        <v>-1000000000000000</v>
      </c>
      <c r="Q38" s="52" t="n">
        <f aca="false">IF(B38="",0,IF(G38="",0,IF(N38="Returned / Devuelto",0,1)))</f>
        <v>0</v>
      </c>
      <c r="R38" s="52" t="n">
        <f aca="false">IF(Q38=1,IF(ISNUMBER(D38),YEAR(D38)*100+MONTH(D38),0),0)</f>
        <v>0</v>
      </c>
      <c r="S38" s="52" t="n">
        <f aca="false">IF(Q38=1,IF(M38&lt;0.15,1,0),0)</f>
        <v>0</v>
      </c>
    </row>
    <row r="39" customFormat="false" ht="15" hidden="false" customHeight="false" outlineLevel="0" collapsed="false">
      <c r="B39" s="53"/>
      <c r="C39" s="53"/>
      <c r="D39" s="54"/>
      <c r="E39" s="55"/>
      <c r="F39" s="55"/>
      <c r="G39" s="55"/>
      <c r="H39" s="56"/>
      <c r="I39" s="57" t="str">
        <f aca="false">IF(G39="","",G39*H39)</f>
        <v/>
      </c>
      <c r="J39" s="55"/>
      <c r="K39" s="55"/>
      <c r="L39" s="57" t="str">
        <f aca="false">IF(OR(B39="",G39=""),"",G39-E39-F39-I39-J39-K39)</f>
        <v/>
      </c>
      <c r="M39" s="58" t="str">
        <f aca="false">IF(L39="","",IF(G39=0,0,L39/G39))</f>
        <v/>
      </c>
      <c r="N39" s="53"/>
      <c r="O39" s="59" t="str">
        <f aca="false">IF(M39="","",IF(M39&lt;0.15,"⚠ LOW MARGIN / MARGEN BAJO","✔ OK"))</f>
        <v/>
      </c>
      <c r="P39" s="52" t="n">
        <f aca="false">IF(Q39=1,L39+ROW()/1000000,-1000000000000000)</f>
        <v>-1000000000000000</v>
      </c>
      <c r="Q39" s="52" t="n">
        <f aca="false">IF(B39="",0,IF(G39="",0,IF(N39="Returned / Devuelto",0,1)))</f>
        <v>0</v>
      </c>
      <c r="R39" s="52" t="n">
        <f aca="false">IF(Q39=1,IF(ISNUMBER(D39),YEAR(D39)*100+MONTH(D39),0),0)</f>
        <v>0</v>
      </c>
      <c r="S39" s="52" t="n">
        <f aca="false">IF(Q39=1,IF(M39&lt;0.15,1,0),0)</f>
        <v>0</v>
      </c>
    </row>
    <row r="40" customFormat="false" ht="15" hidden="false" customHeight="false" outlineLevel="0" collapsed="false">
      <c r="B40" s="53"/>
      <c r="C40" s="53"/>
      <c r="D40" s="54"/>
      <c r="E40" s="55"/>
      <c r="F40" s="55"/>
      <c r="G40" s="55"/>
      <c r="H40" s="56"/>
      <c r="I40" s="57" t="str">
        <f aca="false">IF(G40="","",G40*H40)</f>
        <v/>
      </c>
      <c r="J40" s="55"/>
      <c r="K40" s="55"/>
      <c r="L40" s="57" t="str">
        <f aca="false">IF(OR(B40="",G40=""),"",G40-E40-F40-I40-J40-K40)</f>
        <v/>
      </c>
      <c r="M40" s="58" t="str">
        <f aca="false">IF(L40="","",IF(G40=0,0,L40/G40))</f>
        <v/>
      </c>
      <c r="N40" s="53"/>
      <c r="O40" s="59" t="str">
        <f aca="false">IF(M40="","",IF(M40&lt;0.15,"⚠ LOW MARGIN / MARGEN BAJO","✔ OK"))</f>
        <v/>
      </c>
      <c r="P40" s="52" t="n">
        <f aca="false">IF(Q40=1,L40+ROW()/1000000,-1000000000000000)</f>
        <v>-1000000000000000</v>
      </c>
      <c r="Q40" s="52" t="n">
        <f aca="false">IF(B40="",0,IF(G40="",0,IF(N40="Returned / Devuelto",0,1)))</f>
        <v>0</v>
      </c>
      <c r="R40" s="52" t="n">
        <f aca="false">IF(Q40=1,IF(ISNUMBER(D40),YEAR(D40)*100+MONTH(D40),0),0)</f>
        <v>0</v>
      </c>
      <c r="S40" s="52" t="n">
        <f aca="false">IF(Q40=1,IF(M40&lt;0.15,1,0),0)</f>
        <v>0</v>
      </c>
    </row>
    <row r="41" customFormat="false" ht="15" hidden="false" customHeight="false" outlineLevel="0" collapsed="false">
      <c r="B41" s="53"/>
      <c r="C41" s="53"/>
      <c r="D41" s="54"/>
      <c r="E41" s="55"/>
      <c r="F41" s="55"/>
      <c r="G41" s="55"/>
      <c r="H41" s="56"/>
      <c r="I41" s="57" t="str">
        <f aca="false">IF(G41="","",G41*H41)</f>
        <v/>
      </c>
      <c r="J41" s="55"/>
      <c r="K41" s="55"/>
      <c r="L41" s="57" t="str">
        <f aca="false">IF(OR(B41="",G41=""),"",G41-E41-F41-I41-J41-K41)</f>
        <v/>
      </c>
      <c r="M41" s="58" t="str">
        <f aca="false">IF(L41="","",IF(G41=0,0,L41/G41))</f>
        <v/>
      </c>
      <c r="N41" s="53"/>
      <c r="O41" s="59" t="str">
        <f aca="false">IF(M41="","",IF(M41&lt;0.15,"⚠ LOW MARGIN / MARGEN BAJO","✔ OK"))</f>
        <v/>
      </c>
      <c r="P41" s="52" t="n">
        <f aca="false">IF(Q41=1,L41+ROW()/1000000,-1000000000000000)</f>
        <v>-1000000000000000</v>
      </c>
      <c r="Q41" s="52" t="n">
        <f aca="false">IF(B41="",0,IF(G41="",0,IF(N41="Returned / Devuelto",0,1)))</f>
        <v>0</v>
      </c>
      <c r="R41" s="52" t="n">
        <f aca="false">IF(Q41=1,IF(ISNUMBER(D41),YEAR(D41)*100+MONTH(D41),0),0)</f>
        <v>0</v>
      </c>
      <c r="S41" s="52" t="n">
        <f aca="false">IF(Q41=1,IF(M41&lt;0.15,1,0),0)</f>
        <v>0</v>
      </c>
    </row>
    <row r="42" customFormat="false" ht="15" hidden="false" customHeight="false" outlineLevel="0" collapsed="false">
      <c r="B42" s="53"/>
      <c r="C42" s="53"/>
      <c r="D42" s="54"/>
      <c r="E42" s="55"/>
      <c r="F42" s="55"/>
      <c r="G42" s="55"/>
      <c r="H42" s="56"/>
      <c r="I42" s="57" t="str">
        <f aca="false">IF(G42="","",G42*H42)</f>
        <v/>
      </c>
      <c r="J42" s="55"/>
      <c r="K42" s="55"/>
      <c r="L42" s="57" t="str">
        <f aca="false">IF(OR(B42="",G42=""),"",G42-E42-F42-I42-J42-K42)</f>
        <v/>
      </c>
      <c r="M42" s="58" t="str">
        <f aca="false">IF(L42="","",IF(G42=0,0,L42/G42))</f>
        <v/>
      </c>
      <c r="N42" s="53"/>
      <c r="O42" s="59" t="str">
        <f aca="false">IF(M42="","",IF(M42&lt;0.15,"⚠ LOW MARGIN / MARGEN BAJO","✔ OK"))</f>
        <v/>
      </c>
      <c r="P42" s="52" t="n">
        <f aca="false">IF(Q42=1,L42+ROW()/1000000,-1000000000000000)</f>
        <v>-1000000000000000</v>
      </c>
      <c r="Q42" s="52" t="n">
        <f aca="false">IF(B42="",0,IF(G42="",0,IF(N42="Returned / Devuelto",0,1)))</f>
        <v>0</v>
      </c>
      <c r="R42" s="52" t="n">
        <f aca="false">IF(Q42=1,IF(ISNUMBER(D42),YEAR(D42)*100+MONTH(D42),0),0)</f>
        <v>0</v>
      </c>
      <c r="S42" s="52" t="n">
        <f aca="false">IF(Q42=1,IF(M42&lt;0.15,1,0),0)</f>
        <v>0</v>
      </c>
    </row>
    <row r="43" customFormat="false" ht="15" hidden="false" customHeight="false" outlineLevel="0" collapsed="false">
      <c r="B43" s="53"/>
      <c r="C43" s="53"/>
      <c r="D43" s="54"/>
      <c r="E43" s="55"/>
      <c r="F43" s="55"/>
      <c r="G43" s="55"/>
      <c r="H43" s="56"/>
      <c r="I43" s="57" t="str">
        <f aca="false">IF(G43="","",G43*H43)</f>
        <v/>
      </c>
      <c r="J43" s="55"/>
      <c r="K43" s="55"/>
      <c r="L43" s="57" t="str">
        <f aca="false">IF(OR(B43="",G43=""),"",G43-E43-F43-I43-J43-K43)</f>
        <v/>
      </c>
      <c r="M43" s="58" t="str">
        <f aca="false">IF(L43="","",IF(G43=0,0,L43/G43))</f>
        <v/>
      </c>
      <c r="N43" s="53"/>
      <c r="O43" s="59" t="str">
        <f aca="false">IF(M43="","",IF(M43&lt;0.15,"⚠ LOW MARGIN / MARGEN BAJO","✔ OK"))</f>
        <v/>
      </c>
      <c r="P43" s="52" t="n">
        <f aca="false">IF(Q43=1,L43+ROW()/1000000,-1000000000000000)</f>
        <v>-1000000000000000</v>
      </c>
      <c r="Q43" s="52" t="n">
        <f aca="false">IF(B43="",0,IF(G43="",0,IF(N43="Returned / Devuelto",0,1)))</f>
        <v>0</v>
      </c>
      <c r="R43" s="52" t="n">
        <f aca="false">IF(Q43=1,IF(ISNUMBER(D43),YEAR(D43)*100+MONTH(D43),0),0)</f>
        <v>0</v>
      </c>
      <c r="S43" s="52" t="n">
        <f aca="false">IF(Q43=1,IF(M43&lt;0.15,1,0),0)</f>
        <v>0</v>
      </c>
    </row>
    <row r="44" customFormat="false" ht="15" hidden="false" customHeight="false" outlineLevel="0" collapsed="false">
      <c r="B44" s="53"/>
      <c r="C44" s="53"/>
      <c r="D44" s="54"/>
      <c r="E44" s="55"/>
      <c r="F44" s="55"/>
      <c r="G44" s="55"/>
      <c r="H44" s="56"/>
      <c r="I44" s="57" t="str">
        <f aca="false">IF(G44="","",G44*H44)</f>
        <v/>
      </c>
      <c r="J44" s="55"/>
      <c r="K44" s="55"/>
      <c r="L44" s="57" t="str">
        <f aca="false">IF(OR(B44="",G44=""),"",G44-E44-F44-I44-J44-K44)</f>
        <v/>
      </c>
      <c r="M44" s="58" t="str">
        <f aca="false">IF(L44="","",IF(G44=0,0,L44/G44))</f>
        <v/>
      </c>
      <c r="N44" s="53"/>
      <c r="O44" s="59" t="str">
        <f aca="false">IF(M44="","",IF(M44&lt;0.15,"⚠ LOW MARGIN / MARGEN BAJO","✔ OK"))</f>
        <v/>
      </c>
      <c r="P44" s="52" t="n">
        <f aca="false">IF(Q44=1,L44+ROW()/1000000,-1000000000000000)</f>
        <v>-1000000000000000</v>
      </c>
      <c r="Q44" s="52" t="n">
        <f aca="false">IF(B44="",0,IF(G44="",0,IF(N44="Returned / Devuelto",0,1)))</f>
        <v>0</v>
      </c>
      <c r="R44" s="52" t="n">
        <f aca="false">IF(Q44=1,IF(ISNUMBER(D44),YEAR(D44)*100+MONTH(D44),0),0)</f>
        <v>0</v>
      </c>
      <c r="S44" s="52" t="n">
        <f aca="false">IF(Q44=1,IF(M44&lt;0.15,1,0),0)</f>
        <v>0</v>
      </c>
    </row>
    <row r="45" customFormat="false" ht="15" hidden="false" customHeight="false" outlineLevel="0" collapsed="false">
      <c r="B45" s="53"/>
      <c r="C45" s="53"/>
      <c r="D45" s="54"/>
      <c r="E45" s="55"/>
      <c r="F45" s="55"/>
      <c r="G45" s="55"/>
      <c r="H45" s="56"/>
      <c r="I45" s="57" t="str">
        <f aca="false">IF(G45="","",G45*H45)</f>
        <v/>
      </c>
      <c r="J45" s="55"/>
      <c r="K45" s="55"/>
      <c r="L45" s="57" t="str">
        <f aca="false">IF(OR(B45="",G45=""),"",G45-E45-F45-I45-J45-K45)</f>
        <v/>
      </c>
      <c r="M45" s="58" t="str">
        <f aca="false">IF(L45="","",IF(G45=0,0,L45/G45))</f>
        <v/>
      </c>
      <c r="N45" s="53"/>
      <c r="O45" s="59" t="str">
        <f aca="false">IF(M45="","",IF(M45&lt;0.15,"⚠ LOW MARGIN / MARGEN BAJO","✔ OK"))</f>
        <v/>
      </c>
      <c r="P45" s="52" t="n">
        <f aca="false">IF(Q45=1,L45+ROW()/1000000,-1000000000000000)</f>
        <v>-1000000000000000</v>
      </c>
      <c r="Q45" s="52" t="n">
        <f aca="false">IF(B45="",0,IF(G45="",0,IF(N45="Returned / Devuelto",0,1)))</f>
        <v>0</v>
      </c>
      <c r="R45" s="52" t="n">
        <f aca="false">IF(Q45=1,IF(ISNUMBER(D45),YEAR(D45)*100+MONTH(D45),0),0)</f>
        <v>0</v>
      </c>
      <c r="S45" s="52" t="n">
        <f aca="false">IF(Q45=1,IF(M45&lt;0.15,1,0),0)</f>
        <v>0</v>
      </c>
    </row>
    <row r="46" customFormat="false" ht="15" hidden="false" customHeight="false" outlineLevel="0" collapsed="false">
      <c r="B46" s="53"/>
      <c r="C46" s="53"/>
      <c r="D46" s="54"/>
      <c r="E46" s="55"/>
      <c r="F46" s="55"/>
      <c r="G46" s="55"/>
      <c r="H46" s="56"/>
      <c r="I46" s="57" t="str">
        <f aca="false">IF(G46="","",G46*H46)</f>
        <v/>
      </c>
      <c r="J46" s="55"/>
      <c r="K46" s="55"/>
      <c r="L46" s="57" t="str">
        <f aca="false">IF(OR(B46="",G46=""),"",G46-E46-F46-I46-J46-K46)</f>
        <v/>
      </c>
      <c r="M46" s="58" t="str">
        <f aca="false">IF(L46="","",IF(G46=0,0,L46/G46))</f>
        <v/>
      </c>
      <c r="N46" s="53"/>
      <c r="O46" s="59" t="str">
        <f aca="false">IF(M46="","",IF(M46&lt;0.15,"⚠ LOW MARGIN / MARGEN BAJO","✔ OK"))</f>
        <v/>
      </c>
      <c r="P46" s="52" t="n">
        <f aca="false">IF(Q46=1,L46+ROW()/1000000,-1000000000000000)</f>
        <v>-1000000000000000</v>
      </c>
      <c r="Q46" s="52" t="n">
        <f aca="false">IF(B46="",0,IF(G46="",0,IF(N46="Returned / Devuelto",0,1)))</f>
        <v>0</v>
      </c>
      <c r="R46" s="52" t="n">
        <f aca="false">IF(Q46=1,IF(ISNUMBER(D46),YEAR(D46)*100+MONTH(D46),0),0)</f>
        <v>0</v>
      </c>
      <c r="S46" s="52" t="n">
        <f aca="false">IF(Q46=1,IF(M46&lt;0.15,1,0),0)</f>
        <v>0</v>
      </c>
    </row>
    <row r="47" customFormat="false" ht="15" hidden="false" customHeight="false" outlineLevel="0" collapsed="false">
      <c r="B47" s="53"/>
      <c r="C47" s="53"/>
      <c r="D47" s="54"/>
      <c r="E47" s="55"/>
      <c r="F47" s="55"/>
      <c r="G47" s="55"/>
      <c r="H47" s="56"/>
      <c r="I47" s="57" t="str">
        <f aca="false">IF(G47="","",G47*H47)</f>
        <v/>
      </c>
      <c r="J47" s="55"/>
      <c r="K47" s="55"/>
      <c r="L47" s="57" t="str">
        <f aca="false">IF(OR(B47="",G47=""),"",G47-E47-F47-I47-J47-K47)</f>
        <v/>
      </c>
      <c r="M47" s="58" t="str">
        <f aca="false">IF(L47="","",IF(G47=0,0,L47/G47))</f>
        <v/>
      </c>
      <c r="N47" s="53"/>
      <c r="O47" s="59" t="str">
        <f aca="false">IF(M47="","",IF(M47&lt;0.15,"⚠ LOW MARGIN / MARGEN BAJO","✔ OK"))</f>
        <v/>
      </c>
      <c r="P47" s="52" t="n">
        <f aca="false">IF(Q47=1,L47+ROW()/1000000,-1000000000000000)</f>
        <v>-1000000000000000</v>
      </c>
      <c r="Q47" s="52" t="n">
        <f aca="false">IF(B47="",0,IF(G47="",0,IF(N47="Returned / Devuelto",0,1)))</f>
        <v>0</v>
      </c>
      <c r="R47" s="52" t="n">
        <f aca="false">IF(Q47=1,IF(ISNUMBER(D47),YEAR(D47)*100+MONTH(D47),0),0)</f>
        <v>0</v>
      </c>
      <c r="S47" s="52" t="n">
        <f aca="false">IF(Q47=1,IF(M47&lt;0.15,1,0),0)</f>
        <v>0</v>
      </c>
    </row>
    <row r="48" customFormat="false" ht="15" hidden="false" customHeight="false" outlineLevel="0" collapsed="false">
      <c r="B48" s="53"/>
      <c r="C48" s="53"/>
      <c r="D48" s="54"/>
      <c r="E48" s="55"/>
      <c r="F48" s="55"/>
      <c r="G48" s="55"/>
      <c r="H48" s="56"/>
      <c r="I48" s="57" t="str">
        <f aca="false">IF(G48="","",G48*H48)</f>
        <v/>
      </c>
      <c r="J48" s="55"/>
      <c r="K48" s="55"/>
      <c r="L48" s="57" t="str">
        <f aca="false">IF(OR(B48="",G48=""),"",G48-E48-F48-I48-J48-K48)</f>
        <v/>
      </c>
      <c r="M48" s="58" t="str">
        <f aca="false">IF(L48="","",IF(G48=0,0,L48/G48))</f>
        <v/>
      </c>
      <c r="N48" s="53"/>
      <c r="O48" s="59" t="str">
        <f aca="false">IF(M48="","",IF(M48&lt;0.15,"⚠ LOW MARGIN / MARGEN BAJO","✔ OK"))</f>
        <v/>
      </c>
      <c r="P48" s="52" t="n">
        <f aca="false">IF(Q48=1,L48+ROW()/1000000,-1000000000000000)</f>
        <v>-1000000000000000</v>
      </c>
      <c r="Q48" s="52" t="n">
        <f aca="false">IF(B48="",0,IF(G48="",0,IF(N48="Returned / Devuelto",0,1)))</f>
        <v>0</v>
      </c>
      <c r="R48" s="52" t="n">
        <f aca="false">IF(Q48=1,IF(ISNUMBER(D48),YEAR(D48)*100+MONTH(D48),0),0)</f>
        <v>0</v>
      </c>
      <c r="S48" s="52" t="n">
        <f aca="false">IF(Q48=1,IF(M48&lt;0.15,1,0),0)</f>
        <v>0</v>
      </c>
    </row>
    <row r="49" customFormat="false" ht="15" hidden="false" customHeight="false" outlineLevel="0" collapsed="false">
      <c r="B49" s="53"/>
      <c r="C49" s="53"/>
      <c r="D49" s="54"/>
      <c r="E49" s="55"/>
      <c r="F49" s="55"/>
      <c r="G49" s="55"/>
      <c r="H49" s="56"/>
      <c r="I49" s="57" t="str">
        <f aca="false">IF(G49="","",G49*H49)</f>
        <v/>
      </c>
      <c r="J49" s="55"/>
      <c r="K49" s="55"/>
      <c r="L49" s="57" t="str">
        <f aca="false">IF(OR(B49="",G49=""),"",G49-E49-F49-I49-J49-K49)</f>
        <v/>
      </c>
      <c r="M49" s="58" t="str">
        <f aca="false">IF(L49="","",IF(G49=0,0,L49/G49))</f>
        <v/>
      </c>
      <c r="N49" s="53"/>
      <c r="O49" s="59" t="str">
        <f aca="false">IF(M49="","",IF(M49&lt;0.15,"⚠ LOW MARGIN / MARGEN BAJO","✔ OK"))</f>
        <v/>
      </c>
      <c r="P49" s="52" t="n">
        <f aca="false">IF(Q49=1,L49+ROW()/1000000,-1000000000000000)</f>
        <v>-1000000000000000</v>
      </c>
      <c r="Q49" s="52" t="n">
        <f aca="false">IF(B49="",0,IF(G49="",0,IF(N49="Returned / Devuelto",0,1)))</f>
        <v>0</v>
      </c>
      <c r="R49" s="52" t="n">
        <f aca="false">IF(Q49=1,IF(ISNUMBER(D49),YEAR(D49)*100+MONTH(D49),0),0)</f>
        <v>0</v>
      </c>
      <c r="S49" s="52" t="n">
        <f aca="false">IF(Q49=1,IF(M49&lt;0.15,1,0),0)</f>
        <v>0</v>
      </c>
    </row>
    <row r="50" customFormat="false" ht="15" hidden="false" customHeight="false" outlineLevel="0" collapsed="false">
      <c r="B50" s="53"/>
      <c r="C50" s="53"/>
      <c r="D50" s="54"/>
      <c r="E50" s="55"/>
      <c r="F50" s="55"/>
      <c r="G50" s="55"/>
      <c r="H50" s="56"/>
      <c r="I50" s="57" t="str">
        <f aca="false">IF(G50="","",G50*H50)</f>
        <v/>
      </c>
      <c r="J50" s="55"/>
      <c r="K50" s="55"/>
      <c r="L50" s="57" t="str">
        <f aca="false">IF(OR(B50="",G50=""),"",G50-E50-F50-I50-J50-K50)</f>
        <v/>
      </c>
      <c r="M50" s="58" t="str">
        <f aca="false">IF(L50="","",IF(G50=0,0,L50/G50))</f>
        <v/>
      </c>
      <c r="N50" s="53"/>
      <c r="O50" s="59" t="str">
        <f aca="false">IF(M50="","",IF(M50&lt;0.15,"⚠ LOW MARGIN / MARGEN BAJO","✔ OK"))</f>
        <v/>
      </c>
      <c r="P50" s="52" t="n">
        <f aca="false">IF(Q50=1,L50+ROW()/1000000,-1000000000000000)</f>
        <v>-1000000000000000</v>
      </c>
      <c r="Q50" s="52" t="n">
        <f aca="false">IF(B50="",0,IF(G50="",0,IF(N50="Returned / Devuelto",0,1)))</f>
        <v>0</v>
      </c>
      <c r="R50" s="52" t="n">
        <f aca="false">IF(Q50=1,IF(ISNUMBER(D50),YEAR(D50)*100+MONTH(D50),0),0)</f>
        <v>0</v>
      </c>
      <c r="S50" s="52" t="n">
        <f aca="false">IF(Q50=1,IF(M50&lt;0.15,1,0),0)</f>
        <v>0</v>
      </c>
    </row>
    <row r="51" customFormat="false" ht="15" hidden="false" customHeight="false" outlineLevel="0" collapsed="false">
      <c r="B51" s="53"/>
      <c r="C51" s="53"/>
      <c r="D51" s="54"/>
      <c r="E51" s="55"/>
      <c r="F51" s="55"/>
      <c r="G51" s="55"/>
      <c r="H51" s="56"/>
      <c r="I51" s="57" t="str">
        <f aca="false">IF(G51="","",G51*H51)</f>
        <v/>
      </c>
      <c r="J51" s="55"/>
      <c r="K51" s="55"/>
      <c r="L51" s="57" t="str">
        <f aca="false">IF(OR(B51="",G51=""),"",G51-E51-F51-I51-J51-K51)</f>
        <v/>
      </c>
      <c r="M51" s="58" t="str">
        <f aca="false">IF(L51="","",IF(G51=0,0,L51/G51))</f>
        <v/>
      </c>
      <c r="N51" s="53"/>
      <c r="O51" s="59" t="str">
        <f aca="false">IF(M51="","",IF(M51&lt;0.15,"⚠ LOW MARGIN / MARGEN BAJO","✔ OK"))</f>
        <v/>
      </c>
      <c r="P51" s="52" t="n">
        <f aca="false">IF(Q51=1,L51+ROW()/1000000,-1000000000000000)</f>
        <v>-1000000000000000</v>
      </c>
      <c r="Q51" s="52" t="n">
        <f aca="false">IF(B51="",0,IF(G51="",0,IF(N51="Returned / Devuelto",0,1)))</f>
        <v>0</v>
      </c>
      <c r="R51" s="52" t="n">
        <f aca="false">IF(Q51=1,IF(ISNUMBER(D51),YEAR(D51)*100+MONTH(D51),0),0)</f>
        <v>0</v>
      </c>
      <c r="S51" s="52" t="n">
        <f aca="false">IF(Q51=1,IF(M51&lt;0.15,1,0),0)</f>
        <v>0</v>
      </c>
    </row>
    <row r="52" customFormat="false" ht="15" hidden="false" customHeight="false" outlineLevel="0" collapsed="false">
      <c r="B52" s="53"/>
      <c r="C52" s="53"/>
      <c r="D52" s="54"/>
      <c r="E52" s="55"/>
      <c r="F52" s="55"/>
      <c r="G52" s="55"/>
      <c r="H52" s="56"/>
      <c r="I52" s="57" t="str">
        <f aca="false">IF(G52="","",G52*H52)</f>
        <v/>
      </c>
      <c r="J52" s="55"/>
      <c r="K52" s="55"/>
      <c r="L52" s="57" t="str">
        <f aca="false">IF(OR(B52="",G52=""),"",G52-E52-F52-I52-J52-K52)</f>
        <v/>
      </c>
      <c r="M52" s="58" t="str">
        <f aca="false">IF(L52="","",IF(G52=0,0,L52/G52))</f>
        <v/>
      </c>
      <c r="N52" s="53"/>
      <c r="O52" s="59" t="str">
        <f aca="false">IF(M52="","",IF(M52&lt;0.15,"⚠ LOW MARGIN / MARGEN BAJO","✔ OK"))</f>
        <v/>
      </c>
      <c r="P52" s="52" t="n">
        <f aca="false">IF(Q52=1,L52+ROW()/1000000,-1000000000000000)</f>
        <v>-1000000000000000</v>
      </c>
      <c r="Q52" s="52" t="n">
        <f aca="false">IF(B52="",0,IF(G52="",0,IF(N52="Returned / Devuelto",0,1)))</f>
        <v>0</v>
      </c>
      <c r="R52" s="52" t="n">
        <f aca="false">IF(Q52=1,IF(ISNUMBER(D52),YEAR(D52)*100+MONTH(D52),0),0)</f>
        <v>0</v>
      </c>
      <c r="S52" s="52" t="n">
        <f aca="false">IF(Q52=1,IF(M52&lt;0.15,1,0),0)</f>
        <v>0</v>
      </c>
    </row>
    <row r="53" customFormat="false" ht="15" hidden="false" customHeight="false" outlineLevel="0" collapsed="false">
      <c r="B53" s="53"/>
      <c r="C53" s="53"/>
      <c r="D53" s="54"/>
      <c r="E53" s="55"/>
      <c r="F53" s="55"/>
      <c r="G53" s="55"/>
      <c r="H53" s="56"/>
      <c r="I53" s="57" t="str">
        <f aca="false">IF(G53="","",G53*H53)</f>
        <v/>
      </c>
      <c r="J53" s="55"/>
      <c r="K53" s="55"/>
      <c r="L53" s="57" t="str">
        <f aca="false">IF(OR(B53="",G53=""),"",G53-E53-F53-I53-J53-K53)</f>
        <v/>
      </c>
      <c r="M53" s="58" t="str">
        <f aca="false">IF(L53="","",IF(G53=0,0,L53/G53))</f>
        <v/>
      </c>
      <c r="N53" s="53"/>
      <c r="O53" s="59" t="str">
        <f aca="false">IF(M53="","",IF(M53&lt;0.15,"⚠ LOW MARGIN / MARGEN BAJO","✔ OK"))</f>
        <v/>
      </c>
      <c r="P53" s="52" t="n">
        <f aca="false">IF(Q53=1,L53+ROW()/1000000,-1000000000000000)</f>
        <v>-1000000000000000</v>
      </c>
      <c r="Q53" s="52" t="n">
        <f aca="false">IF(B53="",0,IF(G53="",0,IF(N53="Returned / Devuelto",0,1)))</f>
        <v>0</v>
      </c>
      <c r="R53" s="52" t="n">
        <f aca="false">IF(Q53=1,IF(ISNUMBER(D53),YEAR(D53)*100+MONTH(D53),0),0)</f>
        <v>0</v>
      </c>
      <c r="S53" s="52" t="n">
        <f aca="false">IF(Q53=1,IF(M53&lt;0.15,1,0),0)</f>
        <v>0</v>
      </c>
    </row>
    <row r="54" customFormat="false" ht="15" hidden="false" customHeight="false" outlineLevel="0" collapsed="false">
      <c r="B54" s="53"/>
      <c r="C54" s="53"/>
      <c r="D54" s="54"/>
      <c r="E54" s="55"/>
      <c r="F54" s="55"/>
      <c r="G54" s="55"/>
      <c r="H54" s="56"/>
      <c r="I54" s="57" t="str">
        <f aca="false">IF(G54="","",G54*H54)</f>
        <v/>
      </c>
      <c r="J54" s="55"/>
      <c r="K54" s="55"/>
      <c r="L54" s="57" t="str">
        <f aca="false">IF(OR(B54="",G54=""),"",G54-E54-F54-I54-J54-K54)</f>
        <v/>
      </c>
      <c r="M54" s="58" t="str">
        <f aca="false">IF(L54="","",IF(G54=0,0,L54/G54))</f>
        <v/>
      </c>
      <c r="N54" s="53"/>
      <c r="O54" s="59" t="str">
        <f aca="false">IF(M54="","",IF(M54&lt;0.15,"⚠ LOW MARGIN / MARGEN BAJO","✔ OK"))</f>
        <v/>
      </c>
      <c r="P54" s="52" t="n">
        <f aca="false">IF(Q54=1,L54+ROW()/1000000,-1000000000000000)</f>
        <v>-1000000000000000</v>
      </c>
      <c r="Q54" s="52" t="n">
        <f aca="false">IF(B54="",0,IF(G54="",0,IF(N54="Returned / Devuelto",0,1)))</f>
        <v>0</v>
      </c>
      <c r="R54" s="52" t="n">
        <f aca="false">IF(Q54=1,IF(ISNUMBER(D54),YEAR(D54)*100+MONTH(D54),0),0)</f>
        <v>0</v>
      </c>
      <c r="S54" s="52" t="n">
        <f aca="false">IF(Q54=1,IF(M54&lt;0.15,1,0),0)</f>
        <v>0</v>
      </c>
    </row>
    <row r="55" customFormat="false" ht="15" hidden="false" customHeight="false" outlineLevel="0" collapsed="false">
      <c r="B55" s="53"/>
      <c r="C55" s="53"/>
      <c r="D55" s="54"/>
      <c r="E55" s="55"/>
      <c r="F55" s="55"/>
      <c r="G55" s="55"/>
      <c r="H55" s="56"/>
      <c r="I55" s="57" t="str">
        <f aca="false">IF(G55="","",G55*H55)</f>
        <v/>
      </c>
      <c r="J55" s="55"/>
      <c r="K55" s="55"/>
      <c r="L55" s="57" t="str">
        <f aca="false">IF(OR(B55="",G55=""),"",G55-E55-F55-I55-J55-K55)</f>
        <v/>
      </c>
      <c r="M55" s="58" t="str">
        <f aca="false">IF(L55="","",IF(G55=0,0,L55/G55))</f>
        <v/>
      </c>
      <c r="N55" s="53"/>
      <c r="O55" s="59" t="str">
        <f aca="false">IF(M55="","",IF(M55&lt;0.15,"⚠ LOW MARGIN / MARGEN BAJO","✔ OK"))</f>
        <v/>
      </c>
      <c r="P55" s="52" t="n">
        <f aca="false">IF(Q55=1,L55+ROW()/1000000,-1000000000000000)</f>
        <v>-1000000000000000</v>
      </c>
      <c r="Q55" s="52" t="n">
        <f aca="false">IF(B55="",0,IF(G55="",0,IF(N55="Returned / Devuelto",0,1)))</f>
        <v>0</v>
      </c>
      <c r="R55" s="52" t="n">
        <f aca="false">IF(Q55=1,IF(ISNUMBER(D55),YEAR(D55)*100+MONTH(D55),0),0)</f>
        <v>0</v>
      </c>
      <c r="S55" s="52" t="n">
        <f aca="false">IF(Q55=1,IF(M55&lt;0.15,1,0),0)</f>
        <v>0</v>
      </c>
    </row>
    <row r="56" customFormat="false" ht="15" hidden="false" customHeight="false" outlineLevel="0" collapsed="false">
      <c r="B56" s="53"/>
      <c r="C56" s="53"/>
      <c r="D56" s="54"/>
      <c r="E56" s="55"/>
      <c r="F56" s="55"/>
      <c r="G56" s="55"/>
      <c r="H56" s="56"/>
      <c r="I56" s="57" t="str">
        <f aca="false">IF(G56="","",G56*H56)</f>
        <v/>
      </c>
      <c r="J56" s="55"/>
      <c r="K56" s="55"/>
      <c r="L56" s="57" t="str">
        <f aca="false">IF(OR(B56="",G56=""),"",G56-E56-F56-I56-J56-K56)</f>
        <v/>
      </c>
      <c r="M56" s="58" t="str">
        <f aca="false">IF(L56="","",IF(G56=0,0,L56/G56))</f>
        <v/>
      </c>
      <c r="N56" s="53"/>
      <c r="O56" s="59" t="str">
        <f aca="false">IF(M56="","",IF(M56&lt;0.15,"⚠ LOW MARGIN / MARGEN BAJO","✔ OK"))</f>
        <v/>
      </c>
      <c r="P56" s="52" t="n">
        <f aca="false">IF(Q56=1,L56+ROW()/1000000,-1000000000000000)</f>
        <v>-1000000000000000</v>
      </c>
      <c r="Q56" s="52" t="n">
        <f aca="false">IF(B56="",0,IF(G56="",0,IF(N56="Returned / Devuelto",0,1)))</f>
        <v>0</v>
      </c>
      <c r="R56" s="52" t="n">
        <f aca="false">IF(Q56=1,IF(ISNUMBER(D56),YEAR(D56)*100+MONTH(D56),0),0)</f>
        <v>0</v>
      </c>
      <c r="S56" s="52" t="n">
        <f aca="false">IF(Q56=1,IF(M56&lt;0.15,1,0),0)</f>
        <v>0</v>
      </c>
    </row>
    <row r="57" customFormat="false" ht="15" hidden="false" customHeight="false" outlineLevel="0" collapsed="false">
      <c r="B57" s="53"/>
      <c r="C57" s="53"/>
      <c r="D57" s="54"/>
      <c r="E57" s="55"/>
      <c r="F57" s="55"/>
      <c r="G57" s="55"/>
      <c r="H57" s="56"/>
      <c r="I57" s="57" t="str">
        <f aca="false">IF(G57="","",G57*H57)</f>
        <v/>
      </c>
      <c r="J57" s="55"/>
      <c r="K57" s="55"/>
      <c r="L57" s="57" t="str">
        <f aca="false">IF(OR(B57="",G57=""),"",G57-E57-F57-I57-J57-K57)</f>
        <v/>
      </c>
      <c r="M57" s="58" t="str">
        <f aca="false">IF(L57="","",IF(G57=0,0,L57/G57))</f>
        <v/>
      </c>
      <c r="N57" s="53"/>
      <c r="O57" s="59" t="str">
        <f aca="false">IF(M57="","",IF(M57&lt;0.15,"⚠ LOW MARGIN / MARGEN BAJO","✔ OK"))</f>
        <v/>
      </c>
      <c r="P57" s="52" t="n">
        <f aca="false">IF(Q57=1,L57+ROW()/1000000,-1000000000000000)</f>
        <v>-1000000000000000</v>
      </c>
      <c r="Q57" s="52" t="n">
        <f aca="false">IF(B57="",0,IF(G57="",0,IF(N57="Returned / Devuelto",0,1)))</f>
        <v>0</v>
      </c>
      <c r="R57" s="52" t="n">
        <f aca="false">IF(Q57=1,IF(ISNUMBER(D57),YEAR(D57)*100+MONTH(D57),0),0)</f>
        <v>0</v>
      </c>
      <c r="S57" s="52" t="n">
        <f aca="false">IF(Q57=1,IF(M57&lt;0.15,1,0),0)</f>
        <v>0</v>
      </c>
    </row>
    <row r="58" customFormat="false" ht="15" hidden="false" customHeight="false" outlineLevel="0" collapsed="false">
      <c r="B58" s="53"/>
      <c r="C58" s="53"/>
      <c r="D58" s="54"/>
      <c r="E58" s="55"/>
      <c r="F58" s="55"/>
      <c r="G58" s="55"/>
      <c r="H58" s="56"/>
      <c r="I58" s="57" t="str">
        <f aca="false">IF(G58="","",G58*H58)</f>
        <v/>
      </c>
      <c r="J58" s="55"/>
      <c r="K58" s="55"/>
      <c r="L58" s="57" t="str">
        <f aca="false">IF(OR(B58="",G58=""),"",G58-E58-F58-I58-J58-K58)</f>
        <v/>
      </c>
      <c r="M58" s="58" t="str">
        <f aca="false">IF(L58="","",IF(G58=0,0,L58/G58))</f>
        <v/>
      </c>
      <c r="N58" s="53"/>
      <c r="O58" s="59" t="str">
        <f aca="false">IF(M58="","",IF(M58&lt;0.15,"⚠ LOW MARGIN / MARGEN BAJO","✔ OK"))</f>
        <v/>
      </c>
      <c r="P58" s="52" t="n">
        <f aca="false">IF(Q58=1,L58+ROW()/1000000,-1000000000000000)</f>
        <v>-1000000000000000</v>
      </c>
      <c r="Q58" s="52" t="n">
        <f aca="false">IF(B58="",0,IF(G58="",0,IF(N58="Returned / Devuelto",0,1)))</f>
        <v>0</v>
      </c>
      <c r="R58" s="52" t="n">
        <f aca="false">IF(Q58=1,IF(ISNUMBER(D58),YEAR(D58)*100+MONTH(D58),0),0)</f>
        <v>0</v>
      </c>
      <c r="S58" s="52" t="n">
        <f aca="false">IF(Q58=1,IF(M58&lt;0.15,1,0),0)</f>
        <v>0</v>
      </c>
    </row>
    <row r="59" customFormat="false" ht="15" hidden="false" customHeight="false" outlineLevel="0" collapsed="false">
      <c r="B59" s="53"/>
      <c r="C59" s="53"/>
      <c r="D59" s="54"/>
      <c r="E59" s="55"/>
      <c r="F59" s="55"/>
      <c r="G59" s="55"/>
      <c r="H59" s="56"/>
      <c r="I59" s="57" t="str">
        <f aca="false">IF(G59="","",G59*H59)</f>
        <v/>
      </c>
      <c r="J59" s="55"/>
      <c r="K59" s="55"/>
      <c r="L59" s="57" t="str">
        <f aca="false">IF(OR(B59="",G59=""),"",G59-E59-F59-I59-J59-K59)</f>
        <v/>
      </c>
      <c r="M59" s="58" t="str">
        <f aca="false">IF(L59="","",IF(G59=0,0,L59/G59))</f>
        <v/>
      </c>
      <c r="N59" s="53"/>
      <c r="O59" s="59" t="str">
        <f aca="false">IF(M59="","",IF(M59&lt;0.15,"⚠ LOW MARGIN / MARGEN BAJO","✔ OK"))</f>
        <v/>
      </c>
      <c r="P59" s="52" t="n">
        <f aca="false">IF(Q59=1,L59+ROW()/1000000,-1000000000000000)</f>
        <v>-1000000000000000</v>
      </c>
      <c r="Q59" s="52" t="n">
        <f aca="false">IF(B59="",0,IF(G59="",0,IF(N59="Returned / Devuelto",0,1)))</f>
        <v>0</v>
      </c>
      <c r="R59" s="52" t="n">
        <f aca="false">IF(Q59=1,IF(ISNUMBER(D59),YEAR(D59)*100+MONTH(D59),0),0)</f>
        <v>0</v>
      </c>
      <c r="S59" s="52" t="n">
        <f aca="false">IF(Q59=1,IF(M59&lt;0.15,1,0),0)</f>
        <v>0</v>
      </c>
    </row>
    <row r="60" customFormat="false" ht="15" hidden="false" customHeight="false" outlineLevel="0" collapsed="false">
      <c r="B60" s="53"/>
      <c r="C60" s="53"/>
      <c r="D60" s="54"/>
      <c r="E60" s="55"/>
      <c r="F60" s="55"/>
      <c r="G60" s="55"/>
      <c r="H60" s="56"/>
      <c r="I60" s="57" t="str">
        <f aca="false">IF(G60="","",G60*H60)</f>
        <v/>
      </c>
      <c r="J60" s="55"/>
      <c r="K60" s="55"/>
      <c r="L60" s="57" t="str">
        <f aca="false">IF(OR(B60="",G60=""),"",G60-E60-F60-I60-J60-K60)</f>
        <v/>
      </c>
      <c r="M60" s="58" t="str">
        <f aca="false">IF(L60="","",IF(G60=0,0,L60/G60))</f>
        <v/>
      </c>
      <c r="N60" s="53"/>
      <c r="O60" s="59" t="str">
        <f aca="false">IF(M60="","",IF(M60&lt;0.15,"⚠ LOW MARGIN / MARGEN BAJO","✔ OK"))</f>
        <v/>
      </c>
      <c r="P60" s="52" t="n">
        <f aca="false">IF(Q60=1,L60+ROW()/1000000,-1000000000000000)</f>
        <v>-1000000000000000</v>
      </c>
      <c r="Q60" s="52" t="n">
        <f aca="false">IF(B60="",0,IF(G60="",0,IF(N60="Returned / Devuelto",0,1)))</f>
        <v>0</v>
      </c>
      <c r="R60" s="52" t="n">
        <f aca="false">IF(Q60=1,IF(ISNUMBER(D60),YEAR(D60)*100+MONTH(D60),0),0)</f>
        <v>0</v>
      </c>
      <c r="S60" s="52" t="n">
        <f aca="false">IF(Q60=1,IF(M60&lt;0.15,1,0),0)</f>
        <v>0</v>
      </c>
    </row>
    <row r="61" customFormat="false" ht="15" hidden="false" customHeight="false" outlineLevel="0" collapsed="false">
      <c r="B61" s="53"/>
      <c r="C61" s="53"/>
      <c r="D61" s="54"/>
      <c r="E61" s="55"/>
      <c r="F61" s="55"/>
      <c r="G61" s="55"/>
      <c r="H61" s="56"/>
      <c r="I61" s="57" t="str">
        <f aca="false">IF(G61="","",G61*H61)</f>
        <v/>
      </c>
      <c r="J61" s="55"/>
      <c r="K61" s="55"/>
      <c r="L61" s="57" t="str">
        <f aca="false">IF(OR(B61="",G61=""),"",G61-E61-F61-I61-J61-K61)</f>
        <v/>
      </c>
      <c r="M61" s="58" t="str">
        <f aca="false">IF(L61="","",IF(G61=0,0,L61/G61))</f>
        <v/>
      </c>
      <c r="N61" s="53"/>
      <c r="O61" s="59" t="str">
        <f aca="false">IF(M61="","",IF(M61&lt;0.15,"⚠ LOW MARGIN / MARGEN BAJO","✔ OK"))</f>
        <v/>
      </c>
      <c r="P61" s="52" t="n">
        <f aca="false">IF(Q61=1,L61+ROW()/1000000,-1000000000000000)</f>
        <v>-1000000000000000</v>
      </c>
      <c r="Q61" s="52" t="n">
        <f aca="false">IF(B61="",0,IF(G61="",0,IF(N61="Returned / Devuelto",0,1)))</f>
        <v>0</v>
      </c>
      <c r="R61" s="52" t="n">
        <f aca="false">IF(Q61=1,IF(ISNUMBER(D61),YEAR(D61)*100+MONTH(D61),0),0)</f>
        <v>0</v>
      </c>
      <c r="S61" s="52" t="n">
        <f aca="false">IF(Q61=1,IF(M61&lt;0.15,1,0),0)</f>
        <v>0</v>
      </c>
    </row>
    <row r="62" customFormat="false" ht="15" hidden="false" customHeight="false" outlineLevel="0" collapsed="false">
      <c r="B62" s="53"/>
      <c r="C62" s="53"/>
      <c r="D62" s="54"/>
      <c r="E62" s="55"/>
      <c r="F62" s="55"/>
      <c r="G62" s="55"/>
      <c r="H62" s="56"/>
      <c r="I62" s="57" t="str">
        <f aca="false">IF(G62="","",G62*H62)</f>
        <v/>
      </c>
      <c r="J62" s="55"/>
      <c r="K62" s="55"/>
      <c r="L62" s="57" t="str">
        <f aca="false">IF(OR(B62="",G62=""),"",G62-E62-F62-I62-J62-K62)</f>
        <v/>
      </c>
      <c r="M62" s="58" t="str">
        <f aca="false">IF(L62="","",IF(G62=0,0,L62/G62))</f>
        <v/>
      </c>
      <c r="N62" s="53"/>
      <c r="O62" s="59" t="str">
        <f aca="false">IF(M62="","",IF(M62&lt;0.15,"⚠ LOW MARGIN / MARGEN BAJO","✔ OK"))</f>
        <v/>
      </c>
      <c r="P62" s="52" t="n">
        <f aca="false">IF(Q62=1,L62+ROW()/1000000,-1000000000000000)</f>
        <v>-1000000000000000</v>
      </c>
      <c r="Q62" s="52" t="n">
        <f aca="false">IF(B62="",0,IF(G62="",0,IF(N62="Returned / Devuelto",0,1)))</f>
        <v>0</v>
      </c>
      <c r="R62" s="52" t="n">
        <f aca="false">IF(Q62=1,IF(ISNUMBER(D62),YEAR(D62)*100+MONTH(D62),0),0)</f>
        <v>0</v>
      </c>
      <c r="S62" s="52" t="n">
        <f aca="false">IF(Q62=1,IF(M62&lt;0.15,1,0),0)</f>
        <v>0</v>
      </c>
    </row>
    <row r="63" customFormat="false" ht="15" hidden="false" customHeight="false" outlineLevel="0" collapsed="false">
      <c r="B63" s="53"/>
      <c r="C63" s="53"/>
      <c r="D63" s="54"/>
      <c r="E63" s="55"/>
      <c r="F63" s="55"/>
      <c r="G63" s="55"/>
      <c r="H63" s="56"/>
      <c r="I63" s="57" t="str">
        <f aca="false">IF(G63="","",G63*H63)</f>
        <v/>
      </c>
      <c r="J63" s="55"/>
      <c r="K63" s="55"/>
      <c r="L63" s="57" t="str">
        <f aca="false">IF(OR(B63="",G63=""),"",G63-E63-F63-I63-J63-K63)</f>
        <v/>
      </c>
      <c r="M63" s="58" t="str">
        <f aca="false">IF(L63="","",IF(G63=0,0,L63/G63))</f>
        <v/>
      </c>
      <c r="N63" s="53"/>
      <c r="O63" s="59" t="str">
        <f aca="false">IF(M63="","",IF(M63&lt;0.15,"⚠ LOW MARGIN / MARGEN BAJO","✔ OK"))</f>
        <v/>
      </c>
      <c r="P63" s="52" t="n">
        <f aca="false">IF(Q63=1,L63+ROW()/1000000,-1000000000000000)</f>
        <v>-1000000000000000</v>
      </c>
      <c r="Q63" s="52" t="n">
        <f aca="false">IF(B63="",0,IF(G63="",0,IF(N63="Returned / Devuelto",0,1)))</f>
        <v>0</v>
      </c>
      <c r="R63" s="52" t="n">
        <f aca="false">IF(Q63=1,IF(ISNUMBER(D63),YEAR(D63)*100+MONTH(D63),0),0)</f>
        <v>0</v>
      </c>
      <c r="S63" s="52" t="n">
        <f aca="false">IF(Q63=1,IF(M63&lt;0.15,1,0),0)</f>
        <v>0</v>
      </c>
    </row>
    <row r="64" customFormat="false" ht="15" hidden="false" customHeight="false" outlineLevel="0" collapsed="false">
      <c r="B64" s="53"/>
      <c r="C64" s="53"/>
      <c r="D64" s="54"/>
      <c r="E64" s="55"/>
      <c r="F64" s="55"/>
      <c r="G64" s="55"/>
      <c r="H64" s="56"/>
      <c r="I64" s="57" t="str">
        <f aca="false">IF(G64="","",G64*H64)</f>
        <v/>
      </c>
      <c r="J64" s="55"/>
      <c r="K64" s="55"/>
      <c r="L64" s="57" t="str">
        <f aca="false">IF(OR(B64="",G64=""),"",G64-E64-F64-I64-J64-K64)</f>
        <v/>
      </c>
      <c r="M64" s="58" t="str">
        <f aca="false">IF(L64="","",IF(G64=0,0,L64/G64))</f>
        <v/>
      </c>
      <c r="N64" s="53"/>
      <c r="O64" s="59" t="str">
        <f aca="false">IF(M64="","",IF(M64&lt;0.15,"⚠ LOW MARGIN / MARGEN BAJO","✔ OK"))</f>
        <v/>
      </c>
      <c r="P64" s="52" t="n">
        <f aca="false">IF(Q64=1,L64+ROW()/1000000,-1000000000000000)</f>
        <v>-1000000000000000</v>
      </c>
      <c r="Q64" s="52" t="n">
        <f aca="false">IF(B64="",0,IF(G64="",0,IF(N64="Returned / Devuelto",0,1)))</f>
        <v>0</v>
      </c>
      <c r="R64" s="52" t="n">
        <f aca="false">IF(Q64=1,IF(ISNUMBER(D64),YEAR(D64)*100+MONTH(D64),0),0)</f>
        <v>0</v>
      </c>
      <c r="S64" s="52" t="n">
        <f aca="false">IF(Q64=1,IF(M64&lt;0.15,1,0),0)</f>
        <v>0</v>
      </c>
    </row>
    <row r="65" customFormat="false" ht="15" hidden="false" customHeight="false" outlineLevel="0" collapsed="false">
      <c r="B65" s="53"/>
      <c r="C65" s="53"/>
      <c r="D65" s="54"/>
      <c r="E65" s="55"/>
      <c r="F65" s="55"/>
      <c r="G65" s="55"/>
      <c r="H65" s="56"/>
      <c r="I65" s="57" t="str">
        <f aca="false">IF(G65="","",G65*H65)</f>
        <v/>
      </c>
      <c r="J65" s="55"/>
      <c r="K65" s="55"/>
      <c r="L65" s="57" t="str">
        <f aca="false">IF(OR(B65="",G65=""),"",G65-E65-F65-I65-J65-K65)</f>
        <v/>
      </c>
      <c r="M65" s="58" t="str">
        <f aca="false">IF(L65="","",IF(G65=0,0,L65/G65))</f>
        <v/>
      </c>
      <c r="N65" s="53"/>
      <c r="O65" s="59" t="str">
        <f aca="false">IF(M65="","",IF(M65&lt;0.15,"⚠ LOW MARGIN / MARGEN BAJO","✔ OK"))</f>
        <v/>
      </c>
      <c r="P65" s="52" t="n">
        <f aca="false">IF(Q65=1,L65+ROW()/1000000,-1000000000000000)</f>
        <v>-1000000000000000</v>
      </c>
      <c r="Q65" s="52" t="n">
        <f aca="false">IF(B65="",0,IF(G65="",0,IF(N65="Returned / Devuelto",0,1)))</f>
        <v>0</v>
      </c>
      <c r="R65" s="52" t="n">
        <f aca="false">IF(Q65=1,IF(ISNUMBER(D65),YEAR(D65)*100+MONTH(D65),0),0)</f>
        <v>0</v>
      </c>
      <c r="S65" s="52" t="n">
        <f aca="false">IF(Q65=1,IF(M65&lt;0.15,1,0),0)</f>
        <v>0</v>
      </c>
    </row>
    <row r="66" customFormat="false" ht="15" hidden="false" customHeight="false" outlineLevel="0" collapsed="false">
      <c r="B66" s="53"/>
      <c r="C66" s="53"/>
      <c r="D66" s="54"/>
      <c r="E66" s="55"/>
      <c r="F66" s="55"/>
      <c r="G66" s="55"/>
      <c r="H66" s="56"/>
      <c r="I66" s="57" t="str">
        <f aca="false">IF(G66="","",G66*H66)</f>
        <v/>
      </c>
      <c r="J66" s="55"/>
      <c r="K66" s="55"/>
      <c r="L66" s="57" t="str">
        <f aca="false">IF(OR(B66="",G66=""),"",G66-E66-F66-I66-J66-K66)</f>
        <v/>
      </c>
      <c r="M66" s="58" t="str">
        <f aca="false">IF(L66="","",IF(G66=0,0,L66/G66))</f>
        <v/>
      </c>
      <c r="N66" s="53"/>
      <c r="O66" s="59" t="str">
        <f aca="false">IF(M66="","",IF(M66&lt;0.15,"⚠ LOW MARGIN / MARGEN BAJO","✔ OK"))</f>
        <v/>
      </c>
      <c r="P66" s="52" t="n">
        <f aca="false">IF(Q66=1,L66+ROW()/1000000,-1000000000000000)</f>
        <v>-1000000000000000</v>
      </c>
      <c r="Q66" s="52" t="n">
        <f aca="false">IF(B66="",0,IF(G66="",0,IF(N66="Returned / Devuelto",0,1)))</f>
        <v>0</v>
      </c>
      <c r="R66" s="52" t="n">
        <f aca="false">IF(Q66=1,IF(ISNUMBER(D66),YEAR(D66)*100+MONTH(D66),0),0)</f>
        <v>0</v>
      </c>
      <c r="S66" s="52" t="n">
        <f aca="false">IF(Q66=1,IF(M66&lt;0.15,1,0),0)</f>
        <v>0</v>
      </c>
    </row>
    <row r="67" customFormat="false" ht="15" hidden="false" customHeight="false" outlineLevel="0" collapsed="false">
      <c r="B67" s="53"/>
      <c r="C67" s="53"/>
      <c r="D67" s="54"/>
      <c r="E67" s="55"/>
      <c r="F67" s="55"/>
      <c r="G67" s="55"/>
      <c r="H67" s="56"/>
      <c r="I67" s="57" t="str">
        <f aca="false">IF(G67="","",G67*H67)</f>
        <v/>
      </c>
      <c r="J67" s="55"/>
      <c r="K67" s="55"/>
      <c r="L67" s="57" t="str">
        <f aca="false">IF(OR(B67="",G67=""),"",G67-E67-F67-I67-J67-K67)</f>
        <v/>
      </c>
      <c r="M67" s="58" t="str">
        <f aca="false">IF(L67="","",IF(G67=0,0,L67/G67))</f>
        <v/>
      </c>
      <c r="N67" s="53"/>
      <c r="O67" s="59" t="str">
        <f aca="false">IF(M67="","",IF(M67&lt;0.15,"⚠ LOW MARGIN / MARGEN BAJO","✔ OK"))</f>
        <v/>
      </c>
      <c r="P67" s="52" t="n">
        <f aca="false">IF(Q67=1,L67+ROW()/1000000,-1000000000000000)</f>
        <v>-1000000000000000</v>
      </c>
      <c r="Q67" s="52" t="n">
        <f aca="false">IF(B67="",0,IF(G67="",0,IF(N67="Returned / Devuelto",0,1)))</f>
        <v>0</v>
      </c>
      <c r="R67" s="52" t="n">
        <f aca="false">IF(Q67=1,IF(ISNUMBER(D67),YEAR(D67)*100+MONTH(D67),0),0)</f>
        <v>0</v>
      </c>
      <c r="S67" s="52" t="n">
        <f aca="false">IF(Q67=1,IF(M67&lt;0.15,1,0),0)</f>
        <v>0</v>
      </c>
    </row>
    <row r="68" customFormat="false" ht="15" hidden="false" customHeight="false" outlineLevel="0" collapsed="false">
      <c r="B68" s="53"/>
      <c r="C68" s="53"/>
      <c r="D68" s="54"/>
      <c r="E68" s="55"/>
      <c r="F68" s="55"/>
      <c r="G68" s="55"/>
      <c r="H68" s="56"/>
      <c r="I68" s="57" t="str">
        <f aca="false">IF(G68="","",G68*H68)</f>
        <v/>
      </c>
      <c r="J68" s="55"/>
      <c r="K68" s="55"/>
      <c r="L68" s="57" t="str">
        <f aca="false">IF(OR(B68="",G68=""),"",G68-E68-F68-I68-J68-K68)</f>
        <v/>
      </c>
      <c r="M68" s="58" t="str">
        <f aca="false">IF(L68="","",IF(G68=0,0,L68/G68))</f>
        <v/>
      </c>
      <c r="N68" s="53"/>
      <c r="O68" s="59" t="str">
        <f aca="false">IF(M68="","",IF(M68&lt;0.15,"⚠ LOW MARGIN / MARGEN BAJO","✔ OK"))</f>
        <v/>
      </c>
      <c r="P68" s="52" t="n">
        <f aca="false">IF(Q68=1,L68+ROW()/1000000,-1000000000000000)</f>
        <v>-1000000000000000</v>
      </c>
      <c r="Q68" s="52" t="n">
        <f aca="false">IF(B68="",0,IF(G68="",0,IF(N68="Returned / Devuelto",0,1)))</f>
        <v>0</v>
      </c>
      <c r="R68" s="52" t="n">
        <f aca="false">IF(Q68=1,IF(ISNUMBER(D68),YEAR(D68)*100+MONTH(D68),0),0)</f>
        <v>0</v>
      </c>
      <c r="S68" s="52" t="n">
        <f aca="false">IF(Q68=1,IF(M68&lt;0.15,1,0),0)</f>
        <v>0</v>
      </c>
    </row>
    <row r="69" customFormat="false" ht="15" hidden="false" customHeight="false" outlineLevel="0" collapsed="false">
      <c r="B69" s="53"/>
      <c r="C69" s="53"/>
      <c r="D69" s="54"/>
      <c r="E69" s="55"/>
      <c r="F69" s="55"/>
      <c r="G69" s="55"/>
      <c r="H69" s="56"/>
      <c r="I69" s="57" t="str">
        <f aca="false">IF(G69="","",G69*H69)</f>
        <v/>
      </c>
      <c r="J69" s="55"/>
      <c r="K69" s="55"/>
      <c r="L69" s="57" t="str">
        <f aca="false">IF(OR(B69="",G69=""),"",G69-E69-F69-I69-J69-K69)</f>
        <v/>
      </c>
      <c r="M69" s="58" t="str">
        <f aca="false">IF(L69="","",IF(G69=0,0,L69/G69))</f>
        <v/>
      </c>
      <c r="N69" s="53"/>
      <c r="O69" s="59" t="str">
        <f aca="false">IF(M69="","",IF(M69&lt;0.15,"⚠ LOW MARGIN / MARGEN BAJO","✔ OK"))</f>
        <v/>
      </c>
      <c r="P69" s="52" t="n">
        <f aca="false">IF(Q69=1,L69+ROW()/1000000,-1000000000000000)</f>
        <v>-1000000000000000</v>
      </c>
      <c r="Q69" s="52" t="n">
        <f aca="false">IF(B69="",0,IF(G69="",0,IF(N69="Returned / Devuelto",0,1)))</f>
        <v>0</v>
      </c>
      <c r="R69" s="52" t="n">
        <f aca="false">IF(Q69=1,IF(ISNUMBER(D69),YEAR(D69)*100+MONTH(D69),0),0)</f>
        <v>0</v>
      </c>
      <c r="S69" s="52" t="n">
        <f aca="false">IF(Q69=1,IF(M69&lt;0.15,1,0),0)</f>
        <v>0</v>
      </c>
    </row>
    <row r="70" customFormat="false" ht="15" hidden="false" customHeight="false" outlineLevel="0" collapsed="false">
      <c r="B70" s="53"/>
      <c r="C70" s="53"/>
      <c r="D70" s="54"/>
      <c r="E70" s="55"/>
      <c r="F70" s="55"/>
      <c r="G70" s="55"/>
      <c r="H70" s="56"/>
      <c r="I70" s="57" t="str">
        <f aca="false">IF(G70="","",G70*H70)</f>
        <v/>
      </c>
      <c r="J70" s="55"/>
      <c r="K70" s="55"/>
      <c r="L70" s="57" t="str">
        <f aca="false">IF(OR(B70="",G70=""),"",G70-E70-F70-I70-J70-K70)</f>
        <v/>
      </c>
      <c r="M70" s="58" t="str">
        <f aca="false">IF(L70="","",IF(G70=0,0,L70/G70))</f>
        <v/>
      </c>
      <c r="N70" s="53"/>
      <c r="O70" s="59" t="str">
        <f aca="false">IF(M70="","",IF(M70&lt;0.15,"⚠ LOW MARGIN / MARGEN BAJO","✔ OK"))</f>
        <v/>
      </c>
      <c r="P70" s="52" t="n">
        <f aca="false">IF(Q70=1,L70+ROW()/1000000,-1000000000000000)</f>
        <v>-1000000000000000</v>
      </c>
      <c r="Q70" s="52" t="n">
        <f aca="false">IF(B70="",0,IF(G70="",0,IF(N70="Returned / Devuelto",0,1)))</f>
        <v>0</v>
      </c>
      <c r="R70" s="52" t="n">
        <f aca="false">IF(Q70=1,IF(ISNUMBER(D70),YEAR(D70)*100+MONTH(D70),0),0)</f>
        <v>0</v>
      </c>
      <c r="S70" s="52" t="n">
        <f aca="false">IF(Q70=1,IF(M70&lt;0.15,1,0),0)</f>
        <v>0</v>
      </c>
    </row>
    <row r="71" customFormat="false" ht="15" hidden="false" customHeight="false" outlineLevel="0" collapsed="false">
      <c r="B71" s="53"/>
      <c r="C71" s="53"/>
      <c r="D71" s="54"/>
      <c r="E71" s="55"/>
      <c r="F71" s="55"/>
      <c r="G71" s="55"/>
      <c r="H71" s="56"/>
      <c r="I71" s="57" t="str">
        <f aca="false">IF(G71="","",G71*H71)</f>
        <v/>
      </c>
      <c r="J71" s="55"/>
      <c r="K71" s="55"/>
      <c r="L71" s="57" t="str">
        <f aca="false">IF(OR(B71="",G71=""),"",G71-E71-F71-I71-J71-K71)</f>
        <v/>
      </c>
      <c r="M71" s="58" t="str">
        <f aca="false">IF(L71="","",IF(G71=0,0,L71/G71))</f>
        <v/>
      </c>
      <c r="N71" s="53"/>
      <c r="O71" s="59" t="str">
        <f aca="false">IF(M71="","",IF(M71&lt;0.15,"⚠ LOW MARGIN / MARGEN BAJO","✔ OK"))</f>
        <v/>
      </c>
      <c r="P71" s="52" t="n">
        <f aca="false">IF(Q71=1,L71+ROW()/1000000,-1000000000000000)</f>
        <v>-1000000000000000</v>
      </c>
      <c r="Q71" s="52" t="n">
        <f aca="false">IF(B71="",0,IF(G71="",0,IF(N71="Returned / Devuelto",0,1)))</f>
        <v>0</v>
      </c>
      <c r="R71" s="52" t="n">
        <f aca="false">IF(Q71=1,IF(ISNUMBER(D71),YEAR(D71)*100+MONTH(D71),0),0)</f>
        <v>0</v>
      </c>
      <c r="S71" s="52" t="n">
        <f aca="false">IF(Q71=1,IF(M71&lt;0.15,1,0),0)</f>
        <v>0</v>
      </c>
    </row>
    <row r="72" customFormat="false" ht="15" hidden="false" customHeight="false" outlineLevel="0" collapsed="false">
      <c r="B72" s="53"/>
      <c r="C72" s="53"/>
      <c r="D72" s="54"/>
      <c r="E72" s="55"/>
      <c r="F72" s="55"/>
      <c r="G72" s="55"/>
      <c r="H72" s="56"/>
      <c r="I72" s="57" t="str">
        <f aca="false">IF(G72="","",G72*H72)</f>
        <v/>
      </c>
      <c r="J72" s="55"/>
      <c r="K72" s="55"/>
      <c r="L72" s="57" t="str">
        <f aca="false">IF(OR(B72="",G72=""),"",G72-E72-F72-I72-J72-K72)</f>
        <v/>
      </c>
      <c r="M72" s="58" t="str">
        <f aca="false">IF(L72="","",IF(G72=0,0,L72/G72))</f>
        <v/>
      </c>
      <c r="N72" s="53"/>
      <c r="O72" s="59" t="str">
        <f aca="false">IF(M72="","",IF(M72&lt;0.15,"⚠ LOW MARGIN / MARGEN BAJO","✔ OK"))</f>
        <v/>
      </c>
      <c r="P72" s="52" t="n">
        <f aca="false">IF(Q72=1,L72+ROW()/1000000,-1000000000000000)</f>
        <v>-1000000000000000</v>
      </c>
      <c r="Q72" s="52" t="n">
        <f aca="false">IF(B72="",0,IF(G72="",0,IF(N72="Returned / Devuelto",0,1)))</f>
        <v>0</v>
      </c>
      <c r="R72" s="52" t="n">
        <f aca="false">IF(Q72=1,IF(ISNUMBER(D72),YEAR(D72)*100+MONTH(D72),0),0)</f>
        <v>0</v>
      </c>
      <c r="S72" s="52" t="n">
        <f aca="false">IF(Q72=1,IF(M72&lt;0.15,1,0),0)</f>
        <v>0</v>
      </c>
    </row>
    <row r="73" customFormat="false" ht="15" hidden="false" customHeight="false" outlineLevel="0" collapsed="false">
      <c r="B73" s="53"/>
      <c r="C73" s="53"/>
      <c r="D73" s="54"/>
      <c r="E73" s="55"/>
      <c r="F73" s="55"/>
      <c r="G73" s="55"/>
      <c r="H73" s="56"/>
      <c r="I73" s="57" t="str">
        <f aca="false">IF(G73="","",G73*H73)</f>
        <v/>
      </c>
      <c r="J73" s="55"/>
      <c r="K73" s="55"/>
      <c r="L73" s="57" t="str">
        <f aca="false">IF(OR(B73="",G73=""),"",G73-E73-F73-I73-J73-K73)</f>
        <v/>
      </c>
      <c r="M73" s="58" t="str">
        <f aca="false">IF(L73="","",IF(G73=0,0,L73/G73))</f>
        <v/>
      </c>
      <c r="N73" s="53"/>
      <c r="O73" s="59" t="str">
        <f aca="false">IF(M73="","",IF(M73&lt;0.15,"⚠ LOW MARGIN / MARGEN BAJO","✔ OK"))</f>
        <v/>
      </c>
      <c r="P73" s="52" t="n">
        <f aca="false">IF(Q73=1,L73+ROW()/1000000,-1000000000000000)</f>
        <v>-1000000000000000</v>
      </c>
      <c r="Q73" s="52" t="n">
        <f aca="false">IF(B73="",0,IF(G73="",0,IF(N73="Returned / Devuelto",0,1)))</f>
        <v>0</v>
      </c>
      <c r="R73" s="52" t="n">
        <f aca="false">IF(Q73=1,IF(ISNUMBER(D73),YEAR(D73)*100+MONTH(D73),0),0)</f>
        <v>0</v>
      </c>
      <c r="S73" s="52" t="n">
        <f aca="false">IF(Q73=1,IF(M73&lt;0.15,1,0),0)</f>
        <v>0</v>
      </c>
    </row>
    <row r="74" customFormat="false" ht="15" hidden="false" customHeight="false" outlineLevel="0" collapsed="false">
      <c r="B74" s="53"/>
      <c r="C74" s="53"/>
      <c r="D74" s="54"/>
      <c r="E74" s="55"/>
      <c r="F74" s="55"/>
      <c r="G74" s="55"/>
      <c r="H74" s="56"/>
      <c r="I74" s="57" t="str">
        <f aca="false">IF(G74="","",G74*H74)</f>
        <v/>
      </c>
      <c r="J74" s="55"/>
      <c r="K74" s="55"/>
      <c r="L74" s="57" t="str">
        <f aca="false">IF(OR(B74="",G74=""),"",G74-E74-F74-I74-J74-K74)</f>
        <v/>
      </c>
      <c r="M74" s="58" t="str">
        <f aca="false">IF(L74="","",IF(G74=0,0,L74/G74))</f>
        <v/>
      </c>
      <c r="N74" s="53"/>
      <c r="O74" s="59" t="str">
        <f aca="false">IF(M74="","",IF(M74&lt;0.15,"⚠ LOW MARGIN / MARGEN BAJO","✔ OK"))</f>
        <v/>
      </c>
      <c r="P74" s="52" t="n">
        <f aca="false">IF(Q74=1,L74+ROW()/1000000,-1000000000000000)</f>
        <v>-1000000000000000</v>
      </c>
      <c r="Q74" s="52" t="n">
        <f aca="false">IF(B74="",0,IF(G74="",0,IF(N74="Returned / Devuelto",0,1)))</f>
        <v>0</v>
      </c>
      <c r="R74" s="52" t="n">
        <f aca="false">IF(Q74=1,IF(ISNUMBER(D74),YEAR(D74)*100+MONTH(D74),0),0)</f>
        <v>0</v>
      </c>
      <c r="S74" s="52" t="n">
        <f aca="false">IF(Q74=1,IF(M74&lt;0.15,1,0),0)</f>
        <v>0</v>
      </c>
    </row>
    <row r="75" customFormat="false" ht="15" hidden="false" customHeight="false" outlineLevel="0" collapsed="false">
      <c r="B75" s="53"/>
      <c r="C75" s="53"/>
      <c r="D75" s="54"/>
      <c r="E75" s="55"/>
      <c r="F75" s="55"/>
      <c r="G75" s="55"/>
      <c r="H75" s="56"/>
      <c r="I75" s="57" t="str">
        <f aca="false">IF(G75="","",G75*H75)</f>
        <v/>
      </c>
      <c r="J75" s="55"/>
      <c r="K75" s="55"/>
      <c r="L75" s="57" t="str">
        <f aca="false">IF(OR(B75="",G75=""),"",G75-E75-F75-I75-J75-K75)</f>
        <v/>
      </c>
      <c r="M75" s="58" t="str">
        <f aca="false">IF(L75="","",IF(G75=0,0,L75/G75))</f>
        <v/>
      </c>
      <c r="N75" s="53"/>
      <c r="O75" s="59" t="str">
        <f aca="false">IF(M75="","",IF(M75&lt;0.15,"⚠ LOW MARGIN / MARGEN BAJO","✔ OK"))</f>
        <v/>
      </c>
      <c r="P75" s="52" t="n">
        <f aca="false">IF(Q75=1,L75+ROW()/1000000,-1000000000000000)</f>
        <v>-1000000000000000</v>
      </c>
      <c r="Q75" s="52" t="n">
        <f aca="false">IF(B75="",0,IF(G75="",0,IF(N75="Returned / Devuelto",0,1)))</f>
        <v>0</v>
      </c>
      <c r="R75" s="52" t="n">
        <f aca="false">IF(Q75=1,IF(ISNUMBER(D75),YEAR(D75)*100+MONTH(D75),0),0)</f>
        <v>0</v>
      </c>
      <c r="S75" s="52" t="n">
        <f aca="false">IF(Q75=1,IF(M75&lt;0.15,1,0),0)</f>
        <v>0</v>
      </c>
    </row>
    <row r="76" customFormat="false" ht="15" hidden="false" customHeight="false" outlineLevel="0" collapsed="false">
      <c r="B76" s="53"/>
      <c r="C76" s="53"/>
      <c r="D76" s="54"/>
      <c r="E76" s="55"/>
      <c r="F76" s="55"/>
      <c r="G76" s="55"/>
      <c r="H76" s="56"/>
      <c r="I76" s="57" t="str">
        <f aca="false">IF(G76="","",G76*H76)</f>
        <v/>
      </c>
      <c r="J76" s="55"/>
      <c r="K76" s="55"/>
      <c r="L76" s="57" t="str">
        <f aca="false">IF(OR(B76="",G76=""),"",G76-E76-F76-I76-J76-K76)</f>
        <v/>
      </c>
      <c r="M76" s="58" t="str">
        <f aca="false">IF(L76="","",IF(G76=0,0,L76/G76))</f>
        <v/>
      </c>
      <c r="N76" s="53"/>
      <c r="O76" s="59" t="str">
        <f aca="false">IF(M76="","",IF(M76&lt;0.15,"⚠ LOW MARGIN / MARGEN BAJO","✔ OK"))</f>
        <v/>
      </c>
      <c r="P76" s="52" t="n">
        <f aca="false">IF(Q76=1,L76+ROW()/1000000,-1000000000000000)</f>
        <v>-1000000000000000</v>
      </c>
      <c r="Q76" s="52" t="n">
        <f aca="false">IF(B76="",0,IF(G76="",0,IF(N76="Returned / Devuelto",0,1)))</f>
        <v>0</v>
      </c>
      <c r="R76" s="52" t="n">
        <f aca="false">IF(Q76=1,IF(ISNUMBER(D76),YEAR(D76)*100+MONTH(D76),0),0)</f>
        <v>0</v>
      </c>
      <c r="S76" s="52" t="n">
        <f aca="false">IF(Q76=1,IF(M76&lt;0.15,1,0),0)</f>
        <v>0</v>
      </c>
    </row>
    <row r="77" customFormat="false" ht="15" hidden="false" customHeight="false" outlineLevel="0" collapsed="false">
      <c r="B77" s="53"/>
      <c r="C77" s="53"/>
      <c r="D77" s="54"/>
      <c r="E77" s="55"/>
      <c r="F77" s="55"/>
      <c r="G77" s="55"/>
      <c r="H77" s="56"/>
      <c r="I77" s="57" t="str">
        <f aca="false">IF(G77="","",G77*H77)</f>
        <v/>
      </c>
      <c r="J77" s="55"/>
      <c r="K77" s="55"/>
      <c r="L77" s="57" t="str">
        <f aca="false">IF(OR(B77="",G77=""),"",G77-E77-F77-I77-J77-K77)</f>
        <v/>
      </c>
      <c r="M77" s="58" t="str">
        <f aca="false">IF(L77="","",IF(G77=0,0,L77/G77))</f>
        <v/>
      </c>
      <c r="N77" s="53"/>
      <c r="O77" s="59" t="str">
        <f aca="false">IF(M77="","",IF(M77&lt;0.15,"⚠ LOW MARGIN / MARGEN BAJO","✔ OK"))</f>
        <v/>
      </c>
      <c r="P77" s="52" t="n">
        <f aca="false">IF(Q77=1,L77+ROW()/1000000,-1000000000000000)</f>
        <v>-1000000000000000</v>
      </c>
      <c r="Q77" s="52" t="n">
        <f aca="false">IF(B77="",0,IF(G77="",0,IF(N77="Returned / Devuelto",0,1)))</f>
        <v>0</v>
      </c>
      <c r="R77" s="52" t="n">
        <f aca="false">IF(Q77=1,IF(ISNUMBER(D77),YEAR(D77)*100+MONTH(D77),0),0)</f>
        <v>0</v>
      </c>
      <c r="S77" s="52" t="n">
        <f aca="false">IF(Q77=1,IF(M77&lt;0.15,1,0),0)</f>
        <v>0</v>
      </c>
    </row>
    <row r="78" customFormat="false" ht="15" hidden="false" customHeight="false" outlineLevel="0" collapsed="false">
      <c r="B78" s="53"/>
      <c r="C78" s="53"/>
      <c r="D78" s="54"/>
      <c r="E78" s="55"/>
      <c r="F78" s="55"/>
      <c r="G78" s="55"/>
      <c r="H78" s="56"/>
      <c r="I78" s="57" t="str">
        <f aca="false">IF(G78="","",G78*H78)</f>
        <v/>
      </c>
      <c r="J78" s="55"/>
      <c r="K78" s="55"/>
      <c r="L78" s="57" t="str">
        <f aca="false">IF(OR(B78="",G78=""),"",G78-E78-F78-I78-J78-K78)</f>
        <v/>
      </c>
      <c r="M78" s="58" t="str">
        <f aca="false">IF(L78="","",IF(G78=0,0,L78/G78))</f>
        <v/>
      </c>
      <c r="N78" s="53"/>
      <c r="O78" s="59" t="str">
        <f aca="false">IF(M78="","",IF(M78&lt;0.15,"⚠ LOW MARGIN / MARGEN BAJO","✔ OK"))</f>
        <v/>
      </c>
      <c r="P78" s="52" t="n">
        <f aca="false">IF(Q78=1,L78+ROW()/1000000,-1000000000000000)</f>
        <v>-1000000000000000</v>
      </c>
      <c r="Q78" s="52" t="n">
        <f aca="false">IF(B78="",0,IF(G78="",0,IF(N78="Returned / Devuelto",0,1)))</f>
        <v>0</v>
      </c>
      <c r="R78" s="52" t="n">
        <f aca="false">IF(Q78=1,IF(ISNUMBER(D78),YEAR(D78)*100+MONTH(D78),0),0)</f>
        <v>0</v>
      </c>
      <c r="S78" s="52" t="n">
        <f aca="false">IF(Q78=1,IF(M78&lt;0.15,1,0),0)</f>
        <v>0</v>
      </c>
    </row>
    <row r="79" customFormat="false" ht="15" hidden="false" customHeight="false" outlineLevel="0" collapsed="false">
      <c r="B79" s="53"/>
      <c r="C79" s="53"/>
      <c r="D79" s="54"/>
      <c r="E79" s="55"/>
      <c r="F79" s="55"/>
      <c r="G79" s="55"/>
      <c r="H79" s="56"/>
      <c r="I79" s="57" t="str">
        <f aca="false">IF(G79="","",G79*H79)</f>
        <v/>
      </c>
      <c r="J79" s="55"/>
      <c r="K79" s="55"/>
      <c r="L79" s="57" t="str">
        <f aca="false">IF(OR(B79="",G79=""),"",G79-E79-F79-I79-J79-K79)</f>
        <v/>
      </c>
      <c r="M79" s="58" t="str">
        <f aca="false">IF(L79="","",IF(G79=0,0,L79/G79))</f>
        <v/>
      </c>
      <c r="N79" s="53"/>
      <c r="O79" s="59" t="str">
        <f aca="false">IF(M79="","",IF(M79&lt;0.15,"⚠ LOW MARGIN / MARGEN BAJO","✔ OK"))</f>
        <v/>
      </c>
      <c r="P79" s="52" t="n">
        <f aca="false">IF(Q79=1,L79+ROW()/1000000,-1000000000000000)</f>
        <v>-1000000000000000</v>
      </c>
      <c r="Q79" s="52" t="n">
        <f aca="false">IF(B79="",0,IF(G79="",0,IF(N79="Returned / Devuelto",0,1)))</f>
        <v>0</v>
      </c>
      <c r="R79" s="52" t="n">
        <f aca="false">IF(Q79=1,IF(ISNUMBER(D79),YEAR(D79)*100+MONTH(D79),0),0)</f>
        <v>0</v>
      </c>
      <c r="S79" s="52" t="n">
        <f aca="false">IF(Q79=1,IF(M79&lt;0.15,1,0),0)</f>
        <v>0</v>
      </c>
    </row>
    <row r="80" customFormat="false" ht="15" hidden="false" customHeight="false" outlineLevel="0" collapsed="false">
      <c r="B80" s="53"/>
      <c r="C80" s="53"/>
      <c r="D80" s="54"/>
      <c r="E80" s="55"/>
      <c r="F80" s="55"/>
      <c r="G80" s="55"/>
      <c r="H80" s="56"/>
      <c r="I80" s="57" t="str">
        <f aca="false">IF(G80="","",G80*H80)</f>
        <v/>
      </c>
      <c r="J80" s="55"/>
      <c r="K80" s="55"/>
      <c r="L80" s="57" t="str">
        <f aca="false">IF(OR(B80="",G80=""),"",G80-E80-F80-I80-J80-K80)</f>
        <v/>
      </c>
      <c r="M80" s="58" t="str">
        <f aca="false">IF(L80="","",IF(G80=0,0,L80/G80))</f>
        <v/>
      </c>
      <c r="N80" s="53"/>
      <c r="O80" s="59" t="str">
        <f aca="false">IF(M80="","",IF(M80&lt;0.15,"⚠ LOW MARGIN / MARGEN BAJO","✔ OK"))</f>
        <v/>
      </c>
      <c r="P80" s="52" t="n">
        <f aca="false">IF(Q80=1,L80+ROW()/1000000,-1000000000000000)</f>
        <v>-1000000000000000</v>
      </c>
      <c r="Q80" s="52" t="n">
        <f aca="false">IF(B80="",0,IF(G80="",0,IF(N80="Returned / Devuelto",0,1)))</f>
        <v>0</v>
      </c>
      <c r="R80" s="52" t="n">
        <f aca="false">IF(Q80=1,IF(ISNUMBER(D80),YEAR(D80)*100+MONTH(D80),0),0)</f>
        <v>0</v>
      </c>
      <c r="S80" s="52" t="n">
        <f aca="false">IF(Q80=1,IF(M80&lt;0.15,1,0),0)</f>
        <v>0</v>
      </c>
    </row>
    <row r="81" customFormat="false" ht="15" hidden="false" customHeight="false" outlineLevel="0" collapsed="false">
      <c r="B81" s="53"/>
      <c r="C81" s="53"/>
      <c r="D81" s="54"/>
      <c r="E81" s="55"/>
      <c r="F81" s="55"/>
      <c r="G81" s="55"/>
      <c r="H81" s="56"/>
      <c r="I81" s="57" t="str">
        <f aca="false">IF(G81="","",G81*H81)</f>
        <v/>
      </c>
      <c r="J81" s="55"/>
      <c r="K81" s="55"/>
      <c r="L81" s="57" t="str">
        <f aca="false">IF(OR(B81="",G81=""),"",G81-E81-F81-I81-J81-K81)</f>
        <v/>
      </c>
      <c r="M81" s="58" t="str">
        <f aca="false">IF(L81="","",IF(G81=0,0,L81/G81))</f>
        <v/>
      </c>
      <c r="N81" s="53"/>
      <c r="O81" s="59" t="str">
        <f aca="false">IF(M81="","",IF(M81&lt;0.15,"⚠ LOW MARGIN / MARGEN BAJO","✔ OK"))</f>
        <v/>
      </c>
      <c r="P81" s="52" t="n">
        <f aca="false">IF(Q81=1,L81+ROW()/1000000,-1000000000000000)</f>
        <v>-1000000000000000</v>
      </c>
      <c r="Q81" s="52" t="n">
        <f aca="false">IF(B81="",0,IF(G81="",0,IF(N81="Returned / Devuelto",0,1)))</f>
        <v>0</v>
      </c>
      <c r="R81" s="52" t="n">
        <f aca="false">IF(Q81=1,IF(ISNUMBER(D81),YEAR(D81)*100+MONTH(D81),0),0)</f>
        <v>0</v>
      </c>
      <c r="S81" s="52" t="n">
        <f aca="false">IF(Q81=1,IF(M81&lt;0.15,1,0),0)</f>
        <v>0</v>
      </c>
    </row>
    <row r="82" customFormat="false" ht="15" hidden="false" customHeight="false" outlineLevel="0" collapsed="false">
      <c r="B82" s="53"/>
      <c r="C82" s="53"/>
      <c r="D82" s="54"/>
      <c r="E82" s="55"/>
      <c r="F82" s="55"/>
      <c r="G82" s="55"/>
      <c r="H82" s="56"/>
      <c r="I82" s="57" t="str">
        <f aca="false">IF(G82="","",G82*H82)</f>
        <v/>
      </c>
      <c r="J82" s="55"/>
      <c r="K82" s="55"/>
      <c r="L82" s="57" t="str">
        <f aca="false">IF(OR(B82="",G82=""),"",G82-E82-F82-I82-J82-K82)</f>
        <v/>
      </c>
      <c r="M82" s="58" t="str">
        <f aca="false">IF(L82="","",IF(G82=0,0,L82/G82))</f>
        <v/>
      </c>
      <c r="N82" s="53"/>
      <c r="O82" s="59" t="str">
        <f aca="false">IF(M82="","",IF(M82&lt;0.15,"⚠ LOW MARGIN / MARGEN BAJO","✔ OK"))</f>
        <v/>
      </c>
      <c r="P82" s="52" t="n">
        <f aca="false">IF(Q82=1,L82+ROW()/1000000,-1000000000000000)</f>
        <v>-1000000000000000</v>
      </c>
      <c r="Q82" s="52" t="n">
        <f aca="false">IF(B82="",0,IF(G82="",0,IF(N82="Returned / Devuelto",0,1)))</f>
        <v>0</v>
      </c>
      <c r="R82" s="52" t="n">
        <f aca="false">IF(Q82=1,IF(ISNUMBER(D82),YEAR(D82)*100+MONTH(D82),0),0)</f>
        <v>0</v>
      </c>
      <c r="S82" s="52" t="n">
        <f aca="false">IF(Q82=1,IF(M82&lt;0.15,1,0),0)</f>
        <v>0</v>
      </c>
    </row>
    <row r="83" customFormat="false" ht="15" hidden="false" customHeight="false" outlineLevel="0" collapsed="false">
      <c r="B83" s="53"/>
      <c r="C83" s="53"/>
      <c r="D83" s="54"/>
      <c r="E83" s="55"/>
      <c r="F83" s="55"/>
      <c r="G83" s="55"/>
      <c r="H83" s="56"/>
      <c r="I83" s="57" t="str">
        <f aca="false">IF(G83="","",G83*H83)</f>
        <v/>
      </c>
      <c r="J83" s="55"/>
      <c r="K83" s="55"/>
      <c r="L83" s="57" t="str">
        <f aca="false">IF(OR(B83="",G83=""),"",G83-E83-F83-I83-J83-K83)</f>
        <v/>
      </c>
      <c r="M83" s="58" t="str">
        <f aca="false">IF(L83="","",IF(G83=0,0,L83/G83))</f>
        <v/>
      </c>
      <c r="N83" s="53"/>
      <c r="O83" s="59" t="str">
        <f aca="false">IF(M83="","",IF(M83&lt;0.15,"⚠ LOW MARGIN / MARGEN BAJO","✔ OK"))</f>
        <v/>
      </c>
      <c r="P83" s="52" t="n">
        <f aca="false">IF(Q83=1,L83+ROW()/1000000,-1000000000000000)</f>
        <v>-1000000000000000</v>
      </c>
      <c r="Q83" s="52" t="n">
        <f aca="false">IF(B83="",0,IF(G83="",0,IF(N83="Returned / Devuelto",0,1)))</f>
        <v>0</v>
      </c>
      <c r="R83" s="52" t="n">
        <f aca="false">IF(Q83=1,IF(ISNUMBER(D83),YEAR(D83)*100+MONTH(D83),0),0)</f>
        <v>0</v>
      </c>
      <c r="S83" s="52" t="n">
        <f aca="false">IF(Q83=1,IF(M83&lt;0.15,1,0),0)</f>
        <v>0</v>
      </c>
    </row>
    <row r="84" customFormat="false" ht="15" hidden="false" customHeight="false" outlineLevel="0" collapsed="false">
      <c r="B84" s="53"/>
      <c r="C84" s="53"/>
      <c r="D84" s="54"/>
      <c r="E84" s="55"/>
      <c r="F84" s="55"/>
      <c r="G84" s="55"/>
      <c r="H84" s="56"/>
      <c r="I84" s="57" t="str">
        <f aca="false">IF(G84="","",G84*H84)</f>
        <v/>
      </c>
      <c r="J84" s="55"/>
      <c r="K84" s="55"/>
      <c r="L84" s="57" t="str">
        <f aca="false">IF(OR(B84="",G84=""),"",G84-E84-F84-I84-J84-K84)</f>
        <v/>
      </c>
      <c r="M84" s="58" t="str">
        <f aca="false">IF(L84="","",IF(G84=0,0,L84/G84))</f>
        <v/>
      </c>
      <c r="N84" s="53"/>
      <c r="O84" s="59" t="str">
        <f aca="false">IF(M84="","",IF(M84&lt;0.15,"⚠ LOW MARGIN / MARGEN BAJO","✔ OK"))</f>
        <v/>
      </c>
      <c r="P84" s="52" t="n">
        <f aca="false">IF(Q84=1,L84+ROW()/1000000,-1000000000000000)</f>
        <v>-1000000000000000</v>
      </c>
      <c r="Q84" s="52" t="n">
        <f aca="false">IF(B84="",0,IF(G84="",0,IF(N84="Returned / Devuelto",0,1)))</f>
        <v>0</v>
      </c>
      <c r="R84" s="52" t="n">
        <f aca="false">IF(Q84=1,IF(ISNUMBER(D84),YEAR(D84)*100+MONTH(D84),0),0)</f>
        <v>0</v>
      </c>
      <c r="S84" s="52" t="n">
        <f aca="false">IF(Q84=1,IF(M84&lt;0.15,1,0),0)</f>
        <v>0</v>
      </c>
    </row>
    <row r="85" customFormat="false" ht="15" hidden="false" customHeight="false" outlineLevel="0" collapsed="false">
      <c r="B85" s="53"/>
      <c r="C85" s="53"/>
      <c r="D85" s="54"/>
      <c r="E85" s="55"/>
      <c r="F85" s="55"/>
      <c r="G85" s="55"/>
      <c r="H85" s="56"/>
      <c r="I85" s="57" t="str">
        <f aca="false">IF(G85="","",G85*H85)</f>
        <v/>
      </c>
      <c r="J85" s="55"/>
      <c r="K85" s="55"/>
      <c r="L85" s="57" t="str">
        <f aca="false">IF(OR(B85="",G85=""),"",G85-E85-F85-I85-J85-K85)</f>
        <v/>
      </c>
      <c r="M85" s="58" t="str">
        <f aca="false">IF(L85="","",IF(G85=0,0,L85/G85))</f>
        <v/>
      </c>
      <c r="N85" s="53"/>
      <c r="O85" s="59" t="str">
        <f aca="false">IF(M85="","",IF(M85&lt;0.15,"⚠ LOW MARGIN / MARGEN BAJO","✔ OK"))</f>
        <v/>
      </c>
      <c r="P85" s="52" t="n">
        <f aca="false">IF(Q85=1,L85+ROW()/1000000,-1000000000000000)</f>
        <v>-1000000000000000</v>
      </c>
      <c r="Q85" s="52" t="n">
        <f aca="false">IF(B85="",0,IF(G85="",0,IF(N85="Returned / Devuelto",0,1)))</f>
        <v>0</v>
      </c>
      <c r="R85" s="52" t="n">
        <f aca="false">IF(Q85=1,IF(ISNUMBER(D85),YEAR(D85)*100+MONTH(D85),0),0)</f>
        <v>0</v>
      </c>
      <c r="S85" s="52" t="n">
        <f aca="false">IF(Q85=1,IF(M85&lt;0.15,1,0),0)</f>
        <v>0</v>
      </c>
    </row>
    <row r="86" customFormat="false" ht="15" hidden="false" customHeight="false" outlineLevel="0" collapsed="false">
      <c r="B86" s="53"/>
      <c r="C86" s="53"/>
      <c r="D86" s="54"/>
      <c r="E86" s="55"/>
      <c r="F86" s="55"/>
      <c r="G86" s="55"/>
      <c r="H86" s="56"/>
      <c r="I86" s="57" t="str">
        <f aca="false">IF(G86="","",G86*H86)</f>
        <v/>
      </c>
      <c r="J86" s="55"/>
      <c r="K86" s="55"/>
      <c r="L86" s="57" t="str">
        <f aca="false">IF(OR(B86="",G86=""),"",G86-E86-F86-I86-J86-K86)</f>
        <v/>
      </c>
      <c r="M86" s="58" t="str">
        <f aca="false">IF(L86="","",IF(G86=0,0,L86/G86))</f>
        <v/>
      </c>
      <c r="N86" s="53"/>
      <c r="O86" s="59" t="str">
        <f aca="false">IF(M86="","",IF(M86&lt;0.15,"⚠ LOW MARGIN / MARGEN BAJO","✔ OK"))</f>
        <v/>
      </c>
      <c r="P86" s="52" t="n">
        <f aca="false">IF(Q86=1,L86+ROW()/1000000,-1000000000000000)</f>
        <v>-1000000000000000</v>
      </c>
      <c r="Q86" s="52" t="n">
        <f aca="false">IF(B86="",0,IF(G86="",0,IF(N86="Returned / Devuelto",0,1)))</f>
        <v>0</v>
      </c>
      <c r="R86" s="52" t="n">
        <f aca="false">IF(Q86=1,IF(ISNUMBER(D86),YEAR(D86)*100+MONTH(D86),0),0)</f>
        <v>0</v>
      </c>
      <c r="S86" s="52" t="n">
        <f aca="false">IF(Q86=1,IF(M86&lt;0.15,1,0),0)</f>
        <v>0</v>
      </c>
    </row>
    <row r="87" customFormat="false" ht="15" hidden="false" customHeight="false" outlineLevel="0" collapsed="false">
      <c r="B87" s="53"/>
      <c r="C87" s="53"/>
      <c r="D87" s="54"/>
      <c r="E87" s="55"/>
      <c r="F87" s="55"/>
      <c r="G87" s="55"/>
      <c r="H87" s="56"/>
      <c r="I87" s="57" t="str">
        <f aca="false">IF(G87="","",G87*H87)</f>
        <v/>
      </c>
      <c r="J87" s="55"/>
      <c r="K87" s="55"/>
      <c r="L87" s="57" t="str">
        <f aca="false">IF(OR(B87="",G87=""),"",G87-E87-F87-I87-J87-K87)</f>
        <v/>
      </c>
      <c r="M87" s="58" t="str">
        <f aca="false">IF(L87="","",IF(G87=0,0,L87/G87))</f>
        <v/>
      </c>
      <c r="N87" s="53"/>
      <c r="O87" s="59" t="str">
        <f aca="false">IF(M87="","",IF(M87&lt;0.15,"⚠ LOW MARGIN / MARGEN BAJO","✔ OK"))</f>
        <v/>
      </c>
      <c r="P87" s="52" t="n">
        <f aca="false">IF(Q87=1,L87+ROW()/1000000,-1000000000000000)</f>
        <v>-1000000000000000</v>
      </c>
      <c r="Q87" s="52" t="n">
        <f aca="false">IF(B87="",0,IF(G87="",0,IF(N87="Returned / Devuelto",0,1)))</f>
        <v>0</v>
      </c>
      <c r="R87" s="52" t="n">
        <f aca="false">IF(Q87=1,IF(ISNUMBER(D87),YEAR(D87)*100+MONTH(D87),0),0)</f>
        <v>0</v>
      </c>
      <c r="S87" s="52" t="n">
        <f aca="false">IF(Q87=1,IF(M87&lt;0.15,1,0),0)</f>
        <v>0</v>
      </c>
    </row>
    <row r="88" customFormat="false" ht="15" hidden="false" customHeight="false" outlineLevel="0" collapsed="false">
      <c r="B88" s="53"/>
      <c r="C88" s="53"/>
      <c r="D88" s="54"/>
      <c r="E88" s="55"/>
      <c r="F88" s="55"/>
      <c r="G88" s="55"/>
      <c r="H88" s="56"/>
      <c r="I88" s="57" t="str">
        <f aca="false">IF(G88="","",G88*H88)</f>
        <v/>
      </c>
      <c r="J88" s="55"/>
      <c r="K88" s="55"/>
      <c r="L88" s="57" t="str">
        <f aca="false">IF(OR(B88="",G88=""),"",G88-E88-F88-I88-J88-K88)</f>
        <v/>
      </c>
      <c r="M88" s="58" t="str">
        <f aca="false">IF(L88="","",IF(G88=0,0,L88/G88))</f>
        <v/>
      </c>
      <c r="N88" s="53"/>
      <c r="O88" s="59" t="str">
        <f aca="false">IF(M88="","",IF(M88&lt;0.15,"⚠ LOW MARGIN / MARGEN BAJO","✔ OK"))</f>
        <v/>
      </c>
      <c r="P88" s="52" t="n">
        <f aca="false">IF(Q88=1,L88+ROW()/1000000,-1000000000000000)</f>
        <v>-1000000000000000</v>
      </c>
      <c r="Q88" s="52" t="n">
        <f aca="false">IF(B88="",0,IF(G88="",0,IF(N88="Returned / Devuelto",0,1)))</f>
        <v>0</v>
      </c>
      <c r="R88" s="52" t="n">
        <f aca="false">IF(Q88=1,IF(ISNUMBER(D88),YEAR(D88)*100+MONTH(D88),0),0)</f>
        <v>0</v>
      </c>
      <c r="S88" s="52" t="n">
        <f aca="false">IF(Q88=1,IF(M88&lt;0.15,1,0),0)</f>
        <v>0</v>
      </c>
    </row>
    <row r="89" customFormat="false" ht="15" hidden="false" customHeight="false" outlineLevel="0" collapsed="false">
      <c r="B89" s="53"/>
      <c r="C89" s="53"/>
      <c r="D89" s="54"/>
      <c r="E89" s="55"/>
      <c r="F89" s="55"/>
      <c r="G89" s="55"/>
      <c r="H89" s="56"/>
      <c r="I89" s="57" t="str">
        <f aca="false">IF(G89="","",G89*H89)</f>
        <v/>
      </c>
      <c r="J89" s="55"/>
      <c r="K89" s="55"/>
      <c r="L89" s="57" t="str">
        <f aca="false">IF(OR(B89="",G89=""),"",G89-E89-F89-I89-J89-K89)</f>
        <v/>
      </c>
      <c r="M89" s="58" t="str">
        <f aca="false">IF(L89="","",IF(G89=0,0,L89/G89))</f>
        <v/>
      </c>
      <c r="N89" s="53"/>
      <c r="O89" s="59" t="str">
        <f aca="false">IF(M89="","",IF(M89&lt;0.15,"⚠ LOW MARGIN / MARGEN BAJO","✔ OK"))</f>
        <v/>
      </c>
      <c r="P89" s="52" t="n">
        <f aca="false">IF(Q89=1,L89+ROW()/1000000,-1000000000000000)</f>
        <v>-1000000000000000</v>
      </c>
      <c r="Q89" s="52" t="n">
        <f aca="false">IF(B89="",0,IF(G89="",0,IF(N89="Returned / Devuelto",0,1)))</f>
        <v>0</v>
      </c>
      <c r="R89" s="52" t="n">
        <f aca="false">IF(Q89=1,IF(ISNUMBER(D89),YEAR(D89)*100+MONTH(D89),0),0)</f>
        <v>0</v>
      </c>
      <c r="S89" s="52" t="n">
        <f aca="false">IF(Q89=1,IF(M89&lt;0.15,1,0),0)</f>
        <v>0</v>
      </c>
    </row>
    <row r="90" customFormat="false" ht="15" hidden="false" customHeight="false" outlineLevel="0" collapsed="false">
      <c r="B90" s="53"/>
      <c r="C90" s="53"/>
      <c r="D90" s="54"/>
      <c r="E90" s="55"/>
      <c r="F90" s="55"/>
      <c r="G90" s="55"/>
      <c r="H90" s="56"/>
      <c r="I90" s="57" t="str">
        <f aca="false">IF(G90="","",G90*H90)</f>
        <v/>
      </c>
      <c r="J90" s="55"/>
      <c r="K90" s="55"/>
      <c r="L90" s="57" t="str">
        <f aca="false">IF(OR(B90="",G90=""),"",G90-E90-F90-I90-J90-K90)</f>
        <v/>
      </c>
      <c r="M90" s="58" t="str">
        <f aca="false">IF(L90="","",IF(G90=0,0,L90/G90))</f>
        <v/>
      </c>
      <c r="N90" s="53"/>
      <c r="O90" s="59" t="str">
        <f aca="false">IF(M90="","",IF(M90&lt;0.15,"⚠ LOW MARGIN / MARGEN BAJO","✔ OK"))</f>
        <v/>
      </c>
      <c r="P90" s="52" t="n">
        <f aca="false">IF(Q90=1,L90+ROW()/1000000,-1000000000000000)</f>
        <v>-1000000000000000</v>
      </c>
      <c r="Q90" s="52" t="n">
        <f aca="false">IF(B90="",0,IF(G90="",0,IF(N90="Returned / Devuelto",0,1)))</f>
        <v>0</v>
      </c>
      <c r="R90" s="52" t="n">
        <f aca="false">IF(Q90=1,IF(ISNUMBER(D90),YEAR(D90)*100+MONTH(D90),0),0)</f>
        <v>0</v>
      </c>
      <c r="S90" s="52" t="n">
        <f aca="false">IF(Q90=1,IF(M90&lt;0.15,1,0),0)</f>
        <v>0</v>
      </c>
    </row>
    <row r="91" customFormat="false" ht="15" hidden="false" customHeight="false" outlineLevel="0" collapsed="false">
      <c r="B91" s="53"/>
      <c r="C91" s="53"/>
      <c r="D91" s="54"/>
      <c r="E91" s="55"/>
      <c r="F91" s="55"/>
      <c r="G91" s="55"/>
      <c r="H91" s="56"/>
      <c r="I91" s="57" t="str">
        <f aca="false">IF(G91="","",G91*H91)</f>
        <v/>
      </c>
      <c r="J91" s="55"/>
      <c r="K91" s="55"/>
      <c r="L91" s="57" t="str">
        <f aca="false">IF(OR(B91="",G91=""),"",G91-E91-F91-I91-J91-K91)</f>
        <v/>
      </c>
      <c r="M91" s="58" t="str">
        <f aca="false">IF(L91="","",IF(G91=0,0,L91/G91))</f>
        <v/>
      </c>
      <c r="N91" s="53"/>
      <c r="O91" s="59" t="str">
        <f aca="false">IF(M91="","",IF(M91&lt;0.15,"⚠ LOW MARGIN / MARGEN BAJO","✔ OK"))</f>
        <v/>
      </c>
      <c r="P91" s="52" t="n">
        <f aca="false">IF(Q91=1,L91+ROW()/1000000,-1000000000000000)</f>
        <v>-1000000000000000</v>
      </c>
      <c r="Q91" s="52" t="n">
        <f aca="false">IF(B91="",0,IF(G91="",0,IF(N91="Returned / Devuelto",0,1)))</f>
        <v>0</v>
      </c>
      <c r="R91" s="52" t="n">
        <f aca="false">IF(Q91=1,IF(ISNUMBER(D91),YEAR(D91)*100+MONTH(D91),0),0)</f>
        <v>0</v>
      </c>
      <c r="S91" s="52" t="n">
        <f aca="false">IF(Q91=1,IF(M91&lt;0.15,1,0),0)</f>
        <v>0</v>
      </c>
    </row>
    <row r="92" customFormat="false" ht="15" hidden="false" customHeight="false" outlineLevel="0" collapsed="false">
      <c r="B92" s="53"/>
      <c r="C92" s="53"/>
      <c r="D92" s="54"/>
      <c r="E92" s="55"/>
      <c r="F92" s="55"/>
      <c r="G92" s="55"/>
      <c r="H92" s="56"/>
      <c r="I92" s="57" t="str">
        <f aca="false">IF(G92="","",G92*H92)</f>
        <v/>
      </c>
      <c r="J92" s="55"/>
      <c r="K92" s="55"/>
      <c r="L92" s="57" t="str">
        <f aca="false">IF(OR(B92="",G92=""),"",G92-E92-F92-I92-J92-K92)</f>
        <v/>
      </c>
      <c r="M92" s="58" t="str">
        <f aca="false">IF(L92="","",IF(G92=0,0,L92/G92))</f>
        <v/>
      </c>
      <c r="N92" s="53"/>
      <c r="O92" s="59" t="str">
        <f aca="false">IF(M92="","",IF(M92&lt;0.15,"⚠ LOW MARGIN / MARGEN BAJO","✔ OK"))</f>
        <v/>
      </c>
      <c r="P92" s="52" t="n">
        <f aca="false">IF(Q92=1,L92+ROW()/1000000,-1000000000000000)</f>
        <v>-1000000000000000</v>
      </c>
      <c r="Q92" s="52" t="n">
        <f aca="false">IF(B92="",0,IF(G92="",0,IF(N92="Returned / Devuelto",0,1)))</f>
        <v>0</v>
      </c>
      <c r="R92" s="52" t="n">
        <f aca="false">IF(Q92=1,IF(ISNUMBER(D92),YEAR(D92)*100+MONTH(D92),0),0)</f>
        <v>0</v>
      </c>
      <c r="S92" s="52" t="n">
        <f aca="false">IF(Q92=1,IF(M92&lt;0.15,1,0),0)</f>
        <v>0</v>
      </c>
    </row>
    <row r="93" customFormat="false" ht="15" hidden="false" customHeight="false" outlineLevel="0" collapsed="false">
      <c r="B93" s="53"/>
      <c r="C93" s="53"/>
      <c r="D93" s="54"/>
      <c r="E93" s="55"/>
      <c r="F93" s="55"/>
      <c r="G93" s="55"/>
      <c r="H93" s="56"/>
      <c r="I93" s="57" t="str">
        <f aca="false">IF(G93="","",G93*H93)</f>
        <v/>
      </c>
      <c r="J93" s="55"/>
      <c r="K93" s="55"/>
      <c r="L93" s="57" t="str">
        <f aca="false">IF(OR(B93="",G93=""),"",G93-E93-F93-I93-J93-K93)</f>
        <v/>
      </c>
      <c r="M93" s="58" t="str">
        <f aca="false">IF(L93="","",IF(G93=0,0,L93/G93))</f>
        <v/>
      </c>
      <c r="N93" s="53"/>
      <c r="O93" s="59" t="str">
        <f aca="false">IF(M93="","",IF(M93&lt;0.15,"⚠ LOW MARGIN / MARGEN BAJO","✔ OK"))</f>
        <v/>
      </c>
      <c r="P93" s="52" t="n">
        <f aca="false">IF(Q93=1,L93+ROW()/1000000,-1000000000000000)</f>
        <v>-1000000000000000</v>
      </c>
      <c r="Q93" s="52" t="n">
        <f aca="false">IF(B93="",0,IF(G93="",0,IF(N93="Returned / Devuelto",0,1)))</f>
        <v>0</v>
      </c>
      <c r="R93" s="52" t="n">
        <f aca="false">IF(Q93=1,IF(ISNUMBER(D93),YEAR(D93)*100+MONTH(D93),0),0)</f>
        <v>0</v>
      </c>
      <c r="S93" s="52" t="n">
        <f aca="false">IF(Q93=1,IF(M93&lt;0.15,1,0),0)</f>
        <v>0</v>
      </c>
    </row>
    <row r="94" customFormat="false" ht="15" hidden="false" customHeight="false" outlineLevel="0" collapsed="false">
      <c r="B94" s="53"/>
      <c r="C94" s="53"/>
      <c r="D94" s="54"/>
      <c r="E94" s="55"/>
      <c r="F94" s="55"/>
      <c r="G94" s="55"/>
      <c r="H94" s="56"/>
      <c r="I94" s="57" t="str">
        <f aca="false">IF(G94="","",G94*H94)</f>
        <v/>
      </c>
      <c r="J94" s="55"/>
      <c r="K94" s="55"/>
      <c r="L94" s="57" t="str">
        <f aca="false">IF(OR(B94="",G94=""),"",G94-E94-F94-I94-J94-K94)</f>
        <v/>
      </c>
      <c r="M94" s="58" t="str">
        <f aca="false">IF(L94="","",IF(G94=0,0,L94/G94))</f>
        <v/>
      </c>
      <c r="N94" s="53"/>
      <c r="O94" s="59" t="str">
        <f aca="false">IF(M94="","",IF(M94&lt;0.15,"⚠ LOW MARGIN / MARGEN BAJO","✔ OK"))</f>
        <v/>
      </c>
      <c r="P94" s="52" t="n">
        <f aca="false">IF(Q94=1,L94+ROW()/1000000,-1000000000000000)</f>
        <v>-1000000000000000</v>
      </c>
      <c r="Q94" s="52" t="n">
        <f aca="false">IF(B94="",0,IF(G94="",0,IF(N94="Returned / Devuelto",0,1)))</f>
        <v>0</v>
      </c>
      <c r="R94" s="52" t="n">
        <f aca="false">IF(Q94=1,IF(ISNUMBER(D94),YEAR(D94)*100+MONTH(D94),0),0)</f>
        <v>0</v>
      </c>
      <c r="S94" s="52" t="n">
        <f aca="false">IF(Q94=1,IF(M94&lt;0.15,1,0),0)</f>
        <v>0</v>
      </c>
    </row>
    <row r="95" customFormat="false" ht="15" hidden="false" customHeight="false" outlineLevel="0" collapsed="false">
      <c r="B95" s="53"/>
      <c r="C95" s="53"/>
      <c r="D95" s="54"/>
      <c r="E95" s="55"/>
      <c r="F95" s="55"/>
      <c r="G95" s="55"/>
      <c r="H95" s="56"/>
      <c r="I95" s="57" t="str">
        <f aca="false">IF(G95="","",G95*H95)</f>
        <v/>
      </c>
      <c r="J95" s="55"/>
      <c r="K95" s="55"/>
      <c r="L95" s="57" t="str">
        <f aca="false">IF(OR(B95="",G95=""),"",G95-E95-F95-I95-J95-K95)</f>
        <v/>
      </c>
      <c r="M95" s="58" t="str">
        <f aca="false">IF(L95="","",IF(G95=0,0,L95/G95))</f>
        <v/>
      </c>
      <c r="N95" s="53"/>
      <c r="O95" s="59" t="str">
        <f aca="false">IF(M95="","",IF(M95&lt;0.15,"⚠ LOW MARGIN / MARGEN BAJO","✔ OK"))</f>
        <v/>
      </c>
      <c r="P95" s="52" t="n">
        <f aca="false">IF(Q95=1,L95+ROW()/1000000,-1000000000000000)</f>
        <v>-1000000000000000</v>
      </c>
      <c r="Q95" s="52" t="n">
        <f aca="false">IF(B95="",0,IF(G95="",0,IF(N95="Returned / Devuelto",0,1)))</f>
        <v>0</v>
      </c>
      <c r="R95" s="52" t="n">
        <f aca="false">IF(Q95=1,IF(ISNUMBER(D95),YEAR(D95)*100+MONTH(D95),0),0)</f>
        <v>0</v>
      </c>
      <c r="S95" s="52" t="n">
        <f aca="false">IF(Q95=1,IF(M95&lt;0.15,1,0),0)</f>
        <v>0</v>
      </c>
    </row>
    <row r="96" customFormat="false" ht="15" hidden="false" customHeight="false" outlineLevel="0" collapsed="false">
      <c r="B96" s="53"/>
      <c r="C96" s="53"/>
      <c r="D96" s="54"/>
      <c r="E96" s="55"/>
      <c r="F96" s="55"/>
      <c r="G96" s="55"/>
      <c r="H96" s="56"/>
      <c r="I96" s="57" t="str">
        <f aca="false">IF(G96="","",G96*H96)</f>
        <v/>
      </c>
      <c r="J96" s="55"/>
      <c r="K96" s="55"/>
      <c r="L96" s="57" t="str">
        <f aca="false">IF(OR(B96="",G96=""),"",G96-E96-F96-I96-J96-K96)</f>
        <v/>
      </c>
      <c r="M96" s="58" t="str">
        <f aca="false">IF(L96="","",IF(G96=0,0,L96/G96))</f>
        <v/>
      </c>
      <c r="N96" s="53"/>
      <c r="O96" s="59" t="str">
        <f aca="false">IF(M96="","",IF(M96&lt;0.15,"⚠ LOW MARGIN / MARGEN BAJO","✔ OK"))</f>
        <v/>
      </c>
      <c r="P96" s="52" t="n">
        <f aca="false">IF(Q96=1,L96+ROW()/1000000,-1000000000000000)</f>
        <v>-1000000000000000</v>
      </c>
      <c r="Q96" s="52" t="n">
        <f aca="false">IF(B96="",0,IF(G96="",0,IF(N96="Returned / Devuelto",0,1)))</f>
        <v>0</v>
      </c>
      <c r="R96" s="52" t="n">
        <f aca="false">IF(Q96=1,IF(ISNUMBER(D96),YEAR(D96)*100+MONTH(D96),0),0)</f>
        <v>0</v>
      </c>
      <c r="S96" s="52" t="n">
        <f aca="false">IF(Q96=1,IF(M96&lt;0.15,1,0),0)</f>
        <v>0</v>
      </c>
    </row>
    <row r="97" customFormat="false" ht="15" hidden="false" customHeight="false" outlineLevel="0" collapsed="false">
      <c r="B97" s="53"/>
      <c r="C97" s="53"/>
      <c r="D97" s="54"/>
      <c r="E97" s="55"/>
      <c r="F97" s="55"/>
      <c r="G97" s="55"/>
      <c r="H97" s="56"/>
      <c r="I97" s="57" t="str">
        <f aca="false">IF(G97="","",G97*H97)</f>
        <v/>
      </c>
      <c r="J97" s="55"/>
      <c r="K97" s="55"/>
      <c r="L97" s="57" t="str">
        <f aca="false">IF(OR(B97="",G97=""),"",G97-E97-F97-I97-J97-K97)</f>
        <v/>
      </c>
      <c r="M97" s="58" t="str">
        <f aca="false">IF(L97="","",IF(G97=0,0,L97/G97))</f>
        <v/>
      </c>
      <c r="N97" s="53"/>
      <c r="O97" s="59" t="str">
        <f aca="false">IF(M97="","",IF(M97&lt;0.15,"⚠ LOW MARGIN / MARGEN BAJO","✔ OK"))</f>
        <v/>
      </c>
      <c r="P97" s="52" t="n">
        <f aca="false">IF(Q97=1,L97+ROW()/1000000,-1000000000000000)</f>
        <v>-1000000000000000</v>
      </c>
      <c r="Q97" s="52" t="n">
        <f aca="false">IF(B97="",0,IF(G97="",0,IF(N97="Returned / Devuelto",0,1)))</f>
        <v>0</v>
      </c>
      <c r="R97" s="52" t="n">
        <f aca="false">IF(Q97=1,IF(ISNUMBER(D97),YEAR(D97)*100+MONTH(D97),0),0)</f>
        <v>0</v>
      </c>
      <c r="S97" s="52" t="n">
        <f aca="false">IF(Q97=1,IF(M97&lt;0.15,1,0),0)</f>
        <v>0</v>
      </c>
    </row>
    <row r="98" customFormat="false" ht="15" hidden="false" customHeight="false" outlineLevel="0" collapsed="false">
      <c r="B98" s="53"/>
      <c r="C98" s="53"/>
      <c r="D98" s="54"/>
      <c r="E98" s="55"/>
      <c r="F98" s="55"/>
      <c r="G98" s="55"/>
      <c r="H98" s="56"/>
      <c r="I98" s="57" t="str">
        <f aca="false">IF(G98="","",G98*H98)</f>
        <v/>
      </c>
      <c r="J98" s="55"/>
      <c r="K98" s="55"/>
      <c r="L98" s="57" t="str">
        <f aca="false">IF(OR(B98="",G98=""),"",G98-E98-F98-I98-J98-K98)</f>
        <v/>
      </c>
      <c r="M98" s="58" t="str">
        <f aca="false">IF(L98="","",IF(G98=0,0,L98/G98))</f>
        <v/>
      </c>
      <c r="N98" s="53"/>
      <c r="O98" s="59" t="str">
        <f aca="false">IF(M98="","",IF(M98&lt;0.15,"⚠ LOW MARGIN / MARGEN BAJO","✔ OK"))</f>
        <v/>
      </c>
      <c r="P98" s="52" t="n">
        <f aca="false">IF(Q98=1,L98+ROW()/1000000,-1000000000000000)</f>
        <v>-1000000000000000</v>
      </c>
      <c r="Q98" s="52" t="n">
        <f aca="false">IF(B98="",0,IF(G98="",0,IF(N98="Returned / Devuelto",0,1)))</f>
        <v>0</v>
      </c>
      <c r="R98" s="52" t="n">
        <f aca="false">IF(Q98=1,IF(ISNUMBER(D98),YEAR(D98)*100+MONTH(D98),0),0)</f>
        <v>0</v>
      </c>
      <c r="S98" s="52" t="n">
        <f aca="false">IF(Q98=1,IF(M98&lt;0.15,1,0),0)</f>
        <v>0</v>
      </c>
    </row>
    <row r="99" customFormat="false" ht="15" hidden="false" customHeight="false" outlineLevel="0" collapsed="false">
      <c r="B99" s="53"/>
      <c r="C99" s="53"/>
      <c r="D99" s="54"/>
      <c r="E99" s="55"/>
      <c r="F99" s="55"/>
      <c r="G99" s="55"/>
      <c r="H99" s="56"/>
      <c r="I99" s="57" t="str">
        <f aca="false">IF(G99="","",G99*H99)</f>
        <v/>
      </c>
      <c r="J99" s="55"/>
      <c r="K99" s="55"/>
      <c r="L99" s="57" t="str">
        <f aca="false">IF(OR(B99="",G99=""),"",G99-E99-F99-I99-J99-K99)</f>
        <v/>
      </c>
      <c r="M99" s="58" t="str">
        <f aca="false">IF(L99="","",IF(G99=0,0,L99/G99))</f>
        <v/>
      </c>
      <c r="N99" s="53"/>
      <c r="O99" s="59" t="str">
        <f aca="false">IF(M99="","",IF(M99&lt;0.15,"⚠ LOW MARGIN / MARGEN BAJO","✔ OK"))</f>
        <v/>
      </c>
      <c r="P99" s="52" t="n">
        <f aca="false">IF(Q99=1,L99+ROW()/1000000,-1000000000000000)</f>
        <v>-1000000000000000</v>
      </c>
      <c r="Q99" s="52" t="n">
        <f aca="false">IF(B99="",0,IF(G99="",0,IF(N99="Returned / Devuelto",0,1)))</f>
        <v>0</v>
      </c>
      <c r="R99" s="52" t="n">
        <f aca="false">IF(Q99=1,IF(ISNUMBER(D99),YEAR(D99)*100+MONTH(D99),0),0)</f>
        <v>0</v>
      </c>
      <c r="S99" s="52" t="n">
        <f aca="false">IF(Q99=1,IF(M99&lt;0.15,1,0),0)</f>
        <v>0</v>
      </c>
    </row>
    <row r="100" customFormat="false" ht="15" hidden="false" customHeight="false" outlineLevel="0" collapsed="false">
      <c r="B100" s="53"/>
      <c r="C100" s="53"/>
      <c r="D100" s="54"/>
      <c r="E100" s="55"/>
      <c r="F100" s="55"/>
      <c r="G100" s="55"/>
      <c r="H100" s="56"/>
      <c r="I100" s="57" t="str">
        <f aca="false">IF(G100="","",G100*H100)</f>
        <v/>
      </c>
      <c r="J100" s="55"/>
      <c r="K100" s="55"/>
      <c r="L100" s="57" t="str">
        <f aca="false">IF(OR(B100="",G100=""),"",G100-E100-F100-I100-J100-K100)</f>
        <v/>
      </c>
      <c r="M100" s="58" t="str">
        <f aca="false">IF(L100="","",IF(G100=0,0,L100/G100))</f>
        <v/>
      </c>
      <c r="N100" s="53"/>
      <c r="O100" s="59" t="str">
        <f aca="false">IF(M100="","",IF(M100&lt;0.15,"⚠ LOW MARGIN / MARGEN BAJO","✔ OK"))</f>
        <v/>
      </c>
      <c r="P100" s="52" t="n">
        <f aca="false">IF(Q100=1,L100+ROW()/1000000,-1000000000000000)</f>
        <v>-1000000000000000</v>
      </c>
      <c r="Q100" s="52" t="n">
        <f aca="false">IF(B100="",0,IF(G100="",0,IF(N100="Returned / Devuelto",0,1)))</f>
        <v>0</v>
      </c>
      <c r="R100" s="52" t="n">
        <f aca="false">IF(Q100=1,IF(ISNUMBER(D100),YEAR(D100)*100+MONTH(D100),0),0)</f>
        <v>0</v>
      </c>
      <c r="S100" s="52" t="n">
        <f aca="false">IF(Q100=1,IF(M100&lt;0.15,1,0),0)</f>
        <v>0</v>
      </c>
    </row>
    <row r="101" customFormat="false" ht="15" hidden="false" customHeight="false" outlineLevel="0" collapsed="false">
      <c r="B101" s="53"/>
      <c r="C101" s="53"/>
      <c r="D101" s="54"/>
      <c r="E101" s="55"/>
      <c r="F101" s="55"/>
      <c r="G101" s="55"/>
      <c r="H101" s="56"/>
      <c r="I101" s="57" t="str">
        <f aca="false">IF(G101="","",G101*H101)</f>
        <v/>
      </c>
      <c r="J101" s="55"/>
      <c r="K101" s="55"/>
      <c r="L101" s="57" t="str">
        <f aca="false">IF(OR(B101="",G101=""),"",G101-E101-F101-I101-J101-K101)</f>
        <v/>
      </c>
      <c r="M101" s="58" t="str">
        <f aca="false">IF(L101="","",IF(G101=0,0,L101/G101))</f>
        <v/>
      </c>
      <c r="N101" s="53"/>
      <c r="O101" s="59" t="str">
        <f aca="false">IF(M101="","",IF(M101&lt;0.15,"⚠ LOW MARGIN / MARGEN BAJO","✔ OK"))</f>
        <v/>
      </c>
      <c r="P101" s="52" t="n">
        <f aca="false">IF(Q101=1,L101+ROW()/1000000,-1000000000000000)</f>
        <v>-1000000000000000</v>
      </c>
      <c r="Q101" s="52" t="n">
        <f aca="false">IF(B101="",0,IF(G101="",0,IF(N101="Returned / Devuelto",0,1)))</f>
        <v>0</v>
      </c>
      <c r="R101" s="52" t="n">
        <f aca="false">IF(Q101=1,IF(ISNUMBER(D101),YEAR(D101)*100+MONTH(D101),0),0)</f>
        <v>0</v>
      </c>
      <c r="S101" s="52" t="n">
        <f aca="false">IF(Q101=1,IF(M101&lt;0.15,1,0),0)</f>
        <v>0</v>
      </c>
    </row>
    <row r="102" customFormat="false" ht="15" hidden="false" customHeight="false" outlineLevel="0" collapsed="false">
      <c r="B102" s="53"/>
      <c r="C102" s="53"/>
      <c r="D102" s="54"/>
      <c r="E102" s="55"/>
      <c r="F102" s="55"/>
      <c r="G102" s="55"/>
      <c r="H102" s="56"/>
      <c r="I102" s="57" t="str">
        <f aca="false">IF(G102="","",G102*H102)</f>
        <v/>
      </c>
      <c r="J102" s="55"/>
      <c r="K102" s="55"/>
      <c r="L102" s="57" t="str">
        <f aca="false">IF(OR(B102="",G102=""),"",G102-E102-F102-I102-J102-K102)</f>
        <v/>
      </c>
      <c r="M102" s="58" t="str">
        <f aca="false">IF(L102="","",IF(G102=0,0,L102/G102))</f>
        <v/>
      </c>
      <c r="N102" s="53"/>
      <c r="O102" s="59" t="str">
        <f aca="false">IF(M102="","",IF(M102&lt;0.15,"⚠ LOW MARGIN / MARGEN BAJO","✔ OK"))</f>
        <v/>
      </c>
      <c r="P102" s="52" t="n">
        <f aca="false">IF(Q102=1,L102+ROW()/1000000,-1000000000000000)</f>
        <v>-1000000000000000</v>
      </c>
      <c r="Q102" s="52" t="n">
        <f aca="false">IF(B102="",0,IF(G102="",0,IF(N102="Returned / Devuelto",0,1)))</f>
        <v>0</v>
      </c>
      <c r="R102" s="52" t="n">
        <f aca="false">IF(Q102=1,IF(ISNUMBER(D102),YEAR(D102)*100+MONTH(D102),0),0)</f>
        <v>0</v>
      </c>
      <c r="S102" s="52" t="n">
        <f aca="false">IF(Q102=1,IF(M102&lt;0.15,1,0),0)</f>
        <v>0</v>
      </c>
    </row>
    <row r="103" customFormat="false" ht="15" hidden="false" customHeight="false" outlineLevel="0" collapsed="false">
      <c r="B103" s="53"/>
      <c r="C103" s="53"/>
      <c r="D103" s="54"/>
      <c r="E103" s="55"/>
      <c r="F103" s="55"/>
      <c r="G103" s="55"/>
      <c r="H103" s="56"/>
      <c r="I103" s="57" t="str">
        <f aca="false">IF(G103="","",G103*H103)</f>
        <v/>
      </c>
      <c r="J103" s="55"/>
      <c r="K103" s="55"/>
      <c r="L103" s="57" t="str">
        <f aca="false">IF(OR(B103="",G103=""),"",G103-E103-F103-I103-J103-K103)</f>
        <v/>
      </c>
      <c r="M103" s="58" t="str">
        <f aca="false">IF(L103="","",IF(G103=0,0,L103/G103))</f>
        <v/>
      </c>
      <c r="N103" s="53"/>
      <c r="O103" s="59" t="str">
        <f aca="false">IF(M103="","",IF(M103&lt;0.15,"⚠ LOW MARGIN / MARGEN BAJO","✔ OK"))</f>
        <v/>
      </c>
      <c r="P103" s="52" t="n">
        <f aca="false">IF(Q103=1,L103+ROW()/1000000,-1000000000000000)</f>
        <v>-1000000000000000</v>
      </c>
      <c r="Q103" s="52" t="n">
        <f aca="false">IF(B103="",0,IF(G103="",0,IF(N103="Returned / Devuelto",0,1)))</f>
        <v>0</v>
      </c>
      <c r="R103" s="52" t="n">
        <f aca="false">IF(Q103=1,IF(ISNUMBER(D103),YEAR(D103)*100+MONTH(D103),0),0)</f>
        <v>0</v>
      </c>
      <c r="S103" s="52" t="n">
        <f aca="false">IF(Q103=1,IF(M103&lt;0.15,1,0),0)</f>
        <v>0</v>
      </c>
    </row>
    <row r="104" customFormat="false" ht="15" hidden="false" customHeight="false" outlineLevel="0" collapsed="false">
      <c r="B104" s="53"/>
      <c r="C104" s="53"/>
      <c r="D104" s="54"/>
      <c r="E104" s="55"/>
      <c r="F104" s="55"/>
      <c r="G104" s="55"/>
      <c r="H104" s="56"/>
      <c r="I104" s="57" t="str">
        <f aca="false">IF(G104="","",G104*H104)</f>
        <v/>
      </c>
      <c r="J104" s="55"/>
      <c r="K104" s="55"/>
      <c r="L104" s="57" t="str">
        <f aca="false">IF(OR(B104="",G104=""),"",G104-E104-F104-I104-J104-K104)</f>
        <v/>
      </c>
      <c r="M104" s="58" t="str">
        <f aca="false">IF(L104="","",IF(G104=0,0,L104/G104))</f>
        <v/>
      </c>
      <c r="N104" s="53"/>
      <c r="O104" s="59" t="str">
        <f aca="false">IF(M104="","",IF(M104&lt;0.15,"⚠ LOW MARGIN / MARGEN BAJO","✔ OK"))</f>
        <v/>
      </c>
      <c r="P104" s="52" t="n">
        <f aca="false">IF(Q104=1,L104+ROW()/1000000,-1000000000000000)</f>
        <v>-1000000000000000</v>
      </c>
      <c r="Q104" s="52" t="n">
        <f aca="false">IF(B104="",0,IF(G104="",0,IF(N104="Returned / Devuelto",0,1)))</f>
        <v>0</v>
      </c>
      <c r="R104" s="52" t="n">
        <f aca="false">IF(Q104=1,IF(ISNUMBER(D104),YEAR(D104)*100+MONTH(D104),0),0)</f>
        <v>0</v>
      </c>
      <c r="S104" s="52" t="n">
        <f aca="false">IF(Q104=1,IF(M104&lt;0.15,1,0),0)</f>
        <v>0</v>
      </c>
    </row>
    <row r="105" customFormat="false" ht="15" hidden="false" customHeight="false" outlineLevel="0" collapsed="false">
      <c r="B105" s="53"/>
      <c r="C105" s="53"/>
      <c r="D105" s="54"/>
      <c r="E105" s="55"/>
      <c r="F105" s="55"/>
      <c r="G105" s="55"/>
      <c r="H105" s="56"/>
      <c r="I105" s="57" t="str">
        <f aca="false">IF(G105="","",G105*H105)</f>
        <v/>
      </c>
      <c r="J105" s="55"/>
      <c r="K105" s="55"/>
      <c r="L105" s="57" t="str">
        <f aca="false">IF(OR(B105="",G105=""),"",G105-E105-F105-I105-J105-K105)</f>
        <v/>
      </c>
      <c r="M105" s="58" t="str">
        <f aca="false">IF(L105="","",IF(G105=0,0,L105/G105))</f>
        <v/>
      </c>
      <c r="N105" s="53"/>
      <c r="O105" s="59" t="str">
        <f aca="false">IF(M105="","",IF(M105&lt;0.15,"⚠ LOW MARGIN / MARGEN BAJO","✔ OK"))</f>
        <v/>
      </c>
      <c r="P105" s="52" t="n">
        <f aca="false">IF(Q105=1,L105+ROW()/1000000,-1000000000000000)</f>
        <v>-1000000000000000</v>
      </c>
      <c r="Q105" s="52" t="n">
        <f aca="false">IF(B105="",0,IF(G105="",0,IF(N105="Returned / Devuelto",0,1)))</f>
        <v>0</v>
      </c>
      <c r="R105" s="52" t="n">
        <f aca="false">IF(Q105=1,IF(ISNUMBER(D105),YEAR(D105)*100+MONTH(D105),0),0)</f>
        <v>0</v>
      </c>
      <c r="S105" s="52" t="n">
        <f aca="false">IF(Q105=1,IF(M105&lt;0.15,1,0),0)</f>
        <v>0</v>
      </c>
    </row>
    <row r="106" customFormat="false" ht="15" hidden="false" customHeight="false" outlineLevel="0" collapsed="false">
      <c r="B106" s="53"/>
      <c r="C106" s="53"/>
      <c r="D106" s="54"/>
      <c r="E106" s="55"/>
      <c r="F106" s="55"/>
      <c r="G106" s="55"/>
      <c r="H106" s="56"/>
      <c r="I106" s="57" t="str">
        <f aca="false">IF(G106="","",G106*H106)</f>
        <v/>
      </c>
      <c r="J106" s="55"/>
      <c r="K106" s="55"/>
      <c r="L106" s="57" t="str">
        <f aca="false">IF(OR(B106="",G106=""),"",G106-E106-F106-I106-J106-K106)</f>
        <v/>
      </c>
      <c r="M106" s="58" t="str">
        <f aca="false">IF(L106="","",IF(G106=0,0,L106/G106))</f>
        <v/>
      </c>
      <c r="N106" s="53"/>
      <c r="O106" s="59" t="str">
        <f aca="false">IF(M106="","",IF(M106&lt;0.15,"⚠ LOW MARGIN / MARGEN BAJO","✔ OK"))</f>
        <v/>
      </c>
      <c r="P106" s="52" t="n">
        <f aca="false">IF(Q106=1,L106+ROW()/1000000,-1000000000000000)</f>
        <v>-1000000000000000</v>
      </c>
      <c r="Q106" s="52" t="n">
        <f aca="false">IF(B106="",0,IF(G106="",0,IF(N106="Returned / Devuelto",0,1)))</f>
        <v>0</v>
      </c>
      <c r="R106" s="52" t="n">
        <f aca="false">IF(Q106=1,IF(ISNUMBER(D106),YEAR(D106)*100+MONTH(D106),0),0)</f>
        <v>0</v>
      </c>
      <c r="S106" s="52" t="n">
        <f aca="false">IF(Q106=1,IF(M106&lt;0.15,1,0),0)</f>
        <v>0</v>
      </c>
    </row>
    <row r="107" customFormat="false" ht="15" hidden="false" customHeight="false" outlineLevel="0" collapsed="false">
      <c r="B107" s="53"/>
      <c r="C107" s="53"/>
      <c r="D107" s="54"/>
      <c r="E107" s="55"/>
      <c r="F107" s="55"/>
      <c r="G107" s="55"/>
      <c r="H107" s="56"/>
      <c r="I107" s="57" t="str">
        <f aca="false">IF(G107="","",G107*H107)</f>
        <v/>
      </c>
      <c r="J107" s="55"/>
      <c r="K107" s="55"/>
      <c r="L107" s="57" t="str">
        <f aca="false">IF(OR(B107="",G107=""),"",G107-E107-F107-I107-J107-K107)</f>
        <v/>
      </c>
      <c r="M107" s="58" t="str">
        <f aca="false">IF(L107="","",IF(G107=0,0,L107/G107))</f>
        <v/>
      </c>
      <c r="N107" s="53"/>
      <c r="O107" s="59" t="str">
        <f aca="false">IF(M107="","",IF(M107&lt;0.15,"⚠ LOW MARGIN / MARGEN BAJO","✔ OK"))</f>
        <v/>
      </c>
      <c r="P107" s="52" t="n">
        <f aca="false">IF(Q107=1,L107+ROW()/1000000,-1000000000000000)</f>
        <v>-1000000000000000</v>
      </c>
      <c r="Q107" s="52" t="n">
        <f aca="false">IF(B107="",0,IF(G107="",0,IF(N107="Returned / Devuelto",0,1)))</f>
        <v>0</v>
      </c>
      <c r="R107" s="52" t="n">
        <f aca="false">IF(Q107=1,IF(ISNUMBER(D107),YEAR(D107)*100+MONTH(D107),0),0)</f>
        <v>0</v>
      </c>
      <c r="S107" s="52" t="n">
        <f aca="false">IF(Q107=1,IF(M107&lt;0.15,1,0),0)</f>
        <v>0</v>
      </c>
    </row>
    <row r="108" customFormat="false" ht="15" hidden="false" customHeight="false" outlineLevel="0" collapsed="false">
      <c r="B108" s="53"/>
      <c r="C108" s="53"/>
      <c r="D108" s="54"/>
      <c r="E108" s="55"/>
      <c r="F108" s="55"/>
      <c r="G108" s="55"/>
      <c r="H108" s="56"/>
      <c r="I108" s="57" t="str">
        <f aca="false">IF(G108="","",G108*H108)</f>
        <v/>
      </c>
      <c r="J108" s="55"/>
      <c r="K108" s="55"/>
      <c r="L108" s="57" t="str">
        <f aca="false">IF(OR(B108="",G108=""),"",G108-E108-F108-I108-J108-K108)</f>
        <v/>
      </c>
      <c r="M108" s="58" t="str">
        <f aca="false">IF(L108="","",IF(G108=0,0,L108/G108))</f>
        <v/>
      </c>
      <c r="N108" s="53"/>
      <c r="O108" s="59" t="str">
        <f aca="false">IF(M108="","",IF(M108&lt;0.15,"⚠ LOW MARGIN / MARGEN BAJO","✔ OK"))</f>
        <v/>
      </c>
      <c r="P108" s="52" t="n">
        <f aca="false">IF(Q108=1,L108+ROW()/1000000,-1000000000000000)</f>
        <v>-1000000000000000</v>
      </c>
      <c r="Q108" s="52" t="n">
        <f aca="false">IF(B108="",0,IF(G108="",0,IF(N108="Returned / Devuelto",0,1)))</f>
        <v>0</v>
      </c>
      <c r="R108" s="52" t="n">
        <f aca="false">IF(Q108=1,IF(ISNUMBER(D108),YEAR(D108)*100+MONTH(D108),0),0)</f>
        <v>0</v>
      </c>
      <c r="S108" s="52" t="n">
        <f aca="false">IF(Q108=1,IF(M108&lt;0.15,1,0),0)</f>
        <v>0</v>
      </c>
    </row>
    <row r="109" customFormat="false" ht="15" hidden="false" customHeight="false" outlineLevel="0" collapsed="false">
      <c r="B109" s="53"/>
      <c r="C109" s="53"/>
      <c r="D109" s="54"/>
      <c r="E109" s="55"/>
      <c r="F109" s="55"/>
      <c r="G109" s="55"/>
      <c r="H109" s="56"/>
      <c r="I109" s="57" t="str">
        <f aca="false">IF(G109="","",G109*H109)</f>
        <v/>
      </c>
      <c r="J109" s="55"/>
      <c r="K109" s="55"/>
      <c r="L109" s="57" t="str">
        <f aca="false">IF(OR(B109="",G109=""),"",G109-E109-F109-I109-J109-K109)</f>
        <v/>
      </c>
      <c r="M109" s="58" t="str">
        <f aca="false">IF(L109="","",IF(G109=0,0,L109/G109))</f>
        <v/>
      </c>
      <c r="N109" s="53"/>
      <c r="O109" s="59" t="str">
        <f aca="false">IF(M109="","",IF(M109&lt;0.15,"⚠ LOW MARGIN / MARGEN BAJO","✔ OK"))</f>
        <v/>
      </c>
      <c r="P109" s="52" t="n">
        <f aca="false">IF(Q109=1,L109+ROW()/1000000,-1000000000000000)</f>
        <v>-1000000000000000</v>
      </c>
      <c r="Q109" s="52" t="n">
        <f aca="false">IF(B109="",0,IF(G109="",0,IF(N109="Returned / Devuelto",0,1)))</f>
        <v>0</v>
      </c>
      <c r="R109" s="52" t="n">
        <f aca="false">IF(Q109=1,IF(ISNUMBER(D109),YEAR(D109)*100+MONTH(D109),0),0)</f>
        <v>0</v>
      </c>
      <c r="S109" s="52" t="n">
        <f aca="false">IF(Q109=1,IF(M109&lt;0.15,1,0),0)</f>
        <v>0</v>
      </c>
    </row>
    <row r="110" customFormat="false" ht="15" hidden="false" customHeight="false" outlineLevel="0" collapsed="false">
      <c r="B110" s="53"/>
      <c r="C110" s="53"/>
      <c r="D110" s="54"/>
      <c r="E110" s="55"/>
      <c r="F110" s="55"/>
      <c r="G110" s="55"/>
      <c r="H110" s="56"/>
      <c r="I110" s="57" t="str">
        <f aca="false">IF(G110="","",G110*H110)</f>
        <v/>
      </c>
      <c r="J110" s="55"/>
      <c r="K110" s="55"/>
      <c r="L110" s="57" t="str">
        <f aca="false">IF(OR(B110="",G110=""),"",G110-E110-F110-I110-J110-K110)</f>
        <v/>
      </c>
      <c r="M110" s="58" t="str">
        <f aca="false">IF(L110="","",IF(G110=0,0,L110/G110))</f>
        <v/>
      </c>
      <c r="N110" s="53"/>
      <c r="O110" s="59" t="str">
        <f aca="false">IF(M110="","",IF(M110&lt;0.15,"⚠ LOW MARGIN / MARGEN BAJO","✔ OK"))</f>
        <v/>
      </c>
      <c r="P110" s="52" t="n">
        <f aca="false">IF(Q110=1,L110+ROW()/1000000,-1000000000000000)</f>
        <v>-1000000000000000</v>
      </c>
      <c r="Q110" s="52" t="n">
        <f aca="false">IF(B110="",0,IF(G110="",0,IF(N110="Returned / Devuelto",0,1)))</f>
        <v>0</v>
      </c>
      <c r="R110" s="52" t="n">
        <f aca="false">IF(Q110=1,IF(ISNUMBER(D110),YEAR(D110)*100+MONTH(D110),0),0)</f>
        <v>0</v>
      </c>
      <c r="S110" s="52" t="n">
        <f aca="false">IF(Q110=1,IF(M110&lt;0.15,1,0),0)</f>
        <v>0</v>
      </c>
    </row>
    <row r="111" customFormat="false" ht="15" hidden="false" customHeight="false" outlineLevel="0" collapsed="false">
      <c r="B111" s="53"/>
      <c r="C111" s="53"/>
      <c r="D111" s="54"/>
      <c r="E111" s="55"/>
      <c r="F111" s="55"/>
      <c r="G111" s="55"/>
      <c r="H111" s="56"/>
      <c r="I111" s="57" t="str">
        <f aca="false">IF(G111="","",G111*H111)</f>
        <v/>
      </c>
      <c r="J111" s="55"/>
      <c r="K111" s="55"/>
      <c r="L111" s="57" t="str">
        <f aca="false">IF(OR(B111="",G111=""),"",G111-E111-F111-I111-J111-K111)</f>
        <v/>
      </c>
      <c r="M111" s="58" t="str">
        <f aca="false">IF(L111="","",IF(G111=0,0,L111/G111))</f>
        <v/>
      </c>
      <c r="N111" s="53"/>
      <c r="O111" s="59" t="str">
        <f aca="false">IF(M111="","",IF(M111&lt;0.15,"⚠ LOW MARGIN / MARGEN BAJO","✔ OK"))</f>
        <v/>
      </c>
      <c r="P111" s="52" t="n">
        <f aca="false">IF(Q111=1,L111+ROW()/1000000,-1000000000000000)</f>
        <v>-1000000000000000</v>
      </c>
      <c r="Q111" s="52" t="n">
        <f aca="false">IF(B111="",0,IF(G111="",0,IF(N111="Returned / Devuelto",0,1)))</f>
        <v>0</v>
      </c>
      <c r="R111" s="52" t="n">
        <f aca="false">IF(Q111=1,IF(ISNUMBER(D111),YEAR(D111)*100+MONTH(D111),0),0)</f>
        <v>0</v>
      </c>
      <c r="S111" s="52" t="n">
        <f aca="false">IF(Q111=1,IF(M111&lt;0.15,1,0),0)</f>
        <v>0</v>
      </c>
    </row>
    <row r="112" customFormat="false" ht="15" hidden="false" customHeight="false" outlineLevel="0" collapsed="false">
      <c r="B112" s="53"/>
      <c r="C112" s="53"/>
      <c r="D112" s="54"/>
      <c r="E112" s="55"/>
      <c r="F112" s="55"/>
      <c r="G112" s="55"/>
      <c r="H112" s="56"/>
      <c r="I112" s="57" t="str">
        <f aca="false">IF(G112="","",G112*H112)</f>
        <v/>
      </c>
      <c r="J112" s="55"/>
      <c r="K112" s="55"/>
      <c r="L112" s="57" t="str">
        <f aca="false">IF(OR(B112="",G112=""),"",G112-E112-F112-I112-J112-K112)</f>
        <v/>
      </c>
      <c r="M112" s="58" t="str">
        <f aca="false">IF(L112="","",IF(G112=0,0,L112/G112))</f>
        <v/>
      </c>
      <c r="N112" s="53"/>
      <c r="O112" s="59" t="str">
        <f aca="false">IF(M112="","",IF(M112&lt;0.15,"⚠ LOW MARGIN / MARGEN BAJO","✔ OK"))</f>
        <v/>
      </c>
      <c r="P112" s="52" t="n">
        <f aca="false">IF(Q112=1,L112+ROW()/1000000,-1000000000000000)</f>
        <v>-1000000000000000</v>
      </c>
      <c r="Q112" s="52" t="n">
        <f aca="false">IF(B112="",0,IF(G112="",0,IF(N112="Returned / Devuelto",0,1)))</f>
        <v>0</v>
      </c>
      <c r="R112" s="52" t="n">
        <f aca="false">IF(Q112=1,IF(ISNUMBER(D112),YEAR(D112)*100+MONTH(D112),0),0)</f>
        <v>0</v>
      </c>
      <c r="S112" s="52" t="n">
        <f aca="false">IF(Q112=1,IF(M112&lt;0.15,1,0),0)</f>
        <v>0</v>
      </c>
    </row>
    <row r="113" customFormat="false" ht="15" hidden="false" customHeight="false" outlineLevel="0" collapsed="false">
      <c r="B113" s="53"/>
      <c r="C113" s="53"/>
      <c r="D113" s="54"/>
      <c r="E113" s="55"/>
      <c r="F113" s="55"/>
      <c r="G113" s="55"/>
      <c r="H113" s="56"/>
      <c r="I113" s="57" t="str">
        <f aca="false">IF(G113="","",G113*H113)</f>
        <v/>
      </c>
      <c r="J113" s="55"/>
      <c r="K113" s="55"/>
      <c r="L113" s="57" t="str">
        <f aca="false">IF(OR(B113="",G113=""),"",G113-E113-F113-I113-J113-K113)</f>
        <v/>
      </c>
      <c r="M113" s="58" t="str">
        <f aca="false">IF(L113="","",IF(G113=0,0,L113/G113))</f>
        <v/>
      </c>
      <c r="N113" s="53"/>
      <c r="O113" s="59" t="str">
        <f aca="false">IF(M113="","",IF(M113&lt;0.15,"⚠ LOW MARGIN / MARGEN BAJO","✔ OK"))</f>
        <v/>
      </c>
      <c r="P113" s="52" t="n">
        <f aca="false">IF(Q113=1,L113+ROW()/1000000,-1000000000000000)</f>
        <v>-1000000000000000</v>
      </c>
      <c r="Q113" s="52" t="n">
        <f aca="false">IF(B113="",0,IF(G113="",0,IF(N113="Returned / Devuelto",0,1)))</f>
        <v>0</v>
      </c>
      <c r="R113" s="52" t="n">
        <f aca="false">IF(Q113=1,IF(ISNUMBER(D113),YEAR(D113)*100+MONTH(D113),0),0)</f>
        <v>0</v>
      </c>
      <c r="S113" s="52" t="n">
        <f aca="false">IF(Q113=1,IF(M113&lt;0.15,1,0),0)</f>
        <v>0</v>
      </c>
    </row>
    <row r="114" customFormat="false" ht="15" hidden="false" customHeight="false" outlineLevel="0" collapsed="false">
      <c r="B114" s="53"/>
      <c r="C114" s="53"/>
      <c r="D114" s="54"/>
      <c r="E114" s="55"/>
      <c r="F114" s="55"/>
      <c r="G114" s="55"/>
      <c r="H114" s="56"/>
      <c r="I114" s="57" t="str">
        <f aca="false">IF(G114="","",G114*H114)</f>
        <v/>
      </c>
      <c r="J114" s="55"/>
      <c r="K114" s="55"/>
      <c r="L114" s="57" t="str">
        <f aca="false">IF(OR(B114="",G114=""),"",G114-E114-F114-I114-J114-K114)</f>
        <v/>
      </c>
      <c r="M114" s="58" t="str">
        <f aca="false">IF(L114="","",IF(G114=0,0,L114/G114))</f>
        <v/>
      </c>
      <c r="N114" s="53"/>
      <c r="O114" s="59" t="str">
        <f aca="false">IF(M114="","",IF(M114&lt;0.15,"⚠ LOW MARGIN / MARGEN BAJO","✔ OK"))</f>
        <v/>
      </c>
      <c r="P114" s="52" t="n">
        <f aca="false">IF(Q114=1,L114+ROW()/1000000,-1000000000000000)</f>
        <v>-1000000000000000</v>
      </c>
      <c r="Q114" s="52" t="n">
        <f aca="false">IF(B114="",0,IF(G114="",0,IF(N114="Returned / Devuelto",0,1)))</f>
        <v>0</v>
      </c>
      <c r="R114" s="52" t="n">
        <f aca="false">IF(Q114=1,IF(ISNUMBER(D114),YEAR(D114)*100+MONTH(D114),0),0)</f>
        <v>0</v>
      </c>
      <c r="S114" s="52" t="n">
        <f aca="false">IF(Q114=1,IF(M114&lt;0.15,1,0),0)</f>
        <v>0</v>
      </c>
    </row>
    <row r="115" customFormat="false" ht="15" hidden="false" customHeight="false" outlineLevel="0" collapsed="false">
      <c r="B115" s="53"/>
      <c r="C115" s="53"/>
      <c r="D115" s="54"/>
      <c r="E115" s="55"/>
      <c r="F115" s="55"/>
      <c r="G115" s="55"/>
      <c r="H115" s="56"/>
      <c r="I115" s="57" t="str">
        <f aca="false">IF(G115="","",G115*H115)</f>
        <v/>
      </c>
      <c r="J115" s="55"/>
      <c r="K115" s="55"/>
      <c r="L115" s="57" t="str">
        <f aca="false">IF(OR(B115="",G115=""),"",G115-E115-F115-I115-J115-K115)</f>
        <v/>
      </c>
      <c r="M115" s="58" t="str">
        <f aca="false">IF(L115="","",IF(G115=0,0,L115/G115))</f>
        <v/>
      </c>
      <c r="N115" s="53"/>
      <c r="O115" s="59" t="str">
        <f aca="false">IF(M115="","",IF(M115&lt;0.15,"⚠ LOW MARGIN / MARGEN BAJO","✔ OK"))</f>
        <v/>
      </c>
      <c r="P115" s="52" t="n">
        <f aca="false">IF(Q115=1,L115+ROW()/1000000,-1000000000000000)</f>
        <v>-1000000000000000</v>
      </c>
      <c r="Q115" s="52" t="n">
        <f aca="false">IF(B115="",0,IF(G115="",0,IF(N115="Returned / Devuelto",0,1)))</f>
        <v>0</v>
      </c>
      <c r="R115" s="52" t="n">
        <f aca="false">IF(Q115=1,IF(ISNUMBER(D115),YEAR(D115)*100+MONTH(D115),0),0)</f>
        <v>0</v>
      </c>
      <c r="S115" s="52" t="n">
        <f aca="false">IF(Q115=1,IF(M115&lt;0.15,1,0),0)</f>
        <v>0</v>
      </c>
    </row>
    <row r="116" customFormat="false" ht="15" hidden="false" customHeight="false" outlineLevel="0" collapsed="false">
      <c r="B116" s="53"/>
      <c r="C116" s="53"/>
      <c r="D116" s="54"/>
      <c r="E116" s="55"/>
      <c r="F116" s="55"/>
      <c r="G116" s="55"/>
      <c r="H116" s="56"/>
      <c r="I116" s="57" t="str">
        <f aca="false">IF(G116="","",G116*H116)</f>
        <v/>
      </c>
      <c r="J116" s="55"/>
      <c r="K116" s="55"/>
      <c r="L116" s="57" t="str">
        <f aca="false">IF(OR(B116="",G116=""),"",G116-E116-F116-I116-J116-K116)</f>
        <v/>
      </c>
      <c r="M116" s="58" t="str">
        <f aca="false">IF(L116="","",IF(G116=0,0,L116/G116))</f>
        <v/>
      </c>
      <c r="N116" s="53"/>
      <c r="O116" s="59" t="str">
        <f aca="false">IF(M116="","",IF(M116&lt;0.15,"⚠ LOW MARGIN / MARGEN BAJO","✔ OK"))</f>
        <v/>
      </c>
      <c r="P116" s="52" t="n">
        <f aca="false">IF(Q116=1,L116+ROW()/1000000,-1000000000000000)</f>
        <v>-1000000000000000</v>
      </c>
      <c r="Q116" s="52" t="n">
        <f aca="false">IF(B116="",0,IF(G116="",0,IF(N116="Returned / Devuelto",0,1)))</f>
        <v>0</v>
      </c>
      <c r="R116" s="52" t="n">
        <f aca="false">IF(Q116=1,IF(ISNUMBER(D116),YEAR(D116)*100+MONTH(D116),0),0)</f>
        <v>0</v>
      </c>
      <c r="S116" s="52" t="n">
        <f aca="false">IF(Q116=1,IF(M116&lt;0.15,1,0),0)</f>
        <v>0</v>
      </c>
    </row>
    <row r="117" customFormat="false" ht="15" hidden="false" customHeight="false" outlineLevel="0" collapsed="false">
      <c r="B117" s="53"/>
      <c r="C117" s="53"/>
      <c r="D117" s="54"/>
      <c r="E117" s="55"/>
      <c r="F117" s="55"/>
      <c r="G117" s="55"/>
      <c r="H117" s="56"/>
      <c r="I117" s="57" t="str">
        <f aca="false">IF(G117="","",G117*H117)</f>
        <v/>
      </c>
      <c r="J117" s="55"/>
      <c r="K117" s="55"/>
      <c r="L117" s="57" t="str">
        <f aca="false">IF(OR(B117="",G117=""),"",G117-E117-F117-I117-J117-K117)</f>
        <v/>
      </c>
      <c r="M117" s="58" t="str">
        <f aca="false">IF(L117="","",IF(G117=0,0,L117/G117))</f>
        <v/>
      </c>
      <c r="N117" s="53"/>
      <c r="O117" s="59" t="str">
        <f aca="false">IF(M117="","",IF(M117&lt;0.15,"⚠ LOW MARGIN / MARGEN BAJO","✔ OK"))</f>
        <v/>
      </c>
      <c r="P117" s="52" t="n">
        <f aca="false">IF(Q117=1,L117+ROW()/1000000,-1000000000000000)</f>
        <v>-1000000000000000</v>
      </c>
      <c r="Q117" s="52" t="n">
        <f aca="false">IF(B117="",0,IF(G117="",0,IF(N117="Returned / Devuelto",0,1)))</f>
        <v>0</v>
      </c>
      <c r="R117" s="52" t="n">
        <f aca="false">IF(Q117=1,IF(ISNUMBER(D117),YEAR(D117)*100+MONTH(D117),0),0)</f>
        <v>0</v>
      </c>
      <c r="S117" s="52" t="n">
        <f aca="false">IF(Q117=1,IF(M117&lt;0.15,1,0),0)</f>
        <v>0</v>
      </c>
    </row>
    <row r="118" customFormat="false" ht="15" hidden="false" customHeight="false" outlineLevel="0" collapsed="false">
      <c r="B118" s="53"/>
      <c r="C118" s="53"/>
      <c r="D118" s="54"/>
      <c r="E118" s="55"/>
      <c r="F118" s="55"/>
      <c r="G118" s="55"/>
      <c r="H118" s="56"/>
      <c r="I118" s="57" t="str">
        <f aca="false">IF(G118="","",G118*H118)</f>
        <v/>
      </c>
      <c r="J118" s="55"/>
      <c r="K118" s="55"/>
      <c r="L118" s="57" t="str">
        <f aca="false">IF(OR(B118="",G118=""),"",G118-E118-F118-I118-J118-K118)</f>
        <v/>
      </c>
      <c r="M118" s="58" t="str">
        <f aca="false">IF(L118="","",IF(G118=0,0,L118/G118))</f>
        <v/>
      </c>
      <c r="N118" s="53"/>
      <c r="O118" s="59" t="str">
        <f aca="false">IF(M118="","",IF(M118&lt;0.15,"⚠ LOW MARGIN / MARGEN BAJO","✔ OK"))</f>
        <v/>
      </c>
      <c r="P118" s="52" t="n">
        <f aca="false">IF(Q118=1,L118+ROW()/1000000,-1000000000000000)</f>
        <v>-1000000000000000</v>
      </c>
      <c r="Q118" s="52" t="n">
        <f aca="false">IF(B118="",0,IF(G118="",0,IF(N118="Returned / Devuelto",0,1)))</f>
        <v>0</v>
      </c>
      <c r="R118" s="52" t="n">
        <f aca="false">IF(Q118=1,IF(ISNUMBER(D118),YEAR(D118)*100+MONTH(D118),0),0)</f>
        <v>0</v>
      </c>
      <c r="S118" s="52" t="n">
        <f aca="false">IF(Q118=1,IF(M118&lt;0.15,1,0),0)</f>
        <v>0</v>
      </c>
    </row>
    <row r="119" customFormat="false" ht="15" hidden="false" customHeight="false" outlineLevel="0" collapsed="false">
      <c r="B119" s="53"/>
      <c r="C119" s="53"/>
      <c r="D119" s="54"/>
      <c r="E119" s="55"/>
      <c r="F119" s="55"/>
      <c r="G119" s="55"/>
      <c r="H119" s="56"/>
      <c r="I119" s="57" t="str">
        <f aca="false">IF(G119="","",G119*H119)</f>
        <v/>
      </c>
      <c r="J119" s="55"/>
      <c r="K119" s="55"/>
      <c r="L119" s="57" t="str">
        <f aca="false">IF(OR(B119="",G119=""),"",G119-E119-F119-I119-J119-K119)</f>
        <v/>
      </c>
      <c r="M119" s="58" t="str">
        <f aca="false">IF(L119="","",IF(G119=0,0,L119/G119))</f>
        <v/>
      </c>
      <c r="N119" s="53"/>
      <c r="O119" s="59" t="str">
        <f aca="false">IF(M119="","",IF(M119&lt;0.15,"⚠ LOW MARGIN / MARGEN BAJO","✔ OK"))</f>
        <v/>
      </c>
      <c r="P119" s="52" t="n">
        <f aca="false">IF(Q119=1,L119+ROW()/1000000,-1000000000000000)</f>
        <v>-1000000000000000</v>
      </c>
      <c r="Q119" s="52" t="n">
        <f aca="false">IF(B119="",0,IF(G119="",0,IF(N119="Returned / Devuelto",0,1)))</f>
        <v>0</v>
      </c>
      <c r="R119" s="52" t="n">
        <f aca="false">IF(Q119=1,IF(ISNUMBER(D119),YEAR(D119)*100+MONTH(D119),0),0)</f>
        <v>0</v>
      </c>
      <c r="S119" s="52" t="n">
        <f aca="false">IF(Q119=1,IF(M119&lt;0.15,1,0),0)</f>
        <v>0</v>
      </c>
    </row>
    <row r="120" customFormat="false" ht="15" hidden="false" customHeight="false" outlineLevel="0" collapsed="false">
      <c r="B120" s="53"/>
      <c r="C120" s="53"/>
      <c r="D120" s="54"/>
      <c r="E120" s="55"/>
      <c r="F120" s="55"/>
      <c r="G120" s="55"/>
      <c r="H120" s="56"/>
      <c r="I120" s="57" t="str">
        <f aca="false">IF(G120="","",G120*H120)</f>
        <v/>
      </c>
      <c r="J120" s="55"/>
      <c r="K120" s="55"/>
      <c r="L120" s="57" t="str">
        <f aca="false">IF(OR(B120="",G120=""),"",G120-E120-F120-I120-J120-K120)</f>
        <v/>
      </c>
      <c r="M120" s="58" t="str">
        <f aca="false">IF(L120="","",IF(G120=0,0,L120/G120))</f>
        <v/>
      </c>
      <c r="N120" s="53"/>
      <c r="O120" s="59" t="str">
        <f aca="false">IF(M120="","",IF(M120&lt;0.15,"⚠ LOW MARGIN / MARGEN BAJO","✔ OK"))</f>
        <v/>
      </c>
      <c r="P120" s="52" t="n">
        <f aca="false">IF(Q120=1,L120+ROW()/1000000,-1000000000000000)</f>
        <v>-1000000000000000</v>
      </c>
      <c r="Q120" s="52" t="n">
        <f aca="false">IF(B120="",0,IF(G120="",0,IF(N120="Returned / Devuelto",0,1)))</f>
        <v>0</v>
      </c>
      <c r="R120" s="52" t="n">
        <f aca="false">IF(Q120=1,IF(ISNUMBER(D120),YEAR(D120)*100+MONTH(D120),0),0)</f>
        <v>0</v>
      </c>
      <c r="S120" s="52" t="n">
        <f aca="false">IF(Q120=1,IF(M120&lt;0.15,1,0),0)</f>
        <v>0</v>
      </c>
    </row>
    <row r="121" customFormat="false" ht="15" hidden="false" customHeight="false" outlineLevel="0" collapsed="false">
      <c r="B121" s="53"/>
      <c r="C121" s="53"/>
      <c r="D121" s="54"/>
      <c r="E121" s="55"/>
      <c r="F121" s="55"/>
      <c r="G121" s="55"/>
      <c r="H121" s="56"/>
      <c r="I121" s="57" t="str">
        <f aca="false">IF(G121="","",G121*H121)</f>
        <v/>
      </c>
      <c r="J121" s="55"/>
      <c r="K121" s="55"/>
      <c r="L121" s="57" t="str">
        <f aca="false">IF(OR(B121="",G121=""),"",G121-E121-F121-I121-J121-K121)</f>
        <v/>
      </c>
      <c r="M121" s="58" t="str">
        <f aca="false">IF(L121="","",IF(G121=0,0,L121/G121))</f>
        <v/>
      </c>
      <c r="N121" s="53"/>
      <c r="O121" s="59" t="str">
        <f aca="false">IF(M121="","",IF(M121&lt;0.15,"⚠ LOW MARGIN / MARGEN BAJO","✔ OK"))</f>
        <v/>
      </c>
      <c r="P121" s="52" t="n">
        <f aca="false">IF(Q121=1,L121+ROW()/1000000,-1000000000000000)</f>
        <v>-1000000000000000</v>
      </c>
      <c r="Q121" s="52" t="n">
        <f aca="false">IF(B121="",0,IF(G121="",0,IF(N121="Returned / Devuelto",0,1)))</f>
        <v>0</v>
      </c>
      <c r="R121" s="52" t="n">
        <f aca="false">IF(Q121=1,IF(ISNUMBER(D121),YEAR(D121)*100+MONTH(D121),0),0)</f>
        <v>0</v>
      </c>
      <c r="S121" s="52" t="n">
        <f aca="false">IF(Q121=1,IF(M121&lt;0.15,1,0),0)</f>
        <v>0</v>
      </c>
    </row>
    <row r="122" customFormat="false" ht="15" hidden="false" customHeight="false" outlineLevel="0" collapsed="false">
      <c r="B122" s="53"/>
      <c r="C122" s="53"/>
      <c r="D122" s="54"/>
      <c r="E122" s="55"/>
      <c r="F122" s="55"/>
      <c r="G122" s="55"/>
      <c r="H122" s="56"/>
      <c r="I122" s="57" t="str">
        <f aca="false">IF(G122="","",G122*H122)</f>
        <v/>
      </c>
      <c r="J122" s="55"/>
      <c r="K122" s="55"/>
      <c r="L122" s="57" t="str">
        <f aca="false">IF(OR(B122="",G122=""),"",G122-E122-F122-I122-J122-K122)</f>
        <v/>
      </c>
      <c r="M122" s="58" t="str">
        <f aca="false">IF(L122="","",IF(G122=0,0,L122/G122))</f>
        <v/>
      </c>
      <c r="N122" s="53"/>
      <c r="O122" s="59" t="str">
        <f aca="false">IF(M122="","",IF(M122&lt;0.15,"⚠ LOW MARGIN / MARGEN BAJO","✔ OK"))</f>
        <v/>
      </c>
      <c r="P122" s="52" t="n">
        <f aca="false">IF(Q122=1,L122+ROW()/1000000,-1000000000000000)</f>
        <v>-1000000000000000</v>
      </c>
      <c r="Q122" s="52" t="n">
        <f aca="false">IF(B122="",0,IF(G122="",0,IF(N122="Returned / Devuelto",0,1)))</f>
        <v>0</v>
      </c>
      <c r="R122" s="52" t="n">
        <f aca="false">IF(Q122=1,IF(ISNUMBER(D122),YEAR(D122)*100+MONTH(D122),0),0)</f>
        <v>0</v>
      </c>
      <c r="S122" s="52" t="n">
        <f aca="false">IF(Q122=1,IF(M122&lt;0.15,1,0),0)</f>
        <v>0</v>
      </c>
    </row>
    <row r="123" customFormat="false" ht="15" hidden="false" customHeight="false" outlineLevel="0" collapsed="false">
      <c r="B123" s="53"/>
      <c r="C123" s="53"/>
      <c r="D123" s="54"/>
      <c r="E123" s="55"/>
      <c r="F123" s="55"/>
      <c r="G123" s="55"/>
      <c r="H123" s="56"/>
      <c r="I123" s="57" t="str">
        <f aca="false">IF(G123="","",G123*H123)</f>
        <v/>
      </c>
      <c r="J123" s="55"/>
      <c r="K123" s="55"/>
      <c r="L123" s="57" t="str">
        <f aca="false">IF(OR(B123="",G123=""),"",G123-E123-F123-I123-J123-K123)</f>
        <v/>
      </c>
      <c r="M123" s="58" t="str">
        <f aca="false">IF(L123="","",IF(G123=0,0,L123/G123))</f>
        <v/>
      </c>
      <c r="N123" s="53"/>
      <c r="O123" s="59" t="str">
        <f aca="false">IF(M123="","",IF(M123&lt;0.15,"⚠ LOW MARGIN / MARGEN BAJO","✔ OK"))</f>
        <v/>
      </c>
      <c r="P123" s="52" t="n">
        <f aca="false">IF(Q123=1,L123+ROW()/1000000,-1000000000000000)</f>
        <v>-1000000000000000</v>
      </c>
      <c r="Q123" s="52" t="n">
        <f aca="false">IF(B123="",0,IF(G123="",0,IF(N123="Returned / Devuelto",0,1)))</f>
        <v>0</v>
      </c>
      <c r="R123" s="52" t="n">
        <f aca="false">IF(Q123=1,IF(ISNUMBER(D123),YEAR(D123)*100+MONTH(D123),0),0)</f>
        <v>0</v>
      </c>
      <c r="S123" s="52" t="n">
        <f aca="false">IF(Q123=1,IF(M123&lt;0.15,1,0),0)</f>
        <v>0</v>
      </c>
    </row>
    <row r="124" customFormat="false" ht="15" hidden="false" customHeight="false" outlineLevel="0" collapsed="false">
      <c r="B124" s="53"/>
      <c r="C124" s="53"/>
      <c r="D124" s="54"/>
      <c r="E124" s="55"/>
      <c r="F124" s="55"/>
      <c r="G124" s="55"/>
      <c r="H124" s="56"/>
      <c r="I124" s="57" t="str">
        <f aca="false">IF(G124="","",G124*H124)</f>
        <v/>
      </c>
      <c r="J124" s="55"/>
      <c r="K124" s="55"/>
      <c r="L124" s="57" t="str">
        <f aca="false">IF(OR(B124="",G124=""),"",G124-E124-F124-I124-J124-K124)</f>
        <v/>
      </c>
      <c r="M124" s="58" t="str">
        <f aca="false">IF(L124="","",IF(G124=0,0,L124/G124))</f>
        <v/>
      </c>
      <c r="N124" s="53"/>
      <c r="O124" s="59" t="str">
        <f aca="false">IF(M124="","",IF(M124&lt;0.15,"⚠ LOW MARGIN / MARGEN BAJO","✔ OK"))</f>
        <v/>
      </c>
      <c r="P124" s="52" t="n">
        <f aca="false">IF(Q124=1,L124+ROW()/1000000,-1000000000000000)</f>
        <v>-1000000000000000</v>
      </c>
      <c r="Q124" s="52" t="n">
        <f aca="false">IF(B124="",0,IF(G124="",0,IF(N124="Returned / Devuelto",0,1)))</f>
        <v>0</v>
      </c>
      <c r="R124" s="52" t="n">
        <f aca="false">IF(Q124=1,IF(ISNUMBER(D124),YEAR(D124)*100+MONTH(D124),0),0)</f>
        <v>0</v>
      </c>
      <c r="S124" s="52" t="n">
        <f aca="false">IF(Q124=1,IF(M124&lt;0.15,1,0),0)</f>
        <v>0</v>
      </c>
    </row>
    <row r="125" customFormat="false" ht="15" hidden="false" customHeight="false" outlineLevel="0" collapsed="false">
      <c r="B125" s="53"/>
      <c r="C125" s="53"/>
      <c r="D125" s="54"/>
      <c r="E125" s="55"/>
      <c r="F125" s="55"/>
      <c r="G125" s="55"/>
      <c r="H125" s="56"/>
      <c r="I125" s="57" t="str">
        <f aca="false">IF(G125="","",G125*H125)</f>
        <v/>
      </c>
      <c r="J125" s="55"/>
      <c r="K125" s="55"/>
      <c r="L125" s="57" t="str">
        <f aca="false">IF(OR(B125="",G125=""),"",G125-E125-F125-I125-J125-K125)</f>
        <v/>
      </c>
      <c r="M125" s="58" t="str">
        <f aca="false">IF(L125="","",IF(G125=0,0,L125/G125))</f>
        <v/>
      </c>
      <c r="N125" s="53"/>
      <c r="O125" s="59" t="str">
        <f aca="false">IF(M125="","",IF(M125&lt;0.15,"⚠ LOW MARGIN / MARGEN BAJO","✔ OK"))</f>
        <v/>
      </c>
      <c r="P125" s="52" t="n">
        <f aca="false">IF(Q125=1,L125+ROW()/1000000,-1000000000000000)</f>
        <v>-1000000000000000</v>
      </c>
      <c r="Q125" s="52" t="n">
        <f aca="false">IF(B125="",0,IF(G125="",0,IF(N125="Returned / Devuelto",0,1)))</f>
        <v>0</v>
      </c>
      <c r="R125" s="52" t="n">
        <f aca="false">IF(Q125=1,IF(ISNUMBER(D125),YEAR(D125)*100+MONTH(D125),0),0)</f>
        <v>0</v>
      </c>
      <c r="S125" s="52" t="n">
        <f aca="false">IF(Q125=1,IF(M125&lt;0.15,1,0),0)</f>
        <v>0</v>
      </c>
    </row>
    <row r="126" customFormat="false" ht="15" hidden="false" customHeight="false" outlineLevel="0" collapsed="false">
      <c r="B126" s="53"/>
      <c r="C126" s="53"/>
      <c r="D126" s="54"/>
      <c r="E126" s="55"/>
      <c r="F126" s="55"/>
      <c r="G126" s="55"/>
      <c r="H126" s="56"/>
      <c r="I126" s="57" t="str">
        <f aca="false">IF(G126="","",G126*H126)</f>
        <v/>
      </c>
      <c r="J126" s="55"/>
      <c r="K126" s="55"/>
      <c r="L126" s="57" t="str">
        <f aca="false">IF(OR(B126="",G126=""),"",G126-E126-F126-I126-J126-K126)</f>
        <v/>
      </c>
      <c r="M126" s="58" t="str">
        <f aca="false">IF(L126="","",IF(G126=0,0,L126/G126))</f>
        <v/>
      </c>
      <c r="N126" s="53"/>
      <c r="O126" s="59" t="str">
        <f aca="false">IF(M126="","",IF(M126&lt;0.15,"⚠ LOW MARGIN / MARGEN BAJO","✔ OK"))</f>
        <v/>
      </c>
      <c r="P126" s="52" t="n">
        <f aca="false">IF(Q126=1,L126+ROW()/1000000,-1000000000000000)</f>
        <v>-1000000000000000</v>
      </c>
      <c r="Q126" s="52" t="n">
        <f aca="false">IF(B126="",0,IF(G126="",0,IF(N126="Returned / Devuelto",0,1)))</f>
        <v>0</v>
      </c>
      <c r="R126" s="52" t="n">
        <f aca="false">IF(Q126=1,IF(ISNUMBER(D126),YEAR(D126)*100+MONTH(D126),0),0)</f>
        <v>0</v>
      </c>
      <c r="S126" s="52" t="n">
        <f aca="false">IF(Q126=1,IF(M126&lt;0.15,1,0),0)</f>
        <v>0</v>
      </c>
    </row>
    <row r="127" customFormat="false" ht="15" hidden="false" customHeight="false" outlineLevel="0" collapsed="false">
      <c r="B127" s="53"/>
      <c r="C127" s="53"/>
      <c r="D127" s="54"/>
      <c r="E127" s="55"/>
      <c r="F127" s="55"/>
      <c r="G127" s="55"/>
      <c r="H127" s="56"/>
      <c r="I127" s="57" t="str">
        <f aca="false">IF(G127="","",G127*H127)</f>
        <v/>
      </c>
      <c r="J127" s="55"/>
      <c r="K127" s="55"/>
      <c r="L127" s="57" t="str">
        <f aca="false">IF(OR(B127="",G127=""),"",G127-E127-F127-I127-J127-K127)</f>
        <v/>
      </c>
      <c r="M127" s="58" t="str">
        <f aca="false">IF(L127="","",IF(G127=0,0,L127/G127))</f>
        <v/>
      </c>
      <c r="N127" s="53"/>
      <c r="O127" s="59" t="str">
        <f aca="false">IF(M127="","",IF(M127&lt;0.15,"⚠ LOW MARGIN / MARGEN BAJO","✔ OK"))</f>
        <v/>
      </c>
      <c r="P127" s="52" t="n">
        <f aca="false">IF(Q127=1,L127+ROW()/1000000,-1000000000000000)</f>
        <v>-1000000000000000</v>
      </c>
      <c r="Q127" s="52" t="n">
        <f aca="false">IF(B127="",0,IF(G127="",0,IF(N127="Returned / Devuelto",0,1)))</f>
        <v>0</v>
      </c>
      <c r="R127" s="52" t="n">
        <f aca="false">IF(Q127=1,IF(ISNUMBER(D127),YEAR(D127)*100+MONTH(D127),0),0)</f>
        <v>0</v>
      </c>
      <c r="S127" s="52" t="n">
        <f aca="false">IF(Q127=1,IF(M127&lt;0.15,1,0),0)</f>
        <v>0</v>
      </c>
    </row>
    <row r="128" customFormat="false" ht="15" hidden="false" customHeight="false" outlineLevel="0" collapsed="false">
      <c r="B128" s="53"/>
      <c r="C128" s="53"/>
      <c r="D128" s="54"/>
      <c r="E128" s="55"/>
      <c r="F128" s="55"/>
      <c r="G128" s="55"/>
      <c r="H128" s="56"/>
      <c r="I128" s="57" t="str">
        <f aca="false">IF(G128="","",G128*H128)</f>
        <v/>
      </c>
      <c r="J128" s="55"/>
      <c r="K128" s="55"/>
      <c r="L128" s="57" t="str">
        <f aca="false">IF(OR(B128="",G128=""),"",G128-E128-F128-I128-J128-K128)</f>
        <v/>
      </c>
      <c r="M128" s="58" t="str">
        <f aca="false">IF(L128="","",IF(G128=0,0,L128/G128))</f>
        <v/>
      </c>
      <c r="N128" s="53"/>
      <c r="O128" s="59" t="str">
        <f aca="false">IF(M128="","",IF(M128&lt;0.15,"⚠ LOW MARGIN / MARGEN BAJO","✔ OK"))</f>
        <v/>
      </c>
      <c r="P128" s="52" t="n">
        <f aca="false">IF(Q128=1,L128+ROW()/1000000,-1000000000000000)</f>
        <v>-1000000000000000</v>
      </c>
      <c r="Q128" s="52" t="n">
        <f aca="false">IF(B128="",0,IF(G128="",0,IF(N128="Returned / Devuelto",0,1)))</f>
        <v>0</v>
      </c>
      <c r="R128" s="52" t="n">
        <f aca="false">IF(Q128=1,IF(ISNUMBER(D128),YEAR(D128)*100+MONTH(D128),0),0)</f>
        <v>0</v>
      </c>
      <c r="S128" s="52" t="n">
        <f aca="false">IF(Q128=1,IF(M128&lt;0.15,1,0),0)</f>
        <v>0</v>
      </c>
    </row>
    <row r="129" customFormat="false" ht="15" hidden="false" customHeight="false" outlineLevel="0" collapsed="false">
      <c r="B129" s="53"/>
      <c r="C129" s="53"/>
      <c r="D129" s="54"/>
      <c r="E129" s="55"/>
      <c r="F129" s="55"/>
      <c r="G129" s="55"/>
      <c r="H129" s="56"/>
      <c r="I129" s="57" t="str">
        <f aca="false">IF(G129="","",G129*H129)</f>
        <v/>
      </c>
      <c r="J129" s="55"/>
      <c r="K129" s="55"/>
      <c r="L129" s="57" t="str">
        <f aca="false">IF(OR(B129="",G129=""),"",G129-E129-F129-I129-J129-K129)</f>
        <v/>
      </c>
      <c r="M129" s="58" t="str">
        <f aca="false">IF(L129="","",IF(G129=0,0,L129/G129))</f>
        <v/>
      </c>
      <c r="N129" s="53"/>
      <c r="O129" s="59" t="str">
        <f aca="false">IF(M129="","",IF(M129&lt;0.15,"⚠ LOW MARGIN / MARGEN BAJO","✔ OK"))</f>
        <v/>
      </c>
      <c r="P129" s="52" t="n">
        <f aca="false">IF(Q129=1,L129+ROW()/1000000,-1000000000000000)</f>
        <v>-1000000000000000</v>
      </c>
      <c r="Q129" s="52" t="n">
        <f aca="false">IF(B129="",0,IF(G129="",0,IF(N129="Returned / Devuelto",0,1)))</f>
        <v>0</v>
      </c>
      <c r="R129" s="52" t="n">
        <f aca="false">IF(Q129=1,IF(ISNUMBER(D129),YEAR(D129)*100+MONTH(D129),0),0)</f>
        <v>0</v>
      </c>
      <c r="S129" s="52" t="n">
        <f aca="false">IF(Q129=1,IF(M129&lt;0.15,1,0),0)</f>
        <v>0</v>
      </c>
    </row>
    <row r="130" customFormat="false" ht="15" hidden="false" customHeight="false" outlineLevel="0" collapsed="false">
      <c r="B130" s="53"/>
      <c r="C130" s="53"/>
      <c r="D130" s="54"/>
      <c r="E130" s="55"/>
      <c r="F130" s="55"/>
      <c r="G130" s="55"/>
      <c r="H130" s="56"/>
      <c r="I130" s="57" t="str">
        <f aca="false">IF(G130="","",G130*H130)</f>
        <v/>
      </c>
      <c r="J130" s="55"/>
      <c r="K130" s="55"/>
      <c r="L130" s="57" t="str">
        <f aca="false">IF(OR(B130="",G130=""),"",G130-E130-F130-I130-J130-K130)</f>
        <v/>
      </c>
      <c r="M130" s="58" t="str">
        <f aca="false">IF(L130="","",IF(G130=0,0,L130/G130))</f>
        <v/>
      </c>
      <c r="N130" s="53"/>
      <c r="O130" s="59" t="str">
        <f aca="false">IF(M130="","",IF(M130&lt;0.15,"⚠ LOW MARGIN / MARGEN BAJO","✔ OK"))</f>
        <v/>
      </c>
      <c r="P130" s="52" t="n">
        <f aca="false">IF(Q130=1,L130+ROW()/1000000,-1000000000000000)</f>
        <v>-1000000000000000</v>
      </c>
      <c r="Q130" s="52" t="n">
        <f aca="false">IF(B130="",0,IF(G130="",0,IF(N130="Returned / Devuelto",0,1)))</f>
        <v>0</v>
      </c>
      <c r="R130" s="52" t="n">
        <f aca="false">IF(Q130=1,IF(ISNUMBER(D130),YEAR(D130)*100+MONTH(D130),0),0)</f>
        <v>0</v>
      </c>
      <c r="S130" s="52" t="n">
        <f aca="false">IF(Q130=1,IF(M130&lt;0.15,1,0),0)</f>
        <v>0</v>
      </c>
    </row>
    <row r="131" customFormat="false" ht="15" hidden="false" customHeight="false" outlineLevel="0" collapsed="false">
      <c r="B131" s="53"/>
      <c r="C131" s="53"/>
      <c r="D131" s="54"/>
      <c r="E131" s="55"/>
      <c r="F131" s="55"/>
      <c r="G131" s="55"/>
      <c r="H131" s="56"/>
      <c r="I131" s="57" t="str">
        <f aca="false">IF(G131="","",G131*H131)</f>
        <v/>
      </c>
      <c r="J131" s="55"/>
      <c r="K131" s="55"/>
      <c r="L131" s="57" t="str">
        <f aca="false">IF(OR(B131="",G131=""),"",G131-E131-F131-I131-J131-K131)</f>
        <v/>
      </c>
      <c r="M131" s="58" t="str">
        <f aca="false">IF(L131="","",IF(G131=0,0,L131/G131))</f>
        <v/>
      </c>
      <c r="N131" s="53"/>
      <c r="O131" s="59" t="str">
        <f aca="false">IF(M131="","",IF(M131&lt;0.15,"⚠ LOW MARGIN / MARGEN BAJO","✔ OK"))</f>
        <v/>
      </c>
      <c r="P131" s="52" t="n">
        <f aca="false">IF(Q131=1,L131+ROW()/1000000,-1000000000000000)</f>
        <v>-1000000000000000</v>
      </c>
      <c r="Q131" s="52" t="n">
        <f aca="false">IF(B131="",0,IF(G131="",0,IF(N131="Returned / Devuelto",0,1)))</f>
        <v>0</v>
      </c>
      <c r="R131" s="52" t="n">
        <f aca="false">IF(Q131=1,IF(ISNUMBER(D131),YEAR(D131)*100+MONTH(D131),0),0)</f>
        <v>0</v>
      </c>
      <c r="S131" s="52" t="n">
        <f aca="false">IF(Q131=1,IF(M131&lt;0.15,1,0),0)</f>
        <v>0</v>
      </c>
    </row>
    <row r="132" customFormat="false" ht="15" hidden="false" customHeight="false" outlineLevel="0" collapsed="false">
      <c r="B132" s="53"/>
      <c r="C132" s="53"/>
      <c r="D132" s="54"/>
      <c r="E132" s="55"/>
      <c r="F132" s="55"/>
      <c r="G132" s="55"/>
      <c r="H132" s="56"/>
      <c r="I132" s="57" t="str">
        <f aca="false">IF(G132="","",G132*H132)</f>
        <v/>
      </c>
      <c r="J132" s="55"/>
      <c r="K132" s="55"/>
      <c r="L132" s="57" t="str">
        <f aca="false">IF(OR(B132="",G132=""),"",G132-E132-F132-I132-J132-K132)</f>
        <v/>
      </c>
      <c r="M132" s="58" t="str">
        <f aca="false">IF(L132="","",IF(G132=0,0,L132/G132))</f>
        <v/>
      </c>
      <c r="N132" s="53"/>
      <c r="O132" s="59" t="str">
        <f aca="false">IF(M132="","",IF(M132&lt;0.15,"⚠ LOW MARGIN / MARGEN BAJO","✔ OK"))</f>
        <v/>
      </c>
      <c r="P132" s="52" t="n">
        <f aca="false">IF(Q132=1,L132+ROW()/1000000,-1000000000000000)</f>
        <v>-1000000000000000</v>
      </c>
      <c r="Q132" s="52" t="n">
        <f aca="false">IF(B132="",0,IF(G132="",0,IF(N132="Returned / Devuelto",0,1)))</f>
        <v>0</v>
      </c>
      <c r="R132" s="52" t="n">
        <f aca="false">IF(Q132=1,IF(ISNUMBER(D132),YEAR(D132)*100+MONTH(D132),0),0)</f>
        <v>0</v>
      </c>
      <c r="S132" s="52" t="n">
        <f aca="false">IF(Q132=1,IF(M132&lt;0.15,1,0),0)</f>
        <v>0</v>
      </c>
    </row>
    <row r="133" customFormat="false" ht="15" hidden="false" customHeight="false" outlineLevel="0" collapsed="false">
      <c r="B133" s="53"/>
      <c r="C133" s="53"/>
      <c r="D133" s="54"/>
      <c r="E133" s="55"/>
      <c r="F133" s="55"/>
      <c r="G133" s="55"/>
      <c r="H133" s="56"/>
      <c r="I133" s="57" t="str">
        <f aca="false">IF(G133="","",G133*H133)</f>
        <v/>
      </c>
      <c r="J133" s="55"/>
      <c r="K133" s="55"/>
      <c r="L133" s="57" t="str">
        <f aca="false">IF(OR(B133="",G133=""),"",G133-E133-F133-I133-J133-K133)</f>
        <v/>
      </c>
      <c r="M133" s="58" t="str">
        <f aca="false">IF(L133="","",IF(G133=0,0,L133/G133))</f>
        <v/>
      </c>
      <c r="N133" s="53"/>
      <c r="O133" s="59" t="str">
        <f aca="false">IF(M133="","",IF(M133&lt;0.15,"⚠ LOW MARGIN / MARGEN BAJO","✔ OK"))</f>
        <v/>
      </c>
      <c r="P133" s="52" t="n">
        <f aca="false">IF(Q133=1,L133+ROW()/1000000,-1000000000000000)</f>
        <v>-1000000000000000</v>
      </c>
      <c r="Q133" s="52" t="n">
        <f aca="false">IF(B133="",0,IF(G133="",0,IF(N133="Returned / Devuelto",0,1)))</f>
        <v>0</v>
      </c>
      <c r="R133" s="52" t="n">
        <f aca="false">IF(Q133=1,IF(ISNUMBER(D133),YEAR(D133)*100+MONTH(D133),0),0)</f>
        <v>0</v>
      </c>
      <c r="S133" s="52" t="n">
        <f aca="false">IF(Q133=1,IF(M133&lt;0.15,1,0),0)</f>
        <v>0</v>
      </c>
    </row>
    <row r="134" customFormat="false" ht="15" hidden="false" customHeight="false" outlineLevel="0" collapsed="false">
      <c r="B134" s="53"/>
      <c r="C134" s="53"/>
      <c r="D134" s="54"/>
      <c r="E134" s="55"/>
      <c r="F134" s="55"/>
      <c r="G134" s="55"/>
      <c r="H134" s="56"/>
      <c r="I134" s="57" t="str">
        <f aca="false">IF(G134="","",G134*H134)</f>
        <v/>
      </c>
      <c r="J134" s="55"/>
      <c r="K134" s="55"/>
      <c r="L134" s="57" t="str">
        <f aca="false">IF(OR(B134="",G134=""),"",G134-E134-F134-I134-J134-K134)</f>
        <v/>
      </c>
      <c r="M134" s="58" t="str">
        <f aca="false">IF(L134="","",IF(G134=0,0,L134/G134))</f>
        <v/>
      </c>
      <c r="N134" s="53"/>
      <c r="O134" s="59" t="str">
        <f aca="false">IF(M134="","",IF(M134&lt;0.15,"⚠ LOW MARGIN / MARGEN BAJO","✔ OK"))</f>
        <v/>
      </c>
      <c r="P134" s="52" t="n">
        <f aca="false">IF(Q134=1,L134+ROW()/1000000,-1000000000000000)</f>
        <v>-1000000000000000</v>
      </c>
      <c r="Q134" s="52" t="n">
        <f aca="false">IF(B134="",0,IF(G134="",0,IF(N134="Returned / Devuelto",0,1)))</f>
        <v>0</v>
      </c>
      <c r="R134" s="52" t="n">
        <f aca="false">IF(Q134=1,IF(ISNUMBER(D134),YEAR(D134)*100+MONTH(D134),0),0)</f>
        <v>0</v>
      </c>
      <c r="S134" s="52" t="n">
        <f aca="false">IF(Q134=1,IF(M134&lt;0.15,1,0),0)</f>
        <v>0</v>
      </c>
    </row>
    <row r="135" customFormat="false" ht="15" hidden="false" customHeight="false" outlineLevel="0" collapsed="false">
      <c r="B135" s="53"/>
      <c r="C135" s="53"/>
      <c r="D135" s="54"/>
      <c r="E135" s="55"/>
      <c r="F135" s="55"/>
      <c r="G135" s="55"/>
      <c r="H135" s="56"/>
      <c r="I135" s="57" t="str">
        <f aca="false">IF(G135="","",G135*H135)</f>
        <v/>
      </c>
      <c r="J135" s="55"/>
      <c r="K135" s="55"/>
      <c r="L135" s="57" t="str">
        <f aca="false">IF(OR(B135="",G135=""),"",G135-E135-F135-I135-J135-K135)</f>
        <v/>
      </c>
      <c r="M135" s="58" t="str">
        <f aca="false">IF(L135="","",IF(G135=0,0,L135/G135))</f>
        <v/>
      </c>
      <c r="N135" s="53"/>
      <c r="O135" s="59" t="str">
        <f aca="false">IF(M135="","",IF(M135&lt;0.15,"⚠ LOW MARGIN / MARGEN BAJO","✔ OK"))</f>
        <v/>
      </c>
      <c r="P135" s="52" t="n">
        <f aca="false">IF(Q135=1,L135+ROW()/1000000,-1000000000000000)</f>
        <v>-1000000000000000</v>
      </c>
      <c r="Q135" s="52" t="n">
        <f aca="false">IF(B135="",0,IF(G135="",0,IF(N135="Returned / Devuelto",0,1)))</f>
        <v>0</v>
      </c>
      <c r="R135" s="52" t="n">
        <f aca="false">IF(Q135=1,IF(ISNUMBER(D135),YEAR(D135)*100+MONTH(D135),0),0)</f>
        <v>0</v>
      </c>
      <c r="S135" s="52" t="n">
        <f aca="false">IF(Q135=1,IF(M135&lt;0.15,1,0),0)</f>
        <v>0</v>
      </c>
    </row>
    <row r="136" customFormat="false" ht="15" hidden="false" customHeight="false" outlineLevel="0" collapsed="false">
      <c r="B136" s="53"/>
      <c r="C136" s="53"/>
      <c r="D136" s="54"/>
      <c r="E136" s="55"/>
      <c r="F136" s="55"/>
      <c r="G136" s="55"/>
      <c r="H136" s="56"/>
      <c r="I136" s="57" t="str">
        <f aca="false">IF(G136="","",G136*H136)</f>
        <v/>
      </c>
      <c r="J136" s="55"/>
      <c r="K136" s="55"/>
      <c r="L136" s="57" t="str">
        <f aca="false">IF(OR(B136="",G136=""),"",G136-E136-F136-I136-J136-K136)</f>
        <v/>
      </c>
      <c r="M136" s="58" t="str">
        <f aca="false">IF(L136="","",IF(G136=0,0,L136/G136))</f>
        <v/>
      </c>
      <c r="N136" s="53"/>
      <c r="O136" s="59" t="str">
        <f aca="false">IF(M136="","",IF(M136&lt;0.15,"⚠ LOW MARGIN / MARGEN BAJO","✔ OK"))</f>
        <v/>
      </c>
      <c r="P136" s="52" t="n">
        <f aca="false">IF(Q136=1,L136+ROW()/1000000,-1000000000000000)</f>
        <v>-1000000000000000</v>
      </c>
      <c r="Q136" s="52" t="n">
        <f aca="false">IF(B136="",0,IF(G136="",0,IF(N136="Returned / Devuelto",0,1)))</f>
        <v>0</v>
      </c>
      <c r="R136" s="52" t="n">
        <f aca="false">IF(Q136=1,IF(ISNUMBER(D136),YEAR(D136)*100+MONTH(D136),0),0)</f>
        <v>0</v>
      </c>
      <c r="S136" s="52" t="n">
        <f aca="false">IF(Q136=1,IF(M136&lt;0.15,1,0),0)</f>
        <v>0</v>
      </c>
    </row>
    <row r="137" customFormat="false" ht="15" hidden="false" customHeight="false" outlineLevel="0" collapsed="false">
      <c r="B137" s="53"/>
      <c r="C137" s="53"/>
      <c r="D137" s="54"/>
      <c r="E137" s="55"/>
      <c r="F137" s="55"/>
      <c r="G137" s="55"/>
      <c r="H137" s="56"/>
      <c r="I137" s="57" t="str">
        <f aca="false">IF(G137="","",G137*H137)</f>
        <v/>
      </c>
      <c r="J137" s="55"/>
      <c r="K137" s="55"/>
      <c r="L137" s="57" t="str">
        <f aca="false">IF(OR(B137="",G137=""),"",G137-E137-F137-I137-J137-K137)</f>
        <v/>
      </c>
      <c r="M137" s="58" t="str">
        <f aca="false">IF(L137="","",IF(G137=0,0,L137/G137))</f>
        <v/>
      </c>
      <c r="N137" s="53"/>
      <c r="O137" s="59" t="str">
        <f aca="false">IF(M137="","",IF(M137&lt;0.15,"⚠ LOW MARGIN / MARGEN BAJO","✔ OK"))</f>
        <v/>
      </c>
      <c r="P137" s="52" t="n">
        <f aca="false">IF(Q137=1,L137+ROW()/1000000,-1000000000000000)</f>
        <v>-1000000000000000</v>
      </c>
      <c r="Q137" s="52" t="n">
        <f aca="false">IF(B137="",0,IF(G137="",0,IF(N137="Returned / Devuelto",0,1)))</f>
        <v>0</v>
      </c>
      <c r="R137" s="52" t="n">
        <f aca="false">IF(Q137=1,IF(ISNUMBER(D137),YEAR(D137)*100+MONTH(D137),0),0)</f>
        <v>0</v>
      </c>
      <c r="S137" s="52" t="n">
        <f aca="false">IF(Q137=1,IF(M137&lt;0.15,1,0),0)</f>
        <v>0</v>
      </c>
    </row>
    <row r="138" customFormat="false" ht="15" hidden="false" customHeight="false" outlineLevel="0" collapsed="false">
      <c r="B138" s="53"/>
      <c r="C138" s="53"/>
      <c r="D138" s="54"/>
      <c r="E138" s="55"/>
      <c r="F138" s="55"/>
      <c r="G138" s="55"/>
      <c r="H138" s="56"/>
      <c r="I138" s="57" t="str">
        <f aca="false">IF(G138="","",G138*H138)</f>
        <v/>
      </c>
      <c r="J138" s="55"/>
      <c r="K138" s="55"/>
      <c r="L138" s="57" t="str">
        <f aca="false">IF(OR(B138="",G138=""),"",G138-E138-F138-I138-J138-K138)</f>
        <v/>
      </c>
      <c r="M138" s="58" t="str">
        <f aca="false">IF(L138="","",IF(G138=0,0,L138/G138))</f>
        <v/>
      </c>
      <c r="N138" s="53"/>
      <c r="O138" s="59" t="str">
        <f aca="false">IF(M138="","",IF(M138&lt;0.15,"⚠ LOW MARGIN / MARGEN BAJO","✔ OK"))</f>
        <v/>
      </c>
      <c r="P138" s="52" t="n">
        <f aca="false">IF(Q138=1,L138+ROW()/1000000,-1000000000000000)</f>
        <v>-1000000000000000</v>
      </c>
      <c r="Q138" s="52" t="n">
        <f aca="false">IF(B138="",0,IF(G138="",0,IF(N138="Returned / Devuelto",0,1)))</f>
        <v>0</v>
      </c>
      <c r="R138" s="52" t="n">
        <f aca="false">IF(Q138=1,IF(ISNUMBER(D138),YEAR(D138)*100+MONTH(D138),0),0)</f>
        <v>0</v>
      </c>
      <c r="S138" s="52" t="n">
        <f aca="false">IF(Q138=1,IF(M138&lt;0.15,1,0),0)</f>
        <v>0</v>
      </c>
    </row>
    <row r="139" customFormat="false" ht="15" hidden="false" customHeight="false" outlineLevel="0" collapsed="false">
      <c r="B139" s="53"/>
      <c r="C139" s="53"/>
      <c r="D139" s="54"/>
      <c r="E139" s="55"/>
      <c r="F139" s="55"/>
      <c r="G139" s="55"/>
      <c r="H139" s="56"/>
      <c r="I139" s="57" t="str">
        <f aca="false">IF(G139="","",G139*H139)</f>
        <v/>
      </c>
      <c r="J139" s="55"/>
      <c r="K139" s="55"/>
      <c r="L139" s="57" t="str">
        <f aca="false">IF(OR(B139="",G139=""),"",G139-E139-F139-I139-J139-K139)</f>
        <v/>
      </c>
      <c r="M139" s="58" t="str">
        <f aca="false">IF(L139="","",IF(G139=0,0,L139/G139))</f>
        <v/>
      </c>
      <c r="N139" s="53"/>
      <c r="O139" s="59" t="str">
        <f aca="false">IF(M139="","",IF(M139&lt;0.15,"⚠ LOW MARGIN / MARGEN BAJO","✔ OK"))</f>
        <v/>
      </c>
      <c r="P139" s="52" t="n">
        <f aca="false">IF(Q139=1,L139+ROW()/1000000,-1000000000000000)</f>
        <v>-1000000000000000</v>
      </c>
      <c r="Q139" s="52" t="n">
        <f aca="false">IF(B139="",0,IF(G139="",0,IF(N139="Returned / Devuelto",0,1)))</f>
        <v>0</v>
      </c>
      <c r="R139" s="52" t="n">
        <f aca="false">IF(Q139=1,IF(ISNUMBER(D139),YEAR(D139)*100+MONTH(D139),0),0)</f>
        <v>0</v>
      </c>
      <c r="S139" s="52" t="n">
        <f aca="false">IF(Q139=1,IF(M139&lt;0.15,1,0),0)</f>
        <v>0</v>
      </c>
    </row>
    <row r="140" customFormat="false" ht="15" hidden="false" customHeight="false" outlineLevel="0" collapsed="false">
      <c r="B140" s="53"/>
      <c r="C140" s="53"/>
      <c r="D140" s="54"/>
      <c r="E140" s="55"/>
      <c r="F140" s="55"/>
      <c r="G140" s="55"/>
      <c r="H140" s="56"/>
      <c r="I140" s="57" t="str">
        <f aca="false">IF(G140="","",G140*H140)</f>
        <v/>
      </c>
      <c r="J140" s="55"/>
      <c r="K140" s="55"/>
      <c r="L140" s="57" t="str">
        <f aca="false">IF(OR(B140="",G140=""),"",G140-E140-F140-I140-J140-K140)</f>
        <v/>
      </c>
      <c r="M140" s="58" t="str">
        <f aca="false">IF(L140="","",IF(G140=0,0,L140/G140))</f>
        <v/>
      </c>
      <c r="N140" s="53"/>
      <c r="O140" s="59" t="str">
        <f aca="false">IF(M140="","",IF(M140&lt;0.15,"⚠ LOW MARGIN / MARGEN BAJO","✔ OK"))</f>
        <v/>
      </c>
      <c r="P140" s="52" t="n">
        <f aca="false">IF(Q140=1,L140+ROW()/1000000,-1000000000000000)</f>
        <v>-1000000000000000</v>
      </c>
      <c r="Q140" s="52" t="n">
        <f aca="false">IF(B140="",0,IF(G140="",0,IF(N140="Returned / Devuelto",0,1)))</f>
        <v>0</v>
      </c>
      <c r="R140" s="52" t="n">
        <f aca="false">IF(Q140=1,IF(ISNUMBER(D140),YEAR(D140)*100+MONTH(D140),0),0)</f>
        <v>0</v>
      </c>
      <c r="S140" s="52" t="n">
        <f aca="false">IF(Q140=1,IF(M140&lt;0.15,1,0),0)</f>
        <v>0</v>
      </c>
    </row>
    <row r="141" customFormat="false" ht="15" hidden="false" customHeight="false" outlineLevel="0" collapsed="false">
      <c r="B141" s="53"/>
      <c r="C141" s="53"/>
      <c r="D141" s="54"/>
      <c r="E141" s="55"/>
      <c r="F141" s="55"/>
      <c r="G141" s="55"/>
      <c r="H141" s="56"/>
      <c r="I141" s="57" t="str">
        <f aca="false">IF(G141="","",G141*H141)</f>
        <v/>
      </c>
      <c r="J141" s="55"/>
      <c r="K141" s="55"/>
      <c r="L141" s="57" t="str">
        <f aca="false">IF(OR(B141="",G141=""),"",G141-E141-F141-I141-J141-K141)</f>
        <v/>
      </c>
      <c r="M141" s="58" t="str">
        <f aca="false">IF(L141="","",IF(G141=0,0,L141/G141))</f>
        <v/>
      </c>
      <c r="N141" s="53"/>
      <c r="O141" s="59" t="str">
        <f aca="false">IF(M141="","",IF(M141&lt;0.15,"⚠ LOW MARGIN / MARGEN BAJO","✔ OK"))</f>
        <v/>
      </c>
      <c r="P141" s="52" t="n">
        <f aca="false">IF(Q141=1,L141+ROW()/1000000,-1000000000000000)</f>
        <v>-1000000000000000</v>
      </c>
      <c r="Q141" s="52" t="n">
        <f aca="false">IF(B141="",0,IF(G141="",0,IF(N141="Returned / Devuelto",0,1)))</f>
        <v>0</v>
      </c>
      <c r="R141" s="52" t="n">
        <f aca="false">IF(Q141=1,IF(ISNUMBER(D141),YEAR(D141)*100+MONTH(D141),0),0)</f>
        <v>0</v>
      </c>
      <c r="S141" s="52" t="n">
        <f aca="false">IF(Q141=1,IF(M141&lt;0.15,1,0),0)</f>
        <v>0</v>
      </c>
    </row>
    <row r="142" customFormat="false" ht="15" hidden="false" customHeight="false" outlineLevel="0" collapsed="false">
      <c r="B142" s="53"/>
      <c r="C142" s="53"/>
      <c r="D142" s="54"/>
      <c r="E142" s="55"/>
      <c r="F142" s="55"/>
      <c r="G142" s="55"/>
      <c r="H142" s="56"/>
      <c r="I142" s="57" t="str">
        <f aca="false">IF(G142="","",G142*H142)</f>
        <v/>
      </c>
      <c r="J142" s="55"/>
      <c r="K142" s="55"/>
      <c r="L142" s="57" t="str">
        <f aca="false">IF(OR(B142="",G142=""),"",G142-E142-F142-I142-J142-K142)</f>
        <v/>
      </c>
      <c r="M142" s="58" t="str">
        <f aca="false">IF(L142="","",IF(G142=0,0,L142/G142))</f>
        <v/>
      </c>
      <c r="N142" s="53"/>
      <c r="O142" s="59" t="str">
        <f aca="false">IF(M142="","",IF(M142&lt;0.15,"⚠ LOW MARGIN / MARGEN BAJO","✔ OK"))</f>
        <v/>
      </c>
      <c r="P142" s="52" t="n">
        <f aca="false">IF(Q142=1,L142+ROW()/1000000,-1000000000000000)</f>
        <v>-1000000000000000</v>
      </c>
      <c r="Q142" s="52" t="n">
        <f aca="false">IF(B142="",0,IF(G142="",0,IF(N142="Returned / Devuelto",0,1)))</f>
        <v>0</v>
      </c>
      <c r="R142" s="52" t="n">
        <f aca="false">IF(Q142=1,IF(ISNUMBER(D142),YEAR(D142)*100+MONTH(D142),0),0)</f>
        <v>0</v>
      </c>
      <c r="S142" s="52" t="n">
        <f aca="false">IF(Q142=1,IF(M142&lt;0.15,1,0),0)</f>
        <v>0</v>
      </c>
    </row>
    <row r="143" customFormat="false" ht="15" hidden="false" customHeight="false" outlineLevel="0" collapsed="false">
      <c r="B143" s="53"/>
      <c r="C143" s="53"/>
      <c r="D143" s="54"/>
      <c r="E143" s="55"/>
      <c r="F143" s="55"/>
      <c r="G143" s="55"/>
      <c r="H143" s="56"/>
      <c r="I143" s="57" t="str">
        <f aca="false">IF(G143="","",G143*H143)</f>
        <v/>
      </c>
      <c r="J143" s="55"/>
      <c r="K143" s="55"/>
      <c r="L143" s="57" t="str">
        <f aca="false">IF(OR(B143="",G143=""),"",G143-E143-F143-I143-J143-K143)</f>
        <v/>
      </c>
      <c r="M143" s="58" t="str">
        <f aca="false">IF(L143="","",IF(G143=0,0,L143/G143))</f>
        <v/>
      </c>
      <c r="N143" s="53"/>
      <c r="O143" s="59" t="str">
        <f aca="false">IF(M143="","",IF(M143&lt;0.15,"⚠ LOW MARGIN / MARGEN BAJO","✔ OK"))</f>
        <v/>
      </c>
      <c r="P143" s="52" t="n">
        <f aca="false">IF(Q143=1,L143+ROW()/1000000,-1000000000000000)</f>
        <v>-1000000000000000</v>
      </c>
      <c r="Q143" s="52" t="n">
        <f aca="false">IF(B143="",0,IF(G143="",0,IF(N143="Returned / Devuelto",0,1)))</f>
        <v>0</v>
      </c>
      <c r="R143" s="52" t="n">
        <f aca="false">IF(Q143=1,IF(ISNUMBER(D143),YEAR(D143)*100+MONTH(D143),0),0)</f>
        <v>0</v>
      </c>
      <c r="S143" s="52" t="n">
        <f aca="false">IF(Q143=1,IF(M143&lt;0.15,1,0),0)</f>
        <v>0</v>
      </c>
    </row>
    <row r="144" customFormat="false" ht="15" hidden="false" customHeight="false" outlineLevel="0" collapsed="false">
      <c r="B144" s="53"/>
      <c r="C144" s="53"/>
      <c r="D144" s="54"/>
      <c r="E144" s="55"/>
      <c r="F144" s="55"/>
      <c r="G144" s="55"/>
      <c r="H144" s="56"/>
      <c r="I144" s="57" t="str">
        <f aca="false">IF(G144="","",G144*H144)</f>
        <v/>
      </c>
      <c r="J144" s="55"/>
      <c r="K144" s="55"/>
      <c r="L144" s="57" t="str">
        <f aca="false">IF(OR(B144="",G144=""),"",G144-E144-F144-I144-J144-K144)</f>
        <v/>
      </c>
      <c r="M144" s="58" t="str">
        <f aca="false">IF(L144="","",IF(G144=0,0,L144/G144))</f>
        <v/>
      </c>
      <c r="N144" s="53"/>
      <c r="O144" s="59" t="str">
        <f aca="false">IF(M144="","",IF(M144&lt;0.15,"⚠ LOW MARGIN / MARGEN BAJO","✔ OK"))</f>
        <v/>
      </c>
      <c r="P144" s="52" t="n">
        <f aca="false">IF(Q144=1,L144+ROW()/1000000,-1000000000000000)</f>
        <v>-1000000000000000</v>
      </c>
      <c r="Q144" s="52" t="n">
        <f aca="false">IF(B144="",0,IF(G144="",0,IF(N144="Returned / Devuelto",0,1)))</f>
        <v>0</v>
      </c>
      <c r="R144" s="52" t="n">
        <f aca="false">IF(Q144=1,IF(ISNUMBER(D144),YEAR(D144)*100+MONTH(D144),0),0)</f>
        <v>0</v>
      </c>
      <c r="S144" s="52" t="n">
        <f aca="false">IF(Q144=1,IF(M144&lt;0.15,1,0),0)</f>
        <v>0</v>
      </c>
    </row>
    <row r="145" customFormat="false" ht="15" hidden="false" customHeight="false" outlineLevel="0" collapsed="false">
      <c r="B145" s="53"/>
      <c r="C145" s="53"/>
      <c r="D145" s="54"/>
      <c r="E145" s="55"/>
      <c r="F145" s="55"/>
      <c r="G145" s="55"/>
      <c r="H145" s="56"/>
      <c r="I145" s="57" t="str">
        <f aca="false">IF(G145="","",G145*H145)</f>
        <v/>
      </c>
      <c r="J145" s="55"/>
      <c r="K145" s="55"/>
      <c r="L145" s="57" t="str">
        <f aca="false">IF(OR(B145="",G145=""),"",G145-E145-F145-I145-J145-K145)</f>
        <v/>
      </c>
      <c r="M145" s="58" t="str">
        <f aca="false">IF(L145="","",IF(G145=0,0,L145/G145))</f>
        <v/>
      </c>
      <c r="N145" s="53"/>
      <c r="O145" s="59" t="str">
        <f aca="false">IF(M145="","",IF(M145&lt;0.15,"⚠ LOW MARGIN / MARGEN BAJO","✔ OK"))</f>
        <v/>
      </c>
      <c r="P145" s="52" t="n">
        <f aca="false">IF(Q145=1,L145+ROW()/1000000,-1000000000000000)</f>
        <v>-1000000000000000</v>
      </c>
      <c r="Q145" s="52" t="n">
        <f aca="false">IF(B145="",0,IF(G145="",0,IF(N145="Returned / Devuelto",0,1)))</f>
        <v>0</v>
      </c>
      <c r="R145" s="52" t="n">
        <f aca="false">IF(Q145=1,IF(ISNUMBER(D145),YEAR(D145)*100+MONTH(D145),0),0)</f>
        <v>0</v>
      </c>
      <c r="S145" s="52" t="n">
        <f aca="false">IF(Q145=1,IF(M145&lt;0.15,1,0),0)</f>
        <v>0</v>
      </c>
    </row>
    <row r="146" customFormat="false" ht="15" hidden="false" customHeight="false" outlineLevel="0" collapsed="false">
      <c r="B146" s="53"/>
      <c r="C146" s="53"/>
      <c r="D146" s="54"/>
      <c r="E146" s="55"/>
      <c r="F146" s="55"/>
      <c r="G146" s="55"/>
      <c r="H146" s="56"/>
      <c r="I146" s="57" t="str">
        <f aca="false">IF(G146="","",G146*H146)</f>
        <v/>
      </c>
      <c r="J146" s="55"/>
      <c r="K146" s="55"/>
      <c r="L146" s="57" t="str">
        <f aca="false">IF(OR(B146="",G146=""),"",G146-E146-F146-I146-J146-K146)</f>
        <v/>
      </c>
      <c r="M146" s="58" t="str">
        <f aca="false">IF(L146="","",IF(G146=0,0,L146/G146))</f>
        <v/>
      </c>
      <c r="N146" s="53"/>
      <c r="O146" s="59" t="str">
        <f aca="false">IF(M146="","",IF(M146&lt;0.15,"⚠ LOW MARGIN / MARGEN BAJO","✔ OK"))</f>
        <v/>
      </c>
      <c r="P146" s="52" t="n">
        <f aca="false">IF(Q146=1,L146+ROW()/1000000,-1000000000000000)</f>
        <v>-1000000000000000</v>
      </c>
      <c r="Q146" s="52" t="n">
        <f aca="false">IF(B146="",0,IF(G146="",0,IF(N146="Returned / Devuelto",0,1)))</f>
        <v>0</v>
      </c>
      <c r="R146" s="52" t="n">
        <f aca="false">IF(Q146=1,IF(ISNUMBER(D146),YEAR(D146)*100+MONTH(D146),0),0)</f>
        <v>0</v>
      </c>
      <c r="S146" s="52" t="n">
        <f aca="false">IF(Q146=1,IF(M146&lt;0.15,1,0),0)</f>
        <v>0</v>
      </c>
    </row>
    <row r="147" customFormat="false" ht="15" hidden="false" customHeight="false" outlineLevel="0" collapsed="false">
      <c r="B147" s="53"/>
      <c r="C147" s="53"/>
      <c r="D147" s="54"/>
      <c r="E147" s="55"/>
      <c r="F147" s="55"/>
      <c r="G147" s="55"/>
      <c r="H147" s="56"/>
      <c r="I147" s="57" t="str">
        <f aca="false">IF(G147="","",G147*H147)</f>
        <v/>
      </c>
      <c r="J147" s="55"/>
      <c r="K147" s="55"/>
      <c r="L147" s="57" t="str">
        <f aca="false">IF(OR(B147="",G147=""),"",G147-E147-F147-I147-J147-K147)</f>
        <v/>
      </c>
      <c r="M147" s="58" t="str">
        <f aca="false">IF(L147="","",IF(G147=0,0,L147/G147))</f>
        <v/>
      </c>
      <c r="N147" s="53"/>
      <c r="O147" s="59" t="str">
        <f aca="false">IF(M147="","",IF(M147&lt;0.15,"⚠ LOW MARGIN / MARGEN BAJO","✔ OK"))</f>
        <v/>
      </c>
      <c r="P147" s="52" t="n">
        <f aca="false">IF(Q147=1,L147+ROW()/1000000,-1000000000000000)</f>
        <v>-1000000000000000</v>
      </c>
      <c r="Q147" s="52" t="n">
        <f aca="false">IF(B147="",0,IF(G147="",0,IF(N147="Returned / Devuelto",0,1)))</f>
        <v>0</v>
      </c>
      <c r="R147" s="52" t="n">
        <f aca="false">IF(Q147=1,IF(ISNUMBER(D147),YEAR(D147)*100+MONTH(D147),0),0)</f>
        <v>0</v>
      </c>
      <c r="S147" s="52" t="n">
        <f aca="false">IF(Q147=1,IF(M147&lt;0.15,1,0),0)</f>
        <v>0</v>
      </c>
    </row>
    <row r="148" customFormat="false" ht="15" hidden="false" customHeight="false" outlineLevel="0" collapsed="false">
      <c r="B148" s="53"/>
      <c r="C148" s="53"/>
      <c r="D148" s="54"/>
      <c r="E148" s="55"/>
      <c r="F148" s="55"/>
      <c r="G148" s="55"/>
      <c r="H148" s="56"/>
      <c r="I148" s="57" t="str">
        <f aca="false">IF(G148="","",G148*H148)</f>
        <v/>
      </c>
      <c r="J148" s="55"/>
      <c r="K148" s="55"/>
      <c r="L148" s="57" t="str">
        <f aca="false">IF(OR(B148="",G148=""),"",G148-E148-F148-I148-J148-K148)</f>
        <v/>
      </c>
      <c r="M148" s="58" t="str">
        <f aca="false">IF(L148="","",IF(G148=0,0,L148/G148))</f>
        <v/>
      </c>
      <c r="N148" s="53"/>
      <c r="O148" s="59" t="str">
        <f aca="false">IF(M148="","",IF(M148&lt;0.15,"⚠ LOW MARGIN / MARGEN BAJO","✔ OK"))</f>
        <v/>
      </c>
      <c r="P148" s="52" t="n">
        <f aca="false">IF(Q148=1,L148+ROW()/1000000,-1000000000000000)</f>
        <v>-1000000000000000</v>
      </c>
      <c r="Q148" s="52" t="n">
        <f aca="false">IF(B148="",0,IF(G148="",0,IF(N148="Returned / Devuelto",0,1)))</f>
        <v>0</v>
      </c>
      <c r="R148" s="52" t="n">
        <f aca="false">IF(Q148=1,IF(ISNUMBER(D148),YEAR(D148)*100+MONTH(D148),0),0)</f>
        <v>0</v>
      </c>
      <c r="S148" s="52" t="n">
        <f aca="false">IF(Q148=1,IF(M148&lt;0.15,1,0),0)</f>
        <v>0</v>
      </c>
    </row>
    <row r="149" customFormat="false" ht="15" hidden="false" customHeight="false" outlineLevel="0" collapsed="false">
      <c r="B149" s="53"/>
      <c r="C149" s="53"/>
      <c r="D149" s="54"/>
      <c r="E149" s="55"/>
      <c r="F149" s="55"/>
      <c r="G149" s="55"/>
      <c r="H149" s="56"/>
      <c r="I149" s="57" t="str">
        <f aca="false">IF(G149="","",G149*H149)</f>
        <v/>
      </c>
      <c r="J149" s="55"/>
      <c r="K149" s="55"/>
      <c r="L149" s="57" t="str">
        <f aca="false">IF(OR(B149="",G149=""),"",G149-E149-F149-I149-J149-K149)</f>
        <v/>
      </c>
      <c r="M149" s="58" t="str">
        <f aca="false">IF(L149="","",IF(G149=0,0,L149/G149))</f>
        <v/>
      </c>
      <c r="N149" s="53"/>
      <c r="O149" s="59" t="str">
        <f aca="false">IF(M149="","",IF(M149&lt;0.15,"⚠ LOW MARGIN / MARGEN BAJO","✔ OK"))</f>
        <v/>
      </c>
      <c r="P149" s="52" t="n">
        <f aca="false">IF(Q149=1,L149+ROW()/1000000,-1000000000000000)</f>
        <v>-1000000000000000</v>
      </c>
      <c r="Q149" s="52" t="n">
        <f aca="false">IF(B149="",0,IF(G149="",0,IF(N149="Returned / Devuelto",0,1)))</f>
        <v>0</v>
      </c>
      <c r="R149" s="52" t="n">
        <f aca="false">IF(Q149=1,IF(ISNUMBER(D149),YEAR(D149)*100+MONTH(D149),0),0)</f>
        <v>0</v>
      </c>
      <c r="S149" s="52" t="n">
        <f aca="false">IF(Q149=1,IF(M149&lt;0.15,1,0),0)</f>
        <v>0</v>
      </c>
    </row>
    <row r="150" customFormat="false" ht="15" hidden="false" customHeight="false" outlineLevel="0" collapsed="false">
      <c r="B150" s="53"/>
      <c r="C150" s="53"/>
      <c r="D150" s="54"/>
      <c r="E150" s="55"/>
      <c r="F150" s="55"/>
      <c r="G150" s="55"/>
      <c r="H150" s="56"/>
      <c r="I150" s="57" t="str">
        <f aca="false">IF(G150="","",G150*H150)</f>
        <v/>
      </c>
      <c r="J150" s="55"/>
      <c r="K150" s="55"/>
      <c r="L150" s="57" t="str">
        <f aca="false">IF(OR(B150="",G150=""),"",G150-E150-F150-I150-J150-K150)</f>
        <v/>
      </c>
      <c r="M150" s="58" t="str">
        <f aca="false">IF(L150="","",IF(G150=0,0,L150/G150))</f>
        <v/>
      </c>
      <c r="N150" s="53"/>
      <c r="O150" s="59" t="str">
        <f aca="false">IF(M150="","",IF(M150&lt;0.15,"⚠ LOW MARGIN / MARGEN BAJO","✔ OK"))</f>
        <v/>
      </c>
      <c r="P150" s="52" t="n">
        <f aca="false">IF(Q150=1,L150+ROW()/1000000,-1000000000000000)</f>
        <v>-1000000000000000</v>
      </c>
      <c r="Q150" s="52" t="n">
        <f aca="false">IF(B150="",0,IF(G150="",0,IF(N150="Returned / Devuelto",0,1)))</f>
        <v>0</v>
      </c>
      <c r="R150" s="52" t="n">
        <f aca="false">IF(Q150=1,IF(ISNUMBER(D150),YEAR(D150)*100+MONTH(D150),0),0)</f>
        <v>0</v>
      </c>
      <c r="S150" s="52" t="n">
        <f aca="false">IF(Q150=1,IF(M150&lt;0.15,1,0),0)</f>
        <v>0</v>
      </c>
    </row>
    <row r="151" customFormat="false" ht="15" hidden="false" customHeight="false" outlineLevel="0" collapsed="false">
      <c r="B151" s="53"/>
      <c r="C151" s="53"/>
      <c r="D151" s="54"/>
      <c r="E151" s="55"/>
      <c r="F151" s="55"/>
      <c r="G151" s="55"/>
      <c r="H151" s="56"/>
      <c r="I151" s="57" t="str">
        <f aca="false">IF(G151="","",G151*H151)</f>
        <v/>
      </c>
      <c r="J151" s="55"/>
      <c r="K151" s="55"/>
      <c r="L151" s="57" t="str">
        <f aca="false">IF(OR(B151="",G151=""),"",G151-E151-F151-I151-J151-K151)</f>
        <v/>
      </c>
      <c r="M151" s="58" t="str">
        <f aca="false">IF(L151="","",IF(G151=0,0,L151/G151))</f>
        <v/>
      </c>
      <c r="N151" s="53"/>
      <c r="O151" s="59" t="str">
        <f aca="false">IF(M151="","",IF(M151&lt;0.15,"⚠ LOW MARGIN / MARGEN BAJO","✔ OK"))</f>
        <v/>
      </c>
      <c r="P151" s="52" t="n">
        <f aca="false">IF(Q151=1,L151+ROW()/1000000,-1000000000000000)</f>
        <v>-1000000000000000</v>
      </c>
      <c r="Q151" s="52" t="n">
        <f aca="false">IF(B151="",0,IF(G151="",0,IF(N151="Returned / Devuelto",0,1)))</f>
        <v>0</v>
      </c>
      <c r="R151" s="52" t="n">
        <f aca="false">IF(Q151=1,IF(ISNUMBER(D151),YEAR(D151)*100+MONTH(D151),0),0)</f>
        <v>0</v>
      </c>
      <c r="S151" s="52" t="n">
        <f aca="false">IF(Q151=1,IF(M151&lt;0.15,1,0),0)</f>
        <v>0</v>
      </c>
    </row>
    <row r="152" customFormat="false" ht="15" hidden="false" customHeight="false" outlineLevel="0" collapsed="false">
      <c r="B152" s="53"/>
      <c r="C152" s="53"/>
      <c r="D152" s="54"/>
      <c r="E152" s="55"/>
      <c r="F152" s="55"/>
      <c r="G152" s="55"/>
      <c r="H152" s="56"/>
      <c r="I152" s="57" t="str">
        <f aca="false">IF(G152="","",G152*H152)</f>
        <v/>
      </c>
      <c r="J152" s="55"/>
      <c r="K152" s="55"/>
      <c r="L152" s="57" t="str">
        <f aca="false">IF(OR(B152="",G152=""),"",G152-E152-F152-I152-J152-K152)</f>
        <v/>
      </c>
      <c r="M152" s="58" t="str">
        <f aca="false">IF(L152="","",IF(G152=0,0,L152/G152))</f>
        <v/>
      </c>
      <c r="N152" s="53"/>
      <c r="O152" s="59" t="str">
        <f aca="false">IF(M152="","",IF(M152&lt;0.15,"⚠ LOW MARGIN / MARGEN BAJO","✔ OK"))</f>
        <v/>
      </c>
      <c r="P152" s="52" t="n">
        <f aca="false">IF(Q152=1,L152+ROW()/1000000,-1000000000000000)</f>
        <v>-1000000000000000</v>
      </c>
      <c r="Q152" s="52" t="n">
        <f aca="false">IF(B152="",0,IF(G152="",0,IF(N152="Returned / Devuelto",0,1)))</f>
        <v>0</v>
      </c>
      <c r="R152" s="52" t="n">
        <f aca="false">IF(Q152=1,IF(ISNUMBER(D152),YEAR(D152)*100+MONTH(D152),0),0)</f>
        <v>0</v>
      </c>
      <c r="S152" s="52" t="n">
        <f aca="false">IF(Q152=1,IF(M152&lt;0.15,1,0),0)</f>
        <v>0</v>
      </c>
    </row>
    <row r="153" customFormat="false" ht="15" hidden="false" customHeight="false" outlineLevel="0" collapsed="false">
      <c r="B153" s="53"/>
      <c r="C153" s="53"/>
      <c r="D153" s="54"/>
      <c r="E153" s="55"/>
      <c r="F153" s="55"/>
      <c r="G153" s="55"/>
      <c r="H153" s="56"/>
      <c r="I153" s="57" t="str">
        <f aca="false">IF(G153="","",G153*H153)</f>
        <v/>
      </c>
      <c r="J153" s="55"/>
      <c r="K153" s="55"/>
      <c r="L153" s="57" t="str">
        <f aca="false">IF(OR(B153="",G153=""),"",G153-E153-F153-I153-J153-K153)</f>
        <v/>
      </c>
      <c r="M153" s="58" t="str">
        <f aca="false">IF(L153="","",IF(G153=0,0,L153/G153))</f>
        <v/>
      </c>
      <c r="N153" s="53"/>
      <c r="O153" s="59" t="str">
        <f aca="false">IF(M153="","",IF(M153&lt;0.15,"⚠ LOW MARGIN / MARGEN BAJO","✔ OK"))</f>
        <v/>
      </c>
      <c r="P153" s="52" t="n">
        <f aca="false">IF(Q153=1,L153+ROW()/1000000,-1000000000000000)</f>
        <v>-1000000000000000</v>
      </c>
      <c r="Q153" s="52" t="n">
        <f aca="false">IF(B153="",0,IF(G153="",0,IF(N153="Returned / Devuelto",0,1)))</f>
        <v>0</v>
      </c>
      <c r="R153" s="52" t="n">
        <f aca="false">IF(Q153=1,IF(ISNUMBER(D153),YEAR(D153)*100+MONTH(D153),0),0)</f>
        <v>0</v>
      </c>
      <c r="S153" s="52" t="n">
        <f aca="false">IF(Q153=1,IF(M153&lt;0.15,1,0),0)</f>
        <v>0</v>
      </c>
    </row>
    <row r="154" customFormat="false" ht="15" hidden="false" customHeight="false" outlineLevel="0" collapsed="false">
      <c r="B154" s="53"/>
      <c r="C154" s="53"/>
      <c r="D154" s="54"/>
      <c r="E154" s="55"/>
      <c r="F154" s="55"/>
      <c r="G154" s="55"/>
      <c r="H154" s="56"/>
      <c r="I154" s="57" t="str">
        <f aca="false">IF(G154="","",G154*H154)</f>
        <v/>
      </c>
      <c r="J154" s="55"/>
      <c r="K154" s="55"/>
      <c r="L154" s="57" t="str">
        <f aca="false">IF(OR(B154="",G154=""),"",G154-E154-F154-I154-J154-K154)</f>
        <v/>
      </c>
      <c r="M154" s="58" t="str">
        <f aca="false">IF(L154="","",IF(G154=0,0,L154/G154))</f>
        <v/>
      </c>
      <c r="N154" s="53"/>
      <c r="O154" s="59" t="str">
        <f aca="false">IF(M154="","",IF(M154&lt;0.15,"⚠ LOW MARGIN / MARGEN BAJO","✔ OK"))</f>
        <v/>
      </c>
      <c r="P154" s="52" t="n">
        <f aca="false">IF(Q154=1,L154+ROW()/1000000,-1000000000000000)</f>
        <v>-1000000000000000</v>
      </c>
      <c r="Q154" s="52" t="n">
        <f aca="false">IF(B154="",0,IF(G154="",0,IF(N154="Returned / Devuelto",0,1)))</f>
        <v>0</v>
      </c>
      <c r="R154" s="52" t="n">
        <f aca="false">IF(Q154=1,IF(ISNUMBER(D154),YEAR(D154)*100+MONTH(D154),0),0)</f>
        <v>0</v>
      </c>
      <c r="S154" s="52" t="n">
        <f aca="false">IF(Q154=1,IF(M154&lt;0.15,1,0),0)</f>
        <v>0</v>
      </c>
    </row>
    <row r="155" customFormat="false" ht="15" hidden="false" customHeight="false" outlineLevel="0" collapsed="false">
      <c r="B155" s="53"/>
      <c r="C155" s="53"/>
      <c r="D155" s="54"/>
      <c r="E155" s="55"/>
      <c r="F155" s="55"/>
      <c r="G155" s="55"/>
      <c r="H155" s="56"/>
      <c r="I155" s="57" t="str">
        <f aca="false">IF(G155="","",G155*H155)</f>
        <v/>
      </c>
      <c r="J155" s="55"/>
      <c r="K155" s="55"/>
      <c r="L155" s="57" t="str">
        <f aca="false">IF(OR(B155="",G155=""),"",G155-E155-F155-I155-J155-K155)</f>
        <v/>
      </c>
      <c r="M155" s="58" t="str">
        <f aca="false">IF(L155="","",IF(G155=0,0,L155/G155))</f>
        <v/>
      </c>
      <c r="N155" s="53"/>
      <c r="O155" s="59" t="str">
        <f aca="false">IF(M155="","",IF(M155&lt;0.15,"⚠ LOW MARGIN / MARGEN BAJO","✔ OK"))</f>
        <v/>
      </c>
      <c r="P155" s="52" t="n">
        <f aca="false">IF(Q155=1,L155+ROW()/1000000,-1000000000000000)</f>
        <v>-1000000000000000</v>
      </c>
      <c r="Q155" s="52" t="n">
        <f aca="false">IF(B155="",0,IF(G155="",0,IF(N155="Returned / Devuelto",0,1)))</f>
        <v>0</v>
      </c>
      <c r="R155" s="52" t="n">
        <f aca="false">IF(Q155=1,IF(ISNUMBER(D155),YEAR(D155)*100+MONTH(D155),0),0)</f>
        <v>0</v>
      </c>
      <c r="S155" s="52" t="n">
        <f aca="false">IF(Q155=1,IF(M155&lt;0.15,1,0),0)</f>
        <v>0</v>
      </c>
    </row>
    <row r="156" customFormat="false" ht="15" hidden="false" customHeight="false" outlineLevel="0" collapsed="false">
      <c r="B156" s="53"/>
      <c r="C156" s="53"/>
      <c r="D156" s="54"/>
      <c r="E156" s="55"/>
      <c r="F156" s="55"/>
      <c r="G156" s="55"/>
      <c r="H156" s="56"/>
      <c r="I156" s="57" t="str">
        <f aca="false">IF(G156="","",G156*H156)</f>
        <v/>
      </c>
      <c r="J156" s="55"/>
      <c r="K156" s="55"/>
      <c r="L156" s="57" t="str">
        <f aca="false">IF(OR(B156="",G156=""),"",G156-E156-F156-I156-J156-K156)</f>
        <v/>
      </c>
      <c r="M156" s="58" t="str">
        <f aca="false">IF(L156="","",IF(G156=0,0,L156/G156))</f>
        <v/>
      </c>
      <c r="N156" s="53"/>
      <c r="O156" s="59" t="str">
        <f aca="false">IF(M156="","",IF(M156&lt;0.15,"⚠ LOW MARGIN / MARGEN BAJO","✔ OK"))</f>
        <v/>
      </c>
      <c r="P156" s="52" t="n">
        <f aca="false">IF(Q156=1,L156+ROW()/1000000,-1000000000000000)</f>
        <v>-1000000000000000</v>
      </c>
      <c r="Q156" s="52" t="n">
        <f aca="false">IF(B156="",0,IF(G156="",0,IF(N156="Returned / Devuelto",0,1)))</f>
        <v>0</v>
      </c>
      <c r="R156" s="52" t="n">
        <f aca="false">IF(Q156=1,IF(ISNUMBER(D156),YEAR(D156)*100+MONTH(D156),0),0)</f>
        <v>0</v>
      </c>
      <c r="S156" s="52" t="n">
        <f aca="false">IF(Q156=1,IF(M156&lt;0.15,1,0),0)</f>
        <v>0</v>
      </c>
    </row>
    <row r="157" customFormat="false" ht="15" hidden="false" customHeight="false" outlineLevel="0" collapsed="false">
      <c r="B157" s="53"/>
      <c r="C157" s="53"/>
      <c r="D157" s="54"/>
      <c r="E157" s="55"/>
      <c r="F157" s="55"/>
      <c r="G157" s="55"/>
      <c r="H157" s="56"/>
      <c r="I157" s="57" t="str">
        <f aca="false">IF(G157="","",G157*H157)</f>
        <v/>
      </c>
      <c r="J157" s="55"/>
      <c r="K157" s="55"/>
      <c r="L157" s="57" t="str">
        <f aca="false">IF(OR(B157="",G157=""),"",G157-E157-F157-I157-J157-K157)</f>
        <v/>
      </c>
      <c r="M157" s="58" t="str">
        <f aca="false">IF(L157="","",IF(G157=0,0,L157/G157))</f>
        <v/>
      </c>
      <c r="N157" s="53"/>
      <c r="O157" s="59" t="str">
        <f aca="false">IF(M157="","",IF(M157&lt;0.15,"⚠ LOW MARGIN / MARGEN BAJO","✔ OK"))</f>
        <v/>
      </c>
      <c r="P157" s="52" t="n">
        <f aca="false">IF(Q157=1,L157+ROW()/1000000,-1000000000000000)</f>
        <v>-1000000000000000</v>
      </c>
      <c r="Q157" s="52" t="n">
        <f aca="false">IF(B157="",0,IF(G157="",0,IF(N157="Returned / Devuelto",0,1)))</f>
        <v>0</v>
      </c>
      <c r="R157" s="52" t="n">
        <f aca="false">IF(Q157=1,IF(ISNUMBER(D157),YEAR(D157)*100+MONTH(D157),0),0)</f>
        <v>0</v>
      </c>
      <c r="S157" s="52" t="n">
        <f aca="false">IF(Q157=1,IF(M157&lt;0.15,1,0),0)</f>
        <v>0</v>
      </c>
    </row>
    <row r="158" customFormat="false" ht="15" hidden="false" customHeight="false" outlineLevel="0" collapsed="false">
      <c r="B158" s="53"/>
      <c r="C158" s="53"/>
      <c r="D158" s="54"/>
      <c r="E158" s="55"/>
      <c r="F158" s="55"/>
      <c r="G158" s="55"/>
      <c r="H158" s="56"/>
      <c r="I158" s="57" t="str">
        <f aca="false">IF(G158="","",G158*H158)</f>
        <v/>
      </c>
      <c r="J158" s="55"/>
      <c r="K158" s="55"/>
      <c r="L158" s="57" t="str">
        <f aca="false">IF(OR(B158="",G158=""),"",G158-E158-F158-I158-J158-K158)</f>
        <v/>
      </c>
      <c r="M158" s="58" t="str">
        <f aca="false">IF(L158="","",IF(G158=0,0,L158/G158))</f>
        <v/>
      </c>
      <c r="N158" s="53"/>
      <c r="O158" s="59" t="str">
        <f aca="false">IF(M158="","",IF(M158&lt;0.15,"⚠ LOW MARGIN / MARGEN BAJO","✔ OK"))</f>
        <v/>
      </c>
      <c r="P158" s="52" t="n">
        <f aca="false">IF(Q158=1,L158+ROW()/1000000,-1000000000000000)</f>
        <v>-1000000000000000</v>
      </c>
      <c r="Q158" s="52" t="n">
        <f aca="false">IF(B158="",0,IF(G158="",0,IF(N158="Returned / Devuelto",0,1)))</f>
        <v>0</v>
      </c>
      <c r="R158" s="52" t="n">
        <f aca="false">IF(Q158=1,IF(ISNUMBER(D158),YEAR(D158)*100+MONTH(D158),0),0)</f>
        <v>0</v>
      </c>
      <c r="S158" s="52" t="n">
        <f aca="false">IF(Q158=1,IF(M158&lt;0.15,1,0),0)</f>
        <v>0</v>
      </c>
    </row>
    <row r="159" customFormat="false" ht="15" hidden="false" customHeight="false" outlineLevel="0" collapsed="false">
      <c r="B159" s="53"/>
      <c r="C159" s="53"/>
      <c r="D159" s="54"/>
      <c r="E159" s="55"/>
      <c r="F159" s="55"/>
      <c r="G159" s="55"/>
      <c r="H159" s="56"/>
      <c r="I159" s="57" t="str">
        <f aca="false">IF(G159="","",G159*H159)</f>
        <v/>
      </c>
      <c r="J159" s="55"/>
      <c r="K159" s="55"/>
      <c r="L159" s="57" t="str">
        <f aca="false">IF(OR(B159="",G159=""),"",G159-E159-F159-I159-J159-K159)</f>
        <v/>
      </c>
      <c r="M159" s="58" t="str">
        <f aca="false">IF(L159="","",IF(G159=0,0,L159/G159))</f>
        <v/>
      </c>
      <c r="N159" s="53"/>
      <c r="O159" s="59" t="str">
        <f aca="false">IF(M159="","",IF(M159&lt;0.15,"⚠ LOW MARGIN / MARGEN BAJO","✔ OK"))</f>
        <v/>
      </c>
      <c r="P159" s="52" t="n">
        <f aca="false">IF(Q159=1,L159+ROW()/1000000,-1000000000000000)</f>
        <v>-1000000000000000</v>
      </c>
      <c r="Q159" s="52" t="n">
        <f aca="false">IF(B159="",0,IF(G159="",0,IF(N159="Returned / Devuelto",0,1)))</f>
        <v>0</v>
      </c>
      <c r="R159" s="52" t="n">
        <f aca="false">IF(Q159=1,IF(ISNUMBER(D159),YEAR(D159)*100+MONTH(D159),0),0)</f>
        <v>0</v>
      </c>
      <c r="S159" s="52" t="n">
        <f aca="false">IF(Q159=1,IF(M159&lt;0.15,1,0),0)</f>
        <v>0</v>
      </c>
    </row>
    <row r="160" customFormat="false" ht="15" hidden="false" customHeight="false" outlineLevel="0" collapsed="false">
      <c r="B160" s="53"/>
      <c r="C160" s="53"/>
      <c r="D160" s="54"/>
      <c r="E160" s="55"/>
      <c r="F160" s="55"/>
      <c r="G160" s="55"/>
      <c r="H160" s="56"/>
      <c r="I160" s="57" t="str">
        <f aca="false">IF(G160="","",G160*H160)</f>
        <v/>
      </c>
      <c r="J160" s="55"/>
      <c r="K160" s="55"/>
      <c r="L160" s="57" t="str">
        <f aca="false">IF(OR(B160="",G160=""),"",G160-E160-F160-I160-J160-K160)</f>
        <v/>
      </c>
      <c r="M160" s="58" t="str">
        <f aca="false">IF(L160="","",IF(G160=0,0,L160/G160))</f>
        <v/>
      </c>
      <c r="N160" s="53"/>
      <c r="O160" s="59" t="str">
        <f aca="false">IF(M160="","",IF(M160&lt;0.15,"⚠ LOW MARGIN / MARGEN BAJO","✔ OK"))</f>
        <v/>
      </c>
      <c r="P160" s="52" t="n">
        <f aca="false">IF(Q160=1,L160+ROW()/1000000,-1000000000000000)</f>
        <v>-1000000000000000</v>
      </c>
      <c r="Q160" s="52" t="n">
        <f aca="false">IF(B160="",0,IF(G160="",0,IF(N160="Returned / Devuelto",0,1)))</f>
        <v>0</v>
      </c>
      <c r="R160" s="52" t="n">
        <f aca="false">IF(Q160=1,IF(ISNUMBER(D160),YEAR(D160)*100+MONTH(D160),0),0)</f>
        <v>0</v>
      </c>
      <c r="S160" s="52" t="n">
        <f aca="false">IF(Q160=1,IF(M160&lt;0.15,1,0),0)</f>
        <v>0</v>
      </c>
    </row>
    <row r="161" customFormat="false" ht="15" hidden="false" customHeight="false" outlineLevel="0" collapsed="false">
      <c r="B161" s="53"/>
      <c r="C161" s="53"/>
      <c r="D161" s="54"/>
      <c r="E161" s="55"/>
      <c r="F161" s="55"/>
      <c r="G161" s="55"/>
      <c r="H161" s="56"/>
      <c r="I161" s="57" t="str">
        <f aca="false">IF(G161="","",G161*H161)</f>
        <v/>
      </c>
      <c r="J161" s="55"/>
      <c r="K161" s="55"/>
      <c r="L161" s="57" t="str">
        <f aca="false">IF(OR(B161="",G161=""),"",G161-E161-F161-I161-J161-K161)</f>
        <v/>
      </c>
      <c r="M161" s="58" t="str">
        <f aca="false">IF(L161="","",IF(G161=0,0,L161/G161))</f>
        <v/>
      </c>
      <c r="N161" s="53"/>
      <c r="O161" s="59" t="str">
        <f aca="false">IF(M161="","",IF(M161&lt;0.15,"⚠ LOW MARGIN / MARGEN BAJO","✔ OK"))</f>
        <v/>
      </c>
      <c r="P161" s="52" t="n">
        <f aca="false">IF(Q161=1,L161+ROW()/1000000,-1000000000000000)</f>
        <v>-1000000000000000</v>
      </c>
      <c r="Q161" s="52" t="n">
        <f aca="false">IF(B161="",0,IF(G161="",0,IF(N161="Returned / Devuelto",0,1)))</f>
        <v>0</v>
      </c>
      <c r="R161" s="52" t="n">
        <f aca="false">IF(Q161=1,IF(ISNUMBER(D161),YEAR(D161)*100+MONTH(D161),0),0)</f>
        <v>0</v>
      </c>
      <c r="S161" s="52" t="n">
        <f aca="false">IF(Q161=1,IF(M161&lt;0.15,1,0),0)</f>
        <v>0</v>
      </c>
    </row>
    <row r="162" customFormat="false" ht="15" hidden="false" customHeight="false" outlineLevel="0" collapsed="false">
      <c r="B162" s="53"/>
      <c r="C162" s="53"/>
      <c r="D162" s="54"/>
      <c r="E162" s="55"/>
      <c r="F162" s="55"/>
      <c r="G162" s="55"/>
      <c r="H162" s="56"/>
      <c r="I162" s="57" t="str">
        <f aca="false">IF(G162="","",G162*H162)</f>
        <v/>
      </c>
      <c r="J162" s="55"/>
      <c r="K162" s="55"/>
      <c r="L162" s="57" t="str">
        <f aca="false">IF(OR(B162="",G162=""),"",G162-E162-F162-I162-J162-K162)</f>
        <v/>
      </c>
      <c r="M162" s="58" t="str">
        <f aca="false">IF(L162="","",IF(G162=0,0,L162/G162))</f>
        <v/>
      </c>
      <c r="N162" s="53"/>
      <c r="O162" s="59" t="str">
        <f aca="false">IF(M162="","",IF(M162&lt;0.15,"⚠ LOW MARGIN / MARGEN BAJO","✔ OK"))</f>
        <v/>
      </c>
      <c r="P162" s="52" t="n">
        <f aca="false">IF(Q162=1,L162+ROW()/1000000,-1000000000000000)</f>
        <v>-1000000000000000</v>
      </c>
      <c r="Q162" s="52" t="n">
        <f aca="false">IF(B162="",0,IF(G162="",0,IF(N162="Returned / Devuelto",0,1)))</f>
        <v>0</v>
      </c>
      <c r="R162" s="52" t="n">
        <f aca="false">IF(Q162=1,IF(ISNUMBER(D162),YEAR(D162)*100+MONTH(D162),0),0)</f>
        <v>0</v>
      </c>
      <c r="S162" s="52" t="n">
        <f aca="false">IF(Q162=1,IF(M162&lt;0.15,1,0),0)</f>
        <v>0</v>
      </c>
    </row>
    <row r="163" customFormat="false" ht="15" hidden="false" customHeight="false" outlineLevel="0" collapsed="false">
      <c r="B163" s="53"/>
      <c r="C163" s="53"/>
      <c r="D163" s="54"/>
      <c r="E163" s="55"/>
      <c r="F163" s="55"/>
      <c r="G163" s="55"/>
      <c r="H163" s="56"/>
      <c r="I163" s="57" t="str">
        <f aca="false">IF(G163="","",G163*H163)</f>
        <v/>
      </c>
      <c r="J163" s="55"/>
      <c r="K163" s="55"/>
      <c r="L163" s="57" t="str">
        <f aca="false">IF(OR(B163="",G163=""),"",G163-E163-F163-I163-J163-K163)</f>
        <v/>
      </c>
      <c r="M163" s="58" t="str">
        <f aca="false">IF(L163="","",IF(G163=0,0,L163/G163))</f>
        <v/>
      </c>
      <c r="N163" s="53"/>
      <c r="O163" s="59" t="str">
        <f aca="false">IF(M163="","",IF(M163&lt;0.15,"⚠ LOW MARGIN / MARGEN BAJO","✔ OK"))</f>
        <v/>
      </c>
      <c r="P163" s="52" t="n">
        <f aca="false">IF(Q163=1,L163+ROW()/1000000,-1000000000000000)</f>
        <v>-1000000000000000</v>
      </c>
      <c r="Q163" s="52" t="n">
        <f aca="false">IF(B163="",0,IF(G163="",0,IF(N163="Returned / Devuelto",0,1)))</f>
        <v>0</v>
      </c>
      <c r="R163" s="52" t="n">
        <f aca="false">IF(Q163=1,IF(ISNUMBER(D163),YEAR(D163)*100+MONTH(D163),0),0)</f>
        <v>0</v>
      </c>
      <c r="S163" s="52" t="n">
        <f aca="false">IF(Q163=1,IF(M163&lt;0.15,1,0),0)</f>
        <v>0</v>
      </c>
    </row>
    <row r="164" customFormat="false" ht="15" hidden="false" customHeight="false" outlineLevel="0" collapsed="false">
      <c r="B164" s="53"/>
      <c r="C164" s="53"/>
      <c r="D164" s="54"/>
      <c r="E164" s="55"/>
      <c r="F164" s="55"/>
      <c r="G164" s="55"/>
      <c r="H164" s="56"/>
      <c r="I164" s="57" t="str">
        <f aca="false">IF(G164="","",G164*H164)</f>
        <v/>
      </c>
      <c r="J164" s="55"/>
      <c r="K164" s="55"/>
      <c r="L164" s="57" t="str">
        <f aca="false">IF(OR(B164="",G164=""),"",G164-E164-F164-I164-J164-K164)</f>
        <v/>
      </c>
      <c r="M164" s="58" t="str">
        <f aca="false">IF(L164="","",IF(G164=0,0,L164/G164))</f>
        <v/>
      </c>
      <c r="N164" s="53"/>
      <c r="O164" s="59" t="str">
        <f aca="false">IF(M164="","",IF(M164&lt;0.15,"⚠ LOW MARGIN / MARGEN BAJO","✔ OK"))</f>
        <v/>
      </c>
      <c r="P164" s="52" t="n">
        <f aca="false">IF(Q164=1,L164+ROW()/1000000,-1000000000000000)</f>
        <v>-1000000000000000</v>
      </c>
      <c r="Q164" s="52" t="n">
        <f aca="false">IF(B164="",0,IF(G164="",0,IF(N164="Returned / Devuelto",0,1)))</f>
        <v>0</v>
      </c>
      <c r="R164" s="52" t="n">
        <f aca="false">IF(Q164=1,IF(ISNUMBER(D164),YEAR(D164)*100+MONTH(D164),0),0)</f>
        <v>0</v>
      </c>
      <c r="S164" s="52" t="n">
        <f aca="false">IF(Q164=1,IF(M164&lt;0.15,1,0),0)</f>
        <v>0</v>
      </c>
    </row>
    <row r="165" customFormat="false" ht="15" hidden="false" customHeight="false" outlineLevel="0" collapsed="false">
      <c r="B165" s="53"/>
      <c r="C165" s="53"/>
      <c r="D165" s="54"/>
      <c r="E165" s="55"/>
      <c r="F165" s="55"/>
      <c r="G165" s="55"/>
      <c r="H165" s="56"/>
      <c r="I165" s="57" t="str">
        <f aca="false">IF(G165="","",G165*H165)</f>
        <v/>
      </c>
      <c r="J165" s="55"/>
      <c r="K165" s="55"/>
      <c r="L165" s="57" t="str">
        <f aca="false">IF(OR(B165="",G165=""),"",G165-E165-F165-I165-J165-K165)</f>
        <v/>
      </c>
      <c r="M165" s="58" t="str">
        <f aca="false">IF(L165="","",IF(G165=0,0,L165/G165))</f>
        <v/>
      </c>
      <c r="N165" s="53"/>
      <c r="O165" s="59" t="str">
        <f aca="false">IF(M165="","",IF(M165&lt;0.15,"⚠ LOW MARGIN / MARGEN BAJO","✔ OK"))</f>
        <v/>
      </c>
      <c r="P165" s="52" t="n">
        <f aca="false">IF(Q165=1,L165+ROW()/1000000,-1000000000000000)</f>
        <v>-1000000000000000</v>
      </c>
      <c r="Q165" s="52" t="n">
        <f aca="false">IF(B165="",0,IF(G165="",0,IF(N165="Returned / Devuelto",0,1)))</f>
        <v>0</v>
      </c>
      <c r="R165" s="52" t="n">
        <f aca="false">IF(Q165=1,IF(ISNUMBER(D165),YEAR(D165)*100+MONTH(D165),0),0)</f>
        <v>0</v>
      </c>
      <c r="S165" s="52" t="n">
        <f aca="false">IF(Q165=1,IF(M165&lt;0.15,1,0),0)</f>
        <v>0</v>
      </c>
    </row>
    <row r="166" customFormat="false" ht="15" hidden="false" customHeight="false" outlineLevel="0" collapsed="false">
      <c r="B166" s="53"/>
      <c r="C166" s="53"/>
      <c r="D166" s="54"/>
      <c r="E166" s="55"/>
      <c r="F166" s="55"/>
      <c r="G166" s="55"/>
      <c r="H166" s="56"/>
      <c r="I166" s="57" t="str">
        <f aca="false">IF(G166="","",G166*H166)</f>
        <v/>
      </c>
      <c r="J166" s="55"/>
      <c r="K166" s="55"/>
      <c r="L166" s="57" t="str">
        <f aca="false">IF(OR(B166="",G166=""),"",G166-E166-F166-I166-J166-K166)</f>
        <v/>
      </c>
      <c r="M166" s="58" t="str">
        <f aca="false">IF(L166="","",IF(G166=0,0,L166/G166))</f>
        <v/>
      </c>
      <c r="N166" s="53"/>
      <c r="O166" s="59" t="str">
        <f aca="false">IF(M166="","",IF(M166&lt;0.15,"⚠ LOW MARGIN / MARGEN BAJO","✔ OK"))</f>
        <v/>
      </c>
      <c r="P166" s="52" t="n">
        <f aca="false">IF(Q166=1,L166+ROW()/1000000,-1000000000000000)</f>
        <v>-1000000000000000</v>
      </c>
      <c r="Q166" s="52" t="n">
        <f aca="false">IF(B166="",0,IF(G166="",0,IF(N166="Returned / Devuelto",0,1)))</f>
        <v>0</v>
      </c>
      <c r="R166" s="52" t="n">
        <f aca="false">IF(Q166=1,IF(ISNUMBER(D166),YEAR(D166)*100+MONTH(D166),0),0)</f>
        <v>0</v>
      </c>
      <c r="S166" s="52" t="n">
        <f aca="false">IF(Q166=1,IF(M166&lt;0.15,1,0),0)</f>
        <v>0</v>
      </c>
    </row>
    <row r="167" customFormat="false" ht="15" hidden="false" customHeight="false" outlineLevel="0" collapsed="false">
      <c r="B167" s="53"/>
      <c r="C167" s="53"/>
      <c r="D167" s="54"/>
      <c r="E167" s="55"/>
      <c r="F167" s="55"/>
      <c r="G167" s="55"/>
      <c r="H167" s="56"/>
      <c r="I167" s="57" t="str">
        <f aca="false">IF(G167="","",G167*H167)</f>
        <v/>
      </c>
      <c r="J167" s="55"/>
      <c r="K167" s="55"/>
      <c r="L167" s="57" t="str">
        <f aca="false">IF(OR(B167="",G167=""),"",G167-E167-F167-I167-J167-K167)</f>
        <v/>
      </c>
      <c r="M167" s="58" t="str">
        <f aca="false">IF(L167="","",IF(G167=0,0,L167/G167))</f>
        <v/>
      </c>
      <c r="N167" s="53"/>
      <c r="O167" s="59" t="str">
        <f aca="false">IF(M167="","",IF(M167&lt;0.15,"⚠ LOW MARGIN / MARGEN BAJO","✔ OK"))</f>
        <v/>
      </c>
      <c r="P167" s="52" t="n">
        <f aca="false">IF(Q167=1,L167+ROW()/1000000,-1000000000000000)</f>
        <v>-1000000000000000</v>
      </c>
      <c r="Q167" s="52" t="n">
        <f aca="false">IF(B167="",0,IF(G167="",0,IF(N167="Returned / Devuelto",0,1)))</f>
        <v>0</v>
      </c>
      <c r="R167" s="52" t="n">
        <f aca="false">IF(Q167=1,IF(ISNUMBER(D167),YEAR(D167)*100+MONTH(D167),0),0)</f>
        <v>0</v>
      </c>
      <c r="S167" s="52" t="n">
        <f aca="false">IF(Q167=1,IF(M167&lt;0.15,1,0),0)</f>
        <v>0</v>
      </c>
    </row>
    <row r="168" customFormat="false" ht="15" hidden="false" customHeight="false" outlineLevel="0" collapsed="false">
      <c r="B168" s="53"/>
      <c r="C168" s="53"/>
      <c r="D168" s="54"/>
      <c r="E168" s="55"/>
      <c r="F168" s="55"/>
      <c r="G168" s="55"/>
      <c r="H168" s="56"/>
      <c r="I168" s="57" t="str">
        <f aca="false">IF(G168="","",G168*H168)</f>
        <v/>
      </c>
      <c r="J168" s="55"/>
      <c r="K168" s="55"/>
      <c r="L168" s="57" t="str">
        <f aca="false">IF(OR(B168="",G168=""),"",G168-E168-F168-I168-J168-K168)</f>
        <v/>
      </c>
      <c r="M168" s="58" t="str">
        <f aca="false">IF(L168="","",IF(G168=0,0,L168/G168))</f>
        <v/>
      </c>
      <c r="N168" s="53"/>
      <c r="O168" s="59" t="str">
        <f aca="false">IF(M168="","",IF(M168&lt;0.15,"⚠ LOW MARGIN / MARGEN BAJO","✔ OK"))</f>
        <v/>
      </c>
      <c r="P168" s="52" t="n">
        <f aca="false">IF(Q168=1,L168+ROW()/1000000,-1000000000000000)</f>
        <v>-1000000000000000</v>
      </c>
      <c r="Q168" s="52" t="n">
        <f aca="false">IF(B168="",0,IF(G168="",0,IF(N168="Returned / Devuelto",0,1)))</f>
        <v>0</v>
      </c>
      <c r="R168" s="52" t="n">
        <f aca="false">IF(Q168=1,IF(ISNUMBER(D168),YEAR(D168)*100+MONTH(D168),0),0)</f>
        <v>0</v>
      </c>
      <c r="S168" s="52" t="n">
        <f aca="false">IF(Q168=1,IF(M168&lt;0.15,1,0),0)</f>
        <v>0</v>
      </c>
    </row>
    <row r="169" customFormat="false" ht="15" hidden="false" customHeight="false" outlineLevel="0" collapsed="false">
      <c r="B169" s="53"/>
      <c r="C169" s="53"/>
      <c r="D169" s="54"/>
      <c r="E169" s="55"/>
      <c r="F169" s="55"/>
      <c r="G169" s="55"/>
      <c r="H169" s="56"/>
      <c r="I169" s="57" t="str">
        <f aca="false">IF(G169="","",G169*H169)</f>
        <v/>
      </c>
      <c r="J169" s="55"/>
      <c r="K169" s="55"/>
      <c r="L169" s="57" t="str">
        <f aca="false">IF(OR(B169="",G169=""),"",G169-E169-F169-I169-J169-K169)</f>
        <v/>
      </c>
      <c r="M169" s="58" t="str">
        <f aca="false">IF(L169="","",IF(G169=0,0,L169/G169))</f>
        <v/>
      </c>
      <c r="N169" s="53"/>
      <c r="O169" s="59" t="str">
        <f aca="false">IF(M169="","",IF(M169&lt;0.15,"⚠ LOW MARGIN / MARGEN BAJO","✔ OK"))</f>
        <v/>
      </c>
      <c r="P169" s="52" t="n">
        <f aca="false">IF(Q169=1,L169+ROW()/1000000,-1000000000000000)</f>
        <v>-1000000000000000</v>
      </c>
      <c r="Q169" s="52" t="n">
        <f aca="false">IF(B169="",0,IF(G169="",0,IF(N169="Returned / Devuelto",0,1)))</f>
        <v>0</v>
      </c>
      <c r="R169" s="52" t="n">
        <f aca="false">IF(Q169=1,IF(ISNUMBER(D169),YEAR(D169)*100+MONTH(D169),0),0)</f>
        <v>0</v>
      </c>
      <c r="S169" s="52" t="n">
        <f aca="false">IF(Q169=1,IF(M169&lt;0.15,1,0),0)</f>
        <v>0</v>
      </c>
    </row>
    <row r="170" customFormat="false" ht="15" hidden="false" customHeight="false" outlineLevel="0" collapsed="false">
      <c r="B170" s="53"/>
      <c r="C170" s="53"/>
      <c r="D170" s="54"/>
      <c r="E170" s="55"/>
      <c r="F170" s="55"/>
      <c r="G170" s="55"/>
      <c r="H170" s="56"/>
      <c r="I170" s="57" t="str">
        <f aca="false">IF(G170="","",G170*H170)</f>
        <v/>
      </c>
      <c r="J170" s="55"/>
      <c r="K170" s="55"/>
      <c r="L170" s="57" t="str">
        <f aca="false">IF(OR(B170="",G170=""),"",G170-E170-F170-I170-J170-K170)</f>
        <v/>
      </c>
      <c r="M170" s="58" t="str">
        <f aca="false">IF(L170="","",IF(G170=0,0,L170/G170))</f>
        <v/>
      </c>
      <c r="N170" s="53"/>
      <c r="O170" s="59" t="str">
        <f aca="false">IF(M170="","",IF(M170&lt;0.15,"⚠ LOW MARGIN / MARGEN BAJO","✔ OK"))</f>
        <v/>
      </c>
      <c r="P170" s="52" t="n">
        <f aca="false">IF(Q170=1,L170+ROW()/1000000,-1000000000000000)</f>
        <v>-1000000000000000</v>
      </c>
      <c r="Q170" s="52" t="n">
        <f aca="false">IF(B170="",0,IF(G170="",0,IF(N170="Returned / Devuelto",0,1)))</f>
        <v>0</v>
      </c>
      <c r="R170" s="52" t="n">
        <f aca="false">IF(Q170=1,IF(ISNUMBER(D170),YEAR(D170)*100+MONTH(D170),0),0)</f>
        <v>0</v>
      </c>
      <c r="S170" s="52" t="n">
        <f aca="false">IF(Q170=1,IF(M170&lt;0.15,1,0),0)</f>
        <v>0</v>
      </c>
    </row>
    <row r="171" customFormat="false" ht="15" hidden="false" customHeight="false" outlineLevel="0" collapsed="false">
      <c r="B171" s="53"/>
      <c r="C171" s="53"/>
      <c r="D171" s="54"/>
      <c r="E171" s="55"/>
      <c r="F171" s="55"/>
      <c r="G171" s="55"/>
      <c r="H171" s="56"/>
      <c r="I171" s="57" t="str">
        <f aca="false">IF(G171="","",G171*H171)</f>
        <v/>
      </c>
      <c r="J171" s="55"/>
      <c r="K171" s="55"/>
      <c r="L171" s="57" t="str">
        <f aca="false">IF(OR(B171="",G171=""),"",G171-E171-F171-I171-J171-K171)</f>
        <v/>
      </c>
      <c r="M171" s="58" t="str">
        <f aca="false">IF(L171="","",IF(G171=0,0,L171/G171))</f>
        <v/>
      </c>
      <c r="N171" s="53"/>
      <c r="O171" s="59" t="str">
        <f aca="false">IF(M171="","",IF(M171&lt;0.15,"⚠ LOW MARGIN / MARGEN BAJO","✔ OK"))</f>
        <v/>
      </c>
      <c r="P171" s="52" t="n">
        <f aca="false">IF(Q171=1,L171+ROW()/1000000,-1000000000000000)</f>
        <v>-1000000000000000</v>
      </c>
      <c r="Q171" s="52" t="n">
        <f aca="false">IF(B171="",0,IF(G171="",0,IF(N171="Returned / Devuelto",0,1)))</f>
        <v>0</v>
      </c>
      <c r="R171" s="52" t="n">
        <f aca="false">IF(Q171=1,IF(ISNUMBER(D171),YEAR(D171)*100+MONTH(D171),0),0)</f>
        <v>0</v>
      </c>
      <c r="S171" s="52" t="n">
        <f aca="false">IF(Q171=1,IF(M171&lt;0.15,1,0),0)</f>
        <v>0</v>
      </c>
    </row>
    <row r="172" customFormat="false" ht="15" hidden="false" customHeight="false" outlineLevel="0" collapsed="false">
      <c r="B172" s="53"/>
      <c r="C172" s="53"/>
      <c r="D172" s="54"/>
      <c r="E172" s="55"/>
      <c r="F172" s="55"/>
      <c r="G172" s="55"/>
      <c r="H172" s="56"/>
      <c r="I172" s="57" t="str">
        <f aca="false">IF(G172="","",G172*H172)</f>
        <v/>
      </c>
      <c r="J172" s="55"/>
      <c r="K172" s="55"/>
      <c r="L172" s="57" t="str">
        <f aca="false">IF(OR(B172="",G172=""),"",G172-E172-F172-I172-J172-K172)</f>
        <v/>
      </c>
      <c r="M172" s="58" t="str">
        <f aca="false">IF(L172="","",IF(G172=0,0,L172/G172))</f>
        <v/>
      </c>
      <c r="N172" s="53"/>
      <c r="O172" s="59" t="str">
        <f aca="false">IF(M172="","",IF(M172&lt;0.15,"⚠ LOW MARGIN / MARGEN BAJO","✔ OK"))</f>
        <v/>
      </c>
      <c r="P172" s="52" t="n">
        <f aca="false">IF(Q172=1,L172+ROW()/1000000,-1000000000000000)</f>
        <v>-1000000000000000</v>
      </c>
      <c r="Q172" s="52" t="n">
        <f aca="false">IF(B172="",0,IF(G172="",0,IF(N172="Returned / Devuelto",0,1)))</f>
        <v>0</v>
      </c>
      <c r="R172" s="52" t="n">
        <f aca="false">IF(Q172=1,IF(ISNUMBER(D172),YEAR(D172)*100+MONTH(D172),0),0)</f>
        <v>0</v>
      </c>
      <c r="S172" s="52" t="n">
        <f aca="false">IF(Q172=1,IF(M172&lt;0.15,1,0),0)</f>
        <v>0</v>
      </c>
    </row>
    <row r="173" customFormat="false" ht="15" hidden="false" customHeight="false" outlineLevel="0" collapsed="false">
      <c r="B173" s="53"/>
      <c r="C173" s="53"/>
      <c r="D173" s="54"/>
      <c r="E173" s="55"/>
      <c r="F173" s="55"/>
      <c r="G173" s="55"/>
      <c r="H173" s="56"/>
      <c r="I173" s="57" t="str">
        <f aca="false">IF(G173="","",G173*H173)</f>
        <v/>
      </c>
      <c r="J173" s="55"/>
      <c r="K173" s="55"/>
      <c r="L173" s="57" t="str">
        <f aca="false">IF(OR(B173="",G173=""),"",G173-E173-F173-I173-J173-K173)</f>
        <v/>
      </c>
      <c r="M173" s="58" t="str">
        <f aca="false">IF(L173="","",IF(G173=0,0,L173/G173))</f>
        <v/>
      </c>
      <c r="N173" s="53"/>
      <c r="O173" s="59" t="str">
        <f aca="false">IF(M173="","",IF(M173&lt;0.15,"⚠ LOW MARGIN / MARGEN BAJO","✔ OK"))</f>
        <v/>
      </c>
      <c r="P173" s="52" t="n">
        <f aca="false">IF(Q173=1,L173+ROW()/1000000,-1000000000000000)</f>
        <v>-1000000000000000</v>
      </c>
      <c r="Q173" s="52" t="n">
        <f aca="false">IF(B173="",0,IF(G173="",0,IF(N173="Returned / Devuelto",0,1)))</f>
        <v>0</v>
      </c>
      <c r="R173" s="52" t="n">
        <f aca="false">IF(Q173=1,IF(ISNUMBER(D173),YEAR(D173)*100+MONTH(D173),0),0)</f>
        <v>0</v>
      </c>
      <c r="S173" s="52" t="n">
        <f aca="false">IF(Q173=1,IF(M173&lt;0.15,1,0),0)</f>
        <v>0</v>
      </c>
    </row>
    <row r="174" customFormat="false" ht="15" hidden="false" customHeight="false" outlineLevel="0" collapsed="false">
      <c r="B174" s="53"/>
      <c r="C174" s="53"/>
      <c r="D174" s="54"/>
      <c r="E174" s="55"/>
      <c r="F174" s="55"/>
      <c r="G174" s="55"/>
      <c r="H174" s="56"/>
      <c r="I174" s="57" t="str">
        <f aca="false">IF(G174="","",G174*H174)</f>
        <v/>
      </c>
      <c r="J174" s="55"/>
      <c r="K174" s="55"/>
      <c r="L174" s="57" t="str">
        <f aca="false">IF(OR(B174="",G174=""),"",G174-E174-F174-I174-J174-K174)</f>
        <v/>
      </c>
      <c r="M174" s="58" t="str">
        <f aca="false">IF(L174="","",IF(G174=0,0,L174/G174))</f>
        <v/>
      </c>
      <c r="N174" s="53"/>
      <c r="O174" s="59" t="str">
        <f aca="false">IF(M174="","",IF(M174&lt;0.15,"⚠ LOW MARGIN / MARGEN BAJO","✔ OK"))</f>
        <v/>
      </c>
      <c r="P174" s="52" t="n">
        <f aca="false">IF(Q174=1,L174+ROW()/1000000,-1000000000000000)</f>
        <v>-1000000000000000</v>
      </c>
      <c r="Q174" s="52" t="n">
        <f aca="false">IF(B174="",0,IF(G174="",0,IF(N174="Returned / Devuelto",0,1)))</f>
        <v>0</v>
      </c>
      <c r="R174" s="52" t="n">
        <f aca="false">IF(Q174=1,IF(ISNUMBER(D174),YEAR(D174)*100+MONTH(D174),0),0)</f>
        <v>0</v>
      </c>
      <c r="S174" s="52" t="n">
        <f aca="false">IF(Q174=1,IF(M174&lt;0.15,1,0),0)</f>
        <v>0</v>
      </c>
    </row>
    <row r="175" customFormat="false" ht="15" hidden="false" customHeight="false" outlineLevel="0" collapsed="false">
      <c r="B175" s="53"/>
      <c r="C175" s="53"/>
      <c r="D175" s="54"/>
      <c r="E175" s="55"/>
      <c r="F175" s="55"/>
      <c r="G175" s="55"/>
      <c r="H175" s="56"/>
      <c r="I175" s="57" t="str">
        <f aca="false">IF(G175="","",G175*H175)</f>
        <v/>
      </c>
      <c r="J175" s="55"/>
      <c r="K175" s="55"/>
      <c r="L175" s="57" t="str">
        <f aca="false">IF(OR(B175="",G175=""),"",G175-E175-F175-I175-J175-K175)</f>
        <v/>
      </c>
      <c r="M175" s="58" t="str">
        <f aca="false">IF(L175="","",IF(G175=0,0,L175/G175))</f>
        <v/>
      </c>
      <c r="N175" s="53"/>
      <c r="O175" s="59" t="str">
        <f aca="false">IF(M175="","",IF(M175&lt;0.15,"⚠ LOW MARGIN / MARGEN BAJO","✔ OK"))</f>
        <v/>
      </c>
      <c r="P175" s="52" t="n">
        <f aca="false">IF(Q175=1,L175+ROW()/1000000,-1000000000000000)</f>
        <v>-1000000000000000</v>
      </c>
      <c r="Q175" s="52" t="n">
        <f aca="false">IF(B175="",0,IF(G175="",0,IF(N175="Returned / Devuelto",0,1)))</f>
        <v>0</v>
      </c>
      <c r="R175" s="52" t="n">
        <f aca="false">IF(Q175=1,IF(ISNUMBER(D175),YEAR(D175)*100+MONTH(D175),0),0)</f>
        <v>0</v>
      </c>
      <c r="S175" s="52" t="n">
        <f aca="false">IF(Q175=1,IF(M175&lt;0.15,1,0),0)</f>
        <v>0</v>
      </c>
    </row>
    <row r="176" customFormat="false" ht="15" hidden="false" customHeight="false" outlineLevel="0" collapsed="false">
      <c r="B176" s="53"/>
      <c r="C176" s="53"/>
      <c r="D176" s="54"/>
      <c r="E176" s="55"/>
      <c r="F176" s="55"/>
      <c r="G176" s="55"/>
      <c r="H176" s="56"/>
      <c r="I176" s="57" t="str">
        <f aca="false">IF(G176="","",G176*H176)</f>
        <v/>
      </c>
      <c r="J176" s="55"/>
      <c r="K176" s="55"/>
      <c r="L176" s="57" t="str">
        <f aca="false">IF(OR(B176="",G176=""),"",G176-E176-F176-I176-J176-K176)</f>
        <v/>
      </c>
      <c r="M176" s="58" t="str">
        <f aca="false">IF(L176="","",IF(G176=0,0,L176/G176))</f>
        <v/>
      </c>
      <c r="N176" s="53"/>
      <c r="O176" s="59" t="str">
        <f aca="false">IF(M176="","",IF(M176&lt;0.15,"⚠ LOW MARGIN / MARGEN BAJO","✔ OK"))</f>
        <v/>
      </c>
      <c r="P176" s="52" t="n">
        <f aca="false">IF(Q176=1,L176+ROW()/1000000,-1000000000000000)</f>
        <v>-1000000000000000</v>
      </c>
      <c r="Q176" s="52" t="n">
        <f aca="false">IF(B176="",0,IF(G176="",0,IF(N176="Returned / Devuelto",0,1)))</f>
        <v>0</v>
      </c>
      <c r="R176" s="52" t="n">
        <f aca="false">IF(Q176=1,IF(ISNUMBER(D176),YEAR(D176)*100+MONTH(D176),0),0)</f>
        <v>0</v>
      </c>
      <c r="S176" s="52" t="n">
        <f aca="false">IF(Q176=1,IF(M176&lt;0.15,1,0),0)</f>
        <v>0</v>
      </c>
    </row>
    <row r="177" customFormat="false" ht="15" hidden="false" customHeight="false" outlineLevel="0" collapsed="false">
      <c r="B177" s="53"/>
      <c r="C177" s="53"/>
      <c r="D177" s="54"/>
      <c r="E177" s="55"/>
      <c r="F177" s="55"/>
      <c r="G177" s="55"/>
      <c r="H177" s="56"/>
      <c r="I177" s="57" t="str">
        <f aca="false">IF(G177="","",G177*H177)</f>
        <v/>
      </c>
      <c r="J177" s="55"/>
      <c r="K177" s="55"/>
      <c r="L177" s="57" t="str">
        <f aca="false">IF(OR(B177="",G177=""),"",G177-E177-F177-I177-J177-K177)</f>
        <v/>
      </c>
      <c r="M177" s="58" t="str">
        <f aca="false">IF(L177="","",IF(G177=0,0,L177/G177))</f>
        <v/>
      </c>
      <c r="N177" s="53"/>
      <c r="O177" s="59" t="str">
        <f aca="false">IF(M177="","",IF(M177&lt;0.15,"⚠ LOW MARGIN / MARGEN BAJO","✔ OK"))</f>
        <v/>
      </c>
      <c r="P177" s="52" t="n">
        <f aca="false">IF(Q177=1,L177+ROW()/1000000,-1000000000000000)</f>
        <v>-1000000000000000</v>
      </c>
      <c r="Q177" s="52" t="n">
        <f aca="false">IF(B177="",0,IF(G177="",0,IF(N177="Returned / Devuelto",0,1)))</f>
        <v>0</v>
      </c>
      <c r="R177" s="52" t="n">
        <f aca="false">IF(Q177=1,IF(ISNUMBER(D177),YEAR(D177)*100+MONTH(D177),0),0)</f>
        <v>0</v>
      </c>
      <c r="S177" s="52" t="n">
        <f aca="false">IF(Q177=1,IF(M177&lt;0.15,1,0),0)</f>
        <v>0</v>
      </c>
    </row>
    <row r="178" customFormat="false" ht="15" hidden="false" customHeight="false" outlineLevel="0" collapsed="false">
      <c r="B178" s="53"/>
      <c r="C178" s="53"/>
      <c r="D178" s="54"/>
      <c r="E178" s="55"/>
      <c r="F178" s="55"/>
      <c r="G178" s="55"/>
      <c r="H178" s="56"/>
      <c r="I178" s="57" t="str">
        <f aca="false">IF(G178="","",G178*H178)</f>
        <v/>
      </c>
      <c r="J178" s="55"/>
      <c r="K178" s="55"/>
      <c r="L178" s="57" t="str">
        <f aca="false">IF(OR(B178="",G178=""),"",G178-E178-F178-I178-J178-K178)</f>
        <v/>
      </c>
      <c r="M178" s="58" t="str">
        <f aca="false">IF(L178="","",IF(G178=0,0,L178/G178))</f>
        <v/>
      </c>
      <c r="N178" s="53"/>
      <c r="O178" s="59" t="str">
        <f aca="false">IF(M178="","",IF(M178&lt;0.15,"⚠ LOW MARGIN / MARGEN BAJO","✔ OK"))</f>
        <v/>
      </c>
      <c r="P178" s="52" t="n">
        <f aca="false">IF(Q178=1,L178+ROW()/1000000,-1000000000000000)</f>
        <v>-1000000000000000</v>
      </c>
      <c r="Q178" s="52" t="n">
        <f aca="false">IF(B178="",0,IF(G178="",0,IF(N178="Returned / Devuelto",0,1)))</f>
        <v>0</v>
      </c>
      <c r="R178" s="52" t="n">
        <f aca="false">IF(Q178=1,IF(ISNUMBER(D178),YEAR(D178)*100+MONTH(D178),0),0)</f>
        <v>0</v>
      </c>
      <c r="S178" s="52" t="n">
        <f aca="false">IF(Q178=1,IF(M178&lt;0.15,1,0),0)</f>
        <v>0</v>
      </c>
    </row>
    <row r="179" customFormat="false" ht="15" hidden="false" customHeight="false" outlineLevel="0" collapsed="false">
      <c r="B179" s="53"/>
      <c r="C179" s="53"/>
      <c r="D179" s="54"/>
      <c r="E179" s="55"/>
      <c r="F179" s="55"/>
      <c r="G179" s="55"/>
      <c r="H179" s="56"/>
      <c r="I179" s="57" t="str">
        <f aca="false">IF(G179="","",G179*H179)</f>
        <v/>
      </c>
      <c r="J179" s="55"/>
      <c r="K179" s="55"/>
      <c r="L179" s="57" t="str">
        <f aca="false">IF(OR(B179="",G179=""),"",G179-E179-F179-I179-J179-K179)</f>
        <v/>
      </c>
      <c r="M179" s="58" t="str">
        <f aca="false">IF(L179="","",IF(G179=0,0,L179/G179))</f>
        <v/>
      </c>
      <c r="N179" s="53"/>
      <c r="O179" s="59" t="str">
        <f aca="false">IF(M179="","",IF(M179&lt;0.15,"⚠ LOW MARGIN / MARGEN BAJO","✔ OK"))</f>
        <v/>
      </c>
      <c r="P179" s="52" t="n">
        <f aca="false">IF(Q179=1,L179+ROW()/1000000,-1000000000000000)</f>
        <v>-1000000000000000</v>
      </c>
      <c r="Q179" s="52" t="n">
        <f aca="false">IF(B179="",0,IF(G179="",0,IF(N179="Returned / Devuelto",0,1)))</f>
        <v>0</v>
      </c>
      <c r="R179" s="52" t="n">
        <f aca="false">IF(Q179=1,IF(ISNUMBER(D179),YEAR(D179)*100+MONTH(D179),0),0)</f>
        <v>0</v>
      </c>
      <c r="S179" s="52" t="n">
        <f aca="false">IF(Q179=1,IF(M179&lt;0.15,1,0),0)</f>
        <v>0</v>
      </c>
    </row>
    <row r="180" customFormat="false" ht="15" hidden="false" customHeight="false" outlineLevel="0" collapsed="false">
      <c r="B180" s="53"/>
      <c r="C180" s="53"/>
      <c r="D180" s="54"/>
      <c r="E180" s="55"/>
      <c r="F180" s="55"/>
      <c r="G180" s="55"/>
      <c r="H180" s="56"/>
      <c r="I180" s="57" t="str">
        <f aca="false">IF(G180="","",G180*H180)</f>
        <v/>
      </c>
      <c r="J180" s="55"/>
      <c r="K180" s="55"/>
      <c r="L180" s="57" t="str">
        <f aca="false">IF(OR(B180="",G180=""),"",G180-E180-F180-I180-J180-K180)</f>
        <v/>
      </c>
      <c r="M180" s="58" t="str">
        <f aca="false">IF(L180="","",IF(G180=0,0,L180/G180))</f>
        <v/>
      </c>
      <c r="N180" s="53"/>
      <c r="O180" s="59" t="str">
        <f aca="false">IF(M180="","",IF(M180&lt;0.15,"⚠ LOW MARGIN / MARGEN BAJO","✔ OK"))</f>
        <v/>
      </c>
      <c r="P180" s="52" t="n">
        <f aca="false">IF(Q180=1,L180+ROW()/1000000,-1000000000000000)</f>
        <v>-1000000000000000</v>
      </c>
      <c r="Q180" s="52" t="n">
        <f aca="false">IF(B180="",0,IF(G180="",0,IF(N180="Returned / Devuelto",0,1)))</f>
        <v>0</v>
      </c>
      <c r="R180" s="52" t="n">
        <f aca="false">IF(Q180=1,IF(ISNUMBER(D180),YEAR(D180)*100+MONTH(D180),0),0)</f>
        <v>0</v>
      </c>
      <c r="S180" s="52" t="n">
        <f aca="false">IF(Q180=1,IF(M180&lt;0.15,1,0),0)</f>
        <v>0</v>
      </c>
    </row>
    <row r="181" customFormat="false" ht="15" hidden="false" customHeight="false" outlineLevel="0" collapsed="false">
      <c r="B181" s="53"/>
      <c r="C181" s="53"/>
      <c r="D181" s="54"/>
      <c r="E181" s="55"/>
      <c r="F181" s="55"/>
      <c r="G181" s="55"/>
      <c r="H181" s="56"/>
      <c r="I181" s="57" t="str">
        <f aca="false">IF(G181="","",G181*H181)</f>
        <v/>
      </c>
      <c r="J181" s="55"/>
      <c r="K181" s="55"/>
      <c r="L181" s="57" t="str">
        <f aca="false">IF(OR(B181="",G181=""),"",G181-E181-F181-I181-J181-K181)</f>
        <v/>
      </c>
      <c r="M181" s="58" t="str">
        <f aca="false">IF(L181="","",IF(G181=0,0,L181/G181))</f>
        <v/>
      </c>
      <c r="N181" s="53"/>
      <c r="O181" s="59" t="str">
        <f aca="false">IF(M181="","",IF(M181&lt;0.15,"⚠ LOW MARGIN / MARGEN BAJO","✔ OK"))</f>
        <v/>
      </c>
      <c r="P181" s="52" t="n">
        <f aca="false">IF(Q181=1,L181+ROW()/1000000,-1000000000000000)</f>
        <v>-1000000000000000</v>
      </c>
      <c r="Q181" s="52" t="n">
        <f aca="false">IF(B181="",0,IF(G181="",0,IF(N181="Returned / Devuelto",0,1)))</f>
        <v>0</v>
      </c>
      <c r="R181" s="52" t="n">
        <f aca="false">IF(Q181=1,IF(ISNUMBER(D181),YEAR(D181)*100+MONTH(D181),0),0)</f>
        <v>0</v>
      </c>
      <c r="S181" s="52" t="n">
        <f aca="false">IF(Q181=1,IF(M181&lt;0.15,1,0),0)</f>
        <v>0</v>
      </c>
    </row>
    <row r="182" customFormat="false" ht="15" hidden="false" customHeight="false" outlineLevel="0" collapsed="false">
      <c r="B182" s="53"/>
      <c r="C182" s="53"/>
      <c r="D182" s="54"/>
      <c r="E182" s="55"/>
      <c r="F182" s="55"/>
      <c r="G182" s="55"/>
      <c r="H182" s="56"/>
      <c r="I182" s="57" t="str">
        <f aca="false">IF(G182="","",G182*H182)</f>
        <v/>
      </c>
      <c r="J182" s="55"/>
      <c r="K182" s="55"/>
      <c r="L182" s="57" t="str">
        <f aca="false">IF(OR(B182="",G182=""),"",G182-E182-F182-I182-J182-K182)</f>
        <v/>
      </c>
      <c r="M182" s="58" t="str">
        <f aca="false">IF(L182="","",IF(G182=0,0,L182/G182))</f>
        <v/>
      </c>
      <c r="N182" s="53"/>
      <c r="O182" s="59" t="str">
        <f aca="false">IF(M182="","",IF(M182&lt;0.15,"⚠ LOW MARGIN / MARGEN BAJO","✔ OK"))</f>
        <v/>
      </c>
      <c r="P182" s="52" t="n">
        <f aca="false">IF(Q182=1,L182+ROW()/1000000,-1000000000000000)</f>
        <v>-1000000000000000</v>
      </c>
      <c r="Q182" s="52" t="n">
        <f aca="false">IF(B182="",0,IF(G182="",0,IF(N182="Returned / Devuelto",0,1)))</f>
        <v>0</v>
      </c>
      <c r="R182" s="52" t="n">
        <f aca="false">IF(Q182=1,IF(ISNUMBER(D182),YEAR(D182)*100+MONTH(D182),0),0)</f>
        <v>0</v>
      </c>
      <c r="S182" s="52" t="n">
        <f aca="false">IF(Q182=1,IF(M182&lt;0.15,1,0),0)</f>
        <v>0</v>
      </c>
    </row>
    <row r="183" customFormat="false" ht="15" hidden="false" customHeight="false" outlineLevel="0" collapsed="false">
      <c r="B183" s="53"/>
      <c r="C183" s="53"/>
      <c r="D183" s="54"/>
      <c r="E183" s="55"/>
      <c r="F183" s="55"/>
      <c r="G183" s="55"/>
      <c r="H183" s="56"/>
      <c r="I183" s="57" t="str">
        <f aca="false">IF(G183="","",G183*H183)</f>
        <v/>
      </c>
      <c r="J183" s="55"/>
      <c r="K183" s="55"/>
      <c r="L183" s="57" t="str">
        <f aca="false">IF(OR(B183="",G183=""),"",G183-E183-F183-I183-J183-K183)</f>
        <v/>
      </c>
      <c r="M183" s="58" t="str">
        <f aca="false">IF(L183="","",IF(G183=0,0,L183/G183))</f>
        <v/>
      </c>
      <c r="N183" s="53"/>
      <c r="O183" s="59" t="str">
        <f aca="false">IF(M183="","",IF(M183&lt;0.15,"⚠ LOW MARGIN / MARGEN BAJO","✔ OK"))</f>
        <v/>
      </c>
      <c r="P183" s="52" t="n">
        <f aca="false">IF(Q183=1,L183+ROW()/1000000,-1000000000000000)</f>
        <v>-1000000000000000</v>
      </c>
      <c r="Q183" s="52" t="n">
        <f aca="false">IF(B183="",0,IF(G183="",0,IF(N183="Returned / Devuelto",0,1)))</f>
        <v>0</v>
      </c>
      <c r="R183" s="52" t="n">
        <f aca="false">IF(Q183=1,IF(ISNUMBER(D183),YEAR(D183)*100+MONTH(D183),0),0)</f>
        <v>0</v>
      </c>
      <c r="S183" s="52" t="n">
        <f aca="false">IF(Q183=1,IF(M183&lt;0.15,1,0),0)</f>
        <v>0</v>
      </c>
    </row>
    <row r="184" customFormat="false" ht="15" hidden="false" customHeight="false" outlineLevel="0" collapsed="false">
      <c r="B184" s="53"/>
      <c r="C184" s="53"/>
      <c r="D184" s="54"/>
      <c r="E184" s="55"/>
      <c r="F184" s="55"/>
      <c r="G184" s="55"/>
      <c r="H184" s="56"/>
      <c r="I184" s="57" t="str">
        <f aca="false">IF(G184="","",G184*H184)</f>
        <v/>
      </c>
      <c r="J184" s="55"/>
      <c r="K184" s="55"/>
      <c r="L184" s="57" t="str">
        <f aca="false">IF(OR(B184="",G184=""),"",G184-E184-F184-I184-J184-K184)</f>
        <v/>
      </c>
      <c r="M184" s="58" t="str">
        <f aca="false">IF(L184="","",IF(G184=0,0,L184/G184))</f>
        <v/>
      </c>
      <c r="N184" s="53"/>
      <c r="O184" s="59" t="str">
        <f aca="false">IF(M184="","",IF(M184&lt;0.15,"⚠ LOW MARGIN / MARGEN BAJO","✔ OK"))</f>
        <v/>
      </c>
      <c r="P184" s="52" t="n">
        <f aca="false">IF(Q184=1,L184+ROW()/1000000,-1000000000000000)</f>
        <v>-1000000000000000</v>
      </c>
      <c r="Q184" s="52" t="n">
        <f aca="false">IF(B184="",0,IF(G184="",0,IF(N184="Returned / Devuelto",0,1)))</f>
        <v>0</v>
      </c>
      <c r="R184" s="52" t="n">
        <f aca="false">IF(Q184=1,IF(ISNUMBER(D184),YEAR(D184)*100+MONTH(D184),0),0)</f>
        <v>0</v>
      </c>
      <c r="S184" s="52" t="n">
        <f aca="false">IF(Q184=1,IF(M184&lt;0.15,1,0),0)</f>
        <v>0</v>
      </c>
    </row>
    <row r="185" customFormat="false" ht="15" hidden="false" customHeight="false" outlineLevel="0" collapsed="false">
      <c r="B185" s="53"/>
      <c r="C185" s="53"/>
      <c r="D185" s="54"/>
      <c r="E185" s="55"/>
      <c r="F185" s="55"/>
      <c r="G185" s="55"/>
      <c r="H185" s="56"/>
      <c r="I185" s="57" t="str">
        <f aca="false">IF(G185="","",G185*H185)</f>
        <v/>
      </c>
      <c r="J185" s="55"/>
      <c r="K185" s="55"/>
      <c r="L185" s="57" t="str">
        <f aca="false">IF(OR(B185="",G185=""),"",G185-E185-F185-I185-J185-K185)</f>
        <v/>
      </c>
      <c r="M185" s="58" t="str">
        <f aca="false">IF(L185="","",IF(G185=0,0,L185/G185))</f>
        <v/>
      </c>
      <c r="N185" s="53"/>
      <c r="O185" s="59" t="str">
        <f aca="false">IF(M185="","",IF(M185&lt;0.15,"⚠ LOW MARGIN / MARGEN BAJO","✔ OK"))</f>
        <v/>
      </c>
      <c r="P185" s="52" t="n">
        <f aca="false">IF(Q185=1,L185+ROW()/1000000,-1000000000000000)</f>
        <v>-1000000000000000</v>
      </c>
      <c r="Q185" s="52" t="n">
        <f aca="false">IF(B185="",0,IF(G185="",0,IF(N185="Returned / Devuelto",0,1)))</f>
        <v>0</v>
      </c>
      <c r="R185" s="52" t="n">
        <f aca="false">IF(Q185=1,IF(ISNUMBER(D185),YEAR(D185)*100+MONTH(D185),0),0)</f>
        <v>0</v>
      </c>
      <c r="S185" s="52" t="n">
        <f aca="false">IF(Q185=1,IF(M185&lt;0.15,1,0),0)</f>
        <v>0</v>
      </c>
    </row>
    <row r="186" customFormat="false" ht="15" hidden="false" customHeight="false" outlineLevel="0" collapsed="false">
      <c r="B186" s="53"/>
      <c r="C186" s="53"/>
      <c r="D186" s="54"/>
      <c r="E186" s="55"/>
      <c r="F186" s="55"/>
      <c r="G186" s="55"/>
      <c r="H186" s="56"/>
      <c r="I186" s="57" t="str">
        <f aca="false">IF(G186="","",G186*H186)</f>
        <v/>
      </c>
      <c r="J186" s="55"/>
      <c r="K186" s="55"/>
      <c r="L186" s="57" t="str">
        <f aca="false">IF(OR(B186="",G186=""),"",G186-E186-F186-I186-J186-K186)</f>
        <v/>
      </c>
      <c r="M186" s="58" t="str">
        <f aca="false">IF(L186="","",IF(G186=0,0,L186/G186))</f>
        <v/>
      </c>
      <c r="N186" s="53"/>
      <c r="O186" s="59" t="str">
        <f aca="false">IF(M186="","",IF(M186&lt;0.15,"⚠ LOW MARGIN / MARGEN BAJO","✔ OK"))</f>
        <v/>
      </c>
      <c r="P186" s="52" t="n">
        <f aca="false">IF(Q186=1,L186+ROW()/1000000,-1000000000000000)</f>
        <v>-1000000000000000</v>
      </c>
      <c r="Q186" s="52" t="n">
        <f aca="false">IF(B186="",0,IF(G186="",0,IF(N186="Returned / Devuelto",0,1)))</f>
        <v>0</v>
      </c>
      <c r="R186" s="52" t="n">
        <f aca="false">IF(Q186=1,IF(ISNUMBER(D186),YEAR(D186)*100+MONTH(D186),0),0)</f>
        <v>0</v>
      </c>
      <c r="S186" s="52" t="n">
        <f aca="false">IF(Q186=1,IF(M186&lt;0.15,1,0),0)</f>
        <v>0</v>
      </c>
    </row>
    <row r="187" customFormat="false" ht="15" hidden="false" customHeight="false" outlineLevel="0" collapsed="false">
      <c r="B187" s="53"/>
      <c r="C187" s="53"/>
      <c r="D187" s="54"/>
      <c r="E187" s="55"/>
      <c r="F187" s="55"/>
      <c r="G187" s="55"/>
      <c r="H187" s="56"/>
      <c r="I187" s="57" t="str">
        <f aca="false">IF(G187="","",G187*H187)</f>
        <v/>
      </c>
      <c r="J187" s="55"/>
      <c r="K187" s="55"/>
      <c r="L187" s="57" t="str">
        <f aca="false">IF(OR(B187="",G187=""),"",G187-E187-F187-I187-J187-K187)</f>
        <v/>
      </c>
      <c r="M187" s="58" t="str">
        <f aca="false">IF(L187="","",IF(G187=0,0,L187/G187))</f>
        <v/>
      </c>
      <c r="N187" s="53"/>
      <c r="O187" s="59" t="str">
        <f aca="false">IF(M187="","",IF(M187&lt;0.15,"⚠ LOW MARGIN / MARGEN BAJO","✔ OK"))</f>
        <v/>
      </c>
      <c r="P187" s="52" t="n">
        <f aca="false">IF(Q187=1,L187+ROW()/1000000,-1000000000000000)</f>
        <v>-1000000000000000</v>
      </c>
      <c r="Q187" s="52" t="n">
        <f aca="false">IF(B187="",0,IF(G187="",0,IF(N187="Returned / Devuelto",0,1)))</f>
        <v>0</v>
      </c>
      <c r="R187" s="52" t="n">
        <f aca="false">IF(Q187=1,IF(ISNUMBER(D187),YEAR(D187)*100+MONTH(D187),0),0)</f>
        <v>0</v>
      </c>
      <c r="S187" s="52" t="n">
        <f aca="false">IF(Q187=1,IF(M187&lt;0.15,1,0),0)</f>
        <v>0</v>
      </c>
    </row>
    <row r="188" customFormat="false" ht="15" hidden="false" customHeight="false" outlineLevel="0" collapsed="false">
      <c r="B188" s="53"/>
      <c r="C188" s="53"/>
      <c r="D188" s="54"/>
      <c r="E188" s="55"/>
      <c r="F188" s="55"/>
      <c r="G188" s="55"/>
      <c r="H188" s="56"/>
      <c r="I188" s="57" t="str">
        <f aca="false">IF(G188="","",G188*H188)</f>
        <v/>
      </c>
      <c r="J188" s="55"/>
      <c r="K188" s="55"/>
      <c r="L188" s="57" t="str">
        <f aca="false">IF(OR(B188="",G188=""),"",G188-E188-F188-I188-J188-K188)</f>
        <v/>
      </c>
      <c r="M188" s="58" t="str">
        <f aca="false">IF(L188="","",IF(G188=0,0,L188/G188))</f>
        <v/>
      </c>
      <c r="N188" s="53"/>
      <c r="O188" s="59" t="str">
        <f aca="false">IF(M188="","",IF(M188&lt;0.15,"⚠ LOW MARGIN / MARGEN BAJO","✔ OK"))</f>
        <v/>
      </c>
      <c r="P188" s="52" t="n">
        <f aca="false">IF(Q188=1,L188+ROW()/1000000,-1000000000000000)</f>
        <v>-1000000000000000</v>
      </c>
      <c r="Q188" s="52" t="n">
        <f aca="false">IF(B188="",0,IF(G188="",0,IF(N188="Returned / Devuelto",0,1)))</f>
        <v>0</v>
      </c>
      <c r="R188" s="52" t="n">
        <f aca="false">IF(Q188=1,IF(ISNUMBER(D188),YEAR(D188)*100+MONTH(D188),0),0)</f>
        <v>0</v>
      </c>
      <c r="S188" s="52" t="n">
        <f aca="false">IF(Q188=1,IF(M188&lt;0.15,1,0),0)</f>
        <v>0</v>
      </c>
    </row>
    <row r="189" customFormat="false" ht="15" hidden="false" customHeight="false" outlineLevel="0" collapsed="false">
      <c r="B189" s="53"/>
      <c r="C189" s="53"/>
      <c r="D189" s="54"/>
      <c r="E189" s="55"/>
      <c r="F189" s="55"/>
      <c r="G189" s="55"/>
      <c r="H189" s="56"/>
      <c r="I189" s="57" t="str">
        <f aca="false">IF(G189="","",G189*H189)</f>
        <v/>
      </c>
      <c r="J189" s="55"/>
      <c r="K189" s="55"/>
      <c r="L189" s="57" t="str">
        <f aca="false">IF(OR(B189="",G189=""),"",G189-E189-F189-I189-J189-K189)</f>
        <v/>
      </c>
      <c r="M189" s="58" t="str">
        <f aca="false">IF(L189="","",IF(G189=0,0,L189/G189))</f>
        <v/>
      </c>
      <c r="N189" s="53"/>
      <c r="O189" s="59" t="str">
        <f aca="false">IF(M189="","",IF(M189&lt;0.15,"⚠ LOW MARGIN / MARGEN BAJO","✔ OK"))</f>
        <v/>
      </c>
      <c r="P189" s="52" t="n">
        <f aca="false">IF(Q189=1,L189+ROW()/1000000,-1000000000000000)</f>
        <v>-1000000000000000</v>
      </c>
      <c r="Q189" s="52" t="n">
        <f aca="false">IF(B189="",0,IF(G189="",0,IF(N189="Returned / Devuelto",0,1)))</f>
        <v>0</v>
      </c>
      <c r="R189" s="52" t="n">
        <f aca="false">IF(Q189=1,IF(ISNUMBER(D189),YEAR(D189)*100+MONTH(D189),0),0)</f>
        <v>0</v>
      </c>
      <c r="S189" s="52" t="n">
        <f aca="false">IF(Q189=1,IF(M189&lt;0.15,1,0),0)</f>
        <v>0</v>
      </c>
    </row>
    <row r="190" customFormat="false" ht="15" hidden="false" customHeight="false" outlineLevel="0" collapsed="false">
      <c r="B190" s="53"/>
      <c r="C190" s="53"/>
      <c r="D190" s="54"/>
      <c r="E190" s="55"/>
      <c r="F190" s="55"/>
      <c r="G190" s="55"/>
      <c r="H190" s="56"/>
      <c r="I190" s="57" t="str">
        <f aca="false">IF(G190="","",G190*H190)</f>
        <v/>
      </c>
      <c r="J190" s="55"/>
      <c r="K190" s="55"/>
      <c r="L190" s="57" t="str">
        <f aca="false">IF(OR(B190="",G190=""),"",G190-E190-F190-I190-J190-K190)</f>
        <v/>
      </c>
      <c r="M190" s="58" t="str">
        <f aca="false">IF(L190="","",IF(G190=0,0,L190/G190))</f>
        <v/>
      </c>
      <c r="N190" s="53"/>
      <c r="O190" s="59" t="str">
        <f aca="false">IF(M190="","",IF(M190&lt;0.15,"⚠ LOW MARGIN / MARGEN BAJO","✔ OK"))</f>
        <v/>
      </c>
      <c r="P190" s="52" t="n">
        <f aca="false">IF(Q190=1,L190+ROW()/1000000,-1000000000000000)</f>
        <v>-1000000000000000</v>
      </c>
      <c r="Q190" s="52" t="n">
        <f aca="false">IF(B190="",0,IF(G190="",0,IF(N190="Returned / Devuelto",0,1)))</f>
        <v>0</v>
      </c>
      <c r="R190" s="52" t="n">
        <f aca="false">IF(Q190=1,IF(ISNUMBER(D190),YEAR(D190)*100+MONTH(D190),0),0)</f>
        <v>0</v>
      </c>
      <c r="S190" s="52" t="n">
        <f aca="false">IF(Q190=1,IF(M190&lt;0.15,1,0),0)</f>
        <v>0</v>
      </c>
    </row>
    <row r="191" customFormat="false" ht="15" hidden="false" customHeight="false" outlineLevel="0" collapsed="false">
      <c r="B191" s="53"/>
      <c r="C191" s="53"/>
      <c r="D191" s="54"/>
      <c r="E191" s="55"/>
      <c r="F191" s="55"/>
      <c r="G191" s="55"/>
      <c r="H191" s="56"/>
      <c r="I191" s="57" t="str">
        <f aca="false">IF(G191="","",G191*H191)</f>
        <v/>
      </c>
      <c r="J191" s="55"/>
      <c r="K191" s="55"/>
      <c r="L191" s="57" t="str">
        <f aca="false">IF(OR(B191="",G191=""),"",G191-E191-F191-I191-J191-K191)</f>
        <v/>
      </c>
      <c r="M191" s="58" t="str">
        <f aca="false">IF(L191="","",IF(G191=0,0,L191/G191))</f>
        <v/>
      </c>
      <c r="N191" s="53"/>
      <c r="O191" s="59" t="str">
        <f aca="false">IF(M191="","",IF(M191&lt;0.15,"⚠ LOW MARGIN / MARGEN BAJO","✔ OK"))</f>
        <v/>
      </c>
      <c r="P191" s="52" t="n">
        <f aca="false">IF(Q191=1,L191+ROW()/1000000,-1000000000000000)</f>
        <v>-1000000000000000</v>
      </c>
      <c r="Q191" s="52" t="n">
        <f aca="false">IF(B191="",0,IF(G191="",0,IF(N191="Returned / Devuelto",0,1)))</f>
        <v>0</v>
      </c>
      <c r="R191" s="52" t="n">
        <f aca="false">IF(Q191=1,IF(ISNUMBER(D191),YEAR(D191)*100+MONTH(D191),0),0)</f>
        <v>0</v>
      </c>
      <c r="S191" s="52" t="n">
        <f aca="false">IF(Q191=1,IF(M191&lt;0.15,1,0),0)</f>
        <v>0</v>
      </c>
    </row>
    <row r="192" customFormat="false" ht="15" hidden="false" customHeight="false" outlineLevel="0" collapsed="false">
      <c r="B192" s="53"/>
      <c r="C192" s="53"/>
      <c r="D192" s="54"/>
      <c r="E192" s="55"/>
      <c r="F192" s="55"/>
      <c r="G192" s="55"/>
      <c r="H192" s="56"/>
      <c r="I192" s="57" t="str">
        <f aca="false">IF(G192="","",G192*H192)</f>
        <v/>
      </c>
      <c r="J192" s="55"/>
      <c r="K192" s="55"/>
      <c r="L192" s="57" t="str">
        <f aca="false">IF(OR(B192="",G192=""),"",G192-E192-F192-I192-J192-K192)</f>
        <v/>
      </c>
      <c r="M192" s="58" t="str">
        <f aca="false">IF(L192="","",IF(G192=0,0,L192/G192))</f>
        <v/>
      </c>
      <c r="N192" s="53"/>
      <c r="O192" s="59" t="str">
        <f aca="false">IF(M192="","",IF(M192&lt;0.15,"⚠ LOW MARGIN / MARGEN BAJO","✔ OK"))</f>
        <v/>
      </c>
      <c r="P192" s="52" t="n">
        <f aca="false">IF(Q192=1,L192+ROW()/1000000,-1000000000000000)</f>
        <v>-1000000000000000</v>
      </c>
      <c r="Q192" s="52" t="n">
        <f aca="false">IF(B192="",0,IF(G192="",0,IF(N192="Returned / Devuelto",0,1)))</f>
        <v>0</v>
      </c>
      <c r="R192" s="52" t="n">
        <f aca="false">IF(Q192=1,IF(ISNUMBER(D192),YEAR(D192)*100+MONTH(D192),0),0)</f>
        <v>0</v>
      </c>
      <c r="S192" s="52" t="n">
        <f aca="false">IF(Q192=1,IF(M192&lt;0.15,1,0),0)</f>
        <v>0</v>
      </c>
    </row>
    <row r="193" customFormat="false" ht="15" hidden="false" customHeight="false" outlineLevel="0" collapsed="false">
      <c r="B193" s="53"/>
      <c r="C193" s="53"/>
      <c r="D193" s="54"/>
      <c r="E193" s="55"/>
      <c r="F193" s="55"/>
      <c r="G193" s="55"/>
      <c r="H193" s="56"/>
      <c r="I193" s="57" t="str">
        <f aca="false">IF(G193="","",G193*H193)</f>
        <v/>
      </c>
      <c r="J193" s="55"/>
      <c r="K193" s="55"/>
      <c r="L193" s="57" t="str">
        <f aca="false">IF(OR(B193="",G193=""),"",G193-E193-F193-I193-J193-K193)</f>
        <v/>
      </c>
      <c r="M193" s="58" t="str">
        <f aca="false">IF(L193="","",IF(G193=0,0,L193/G193))</f>
        <v/>
      </c>
      <c r="N193" s="53"/>
      <c r="O193" s="59" t="str">
        <f aca="false">IF(M193="","",IF(M193&lt;0.15,"⚠ LOW MARGIN / MARGEN BAJO","✔ OK"))</f>
        <v/>
      </c>
      <c r="P193" s="52" t="n">
        <f aca="false">IF(Q193=1,L193+ROW()/1000000,-1000000000000000)</f>
        <v>-1000000000000000</v>
      </c>
      <c r="Q193" s="52" t="n">
        <f aca="false">IF(B193="",0,IF(G193="",0,IF(N193="Returned / Devuelto",0,1)))</f>
        <v>0</v>
      </c>
      <c r="R193" s="52" t="n">
        <f aca="false">IF(Q193=1,IF(ISNUMBER(D193),YEAR(D193)*100+MONTH(D193),0),0)</f>
        <v>0</v>
      </c>
      <c r="S193" s="52" t="n">
        <f aca="false">IF(Q193=1,IF(M193&lt;0.15,1,0),0)</f>
        <v>0</v>
      </c>
    </row>
    <row r="194" customFormat="false" ht="15" hidden="false" customHeight="false" outlineLevel="0" collapsed="false">
      <c r="B194" s="53"/>
      <c r="C194" s="53"/>
      <c r="D194" s="54"/>
      <c r="E194" s="55"/>
      <c r="F194" s="55"/>
      <c r="G194" s="55"/>
      <c r="H194" s="56"/>
      <c r="I194" s="57" t="str">
        <f aca="false">IF(G194="","",G194*H194)</f>
        <v/>
      </c>
      <c r="J194" s="55"/>
      <c r="K194" s="55"/>
      <c r="L194" s="57" t="str">
        <f aca="false">IF(OR(B194="",G194=""),"",G194-E194-F194-I194-J194-K194)</f>
        <v/>
      </c>
      <c r="M194" s="58" t="str">
        <f aca="false">IF(L194="","",IF(G194=0,0,L194/G194))</f>
        <v/>
      </c>
      <c r="N194" s="53"/>
      <c r="O194" s="59" t="str">
        <f aca="false">IF(M194="","",IF(M194&lt;0.15,"⚠ LOW MARGIN / MARGEN BAJO","✔ OK"))</f>
        <v/>
      </c>
      <c r="P194" s="52" t="n">
        <f aca="false">IF(Q194=1,L194+ROW()/1000000,-1000000000000000)</f>
        <v>-1000000000000000</v>
      </c>
      <c r="Q194" s="52" t="n">
        <f aca="false">IF(B194="",0,IF(G194="",0,IF(N194="Returned / Devuelto",0,1)))</f>
        <v>0</v>
      </c>
      <c r="R194" s="52" t="n">
        <f aca="false">IF(Q194=1,IF(ISNUMBER(D194),YEAR(D194)*100+MONTH(D194),0),0)</f>
        <v>0</v>
      </c>
      <c r="S194" s="52" t="n">
        <f aca="false">IF(Q194=1,IF(M194&lt;0.15,1,0),0)</f>
        <v>0</v>
      </c>
    </row>
    <row r="195" customFormat="false" ht="15" hidden="false" customHeight="false" outlineLevel="0" collapsed="false">
      <c r="B195" s="53"/>
      <c r="C195" s="53"/>
      <c r="D195" s="54"/>
      <c r="E195" s="55"/>
      <c r="F195" s="55"/>
      <c r="G195" s="55"/>
      <c r="H195" s="56"/>
      <c r="I195" s="57" t="str">
        <f aca="false">IF(G195="","",G195*H195)</f>
        <v/>
      </c>
      <c r="J195" s="55"/>
      <c r="K195" s="55"/>
      <c r="L195" s="57" t="str">
        <f aca="false">IF(OR(B195="",G195=""),"",G195-E195-F195-I195-J195-K195)</f>
        <v/>
      </c>
      <c r="M195" s="58" t="str">
        <f aca="false">IF(L195="","",IF(G195=0,0,L195/G195))</f>
        <v/>
      </c>
      <c r="N195" s="53"/>
      <c r="O195" s="59" t="str">
        <f aca="false">IF(M195="","",IF(M195&lt;0.15,"⚠ LOW MARGIN / MARGEN BAJO","✔ OK"))</f>
        <v/>
      </c>
      <c r="P195" s="52" t="n">
        <f aca="false">IF(Q195=1,L195+ROW()/1000000,-1000000000000000)</f>
        <v>-1000000000000000</v>
      </c>
      <c r="Q195" s="52" t="n">
        <f aca="false">IF(B195="",0,IF(G195="",0,IF(N195="Returned / Devuelto",0,1)))</f>
        <v>0</v>
      </c>
      <c r="R195" s="52" t="n">
        <f aca="false">IF(Q195=1,IF(ISNUMBER(D195),YEAR(D195)*100+MONTH(D195),0),0)</f>
        <v>0</v>
      </c>
      <c r="S195" s="52" t="n">
        <f aca="false">IF(Q195=1,IF(M195&lt;0.15,1,0),0)</f>
        <v>0</v>
      </c>
    </row>
    <row r="196" customFormat="false" ht="15" hidden="false" customHeight="false" outlineLevel="0" collapsed="false">
      <c r="B196" s="53"/>
      <c r="C196" s="53"/>
      <c r="D196" s="54"/>
      <c r="E196" s="55"/>
      <c r="F196" s="55"/>
      <c r="G196" s="55"/>
      <c r="H196" s="56"/>
      <c r="I196" s="57" t="str">
        <f aca="false">IF(G196="","",G196*H196)</f>
        <v/>
      </c>
      <c r="J196" s="55"/>
      <c r="K196" s="55"/>
      <c r="L196" s="57" t="str">
        <f aca="false">IF(OR(B196="",G196=""),"",G196-E196-F196-I196-J196-K196)</f>
        <v/>
      </c>
      <c r="M196" s="58" t="str">
        <f aca="false">IF(L196="","",IF(G196=0,0,L196/G196))</f>
        <v/>
      </c>
      <c r="N196" s="53"/>
      <c r="O196" s="59" t="str">
        <f aca="false">IF(M196="","",IF(M196&lt;0.15,"⚠ LOW MARGIN / MARGEN BAJO","✔ OK"))</f>
        <v/>
      </c>
      <c r="P196" s="52" t="n">
        <f aca="false">IF(Q196=1,L196+ROW()/1000000,-1000000000000000)</f>
        <v>-1000000000000000</v>
      </c>
      <c r="Q196" s="52" t="n">
        <f aca="false">IF(B196="",0,IF(G196="",0,IF(N196="Returned / Devuelto",0,1)))</f>
        <v>0</v>
      </c>
      <c r="R196" s="52" t="n">
        <f aca="false">IF(Q196=1,IF(ISNUMBER(D196),YEAR(D196)*100+MONTH(D196),0),0)</f>
        <v>0</v>
      </c>
      <c r="S196" s="52" t="n">
        <f aca="false">IF(Q196=1,IF(M196&lt;0.15,1,0),0)</f>
        <v>0</v>
      </c>
    </row>
    <row r="197" customFormat="false" ht="15" hidden="false" customHeight="false" outlineLevel="0" collapsed="false">
      <c r="B197" s="53"/>
      <c r="C197" s="53"/>
      <c r="D197" s="54"/>
      <c r="E197" s="55"/>
      <c r="F197" s="55"/>
      <c r="G197" s="55"/>
      <c r="H197" s="56"/>
      <c r="I197" s="57" t="str">
        <f aca="false">IF(G197="","",G197*H197)</f>
        <v/>
      </c>
      <c r="J197" s="55"/>
      <c r="K197" s="55"/>
      <c r="L197" s="57" t="str">
        <f aca="false">IF(OR(B197="",G197=""),"",G197-E197-F197-I197-J197-K197)</f>
        <v/>
      </c>
      <c r="M197" s="58" t="str">
        <f aca="false">IF(L197="","",IF(G197=0,0,L197/G197))</f>
        <v/>
      </c>
      <c r="N197" s="53"/>
      <c r="O197" s="59" t="str">
        <f aca="false">IF(M197="","",IF(M197&lt;0.15,"⚠ LOW MARGIN / MARGEN BAJO","✔ OK"))</f>
        <v/>
      </c>
      <c r="P197" s="52" t="n">
        <f aca="false">IF(Q197=1,L197+ROW()/1000000,-1000000000000000)</f>
        <v>-1000000000000000</v>
      </c>
      <c r="Q197" s="52" t="n">
        <f aca="false">IF(B197="",0,IF(G197="",0,IF(N197="Returned / Devuelto",0,1)))</f>
        <v>0</v>
      </c>
      <c r="R197" s="52" t="n">
        <f aca="false">IF(Q197=1,IF(ISNUMBER(D197),YEAR(D197)*100+MONTH(D197),0),0)</f>
        <v>0</v>
      </c>
      <c r="S197" s="52" t="n">
        <f aca="false">IF(Q197=1,IF(M197&lt;0.15,1,0),0)</f>
        <v>0</v>
      </c>
    </row>
    <row r="198" customFormat="false" ht="15" hidden="false" customHeight="false" outlineLevel="0" collapsed="false">
      <c r="B198" s="53"/>
      <c r="C198" s="53"/>
      <c r="D198" s="54"/>
      <c r="E198" s="55"/>
      <c r="F198" s="55"/>
      <c r="G198" s="55"/>
      <c r="H198" s="56"/>
      <c r="I198" s="57" t="str">
        <f aca="false">IF(G198="","",G198*H198)</f>
        <v/>
      </c>
      <c r="J198" s="55"/>
      <c r="K198" s="55"/>
      <c r="L198" s="57" t="str">
        <f aca="false">IF(OR(B198="",G198=""),"",G198-E198-F198-I198-J198-K198)</f>
        <v/>
      </c>
      <c r="M198" s="58" t="str">
        <f aca="false">IF(L198="","",IF(G198=0,0,L198/G198))</f>
        <v/>
      </c>
      <c r="N198" s="53"/>
      <c r="O198" s="59" t="str">
        <f aca="false">IF(M198="","",IF(M198&lt;0.15,"⚠ LOW MARGIN / MARGEN BAJO","✔ OK"))</f>
        <v/>
      </c>
      <c r="P198" s="52" t="n">
        <f aca="false">IF(Q198=1,L198+ROW()/1000000,-1000000000000000)</f>
        <v>-1000000000000000</v>
      </c>
      <c r="Q198" s="52" t="n">
        <f aca="false">IF(B198="",0,IF(G198="",0,IF(N198="Returned / Devuelto",0,1)))</f>
        <v>0</v>
      </c>
      <c r="R198" s="52" t="n">
        <f aca="false">IF(Q198=1,IF(ISNUMBER(D198),YEAR(D198)*100+MONTH(D198),0),0)</f>
        <v>0</v>
      </c>
      <c r="S198" s="52" t="n">
        <f aca="false">IF(Q198=1,IF(M198&lt;0.15,1,0),0)</f>
        <v>0</v>
      </c>
    </row>
    <row r="199" customFormat="false" ht="15" hidden="false" customHeight="false" outlineLevel="0" collapsed="false">
      <c r="B199" s="53"/>
      <c r="C199" s="53"/>
      <c r="D199" s="54"/>
      <c r="E199" s="55"/>
      <c r="F199" s="55"/>
      <c r="G199" s="55"/>
      <c r="H199" s="56"/>
      <c r="I199" s="57" t="str">
        <f aca="false">IF(G199="","",G199*H199)</f>
        <v/>
      </c>
      <c r="J199" s="55"/>
      <c r="K199" s="55"/>
      <c r="L199" s="57" t="str">
        <f aca="false">IF(OR(B199="",G199=""),"",G199-E199-F199-I199-J199-K199)</f>
        <v/>
      </c>
      <c r="M199" s="58" t="str">
        <f aca="false">IF(L199="","",IF(G199=0,0,L199/G199))</f>
        <v/>
      </c>
      <c r="N199" s="53"/>
      <c r="O199" s="59" t="str">
        <f aca="false">IF(M199="","",IF(M199&lt;0.15,"⚠ LOW MARGIN / MARGEN BAJO","✔ OK"))</f>
        <v/>
      </c>
      <c r="P199" s="52" t="n">
        <f aca="false">IF(Q199=1,L199+ROW()/1000000,-1000000000000000)</f>
        <v>-1000000000000000</v>
      </c>
      <c r="Q199" s="52" t="n">
        <f aca="false">IF(B199="",0,IF(G199="",0,IF(N199="Returned / Devuelto",0,1)))</f>
        <v>0</v>
      </c>
      <c r="R199" s="52" t="n">
        <f aca="false">IF(Q199=1,IF(ISNUMBER(D199),YEAR(D199)*100+MONTH(D199),0),0)</f>
        <v>0</v>
      </c>
      <c r="S199" s="52" t="n">
        <f aca="false">IF(Q199=1,IF(M199&lt;0.15,1,0),0)</f>
        <v>0</v>
      </c>
    </row>
    <row r="200" customFormat="false" ht="15" hidden="false" customHeight="false" outlineLevel="0" collapsed="false">
      <c r="B200" s="53"/>
      <c r="C200" s="53"/>
      <c r="D200" s="54"/>
      <c r="E200" s="55"/>
      <c r="F200" s="55"/>
      <c r="G200" s="55"/>
      <c r="H200" s="56"/>
      <c r="I200" s="57" t="str">
        <f aca="false">IF(G200="","",G200*H200)</f>
        <v/>
      </c>
      <c r="J200" s="55"/>
      <c r="K200" s="55"/>
      <c r="L200" s="57" t="str">
        <f aca="false">IF(OR(B200="",G200=""),"",G200-E200-F200-I200-J200-K200)</f>
        <v/>
      </c>
      <c r="M200" s="58" t="str">
        <f aca="false">IF(L200="","",IF(G200=0,0,L200/G200))</f>
        <v/>
      </c>
      <c r="N200" s="53"/>
      <c r="O200" s="59" t="str">
        <f aca="false">IF(M200="","",IF(M200&lt;0.15,"⚠ LOW MARGIN / MARGEN BAJO","✔ OK"))</f>
        <v/>
      </c>
      <c r="P200" s="52" t="n">
        <f aca="false">IF(Q200=1,L200+ROW()/1000000,-1000000000000000)</f>
        <v>-1000000000000000</v>
      </c>
      <c r="Q200" s="52" t="n">
        <f aca="false">IF(B200="",0,IF(G200="",0,IF(N200="Returned / Devuelto",0,1)))</f>
        <v>0</v>
      </c>
      <c r="R200" s="52" t="n">
        <f aca="false">IF(Q200=1,IF(ISNUMBER(D200),YEAR(D200)*100+MONTH(D200),0),0)</f>
        <v>0</v>
      </c>
      <c r="S200" s="52" t="n">
        <f aca="false">IF(Q200=1,IF(M200&lt;0.15,1,0),0)</f>
        <v>0</v>
      </c>
    </row>
    <row r="201" customFormat="false" ht="15" hidden="false" customHeight="false" outlineLevel="0" collapsed="false">
      <c r="B201" s="53"/>
      <c r="C201" s="53"/>
      <c r="D201" s="54"/>
      <c r="E201" s="55"/>
      <c r="F201" s="55"/>
      <c r="G201" s="55"/>
      <c r="H201" s="56"/>
      <c r="I201" s="57" t="str">
        <f aca="false">IF(G201="","",G201*H201)</f>
        <v/>
      </c>
      <c r="J201" s="55"/>
      <c r="K201" s="55"/>
      <c r="L201" s="57" t="str">
        <f aca="false">IF(OR(B201="",G201=""),"",G201-E201-F201-I201-J201-K201)</f>
        <v/>
      </c>
      <c r="M201" s="58" t="str">
        <f aca="false">IF(L201="","",IF(G201=0,0,L201/G201))</f>
        <v/>
      </c>
      <c r="N201" s="53"/>
      <c r="O201" s="59" t="str">
        <f aca="false">IF(M201="","",IF(M201&lt;0.15,"⚠ LOW MARGIN / MARGEN BAJO","✔ OK"))</f>
        <v/>
      </c>
      <c r="P201" s="52" t="n">
        <f aca="false">IF(Q201=1,L201+ROW()/1000000,-1000000000000000)</f>
        <v>-1000000000000000</v>
      </c>
      <c r="Q201" s="52" t="n">
        <f aca="false">IF(B201="",0,IF(G201="",0,IF(N201="Returned / Devuelto",0,1)))</f>
        <v>0</v>
      </c>
      <c r="R201" s="52" t="n">
        <f aca="false">IF(Q201=1,IF(ISNUMBER(D201),YEAR(D201)*100+MONTH(D201),0),0)</f>
        <v>0</v>
      </c>
      <c r="S201" s="52" t="n">
        <f aca="false">IF(Q201=1,IF(M201&lt;0.15,1,0),0)</f>
        <v>0</v>
      </c>
    </row>
    <row r="202" customFormat="false" ht="15" hidden="false" customHeight="false" outlineLevel="0" collapsed="false">
      <c r="B202" s="53"/>
      <c r="C202" s="53"/>
      <c r="D202" s="54"/>
      <c r="E202" s="55"/>
      <c r="F202" s="55"/>
      <c r="G202" s="55"/>
      <c r="H202" s="56"/>
      <c r="I202" s="57" t="str">
        <f aca="false">IF(G202="","",G202*H202)</f>
        <v/>
      </c>
      <c r="J202" s="55"/>
      <c r="K202" s="55"/>
      <c r="L202" s="57" t="str">
        <f aca="false">IF(OR(B202="",G202=""),"",G202-E202-F202-I202-J202-K202)</f>
        <v/>
      </c>
      <c r="M202" s="58" t="str">
        <f aca="false">IF(L202="","",IF(G202=0,0,L202/G202))</f>
        <v/>
      </c>
      <c r="N202" s="53"/>
      <c r="O202" s="59" t="str">
        <f aca="false">IF(M202="","",IF(M202&lt;0.15,"⚠ LOW MARGIN / MARGEN BAJO","✔ OK"))</f>
        <v/>
      </c>
      <c r="P202" s="52" t="n">
        <f aca="false">IF(Q202=1,L202+ROW()/1000000,-1000000000000000)</f>
        <v>-1000000000000000</v>
      </c>
      <c r="Q202" s="52" t="n">
        <f aca="false">IF(B202="",0,IF(G202="",0,IF(N202="Returned / Devuelto",0,1)))</f>
        <v>0</v>
      </c>
      <c r="R202" s="52" t="n">
        <f aca="false">IF(Q202=1,IF(ISNUMBER(D202),YEAR(D202)*100+MONTH(D202),0),0)</f>
        <v>0</v>
      </c>
      <c r="S202" s="52" t="n">
        <f aca="false">IF(Q202=1,IF(M202&lt;0.15,1,0),0)</f>
        <v>0</v>
      </c>
    </row>
    <row r="203" customFormat="false" ht="15" hidden="false" customHeight="false" outlineLevel="0" collapsed="false">
      <c r="B203" s="53"/>
      <c r="C203" s="53"/>
      <c r="D203" s="54"/>
      <c r="E203" s="55"/>
      <c r="F203" s="55"/>
      <c r="G203" s="55"/>
      <c r="H203" s="56"/>
      <c r="I203" s="57" t="str">
        <f aca="false">IF(G203="","",G203*H203)</f>
        <v/>
      </c>
      <c r="J203" s="55"/>
      <c r="K203" s="55"/>
      <c r="L203" s="57" t="str">
        <f aca="false">IF(OR(B203="",G203=""),"",G203-E203-F203-I203-J203-K203)</f>
        <v/>
      </c>
      <c r="M203" s="58" t="str">
        <f aca="false">IF(L203="","",IF(G203=0,0,L203/G203))</f>
        <v/>
      </c>
      <c r="N203" s="53"/>
      <c r="O203" s="59" t="str">
        <f aca="false">IF(M203="","",IF(M203&lt;0.15,"⚠ LOW MARGIN / MARGEN BAJO","✔ OK"))</f>
        <v/>
      </c>
      <c r="P203" s="52" t="n">
        <f aca="false">IF(Q203=1,L203+ROW()/1000000,-1000000000000000)</f>
        <v>-1000000000000000</v>
      </c>
      <c r="Q203" s="52" t="n">
        <f aca="false">IF(B203="",0,IF(G203="",0,IF(N203="Returned / Devuelto",0,1)))</f>
        <v>0</v>
      </c>
      <c r="R203" s="52" t="n">
        <f aca="false">IF(Q203=1,IF(ISNUMBER(D203),YEAR(D203)*100+MONTH(D203),0),0)</f>
        <v>0</v>
      </c>
      <c r="S203" s="52" t="n">
        <f aca="false">IF(Q203=1,IF(M203&lt;0.15,1,0),0)</f>
        <v>0</v>
      </c>
    </row>
    <row r="204" customFormat="false" ht="15" hidden="false" customHeight="false" outlineLevel="0" collapsed="false">
      <c r="B204" s="53"/>
      <c r="C204" s="53"/>
      <c r="D204" s="54"/>
      <c r="E204" s="55"/>
      <c r="F204" s="55"/>
      <c r="G204" s="55"/>
      <c r="H204" s="56"/>
      <c r="I204" s="57" t="str">
        <f aca="false">IF(G204="","",G204*H204)</f>
        <v/>
      </c>
      <c r="J204" s="55"/>
      <c r="K204" s="55"/>
      <c r="L204" s="57" t="str">
        <f aca="false">IF(OR(B204="",G204=""),"",G204-E204-F204-I204-J204-K204)</f>
        <v/>
      </c>
      <c r="M204" s="58" t="str">
        <f aca="false">IF(L204="","",IF(G204=0,0,L204/G204))</f>
        <v/>
      </c>
      <c r="N204" s="53"/>
      <c r="O204" s="59" t="str">
        <f aca="false">IF(M204="","",IF(M204&lt;0.15,"⚠ LOW MARGIN / MARGEN BAJO","✔ OK"))</f>
        <v/>
      </c>
      <c r="P204" s="52" t="n">
        <f aca="false">IF(Q204=1,L204+ROW()/1000000,-1000000000000000)</f>
        <v>-1000000000000000</v>
      </c>
      <c r="Q204" s="52" t="n">
        <f aca="false">IF(B204="",0,IF(G204="",0,IF(N204="Returned / Devuelto",0,1)))</f>
        <v>0</v>
      </c>
      <c r="R204" s="52" t="n">
        <f aca="false">IF(Q204=1,IF(ISNUMBER(D204),YEAR(D204)*100+MONTH(D204),0),0)</f>
        <v>0</v>
      </c>
      <c r="S204" s="52" t="n">
        <f aca="false">IF(Q204=1,IF(M204&lt;0.15,1,0),0)</f>
        <v>0</v>
      </c>
    </row>
    <row r="205" customFormat="false" ht="15" hidden="false" customHeight="false" outlineLevel="0" collapsed="false">
      <c r="B205" s="53"/>
      <c r="C205" s="53"/>
      <c r="D205" s="54"/>
      <c r="E205" s="55"/>
      <c r="F205" s="55"/>
      <c r="G205" s="55"/>
      <c r="H205" s="56"/>
      <c r="I205" s="57" t="str">
        <f aca="false">IF(G205="","",G205*H205)</f>
        <v/>
      </c>
      <c r="J205" s="55"/>
      <c r="K205" s="55"/>
      <c r="L205" s="57" t="str">
        <f aca="false">IF(OR(B205="",G205=""),"",G205-E205-F205-I205-J205-K205)</f>
        <v/>
      </c>
      <c r="M205" s="58" t="str">
        <f aca="false">IF(L205="","",IF(G205=0,0,L205/G205))</f>
        <v/>
      </c>
      <c r="N205" s="53"/>
      <c r="O205" s="59" t="str">
        <f aca="false">IF(M205="","",IF(M205&lt;0.15,"⚠ LOW MARGIN / MARGEN BAJO","✔ OK"))</f>
        <v/>
      </c>
      <c r="P205" s="52" t="n">
        <f aca="false">IF(Q205=1,L205+ROW()/1000000,-1000000000000000)</f>
        <v>-1000000000000000</v>
      </c>
      <c r="Q205" s="52" t="n">
        <f aca="false">IF(B205="",0,IF(G205="",0,IF(N205="Returned / Devuelto",0,1)))</f>
        <v>0</v>
      </c>
      <c r="R205" s="52" t="n">
        <f aca="false">IF(Q205=1,IF(ISNUMBER(D205),YEAR(D205)*100+MONTH(D205),0),0)</f>
        <v>0</v>
      </c>
      <c r="S205" s="52" t="n">
        <f aca="false">IF(Q205=1,IF(M205&lt;0.15,1,0),0)</f>
        <v>0</v>
      </c>
    </row>
    <row r="206" customFormat="false" ht="15" hidden="false" customHeight="false" outlineLevel="0" collapsed="false">
      <c r="B206" s="53"/>
      <c r="C206" s="53"/>
      <c r="D206" s="54"/>
      <c r="E206" s="55"/>
      <c r="F206" s="55"/>
      <c r="G206" s="55"/>
      <c r="H206" s="56"/>
      <c r="I206" s="57" t="str">
        <f aca="false">IF(G206="","",G206*H206)</f>
        <v/>
      </c>
      <c r="J206" s="55"/>
      <c r="K206" s="55"/>
      <c r="L206" s="57" t="str">
        <f aca="false">IF(OR(B206="",G206=""),"",G206-E206-F206-I206-J206-K206)</f>
        <v/>
      </c>
      <c r="M206" s="58" t="str">
        <f aca="false">IF(L206="","",IF(G206=0,0,L206/G206))</f>
        <v/>
      </c>
      <c r="N206" s="53"/>
      <c r="O206" s="59" t="str">
        <f aca="false">IF(M206="","",IF(M206&lt;0.15,"⚠ LOW MARGIN / MARGEN BAJO","✔ OK"))</f>
        <v/>
      </c>
      <c r="P206" s="52" t="n">
        <f aca="false">IF(Q206=1,L206+ROW()/1000000,-1000000000000000)</f>
        <v>-1000000000000000</v>
      </c>
      <c r="Q206" s="52" t="n">
        <f aca="false">IF(B206="",0,IF(G206="",0,IF(N206="Returned / Devuelto",0,1)))</f>
        <v>0</v>
      </c>
      <c r="R206" s="52" t="n">
        <f aca="false">IF(Q206=1,IF(ISNUMBER(D206),YEAR(D206)*100+MONTH(D206),0),0)</f>
        <v>0</v>
      </c>
      <c r="S206" s="52" t="n">
        <f aca="false">IF(Q206=1,IF(M206&lt;0.15,1,0),0)</f>
        <v>0</v>
      </c>
    </row>
    <row r="207" customFormat="false" ht="15" hidden="false" customHeight="false" outlineLevel="0" collapsed="false">
      <c r="B207" s="53"/>
      <c r="C207" s="53"/>
      <c r="D207" s="54"/>
      <c r="E207" s="55"/>
      <c r="F207" s="55"/>
      <c r="G207" s="55"/>
      <c r="H207" s="56"/>
      <c r="I207" s="57" t="str">
        <f aca="false">IF(G207="","",G207*H207)</f>
        <v/>
      </c>
      <c r="J207" s="55"/>
      <c r="K207" s="55"/>
      <c r="L207" s="57" t="str">
        <f aca="false">IF(OR(B207="",G207=""),"",G207-E207-F207-I207-J207-K207)</f>
        <v/>
      </c>
      <c r="M207" s="58" t="str">
        <f aca="false">IF(L207="","",IF(G207=0,0,L207/G207))</f>
        <v/>
      </c>
      <c r="N207" s="53"/>
      <c r="O207" s="59" t="str">
        <f aca="false">IF(M207="","",IF(M207&lt;0.15,"⚠ LOW MARGIN / MARGEN BAJO","✔ OK"))</f>
        <v/>
      </c>
      <c r="P207" s="52" t="n">
        <f aca="false">IF(Q207=1,L207+ROW()/1000000,-1000000000000000)</f>
        <v>-1000000000000000</v>
      </c>
      <c r="Q207" s="52" t="n">
        <f aca="false">IF(B207="",0,IF(G207="",0,IF(N207="Returned / Devuelto",0,1)))</f>
        <v>0</v>
      </c>
      <c r="R207" s="52" t="n">
        <f aca="false">IF(Q207=1,IF(ISNUMBER(D207),YEAR(D207)*100+MONTH(D207),0),0)</f>
        <v>0</v>
      </c>
      <c r="S207" s="52" t="n">
        <f aca="false">IF(Q207=1,IF(M207&lt;0.15,1,0),0)</f>
        <v>0</v>
      </c>
    </row>
    <row r="208" customFormat="false" ht="15" hidden="false" customHeight="false" outlineLevel="0" collapsed="false">
      <c r="B208" s="53"/>
      <c r="C208" s="53"/>
      <c r="D208" s="54"/>
      <c r="E208" s="55"/>
      <c r="F208" s="55"/>
      <c r="G208" s="55"/>
      <c r="H208" s="56"/>
      <c r="I208" s="57" t="str">
        <f aca="false">IF(G208="","",G208*H208)</f>
        <v/>
      </c>
      <c r="J208" s="55"/>
      <c r="K208" s="55"/>
      <c r="L208" s="57" t="str">
        <f aca="false">IF(OR(B208="",G208=""),"",G208-E208-F208-I208-J208-K208)</f>
        <v/>
      </c>
      <c r="M208" s="58" t="str">
        <f aca="false">IF(L208="","",IF(G208=0,0,L208/G208))</f>
        <v/>
      </c>
      <c r="N208" s="53"/>
      <c r="O208" s="59" t="str">
        <f aca="false">IF(M208="","",IF(M208&lt;0.15,"⚠ LOW MARGIN / MARGEN BAJO","✔ OK"))</f>
        <v/>
      </c>
      <c r="P208" s="52" t="n">
        <f aca="false">IF(Q208=1,L208+ROW()/1000000,-1000000000000000)</f>
        <v>-1000000000000000</v>
      </c>
      <c r="Q208" s="52" t="n">
        <f aca="false">IF(B208="",0,IF(G208="",0,IF(N208="Returned / Devuelto",0,1)))</f>
        <v>0</v>
      </c>
      <c r="R208" s="52" t="n">
        <f aca="false">IF(Q208=1,IF(ISNUMBER(D208),YEAR(D208)*100+MONTH(D208),0),0)</f>
        <v>0</v>
      </c>
      <c r="S208" s="52" t="n">
        <f aca="false">IF(Q208=1,IF(M208&lt;0.15,1,0),0)</f>
        <v>0</v>
      </c>
    </row>
    <row r="209" customFormat="false" ht="15" hidden="false" customHeight="false" outlineLevel="0" collapsed="false">
      <c r="B209" s="53"/>
      <c r="C209" s="53"/>
      <c r="D209" s="54"/>
      <c r="E209" s="55"/>
      <c r="F209" s="55"/>
      <c r="G209" s="55"/>
      <c r="H209" s="56"/>
      <c r="I209" s="57" t="str">
        <f aca="false">IF(G209="","",G209*H209)</f>
        <v/>
      </c>
      <c r="J209" s="55"/>
      <c r="K209" s="55"/>
      <c r="L209" s="57" t="str">
        <f aca="false">IF(OR(B209="",G209=""),"",G209-E209-F209-I209-J209-K209)</f>
        <v/>
      </c>
      <c r="M209" s="58" t="str">
        <f aca="false">IF(L209="","",IF(G209=0,0,L209/G209))</f>
        <v/>
      </c>
      <c r="N209" s="53"/>
      <c r="O209" s="59" t="str">
        <f aca="false">IF(M209="","",IF(M209&lt;0.15,"⚠ LOW MARGIN / MARGEN BAJO","✔ OK"))</f>
        <v/>
      </c>
      <c r="P209" s="52" t="n">
        <f aca="false">IF(Q209=1,L209+ROW()/1000000,-1000000000000000)</f>
        <v>-1000000000000000</v>
      </c>
      <c r="Q209" s="52" t="n">
        <f aca="false">IF(B209="",0,IF(G209="",0,IF(N209="Returned / Devuelto",0,1)))</f>
        <v>0</v>
      </c>
      <c r="R209" s="52" t="n">
        <f aca="false">IF(Q209=1,IF(ISNUMBER(D209),YEAR(D209)*100+MONTH(D209),0),0)</f>
        <v>0</v>
      </c>
      <c r="S209" s="52" t="n">
        <f aca="false">IF(Q209=1,IF(M209&lt;0.15,1,0),0)</f>
        <v>0</v>
      </c>
    </row>
    <row r="210" customFormat="false" ht="15" hidden="false" customHeight="false" outlineLevel="0" collapsed="false">
      <c r="B210" s="53"/>
      <c r="C210" s="53"/>
      <c r="D210" s="54"/>
      <c r="E210" s="55"/>
      <c r="F210" s="55"/>
      <c r="G210" s="55"/>
      <c r="H210" s="56"/>
      <c r="I210" s="57" t="str">
        <f aca="false">IF(G210="","",G210*H210)</f>
        <v/>
      </c>
      <c r="J210" s="55"/>
      <c r="K210" s="55"/>
      <c r="L210" s="57" t="str">
        <f aca="false">IF(OR(B210="",G210=""),"",G210-E210-F210-I210-J210-K210)</f>
        <v/>
      </c>
      <c r="M210" s="58" t="str">
        <f aca="false">IF(L210="","",IF(G210=0,0,L210/G210))</f>
        <v/>
      </c>
      <c r="N210" s="53"/>
      <c r="O210" s="59" t="str">
        <f aca="false">IF(M210="","",IF(M210&lt;0.15,"⚠ LOW MARGIN / MARGEN BAJO","✔ OK"))</f>
        <v/>
      </c>
      <c r="P210" s="52" t="n">
        <f aca="false">IF(Q210=1,L210+ROW()/1000000,-1000000000000000)</f>
        <v>-1000000000000000</v>
      </c>
      <c r="Q210" s="52" t="n">
        <f aca="false">IF(B210="",0,IF(G210="",0,IF(N210="Returned / Devuelto",0,1)))</f>
        <v>0</v>
      </c>
      <c r="R210" s="52" t="n">
        <f aca="false">IF(Q210=1,IF(ISNUMBER(D210),YEAR(D210)*100+MONTH(D210),0),0)</f>
        <v>0</v>
      </c>
      <c r="S210" s="52" t="n">
        <f aca="false">IF(Q210=1,IF(M210&lt;0.15,1,0),0)</f>
        <v>0</v>
      </c>
    </row>
    <row r="211" customFormat="false" ht="15" hidden="false" customHeight="false" outlineLevel="0" collapsed="false">
      <c r="B211" s="53"/>
      <c r="C211" s="53"/>
      <c r="D211" s="54"/>
      <c r="E211" s="55"/>
      <c r="F211" s="55"/>
      <c r="G211" s="55"/>
      <c r="H211" s="56"/>
      <c r="I211" s="57" t="str">
        <f aca="false">IF(G211="","",G211*H211)</f>
        <v/>
      </c>
      <c r="J211" s="55"/>
      <c r="K211" s="55"/>
      <c r="L211" s="57" t="str">
        <f aca="false">IF(OR(B211="",G211=""),"",G211-E211-F211-I211-J211-K211)</f>
        <v/>
      </c>
      <c r="M211" s="58" t="str">
        <f aca="false">IF(L211="","",IF(G211=0,0,L211/G211))</f>
        <v/>
      </c>
      <c r="N211" s="53"/>
      <c r="O211" s="59" t="str">
        <f aca="false">IF(M211="","",IF(M211&lt;0.15,"⚠ LOW MARGIN / MARGEN BAJO","✔ OK"))</f>
        <v/>
      </c>
      <c r="P211" s="52" t="n">
        <f aca="false">IF(Q211=1,L211+ROW()/1000000,-1000000000000000)</f>
        <v>-1000000000000000</v>
      </c>
      <c r="Q211" s="52" t="n">
        <f aca="false">IF(B211="",0,IF(G211="",0,IF(N211="Returned / Devuelto",0,1)))</f>
        <v>0</v>
      </c>
      <c r="R211" s="52" t="n">
        <f aca="false">IF(Q211=1,IF(ISNUMBER(D211),YEAR(D211)*100+MONTH(D211),0),0)</f>
        <v>0</v>
      </c>
      <c r="S211" s="52" t="n">
        <f aca="false">IF(Q211=1,IF(M211&lt;0.15,1,0),0)</f>
        <v>0</v>
      </c>
    </row>
    <row r="212" customFormat="false" ht="15" hidden="false" customHeight="false" outlineLevel="0" collapsed="false">
      <c r="B212" s="53"/>
      <c r="C212" s="53"/>
      <c r="D212" s="54"/>
      <c r="E212" s="55"/>
      <c r="F212" s="55"/>
      <c r="G212" s="55"/>
      <c r="H212" s="56"/>
      <c r="I212" s="57" t="str">
        <f aca="false">IF(G212="","",G212*H212)</f>
        <v/>
      </c>
      <c r="J212" s="55"/>
      <c r="K212" s="55"/>
      <c r="L212" s="57" t="str">
        <f aca="false">IF(OR(B212="",G212=""),"",G212-E212-F212-I212-J212-K212)</f>
        <v/>
      </c>
      <c r="M212" s="58" t="str">
        <f aca="false">IF(L212="","",IF(G212=0,0,L212/G212))</f>
        <v/>
      </c>
      <c r="N212" s="53"/>
      <c r="O212" s="59" t="str">
        <f aca="false">IF(M212="","",IF(M212&lt;0.15,"⚠ LOW MARGIN / MARGEN BAJO","✔ OK"))</f>
        <v/>
      </c>
      <c r="P212" s="52" t="n">
        <f aca="false">IF(Q212=1,L212+ROW()/1000000,-1000000000000000)</f>
        <v>-1000000000000000</v>
      </c>
      <c r="Q212" s="52" t="n">
        <f aca="false">IF(B212="",0,IF(G212="",0,IF(N212="Returned / Devuelto",0,1)))</f>
        <v>0</v>
      </c>
      <c r="R212" s="52" t="n">
        <f aca="false">IF(Q212=1,IF(ISNUMBER(D212),YEAR(D212)*100+MONTH(D212),0),0)</f>
        <v>0</v>
      </c>
      <c r="S212" s="52" t="n">
        <f aca="false">IF(Q212=1,IF(M212&lt;0.15,1,0),0)</f>
        <v>0</v>
      </c>
    </row>
    <row r="213" customFormat="false" ht="15" hidden="false" customHeight="false" outlineLevel="0" collapsed="false">
      <c r="B213" s="53"/>
      <c r="C213" s="53"/>
      <c r="D213" s="54"/>
      <c r="E213" s="55"/>
      <c r="F213" s="55"/>
      <c r="G213" s="55"/>
      <c r="H213" s="56"/>
      <c r="I213" s="57" t="str">
        <f aca="false">IF(G213="","",G213*H213)</f>
        <v/>
      </c>
      <c r="J213" s="55"/>
      <c r="K213" s="55"/>
      <c r="L213" s="57" t="str">
        <f aca="false">IF(OR(B213="",G213=""),"",G213-E213-F213-I213-J213-K213)</f>
        <v/>
      </c>
      <c r="M213" s="58" t="str">
        <f aca="false">IF(L213="","",IF(G213=0,0,L213/G213))</f>
        <v/>
      </c>
      <c r="N213" s="53"/>
      <c r="O213" s="59" t="str">
        <f aca="false">IF(M213="","",IF(M213&lt;0.15,"⚠ LOW MARGIN / MARGEN BAJO","✔ OK"))</f>
        <v/>
      </c>
      <c r="P213" s="52" t="n">
        <f aca="false">IF(Q213=1,L213+ROW()/1000000,-1000000000000000)</f>
        <v>-1000000000000000</v>
      </c>
      <c r="Q213" s="52" t="n">
        <f aca="false">IF(B213="",0,IF(G213="",0,IF(N213="Returned / Devuelto",0,1)))</f>
        <v>0</v>
      </c>
      <c r="R213" s="52" t="n">
        <f aca="false">IF(Q213=1,IF(ISNUMBER(D213),YEAR(D213)*100+MONTH(D213),0),0)</f>
        <v>0</v>
      </c>
      <c r="S213" s="52" t="n">
        <f aca="false">IF(Q213=1,IF(M213&lt;0.15,1,0),0)</f>
        <v>0</v>
      </c>
    </row>
    <row r="214" customFormat="false" ht="15" hidden="false" customHeight="false" outlineLevel="0" collapsed="false">
      <c r="B214" s="53"/>
      <c r="C214" s="53"/>
      <c r="D214" s="54"/>
      <c r="E214" s="55"/>
      <c r="F214" s="55"/>
      <c r="G214" s="55"/>
      <c r="H214" s="56"/>
      <c r="I214" s="57" t="str">
        <f aca="false">IF(G214="","",G214*H214)</f>
        <v/>
      </c>
      <c r="J214" s="55"/>
      <c r="K214" s="55"/>
      <c r="L214" s="57" t="str">
        <f aca="false">IF(OR(B214="",G214=""),"",G214-E214-F214-I214-J214-K214)</f>
        <v/>
      </c>
      <c r="M214" s="58" t="str">
        <f aca="false">IF(L214="","",IF(G214=0,0,L214/G214))</f>
        <v/>
      </c>
      <c r="N214" s="53"/>
      <c r="O214" s="59" t="str">
        <f aca="false">IF(M214="","",IF(M214&lt;0.15,"⚠ LOW MARGIN / MARGEN BAJO","✔ OK"))</f>
        <v/>
      </c>
      <c r="P214" s="52" t="n">
        <f aca="false">IF(Q214=1,L214+ROW()/1000000,-1000000000000000)</f>
        <v>-1000000000000000</v>
      </c>
      <c r="Q214" s="52" t="n">
        <f aca="false">IF(B214="",0,IF(G214="",0,IF(N214="Returned / Devuelto",0,1)))</f>
        <v>0</v>
      </c>
      <c r="R214" s="52" t="n">
        <f aca="false">IF(Q214=1,IF(ISNUMBER(D214),YEAR(D214)*100+MONTH(D214),0),0)</f>
        <v>0</v>
      </c>
      <c r="S214" s="52" t="n">
        <f aca="false">IF(Q214=1,IF(M214&lt;0.15,1,0),0)</f>
        <v>0</v>
      </c>
    </row>
    <row r="215" customFormat="false" ht="15" hidden="false" customHeight="false" outlineLevel="0" collapsed="false">
      <c r="B215" s="53"/>
      <c r="C215" s="53"/>
      <c r="D215" s="54"/>
      <c r="E215" s="55"/>
      <c r="F215" s="55"/>
      <c r="G215" s="55"/>
      <c r="H215" s="56"/>
      <c r="I215" s="57" t="str">
        <f aca="false">IF(G215="","",G215*H215)</f>
        <v/>
      </c>
      <c r="J215" s="55"/>
      <c r="K215" s="55"/>
      <c r="L215" s="57" t="str">
        <f aca="false">IF(OR(B215="",G215=""),"",G215-E215-F215-I215-J215-K215)</f>
        <v/>
      </c>
      <c r="M215" s="58" t="str">
        <f aca="false">IF(L215="","",IF(G215=0,0,L215/G215))</f>
        <v/>
      </c>
      <c r="N215" s="53"/>
      <c r="O215" s="59" t="str">
        <f aca="false">IF(M215="","",IF(M215&lt;0.15,"⚠ LOW MARGIN / MARGEN BAJO","✔ OK"))</f>
        <v/>
      </c>
      <c r="P215" s="52" t="n">
        <f aca="false">IF(Q215=1,L215+ROW()/1000000,-1000000000000000)</f>
        <v>-1000000000000000</v>
      </c>
      <c r="Q215" s="52" t="n">
        <f aca="false">IF(B215="",0,IF(G215="",0,IF(N215="Returned / Devuelto",0,1)))</f>
        <v>0</v>
      </c>
      <c r="R215" s="52" t="n">
        <f aca="false">IF(Q215=1,IF(ISNUMBER(D215),YEAR(D215)*100+MONTH(D215),0),0)</f>
        <v>0</v>
      </c>
      <c r="S215" s="52" t="n">
        <f aca="false">IF(Q215=1,IF(M215&lt;0.15,1,0),0)</f>
        <v>0</v>
      </c>
    </row>
    <row r="216" customFormat="false" ht="15" hidden="false" customHeight="false" outlineLevel="0" collapsed="false">
      <c r="B216" s="53"/>
      <c r="C216" s="53"/>
      <c r="D216" s="54"/>
      <c r="E216" s="55"/>
      <c r="F216" s="55"/>
      <c r="G216" s="55"/>
      <c r="H216" s="56"/>
      <c r="I216" s="57" t="str">
        <f aca="false">IF(G216="","",G216*H216)</f>
        <v/>
      </c>
      <c r="J216" s="55"/>
      <c r="K216" s="55"/>
      <c r="L216" s="57" t="str">
        <f aca="false">IF(OR(B216="",G216=""),"",G216-E216-F216-I216-J216-K216)</f>
        <v/>
      </c>
      <c r="M216" s="58" t="str">
        <f aca="false">IF(L216="","",IF(G216=0,0,L216/G216))</f>
        <v/>
      </c>
      <c r="N216" s="53"/>
      <c r="O216" s="59" t="str">
        <f aca="false">IF(M216="","",IF(M216&lt;0.15,"⚠ LOW MARGIN / MARGEN BAJO","✔ OK"))</f>
        <v/>
      </c>
      <c r="P216" s="52" t="n">
        <f aca="false">IF(Q216=1,L216+ROW()/1000000,-1000000000000000)</f>
        <v>-1000000000000000</v>
      </c>
      <c r="Q216" s="52" t="n">
        <f aca="false">IF(B216="",0,IF(G216="",0,IF(N216="Returned / Devuelto",0,1)))</f>
        <v>0</v>
      </c>
      <c r="R216" s="52" t="n">
        <f aca="false">IF(Q216=1,IF(ISNUMBER(D216),YEAR(D216)*100+MONTH(D216),0),0)</f>
        <v>0</v>
      </c>
      <c r="S216" s="52" t="n">
        <f aca="false">IF(Q216=1,IF(M216&lt;0.15,1,0),0)</f>
        <v>0</v>
      </c>
    </row>
    <row r="217" customFormat="false" ht="15" hidden="false" customHeight="false" outlineLevel="0" collapsed="false">
      <c r="B217" s="53"/>
      <c r="C217" s="53"/>
      <c r="D217" s="54"/>
      <c r="E217" s="55"/>
      <c r="F217" s="55"/>
      <c r="G217" s="55"/>
      <c r="H217" s="56"/>
      <c r="I217" s="57" t="str">
        <f aca="false">IF(G217="","",G217*H217)</f>
        <v/>
      </c>
      <c r="J217" s="55"/>
      <c r="K217" s="55"/>
      <c r="L217" s="57" t="str">
        <f aca="false">IF(OR(B217="",G217=""),"",G217-E217-F217-I217-J217-K217)</f>
        <v/>
      </c>
      <c r="M217" s="58" t="str">
        <f aca="false">IF(L217="","",IF(G217=0,0,L217/G217))</f>
        <v/>
      </c>
      <c r="N217" s="53"/>
      <c r="O217" s="59" t="str">
        <f aca="false">IF(M217="","",IF(M217&lt;0.15,"⚠ LOW MARGIN / MARGEN BAJO","✔ OK"))</f>
        <v/>
      </c>
      <c r="P217" s="52" t="n">
        <f aca="false">IF(Q217=1,L217+ROW()/1000000,-1000000000000000)</f>
        <v>-1000000000000000</v>
      </c>
      <c r="Q217" s="52" t="n">
        <f aca="false">IF(B217="",0,IF(G217="",0,IF(N217="Returned / Devuelto",0,1)))</f>
        <v>0</v>
      </c>
      <c r="R217" s="52" t="n">
        <f aca="false">IF(Q217=1,IF(ISNUMBER(D217),YEAR(D217)*100+MONTH(D217),0),0)</f>
        <v>0</v>
      </c>
      <c r="S217" s="52" t="n">
        <f aca="false">IF(Q217=1,IF(M217&lt;0.15,1,0),0)</f>
        <v>0</v>
      </c>
    </row>
    <row r="218" customFormat="false" ht="15" hidden="false" customHeight="false" outlineLevel="0" collapsed="false">
      <c r="B218" s="53"/>
      <c r="C218" s="53"/>
      <c r="D218" s="54"/>
      <c r="E218" s="55"/>
      <c r="F218" s="55"/>
      <c r="G218" s="55"/>
      <c r="H218" s="56"/>
      <c r="I218" s="57" t="str">
        <f aca="false">IF(G218="","",G218*H218)</f>
        <v/>
      </c>
      <c r="J218" s="55"/>
      <c r="K218" s="55"/>
      <c r="L218" s="57" t="str">
        <f aca="false">IF(OR(B218="",G218=""),"",G218-E218-F218-I218-J218-K218)</f>
        <v/>
      </c>
      <c r="M218" s="58" t="str">
        <f aca="false">IF(L218="","",IF(G218=0,0,L218/G218))</f>
        <v/>
      </c>
      <c r="N218" s="53"/>
      <c r="O218" s="59" t="str">
        <f aca="false">IF(M218="","",IF(M218&lt;0.15,"⚠ LOW MARGIN / MARGEN BAJO","✔ OK"))</f>
        <v/>
      </c>
      <c r="P218" s="52" t="n">
        <f aca="false">IF(Q218=1,L218+ROW()/1000000,-1000000000000000)</f>
        <v>-1000000000000000</v>
      </c>
      <c r="Q218" s="52" t="n">
        <f aca="false">IF(B218="",0,IF(G218="",0,IF(N218="Returned / Devuelto",0,1)))</f>
        <v>0</v>
      </c>
      <c r="R218" s="52" t="n">
        <f aca="false">IF(Q218=1,IF(ISNUMBER(D218),YEAR(D218)*100+MONTH(D218),0),0)</f>
        <v>0</v>
      </c>
      <c r="S218" s="52" t="n">
        <f aca="false">IF(Q218=1,IF(M218&lt;0.15,1,0),0)</f>
        <v>0</v>
      </c>
    </row>
    <row r="219" customFormat="false" ht="15" hidden="false" customHeight="false" outlineLevel="0" collapsed="false">
      <c r="B219" s="53"/>
      <c r="C219" s="53"/>
      <c r="D219" s="54"/>
      <c r="E219" s="55"/>
      <c r="F219" s="55"/>
      <c r="G219" s="55"/>
      <c r="H219" s="56"/>
      <c r="I219" s="57" t="str">
        <f aca="false">IF(G219="","",G219*H219)</f>
        <v/>
      </c>
      <c r="J219" s="55"/>
      <c r="K219" s="55"/>
      <c r="L219" s="57" t="str">
        <f aca="false">IF(OR(B219="",G219=""),"",G219-E219-F219-I219-J219-K219)</f>
        <v/>
      </c>
      <c r="M219" s="58" t="str">
        <f aca="false">IF(L219="","",IF(G219=0,0,L219/G219))</f>
        <v/>
      </c>
      <c r="N219" s="53"/>
      <c r="O219" s="59" t="str">
        <f aca="false">IF(M219="","",IF(M219&lt;0.15,"⚠ LOW MARGIN / MARGEN BAJO","✔ OK"))</f>
        <v/>
      </c>
      <c r="P219" s="52" t="n">
        <f aca="false">IF(Q219=1,L219+ROW()/1000000,-1000000000000000)</f>
        <v>-1000000000000000</v>
      </c>
      <c r="Q219" s="52" t="n">
        <f aca="false">IF(B219="",0,IF(G219="",0,IF(N219="Returned / Devuelto",0,1)))</f>
        <v>0</v>
      </c>
      <c r="R219" s="52" t="n">
        <f aca="false">IF(Q219=1,IF(ISNUMBER(D219),YEAR(D219)*100+MONTH(D219),0),0)</f>
        <v>0</v>
      </c>
      <c r="S219" s="52" t="n">
        <f aca="false">IF(Q219=1,IF(M219&lt;0.15,1,0),0)</f>
        <v>0</v>
      </c>
    </row>
    <row r="220" customFormat="false" ht="15" hidden="false" customHeight="false" outlineLevel="0" collapsed="false">
      <c r="B220" s="53"/>
      <c r="C220" s="53"/>
      <c r="D220" s="54"/>
      <c r="E220" s="55"/>
      <c r="F220" s="55"/>
      <c r="G220" s="55"/>
      <c r="H220" s="56"/>
      <c r="I220" s="57" t="str">
        <f aca="false">IF(G220="","",G220*H220)</f>
        <v/>
      </c>
      <c r="J220" s="55"/>
      <c r="K220" s="55"/>
      <c r="L220" s="57" t="str">
        <f aca="false">IF(OR(B220="",G220=""),"",G220-E220-F220-I220-J220-K220)</f>
        <v/>
      </c>
      <c r="M220" s="58" t="str">
        <f aca="false">IF(L220="","",IF(G220=0,0,L220/G220))</f>
        <v/>
      </c>
      <c r="N220" s="53"/>
      <c r="O220" s="59" t="str">
        <f aca="false">IF(M220="","",IF(M220&lt;0.15,"⚠ LOW MARGIN / MARGEN BAJO","✔ OK"))</f>
        <v/>
      </c>
      <c r="P220" s="52" t="n">
        <f aca="false">IF(Q220=1,L220+ROW()/1000000,-1000000000000000)</f>
        <v>-1000000000000000</v>
      </c>
      <c r="Q220" s="52" t="n">
        <f aca="false">IF(B220="",0,IF(G220="",0,IF(N220="Returned / Devuelto",0,1)))</f>
        <v>0</v>
      </c>
      <c r="R220" s="52" t="n">
        <f aca="false">IF(Q220=1,IF(ISNUMBER(D220),YEAR(D220)*100+MONTH(D220),0),0)</f>
        <v>0</v>
      </c>
      <c r="S220" s="52" t="n">
        <f aca="false">IF(Q220=1,IF(M220&lt;0.15,1,0),0)</f>
        <v>0</v>
      </c>
    </row>
    <row r="221" customFormat="false" ht="15" hidden="false" customHeight="false" outlineLevel="0" collapsed="false">
      <c r="B221" s="53"/>
      <c r="C221" s="53"/>
      <c r="D221" s="54"/>
      <c r="E221" s="55"/>
      <c r="F221" s="55"/>
      <c r="G221" s="55"/>
      <c r="H221" s="56"/>
      <c r="I221" s="57" t="str">
        <f aca="false">IF(G221="","",G221*H221)</f>
        <v/>
      </c>
      <c r="J221" s="55"/>
      <c r="K221" s="55"/>
      <c r="L221" s="57" t="str">
        <f aca="false">IF(OR(B221="",G221=""),"",G221-E221-F221-I221-J221-K221)</f>
        <v/>
      </c>
      <c r="M221" s="58" t="str">
        <f aca="false">IF(L221="","",IF(G221=0,0,L221/G221))</f>
        <v/>
      </c>
      <c r="N221" s="53"/>
      <c r="O221" s="59" t="str">
        <f aca="false">IF(M221="","",IF(M221&lt;0.15,"⚠ LOW MARGIN / MARGEN BAJO","✔ OK"))</f>
        <v/>
      </c>
      <c r="P221" s="52" t="n">
        <f aca="false">IF(Q221=1,L221+ROW()/1000000,-1000000000000000)</f>
        <v>-1000000000000000</v>
      </c>
      <c r="Q221" s="52" t="n">
        <f aca="false">IF(B221="",0,IF(G221="",0,IF(N221="Returned / Devuelto",0,1)))</f>
        <v>0</v>
      </c>
      <c r="R221" s="52" t="n">
        <f aca="false">IF(Q221=1,IF(ISNUMBER(D221),YEAR(D221)*100+MONTH(D221),0),0)</f>
        <v>0</v>
      </c>
      <c r="S221" s="52" t="n">
        <f aca="false">IF(Q221=1,IF(M221&lt;0.15,1,0),0)</f>
        <v>0</v>
      </c>
    </row>
    <row r="222" customFormat="false" ht="15" hidden="false" customHeight="false" outlineLevel="0" collapsed="false">
      <c r="B222" s="53"/>
      <c r="C222" s="53"/>
      <c r="D222" s="54"/>
      <c r="E222" s="55"/>
      <c r="F222" s="55"/>
      <c r="G222" s="55"/>
      <c r="H222" s="56"/>
      <c r="I222" s="57" t="str">
        <f aca="false">IF(G222="","",G222*H222)</f>
        <v/>
      </c>
      <c r="J222" s="55"/>
      <c r="K222" s="55"/>
      <c r="L222" s="57" t="str">
        <f aca="false">IF(OR(B222="",G222=""),"",G222-E222-F222-I222-J222-K222)</f>
        <v/>
      </c>
      <c r="M222" s="58" t="str">
        <f aca="false">IF(L222="","",IF(G222=0,0,L222/G222))</f>
        <v/>
      </c>
      <c r="N222" s="53"/>
      <c r="O222" s="59" t="str">
        <f aca="false">IF(M222="","",IF(M222&lt;0.15,"⚠ LOW MARGIN / MARGEN BAJO","✔ OK"))</f>
        <v/>
      </c>
      <c r="P222" s="52" t="n">
        <f aca="false">IF(Q222=1,L222+ROW()/1000000,-1000000000000000)</f>
        <v>-1000000000000000</v>
      </c>
      <c r="Q222" s="52" t="n">
        <f aca="false">IF(B222="",0,IF(G222="",0,IF(N222="Returned / Devuelto",0,1)))</f>
        <v>0</v>
      </c>
      <c r="R222" s="52" t="n">
        <f aca="false">IF(Q222=1,IF(ISNUMBER(D222),YEAR(D222)*100+MONTH(D222),0),0)</f>
        <v>0</v>
      </c>
      <c r="S222" s="52" t="n">
        <f aca="false">IF(Q222=1,IF(M222&lt;0.15,1,0),0)</f>
        <v>0</v>
      </c>
    </row>
    <row r="223" customFormat="false" ht="15" hidden="false" customHeight="false" outlineLevel="0" collapsed="false">
      <c r="B223" s="53"/>
      <c r="C223" s="53"/>
      <c r="D223" s="54"/>
      <c r="E223" s="55"/>
      <c r="F223" s="55"/>
      <c r="G223" s="55"/>
      <c r="H223" s="56"/>
      <c r="I223" s="57" t="str">
        <f aca="false">IF(G223="","",G223*H223)</f>
        <v/>
      </c>
      <c r="J223" s="55"/>
      <c r="K223" s="55"/>
      <c r="L223" s="57" t="str">
        <f aca="false">IF(OR(B223="",G223=""),"",G223-E223-F223-I223-J223-K223)</f>
        <v/>
      </c>
      <c r="M223" s="58" t="str">
        <f aca="false">IF(L223="","",IF(G223=0,0,L223/G223))</f>
        <v/>
      </c>
      <c r="N223" s="53"/>
      <c r="O223" s="59" t="str">
        <f aca="false">IF(M223="","",IF(M223&lt;0.15,"⚠ LOW MARGIN / MARGEN BAJO","✔ OK"))</f>
        <v/>
      </c>
      <c r="P223" s="52" t="n">
        <f aca="false">IF(Q223=1,L223+ROW()/1000000,-1000000000000000)</f>
        <v>-1000000000000000</v>
      </c>
      <c r="Q223" s="52" t="n">
        <f aca="false">IF(B223="",0,IF(G223="",0,IF(N223="Returned / Devuelto",0,1)))</f>
        <v>0</v>
      </c>
      <c r="R223" s="52" t="n">
        <f aca="false">IF(Q223=1,IF(ISNUMBER(D223),YEAR(D223)*100+MONTH(D223),0),0)</f>
        <v>0</v>
      </c>
      <c r="S223" s="52" t="n">
        <f aca="false">IF(Q223=1,IF(M223&lt;0.15,1,0),0)</f>
        <v>0</v>
      </c>
    </row>
    <row r="224" customFormat="false" ht="15" hidden="false" customHeight="false" outlineLevel="0" collapsed="false">
      <c r="B224" s="53"/>
      <c r="C224" s="53"/>
      <c r="D224" s="54"/>
      <c r="E224" s="55"/>
      <c r="F224" s="55"/>
      <c r="G224" s="55"/>
      <c r="H224" s="56"/>
      <c r="I224" s="57" t="str">
        <f aca="false">IF(G224="","",G224*H224)</f>
        <v/>
      </c>
      <c r="J224" s="55"/>
      <c r="K224" s="55"/>
      <c r="L224" s="57" t="str">
        <f aca="false">IF(OR(B224="",G224=""),"",G224-E224-F224-I224-J224-K224)</f>
        <v/>
      </c>
      <c r="M224" s="58" t="str">
        <f aca="false">IF(L224="","",IF(G224=0,0,L224/G224))</f>
        <v/>
      </c>
      <c r="N224" s="53"/>
      <c r="O224" s="59" t="str">
        <f aca="false">IF(M224="","",IF(M224&lt;0.15,"⚠ LOW MARGIN / MARGEN BAJO","✔ OK"))</f>
        <v/>
      </c>
      <c r="P224" s="52" t="n">
        <f aca="false">IF(Q224=1,L224+ROW()/1000000,-1000000000000000)</f>
        <v>-1000000000000000</v>
      </c>
      <c r="Q224" s="52" t="n">
        <f aca="false">IF(B224="",0,IF(G224="",0,IF(N224="Returned / Devuelto",0,1)))</f>
        <v>0</v>
      </c>
      <c r="R224" s="52" t="n">
        <f aca="false">IF(Q224=1,IF(ISNUMBER(D224),YEAR(D224)*100+MONTH(D224),0),0)</f>
        <v>0</v>
      </c>
      <c r="S224" s="52" t="n">
        <f aca="false">IF(Q224=1,IF(M224&lt;0.15,1,0),0)</f>
        <v>0</v>
      </c>
    </row>
    <row r="225" customFormat="false" ht="15" hidden="false" customHeight="false" outlineLevel="0" collapsed="false">
      <c r="B225" s="53"/>
      <c r="C225" s="53"/>
      <c r="D225" s="54"/>
      <c r="E225" s="55"/>
      <c r="F225" s="55"/>
      <c r="G225" s="55"/>
      <c r="H225" s="56"/>
      <c r="I225" s="57" t="str">
        <f aca="false">IF(G225="","",G225*H225)</f>
        <v/>
      </c>
      <c r="J225" s="55"/>
      <c r="K225" s="55"/>
      <c r="L225" s="57" t="str">
        <f aca="false">IF(OR(B225="",G225=""),"",G225-E225-F225-I225-J225-K225)</f>
        <v/>
      </c>
      <c r="M225" s="58" t="str">
        <f aca="false">IF(L225="","",IF(G225=0,0,L225/G225))</f>
        <v/>
      </c>
      <c r="N225" s="53"/>
      <c r="O225" s="59" t="str">
        <f aca="false">IF(M225="","",IF(M225&lt;0.15,"⚠ LOW MARGIN / MARGEN BAJO","✔ OK"))</f>
        <v/>
      </c>
      <c r="P225" s="52" t="n">
        <f aca="false">IF(Q225=1,L225+ROW()/1000000,-1000000000000000)</f>
        <v>-1000000000000000</v>
      </c>
      <c r="Q225" s="52" t="n">
        <f aca="false">IF(B225="",0,IF(G225="",0,IF(N225="Returned / Devuelto",0,1)))</f>
        <v>0</v>
      </c>
      <c r="R225" s="52" t="n">
        <f aca="false">IF(Q225=1,IF(ISNUMBER(D225),YEAR(D225)*100+MONTH(D225),0),0)</f>
        <v>0</v>
      </c>
      <c r="S225" s="52" t="n">
        <f aca="false">IF(Q225=1,IF(M225&lt;0.15,1,0),0)</f>
        <v>0</v>
      </c>
    </row>
    <row r="226" customFormat="false" ht="15" hidden="false" customHeight="false" outlineLevel="0" collapsed="false">
      <c r="B226" s="53"/>
      <c r="C226" s="53"/>
      <c r="D226" s="54"/>
      <c r="E226" s="55"/>
      <c r="F226" s="55"/>
      <c r="G226" s="55"/>
      <c r="H226" s="56"/>
      <c r="I226" s="57" t="str">
        <f aca="false">IF(G226="","",G226*H226)</f>
        <v/>
      </c>
      <c r="J226" s="55"/>
      <c r="K226" s="55"/>
      <c r="L226" s="57" t="str">
        <f aca="false">IF(OR(B226="",G226=""),"",G226-E226-F226-I226-J226-K226)</f>
        <v/>
      </c>
      <c r="M226" s="58" t="str">
        <f aca="false">IF(L226="","",IF(G226=0,0,L226/G226))</f>
        <v/>
      </c>
      <c r="N226" s="53"/>
      <c r="O226" s="59" t="str">
        <f aca="false">IF(M226="","",IF(M226&lt;0.15,"⚠ LOW MARGIN / MARGEN BAJO","✔ OK"))</f>
        <v/>
      </c>
      <c r="P226" s="52" t="n">
        <f aca="false">IF(Q226=1,L226+ROW()/1000000,-1000000000000000)</f>
        <v>-1000000000000000</v>
      </c>
      <c r="Q226" s="52" t="n">
        <f aca="false">IF(B226="",0,IF(G226="",0,IF(N226="Returned / Devuelto",0,1)))</f>
        <v>0</v>
      </c>
      <c r="R226" s="52" t="n">
        <f aca="false">IF(Q226=1,IF(ISNUMBER(D226),YEAR(D226)*100+MONTH(D226),0),0)</f>
        <v>0</v>
      </c>
      <c r="S226" s="52" t="n">
        <f aca="false">IF(Q226=1,IF(M226&lt;0.15,1,0),0)</f>
        <v>0</v>
      </c>
    </row>
    <row r="227" customFormat="false" ht="15" hidden="false" customHeight="false" outlineLevel="0" collapsed="false">
      <c r="B227" s="53"/>
      <c r="C227" s="53"/>
      <c r="D227" s="54"/>
      <c r="E227" s="55"/>
      <c r="F227" s="55"/>
      <c r="G227" s="55"/>
      <c r="H227" s="56"/>
      <c r="I227" s="57" t="str">
        <f aca="false">IF(G227="","",G227*H227)</f>
        <v/>
      </c>
      <c r="J227" s="55"/>
      <c r="K227" s="55"/>
      <c r="L227" s="57" t="str">
        <f aca="false">IF(OR(B227="",G227=""),"",G227-E227-F227-I227-J227-K227)</f>
        <v/>
      </c>
      <c r="M227" s="58" t="str">
        <f aca="false">IF(L227="","",IF(G227=0,0,L227/G227))</f>
        <v/>
      </c>
      <c r="N227" s="53"/>
      <c r="O227" s="59" t="str">
        <f aca="false">IF(M227="","",IF(M227&lt;0.15,"⚠ LOW MARGIN / MARGEN BAJO","✔ OK"))</f>
        <v/>
      </c>
      <c r="P227" s="52" t="n">
        <f aca="false">IF(Q227=1,L227+ROW()/1000000,-1000000000000000)</f>
        <v>-1000000000000000</v>
      </c>
      <c r="Q227" s="52" t="n">
        <f aca="false">IF(B227="",0,IF(G227="",0,IF(N227="Returned / Devuelto",0,1)))</f>
        <v>0</v>
      </c>
      <c r="R227" s="52" t="n">
        <f aca="false">IF(Q227=1,IF(ISNUMBER(D227),YEAR(D227)*100+MONTH(D227),0),0)</f>
        <v>0</v>
      </c>
      <c r="S227" s="52" t="n">
        <f aca="false">IF(Q227=1,IF(M227&lt;0.15,1,0),0)</f>
        <v>0</v>
      </c>
    </row>
    <row r="228" customFormat="false" ht="15" hidden="false" customHeight="false" outlineLevel="0" collapsed="false">
      <c r="B228" s="53"/>
      <c r="C228" s="53"/>
      <c r="D228" s="54"/>
      <c r="E228" s="55"/>
      <c r="F228" s="55"/>
      <c r="G228" s="55"/>
      <c r="H228" s="56"/>
      <c r="I228" s="57" t="str">
        <f aca="false">IF(G228="","",G228*H228)</f>
        <v/>
      </c>
      <c r="J228" s="55"/>
      <c r="K228" s="55"/>
      <c r="L228" s="57" t="str">
        <f aca="false">IF(OR(B228="",G228=""),"",G228-E228-F228-I228-J228-K228)</f>
        <v/>
      </c>
      <c r="M228" s="58" t="str">
        <f aca="false">IF(L228="","",IF(G228=0,0,L228/G228))</f>
        <v/>
      </c>
      <c r="N228" s="53"/>
      <c r="O228" s="59" t="str">
        <f aca="false">IF(M228="","",IF(M228&lt;0.15,"⚠ LOW MARGIN / MARGEN BAJO","✔ OK"))</f>
        <v/>
      </c>
      <c r="P228" s="52" t="n">
        <f aca="false">IF(Q228=1,L228+ROW()/1000000,-1000000000000000)</f>
        <v>-1000000000000000</v>
      </c>
      <c r="Q228" s="52" t="n">
        <f aca="false">IF(B228="",0,IF(G228="",0,IF(N228="Returned / Devuelto",0,1)))</f>
        <v>0</v>
      </c>
      <c r="R228" s="52" t="n">
        <f aca="false">IF(Q228=1,IF(ISNUMBER(D228),YEAR(D228)*100+MONTH(D228),0),0)</f>
        <v>0</v>
      </c>
      <c r="S228" s="52" t="n">
        <f aca="false">IF(Q228=1,IF(M228&lt;0.15,1,0),0)</f>
        <v>0</v>
      </c>
    </row>
    <row r="229" customFormat="false" ht="15" hidden="false" customHeight="false" outlineLevel="0" collapsed="false">
      <c r="B229" s="53"/>
      <c r="C229" s="53"/>
      <c r="D229" s="54"/>
      <c r="E229" s="55"/>
      <c r="F229" s="55"/>
      <c r="G229" s="55"/>
      <c r="H229" s="56"/>
      <c r="I229" s="57" t="str">
        <f aca="false">IF(G229="","",G229*H229)</f>
        <v/>
      </c>
      <c r="J229" s="55"/>
      <c r="K229" s="55"/>
      <c r="L229" s="57" t="str">
        <f aca="false">IF(OR(B229="",G229=""),"",G229-E229-F229-I229-J229-K229)</f>
        <v/>
      </c>
      <c r="M229" s="58" t="str">
        <f aca="false">IF(L229="","",IF(G229=0,0,L229/G229))</f>
        <v/>
      </c>
      <c r="N229" s="53"/>
      <c r="O229" s="59" t="str">
        <f aca="false">IF(M229="","",IF(M229&lt;0.15,"⚠ LOW MARGIN / MARGEN BAJO","✔ OK"))</f>
        <v/>
      </c>
      <c r="P229" s="52" t="n">
        <f aca="false">IF(Q229=1,L229+ROW()/1000000,-1000000000000000)</f>
        <v>-1000000000000000</v>
      </c>
      <c r="Q229" s="52" t="n">
        <f aca="false">IF(B229="",0,IF(G229="",0,IF(N229="Returned / Devuelto",0,1)))</f>
        <v>0</v>
      </c>
      <c r="R229" s="52" t="n">
        <f aca="false">IF(Q229=1,IF(ISNUMBER(D229),YEAR(D229)*100+MONTH(D229),0),0)</f>
        <v>0</v>
      </c>
      <c r="S229" s="52" t="n">
        <f aca="false">IF(Q229=1,IF(M229&lt;0.15,1,0),0)</f>
        <v>0</v>
      </c>
    </row>
    <row r="230" customFormat="false" ht="15" hidden="false" customHeight="false" outlineLevel="0" collapsed="false">
      <c r="B230" s="53"/>
      <c r="C230" s="53"/>
      <c r="D230" s="54"/>
      <c r="E230" s="55"/>
      <c r="F230" s="55"/>
      <c r="G230" s="55"/>
      <c r="H230" s="56"/>
      <c r="I230" s="57" t="str">
        <f aca="false">IF(G230="","",G230*H230)</f>
        <v/>
      </c>
      <c r="J230" s="55"/>
      <c r="K230" s="55"/>
      <c r="L230" s="57" t="str">
        <f aca="false">IF(OR(B230="",G230=""),"",G230-E230-F230-I230-J230-K230)</f>
        <v/>
      </c>
      <c r="M230" s="58" t="str">
        <f aca="false">IF(L230="","",IF(G230=0,0,L230/G230))</f>
        <v/>
      </c>
      <c r="N230" s="53"/>
      <c r="O230" s="59" t="str">
        <f aca="false">IF(M230="","",IF(M230&lt;0.15,"⚠ LOW MARGIN / MARGEN BAJO","✔ OK"))</f>
        <v/>
      </c>
      <c r="P230" s="52" t="n">
        <f aca="false">IF(Q230=1,L230+ROW()/1000000,-1000000000000000)</f>
        <v>-1000000000000000</v>
      </c>
      <c r="Q230" s="52" t="n">
        <f aca="false">IF(B230="",0,IF(G230="",0,IF(N230="Returned / Devuelto",0,1)))</f>
        <v>0</v>
      </c>
      <c r="R230" s="52" t="n">
        <f aca="false">IF(Q230=1,IF(ISNUMBER(D230),YEAR(D230)*100+MONTH(D230),0),0)</f>
        <v>0</v>
      </c>
      <c r="S230" s="52" t="n">
        <f aca="false">IF(Q230=1,IF(M230&lt;0.15,1,0),0)</f>
        <v>0</v>
      </c>
    </row>
    <row r="231" customFormat="false" ht="15" hidden="false" customHeight="false" outlineLevel="0" collapsed="false">
      <c r="B231" s="53"/>
      <c r="C231" s="53"/>
      <c r="D231" s="54"/>
      <c r="E231" s="55"/>
      <c r="F231" s="55"/>
      <c r="G231" s="55"/>
      <c r="H231" s="56"/>
      <c r="I231" s="57" t="str">
        <f aca="false">IF(G231="","",G231*H231)</f>
        <v/>
      </c>
      <c r="J231" s="55"/>
      <c r="K231" s="55"/>
      <c r="L231" s="57" t="str">
        <f aca="false">IF(OR(B231="",G231=""),"",G231-E231-F231-I231-J231-K231)</f>
        <v/>
      </c>
      <c r="M231" s="58" t="str">
        <f aca="false">IF(L231="","",IF(G231=0,0,L231/G231))</f>
        <v/>
      </c>
      <c r="N231" s="53"/>
      <c r="O231" s="59" t="str">
        <f aca="false">IF(M231="","",IF(M231&lt;0.15,"⚠ LOW MARGIN / MARGEN BAJO","✔ OK"))</f>
        <v/>
      </c>
      <c r="P231" s="52" t="n">
        <f aca="false">IF(Q231=1,L231+ROW()/1000000,-1000000000000000)</f>
        <v>-1000000000000000</v>
      </c>
      <c r="Q231" s="52" t="n">
        <f aca="false">IF(B231="",0,IF(G231="",0,IF(N231="Returned / Devuelto",0,1)))</f>
        <v>0</v>
      </c>
      <c r="R231" s="52" t="n">
        <f aca="false">IF(Q231=1,IF(ISNUMBER(D231),YEAR(D231)*100+MONTH(D231),0),0)</f>
        <v>0</v>
      </c>
      <c r="S231" s="52" t="n">
        <f aca="false">IF(Q231=1,IF(M231&lt;0.15,1,0),0)</f>
        <v>0</v>
      </c>
    </row>
    <row r="232" customFormat="false" ht="15" hidden="false" customHeight="false" outlineLevel="0" collapsed="false">
      <c r="B232" s="53"/>
      <c r="C232" s="53"/>
      <c r="D232" s="54"/>
      <c r="E232" s="55"/>
      <c r="F232" s="55"/>
      <c r="G232" s="55"/>
      <c r="H232" s="56"/>
      <c r="I232" s="57" t="str">
        <f aca="false">IF(G232="","",G232*H232)</f>
        <v/>
      </c>
      <c r="J232" s="55"/>
      <c r="K232" s="55"/>
      <c r="L232" s="57" t="str">
        <f aca="false">IF(OR(B232="",G232=""),"",G232-E232-F232-I232-J232-K232)</f>
        <v/>
      </c>
      <c r="M232" s="58" t="str">
        <f aca="false">IF(L232="","",IF(G232=0,0,L232/G232))</f>
        <v/>
      </c>
      <c r="N232" s="53"/>
      <c r="O232" s="59" t="str">
        <f aca="false">IF(M232="","",IF(M232&lt;0.15,"⚠ LOW MARGIN / MARGEN BAJO","✔ OK"))</f>
        <v/>
      </c>
      <c r="P232" s="52" t="n">
        <f aca="false">IF(Q232=1,L232+ROW()/1000000,-1000000000000000)</f>
        <v>-1000000000000000</v>
      </c>
      <c r="Q232" s="52" t="n">
        <f aca="false">IF(B232="",0,IF(G232="",0,IF(N232="Returned / Devuelto",0,1)))</f>
        <v>0</v>
      </c>
      <c r="R232" s="52" t="n">
        <f aca="false">IF(Q232=1,IF(ISNUMBER(D232),YEAR(D232)*100+MONTH(D232),0),0)</f>
        <v>0</v>
      </c>
      <c r="S232" s="52" t="n">
        <f aca="false">IF(Q232=1,IF(M232&lt;0.15,1,0),0)</f>
        <v>0</v>
      </c>
    </row>
    <row r="233" customFormat="false" ht="15" hidden="false" customHeight="false" outlineLevel="0" collapsed="false">
      <c r="B233" s="53"/>
      <c r="C233" s="53"/>
      <c r="D233" s="54"/>
      <c r="E233" s="55"/>
      <c r="F233" s="55"/>
      <c r="G233" s="55"/>
      <c r="H233" s="56"/>
      <c r="I233" s="57" t="str">
        <f aca="false">IF(G233="","",G233*H233)</f>
        <v/>
      </c>
      <c r="J233" s="55"/>
      <c r="K233" s="55"/>
      <c r="L233" s="57" t="str">
        <f aca="false">IF(OR(B233="",G233=""),"",G233-E233-F233-I233-J233-K233)</f>
        <v/>
      </c>
      <c r="M233" s="58" t="str">
        <f aca="false">IF(L233="","",IF(G233=0,0,L233/G233))</f>
        <v/>
      </c>
      <c r="N233" s="53"/>
      <c r="O233" s="59" t="str">
        <f aca="false">IF(M233="","",IF(M233&lt;0.15,"⚠ LOW MARGIN / MARGEN BAJO","✔ OK"))</f>
        <v/>
      </c>
      <c r="P233" s="52" t="n">
        <f aca="false">IF(Q233=1,L233+ROW()/1000000,-1000000000000000)</f>
        <v>-1000000000000000</v>
      </c>
      <c r="Q233" s="52" t="n">
        <f aca="false">IF(B233="",0,IF(G233="",0,IF(N233="Returned / Devuelto",0,1)))</f>
        <v>0</v>
      </c>
      <c r="R233" s="52" t="n">
        <f aca="false">IF(Q233=1,IF(ISNUMBER(D233),YEAR(D233)*100+MONTH(D233),0),0)</f>
        <v>0</v>
      </c>
      <c r="S233" s="52" t="n">
        <f aca="false">IF(Q233=1,IF(M233&lt;0.15,1,0),0)</f>
        <v>0</v>
      </c>
    </row>
    <row r="234" customFormat="false" ht="15" hidden="false" customHeight="false" outlineLevel="0" collapsed="false">
      <c r="B234" s="53"/>
      <c r="C234" s="53"/>
      <c r="D234" s="54"/>
      <c r="E234" s="55"/>
      <c r="F234" s="55"/>
      <c r="G234" s="55"/>
      <c r="H234" s="56"/>
      <c r="I234" s="57" t="str">
        <f aca="false">IF(G234="","",G234*H234)</f>
        <v/>
      </c>
      <c r="J234" s="55"/>
      <c r="K234" s="55"/>
      <c r="L234" s="57" t="str">
        <f aca="false">IF(OR(B234="",G234=""),"",G234-E234-F234-I234-J234-K234)</f>
        <v/>
      </c>
      <c r="M234" s="58" t="str">
        <f aca="false">IF(L234="","",IF(G234=0,0,L234/G234))</f>
        <v/>
      </c>
      <c r="N234" s="53"/>
      <c r="O234" s="59" t="str">
        <f aca="false">IF(M234="","",IF(M234&lt;0.15,"⚠ LOW MARGIN / MARGEN BAJO","✔ OK"))</f>
        <v/>
      </c>
      <c r="P234" s="52" t="n">
        <f aca="false">IF(Q234=1,L234+ROW()/1000000,-1000000000000000)</f>
        <v>-1000000000000000</v>
      </c>
      <c r="Q234" s="52" t="n">
        <f aca="false">IF(B234="",0,IF(G234="",0,IF(N234="Returned / Devuelto",0,1)))</f>
        <v>0</v>
      </c>
      <c r="R234" s="52" t="n">
        <f aca="false">IF(Q234=1,IF(ISNUMBER(D234),YEAR(D234)*100+MONTH(D234),0),0)</f>
        <v>0</v>
      </c>
      <c r="S234" s="52" t="n">
        <f aca="false">IF(Q234=1,IF(M234&lt;0.15,1,0),0)</f>
        <v>0</v>
      </c>
    </row>
    <row r="235" customFormat="false" ht="15" hidden="false" customHeight="false" outlineLevel="0" collapsed="false">
      <c r="B235" s="53"/>
      <c r="C235" s="53"/>
      <c r="D235" s="54"/>
      <c r="E235" s="55"/>
      <c r="F235" s="55"/>
      <c r="G235" s="55"/>
      <c r="H235" s="56"/>
      <c r="I235" s="57" t="str">
        <f aca="false">IF(G235="","",G235*H235)</f>
        <v/>
      </c>
      <c r="J235" s="55"/>
      <c r="K235" s="55"/>
      <c r="L235" s="57" t="str">
        <f aca="false">IF(OR(B235="",G235=""),"",G235-E235-F235-I235-J235-K235)</f>
        <v/>
      </c>
      <c r="M235" s="58" t="str">
        <f aca="false">IF(L235="","",IF(G235=0,0,L235/G235))</f>
        <v/>
      </c>
      <c r="N235" s="53"/>
      <c r="O235" s="59" t="str">
        <f aca="false">IF(M235="","",IF(M235&lt;0.15,"⚠ LOW MARGIN / MARGEN BAJO","✔ OK"))</f>
        <v/>
      </c>
      <c r="P235" s="52" t="n">
        <f aca="false">IF(Q235=1,L235+ROW()/1000000,-1000000000000000)</f>
        <v>-1000000000000000</v>
      </c>
      <c r="Q235" s="52" t="n">
        <f aca="false">IF(B235="",0,IF(G235="",0,IF(N235="Returned / Devuelto",0,1)))</f>
        <v>0</v>
      </c>
      <c r="R235" s="52" t="n">
        <f aca="false">IF(Q235=1,IF(ISNUMBER(D235),YEAR(D235)*100+MONTH(D235),0),0)</f>
        <v>0</v>
      </c>
      <c r="S235" s="52" t="n">
        <f aca="false">IF(Q235=1,IF(M235&lt;0.15,1,0),0)</f>
        <v>0</v>
      </c>
    </row>
    <row r="236" customFormat="false" ht="15" hidden="false" customHeight="false" outlineLevel="0" collapsed="false">
      <c r="B236" s="53"/>
      <c r="C236" s="53"/>
      <c r="D236" s="54"/>
      <c r="E236" s="55"/>
      <c r="F236" s="55"/>
      <c r="G236" s="55"/>
      <c r="H236" s="56"/>
      <c r="I236" s="57" t="str">
        <f aca="false">IF(G236="","",G236*H236)</f>
        <v/>
      </c>
      <c r="J236" s="55"/>
      <c r="K236" s="55"/>
      <c r="L236" s="57" t="str">
        <f aca="false">IF(OR(B236="",G236=""),"",G236-E236-F236-I236-J236-K236)</f>
        <v/>
      </c>
      <c r="M236" s="58" t="str">
        <f aca="false">IF(L236="","",IF(G236=0,0,L236/G236))</f>
        <v/>
      </c>
      <c r="N236" s="53"/>
      <c r="O236" s="59" t="str">
        <f aca="false">IF(M236="","",IF(M236&lt;0.15,"⚠ LOW MARGIN / MARGEN BAJO","✔ OK"))</f>
        <v/>
      </c>
      <c r="P236" s="52" t="n">
        <f aca="false">IF(Q236=1,L236+ROW()/1000000,-1000000000000000)</f>
        <v>-1000000000000000</v>
      </c>
      <c r="Q236" s="52" t="n">
        <f aca="false">IF(B236="",0,IF(G236="",0,IF(N236="Returned / Devuelto",0,1)))</f>
        <v>0</v>
      </c>
      <c r="R236" s="52" t="n">
        <f aca="false">IF(Q236=1,IF(ISNUMBER(D236),YEAR(D236)*100+MONTH(D236),0),0)</f>
        <v>0</v>
      </c>
      <c r="S236" s="52" t="n">
        <f aca="false">IF(Q236=1,IF(M236&lt;0.15,1,0),0)</f>
        <v>0</v>
      </c>
    </row>
    <row r="237" customFormat="false" ht="15" hidden="false" customHeight="false" outlineLevel="0" collapsed="false">
      <c r="B237" s="53"/>
      <c r="C237" s="53"/>
      <c r="D237" s="54"/>
      <c r="E237" s="55"/>
      <c r="F237" s="55"/>
      <c r="G237" s="55"/>
      <c r="H237" s="56"/>
      <c r="I237" s="57" t="str">
        <f aca="false">IF(G237="","",G237*H237)</f>
        <v/>
      </c>
      <c r="J237" s="55"/>
      <c r="K237" s="55"/>
      <c r="L237" s="57" t="str">
        <f aca="false">IF(OR(B237="",G237=""),"",G237-E237-F237-I237-J237-K237)</f>
        <v/>
      </c>
      <c r="M237" s="58" t="str">
        <f aca="false">IF(L237="","",IF(G237=0,0,L237/G237))</f>
        <v/>
      </c>
      <c r="N237" s="53"/>
      <c r="O237" s="59" t="str">
        <f aca="false">IF(M237="","",IF(M237&lt;0.15,"⚠ LOW MARGIN / MARGEN BAJO","✔ OK"))</f>
        <v/>
      </c>
      <c r="P237" s="52" t="n">
        <f aca="false">IF(Q237=1,L237+ROW()/1000000,-1000000000000000)</f>
        <v>-1000000000000000</v>
      </c>
      <c r="Q237" s="52" t="n">
        <f aca="false">IF(B237="",0,IF(G237="",0,IF(N237="Returned / Devuelto",0,1)))</f>
        <v>0</v>
      </c>
      <c r="R237" s="52" t="n">
        <f aca="false">IF(Q237=1,IF(ISNUMBER(D237),YEAR(D237)*100+MONTH(D237),0),0)</f>
        <v>0</v>
      </c>
      <c r="S237" s="52" t="n">
        <f aca="false">IF(Q237=1,IF(M237&lt;0.15,1,0),0)</f>
        <v>0</v>
      </c>
    </row>
    <row r="238" customFormat="false" ht="15" hidden="false" customHeight="false" outlineLevel="0" collapsed="false">
      <c r="B238" s="53"/>
      <c r="C238" s="53"/>
      <c r="D238" s="54"/>
      <c r="E238" s="55"/>
      <c r="F238" s="55"/>
      <c r="G238" s="55"/>
      <c r="H238" s="56"/>
      <c r="I238" s="57" t="str">
        <f aca="false">IF(G238="","",G238*H238)</f>
        <v/>
      </c>
      <c r="J238" s="55"/>
      <c r="K238" s="55"/>
      <c r="L238" s="57" t="str">
        <f aca="false">IF(OR(B238="",G238=""),"",G238-E238-F238-I238-J238-K238)</f>
        <v/>
      </c>
      <c r="M238" s="58" t="str">
        <f aca="false">IF(L238="","",IF(G238=0,0,L238/G238))</f>
        <v/>
      </c>
      <c r="N238" s="53"/>
      <c r="O238" s="59" t="str">
        <f aca="false">IF(M238="","",IF(M238&lt;0.15,"⚠ LOW MARGIN / MARGEN BAJO","✔ OK"))</f>
        <v/>
      </c>
      <c r="P238" s="52" t="n">
        <f aca="false">IF(Q238=1,L238+ROW()/1000000,-1000000000000000)</f>
        <v>-1000000000000000</v>
      </c>
      <c r="Q238" s="52" t="n">
        <f aca="false">IF(B238="",0,IF(G238="",0,IF(N238="Returned / Devuelto",0,1)))</f>
        <v>0</v>
      </c>
      <c r="R238" s="52" t="n">
        <f aca="false">IF(Q238=1,IF(ISNUMBER(D238),YEAR(D238)*100+MONTH(D238),0),0)</f>
        <v>0</v>
      </c>
      <c r="S238" s="52" t="n">
        <f aca="false">IF(Q238=1,IF(M238&lt;0.15,1,0),0)</f>
        <v>0</v>
      </c>
    </row>
    <row r="239" customFormat="false" ht="15" hidden="false" customHeight="false" outlineLevel="0" collapsed="false">
      <c r="B239" s="53"/>
      <c r="C239" s="53"/>
      <c r="D239" s="54"/>
      <c r="E239" s="55"/>
      <c r="F239" s="55"/>
      <c r="G239" s="55"/>
      <c r="H239" s="56"/>
      <c r="I239" s="57" t="str">
        <f aca="false">IF(G239="","",G239*H239)</f>
        <v/>
      </c>
      <c r="J239" s="55"/>
      <c r="K239" s="55"/>
      <c r="L239" s="57" t="str">
        <f aca="false">IF(OR(B239="",G239=""),"",G239-E239-F239-I239-J239-K239)</f>
        <v/>
      </c>
      <c r="M239" s="58" t="str">
        <f aca="false">IF(L239="","",IF(G239=0,0,L239/G239))</f>
        <v/>
      </c>
      <c r="N239" s="53"/>
      <c r="O239" s="59" t="str">
        <f aca="false">IF(M239="","",IF(M239&lt;0.15,"⚠ LOW MARGIN / MARGEN BAJO","✔ OK"))</f>
        <v/>
      </c>
      <c r="P239" s="52" t="n">
        <f aca="false">IF(Q239=1,L239+ROW()/1000000,-1000000000000000)</f>
        <v>-1000000000000000</v>
      </c>
      <c r="Q239" s="52" t="n">
        <f aca="false">IF(B239="",0,IF(G239="",0,IF(N239="Returned / Devuelto",0,1)))</f>
        <v>0</v>
      </c>
      <c r="R239" s="52" t="n">
        <f aca="false">IF(Q239=1,IF(ISNUMBER(D239),YEAR(D239)*100+MONTH(D239),0),0)</f>
        <v>0</v>
      </c>
      <c r="S239" s="52" t="n">
        <f aca="false">IF(Q239=1,IF(M239&lt;0.15,1,0),0)</f>
        <v>0</v>
      </c>
    </row>
    <row r="240" customFormat="false" ht="15" hidden="false" customHeight="false" outlineLevel="0" collapsed="false">
      <c r="B240" s="53"/>
      <c r="C240" s="53"/>
      <c r="D240" s="54"/>
      <c r="E240" s="55"/>
      <c r="F240" s="55"/>
      <c r="G240" s="55"/>
      <c r="H240" s="56"/>
      <c r="I240" s="57" t="str">
        <f aca="false">IF(G240="","",G240*H240)</f>
        <v/>
      </c>
      <c r="J240" s="55"/>
      <c r="K240" s="55"/>
      <c r="L240" s="57" t="str">
        <f aca="false">IF(OR(B240="",G240=""),"",G240-E240-F240-I240-J240-K240)</f>
        <v/>
      </c>
      <c r="M240" s="58" t="str">
        <f aca="false">IF(L240="","",IF(G240=0,0,L240/G240))</f>
        <v/>
      </c>
      <c r="N240" s="53"/>
      <c r="O240" s="59" t="str">
        <f aca="false">IF(M240="","",IF(M240&lt;0.15,"⚠ LOW MARGIN / MARGEN BAJO","✔ OK"))</f>
        <v/>
      </c>
      <c r="P240" s="52" t="n">
        <f aca="false">IF(Q240=1,L240+ROW()/1000000,-1000000000000000)</f>
        <v>-1000000000000000</v>
      </c>
      <c r="Q240" s="52" t="n">
        <f aca="false">IF(B240="",0,IF(G240="",0,IF(N240="Returned / Devuelto",0,1)))</f>
        <v>0</v>
      </c>
      <c r="R240" s="52" t="n">
        <f aca="false">IF(Q240=1,IF(ISNUMBER(D240),YEAR(D240)*100+MONTH(D240),0),0)</f>
        <v>0</v>
      </c>
      <c r="S240" s="52" t="n">
        <f aca="false">IF(Q240=1,IF(M240&lt;0.15,1,0),0)</f>
        <v>0</v>
      </c>
    </row>
    <row r="241" customFormat="false" ht="15" hidden="false" customHeight="false" outlineLevel="0" collapsed="false">
      <c r="B241" s="53"/>
      <c r="C241" s="53"/>
      <c r="D241" s="54"/>
      <c r="E241" s="55"/>
      <c r="F241" s="55"/>
      <c r="G241" s="55"/>
      <c r="H241" s="56"/>
      <c r="I241" s="57" t="str">
        <f aca="false">IF(G241="","",G241*H241)</f>
        <v/>
      </c>
      <c r="J241" s="55"/>
      <c r="K241" s="55"/>
      <c r="L241" s="57" t="str">
        <f aca="false">IF(OR(B241="",G241=""),"",G241-E241-F241-I241-J241-K241)</f>
        <v/>
      </c>
      <c r="M241" s="58" t="str">
        <f aca="false">IF(L241="","",IF(G241=0,0,L241/G241))</f>
        <v/>
      </c>
      <c r="N241" s="53"/>
      <c r="O241" s="59" t="str">
        <f aca="false">IF(M241="","",IF(M241&lt;0.15,"⚠ LOW MARGIN / MARGEN BAJO","✔ OK"))</f>
        <v/>
      </c>
      <c r="P241" s="52" t="n">
        <f aca="false">IF(Q241=1,L241+ROW()/1000000,-1000000000000000)</f>
        <v>-1000000000000000</v>
      </c>
      <c r="Q241" s="52" t="n">
        <f aca="false">IF(B241="",0,IF(G241="",0,IF(N241="Returned / Devuelto",0,1)))</f>
        <v>0</v>
      </c>
      <c r="R241" s="52" t="n">
        <f aca="false">IF(Q241=1,IF(ISNUMBER(D241),YEAR(D241)*100+MONTH(D241),0),0)</f>
        <v>0</v>
      </c>
      <c r="S241" s="52" t="n">
        <f aca="false">IF(Q241=1,IF(M241&lt;0.15,1,0),0)</f>
        <v>0</v>
      </c>
    </row>
    <row r="242" customFormat="false" ht="15" hidden="false" customHeight="false" outlineLevel="0" collapsed="false">
      <c r="B242" s="53"/>
      <c r="C242" s="53"/>
      <c r="D242" s="54"/>
      <c r="E242" s="55"/>
      <c r="F242" s="55"/>
      <c r="G242" s="55"/>
      <c r="H242" s="56"/>
      <c r="I242" s="57" t="str">
        <f aca="false">IF(G242="","",G242*H242)</f>
        <v/>
      </c>
      <c r="J242" s="55"/>
      <c r="K242" s="55"/>
      <c r="L242" s="57" t="str">
        <f aca="false">IF(OR(B242="",G242=""),"",G242-E242-F242-I242-J242-K242)</f>
        <v/>
      </c>
      <c r="M242" s="58" t="str">
        <f aca="false">IF(L242="","",IF(G242=0,0,L242/G242))</f>
        <v/>
      </c>
      <c r="N242" s="53"/>
      <c r="O242" s="59" t="str">
        <f aca="false">IF(M242="","",IF(M242&lt;0.15,"⚠ LOW MARGIN / MARGEN BAJO","✔ OK"))</f>
        <v/>
      </c>
      <c r="P242" s="52" t="n">
        <f aca="false">IF(Q242=1,L242+ROW()/1000000,-1000000000000000)</f>
        <v>-1000000000000000</v>
      </c>
      <c r="Q242" s="52" t="n">
        <f aca="false">IF(B242="",0,IF(G242="",0,IF(N242="Returned / Devuelto",0,1)))</f>
        <v>0</v>
      </c>
      <c r="R242" s="52" t="n">
        <f aca="false">IF(Q242=1,IF(ISNUMBER(D242),YEAR(D242)*100+MONTH(D242),0),0)</f>
        <v>0</v>
      </c>
      <c r="S242" s="52" t="n">
        <f aca="false">IF(Q242=1,IF(M242&lt;0.15,1,0),0)</f>
        <v>0</v>
      </c>
    </row>
    <row r="243" customFormat="false" ht="15" hidden="false" customHeight="false" outlineLevel="0" collapsed="false">
      <c r="B243" s="53"/>
      <c r="C243" s="53"/>
      <c r="D243" s="54"/>
      <c r="E243" s="55"/>
      <c r="F243" s="55"/>
      <c r="G243" s="55"/>
      <c r="H243" s="56"/>
      <c r="I243" s="57" t="str">
        <f aca="false">IF(G243="","",G243*H243)</f>
        <v/>
      </c>
      <c r="J243" s="55"/>
      <c r="K243" s="55"/>
      <c r="L243" s="57" t="str">
        <f aca="false">IF(OR(B243="",G243=""),"",G243-E243-F243-I243-J243-K243)</f>
        <v/>
      </c>
      <c r="M243" s="58" t="str">
        <f aca="false">IF(L243="","",IF(G243=0,0,L243/G243))</f>
        <v/>
      </c>
      <c r="N243" s="53"/>
      <c r="O243" s="59" t="str">
        <f aca="false">IF(M243="","",IF(M243&lt;0.15,"⚠ LOW MARGIN / MARGEN BAJO","✔ OK"))</f>
        <v/>
      </c>
      <c r="P243" s="52" t="n">
        <f aca="false">IF(Q243=1,L243+ROW()/1000000,-1000000000000000)</f>
        <v>-1000000000000000</v>
      </c>
      <c r="Q243" s="52" t="n">
        <f aca="false">IF(B243="",0,IF(G243="",0,IF(N243="Returned / Devuelto",0,1)))</f>
        <v>0</v>
      </c>
      <c r="R243" s="52" t="n">
        <f aca="false">IF(Q243=1,IF(ISNUMBER(D243),YEAR(D243)*100+MONTH(D243),0),0)</f>
        <v>0</v>
      </c>
      <c r="S243" s="52" t="n">
        <f aca="false">IF(Q243=1,IF(M243&lt;0.15,1,0),0)</f>
        <v>0</v>
      </c>
    </row>
    <row r="244" customFormat="false" ht="15" hidden="false" customHeight="false" outlineLevel="0" collapsed="false">
      <c r="B244" s="53"/>
      <c r="C244" s="53"/>
      <c r="D244" s="54"/>
      <c r="E244" s="55"/>
      <c r="F244" s="55"/>
      <c r="G244" s="55"/>
      <c r="H244" s="56"/>
      <c r="I244" s="57" t="str">
        <f aca="false">IF(G244="","",G244*H244)</f>
        <v/>
      </c>
      <c r="J244" s="55"/>
      <c r="K244" s="55"/>
      <c r="L244" s="57" t="str">
        <f aca="false">IF(OR(B244="",G244=""),"",G244-E244-F244-I244-J244-K244)</f>
        <v/>
      </c>
      <c r="M244" s="58" t="str">
        <f aca="false">IF(L244="","",IF(G244=0,0,L244/G244))</f>
        <v/>
      </c>
      <c r="N244" s="53"/>
      <c r="O244" s="59" t="str">
        <f aca="false">IF(M244="","",IF(M244&lt;0.15,"⚠ LOW MARGIN / MARGEN BAJO","✔ OK"))</f>
        <v/>
      </c>
      <c r="P244" s="52" t="n">
        <f aca="false">IF(Q244=1,L244+ROW()/1000000,-1000000000000000)</f>
        <v>-1000000000000000</v>
      </c>
      <c r="Q244" s="52" t="n">
        <f aca="false">IF(B244="",0,IF(G244="",0,IF(N244="Returned / Devuelto",0,1)))</f>
        <v>0</v>
      </c>
      <c r="R244" s="52" t="n">
        <f aca="false">IF(Q244=1,IF(ISNUMBER(D244),YEAR(D244)*100+MONTH(D244),0),0)</f>
        <v>0</v>
      </c>
      <c r="S244" s="52" t="n">
        <f aca="false">IF(Q244=1,IF(M244&lt;0.15,1,0),0)</f>
        <v>0</v>
      </c>
    </row>
    <row r="245" customFormat="false" ht="15" hidden="false" customHeight="false" outlineLevel="0" collapsed="false">
      <c r="B245" s="53"/>
      <c r="C245" s="53"/>
      <c r="D245" s="54"/>
      <c r="E245" s="55"/>
      <c r="F245" s="55"/>
      <c r="G245" s="55"/>
      <c r="H245" s="56"/>
      <c r="I245" s="57" t="str">
        <f aca="false">IF(G245="","",G245*H245)</f>
        <v/>
      </c>
      <c r="J245" s="55"/>
      <c r="K245" s="55"/>
      <c r="L245" s="57" t="str">
        <f aca="false">IF(OR(B245="",G245=""),"",G245-E245-F245-I245-J245-K245)</f>
        <v/>
      </c>
      <c r="M245" s="58" t="str">
        <f aca="false">IF(L245="","",IF(G245=0,0,L245/G245))</f>
        <v/>
      </c>
      <c r="N245" s="53"/>
      <c r="O245" s="59" t="str">
        <f aca="false">IF(M245="","",IF(M245&lt;0.15,"⚠ LOW MARGIN / MARGEN BAJO","✔ OK"))</f>
        <v/>
      </c>
      <c r="P245" s="52" t="n">
        <f aca="false">IF(Q245=1,L245+ROW()/1000000,-1000000000000000)</f>
        <v>-1000000000000000</v>
      </c>
      <c r="Q245" s="52" t="n">
        <f aca="false">IF(B245="",0,IF(G245="",0,IF(N245="Returned / Devuelto",0,1)))</f>
        <v>0</v>
      </c>
      <c r="R245" s="52" t="n">
        <f aca="false">IF(Q245=1,IF(ISNUMBER(D245),YEAR(D245)*100+MONTH(D245),0),0)</f>
        <v>0</v>
      </c>
      <c r="S245" s="52" t="n">
        <f aca="false">IF(Q245=1,IF(M245&lt;0.15,1,0),0)</f>
        <v>0</v>
      </c>
    </row>
    <row r="246" customFormat="false" ht="15" hidden="false" customHeight="false" outlineLevel="0" collapsed="false">
      <c r="B246" s="53"/>
      <c r="C246" s="53"/>
      <c r="D246" s="54"/>
      <c r="E246" s="55"/>
      <c r="F246" s="55"/>
      <c r="G246" s="55"/>
      <c r="H246" s="56"/>
      <c r="I246" s="57" t="str">
        <f aca="false">IF(G246="","",G246*H246)</f>
        <v/>
      </c>
      <c r="J246" s="55"/>
      <c r="K246" s="55"/>
      <c r="L246" s="57" t="str">
        <f aca="false">IF(OR(B246="",G246=""),"",G246-E246-F246-I246-J246-K246)</f>
        <v/>
      </c>
      <c r="M246" s="58" t="str">
        <f aca="false">IF(L246="","",IF(G246=0,0,L246/G246))</f>
        <v/>
      </c>
      <c r="N246" s="53"/>
      <c r="O246" s="59" t="str">
        <f aca="false">IF(M246="","",IF(M246&lt;0.15,"⚠ LOW MARGIN / MARGEN BAJO","✔ OK"))</f>
        <v/>
      </c>
      <c r="P246" s="52" t="n">
        <f aca="false">IF(Q246=1,L246+ROW()/1000000,-1000000000000000)</f>
        <v>-1000000000000000</v>
      </c>
      <c r="Q246" s="52" t="n">
        <f aca="false">IF(B246="",0,IF(G246="",0,IF(N246="Returned / Devuelto",0,1)))</f>
        <v>0</v>
      </c>
      <c r="R246" s="52" t="n">
        <f aca="false">IF(Q246=1,IF(ISNUMBER(D246),YEAR(D246)*100+MONTH(D246),0),0)</f>
        <v>0</v>
      </c>
      <c r="S246" s="52" t="n">
        <f aca="false">IF(Q246=1,IF(M246&lt;0.15,1,0),0)</f>
        <v>0</v>
      </c>
    </row>
    <row r="247" customFormat="false" ht="15" hidden="false" customHeight="false" outlineLevel="0" collapsed="false">
      <c r="B247" s="53"/>
      <c r="C247" s="53"/>
      <c r="D247" s="54"/>
      <c r="E247" s="55"/>
      <c r="F247" s="55"/>
      <c r="G247" s="55"/>
      <c r="H247" s="56"/>
      <c r="I247" s="57" t="str">
        <f aca="false">IF(G247="","",G247*H247)</f>
        <v/>
      </c>
      <c r="J247" s="55"/>
      <c r="K247" s="55"/>
      <c r="L247" s="57" t="str">
        <f aca="false">IF(OR(B247="",G247=""),"",G247-E247-F247-I247-J247-K247)</f>
        <v/>
      </c>
      <c r="M247" s="58" t="str">
        <f aca="false">IF(L247="","",IF(G247=0,0,L247/G247))</f>
        <v/>
      </c>
      <c r="N247" s="53"/>
      <c r="O247" s="59" t="str">
        <f aca="false">IF(M247="","",IF(M247&lt;0.15,"⚠ LOW MARGIN / MARGEN BAJO","✔ OK"))</f>
        <v/>
      </c>
      <c r="P247" s="52" t="n">
        <f aca="false">IF(Q247=1,L247+ROW()/1000000,-1000000000000000)</f>
        <v>-1000000000000000</v>
      </c>
      <c r="Q247" s="52" t="n">
        <f aca="false">IF(B247="",0,IF(G247="",0,IF(N247="Returned / Devuelto",0,1)))</f>
        <v>0</v>
      </c>
      <c r="R247" s="52" t="n">
        <f aca="false">IF(Q247=1,IF(ISNUMBER(D247),YEAR(D247)*100+MONTH(D247),0),0)</f>
        <v>0</v>
      </c>
      <c r="S247" s="52" t="n">
        <f aca="false">IF(Q247=1,IF(M247&lt;0.15,1,0),0)</f>
        <v>0</v>
      </c>
    </row>
    <row r="248" customFormat="false" ht="15" hidden="false" customHeight="false" outlineLevel="0" collapsed="false">
      <c r="B248" s="53"/>
      <c r="C248" s="53"/>
      <c r="D248" s="54"/>
      <c r="E248" s="55"/>
      <c r="F248" s="55"/>
      <c r="G248" s="55"/>
      <c r="H248" s="56"/>
      <c r="I248" s="57" t="str">
        <f aca="false">IF(G248="","",G248*H248)</f>
        <v/>
      </c>
      <c r="J248" s="55"/>
      <c r="K248" s="55"/>
      <c r="L248" s="57" t="str">
        <f aca="false">IF(OR(B248="",G248=""),"",G248-E248-F248-I248-J248-K248)</f>
        <v/>
      </c>
      <c r="M248" s="58" t="str">
        <f aca="false">IF(L248="","",IF(G248=0,0,L248/G248))</f>
        <v/>
      </c>
      <c r="N248" s="53"/>
      <c r="O248" s="59" t="str">
        <f aca="false">IF(M248="","",IF(M248&lt;0.15,"⚠ LOW MARGIN / MARGEN BAJO","✔ OK"))</f>
        <v/>
      </c>
      <c r="P248" s="52" t="n">
        <f aca="false">IF(Q248=1,L248+ROW()/1000000,-1000000000000000)</f>
        <v>-1000000000000000</v>
      </c>
      <c r="Q248" s="52" t="n">
        <f aca="false">IF(B248="",0,IF(G248="",0,IF(N248="Returned / Devuelto",0,1)))</f>
        <v>0</v>
      </c>
      <c r="R248" s="52" t="n">
        <f aca="false">IF(Q248=1,IF(ISNUMBER(D248),YEAR(D248)*100+MONTH(D248),0),0)</f>
        <v>0</v>
      </c>
      <c r="S248" s="52" t="n">
        <f aca="false">IF(Q248=1,IF(M248&lt;0.15,1,0),0)</f>
        <v>0</v>
      </c>
    </row>
    <row r="249" customFormat="false" ht="15" hidden="false" customHeight="false" outlineLevel="0" collapsed="false">
      <c r="B249" s="53"/>
      <c r="C249" s="53"/>
      <c r="D249" s="54"/>
      <c r="E249" s="55"/>
      <c r="F249" s="55"/>
      <c r="G249" s="55"/>
      <c r="H249" s="56"/>
      <c r="I249" s="57" t="str">
        <f aca="false">IF(G249="","",G249*H249)</f>
        <v/>
      </c>
      <c r="J249" s="55"/>
      <c r="K249" s="55"/>
      <c r="L249" s="57" t="str">
        <f aca="false">IF(OR(B249="",G249=""),"",G249-E249-F249-I249-J249-K249)</f>
        <v/>
      </c>
      <c r="M249" s="58" t="str">
        <f aca="false">IF(L249="","",IF(G249=0,0,L249/G249))</f>
        <v/>
      </c>
      <c r="N249" s="53"/>
      <c r="O249" s="59" t="str">
        <f aca="false">IF(M249="","",IF(M249&lt;0.15,"⚠ LOW MARGIN / MARGEN BAJO","✔ OK"))</f>
        <v/>
      </c>
      <c r="P249" s="52" t="n">
        <f aca="false">IF(Q249=1,L249+ROW()/1000000,-1000000000000000)</f>
        <v>-1000000000000000</v>
      </c>
      <c r="Q249" s="52" t="n">
        <f aca="false">IF(B249="",0,IF(G249="",0,IF(N249="Returned / Devuelto",0,1)))</f>
        <v>0</v>
      </c>
      <c r="R249" s="52" t="n">
        <f aca="false">IF(Q249=1,IF(ISNUMBER(D249),YEAR(D249)*100+MONTH(D249),0),0)</f>
        <v>0</v>
      </c>
      <c r="S249" s="52" t="n">
        <f aca="false">IF(Q249=1,IF(M249&lt;0.15,1,0),0)</f>
        <v>0</v>
      </c>
    </row>
    <row r="250" customFormat="false" ht="15" hidden="false" customHeight="false" outlineLevel="0" collapsed="false">
      <c r="B250" s="53"/>
      <c r="C250" s="53"/>
      <c r="D250" s="54"/>
      <c r="E250" s="55"/>
      <c r="F250" s="55"/>
      <c r="G250" s="55"/>
      <c r="H250" s="56"/>
      <c r="I250" s="57" t="str">
        <f aca="false">IF(G250="","",G250*H250)</f>
        <v/>
      </c>
      <c r="J250" s="55"/>
      <c r="K250" s="55"/>
      <c r="L250" s="57" t="str">
        <f aca="false">IF(OR(B250="",G250=""),"",G250-E250-F250-I250-J250-K250)</f>
        <v/>
      </c>
      <c r="M250" s="58" t="str">
        <f aca="false">IF(L250="","",IF(G250=0,0,L250/G250))</f>
        <v/>
      </c>
      <c r="N250" s="53"/>
      <c r="O250" s="59" t="str">
        <f aca="false">IF(M250="","",IF(M250&lt;0.15,"⚠ LOW MARGIN / MARGEN BAJO","✔ OK"))</f>
        <v/>
      </c>
      <c r="P250" s="52" t="n">
        <f aca="false">IF(Q250=1,L250+ROW()/1000000,-1000000000000000)</f>
        <v>-1000000000000000</v>
      </c>
      <c r="Q250" s="52" t="n">
        <f aca="false">IF(B250="",0,IF(G250="",0,IF(N250="Returned / Devuelto",0,1)))</f>
        <v>0</v>
      </c>
      <c r="R250" s="52" t="n">
        <f aca="false">IF(Q250=1,IF(ISNUMBER(D250),YEAR(D250)*100+MONTH(D250),0),0)</f>
        <v>0</v>
      </c>
      <c r="S250" s="52" t="n">
        <f aca="false">IF(Q250=1,IF(M250&lt;0.15,1,0),0)</f>
        <v>0</v>
      </c>
    </row>
    <row r="251" customFormat="false" ht="15" hidden="false" customHeight="false" outlineLevel="0" collapsed="false">
      <c r="B251" s="53"/>
      <c r="C251" s="53"/>
      <c r="D251" s="54"/>
      <c r="E251" s="55"/>
      <c r="F251" s="55"/>
      <c r="G251" s="55"/>
      <c r="H251" s="56"/>
      <c r="I251" s="57" t="str">
        <f aca="false">IF(G251="","",G251*H251)</f>
        <v/>
      </c>
      <c r="J251" s="55"/>
      <c r="K251" s="55"/>
      <c r="L251" s="57" t="str">
        <f aca="false">IF(OR(B251="",G251=""),"",G251-E251-F251-I251-J251-K251)</f>
        <v/>
      </c>
      <c r="M251" s="58" t="str">
        <f aca="false">IF(L251="","",IF(G251=0,0,L251/G251))</f>
        <v/>
      </c>
      <c r="N251" s="53"/>
      <c r="O251" s="59" t="str">
        <f aca="false">IF(M251="","",IF(M251&lt;0.15,"⚠ LOW MARGIN / MARGEN BAJO","✔ OK"))</f>
        <v/>
      </c>
      <c r="P251" s="52" t="n">
        <f aca="false">IF(Q251=1,L251+ROW()/1000000,-1000000000000000)</f>
        <v>-1000000000000000</v>
      </c>
      <c r="Q251" s="52" t="n">
        <f aca="false">IF(B251="",0,IF(G251="",0,IF(N251="Returned / Devuelto",0,1)))</f>
        <v>0</v>
      </c>
      <c r="R251" s="52" t="n">
        <f aca="false">IF(Q251=1,IF(ISNUMBER(D251),YEAR(D251)*100+MONTH(D251),0),0)</f>
        <v>0</v>
      </c>
      <c r="S251" s="52" t="n">
        <f aca="false">IF(Q251=1,IF(M251&lt;0.15,1,0),0)</f>
        <v>0</v>
      </c>
    </row>
    <row r="252" customFormat="false" ht="15" hidden="false" customHeight="false" outlineLevel="0" collapsed="false">
      <c r="B252" s="53"/>
      <c r="C252" s="53"/>
      <c r="D252" s="54"/>
      <c r="E252" s="55"/>
      <c r="F252" s="55"/>
      <c r="G252" s="55"/>
      <c r="H252" s="56"/>
      <c r="I252" s="57" t="str">
        <f aca="false">IF(G252="","",G252*H252)</f>
        <v/>
      </c>
      <c r="J252" s="55"/>
      <c r="K252" s="55"/>
      <c r="L252" s="57" t="str">
        <f aca="false">IF(OR(B252="",G252=""),"",G252-E252-F252-I252-J252-K252)</f>
        <v/>
      </c>
      <c r="M252" s="58" t="str">
        <f aca="false">IF(L252="","",IF(G252=0,0,L252/G252))</f>
        <v/>
      </c>
      <c r="N252" s="53"/>
      <c r="O252" s="59" t="str">
        <f aca="false">IF(M252="","",IF(M252&lt;0.15,"⚠ LOW MARGIN / MARGEN BAJO","✔ OK"))</f>
        <v/>
      </c>
      <c r="P252" s="52" t="n">
        <f aca="false">IF(Q252=1,L252+ROW()/1000000,-1000000000000000)</f>
        <v>-1000000000000000</v>
      </c>
      <c r="Q252" s="52" t="n">
        <f aca="false">IF(B252="",0,IF(G252="",0,IF(N252="Returned / Devuelto",0,1)))</f>
        <v>0</v>
      </c>
      <c r="R252" s="52" t="n">
        <f aca="false">IF(Q252=1,IF(ISNUMBER(D252),YEAR(D252)*100+MONTH(D252),0),0)</f>
        <v>0</v>
      </c>
      <c r="S252" s="52" t="n">
        <f aca="false">IF(Q252=1,IF(M252&lt;0.15,1,0),0)</f>
        <v>0</v>
      </c>
    </row>
    <row r="253" customFormat="false" ht="15" hidden="false" customHeight="false" outlineLevel="0" collapsed="false">
      <c r="B253" s="53"/>
      <c r="C253" s="53"/>
      <c r="D253" s="54"/>
      <c r="E253" s="55"/>
      <c r="F253" s="55"/>
      <c r="G253" s="55"/>
      <c r="H253" s="56"/>
      <c r="I253" s="57" t="str">
        <f aca="false">IF(G253="","",G253*H253)</f>
        <v/>
      </c>
      <c r="J253" s="55"/>
      <c r="K253" s="55"/>
      <c r="L253" s="57" t="str">
        <f aca="false">IF(OR(B253="",G253=""),"",G253-E253-F253-I253-J253-K253)</f>
        <v/>
      </c>
      <c r="M253" s="58" t="str">
        <f aca="false">IF(L253="","",IF(G253=0,0,L253/G253))</f>
        <v/>
      </c>
      <c r="N253" s="53"/>
      <c r="O253" s="59" t="str">
        <f aca="false">IF(M253="","",IF(M253&lt;0.15,"⚠ LOW MARGIN / MARGEN BAJO","✔ OK"))</f>
        <v/>
      </c>
      <c r="P253" s="52" t="n">
        <f aca="false">IF(Q253=1,L253+ROW()/1000000,-1000000000000000)</f>
        <v>-1000000000000000</v>
      </c>
      <c r="Q253" s="52" t="n">
        <f aca="false">IF(B253="",0,IF(G253="",0,IF(N253="Returned / Devuelto",0,1)))</f>
        <v>0</v>
      </c>
      <c r="R253" s="52" t="n">
        <f aca="false">IF(Q253=1,IF(ISNUMBER(D253),YEAR(D253)*100+MONTH(D253),0),0)</f>
        <v>0</v>
      </c>
      <c r="S253" s="52" t="n">
        <f aca="false">IF(Q253=1,IF(M253&lt;0.15,1,0),0)</f>
        <v>0</v>
      </c>
    </row>
    <row r="254" customFormat="false" ht="15" hidden="false" customHeight="false" outlineLevel="0" collapsed="false">
      <c r="B254" s="53"/>
      <c r="C254" s="53"/>
      <c r="D254" s="54"/>
      <c r="E254" s="55"/>
      <c r="F254" s="55"/>
      <c r="G254" s="55"/>
      <c r="H254" s="56"/>
      <c r="I254" s="57" t="str">
        <f aca="false">IF(G254="","",G254*H254)</f>
        <v/>
      </c>
      <c r="J254" s="55"/>
      <c r="K254" s="55"/>
      <c r="L254" s="57" t="str">
        <f aca="false">IF(OR(B254="",G254=""),"",G254-E254-F254-I254-J254-K254)</f>
        <v/>
      </c>
      <c r="M254" s="58" t="str">
        <f aca="false">IF(L254="","",IF(G254=0,0,L254/G254))</f>
        <v/>
      </c>
      <c r="N254" s="53"/>
      <c r="O254" s="59" t="str">
        <f aca="false">IF(M254="","",IF(M254&lt;0.15,"⚠ LOW MARGIN / MARGEN BAJO","✔ OK"))</f>
        <v/>
      </c>
      <c r="P254" s="52" t="n">
        <f aca="false">IF(Q254=1,L254+ROW()/1000000,-1000000000000000)</f>
        <v>-1000000000000000</v>
      </c>
      <c r="Q254" s="52" t="n">
        <f aca="false">IF(B254="",0,IF(G254="",0,IF(N254="Returned / Devuelto",0,1)))</f>
        <v>0</v>
      </c>
      <c r="R254" s="52" t="n">
        <f aca="false">IF(Q254=1,IF(ISNUMBER(D254),YEAR(D254)*100+MONTH(D254),0),0)</f>
        <v>0</v>
      </c>
      <c r="S254" s="52" t="n">
        <f aca="false">IF(Q254=1,IF(M254&lt;0.15,1,0),0)</f>
        <v>0</v>
      </c>
    </row>
    <row r="255" customFormat="false" ht="15" hidden="false" customHeight="false" outlineLevel="0" collapsed="false">
      <c r="B255" s="53"/>
      <c r="C255" s="53"/>
      <c r="D255" s="54"/>
      <c r="E255" s="55"/>
      <c r="F255" s="55"/>
      <c r="G255" s="55"/>
      <c r="H255" s="56"/>
      <c r="I255" s="57" t="str">
        <f aca="false">IF(G255="","",G255*H255)</f>
        <v/>
      </c>
      <c r="J255" s="55"/>
      <c r="K255" s="55"/>
      <c r="L255" s="57" t="str">
        <f aca="false">IF(OR(B255="",G255=""),"",G255-E255-F255-I255-J255-K255)</f>
        <v/>
      </c>
      <c r="M255" s="58" t="str">
        <f aca="false">IF(L255="","",IF(G255=0,0,L255/G255))</f>
        <v/>
      </c>
      <c r="N255" s="53"/>
      <c r="O255" s="59" t="str">
        <f aca="false">IF(M255="","",IF(M255&lt;0.15,"⚠ LOW MARGIN / MARGEN BAJO","✔ OK"))</f>
        <v/>
      </c>
      <c r="P255" s="52" t="n">
        <f aca="false">IF(Q255=1,L255+ROW()/1000000,-1000000000000000)</f>
        <v>-1000000000000000</v>
      </c>
      <c r="Q255" s="52" t="n">
        <f aca="false">IF(B255="",0,IF(G255="",0,IF(N255="Returned / Devuelto",0,1)))</f>
        <v>0</v>
      </c>
      <c r="R255" s="52" t="n">
        <f aca="false">IF(Q255=1,IF(ISNUMBER(D255),YEAR(D255)*100+MONTH(D255),0),0)</f>
        <v>0</v>
      </c>
      <c r="S255" s="52" t="n">
        <f aca="false">IF(Q255=1,IF(M255&lt;0.15,1,0),0)</f>
        <v>0</v>
      </c>
    </row>
    <row r="256" customFormat="false" ht="15" hidden="false" customHeight="false" outlineLevel="0" collapsed="false">
      <c r="B256" s="53"/>
      <c r="C256" s="53"/>
      <c r="D256" s="54"/>
      <c r="E256" s="55"/>
      <c r="F256" s="55"/>
      <c r="G256" s="55"/>
      <c r="H256" s="56"/>
      <c r="I256" s="57" t="str">
        <f aca="false">IF(G256="","",G256*H256)</f>
        <v/>
      </c>
      <c r="J256" s="55"/>
      <c r="K256" s="55"/>
      <c r="L256" s="57" t="str">
        <f aca="false">IF(OR(B256="",G256=""),"",G256-E256-F256-I256-J256-K256)</f>
        <v/>
      </c>
      <c r="M256" s="58" t="str">
        <f aca="false">IF(L256="","",IF(G256=0,0,L256/G256))</f>
        <v/>
      </c>
      <c r="N256" s="53"/>
      <c r="O256" s="59" t="str">
        <f aca="false">IF(M256="","",IF(M256&lt;0.15,"⚠ LOW MARGIN / MARGEN BAJO","✔ OK"))</f>
        <v/>
      </c>
      <c r="P256" s="52" t="n">
        <f aca="false">IF(Q256=1,L256+ROW()/1000000,-1000000000000000)</f>
        <v>-1000000000000000</v>
      </c>
      <c r="Q256" s="52" t="n">
        <f aca="false">IF(B256="",0,IF(G256="",0,IF(N256="Returned / Devuelto",0,1)))</f>
        <v>0</v>
      </c>
      <c r="R256" s="52" t="n">
        <f aca="false">IF(Q256=1,IF(ISNUMBER(D256),YEAR(D256)*100+MONTH(D256),0),0)</f>
        <v>0</v>
      </c>
      <c r="S256" s="52" t="n">
        <f aca="false">IF(Q256=1,IF(M256&lt;0.15,1,0),0)</f>
        <v>0</v>
      </c>
    </row>
    <row r="257" customFormat="false" ht="15" hidden="false" customHeight="false" outlineLevel="0" collapsed="false">
      <c r="B257" s="53"/>
      <c r="C257" s="53"/>
      <c r="D257" s="54"/>
      <c r="E257" s="55"/>
      <c r="F257" s="55"/>
      <c r="G257" s="55"/>
      <c r="H257" s="56"/>
      <c r="I257" s="57" t="str">
        <f aca="false">IF(G257="","",G257*H257)</f>
        <v/>
      </c>
      <c r="J257" s="55"/>
      <c r="K257" s="55"/>
      <c r="L257" s="57" t="str">
        <f aca="false">IF(OR(B257="",G257=""),"",G257-E257-F257-I257-J257-K257)</f>
        <v/>
      </c>
      <c r="M257" s="58" t="str">
        <f aca="false">IF(L257="","",IF(G257=0,0,L257/G257))</f>
        <v/>
      </c>
      <c r="N257" s="53"/>
      <c r="O257" s="59" t="str">
        <f aca="false">IF(M257="","",IF(M257&lt;0.15,"⚠ LOW MARGIN / MARGEN BAJO","✔ OK"))</f>
        <v/>
      </c>
      <c r="P257" s="52" t="n">
        <f aca="false">IF(Q257=1,L257+ROW()/1000000,-1000000000000000)</f>
        <v>-1000000000000000</v>
      </c>
      <c r="Q257" s="52" t="n">
        <f aca="false">IF(B257="",0,IF(G257="",0,IF(N257="Returned / Devuelto",0,1)))</f>
        <v>0</v>
      </c>
      <c r="R257" s="52" t="n">
        <f aca="false">IF(Q257=1,IF(ISNUMBER(D257),YEAR(D257)*100+MONTH(D257),0),0)</f>
        <v>0</v>
      </c>
      <c r="S257" s="52" t="n">
        <f aca="false">IF(Q257=1,IF(M257&lt;0.15,1,0),0)</f>
        <v>0</v>
      </c>
    </row>
    <row r="258" customFormat="false" ht="15" hidden="false" customHeight="false" outlineLevel="0" collapsed="false">
      <c r="B258" s="53"/>
      <c r="C258" s="53"/>
      <c r="D258" s="54"/>
      <c r="E258" s="55"/>
      <c r="F258" s="55"/>
      <c r="G258" s="55"/>
      <c r="H258" s="56"/>
      <c r="I258" s="57" t="str">
        <f aca="false">IF(G258="","",G258*H258)</f>
        <v/>
      </c>
      <c r="J258" s="55"/>
      <c r="K258" s="55"/>
      <c r="L258" s="57" t="str">
        <f aca="false">IF(OR(B258="",G258=""),"",G258-E258-F258-I258-J258-K258)</f>
        <v/>
      </c>
      <c r="M258" s="58" t="str">
        <f aca="false">IF(L258="","",IF(G258=0,0,L258/G258))</f>
        <v/>
      </c>
      <c r="N258" s="53"/>
      <c r="O258" s="59" t="str">
        <f aca="false">IF(M258="","",IF(M258&lt;0.15,"⚠ LOW MARGIN / MARGEN BAJO","✔ OK"))</f>
        <v/>
      </c>
      <c r="P258" s="52" t="n">
        <f aca="false">IF(Q258=1,L258+ROW()/1000000,-1000000000000000)</f>
        <v>-1000000000000000</v>
      </c>
      <c r="Q258" s="52" t="n">
        <f aca="false">IF(B258="",0,IF(G258="",0,IF(N258="Returned / Devuelto",0,1)))</f>
        <v>0</v>
      </c>
      <c r="R258" s="52" t="n">
        <f aca="false">IF(Q258=1,IF(ISNUMBER(D258),YEAR(D258)*100+MONTH(D258),0),0)</f>
        <v>0</v>
      </c>
      <c r="S258" s="52" t="n">
        <f aca="false">IF(Q258=1,IF(M258&lt;0.15,1,0),0)</f>
        <v>0</v>
      </c>
    </row>
    <row r="259" customFormat="false" ht="15" hidden="false" customHeight="false" outlineLevel="0" collapsed="false">
      <c r="B259" s="53"/>
      <c r="C259" s="53"/>
      <c r="D259" s="54"/>
      <c r="E259" s="55"/>
      <c r="F259" s="55"/>
      <c r="G259" s="55"/>
      <c r="H259" s="56"/>
      <c r="I259" s="57" t="str">
        <f aca="false">IF(G259="","",G259*H259)</f>
        <v/>
      </c>
      <c r="J259" s="55"/>
      <c r="K259" s="55"/>
      <c r="L259" s="57" t="str">
        <f aca="false">IF(OR(B259="",G259=""),"",G259-E259-F259-I259-J259-K259)</f>
        <v/>
      </c>
      <c r="M259" s="58" t="str">
        <f aca="false">IF(L259="","",IF(G259=0,0,L259/G259))</f>
        <v/>
      </c>
      <c r="N259" s="53"/>
      <c r="O259" s="59" t="str">
        <f aca="false">IF(M259="","",IF(M259&lt;0.15,"⚠ LOW MARGIN / MARGEN BAJO","✔ OK"))</f>
        <v/>
      </c>
      <c r="P259" s="52" t="n">
        <f aca="false">IF(Q259=1,L259+ROW()/1000000,-1000000000000000)</f>
        <v>-1000000000000000</v>
      </c>
      <c r="Q259" s="52" t="n">
        <f aca="false">IF(B259="",0,IF(G259="",0,IF(N259="Returned / Devuelto",0,1)))</f>
        <v>0</v>
      </c>
      <c r="R259" s="52" t="n">
        <f aca="false">IF(Q259=1,IF(ISNUMBER(D259),YEAR(D259)*100+MONTH(D259),0),0)</f>
        <v>0</v>
      </c>
      <c r="S259" s="52" t="n">
        <f aca="false">IF(Q259=1,IF(M259&lt;0.15,1,0),0)</f>
        <v>0</v>
      </c>
    </row>
    <row r="260" customFormat="false" ht="15" hidden="false" customHeight="false" outlineLevel="0" collapsed="false">
      <c r="B260" s="53"/>
      <c r="C260" s="53"/>
      <c r="D260" s="54"/>
      <c r="E260" s="55"/>
      <c r="F260" s="55"/>
      <c r="G260" s="55"/>
      <c r="H260" s="56"/>
      <c r="I260" s="57" t="str">
        <f aca="false">IF(G260="","",G260*H260)</f>
        <v/>
      </c>
      <c r="J260" s="55"/>
      <c r="K260" s="55"/>
      <c r="L260" s="57" t="str">
        <f aca="false">IF(OR(B260="",G260=""),"",G260-E260-F260-I260-J260-K260)</f>
        <v/>
      </c>
      <c r="M260" s="58" t="str">
        <f aca="false">IF(L260="","",IF(G260=0,0,L260/G260))</f>
        <v/>
      </c>
      <c r="N260" s="53"/>
      <c r="O260" s="59" t="str">
        <f aca="false">IF(M260="","",IF(M260&lt;0.15,"⚠ LOW MARGIN / MARGEN BAJO","✔ OK"))</f>
        <v/>
      </c>
      <c r="P260" s="52" t="n">
        <f aca="false">IF(Q260=1,L260+ROW()/1000000,-1000000000000000)</f>
        <v>-1000000000000000</v>
      </c>
      <c r="Q260" s="52" t="n">
        <f aca="false">IF(B260="",0,IF(G260="",0,IF(N260="Returned / Devuelto",0,1)))</f>
        <v>0</v>
      </c>
      <c r="R260" s="52" t="n">
        <f aca="false">IF(Q260=1,IF(ISNUMBER(D260),YEAR(D260)*100+MONTH(D260),0),0)</f>
        <v>0</v>
      </c>
      <c r="S260" s="52" t="n">
        <f aca="false">IF(Q260=1,IF(M260&lt;0.15,1,0),0)</f>
        <v>0</v>
      </c>
    </row>
    <row r="261" customFormat="false" ht="15" hidden="false" customHeight="false" outlineLevel="0" collapsed="false">
      <c r="B261" s="53"/>
      <c r="C261" s="53"/>
      <c r="D261" s="54"/>
      <c r="E261" s="55"/>
      <c r="F261" s="55"/>
      <c r="G261" s="55"/>
      <c r="H261" s="56"/>
      <c r="I261" s="57" t="str">
        <f aca="false">IF(G261="","",G261*H261)</f>
        <v/>
      </c>
      <c r="J261" s="55"/>
      <c r="K261" s="55"/>
      <c r="L261" s="57" t="str">
        <f aca="false">IF(OR(B261="",G261=""),"",G261-E261-F261-I261-J261-K261)</f>
        <v/>
      </c>
      <c r="M261" s="58" t="str">
        <f aca="false">IF(L261="","",IF(G261=0,0,L261/G261))</f>
        <v/>
      </c>
      <c r="N261" s="53"/>
      <c r="O261" s="59" t="str">
        <f aca="false">IF(M261="","",IF(M261&lt;0.15,"⚠ LOW MARGIN / MARGEN BAJO","✔ OK"))</f>
        <v/>
      </c>
      <c r="P261" s="52" t="n">
        <f aca="false">IF(Q261=1,L261+ROW()/1000000,-1000000000000000)</f>
        <v>-1000000000000000</v>
      </c>
      <c r="Q261" s="52" t="n">
        <f aca="false">IF(B261="",0,IF(G261="",0,IF(N261="Returned / Devuelto",0,1)))</f>
        <v>0</v>
      </c>
      <c r="R261" s="52" t="n">
        <f aca="false">IF(Q261=1,IF(ISNUMBER(D261),YEAR(D261)*100+MONTH(D261),0),0)</f>
        <v>0</v>
      </c>
      <c r="S261" s="52" t="n">
        <f aca="false">IF(Q261=1,IF(M261&lt;0.15,1,0),0)</f>
        <v>0</v>
      </c>
    </row>
    <row r="262" customFormat="false" ht="15" hidden="false" customHeight="false" outlineLevel="0" collapsed="false">
      <c r="B262" s="53"/>
      <c r="C262" s="53"/>
      <c r="D262" s="54"/>
      <c r="E262" s="55"/>
      <c r="F262" s="55"/>
      <c r="G262" s="55"/>
      <c r="H262" s="56"/>
      <c r="I262" s="57" t="str">
        <f aca="false">IF(G262="","",G262*H262)</f>
        <v/>
      </c>
      <c r="J262" s="55"/>
      <c r="K262" s="55"/>
      <c r="L262" s="57" t="str">
        <f aca="false">IF(OR(B262="",G262=""),"",G262-E262-F262-I262-J262-K262)</f>
        <v/>
      </c>
      <c r="M262" s="58" t="str">
        <f aca="false">IF(L262="","",IF(G262=0,0,L262/G262))</f>
        <v/>
      </c>
      <c r="N262" s="53"/>
      <c r="O262" s="59" t="str">
        <f aca="false">IF(M262="","",IF(M262&lt;0.15,"⚠ LOW MARGIN / MARGEN BAJO","✔ OK"))</f>
        <v/>
      </c>
      <c r="P262" s="52" t="n">
        <f aca="false">IF(Q262=1,L262+ROW()/1000000,-1000000000000000)</f>
        <v>-1000000000000000</v>
      </c>
      <c r="Q262" s="52" t="n">
        <f aca="false">IF(B262="",0,IF(G262="",0,IF(N262="Returned / Devuelto",0,1)))</f>
        <v>0</v>
      </c>
      <c r="R262" s="52" t="n">
        <f aca="false">IF(Q262=1,IF(ISNUMBER(D262),YEAR(D262)*100+MONTH(D262),0),0)</f>
        <v>0</v>
      </c>
      <c r="S262" s="52" t="n">
        <f aca="false">IF(Q262=1,IF(M262&lt;0.15,1,0),0)</f>
        <v>0</v>
      </c>
    </row>
    <row r="263" customFormat="false" ht="15" hidden="false" customHeight="false" outlineLevel="0" collapsed="false">
      <c r="B263" s="53"/>
      <c r="C263" s="53"/>
      <c r="D263" s="54"/>
      <c r="E263" s="55"/>
      <c r="F263" s="55"/>
      <c r="G263" s="55"/>
      <c r="H263" s="56"/>
      <c r="I263" s="57" t="str">
        <f aca="false">IF(G263="","",G263*H263)</f>
        <v/>
      </c>
      <c r="J263" s="55"/>
      <c r="K263" s="55"/>
      <c r="L263" s="57" t="str">
        <f aca="false">IF(OR(B263="",G263=""),"",G263-E263-F263-I263-J263-K263)</f>
        <v/>
      </c>
      <c r="M263" s="58" t="str">
        <f aca="false">IF(L263="","",IF(G263=0,0,L263/G263))</f>
        <v/>
      </c>
      <c r="N263" s="53"/>
      <c r="O263" s="59" t="str">
        <f aca="false">IF(M263="","",IF(M263&lt;0.15,"⚠ LOW MARGIN / MARGEN BAJO","✔ OK"))</f>
        <v/>
      </c>
      <c r="P263" s="52" t="n">
        <f aca="false">IF(Q263=1,L263+ROW()/1000000,-1000000000000000)</f>
        <v>-1000000000000000</v>
      </c>
      <c r="Q263" s="52" t="n">
        <f aca="false">IF(B263="",0,IF(G263="",0,IF(N263="Returned / Devuelto",0,1)))</f>
        <v>0</v>
      </c>
      <c r="R263" s="52" t="n">
        <f aca="false">IF(Q263=1,IF(ISNUMBER(D263),YEAR(D263)*100+MONTH(D263),0),0)</f>
        <v>0</v>
      </c>
      <c r="S263" s="52" t="n">
        <f aca="false">IF(Q263=1,IF(M263&lt;0.15,1,0),0)</f>
        <v>0</v>
      </c>
    </row>
    <row r="264" customFormat="false" ht="15" hidden="false" customHeight="false" outlineLevel="0" collapsed="false">
      <c r="B264" s="53"/>
      <c r="C264" s="53"/>
      <c r="D264" s="54"/>
      <c r="E264" s="55"/>
      <c r="F264" s="55"/>
      <c r="G264" s="55"/>
      <c r="H264" s="56"/>
      <c r="I264" s="57" t="str">
        <f aca="false">IF(G264="","",G264*H264)</f>
        <v/>
      </c>
      <c r="J264" s="55"/>
      <c r="K264" s="55"/>
      <c r="L264" s="57" t="str">
        <f aca="false">IF(OR(B264="",G264=""),"",G264-E264-F264-I264-J264-K264)</f>
        <v/>
      </c>
      <c r="M264" s="58" t="str">
        <f aca="false">IF(L264="","",IF(G264=0,0,L264/G264))</f>
        <v/>
      </c>
      <c r="N264" s="53"/>
      <c r="O264" s="59" t="str">
        <f aca="false">IF(M264="","",IF(M264&lt;0.15,"⚠ LOW MARGIN / MARGEN BAJO","✔ OK"))</f>
        <v/>
      </c>
      <c r="P264" s="52" t="n">
        <f aca="false">IF(Q264=1,L264+ROW()/1000000,-1000000000000000)</f>
        <v>-1000000000000000</v>
      </c>
      <c r="Q264" s="52" t="n">
        <f aca="false">IF(B264="",0,IF(G264="",0,IF(N264="Returned / Devuelto",0,1)))</f>
        <v>0</v>
      </c>
      <c r="R264" s="52" t="n">
        <f aca="false">IF(Q264=1,IF(ISNUMBER(D264),YEAR(D264)*100+MONTH(D264),0),0)</f>
        <v>0</v>
      </c>
      <c r="S264" s="52" t="n">
        <f aca="false">IF(Q264=1,IF(M264&lt;0.15,1,0),0)</f>
        <v>0</v>
      </c>
    </row>
    <row r="265" customFormat="false" ht="15" hidden="false" customHeight="false" outlineLevel="0" collapsed="false">
      <c r="B265" s="53"/>
      <c r="C265" s="53"/>
      <c r="D265" s="54"/>
      <c r="E265" s="55"/>
      <c r="F265" s="55"/>
      <c r="G265" s="55"/>
      <c r="H265" s="56"/>
      <c r="I265" s="57" t="str">
        <f aca="false">IF(G265="","",G265*H265)</f>
        <v/>
      </c>
      <c r="J265" s="55"/>
      <c r="K265" s="55"/>
      <c r="L265" s="57" t="str">
        <f aca="false">IF(OR(B265="",G265=""),"",G265-E265-F265-I265-J265-K265)</f>
        <v/>
      </c>
      <c r="M265" s="58" t="str">
        <f aca="false">IF(L265="","",IF(G265=0,0,L265/G265))</f>
        <v/>
      </c>
      <c r="N265" s="53"/>
      <c r="O265" s="59" t="str">
        <f aca="false">IF(M265="","",IF(M265&lt;0.15,"⚠ LOW MARGIN / MARGEN BAJO","✔ OK"))</f>
        <v/>
      </c>
      <c r="P265" s="52" t="n">
        <f aca="false">IF(Q265=1,L265+ROW()/1000000,-1000000000000000)</f>
        <v>-1000000000000000</v>
      </c>
      <c r="Q265" s="52" t="n">
        <f aca="false">IF(B265="",0,IF(G265="",0,IF(N265="Returned / Devuelto",0,1)))</f>
        <v>0</v>
      </c>
      <c r="R265" s="52" t="n">
        <f aca="false">IF(Q265=1,IF(ISNUMBER(D265),YEAR(D265)*100+MONTH(D265),0),0)</f>
        <v>0</v>
      </c>
      <c r="S265" s="52" t="n">
        <f aca="false">IF(Q265=1,IF(M265&lt;0.15,1,0),0)</f>
        <v>0</v>
      </c>
    </row>
    <row r="266" customFormat="false" ht="15" hidden="false" customHeight="false" outlineLevel="0" collapsed="false">
      <c r="B266" s="53"/>
      <c r="C266" s="53"/>
      <c r="D266" s="54"/>
      <c r="E266" s="55"/>
      <c r="F266" s="55"/>
      <c r="G266" s="55"/>
      <c r="H266" s="56"/>
      <c r="I266" s="57" t="str">
        <f aca="false">IF(G266="","",G266*H266)</f>
        <v/>
      </c>
      <c r="J266" s="55"/>
      <c r="K266" s="55"/>
      <c r="L266" s="57" t="str">
        <f aca="false">IF(OR(B266="",G266=""),"",G266-E266-F266-I266-J266-K266)</f>
        <v/>
      </c>
      <c r="M266" s="58" t="str">
        <f aca="false">IF(L266="","",IF(G266=0,0,L266/G266))</f>
        <v/>
      </c>
      <c r="N266" s="53"/>
      <c r="O266" s="59" t="str">
        <f aca="false">IF(M266="","",IF(M266&lt;0.15,"⚠ LOW MARGIN / MARGEN BAJO","✔ OK"))</f>
        <v/>
      </c>
      <c r="P266" s="52" t="n">
        <f aca="false">IF(Q266=1,L266+ROW()/1000000,-1000000000000000)</f>
        <v>-1000000000000000</v>
      </c>
      <c r="Q266" s="52" t="n">
        <f aca="false">IF(B266="",0,IF(G266="",0,IF(N266="Returned / Devuelto",0,1)))</f>
        <v>0</v>
      </c>
      <c r="R266" s="52" t="n">
        <f aca="false">IF(Q266=1,IF(ISNUMBER(D266),YEAR(D266)*100+MONTH(D266),0),0)</f>
        <v>0</v>
      </c>
      <c r="S266" s="52" t="n">
        <f aca="false">IF(Q266=1,IF(M266&lt;0.15,1,0),0)</f>
        <v>0</v>
      </c>
    </row>
    <row r="267" customFormat="false" ht="15" hidden="false" customHeight="false" outlineLevel="0" collapsed="false">
      <c r="B267" s="53"/>
      <c r="C267" s="53"/>
      <c r="D267" s="54"/>
      <c r="E267" s="55"/>
      <c r="F267" s="55"/>
      <c r="G267" s="55"/>
      <c r="H267" s="56"/>
      <c r="I267" s="57" t="str">
        <f aca="false">IF(G267="","",G267*H267)</f>
        <v/>
      </c>
      <c r="J267" s="55"/>
      <c r="K267" s="55"/>
      <c r="L267" s="57" t="str">
        <f aca="false">IF(OR(B267="",G267=""),"",G267-E267-F267-I267-J267-K267)</f>
        <v/>
      </c>
      <c r="M267" s="58" t="str">
        <f aca="false">IF(L267="","",IF(G267=0,0,L267/G267))</f>
        <v/>
      </c>
      <c r="N267" s="53"/>
      <c r="O267" s="59" t="str">
        <f aca="false">IF(M267="","",IF(M267&lt;0.15,"⚠ LOW MARGIN / MARGEN BAJO","✔ OK"))</f>
        <v/>
      </c>
      <c r="P267" s="52" t="n">
        <f aca="false">IF(Q267=1,L267+ROW()/1000000,-1000000000000000)</f>
        <v>-1000000000000000</v>
      </c>
      <c r="Q267" s="52" t="n">
        <f aca="false">IF(B267="",0,IF(G267="",0,IF(N267="Returned / Devuelto",0,1)))</f>
        <v>0</v>
      </c>
      <c r="R267" s="52" t="n">
        <f aca="false">IF(Q267=1,IF(ISNUMBER(D267),YEAR(D267)*100+MONTH(D267),0),0)</f>
        <v>0</v>
      </c>
      <c r="S267" s="52" t="n">
        <f aca="false">IF(Q267=1,IF(M267&lt;0.15,1,0),0)</f>
        <v>0</v>
      </c>
    </row>
    <row r="268" customFormat="false" ht="15" hidden="false" customHeight="false" outlineLevel="0" collapsed="false">
      <c r="B268" s="53"/>
      <c r="C268" s="53"/>
      <c r="D268" s="54"/>
      <c r="E268" s="55"/>
      <c r="F268" s="55"/>
      <c r="G268" s="55"/>
      <c r="H268" s="56"/>
      <c r="I268" s="57" t="str">
        <f aca="false">IF(G268="","",G268*H268)</f>
        <v/>
      </c>
      <c r="J268" s="55"/>
      <c r="K268" s="55"/>
      <c r="L268" s="57" t="str">
        <f aca="false">IF(OR(B268="",G268=""),"",G268-E268-F268-I268-J268-K268)</f>
        <v/>
      </c>
      <c r="M268" s="58" t="str">
        <f aca="false">IF(L268="","",IF(G268=0,0,L268/G268))</f>
        <v/>
      </c>
      <c r="N268" s="53"/>
      <c r="O268" s="59" t="str">
        <f aca="false">IF(M268="","",IF(M268&lt;0.15,"⚠ LOW MARGIN / MARGEN BAJO","✔ OK"))</f>
        <v/>
      </c>
      <c r="P268" s="52" t="n">
        <f aca="false">IF(Q268=1,L268+ROW()/1000000,-1000000000000000)</f>
        <v>-1000000000000000</v>
      </c>
      <c r="Q268" s="52" t="n">
        <f aca="false">IF(B268="",0,IF(G268="",0,IF(N268="Returned / Devuelto",0,1)))</f>
        <v>0</v>
      </c>
      <c r="R268" s="52" t="n">
        <f aca="false">IF(Q268=1,IF(ISNUMBER(D268),YEAR(D268)*100+MONTH(D268),0),0)</f>
        <v>0</v>
      </c>
      <c r="S268" s="52" t="n">
        <f aca="false">IF(Q268=1,IF(M268&lt;0.15,1,0),0)</f>
        <v>0</v>
      </c>
    </row>
    <row r="269" customFormat="false" ht="15" hidden="false" customHeight="false" outlineLevel="0" collapsed="false">
      <c r="B269" s="53"/>
      <c r="C269" s="53"/>
      <c r="D269" s="54"/>
      <c r="E269" s="55"/>
      <c r="F269" s="55"/>
      <c r="G269" s="55"/>
      <c r="H269" s="56"/>
      <c r="I269" s="57" t="str">
        <f aca="false">IF(G269="","",G269*H269)</f>
        <v/>
      </c>
      <c r="J269" s="55"/>
      <c r="K269" s="55"/>
      <c r="L269" s="57" t="str">
        <f aca="false">IF(OR(B269="",G269=""),"",G269-E269-F269-I269-J269-K269)</f>
        <v/>
      </c>
      <c r="M269" s="58" t="str">
        <f aca="false">IF(L269="","",IF(G269=0,0,L269/G269))</f>
        <v/>
      </c>
      <c r="N269" s="53"/>
      <c r="O269" s="59" t="str">
        <f aca="false">IF(M269="","",IF(M269&lt;0.15,"⚠ LOW MARGIN / MARGEN BAJO","✔ OK"))</f>
        <v/>
      </c>
      <c r="P269" s="52" t="n">
        <f aca="false">IF(Q269=1,L269+ROW()/1000000,-1000000000000000)</f>
        <v>-1000000000000000</v>
      </c>
      <c r="Q269" s="52" t="n">
        <f aca="false">IF(B269="",0,IF(G269="",0,IF(N269="Returned / Devuelto",0,1)))</f>
        <v>0</v>
      </c>
      <c r="R269" s="52" t="n">
        <f aca="false">IF(Q269=1,IF(ISNUMBER(D269),YEAR(D269)*100+MONTH(D269),0),0)</f>
        <v>0</v>
      </c>
      <c r="S269" s="52" t="n">
        <f aca="false">IF(Q269=1,IF(M269&lt;0.15,1,0),0)</f>
        <v>0</v>
      </c>
    </row>
    <row r="270" customFormat="false" ht="15" hidden="false" customHeight="false" outlineLevel="0" collapsed="false">
      <c r="B270" s="53"/>
      <c r="C270" s="53"/>
      <c r="D270" s="54"/>
      <c r="E270" s="55"/>
      <c r="F270" s="55"/>
      <c r="G270" s="55"/>
      <c r="H270" s="56"/>
      <c r="I270" s="57" t="str">
        <f aca="false">IF(G270="","",G270*H270)</f>
        <v/>
      </c>
      <c r="J270" s="55"/>
      <c r="K270" s="55"/>
      <c r="L270" s="57" t="str">
        <f aca="false">IF(OR(B270="",G270=""),"",G270-E270-F270-I270-J270-K270)</f>
        <v/>
      </c>
      <c r="M270" s="58" t="str">
        <f aca="false">IF(L270="","",IF(G270=0,0,L270/G270))</f>
        <v/>
      </c>
      <c r="N270" s="53"/>
      <c r="O270" s="59" t="str">
        <f aca="false">IF(M270="","",IF(M270&lt;0.15,"⚠ LOW MARGIN / MARGEN BAJO","✔ OK"))</f>
        <v/>
      </c>
      <c r="P270" s="52" t="n">
        <f aca="false">IF(Q270=1,L270+ROW()/1000000,-1000000000000000)</f>
        <v>-1000000000000000</v>
      </c>
      <c r="Q270" s="52" t="n">
        <f aca="false">IF(B270="",0,IF(G270="",0,IF(N270="Returned / Devuelto",0,1)))</f>
        <v>0</v>
      </c>
      <c r="R270" s="52" t="n">
        <f aca="false">IF(Q270=1,IF(ISNUMBER(D270),YEAR(D270)*100+MONTH(D270),0),0)</f>
        <v>0</v>
      </c>
      <c r="S270" s="52" t="n">
        <f aca="false">IF(Q270=1,IF(M270&lt;0.15,1,0),0)</f>
        <v>0</v>
      </c>
    </row>
    <row r="271" customFormat="false" ht="15" hidden="false" customHeight="false" outlineLevel="0" collapsed="false">
      <c r="B271" s="53"/>
      <c r="C271" s="53"/>
      <c r="D271" s="54"/>
      <c r="E271" s="55"/>
      <c r="F271" s="55"/>
      <c r="G271" s="55"/>
      <c r="H271" s="56"/>
      <c r="I271" s="57" t="str">
        <f aca="false">IF(G271="","",G271*H271)</f>
        <v/>
      </c>
      <c r="J271" s="55"/>
      <c r="K271" s="55"/>
      <c r="L271" s="57" t="str">
        <f aca="false">IF(OR(B271="",G271=""),"",G271-E271-F271-I271-J271-K271)</f>
        <v/>
      </c>
      <c r="M271" s="58" t="str">
        <f aca="false">IF(L271="","",IF(G271=0,0,L271/G271))</f>
        <v/>
      </c>
      <c r="N271" s="53"/>
      <c r="O271" s="59" t="str">
        <f aca="false">IF(M271="","",IF(M271&lt;0.15,"⚠ LOW MARGIN / MARGEN BAJO","✔ OK"))</f>
        <v/>
      </c>
      <c r="P271" s="52" t="n">
        <f aca="false">IF(Q271=1,L271+ROW()/1000000,-1000000000000000)</f>
        <v>-1000000000000000</v>
      </c>
      <c r="Q271" s="52" t="n">
        <f aca="false">IF(B271="",0,IF(G271="",0,IF(N271="Returned / Devuelto",0,1)))</f>
        <v>0</v>
      </c>
      <c r="R271" s="52" t="n">
        <f aca="false">IF(Q271=1,IF(ISNUMBER(D271),YEAR(D271)*100+MONTH(D271),0),0)</f>
        <v>0</v>
      </c>
      <c r="S271" s="52" t="n">
        <f aca="false">IF(Q271=1,IF(M271&lt;0.15,1,0),0)</f>
        <v>0</v>
      </c>
    </row>
    <row r="272" customFormat="false" ht="15" hidden="false" customHeight="false" outlineLevel="0" collapsed="false">
      <c r="B272" s="53"/>
      <c r="C272" s="53"/>
      <c r="D272" s="54"/>
      <c r="E272" s="55"/>
      <c r="F272" s="55"/>
      <c r="G272" s="55"/>
      <c r="H272" s="56"/>
      <c r="I272" s="57" t="str">
        <f aca="false">IF(G272="","",G272*H272)</f>
        <v/>
      </c>
      <c r="J272" s="55"/>
      <c r="K272" s="55"/>
      <c r="L272" s="57" t="str">
        <f aca="false">IF(OR(B272="",G272=""),"",G272-E272-F272-I272-J272-K272)</f>
        <v/>
      </c>
      <c r="M272" s="58" t="str">
        <f aca="false">IF(L272="","",IF(G272=0,0,L272/G272))</f>
        <v/>
      </c>
      <c r="N272" s="53"/>
      <c r="O272" s="59" t="str">
        <f aca="false">IF(M272="","",IF(M272&lt;0.15,"⚠ LOW MARGIN / MARGEN BAJO","✔ OK"))</f>
        <v/>
      </c>
      <c r="P272" s="52" t="n">
        <f aca="false">IF(Q272=1,L272+ROW()/1000000,-1000000000000000)</f>
        <v>-1000000000000000</v>
      </c>
      <c r="Q272" s="52" t="n">
        <f aca="false">IF(B272="",0,IF(G272="",0,IF(N272="Returned / Devuelto",0,1)))</f>
        <v>0</v>
      </c>
      <c r="R272" s="52" t="n">
        <f aca="false">IF(Q272=1,IF(ISNUMBER(D272),YEAR(D272)*100+MONTH(D272),0),0)</f>
        <v>0</v>
      </c>
      <c r="S272" s="52" t="n">
        <f aca="false">IF(Q272=1,IF(M272&lt;0.15,1,0),0)</f>
        <v>0</v>
      </c>
    </row>
    <row r="273" customFormat="false" ht="15" hidden="false" customHeight="false" outlineLevel="0" collapsed="false">
      <c r="B273" s="53"/>
      <c r="C273" s="53"/>
      <c r="D273" s="54"/>
      <c r="E273" s="55"/>
      <c r="F273" s="55"/>
      <c r="G273" s="55"/>
      <c r="H273" s="56"/>
      <c r="I273" s="57" t="str">
        <f aca="false">IF(G273="","",G273*H273)</f>
        <v/>
      </c>
      <c r="J273" s="55"/>
      <c r="K273" s="55"/>
      <c r="L273" s="57" t="str">
        <f aca="false">IF(OR(B273="",G273=""),"",G273-E273-F273-I273-J273-K273)</f>
        <v/>
      </c>
      <c r="M273" s="58" t="str">
        <f aca="false">IF(L273="","",IF(G273=0,0,L273/G273))</f>
        <v/>
      </c>
      <c r="N273" s="53"/>
      <c r="O273" s="59" t="str">
        <f aca="false">IF(M273="","",IF(M273&lt;0.15,"⚠ LOW MARGIN / MARGEN BAJO","✔ OK"))</f>
        <v/>
      </c>
      <c r="P273" s="52" t="n">
        <f aca="false">IF(Q273=1,L273+ROW()/1000000,-1000000000000000)</f>
        <v>-1000000000000000</v>
      </c>
      <c r="Q273" s="52" t="n">
        <f aca="false">IF(B273="",0,IF(G273="",0,IF(N273="Returned / Devuelto",0,1)))</f>
        <v>0</v>
      </c>
      <c r="R273" s="52" t="n">
        <f aca="false">IF(Q273=1,IF(ISNUMBER(D273),YEAR(D273)*100+MONTH(D273),0),0)</f>
        <v>0</v>
      </c>
      <c r="S273" s="52" t="n">
        <f aca="false">IF(Q273=1,IF(M273&lt;0.15,1,0),0)</f>
        <v>0</v>
      </c>
    </row>
    <row r="274" customFormat="false" ht="15" hidden="false" customHeight="false" outlineLevel="0" collapsed="false">
      <c r="B274" s="53"/>
      <c r="C274" s="53"/>
      <c r="D274" s="54"/>
      <c r="E274" s="55"/>
      <c r="F274" s="55"/>
      <c r="G274" s="55"/>
      <c r="H274" s="56"/>
      <c r="I274" s="57" t="str">
        <f aca="false">IF(G274="","",G274*H274)</f>
        <v/>
      </c>
      <c r="J274" s="55"/>
      <c r="K274" s="55"/>
      <c r="L274" s="57" t="str">
        <f aca="false">IF(OR(B274="",G274=""),"",G274-E274-F274-I274-J274-K274)</f>
        <v/>
      </c>
      <c r="M274" s="58" t="str">
        <f aca="false">IF(L274="","",IF(G274=0,0,L274/G274))</f>
        <v/>
      </c>
      <c r="N274" s="53"/>
      <c r="O274" s="59" t="str">
        <f aca="false">IF(M274="","",IF(M274&lt;0.15,"⚠ LOW MARGIN / MARGEN BAJO","✔ OK"))</f>
        <v/>
      </c>
      <c r="P274" s="52" t="n">
        <f aca="false">IF(Q274=1,L274+ROW()/1000000,-1000000000000000)</f>
        <v>-1000000000000000</v>
      </c>
      <c r="Q274" s="52" t="n">
        <f aca="false">IF(B274="",0,IF(G274="",0,IF(N274="Returned / Devuelto",0,1)))</f>
        <v>0</v>
      </c>
      <c r="R274" s="52" t="n">
        <f aca="false">IF(Q274=1,IF(ISNUMBER(D274),YEAR(D274)*100+MONTH(D274),0),0)</f>
        <v>0</v>
      </c>
      <c r="S274" s="52" t="n">
        <f aca="false">IF(Q274=1,IF(M274&lt;0.15,1,0),0)</f>
        <v>0</v>
      </c>
    </row>
    <row r="275" customFormat="false" ht="15" hidden="false" customHeight="false" outlineLevel="0" collapsed="false">
      <c r="B275" s="53"/>
      <c r="C275" s="53"/>
      <c r="D275" s="54"/>
      <c r="E275" s="55"/>
      <c r="F275" s="55"/>
      <c r="G275" s="55"/>
      <c r="H275" s="56"/>
      <c r="I275" s="57" t="str">
        <f aca="false">IF(G275="","",G275*H275)</f>
        <v/>
      </c>
      <c r="J275" s="55"/>
      <c r="K275" s="55"/>
      <c r="L275" s="57" t="str">
        <f aca="false">IF(OR(B275="",G275=""),"",G275-E275-F275-I275-J275-K275)</f>
        <v/>
      </c>
      <c r="M275" s="58" t="str">
        <f aca="false">IF(L275="","",IF(G275=0,0,L275/G275))</f>
        <v/>
      </c>
      <c r="N275" s="53"/>
      <c r="O275" s="59" t="str">
        <f aca="false">IF(M275="","",IF(M275&lt;0.15,"⚠ LOW MARGIN / MARGEN BAJO","✔ OK"))</f>
        <v/>
      </c>
      <c r="P275" s="52" t="n">
        <f aca="false">IF(Q275=1,L275+ROW()/1000000,-1000000000000000)</f>
        <v>-1000000000000000</v>
      </c>
      <c r="Q275" s="52" t="n">
        <f aca="false">IF(B275="",0,IF(G275="",0,IF(N275="Returned / Devuelto",0,1)))</f>
        <v>0</v>
      </c>
      <c r="R275" s="52" t="n">
        <f aca="false">IF(Q275=1,IF(ISNUMBER(D275),YEAR(D275)*100+MONTH(D275),0),0)</f>
        <v>0</v>
      </c>
      <c r="S275" s="52" t="n">
        <f aca="false">IF(Q275=1,IF(M275&lt;0.15,1,0),0)</f>
        <v>0</v>
      </c>
    </row>
    <row r="276" customFormat="false" ht="15" hidden="false" customHeight="false" outlineLevel="0" collapsed="false">
      <c r="B276" s="53"/>
      <c r="C276" s="53"/>
      <c r="D276" s="54"/>
      <c r="E276" s="55"/>
      <c r="F276" s="55"/>
      <c r="G276" s="55"/>
      <c r="H276" s="56"/>
      <c r="I276" s="57" t="str">
        <f aca="false">IF(G276="","",G276*H276)</f>
        <v/>
      </c>
      <c r="J276" s="55"/>
      <c r="K276" s="55"/>
      <c r="L276" s="57" t="str">
        <f aca="false">IF(OR(B276="",G276=""),"",G276-E276-F276-I276-J276-K276)</f>
        <v/>
      </c>
      <c r="M276" s="58" t="str">
        <f aca="false">IF(L276="","",IF(G276=0,0,L276/G276))</f>
        <v/>
      </c>
      <c r="N276" s="53"/>
      <c r="O276" s="59" t="str">
        <f aca="false">IF(M276="","",IF(M276&lt;0.15,"⚠ LOW MARGIN / MARGEN BAJO","✔ OK"))</f>
        <v/>
      </c>
      <c r="P276" s="52" t="n">
        <f aca="false">IF(Q276=1,L276+ROW()/1000000,-1000000000000000)</f>
        <v>-1000000000000000</v>
      </c>
      <c r="Q276" s="52" t="n">
        <f aca="false">IF(B276="",0,IF(G276="",0,IF(N276="Returned / Devuelto",0,1)))</f>
        <v>0</v>
      </c>
      <c r="R276" s="52" t="n">
        <f aca="false">IF(Q276=1,IF(ISNUMBER(D276),YEAR(D276)*100+MONTH(D276),0),0)</f>
        <v>0</v>
      </c>
      <c r="S276" s="52" t="n">
        <f aca="false">IF(Q276=1,IF(M276&lt;0.15,1,0),0)</f>
        <v>0</v>
      </c>
    </row>
    <row r="277" customFormat="false" ht="15" hidden="false" customHeight="false" outlineLevel="0" collapsed="false">
      <c r="B277" s="53"/>
      <c r="C277" s="53"/>
      <c r="D277" s="54"/>
      <c r="E277" s="55"/>
      <c r="F277" s="55"/>
      <c r="G277" s="55"/>
      <c r="H277" s="56"/>
      <c r="I277" s="57" t="str">
        <f aca="false">IF(G277="","",G277*H277)</f>
        <v/>
      </c>
      <c r="J277" s="55"/>
      <c r="K277" s="55"/>
      <c r="L277" s="57" t="str">
        <f aca="false">IF(OR(B277="",G277=""),"",G277-E277-F277-I277-J277-K277)</f>
        <v/>
      </c>
      <c r="M277" s="58" t="str">
        <f aca="false">IF(L277="","",IF(G277=0,0,L277/G277))</f>
        <v/>
      </c>
      <c r="N277" s="53"/>
      <c r="O277" s="59" t="str">
        <f aca="false">IF(M277="","",IF(M277&lt;0.15,"⚠ LOW MARGIN / MARGEN BAJO","✔ OK"))</f>
        <v/>
      </c>
      <c r="P277" s="52" t="n">
        <f aca="false">IF(Q277=1,L277+ROW()/1000000,-1000000000000000)</f>
        <v>-1000000000000000</v>
      </c>
      <c r="Q277" s="52" t="n">
        <f aca="false">IF(B277="",0,IF(G277="",0,IF(N277="Returned / Devuelto",0,1)))</f>
        <v>0</v>
      </c>
      <c r="R277" s="52" t="n">
        <f aca="false">IF(Q277=1,IF(ISNUMBER(D277),YEAR(D277)*100+MONTH(D277),0),0)</f>
        <v>0</v>
      </c>
      <c r="S277" s="52" t="n">
        <f aca="false">IF(Q277=1,IF(M277&lt;0.15,1,0),0)</f>
        <v>0</v>
      </c>
    </row>
    <row r="278" customFormat="false" ht="15" hidden="false" customHeight="false" outlineLevel="0" collapsed="false">
      <c r="B278" s="53"/>
      <c r="C278" s="53"/>
      <c r="D278" s="54"/>
      <c r="E278" s="55"/>
      <c r="F278" s="55"/>
      <c r="G278" s="55"/>
      <c r="H278" s="56"/>
      <c r="I278" s="57" t="str">
        <f aca="false">IF(G278="","",G278*H278)</f>
        <v/>
      </c>
      <c r="J278" s="55"/>
      <c r="K278" s="55"/>
      <c r="L278" s="57" t="str">
        <f aca="false">IF(OR(B278="",G278=""),"",G278-E278-F278-I278-J278-K278)</f>
        <v/>
      </c>
      <c r="M278" s="58" t="str">
        <f aca="false">IF(L278="","",IF(G278=0,0,L278/G278))</f>
        <v/>
      </c>
      <c r="N278" s="53"/>
      <c r="O278" s="59" t="str">
        <f aca="false">IF(M278="","",IF(M278&lt;0.15,"⚠ LOW MARGIN / MARGEN BAJO","✔ OK"))</f>
        <v/>
      </c>
      <c r="P278" s="52" t="n">
        <f aca="false">IF(Q278=1,L278+ROW()/1000000,-1000000000000000)</f>
        <v>-1000000000000000</v>
      </c>
      <c r="Q278" s="52" t="n">
        <f aca="false">IF(B278="",0,IF(G278="",0,IF(N278="Returned / Devuelto",0,1)))</f>
        <v>0</v>
      </c>
      <c r="R278" s="52" t="n">
        <f aca="false">IF(Q278=1,IF(ISNUMBER(D278),YEAR(D278)*100+MONTH(D278),0),0)</f>
        <v>0</v>
      </c>
      <c r="S278" s="52" t="n">
        <f aca="false">IF(Q278=1,IF(M278&lt;0.15,1,0),0)</f>
        <v>0</v>
      </c>
    </row>
    <row r="279" customFormat="false" ht="15" hidden="false" customHeight="false" outlineLevel="0" collapsed="false">
      <c r="B279" s="53"/>
      <c r="C279" s="53"/>
      <c r="D279" s="54"/>
      <c r="E279" s="55"/>
      <c r="F279" s="55"/>
      <c r="G279" s="55"/>
      <c r="H279" s="56"/>
      <c r="I279" s="57" t="str">
        <f aca="false">IF(G279="","",G279*H279)</f>
        <v/>
      </c>
      <c r="J279" s="55"/>
      <c r="K279" s="55"/>
      <c r="L279" s="57" t="str">
        <f aca="false">IF(OR(B279="",G279=""),"",G279-E279-F279-I279-J279-K279)</f>
        <v/>
      </c>
      <c r="M279" s="58" t="str">
        <f aca="false">IF(L279="","",IF(G279=0,0,L279/G279))</f>
        <v/>
      </c>
      <c r="N279" s="53"/>
      <c r="O279" s="59" t="str">
        <f aca="false">IF(M279="","",IF(M279&lt;0.15,"⚠ LOW MARGIN / MARGEN BAJO","✔ OK"))</f>
        <v/>
      </c>
      <c r="P279" s="52" t="n">
        <f aca="false">IF(Q279=1,L279+ROW()/1000000,-1000000000000000)</f>
        <v>-1000000000000000</v>
      </c>
      <c r="Q279" s="52" t="n">
        <f aca="false">IF(B279="",0,IF(G279="",0,IF(N279="Returned / Devuelto",0,1)))</f>
        <v>0</v>
      </c>
      <c r="R279" s="52" t="n">
        <f aca="false">IF(Q279=1,IF(ISNUMBER(D279),YEAR(D279)*100+MONTH(D279),0),0)</f>
        <v>0</v>
      </c>
      <c r="S279" s="52" t="n">
        <f aca="false">IF(Q279=1,IF(M279&lt;0.15,1,0),0)</f>
        <v>0</v>
      </c>
    </row>
    <row r="280" customFormat="false" ht="15" hidden="false" customHeight="false" outlineLevel="0" collapsed="false">
      <c r="B280" s="53"/>
      <c r="C280" s="53"/>
      <c r="D280" s="54"/>
      <c r="E280" s="55"/>
      <c r="F280" s="55"/>
      <c r="G280" s="55"/>
      <c r="H280" s="56"/>
      <c r="I280" s="57" t="str">
        <f aca="false">IF(G280="","",G280*H280)</f>
        <v/>
      </c>
      <c r="J280" s="55"/>
      <c r="K280" s="55"/>
      <c r="L280" s="57" t="str">
        <f aca="false">IF(OR(B280="",G280=""),"",G280-E280-F280-I280-J280-K280)</f>
        <v/>
      </c>
      <c r="M280" s="58" t="str">
        <f aca="false">IF(L280="","",IF(G280=0,0,L280/G280))</f>
        <v/>
      </c>
      <c r="N280" s="53"/>
      <c r="O280" s="59" t="str">
        <f aca="false">IF(M280="","",IF(M280&lt;0.15,"⚠ LOW MARGIN / MARGEN BAJO","✔ OK"))</f>
        <v/>
      </c>
      <c r="P280" s="52" t="n">
        <f aca="false">IF(Q280=1,L280+ROW()/1000000,-1000000000000000)</f>
        <v>-1000000000000000</v>
      </c>
      <c r="Q280" s="52" t="n">
        <f aca="false">IF(B280="",0,IF(G280="",0,IF(N280="Returned / Devuelto",0,1)))</f>
        <v>0</v>
      </c>
      <c r="R280" s="52" t="n">
        <f aca="false">IF(Q280=1,IF(ISNUMBER(D280),YEAR(D280)*100+MONTH(D280),0),0)</f>
        <v>0</v>
      </c>
      <c r="S280" s="52" t="n">
        <f aca="false">IF(Q280=1,IF(M280&lt;0.15,1,0),0)</f>
        <v>0</v>
      </c>
    </row>
    <row r="281" customFormat="false" ht="15" hidden="false" customHeight="false" outlineLevel="0" collapsed="false">
      <c r="B281" s="53"/>
      <c r="C281" s="53"/>
      <c r="D281" s="54"/>
      <c r="E281" s="55"/>
      <c r="F281" s="55"/>
      <c r="G281" s="55"/>
      <c r="H281" s="56"/>
      <c r="I281" s="57" t="str">
        <f aca="false">IF(G281="","",G281*H281)</f>
        <v/>
      </c>
      <c r="J281" s="55"/>
      <c r="K281" s="55"/>
      <c r="L281" s="57" t="str">
        <f aca="false">IF(OR(B281="",G281=""),"",G281-E281-F281-I281-J281-K281)</f>
        <v/>
      </c>
      <c r="M281" s="58" t="str">
        <f aca="false">IF(L281="","",IF(G281=0,0,L281/G281))</f>
        <v/>
      </c>
      <c r="N281" s="53"/>
      <c r="O281" s="59" t="str">
        <f aca="false">IF(M281="","",IF(M281&lt;0.15,"⚠ LOW MARGIN / MARGEN BAJO","✔ OK"))</f>
        <v/>
      </c>
      <c r="P281" s="52" t="n">
        <f aca="false">IF(Q281=1,L281+ROW()/1000000,-1000000000000000)</f>
        <v>-1000000000000000</v>
      </c>
      <c r="Q281" s="52" t="n">
        <f aca="false">IF(B281="",0,IF(G281="",0,IF(N281="Returned / Devuelto",0,1)))</f>
        <v>0</v>
      </c>
      <c r="R281" s="52" t="n">
        <f aca="false">IF(Q281=1,IF(ISNUMBER(D281),YEAR(D281)*100+MONTH(D281),0),0)</f>
        <v>0</v>
      </c>
      <c r="S281" s="52" t="n">
        <f aca="false">IF(Q281=1,IF(M281&lt;0.15,1,0),0)</f>
        <v>0</v>
      </c>
    </row>
    <row r="282" customFormat="false" ht="15" hidden="false" customHeight="false" outlineLevel="0" collapsed="false">
      <c r="B282" s="53"/>
      <c r="C282" s="53"/>
      <c r="D282" s="54"/>
      <c r="E282" s="55"/>
      <c r="F282" s="55"/>
      <c r="G282" s="55"/>
      <c r="H282" s="56"/>
      <c r="I282" s="57" t="str">
        <f aca="false">IF(G282="","",G282*H282)</f>
        <v/>
      </c>
      <c r="J282" s="55"/>
      <c r="K282" s="55"/>
      <c r="L282" s="57" t="str">
        <f aca="false">IF(OR(B282="",G282=""),"",G282-E282-F282-I282-J282-K282)</f>
        <v/>
      </c>
      <c r="M282" s="58" t="str">
        <f aca="false">IF(L282="","",IF(G282=0,0,L282/G282))</f>
        <v/>
      </c>
      <c r="N282" s="53"/>
      <c r="O282" s="59" t="str">
        <f aca="false">IF(M282="","",IF(M282&lt;0.15,"⚠ LOW MARGIN / MARGEN BAJO","✔ OK"))</f>
        <v/>
      </c>
      <c r="P282" s="52" t="n">
        <f aca="false">IF(Q282=1,L282+ROW()/1000000,-1000000000000000)</f>
        <v>-1000000000000000</v>
      </c>
      <c r="Q282" s="52" t="n">
        <f aca="false">IF(B282="",0,IF(G282="",0,IF(N282="Returned / Devuelto",0,1)))</f>
        <v>0</v>
      </c>
      <c r="R282" s="52" t="n">
        <f aca="false">IF(Q282=1,IF(ISNUMBER(D282),YEAR(D282)*100+MONTH(D282),0),0)</f>
        <v>0</v>
      </c>
      <c r="S282" s="52" t="n">
        <f aca="false">IF(Q282=1,IF(M282&lt;0.15,1,0),0)</f>
        <v>0</v>
      </c>
    </row>
    <row r="283" customFormat="false" ht="15" hidden="false" customHeight="false" outlineLevel="0" collapsed="false">
      <c r="B283" s="53"/>
      <c r="C283" s="53"/>
      <c r="D283" s="54"/>
      <c r="E283" s="55"/>
      <c r="F283" s="55"/>
      <c r="G283" s="55"/>
      <c r="H283" s="56"/>
      <c r="I283" s="57" t="str">
        <f aca="false">IF(G283="","",G283*H283)</f>
        <v/>
      </c>
      <c r="J283" s="55"/>
      <c r="K283" s="55"/>
      <c r="L283" s="57" t="str">
        <f aca="false">IF(OR(B283="",G283=""),"",G283-E283-F283-I283-J283-K283)</f>
        <v/>
      </c>
      <c r="M283" s="58" t="str">
        <f aca="false">IF(L283="","",IF(G283=0,0,L283/G283))</f>
        <v/>
      </c>
      <c r="N283" s="53"/>
      <c r="O283" s="59" t="str">
        <f aca="false">IF(M283="","",IF(M283&lt;0.15,"⚠ LOW MARGIN / MARGEN BAJO","✔ OK"))</f>
        <v/>
      </c>
      <c r="P283" s="52" t="n">
        <f aca="false">IF(Q283=1,L283+ROW()/1000000,-1000000000000000)</f>
        <v>-1000000000000000</v>
      </c>
      <c r="Q283" s="52" t="n">
        <f aca="false">IF(B283="",0,IF(G283="",0,IF(N283="Returned / Devuelto",0,1)))</f>
        <v>0</v>
      </c>
      <c r="R283" s="52" t="n">
        <f aca="false">IF(Q283=1,IF(ISNUMBER(D283),YEAR(D283)*100+MONTH(D283),0),0)</f>
        <v>0</v>
      </c>
      <c r="S283" s="52" t="n">
        <f aca="false">IF(Q283=1,IF(M283&lt;0.15,1,0),0)</f>
        <v>0</v>
      </c>
    </row>
    <row r="284" customFormat="false" ht="15" hidden="false" customHeight="false" outlineLevel="0" collapsed="false">
      <c r="B284" s="53"/>
      <c r="C284" s="53"/>
      <c r="D284" s="54"/>
      <c r="E284" s="55"/>
      <c r="F284" s="55"/>
      <c r="G284" s="55"/>
      <c r="H284" s="56"/>
      <c r="I284" s="57" t="str">
        <f aca="false">IF(G284="","",G284*H284)</f>
        <v/>
      </c>
      <c r="J284" s="55"/>
      <c r="K284" s="55"/>
      <c r="L284" s="57" t="str">
        <f aca="false">IF(OR(B284="",G284=""),"",G284-E284-F284-I284-J284-K284)</f>
        <v/>
      </c>
      <c r="M284" s="58" t="str">
        <f aca="false">IF(L284="","",IF(G284=0,0,L284/G284))</f>
        <v/>
      </c>
      <c r="N284" s="53"/>
      <c r="O284" s="59" t="str">
        <f aca="false">IF(M284="","",IF(M284&lt;0.15,"⚠ LOW MARGIN / MARGEN BAJO","✔ OK"))</f>
        <v/>
      </c>
      <c r="P284" s="52" t="n">
        <f aca="false">IF(Q284=1,L284+ROW()/1000000,-1000000000000000)</f>
        <v>-1000000000000000</v>
      </c>
      <c r="Q284" s="52" t="n">
        <f aca="false">IF(B284="",0,IF(G284="",0,IF(N284="Returned / Devuelto",0,1)))</f>
        <v>0</v>
      </c>
      <c r="R284" s="52" t="n">
        <f aca="false">IF(Q284=1,IF(ISNUMBER(D284),YEAR(D284)*100+MONTH(D284),0),0)</f>
        <v>0</v>
      </c>
      <c r="S284" s="52" t="n">
        <f aca="false">IF(Q284=1,IF(M284&lt;0.15,1,0),0)</f>
        <v>0</v>
      </c>
    </row>
    <row r="285" customFormat="false" ht="15" hidden="false" customHeight="false" outlineLevel="0" collapsed="false">
      <c r="B285" s="53"/>
      <c r="C285" s="53"/>
      <c r="D285" s="54"/>
      <c r="E285" s="55"/>
      <c r="F285" s="55"/>
      <c r="G285" s="55"/>
      <c r="H285" s="56"/>
      <c r="I285" s="57" t="str">
        <f aca="false">IF(G285="","",G285*H285)</f>
        <v/>
      </c>
      <c r="J285" s="55"/>
      <c r="K285" s="55"/>
      <c r="L285" s="57" t="str">
        <f aca="false">IF(OR(B285="",G285=""),"",G285-E285-F285-I285-J285-K285)</f>
        <v/>
      </c>
      <c r="M285" s="58" t="str">
        <f aca="false">IF(L285="","",IF(G285=0,0,L285/G285))</f>
        <v/>
      </c>
      <c r="N285" s="53"/>
      <c r="O285" s="59" t="str">
        <f aca="false">IF(M285="","",IF(M285&lt;0.15,"⚠ LOW MARGIN / MARGEN BAJO","✔ OK"))</f>
        <v/>
      </c>
      <c r="P285" s="52" t="n">
        <f aca="false">IF(Q285=1,L285+ROW()/1000000,-1000000000000000)</f>
        <v>-1000000000000000</v>
      </c>
      <c r="Q285" s="52" t="n">
        <f aca="false">IF(B285="",0,IF(G285="",0,IF(N285="Returned / Devuelto",0,1)))</f>
        <v>0</v>
      </c>
      <c r="R285" s="52" t="n">
        <f aca="false">IF(Q285=1,IF(ISNUMBER(D285),YEAR(D285)*100+MONTH(D285),0),0)</f>
        <v>0</v>
      </c>
      <c r="S285" s="52" t="n">
        <f aca="false">IF(Q285=1,IF(M285&lt;0.15,1,0),0)</f>
        <v>0</v>
      </c>
    </row>
    <row r="286" customFormat="false" ht="15" hidden="false" customHeight="false" outlineLevel="0" collapsed="false">
      <c r="B286" s="53"/>
      <c r="C286" s="53"/>
      <c r="D286" s="54"/>
      <c r="E286" s="55"/>
      <c r="F286" s="55"/>
      <c r="G286" s="55"/>
      <c r="H286" s="56"/>
      <c r="I286" s="57" t="str">
        <f aca="false">IF(G286="","",G286*H286)</f>
        <v/>
      </c>
      <c r="J286" s="55"/>
      <c r="K286" s="55"/>
      <c r="L286" s="57" t="str">
        <f aca="false">IF(OR(B286="",G286=""),"",G286-E286-F286-I286-J286-K286)</f>
        <v/>
      </c>
      <c r="M286" s="58" t="str">
        <f aca="false">IF(L286="","",IF(G286=0,0,L286/G286))</f>
        <v/>
      </c>
      <c r="N286" s="53"/>
      <c r="O286" s="59" t="str">
        <f aca="false">IF(M286="","",IF(M286&lt;0.15,"⚠ LOW MARGIN / MARGEN BAJO","✔ OK"))</f>
        <v/>
      </c>
      <c r="P286" s="52" t="n">
        <f aca="false">IF(Q286=1,L286+ROW()/1000000,-1000000000000000)</f>
        <v>-1000000000000000</v>
      </c>
      <c r="Q286" s="52" t="n">
        <f aca="false">IF(B286="",0,IF(G286="",0,IF(N286="Returned / Devuelto",0,1)))</f>
        <v>0</v>
      </c>
      <c r="R286" s="52" t="n">
        <f aca="false">IF(Q286=1,IF(ISNUMBER(D286),YEAR(D286)*100+MONTH(D286),0),0)</f>
        <v>0</v>
      </c>
      <c r="S286" s="52" t="n">
        <f aca="false">IF(Q286=1,IF(M286&lt;0.15,1,0),0)</f>
        <v>0</v>
      </c>
    </row>
    <row r="287" customFormat="false" ht="15" hidden="false" customHeight="false" outlineLevel="0" collapsed="false">
      <c r="B287" s="53"/>
      <c r="C287" s="53"/>
      <c r="D287" s="54"/>
      <c r="E287" s="55"/>
      <c r="F287" s="55"/>
      <c r="G287" s="55"/>
      <c r="H287" s="56"/>
      <c r="I287" s="57" t="str">
        <f aca="false">IF(G287="","",G287*H287)</f>
        <v/>
      </c>
      <c r="J287" s="55"/>
      <c r="K287" s="55"/>
      <c r="L287" s="57" t="str">
        <f aca="false">IF(OR(B287="",G287=""),"",G287-E287-F287-I287-J287-K287)</f>
        <v/>
      </c>
      <c r="M287" s="58" t="str">
        <f aca="false">IF(L287="","",IF(G287=0,0,L287/G287))</f>
        <v/>
      </c>
      <c r="N287" s="53"/>
      <c r="O287" s="59" t="str">
        <f aca="false">IF(M287="","",IF(M287&lt;0.15,"⚠ LOW MARGIN / MARGEN BAJO","✔ OK"))</f>
        <v/>
      </c>
      <c r="P287" s="52" t="n">
        <f aca="false">IF(Q287=1,L287+ROW()/1000000,-1000000000000000)</f>
        <v>-1000000000000000</v>
      </c>
      <c r="Q287" s="52" t="n">
        <f aca="false">IF(B287="",0,IF(G287="",0,IF(N287="Returned / Devuelto",0,1)))</f>
        <v>0</v>
      </c>
      <c r="R287" s="52" t="n">
        <f aca="false">IF(Q287=1,IF(ISNUMBER(D287),YEAR(D287)*100+MONTH(D287),0),0)</f>
        <v>0</v>
      </c>
      <c r="S287" s="52" t="n">
        <f aca="false">IF(Q287=1,IF(M287&lt;0.15,1,0),0)</f>
        <v>0</v>
      </c>
    </row>
    <row r="288" customFormat="false" ht="15" hidden="false" customHeight="false" outlineLevel="0" collapsed="false">
      <c r="B288" s="53"/>
      <c r="C288" s="53"/>
      <c r="D288" s="54"/>
      <c r="E288" s="55"/>
      <c r="F288" s="55"/>
      <c r="G288" s="55"/>
      <c r="H288" s="56"/>
      <c r="I288" s="57" t="str">
        <f aca="false">IF(G288="","",G288*H288)</f>
        <v/>
      </c>
      <c r="J288" s="55"/>
      <c r="K288" s="55"/>
      <c r="L288" s="57" t="str">
        <f aca="false">IF(OR(B288="",G288=""),"",G288-E288-F288-I288-J288-K288)</f>
        <v/>
      </c>
      <c r="M288" s="58" t="str">
        <f aca="false">IF(L288="","",IF(G288=0,0,L288/G288))</f>
        <v/>
      </c>
      <c r="N288" s="53"/>
      <c r="O288" s="59" t="str">
        <f aca="false">IF(M288="","",IF(M288&lt;0.15,"⚠ LOW MARGIN / MARGEN BAJO","✔ OK"))</f>
        <v/>
      </c>
      <c r="P288" s="52" t="n">
        <f aca="false">IF(Q288=1,L288+ROW()/1000000,-1000000000000000)</f>
        <v>-1000000000000000</v>
      </c>
      <c r="Q288" s="52" t="n">
        <f aca="false">IF(B288="",0,IF(G288="",0,IF(N288="Returned / Devuelto",0,1)))</f>
        <v>0</v>
      </c>
      <c r="R288" s="52" t="n">
        <f aca="false">IF(Q288=1,IF(ISNUMBER(D288),YEAR(D288)*100+MONTH(D288),0),0)</f>
        <v>0</v>
      </c>
      <c r="S288" s="52" t="n">
        <f aca="false">IF(Q288=1,IF(M288&lt;0.15,1,0),0)</f>
        <v>0</v>
      </c>
    </row>
    <row r="289" customFormat="false" ht="15" hidden="false" customHeight="false" outlineLevel="0" collapsed="false">
      <c r="B289" s="53"/>
      <c r="C289" s="53"/>
      <c r="D289" s="54"/>
      <c r="E289" s="55"/>
      <c r="F289" s="55"/>
      <c r="G289" s="55"/>
      <c r="H289" s="56"/>
      <c r="I289" s="57" t="str">
        <f aca="false">IF(G289="","",G289*H289)</f>
        <v/>
      </c>
      <c r="J289" s="55"/>
      <c r="K289" s="55"/>
      <c r="L289" s="57" t="str">
        <f aca="false">IF(OR(B289="",G289=""),"",G289-E289-F289-I289-J289-K289)</f>
        <v/>
      </c>
      <c r="M289" s="58" t="str">
        <f aca="false">IF(L289="","",IF(G289=0,0,L289/G289))</f>
        <v/>
      </c>
      <c r="N289" s="53"/>
      <c r="O289" s="59" t="str">
        <f aca="false">IF(M289="","",IF(M289&lt;0.15,"⚠ LOW MARGIN / MARGEN BAJO","✔ OK"))</f>
        <v/>
      </c>
      <c r="P289" s="52" t="n">
        <f aca="false">IF(Q289=1,L289+ROW()/1000000,-1000000000000000)</f>
        <v>-1000000000000000</v>
      </c>
      <c r="Q289" s="52" t="n">
        <f aca="false">IF(B289="",0,IF(G289="",0,IF(N289="Returned / Devuelto",0,1)))</f>
        <v>0</v>
      </c>
      <c r="R289" s="52" t="n">
        <f aca="false">IF(Q289=1,IF(ISNUMBER(D289),YEAR(D289)*100+MONTH(D289),0),0)</f>
        <v>0</v>
      </c>
      <c r="S289" s="52" t="n">
        <f aca="false">IF(Q289=1,IF(M289&lt;0.15,1,0),0)</f>
        <v>0</v>
      </c>
    </row>
    <row r="290" customFormat="false" ht="15" hidden="false" customHeight="false" outlineLevel="0" collapsed="false">
      <c r="B290" s="53"/>
      <c r="C290" s="53"/>
      <c r="D290" s="54"/>
      <c r="E290" s="55"/>
      <c r="F290" s="55"/>
      <c r="G290" s="55"/>
      <c r="H290" s="56"/>
      <c r="I290" s="57" t="str">
        <f aca="false">IF(G290="","",G290*H290)</f>
        <v/>
      </c>
      <c r="J290" s="55"/>
      <c r="K290" s="55"/>
      <c r="L290" s="57" t="str">
        <f aca="false">IF(OR(B290="",G290=""),"",G290-E290-F290-I290-J290-K290)</f>
        <v/>
      </c>
      <c r="M290" s="58" t="str">
        <f aca="false">IF(L290="","",IF(G290=0,0,L290/G290))</f>
        <v/>
      </c>
      <c r="N290" s="53"/>
      <c r="O290" s="59" t="str">
        <f aca="false">IF(M290="","",IF(M290&lt;0.15,"⚠ LOW MARGIN / MARGEN BAJO","✔ OK"))</f>
        <v/>
      </c>
      <c r="P290" s="52" t="n">
        <f aca="false">IF(Q290=1,L290+ROW()/1000000,-1000000000000000)</f>
        <v>-1000000000000000</v>
      </c>
      <c r="Q290" s="52" t="n">
        <f aca="false">IF(B290="",0,IF(G290="",0,IF(N290="Returned / Devuelto",0,1)))</f>
        <v>0</v>
      </c>
      <c r="R290" s="52" t="n">
        <f aca="false">IF(Q290=1,IF(ISNUMBER(D290),YEAR(D290)*100+MONTH(D290),0),0)</f>
        <v>0</v>
      </c>
      <c r="S290" s="52" t="n">
        <f aca="false">IF(Q290=1,IF(M290&lt;0.15,1,0),0)</f>
        <v>0</v>
      </c>
    </row>
    <row r="291" customFormat="false" ht="15" hidden="false" customHeight="false" outlineLevel="0" collapsed="false">
      <c r="B291" s="53"/>
      <c r="C291" s="53"/>
      <c r="D291" s="54"/>
      <c r="E291" s="55"/>
      <c r="F291" s="55"/>
      <c r="G291" s="55"/>
      <c r="H291" s="56"/>
      <c r="I291" s="57" t="str">
        <f aca="false">IF(G291="","",G291*H291)</f>
        <v/>
      </c>
      <c r="J291" s="55"/>
      <c r="K291" s="55"/>
      <c r="L291" s="57" t="str">
        <f aca="false">IF(OR(B291="",G291=""),"",G291-E291-F291-I291-J291-K291)</f>
        <v/>
      </c>
      <c r="M291" s="58" t="str">
        <f aca="false">IF(L291="","",IF(G291=0,0,L291/G291))</f>
        <v/>
      </c>
      <c r="N291" s="53"/>
      <c r="O291" s="59" t="str">
        <f aca="false">IF(M291="","",IF(M291&lt;0.15,"⚠ LOW MARGIN / MARGEN BAJO","✔ OK"))</f>
        <v/>
      </c>
      <c r="P291" s="52" t="n">
        <f aca="false">IF(Q291=1,L291+ROW()/1000000,-1000000000000000)</f>
        <v>-1000000000000000</v>
      </c>
      <c r="Q291" s="52" t="n">
        <f aca="false">IF(B291="",0,IF(G291="",0,IF(N291="Returned / Devuelto",0,1)))</f>
        <v>0</v>
      </c>
      <c r="R291" s="52" t="n">
        <f aca="false">IF(Q291=1,IF(ISNUMBER(D291),YEAR(D291)*100+MONTH(D291),0),0)</f>
        <v>0</v>
      </c>
      <c r="S291" s="52" t="n">
        <f aca="false">IF(Q291=1,IF(M291&lt;0.15,1,0),0)</f>
        <v>0</v>
      </c>
    </row>
    <row r="292" customFormat="false" ht="15" hidden="false" customHeight="false" outlineLevel="0" collapsed="false">
      <c r="B292" s="53"/>
      <c r="C292" s="53"/>
      <c r="D292" s="54"/>
      <c r="E292" s="55"/>
      <c r="F292" s="55"/>
      <c r="G292" s="55"/>
      <c r="H292" s="56"/>
      <c r="I292" s="57" t="str">
        <f aca="false">IF(G292="","",G292*H292)</f>
        <v/>
      </c>
      <c r="J292" s="55"/>
      <c r="K292" s="55"/>
      <c r="L292" s="57" t="str">
        <f aca="false">IF(OR(B292="",G292=""),"",G292-E292-F292-I292-J292-K292)</f>
        <v/>
      </c>
      <c r="M292" s="58" t="str">
        <f aca="false">IF(L292="","",IF(G292=0,0,L292/G292))</f>
        <v/>
      </c>
      <c r="N292" s="53"/>
      <c r="O292" s="59" t="str">
        <f aca="false">IF(M292="","",IF(M292&lt;0.15,"⚠ LOW MARGIN / MARGEN BAJO","✔ OK"))</f>
        <v/>
      </c>
      <c r="P292" s="52" t="n">
        <f aca="false">IF(Q292=1,L292+ROW()/1000000,-1000000000000000)</f>
        <v>-1000000000000000</v>
      </c>
      <c r="Q292" s="52" t="n">
        <f aca="false">IF(B292="",0,IF(G292="",0,IF(N292="Returned / Devuelto",0,1)))</f>
        <v>0</v>
      </c>
      <c r="R292" s="52" t="n">
        <f aca="false">IF(Q292=1,IF(ISNUMBER(D292),YEAR(D292)*100+MONTH(D292),0),0)</f>
        <v>0</v>
      </c>
      <c r="S292" s="52" t="n">
        <f aca="false">IF(Q292=1,IF(M292&lt;0.15,1,0),0)</f>
        <v>0</v>
      </c>
    </row>
    <row r="293" customFormat="false" ht="15" hidden="false" customHeight="false" outlineLevel="0" collapsed="false">
      <c r="B293" s="53"/>
      <c r="C293" s="53"/>
      <c r="D293" s="54"/>
      <c r="E293" s="55"/>
      <c r="F293" s="55"/>
      <c r="G293" s="55"/>
      <c r="H293" s="56"/>
      <c r="I293" s="57" t="str">
        <f aca="false">IF(G293="","",G293*H293)</f>
        <v/>
      </c>
      <c r="J293" s="55"/>
      <c r="K293" s="55"/>
      <c r="L293" s="57" t="str">
        <f aca="false">IF(OR(B293="",G293=""),"",G293-E293-F293-I293-J293-K293)</f>
        <v/>
      </c>
      <c r="M293" s="58" t="str">
        <f aca="false">IF(L293="","",IF(G293=0,0,L293/G293))</f>
        <v/>
      </c>
      <c r="N293" s="53"/>
      <c r="O293" s="59" t="str">
        <f aca="false">IF(M293="","",IF(M293&lt;0.15,"⚠ LOW MARGIN / MARGEN BAJO","✔ OK"))</f>
        <v/>
      </c>
      <c r="P293" s="52" t="n">
        <f aca="false">IF(Q293=1,L293+ROW()/1000000,-1000000000000000)</f>
        <v>-1000000000000000</v>
      </c>
      <c r="Q293" s="52" t="n">
        <f aca="false">IF(B293="",0,IF(G293="",0,IF(N293="Returned / Devuelto",0,1)))</f>
        <v>0</v>
      </c>
      <c r="R293" s="52" t="n">
        <f aca="false">IF(Q293=1,IF(ISNUMBER(D293),YEAR(D293)*100+MONTH(D293),0),0)</f>
        <v>0</v>
      </c>
      <c r="S293" s="52" t="n">
        <f aca="false">IF(Q293=1,IF(M293&lt;0.15,1,0),0)</f>
        <v>0</v>
      </c>
    </row>
    <row r="294" customFormat="false" ht="15" hidden="false" customHeight="false" outlineLevel="0" collapsed="false">
      <c r="B294" s="53"/>
      <c r="C294" s="53"/>
      <c r="D294" s="54"/>
      <c r="E294" s="55"/>
      <c r="F294" s="55"/>
      <c r="G294" s="55"/>
      <c r="H294" s="56"/>
      <c r="I294" s="57" t="str">
        <f aca="false">IF(G294="","",G294*H294)</f>
        <v/>
      </c>
      <c r="J294" s="55"/>
      <c r="K294" s="55"/>
      <c r="L294" s="57" t="str">
        <f aca="false">IF(OR(B294="",G294=""),"",G294-E294-F294-I294-J294-K294)</f>
        <v/>
      </c>
      <c r="M294" s="58" t="str">
        <f aca="false">IF(L294="","",IF(G294=0,0,L294/G294))</f>
        <v/>
      </c>
      <c r="N294" s="53"/>
      <c r="O294" s="59" t="str">
        <f aca="false">IF(M294="","",IF(M294&lt;0.15,"⚠ LOW MARGIN / MARGEN BAJO","✔ OK"))</f>
        <v/>
      </c>
      <c r="P294" s="52" t="n">
        <f aca="false">IF(Q294=1,L294+ROW()/1000000,-1000000000000000)</f>
        <v>-1000000000000000</v>
      </c>
      <c r="Q294" s="52" t="n">
        <f aca="false">IF(B294="",0,IF(G294="",0,IF(N294="Returned / Devuelto",0,1)))</f>
        <v>0</v>
      </c>
      <c r="R294" s="52" t="n">
        <f aca="false">IF(Q294=1,IF(ISNUMBER(D294),YEAR(D294)*100+MONTH(D294),0),0)</f>
        <v>0</v>
      </c>
      <c r="S294" s="52" t="n">
        <f aca="false">IF(Q294=1,IF(M294&lt;0.15,1,0),0)</f>
        <v>0</v>
      </c>
    </row>
    <row r="295" customFormat="false" ht="15" hidden="false" customHeight="false" outlineLevel="0" collapsed="false">
      <c r="B295" s="53"/>
      <c r="C295" s="53"/>
      <c r="D295" s="54"/>
      <c r="E295" s="55"/>
      <c r="F295" s="55"/>
      <c r="G295" s="55"/>
      <c r="H295" s="56"/>
      <c r="I295" s="57" t="str">
        <f aca="false">IF(G295="","",G295*H295)</f>
        <v/>
      </c>
      <c r="J295" s="55"/>
      <c r="K295" s="55"/>
      <c r="L295" s="57" t="str">
        <f aca="false">IF(OR(B295="",G295=""),"",G295-E295-F295-I295-J295-K295)</f>
        <v/>
      </c>
      <c r="M295" s="58" t="str">
        <f aca="false">IF(L295="","",IF(G295=0,0,L295/G295))</f>
        <v/>
      </c>
      <c r="N295" s="53"/>
      <c r="O295" s="59" t="str">
        <f aca="false">IF(M295="","",IF(M295&lt;0.15,"⚠ LOW MARGIN / MARGEN BAJO","✔ OK"))</f>
        <v/>
      </c>
      <c r="P295" s="52" t="n">
        <f aca="false">IF(Q295=1,L295+ROW()/1000000,-1000000000000000)</f>
        <v>-1000000000000000</v>
      </c>
      <c r="Q295" s="52" t="n">
        <f aca="false">IF(B295="",0,IF(G295="",0,IF(N295="Returned / Devuelto",0,1)))</f>
        <v>0</v>
      </c>
      <c r="R295" s="52" t="n">
        <f aca="false">IF(Q295=1,IF(ISNUMBER(D295),YEAR(D295)*100+MONTH(D295),0),0)</f>
        <v>0</v>
      </c>
      <c r="S295" s="52" t="n">
        <f aca="false">IF(Q295=1,IF(M295&lt;0.15,1,0),0)</f>
        <v>0</v>
      </c>
    </row>
    <row r="296" customFormat="false" ht="15" hidden="false" customHeight="false" outlineLevel="0" collapsed="false">
      <c r="B296" s="53"/>
      <c r="C296" s="53"/>
      <c r="D296" s="54"/>
      <c r="E296" s="55"/>
      <c r="F296" s="55"/>
      <c r="G296" s="55"/>
      <c r="H296" s="56"/>
      <c r="I296" s="57" t="str">
        <f aca="false">IF(G296="","",G296*H296)</f>
        <v/>
      </c>
      <c r="J296" s="55"/>
      <c r="K296" s="55"/>
      <c r="L296" s="57" t="str">
        <f aca="false">IF(OR(B296="",G296=""),"",G296-E296-F296-I296-J296-K296)</f>
        <v/>
      </c>
      <c r="M296" s="58" t="str">
        <f aca="false">IF(L296="","",IF(G296=0,0,L296/G296))</f>
        <v/>
      </c>
      <c r="N296" s="53"/>
      <c r="O296" s="59" t="str">
        <f aca="false">IF(M296="","",IF(M296&lt;0.15,"⚠ LOW MARGIN / MARGEN BAJO","✔ OK"))</f>
        <v/>
      </c>
      <c r="P296" s="52" t="n">
        <f aca="false">IF(Q296=1,L296+ROW()/1000000,-1000000000000000)</f>
        <v>-1000000000000000</v>
      </c>
      <c r="Q296" s="52" t="n">
        <f aca="false">IF(B296="",0,IF(G296="",0,IF(N296="Returned / Devuelto",0,1)))</f>
        <v>0</v>
      </c>
      <c r="R296" s="52" t="n">
        <f aca="false">IF(Q296=1,IF(ISNUMBER(D296),YEAR(D296)*100+MONTH(D296),0),0)</f>
        <v>0</v>
      </c>
      <c r="S296" s="52" t="n">
        <f aca="false">IF(Q296=1,IF(M296&lt;0.15,1,0),0)</f>
        <v>0</v>
      </c>
    </row>
    <row r="297" customFormat="false" ht="15" hidden="false" customHeight="false" outlineLevel="0" collapsed="false">
      <c r="B297" s="53"/>
      <c r="C297" s="53"/>
      <c r="D297" s="54"/>
      <c r="E297" s="55"/>
      <c r="F297" s="55"/>
      <c r="G297" s="55"/>
      <c r="H297" s="56"/>
      <c r="I297" s="57" t="str">
        <f aca="false">IF(G297="","",G297*H297)</f>
        <v/>
      </c>
      <c r="J297" s="55"/>
      <c r="K297" s="55"/>
      <c r="L297" s="57" t="str">
        <f aca="false">IF(OR(B297="",G297=""),"",G297-E297-F297-I297-J297-K297)</f>
        <v/>
      </c>
      <c r="M297" s="58" t="str">
        <f aca="false">IF(L297="","",IF(G297=0,0,L297/G297))</f>
        <v/>
      </c>
      <c r="N297" s="53"/>
      <c r="O297" s="59" t="str">
        <f aca="false">IF(M297="","",IF(M297&lt;0.15,"⚠ LOW MARGIN / MARGEN BAJO","✔ OK"))</f>
        <v/>
      </c>
      <c r="P297" s="52" t="n">
        <f aca="false">IF(Q297=1,L297+ROW()/1000000,-1000000000000000)</f>
        <v>-1000000000000000</v>
      </c>
      <c r="Q297" s="52" t="n">
        <f aca="false">IF(B297="",0,IF(G297="",0,IF(N297="Returned / Devuelto",0,1)))</f>
        <v>0</v>
      </c>
      <c r="R297" s="52" t="n">
        <f aca="false">IF(Q297=1,IF(ISNUMBER(D297),YEAR(D297)*100+MONTH(D297),0),0)</f>
        <v>0</v>
      </c>
      <c r="S297" s="52" t="n">
        <f aca="false">IF(Q297=1,IF(M297&lt;0.15,1,0),0)</f>
        <v>0</v>
      </c>
    </row>
    <row r="298" customFormat="false" ht="15" hidden="false" customHeight="false" outlineLevel="0" collapsed="false">
      <c r="B298" s="53"/>
      <c r="C298" s="53"/>
      <c r="D298" s="54"/>
      <c r="E298" s="55"/>
      <c r="F298" s="55"/>
      <c r="G298" s="55"/>
      <c r="H298" s="56"/>
      <c r="I298" s="57" t="str">
        <f aca="false">IF(G298="","",G298*H298)</f>
        <v/>
      </c>
      <c r="J298" s="55"/>
      <c r="K298" s="55"/>
      <c r="L298" s="57" t="str">
        <f aca="false">IF(OR(B298="",G298=""),"",G298-E298-F298-I298-J298-K298)</f>
        <v/>
      </c>
      <c r="M298" s="58" t="str">
        <f aca="false">IF(L298="","",IF(G298=0,0,L298/G298))</f>
        <v/>
      </c>
      <c r="N298" s="53"/>
      <c r="O298" s="59" t="str">
        <f aca="false">IF(M298="","",IF(M298&lt;0.15,"⚠ LOW MARGIN / MARGEN BAJO","✔ OK"))</f>
        <v/>
      </c>
      <c r="P298" s="52" t="n">
        <f aca="false">IF(Q298=1,L298+ROW()/1000000,-1000000000000000)</f>
        <v>-1000000000000000</v>
      </c>
      <c r="Q298" s="52" t="n">
        <f aca="false">IF(B298="",0,IF(G298="",0,IF(N298="Returned / Devuelto",0,1)))</f>
        <v>0</v>
      </c>
      <c r="R298" s="52" t="n">
        <f aca="false">IF(Q298=1,IF(ISNUMBER(D298),YEAR(D298)*100+MONTH(D298),0),0)</f>
        <v>0</v>
      </c>
      <c r="S298" s="52" t="n">
        <f aca="false">IF(Q298=1,IF(M298&lt;0.15,1,0),0)</f>
        <v>0</v>
      </c>
    </row>
    <row r="299" customFormat="false" ht="15" hidden="false" customHeight="false" outlineLevel="0" collapsed="false">
      <c r="B299" s="53"/>
      <c r="C299" s="53"/>
      <c r="D299" s="54"/>
      <c r="E299" s="55"/>
      <c r="F299" s="55"/>
      <c r="G299" s="55"/>
      <c r="H299" s="56"/>
      <c r="I299" s="57" t="str">
        <f aca="false">IF(G299="","",G299*H299)</f>
        <v/>
      </c>
      <c r="J299" s="55"/>
      <c r="K299" s="55"/>
      <c r="L299" s="57" t="str">
        <f aca="false">IF(OR(B299="",G299=""),"",G299-E299-F299-I299-J299-K299)</f>
        <v/>
      </c>
      <c r="M299" s="58" t="str">
        <f aca="false">IF(L299="","",IF(G299=0,0,L299/G299))</f>
        <v/>
      </c>
      <c r="N299" s="53"/>
      <c r="O299" s="59" t="str">
        <f aca="false">IF(M299="","",IF(M299&lt;0.15,"⚠ LOW MARGIN / MARGEN BAJO","✔ OK"))</f>
        <v/>
      </c>
      <c r="P299" s="52" t="n">
        <f aca="false">IF(Q299=1,L299+ROW()/1000000,-1000000000000000)</f>
        <v>-1000000000000000</v>
      </c>
      <c r="Q299" s="52" t="n">
        <f aca="false">IF(B299="",0,IF(G299="",0,IF(N299="Returned / Devuelto",0,1)))</f>
        <v>0</v>
      </c>
      <c r="R299" s="52" t="n">
        <f aca="false">IF(Q299=1,IF(ISNUMBER(D299),YEAR(D299)*100+MONTH(D299),0),0)</f>
        <v>0</v>
      </c>
      <c r="S299" s="52" t="n">
        <f aca="false">IF(Q299=1,IF(M299&lt;0.15,1,0),0)</f>
        <v>0</v>
      </c>
    </row>
    <row r="300" customFormat="false" ht="15" hidden="false" customHeight="false" outlineLevel="0" collapsed="false">
      <c r="B300" s="53"/>
      <c r="C300" s="53"/>
      <c r="D300" s="54"/>
      <c r="E300" s="55"/>
      <c r="F300" s="55"/>
      <c r="G300" s="55"/>
      <c r="H300" s="56"/>
      <c r="I300" s="57" t="str">
        <f aca="false">IF(G300="","",G300*H300)</f>
        <v/>
      </c>
      <c r="J300" s="55"/>
      <c r="K300" s="55"/>
      <c r="L300" s="57" t="str">
        <f aca="false">IF(OR(B300="",G300=""),"",G300-E300-F300-I300-J300-K300)</f>
        <v/>
      </c>
      <c r="M300" s="58" t="str">
        <f aca="false">IF(L300="","",IF(G300=0,0,L300/G300))</f>
        <v/>
      </c>
      <c r="N300" s="53"/>
      <c r="O300" s="59" t="str">
        <f aca="false">IF(M300="","",IF(M300&lt;0.15,"⚠ LOW MARGIN / MARGEN BAJO","✔ OK"))</f>
        <v/>
      </c>
      <c r="P300" s="52" t="n">
        <f aca="false">IF(Q300=1,L300+ROW()/1000000,-1000000000000000)</f>
        <v>-1000000000000000</v>
      </c>
      <c r="Q300" s="52" t="n">
        <f aca="false">IF(B300="",0,IF(G300="",0,IF(N300="Returned / Devuelto",0,1)))</f>
        <v>0</v>
      </c>
      <c r="R300" s="52" t="n">
        <f aca="false">IF(Q300=1,IF(ISNUMBER(D300),YEAR(D300)*100+MONTH(D300),0),0)</f>
        <v>0</v>
      </c>
      <c r="S300" s="52" t="n">
        <f aca="false">IF(Q300=1,IF(M300&lt;0.15,1,0),0)</f>
        <v>0</v>
      </c>
    </row>
    <row r="301" customFormat="false" ht="15" hidden="false" customHeight="false" outlineLevel="0" collapsed="false">
      <c r="B301" s="53"/>
      <c r="C301" s="53"/>
      <c r="D301" s="54"/>
      <c r="E301" s="55"/>
      <c r="F301" s="55"/>
      <c r="G301" s="55"/>
      <c r="H301" s="56"/>
      <c r="I301" s="57" t="str">
        <f aca="false">IF(G301="","",G301*H301)</f>
        <v/>
      </c>
      <c r="J301" s="55"/>
      <c r="K301" s="55"/>
      <c r="L301" s="57" t="str">
        <f aca="false">IF(OR(B301="",G301=""),"",G301-E301-F301-I301-J301-K301)</f>
        <v/>
      </c>
      <c r="M301" s="58" t="str">
        <f aca="false">IF(L301="","",IF(G301=0,0,L301/G301))</f>
        <v/>
      </c>
      <c r="N301" s="53"/>
      <c r="O301" s="59" t="str">
        <f aca="false">IF(M301="","",IF(M301&lt;0.15,"⚠ LOW MARGIN / MARGEN BAJO","✔ OK"))</f>
        <v/>
      </c>
      <c r="P301" s="52" t="n">
        <f aca="false">IF(Q301=1,L301+ROW()/1000000,-1000000000000000)</f>
        <v>-1000000000000000</v>
      </c>
      <c r="Q301" s="52" t="n">
        <f aca="false">IF(B301="",0,IF(G301="",0,IF(N301="Returned / Devuelto",0,1)))</f>
        <v>0</v>
      </c>
      <c r="R301" s="52" t="n">
        <f aca="false">IF(Q301=1,IF(ISNUMBER(D301),YEAR(D301)*100+MONTH(D301),0),0)</f>
        <v>0</v>
      </c>
      <c r="S301" s="52" t="n">
        <f aca="false">IF(Q301=1,IF(M301&lt;0.15,1,0),0)</f>
        <v>0</v>
      </c>
    </row>
    <row r="302" customFormat="false" ht="15" hidden="false" customHeight="false" outlineLevel="0" collapsed="false">
      <c r="B302" s="53"/>
      <c r="C302" s="53"/>
      <c r="D302" s="54"/>
      <c r="E302" s="55"/>
      <c r="F302" s="55"/>
      <c r="G302" s="55"/>
      <c r="H302" s="56"/>
      <c r="I302" s="57" t="str">
        <f aca="false">IF(G302="","",G302*H302)</f>
        <v/>
      </c>
      <c r="J302" s="55"/>
      <c r="K302" s="55"/>
      <c r="L302" s="57" t="str">
        <f aca="false">IF(OR(B302="",G302=""),"",G302-E302-F302-I302-J302-K302)</f>
        <v/>
      </c>
      <c r="M302" s="58" t="str">
        <f aca="false">IF(L302="","",IF(G302=0,0,L302/G302))</f>
        <v/>
      </c>
      <c r="N302" s="53"/>
      <c r="O302" s="59" t="str">
        <f aca="false">IF(M302="","",IF(M302&lt;0.15,"⚠ LOW MARGIN / MARGEN BAJO","✔ OK"))</f>
        <v/>
      </c>
      <c r="P302" s="52" t="n">
        <f aca="false">IF(Q302=1,L302+ROW()/1000000,-1000000000000000)</f>
        <v>-1000000000000000</v>
      </c>
      <c r="Q302" s="52" t="n">
        <f aca="false">IF(B302="",0,IF(G302="",0,IF(N302="Returned / Devuelto",0,1)))</f>
        <v>0</v>
      </c>
      <c r="R302" s="52" t="n">
        <f aca="false">IF(Q302=1,IF(ISNUMBER(D302),YEAR(D302)*100+MONTH(D302),0),0)</f>
        <v>0</v>
      </c>
      <c r="S302" s="52" t="n">
        <f aca="false">IF(Q302=1,IF(M302&lt;0.15,1,0),0)</f>
        <v>0</v>
      </c>
    </row>
    <row r="303" customFormat="false" ht="15" hidden="false" customHeight="false" outlineLevel="0" collapsed="false">
      <c r="B303" s="53"/>
      <c r="C303" s="53"/>
      <c r="D303" s="54"/>
      <c r="E303" s="55"/>
      <c r="F303" s="55"/>
      <c r="G303" s="55"/>
      <c r="H303" s="56"/>
      <c r="I303" s="57" t="str">
        <f aca="false">IF(G303="","",G303*H303)</f>
        <v/>
      </c>
      <c r="J303" s="55"/>
      <c r="K303" s="55"/>
      <c r="L303" s="57" t="str">
        <f aca="false">IF(OR(B303="",G303=""),"",G303-E303-F303-I303-J303-K303)</f>
        <v/>
      </c>
      <c r="M303" s="58" t="str">
        <f aca="false">IF(L303="","",IF(G303=0,0,L303/G303))</f>
        <v/>
      </c>
      <c r="N303" s="53"/>
      <c r="O303" s="59" t="str">
        <f aca="false">IF(M303="","",IF(M303&lt;0.15,"⚠ LOW MARGIN / MARGEN BAJO","✔ OK"))</f>
        <v/>
      </c>
      <c r="P303" s="52" t="n">
        <f aca="false">IF(Q303=1,L303+ROW()/1000000,-1000000000000000)</f>
        <v>-1000000000000000</v>
      </c>
      <c r="Q303" s="52" t="n">
        <f aca="false">IF(B303="",0,IF(G303="",0,IF(N303="Returned / Devuelto",0,1)))</f>
        <v>0</v>
      </c>
      <c r="R303" s="52" t="n">
        <f aca="false">IF(Q303=1,IF(ISNUMBER(D303),YEAR(D303)*100+MONTH(D303),0),0)</f>
        <v>0</v>
      </c>
      <c r="S303" s="52" t="n">
        <f aca="false">IF(Q303=1,IF(M303&lt;0.15,1,0),0)</f>
        <v>0</v>
      </c>
    </row>
    <row r="304" customFormat="false" ht="15" hidden="false" customHeight="false" outlineLevel="0" collapsed="false">
      <c r="B304" s="53"/>
      <c r="C304" s="53"/>
      <c r="D304" s="54"/>
      <c r="E304" s="55"/>
      <c r="F304" s="55"/>
      <c r="G304" s="55"/>
      <c r="H304" s="56"/>
      <c r="I304" s="57" t="str">
        <f aca="false">IF(G304="","",G304*H304)</f>
        <v/>
      </c>
      <c r="J304" s="55"/>
      <c r="K304" s="55"/>
      <c r="L304" s="57" t="str">
        <f aca="false">IF(OR(B304="",G304=""),"",G304-E304-F304-I304-J304-K304)</f>
        <v/>
      </c>
      <c r="M304" s="58" t="str">
        <f aca="false">IF(L304="","",IF(G304=0,0,L304/G304))</f>
        <v/>
      </c>
      <c r="N304" s="53"/>
      <c r="O304" s="59" t="str">
        <f aca="false">IF(M304="","",IF(M304&lt;0.15,"⚠ LOW MARGIN / MARGEN BAJO","✔ OK"))</f>
        <v/>
      </c>
      <c r="P304" s="52" t="n">
        <f aca="false">IF(Q304=1,L304+ROW()/1000000,-1000000000000000)</f>
        <v>-1000000000000000</v>
      </c>
      <c r="Q304" s="52" t="n">
        <f aca="false">IF(B304="",0,IF(G304="",0,IF(N304="Returned / Devuelto",0,1)))</f>
        <v>0</v>
      </c>
      <c r="R304" s="52" t="n">
        <f aca="false">IF(Q304=1,IF(ISNUMBER(D304),YEAR(D304)*100+MONTH(D304),0),0)</f>
        <v>0</v>
      </c>
      <c r="S304" s="52" t="n">
        <f aca="false">IF(Q304=1,IF(M304&lt;0.15,1,0),0)</f>
        <v>0</v>
      </c>
    </row>
    <row r="305" customFormat="false" ht="15" hidden="false" customHeight="false" outlineLevel="0" collapsed="false">
      <c r="B305" s="53"/>
      <c r="C305" s="53"/>
      <c r="D305" s="54"/>
      <c r="E305" s="55"/>
      <c r="F305" s="55"/>
      <c r="G305" s="55"/>
      <c r="H305" s="56"/>
      <c r="I305" s="57" t="str">
        <f aca="false">IF(G305="","",G305*H305)</f>
        <v/>
      </c>
      <c r="J305" s="55"/>
      <c r="K305" s="55"/>
      <c r="L305" s="57" t="str">
        <f aca="false">IF(OR(B305="",G305=""),"",G305-E305-F305-I305-J305-K305)</f>
        <v/>
      </c>
      <c r="M305" s="58" t="str">
        <f aca="false">IF(L305="","",IF(G305=0,0,L305/G305))</f>
        <v/>
      </c>
      <c r="N305" s="53"/>
      <c r="O305" s="59" t="str">
        <f aca="false">IF(M305="","",IF(M305&lt;0.15,"⚠ LOW MARGIN / MARGEN BAJO","✔ OK"))</f>
        <v/>
      </c>
      <c r="P305" s="52" t="n">
        <f aca="false">IF(Q305=1,L305+ROW()/1000000,-1000000000000000)</f>
        <v>-1000000000000000</v>
      </c>
      <c r="Q305" s="52" t="n">
        <f aca="false">IF(B305="",0,IF(G305="",0,IF(N305="Returned / Devuelto",0,1)))</f>
        <v>0</v>
      </c>
      <c r="R305" s="52" t="n">
        <f aca="false">IF(Q305=1,IF(ISNUMBER(D305),YEAR(D305)*100+MONTH(D305),0),0)</f>
        <v>0</v>
      </c>
      <c r="S305" s="52" t="n">
        <f aca="false">IF(Q305=1,IF(M305&lt;0.15,1,0),0)</f>
        <v>0</v>
      </c>
    </row>
    <row r="306" customFormat="false" ht="15" hidden="false" customHeight="false" outlineLevel="0" collapsed="false">
      <c r="B306" s="53"/>
      <c r="C306" s="53"/>
      <c r="D306" s="54"/>
      <c r="E306" s="55"/>
      <c r="F306" s="55"/>
      <c r="G306" s="55"/>
      <c r="H306" s="56"/>
      <c r="I306" s="57" t="str">
        <f aca="false">IF(G306="","",G306*H306)</f>
        <v/>
      </c>
      <c r="J306" s="55"/>
      <c r="K306" s="55"/>
      <c r="L306" s="57" t="str">
        <f aca="false">IF(OR(B306="",G306=""),"",G306-E306-F306-I306-J306-K306)</f>
        <v/>
      </c>
      <c r="M306" s="58" t="str">
        <f aca="false">IF(L306="","",IF(G306=0,0,L306/G306))</f>
        <v/>
      </c>
      <c r="N306" s="53"/>
      <c r="O306" s="59" t="str">
        <f aca="false">IF(M306="","",IF(M306&lt;0.15,"⚠ LOW MARGIN / MARGEN BAJO","✔ OK"))</f>
        <v/>
      </c>
      <c r="P306" s="52" t="n">
        <f aca="false">IF(Q306=1,L306+ROW()/1000000,-1000000000000000)</f>
        <v>-1000000000000000</v>
      </c>
      <c r="Q306" s="52" t="n">
        <f aca="false">IF(B306="",0,IF(G306="",0,IF(N306="Returned / Devuelto",0,1)))</f>
        <v>0</v>
      </c>
      <c r="R306" s="52" t="n">
        <f aca="false">IF(Q306=1,IF(ISNUMBER(D306),YEAR(D306)*100+MONTH(D306),0),0)</f>
        <v>0</v>
      </c>
      <c r="S306" s="52" t="n">
        <f aca="false">IF(Q306=1,IF(M306&lt;0.15,1,0),0)</f>
        <v>0</v>
      </c>
    </row>
    <row r="307" customFormat="false" ht="15" hidden="false" customHeight="false" outlineLevel="0" collapsed="false">
      <c r="B307" s="53"/>
      <c r="C307" s="53"/>
      <c r="D307" s="54"/>
      <c r="E307" s="55"/>
      <c r="F307" s="55"/>
      <c r="G307" s="55"/>
      <c r="H307" s="56"/>
      <c r="I307" s="57" t="str">
        <f aca="false">IF(G307="","",G307*H307)</f>
        <v/>
      </c>
      <c r="J307" s="55"/>
      <c r="K307" s="55"/>
      <c r="L307" s="57" t="str">
        <f aca="false">IF(OR(B307="",G307=""),"",G307-E307-F307-I307-J307-K307)</f>
        <v/>
      </c>
      <c r="M307" s="58" t="str">
        <f aca="false">IF(L307="","",IF(G307=0,0,L307/G307))</f>
        <v/>
      </c>
      <c r="N307" s="53"/>
      <c r="O307" s="59" t="str">
        <f aca="false">IF(M307="","",IF(M307&lt;0.15,"⚠ LOW MARGIN / MARGEN BAJO","✔ OK"))</f>
        <v/>
      </c>
      <c r="P307" s="52" t="n">
        <f aca="false">IF(Q307=1,L307+ROW()/1000000,-1000000000000000)</f>
        <v>-1000000000000000</v>
      </c>
      <c r="Q307" s="52" t="n">
        <f aca="false">IF(B307="",0,IF(G307="",0,IF(N307="Returned / Devuelto",0,1)))</f>
        <v>0</v>
      </c>
      <c r="R307" s="52" t="n">
        <f aca="false">IF(Q307=1,IF(ISNUMBER(D307),YEAR(D307)*100+MONTH(D307),0),0)</f>
        <v>0</v>
      </c>
      <c r="S307" s="52" t="n">
        <f aca="false">IF(Q307=1,IF(M307&lt;0.15,1,0),0)</f>
        <v>0</v>
      </c>
    </row>
    <row r="308" customFormat="false" ht="15" hidden="false" customHeight="false" outlineLevel="0" collapsed="false">
      <c r="B308" s="53"/>
      <c r="C308" s="53"/>
      <c r="D308" s="54"/>
      <c r="E308" s="55"/>
      <c r="F308" s="55"/>
      <c r="G308" s="55"/>
      <c r="H308" s="56"/>
      <c r="I308" s="57" t="str">
        <f aca="false">IF(G308="","",G308*H308)</f>
        <v/>
      </c>
      <c r="J308" s="55"/>
      <c r="K308" s="55"/>
      <c r="L308" s="57" t="str">
        <f aca="false">IF(OR(B308="",G308=""),"",G308-E308-F308-I308-J308-K308)</f>
        <v/>
      </c>
      <c r="M308" s="58" t="str">
        <f aca="false">IF(L308="","",IF(G308=0,0,L308/G308))</f>
        <v/>
      </c>
      <c r="N308" s="53"/>
      <c r="O308" s="59" t="str">
        <f aca="false">IF(M308="","",IF(M308&lt;0.15,"⚠ LOW MARGIN / MARGEN BAJO","✔ OK"))</f>
        <v/>
      </c>
      <c r="P308" s="52" t="n">
        <f aca="false">IF(Q308=1,L308+ROW()/1000000,-1000000000000000)</f>
        <v>-1000000000000000</v>
      </c>
      <c r="Q308" s="52" t="n">
        <f aca="false">IF(B308="",0,IF(G308="",0,IF(N308="Returned / Devuelto",0,1)))</f>
        <v>0</v>
      </c>
      <c r="R308" s="52" t="n">
        <f aca="false">IF(Q308=1,IF(ISNUMBER(D308),YEAR(D308)*100+MONTH(D308),0),0)</f>
        <v>0</v>
      </c>
      <c r="S308" s="52" t="n">
        <f aca="false">IF(Q308=1,IF(M308&lt;0.15,1,0),0)</f>
        <v>0</v>
      </c>
    </row>
    <row r="309" customFormat="false" ht="15" hidden="false" customHeight="false" outlineLevel="0" collapsed="false">
      <c r="B309" s="53"/>
      <c r="C309" s="53"/>
      <c r="D309" s="54"/>
      <c r="E309" s="55"/>
      <c r="F309" s="55"/>
      <c r="G309" s="55"/>
      <c r="H309" s="56"/>
      <c r="I309" s="57" t="str">
        <f aca="false">IF(G309="","",G309*H309)</f>
        <v/>
      </c>
      <c r="J309" s="55"/>
      <c r="K309" s="55"/>
      <c r="L309" s="57" t="str">
        <f aca="false">IF(OR(B309="",G309=""),"",G309-E309-F309-I309-J309-K309)</f>
        <v/>
      </c>
      <c r="M309" s="58" t="str">
        <f aca="false">IF(L309="","",IF(G309=0,0,L309/G309))</f>
        <v/>
      </c>
      <c r="N309" s="53"/>
      <c r="O309" s="59" t="str">
        <f aca="false">IF(M309="","",IF(M309&lt;0.15,"⚠ LOW MARGIN / MARGEN BAJO","✔ OK"))</f>
        <v/>
      </c>
      <c r="P309" s="52" t="n">
        <f aca="false">IF(Q309=1,L309+ROW()/1000000,-1000000000000000)</f>
        <v>-1000000000000000</v>
      </c>
      <c r="Q309" s="52" t="n">
        <f aca="false">IF(B309="",0,IF(G309="",0,IF(N309="Returned / Devuelto",0,1)))</f>
        <v>0</v>
      </c>
      <c r="R309" s="52" t="n">
        <f aca="false">IF(Q309=1,IF(ISNUMBER(D309),YEAR(D309)*100+MONTH(D309),0),0)</f>
        <v>0</v>
      </c>
      <c r="S309" s="52" t="n">
        <f aca="false">IF(Q309=1,IF(M309&lt;0.15,1,0),0)</f>
        <v>0</v>
      </c>
    </row>
    <row r="310" customFormat="false" ht="15" hidden="false" customHeight="false" outlineLevel="0" collapsed="false">
      <c r="B310" s="53"/>
      <c r="C310" s="53"/>
      <c r="D310" s="54"/>
      <c r="E310" s="55"/>
      <c r="F310" s="55"/>
      <c r="G310" s="55"/>
      <c r="H310" s="56"/>
      <c r="I310" s="57" t="str">
        <f aca="false">IF(G310="","",G310*H310)</f>
        <v/>
      </c>
      <c r="J310" s="55"/>
      <c r="K310" s="55"/>
      <c r="L310" s="57" t="str">
        <f aca="false">IF(OR(B310="",G310=""),"",G310-E310-F310-I310-J310-K310)</f>
        <v/>
      </c>
      <c r="M310" s="58" t="str">
        <f aca="false">IF(L310="","",IF(G310=0,0,L310/G310))</f>
        <v/>
      </c>
      <c r="N310" s="53"/>
      <c r="O310" s="59" t="str">
        <f aca="false">IF(M310="","",IF(M310&lt;0.15,"⚠ LOW MARGIN / MARGEN BAJO","✔ OK"))</f>
        <v/>
      </c>
      <c r="P310" s="52" t="n">
        <f aca="false">IF(Q310=1,L310+ROW()/1000000,-1000000000000000)</f>
        <v>-1000000000000000</v>
      </c>
      <c r="Q310" s="52" t="n">
        <f aca="false">IF(B310="",0,IF(G310="",0,IF(N310="Returned / Devuelto",0,1)))</f>
        <v>0</v>
      </c>
      <c r="R310" s="52" t="n">
        <f aca="false">IF(Q310=1,IF(ISNUMBER(D310),YEAR(D310)*100+MONTH(D310),0),0)</f>
        <v>0</v>
      </c>
      <c r="S310" s="52" t="n">
        <f aca="false">IF(Q310=1,IF(M310&lt;0.15,1,0),0)</f>
        <v>0</v>
      </c>
    </row>
    <row r="311" customFormat="false" ht="15" hidden="false" customHeight="false" outlineLevel="0" collapsed="false">
      <c r="B311" s="53"/>
      <c r="C311" s="53"/>
      <c r="D311" s="54"/>
      <c r="E311" s="55"/>
      <c r="F311" s="55"/>
      <c r="G311" s="55"/>
      <c r="H311" s="56"/>
      <c r="I311" s="57" t="str">
        <f aca="false">IF(G311="","",G311*H311)</f>
        <v/>
      </c>
      <c r="J311" s="55"/>
      <c r="K311" s="55"/>
      <c r="L311" s="57" t="str">
        <f aca="false">IF(OR(B311="",G311=""),"",G311-E311-F311-I311-J311-K311)</f>
        <v/>
      </c>
      <c r="M311" s="58" t="str">
        <f aca="false">IF(L311="","",IF(G311=0,0,L311/G311))</f>
        <v/>
      </c>
      <c r="N311" s="53"/>
      <c r="O311" s="59" t="str">
        <f aca="false">IF(M311="","",IF(M311&lt;0.15,"⚠ LOW MARGIN / MARGEN BAJO","✔ OK"))</f>
        <v/>
      </c>
      <c r="P311" s="52" t="n">
        <f aca="false">IF(Q311=1,L311+ROW()/1000000,-1000000000000000)</f>
        <v>-1000000000000000</v>
      </c>
      <c r="Q311" s="52" t="n">
        <f aca="false">IF(B311="",0,IF(G311="",0,IF(N311="Returned / Devuelto",0,1)))</f>
        <v>0</v>
      </c>
      <c r="R311" s="52" t="n">
        <f aca="false">IF(Q311=1,IF(ISNUMBER(D311),YEAR(D311)*100+MONTH(D311),0),0)</f>
        <v>0</v>
      </c>
      <c r="S311" s="52" t="n">
        <f aca="false">IF(Q311=1,IF(M311&lt;0.15,1,0),0)</f>
        <v>0</v>
      </c>
    </row>
    <row r="312" customFormat="false" ht="15" hidden="false" customHeight="false" outlineLevel="0" collapsed="false">
      <c r="B312" s="53"/>
      <c r="C312" s="53"/>
      <c r="D312" s="54"/>
      <c r="E312" s="55"/>
      <c r="F312" s="55"/>
      <c r="G312" s="55"/>
      <c r="H312" s="56"/>
      <c r="I312" s="57" t="str">
        <f aca="false">IF(G312="","",G312*H312)</f>
        <v/>
      </c>
      <c r="J312" s="55"/>
      <c r="K312" s="55"/>
      <c r="L312" s="57" t="str">
        <f aca="false">IF(OR(B312="",G312=""),"",G312-E312-F312-I312-J312-K312)</f>
        <v/>
      </c>
      <c r="M312" s="58" t="str">
        <f aca="false">IF(L312="","",IF(G312=0,0,L312/G312))</f>
        <v/>
      </c>
      <c r="N312" s="53"/>
      <c r="O312" s="59" t="str">
        <f aca="false">IF(M312="","",IF(M312&lt;0.15,"⚠ LOW MARGIN / MARGEN BAJO","✔ OK"))</f>
        <v/>
      </c>
      <c r="P312" s="52" t="n">
        <f aca="false">IF(Q312=1,L312+ROW()/1000000,-1000000000000000)</f>
        <v>-1000000000000000</v>
      </c>
      <c r="Q312" s="52" t="n">
        <f aca="false">IF(B312="",0,IF(G312="",0,IF(N312="Returned / Devuelto",0,1)))</f>
        <v>0</v>
      </c>
      <c r="R312" s="52" t="n">
        <f aca="false">IF(Q312=1,IF(ISNUMBER(D312),YEAR(D312)*100+MONTH(D312),0),0)</f>
        <v>0</v>
      </c>
      <c r="S312" s="52" t="n">
        <f aca="false">IF(Q312=1,IF(M312&lt;0.15,1,0),0)</f>
        <v>0</v>
      </c>
    </row>
    <row r="313" customFormat="false" ht="15" hidden="false" customHeight="false" outlineLevel="0" collapsed="false">
      <c r="B313" s="53"/>
      <c r="C313" s="53"/>
      <c r="D313" s="54"/>
      <c r="E313" s="55"/>
      <c r="F313" s="55"/>
      <c r="G313" s="55"/>
      <c r="H313" s="56"/>
      <c r="I313" s="57" t="str">
        <f aca="false">IF(G313="","",G313*H313)</f>
        <v/>
      </c>
      <c r="J313" s="55"/>
      <c r="K313" s="55"/>
      <c r="L313" s="57" t="str">
        <f aca="false">IF(OR(B313="",G313=""),"",G313-E313-F313-I313-J313-K313)</f>
        <v/>
      </c>
      <c r="M313" s="58" t="str">
        <f aca="false">IF(L313="","",IF(G313=0,0,L313/G313))</f>
        <v/>
      </c>
      <c r="N313" s="53"/>
      <c r="O313" s="59" t="str">
        <f aca="false">IF(M313="","",IF(M313&lt;0.15,"⚠ LOW MARGIN / MARGEN BAJO","✔ OK"))</f>
        <v/>
      </c>
      <c r="P313" s="52" t="n">
        <f aca="false">IF(Q313=1,L313+ROW()/1000000,-1000000000000000)</f>
        <v>-1000000000000000</v>
      </c>
      <c r="Q313" s="52" t="n">
        <f aca="false">IF(B313="",0,IF(G313="",0,IF(N313="Returned / Devuelto",0,1)))</f>
        <v>0</v>
      </c>
      <c r="R313" s="52" t="n">
        <f aca="false">IF(Q313=1,IF(ISNUMBER(D313),YEAR(D313)*100+MONTH(D313),0),0)</f>
        <v>0</v>
      </c>
      <c r="S313" s="52" t="n">
        <f aca="false">IF(Q313=1,IF(M313&lt;0.15,1,0),0)</f>
        <v>0</v>
      </c>
    </row>
    <row r="314" customFormat="false" ht="15" hidden="false" customHeight="false" outlineLevel="0" collapsed="false">
      <c r="B314" s="53"/>
      <c r="C314" s="53"/>
      <c r="D314" s="54"/>
      <c r="E314" s="55"/>
      <c r="F314" s="55"/>
      <c r="G314" s="55"/>
      <c r="H314" s="56"/>
      <c r="I314" s="57" t="str">
        <f aca="false">IF(G314="","",G314*H314)</f>
        <v/>
      </c>
      <c r="J314" s="55"/>
      <c r="K314" s="55"/>
      <c r="L314" s="57" t="str">
        <f aca="false">IF(OR(B314="",G314=""),"",G314-E314-F314-I314-J314-K314)</f>
        <v/>
      </c>
      <c r="M314" s="58" t="str">
        <f aca="false">IF(L314="","",IF(G314=0,0,L314/G314))</f>
        <v/>
      </c>
      <c r="N314" s="53"/>
      <c r="O314" s="59" t="str">
        <f aca="false">IF(M314="","",IF(M314&lt;0.15,"⚠ LOW MARGIN / MARGEN BAJO","✔ OK"))</f>
        <v/>
      </c>
      <c r="P314" s="52" t="n">
        <f aca="false">IF(Q314=1,L314+ROW()/1000000,-1000000000000000)</f>
        <v>-1000000000000000</v>
      </c>
      <c r="Q314" s="52" t="n">
        <f aca="false">IF(B314="",0,IF(G314="",0,IF(N314="Returned / Devuelto",0,1)))</f>
        <v>0</v>
      </c>
      <c r="R314" s="52" t="n">
        <f aca="false">IF(Q314=1,IF(ISNUMBER(D314),YEAR(D314)*100+MONTH(D314),0),0)</f>
        <v>0</v>
      </c>
      <c r="S314" s="52" t="n">
        <f aca="false">IF(Q314=1,IF(M314&lt;0.15,1,0),0)</f>
        <v>0</v>
      </c>
    </row>
    <row r="315" customFormat="false" ht="15" hidden="false" customHeight="false" outlineLevel="0" collapsed="false">
      <c r="B315" s="53"/>
      <c r="C315" s="53"/>
      <c r="D315" s="54"/>
      <c r="E315" s="55"/>
      <c r="F315" s="55"/>
      <c r="G315" s="55"/>
      <c r="H315" s="56"/>
      <c r="I315" s="57" t="str">
        <f aca="false">IF(G315="","",G315*H315)</f>
        <v/>
      </c>
      <c r="J315" s="55"/>
      <c r="K315" s="55"/>
      <c r="L315" s="57" t="str">
        <f aca="false">IF(OR(B315="",G315=""),"",G315-E315-F315-I315-J315-K315)</f>
        <v/>
      </c>
      <c r="M315" s="58" t="str">
        <f aca="false">IF(L315="","",IF(G315=0,0,L315/G315))</f>
        <v/>
      </c>
      <c r="N315" s="53"/>
      <c r="O315" s="59" t="str">
        <f aca="false">IF(M315="","",IF(M315&lt;0.15,"⚠ LOW MARGIN / MARGEN BAJO","✔ OK"))</f>
        <v/>
      </c>
      <c r="P315" s="52" t="n">
        <f aca="false">IF(Q315=1,L315+ROW()/1000000,-1000000000000000)</f>
        <v>-1000000000000000</v>
      </c>
      <c r="Q315" s="52" t="n">
        <f aca="false">IF(B315="",0,IF(G315="",0,IF(N315="Returned / Devuelto",0,1)))</f>
        <v>0</v>
      </c>
      <c r="R315" s="52" t="n">
        <f aca="false">IF(Q315=1,IF(ISNUMBER(D315),YEAR(D315)*100+MONTH(D315),0),0)</f>
        <v>0</v>
      </c>
      <c r="S315" s="52" t="n">
        <f aca="false">IF(Q315=1,IF(M315&lt;0.15,1,0),0)</f>
        <v>0</v>
      </c>
    </row>
    <row r="316" customFormat="false" ht="15" hidden="false" customHeight="false" outlineLevel="0" collapsed="false">
      <c r="B316" s="53"/>
      <c r="C316" s="53"/>
      <c r="D316" s="54"/>
      <c r="E316" s="55"/>
      <c r="F316" s="55"/>
      <c r="G316" s="55"/>
      <c r="H316" s="56"/>
      <c r="I316" s="57" t="str">
        <f aca="false">IF(G316="","",G316*H316)</f>
        <v/>
      </c>
      <c r="J316" s="55"/>
      <c r="K316" s="55"/>
      <c r="L316" s="57" t="str">
        <f aca="false">IF(OR(B316="",G316=""),"",G316-E316-F316-I316-J316-K316)</f>
        <v/>
      </c>
      <c r="M316" s="58" t="str">
        <f aca="false">IF(L316="","",IF(G316=0,0,L316/G316))</f>
        <v/>
      </c>
      <c r="N316" s="53"/>
      <c r="O316" s="59" t="str">
        <f aca="false">IF(M316="","",IF(M316&lt;0.15,"⚠ LOW MARGIN / MARGEN BAJO","✔ OK"))</f>
        <v/>
      </c>
      <c r="P316" s="52" t="n">
        <f aca="false">IF(Q316=1,L316+ROW()/1000000,-1000000000000000)</f>
        <v>-1000000000000000</v>
      </c>
      <c r="Q316" s="52" t="n">
        <f aca="false">IF(B316="",0,IF(G316="",0,IF(N316="Returned / Devuelto",0,1)))</f>
        <v>0</v>
      </c>
      <c r="R316" s="52" t="n">
        <f aca="false">IF(Q316=1,IF(ISNUMBER(D316),YEAR(D316)*100+MONTH(D316),0),0)</f>
        <v>0</v>
      </c>
      <c r="S316" s="52" t="n">
        <f aca="false">IF(Q316=1,IF(M316&lt;0.15,1,0),0)</f>
        <v>0</v>
      </c>
    </row>
    <row r="317" customFormat="false" ht="15" hidden="false" customHeight="false" outlineLevel="0" collapsed="false">
      <c r="B317" s="53"/>
      <c r="C317" s="53"/>
      <c r="D317" s="54"/>
      <c r="E317" s="55"/>
      <c r="F317" s="55"/>
      <c r="G317" s="55"/>
      <c r="H317" s="56"/>
      <c r="I317" s="57" t="str">
        <f aca="false">IF(G317="","",G317*H317)</f>
        <v/>
      </c>
      <c r="J317" s="55"/>
      <c r="K317" s="55"/>
      <c r="L317" s="57" t="str">
        <f aca="false">IF(OR(B317="",G317=""),"",G317-E317-F317-I317-J317-K317)</f>
        <v/>
      </c>
      <c r="M317" s="58" t="str">
        <f aca="false">IF(L317="","",IF(G317=0,0,L317/G317))</f>
        <v/>
      </c>
      <c r="N317" s="53"/>
      <c r="O317" s="59" t="str">
        <f aca="false">IF(M317="","",IF(M317&lt;0.15,"⚠ LOW MARGIN / MARGEN BAJO","✔ OK"))</f>
        <v/>
      </c>
      <c r="P317" s="52" t="n">
        <f aca="false">IF(Q317=1,L317+ROW()/1000000,-1000000000000000)</f>
        <v>-1000000000000000</v>
      </c>
      <c r="Q317" s="52" t="n">
        <f aca="false">IF(B317="",0,IF(G317="",0,IF(N317="Returned / Devuelto",0,1)))</f>
        <v>0</v>
      </c>
      <c r="R317" s="52" t="n">
        <f aca="false">IF(Q317=1,IF(ISNUMBER(D317),YEAR(D317)*100+MONTH(D317),0),0)</f>
        <v>0</v>
      </c>
      <c r="S317" s="52" t="n">
        <f aca="false">IF(Q317=1,IF(M317&lt;0.15,1,0),0)</f>
        <v>0</v>
      </c>
    </row>
    <row r="318" customFormat="false" ht="15" hidden="false" customHeight="false" outlineLevel="0" collapsed="false">
      <c r="B318" s="53"/>
      <c r="C318" s="53"/>
      <c r="D318" s="54"/>
      <c r="E318" s="55"/>
      <c r="F318" s="55"/>
      <c r="G318" s="55"/>
      <c r="H318" s="56"/>
      <c r="I318" s="57" t="str">
        <f aca="false">IF(G318="","",G318*H318)</f>
        <v/>
      </c>
      <c r="J318" s="55"/>
      <c r="K318" s="55"/>
      <c r="L318" s="57" t="str">
        <f aca="false">IF(OR(B318="",G318=""),"",G318-E318-F318-I318-J318-K318)</f>
        <v/>
      </c>
      <c r="M318" s="58" t="str">
        <f aca="false">IF(L318="","",IF(G318=0,0,L318/G318))</f>
        <v/>
      </c>
      <c r="N318" s="53"/>
      <c r="O318" s="59" t="str">
        <f aca="false">IF(M318="","",IF(M318&lt;0.15,"⚠ LOW MARGIN / MARGEN BAJO","✔ OK"))</f>
        <v/>
      </c>
      <c r="P318" s="52" t="n">
        <f aca="false">IF(Q318=1,L318+ROW()/1000000,-1000000000000000)</f>
        <v>-1000000000000000</v>
      </c>
      <c r="Q318" s="52" t="n">
        <f aca="false">IF(B318="",0,IF(G318="",0,IF(N318="Returned / Devuelto",0,1)))</f>
        <v>0</v>
      </c>
      <c r="R318" s="52" t="n">
        <f aca="false">IF(Q318=1,IF(ISNUMBER(D318),YEAR(D318)*100+MONTH(D318),0),0)</f>
        <v>0</v>
      </c>
      <c r="S318" s="52" t="n">
        <f aca="false">IF(Q318=1,IF(M318&lt;0.15,1,0),0)</f>
        <v>0</v>
      </c>
    </row>
    <row r="319" customFormat="false" ht="15" hidden="false" customHeight="false" outlineLevel="0" collapsed="false">
      <c r="B319" s="53"/>
      <c r="C319" s="53"/>
      <c r="D319" s="54"/>
      <c r="E319" s="55"/>
      <c r="F319" s="55"/>
      <c r="G319" s="55"/>
      <c r="H319" s="56"/>
      <c r="I319" s="57" t="str">
        <f aca="false">IF(G319="","",G319*H319)</f>
        <v/>
      </c>
      <c r="J319" s="55"/>
      <c r="K319" s="55"/>
      <c r="L319" s="57" t="str">
        <f aca="false">IF(OR(B319="",G319=""),"",G319-E319-F319-I319-J319-K319)</f>
        <v/>
      </c>
      <c r="M319" s="58" t="str">
        <f aca="false">IF(L319="","",IF(G319=0,0,L319/G319))</f>
        <v/>
      </c>
      <c r="N319" s="53"/>
      <c r="O319" s="59" t="str">
        <f aca="false">IF(M319="","",IF(M319&lt;0.15,"⚠ LOW MARGIN / MARGEN BAJO","✔ OK"))</f>
        <v/>
      </c>
      <c r="P319" s="52" t="n">
        <f aca="false">IF(Q319=1,L319+ROW()/1000000,-1000000000000000)</f>
        <v>-1000000000000000</v>
      </c>
      <c r="Q319" s="52" t="n">
        <f aca="false">IF(B319="",0,IF(G319="",0,IF(N319="Returned / Devuelto",0,1)))</f>
        <v>0</v>
      </c>
      <c r="R319" s="52" t="n">
        <f aca="false">IF(Q319=1,IF(ISNUMBER(D319),YEAR(D319)*100+MONTH(D319),0),0)</f>
        <v>0</v>
      </c>
      <c r="S319" s="52" t="n">
        <f aca="false">IF(Q319=1,IF(M319&lt;0.15,1,0),0)</f>
        <v>0</v>
      </c>
    </row>
    <row r="320" customFormat="false" ht="15" hidden="false" customHeight="false" outlineLevel="0" collapsed="false">
      <c r="B320" s="53"/>
      <c r="C320" s="53"/>
      <c r="D320" s="54"/>
      <c r="E320" s="55"/>
      <c r="F320" s="55"/>
      <c r="G320" s="55"/>
      <c r="H320" s="56"/>
      <c r="I320" s="57" t="str">
        <f aca="false">IF(G320="","",G320*H320)</f>
        <v/>
      </c>
      <c r="J320" s="55"/>
      <c r="K320" s="55"/>
      <c r="L320" s="57" t="str">
        <f aca="false">IF(OR(B320="",G320=""),"",G320-E320-F320-I320-J320-K320)</f>
        <v/>
      </c>
      <c r="M320" s="58" t="str">
        <f aca="false">IF(L320="","",IF(G320=0,0,L320/G320))</f>
        <v/>
      </c>
      <c r="N320" s="53"/>
      <c r="O320" s="59" t="str">
        <f aca="false">IF(M320="","",IF(M320&lt;0.15,"⚠ LOW MARGIN / MARGEN BAJO","✔ OK"))</f>
        <v/>
      </c>
      <c r="P320" s="52" t="n">
        <f aca="false">IF(Q320=1,L320+ROW()/1000000,-1000000000000000)</f>
        <v>-1000000000000000</v>
      </c>
      <c r="Q320" s="52" t="n">
        <f aca="false">IF(B320="",0,IF(G320="",0,IF(N320="Returned / Devuelto",0,1)))</f>
        <v>0</v>
      </c>
      <c r="R320" s="52" t="n">
        <f aca="false">IF(Q320=1,IF(ISNUMBER(D320),YEAR(D320)*100+MONTH(D320),0),0)</f>
        <v>0</v>
      </c>
      <c r="S320" s="52" t="n">
        <f aca="false">IF(Q320=1,IF(M320&lt;0.15,1,0),0)</f>
        <v>0</v>
      </c>
    </row>
    <row r="321" customFormat="false" ht="15" hidden="false" customHeight="false" outlineLevel="0" collapsed="false">
      <c r="B321" s="53"/>
      <c r="C321" s="53"/>
      <c r="D321" s="54"/>
      <c r="E321" s="55"/>
      <c r="F321" s="55"/>
      <c r="G321" s="55"/>
      <c r="H321" s="56"/>
      <c r="I321" s="57" t="str">
        <f aca="false">IF(G321="","",G321*H321)</f>
        <v/>
      </c>
      <c r="J321" s="55"/>
      <c r="K321" s="55"/>
      <c r="L321" s="57" t="str">
        <f aca="false">IF(OR(B321="",G321=""),"",G321-E321-F321-I321-J321-K321)</f>
        <v/>
      </c>
      <c r="M321" s="58" t="str">
        <f aca="false">IF(L321="","",IF(G321=0,0,L321/G321))</f>
        <v/>
      </c>
      <c r="N321" s="53"/>
      <c r="O321" s="59" t="str">
        <f aca="false">IF(M321="","",IF(M321&lt;0.15,"⚠ LOW MARGIN / MARGEN BAJO","✔ OK"))</f>
        <v/>
      </c>
      <c r="P321" s="52" t="n">
        <f aca="false">IF(Q321=1,L321+ROW()/1000000,-1000000000000000)</f>
        <v>-1000000000000000</v>
      </c>
      <c r="Q321" s="52" t="n">
        <f aca="false">IF(B321="",0,IF(G321="",0,IF(N321="Returned / Devuelto",0,1)))</f>
        <v>0</v>
      </c>
      <c r="R321" s="52" t="n">
        <f aca="false">IF(Q321=1,IF(ISNUMBER(D321),YEAR(D321)*100+MONTH(D321),0),0)</f>
        <v>0</v>
      </c>
      <c r="S321" s="52" t="n">
        <f aca="false">IF(Q321=1,IF(M321&lt;0.15,1,0),0)</f>
        <v>0</v>
      </c>
    </row>
    <row r="322" customFormat="false" ht="15" hidden="false" customHeight="false" outlineLevel="0" collapsed="false">
      <c r="B322" s="53"/>
      <c r="C322" s="53"/>
      <c r="D322" s="54"/>
      <c r="E322" s="55"/>
      <c r="F322" s="55"/>
      <c r="G322" s="55"/>
      <c r="H322" s="56"/>
      <c r="I322" s="57" t="str">
        <f aca="false">IF(G322="","",G322*H322)</f>
        <v/>
      </c>
      <c r="J322" s="55"/>
      <c r="K322" s="55"/>
      <c r="L322" s="57" t="str">
        <f aca="false">IF(OR(B322="",G322=""),"",G322-E322-F322-I322-J322-K322)</f>
        <v/>
      </c>
      <c r="M322" s="58" t="str">
        <f aca="false">IF(L322="","",IF(G322=0,0,L322/G322))</f>
        <v/>
      </c>
      <c r="N322" s="53"/>
      <c r="O322" s="59" t="str">
        <f aca="false">IF(M322="","",IF(M322&lt;0.15,"⚠ LOW MARGIN / MARGEN BAJO","✔ OK"))</f>
        <v/>
      </c>
      <c r="P322" s="52" t="n">
        <f aca="false">IF(Q322=1,L322+ROW()/1000000,-1000000000000000)</f>
        <v>-1000000000000000</v>
      </c>
      <c r="Q322" s="52" t="n">
        <f aca="false">IF(B322="",0,IF(G322="",0,IF(N322="Returned / Devuelto",0,1)))</f>
        <v>0</v>
      </c>
      <c r="R322" s="52" t="n">
        <f aca="false">IF(Q322=1,IF(ISNUMBER(D322),YEAR(D322)*100+MONTH(D322),0),0)</f>
        <v>0</v>
      </c>
      <c r="S322" s="52" t="n">
        <f aca="false">IF(Q322=1,IF(M322&lt;0.15,1,0),0)</f>
        <v>0</v>
      </c>
    </row>
    <row r="323" customFormat="false" ht="15" hidden="false" customHeight="false" outlineLevel="0" collapsed="false">
      <c r="B323" s="53"/>
      <c r="C323" s="53"/>
      <c r="D323" s="54"/>
      <c r="E323" s="55"/>
      <c r="F323" s="55"/>
      <c r="G323" s="55"/>
      <c r="H323" s="56"/>
      <c r="I323" s="57" t="str">
        <f aca="false">IF(G323="","",G323*H323)</f>
        <v/>
      </c>
      <c r="J323" s="55"/>
      <c r="K323" s="55"/>
      <c r="L323" s="57" t="str">
        <f aca="false">IF(OR(B323="",G323=""),"",G323-E323-F323-I323-J323-K323)</f>
        <v/>
      </c>
      <c r="M323" s="58" t="str">
        <f aca="false">IF(L323="","",IF(G323=0,0,L323/G323))</f>
        <v/>
      </c>
      <c r="N323" s="53"/>
      <c r="O323" s="59" t="str">
        <f aca="false">IF(M323="","",IF(M323&lt;0.15,"⚠ LOW MARGIN / MARGEN BAJO","✔ OK"))</f>
        <v/>
      </c>
      <c r="P323" s="52" t="n">
        <f aca="false">IF(Q323=1,L323+ROW()/1000000,-1000000000000000)</f>
        <v>-1000000000000000</v>
      </c>
      <c r="Q323" s="52" t="n">
        <f aca="false">IF(B323="",0,IF(G323="",0,IF(N323="Returned / Devuelto",0,1)))</f>
        <v>0</v>
      </c>
      <c r="R323" s="52" t="n">
        <f aca="false">IF(Q323=1,IF(ISNUMBER(D323),YEAR(D323)*100+MONTH(D323),0),0)</f>
        <v>0</v>
      </c>
      <c r="S323" s="52" t="n">
        <f aca="false">IF(Q323=1,IF(M323&lt;0.15,1,0),0)</f>
        <v>0</v>
      </c>
    </row>
    <row r="324" customFormat="false" ht="15" hidden="false" customHeight="false" outlineLevel="0" collapsed="false">
      <c r="B324" s="53"/>
      <c r="C324" s="53"/>
      <c r="D324" s="54"/>
      <c r="E324" s="55"/>
      <c r="F324" s="55"/>
      <c r="G324" s="55"/>
      <c r="H324" s="56"/>
      <c r="I324" s="57" t="str">
        <f aca="false">IF(G324="","",G324*H324)</f>
        <v/>
      </c>
      <c r="J324" s="55"/>
      <c r="K324" s="55"/>
      <c r="L324" s="57" t="str">
        <f aca="false">IF(OR(B324="",G324=""),"",G324-E324-F324-I324-J324-K324)</f>
        <v/>
      </c>
      <c r="M324" s="58" t="str">
        <f aca="false">IF(L324="","",IF(G324=0,0,L324/G324))</f>
        <v/>
      </c>
      <c r="N324" s="53"/>
      <c r="O324" s="59" t="str">
        <f aca="false">IF(M324="","",IF(M324&lt;0.15,"⚠ LOW MARGIN / MARGEN BAJO","✔ OK"))</f>
        <v/>
      </c>
      <c r="P324" s="52" t="n">
        <f aca="false">IF(Q324=1,L324+ROW()/1000000,-1000000000000000)</f>
        <v>-1000000000000000</v>
      </c>
      <c r="Q324" s="52" t="n">
        <f aca="false">IF(B324="",0,IF(G324="",0,IF(N324="Returned / Devuelto",0,1)))</f>
        <v>0</v>
      </c>
      <c r="R324" s="52" t="n">
        <f aca="false">IF(Q324=1,IF(ISNUMBER(D324),YEAR(D324)*100+MONTH(D324),0),0)</f>
        <v>0</v>
      </c>
      <c r="S324" s="52" t="n">
        <f aca="false">IF(Q324=1,IF(M324&lt;0.15,1,0),0)</f>
        <v>0</v>
      </c>
    </row>
    <row r="325" customFormat="false" ht="15" hidden="false" customHeight="false" outlineLevel="0" collapsed="false">
      <c r="B325" s="53"/>
      <c r="C325" s="53"/>
      <c r="D325" s="54"/>
      <c r="E325" s="55"/>
      <c r="F325" s="55"/>
      <c r="G325" s="55"/>
      <c r="H325" s="56"/>
      <c r="I325" s="57" t="str">
        <f aca="false">IF(G325="","",G325*H325)</f>
        <v/>
      </c>
      <c r="J325" s="55"/>
      <c r="K325" s="55"/>
      <c r="L325" s="57" t="str">
        <f aca="false">IF(OR(B325="",G325=""),"",G325-E325-F325-I325-J325-K325)</f>
        <v/>
      </c>
      <c r="M325" s="58" t="str">
        <f aca="false">IF(L325="","",IF(G325=0,0,L325/G325))</f>
        <v/>
      </c>
      <c r="N325" s="53"/>
      <c r="O325" s="59" t="str">
        <f aca="false">IF(M325="","",IF(M325&lt;0.15,"⚠ LOW MARGIN / MARGEN BAJO","✔ OK"))</f>
        <v/>
      </c>
      <c r="P325" s="52" t="n">
        <f aca="false">IF(Q325=1,L325+ROW()/1000000,-1000000000000000)</f>
        <v>-1000000000000000</v>
      </c>
      <c r="Q325" s="52" t="n">
        <f aca="false">IF(B325="",0,IF(G325="",0,IF(N325="Returned / Devuelto",0,1)))</f>
        <v>0</v>
      </c>
      <c r="R325" s="52" t="n">
        <f aca="false">IF(Q325=1,IF(ISNUMBER(D325),YEAR(D325)*100+MONTH(D325),0),0)</f>
        <v>0</v>
      </c>
      <c r="S325" s="52" t="n">
        <f aca="false">IF(Q325=1,IF(M325&lt;0.15,1,0),0)</f>
        <v>0</v>
      </c>
    </row>
    <row r="326" customFormat="false" ht="15" hidden="false" customHeight="false" outlineLevel="0" collapsed="false">
      <c r="B326" s="53"/>
      <c r="C326" s="53"/>
      <c r="D326" s="54"/>
      <c r="E326" s="55"/>
      <c r="F326" s="55"/>
      <c r="G326" s="55"/>
      <c r="H326" s="56"/>
      <c r="I326" s="57" t="str">
        <f aca="false">IF(G326="","",G326*H326)</f>
        <v/>
      </c>
      <c r="J326" s="55"/>
      <c r="K326" s="55"/>
      <c r="L326" s="57" t="str">
        <f aca="false">IF(OR(B326="",G326=""),"",G326-E326-F326-I326-J326-K326)</f>
        <v/>
      </c>
      <c r="M326" s="58" t="str">
        <f aca="false">IF(L326="","",IF(G326=0,0,L326/G326))</f>
        <v/>
      </c>
      <c r="N326" s="53"/>
      <c r="O326" s="59" t="str">
        <f aca="false">IF(M326="","",IF(M326&lt;0.15,"⚠ LOW MARGIN / MARGEN BAJO","✔ OK"))</f>
        <v/>
      </c>
      <c r="P326" s="52" t="n">
        <f aca="false">IF(Q326=1,L326+ROW()/1000000,-1000000000000000)</f>
        <v>-1000000000000000</v>
      </c>
      <c r="Q326" s="52" t="n">
        <f aca="false">IF(B326="",0,IF(G326="",0,IF(N326="Returned / Devuelto",0,1)))</f>
        <v>0</v>
      </c>
      <c r="R326" s="52" t="n">
        <f aca="false">IF(Q326=1,IF(ISNUMBER(D326),YEAR(D326)*100+MONTH(D326),0),0)</f>
        <v>0</v>
      </c>
      <c r="S326" s="52" t="n">
        <f aca="false">IF(Q326=1,IF(M326&lt;0.15,1,0),0)</f>
        <v>0</v>
      </c>
    </row>
    <row r="327" customFormat="false" ht="15" hidden="false" customHeight="false" outlineLevel="0" collapsed="false">
      <c r="B327" s="53"/>
      <c r="C327" s="53"/>
      <c r="D327" s="54"/>
      <c r="E327" s="55"/>
      <c r="F327" s="55"/>
      <c r="G327" s="55"/>
      <c r="H327" s="56"/>
      <c r="I327" s="57" t="str">
        <f aca="false">IF(G327="","",G327*H327)</f>
        <v/>
      </c>
      <c r="J327" s="55"/>
      <c r="K327" s="55"/>
      <c r="L327" s="57" t="str">
        <f aca="false">IF(OR(B327="",G327=""),"",G327-E327-F327-I327-J327-K327)</f>
        <v/>
      </c>
      <c r="M327" s="58" t="str">
        <f aca="false">IF(L327="","",IF(G327=0,0,L327/G327))</f>
        <v/>
      </c>
      <c r="N327" s="53"/>
      <c r="O327" s="59" t="str">
        <f aca="false">IF(M327="","",IF(M327&lt;0.15,"⚠ LOW MARGIN / MARGEN BAJO","✔ OK"))</f>
        <v/>
      </c>
      <c r="P327" s="52" t="n">
        <f aca="false">IF(Q327=1,L327+ROW()/1000000,-1000000000000000)</f>
        <v>-1000000000000000</v>
      </c>
      <c r="Q327" s="52" t="n">
        <f aca="false">IF(B327="",0,IF(G327="",0,IF(N327="Returned / Devuelto",0,1)))</f>
        <v>0</v>
      </c>
      <c r="R327" s="52" t="n">
        <f aca="false">IF(Q327=1,IF(ISNUMBER(D327),YEAR(D327)*100+MONTH(D327),0),0)</f>
        <v>0</v>
      </c>
      <c r="S327" s="52" t="n">
        <f aca="false">IF(Q327=1,IF(M327&lt;0.15,1,0),0)</f>
        <v>0</v>
      </c>
    </row>
    <row r="328" customFormat="false" ht="15" hidden="false" customHeight="false" outlineLevel="0" collapsed="false">
      <c r="B328" s="53"/>
      <c r="C328" s="53"/>
      <c r="D328" s="54"/>
      <c r="E328" s="55"/>
      <c r="F328" s="55"/>
      <c r="G328" s="55"/>
      <c r="H328" s="56"/>
      <c r="I328" s="57" t="str">
        <f aca="false">IF(G328="","",G328*H328)</f>
        <v/>
      </c>
      <c r="J328" s="55"/>
      <c r="K328" s="55"/>
      <c r="L328" s="57" t="str">
        <f aca="false">IF(OR(B328="",G328=""),"",G328-E328-F328-I328-J328-K328)</f>
        <v/>
      </c>
      <c r="M328" s="58" t="str">
        <f aca="false">IF(L328="","",IF(G328=0,0,L328/G328))</f>
        <v/>
      </c>
      <c r="N328" s="53"/>
      <c r="O328" s="59" t="str">
        <f aca="false">IF(M328="","",IF(M328&lt;0.15,"⚠ LOW MARGIN / MARGEN BAJO","✔ OK"))</f>
        <v/>
      </c>
      <c r="P328" s="52" t="n">
        <f aca="false">IF(Q328=1,L328+ROW()/1000000,-1000000000000000)</f>
        <v>-1000000000000000</v>
      </c>
      <c r="Q328" s="52" t="n">
        <f aca="false">IF(B328="",0,IF(G328="",0,IF(N328="Returned / Devuelto",0,1)))</f>
        <v>0</v>
      </c>
      <c r="R328" s="52" t="n">
        <f aca="false">IF(Q328=1,IF(ISNUMBER(D328),YEAR(D328)*100+MONTH(D328),0),0)</f>
        <v>0</v>
      </c>
      <c r="S328" s="52" t="n">
        <f aca="false">IF(Q328=1,IF(M328&lt;0.15,1,0),0)</f>
        <v>0</v>
      </c>
    </row>
    <row r="329" customFormat="false" ht="15" hidden="false" customHeight="false" outlineLevel="0" collapsed="false">
      <c r="B329" s="53"/>
      <c r="C329" s="53"/>
      <c r="D329" s="54"/>
      <c r="E329" s="55"/>
      <c r="F329" s="55"/>
      <c r="G329" s="55"/>
      <c r="H329" s="56"/>
      <c r="I329" s="57" t="str">
        <f aca="false">IF(G329="","",G329*H329)</f>
        <v/>
      </c>
      <c r="J329" s="55"/>
      <c r="K329" s="55"/>
      <c r="L329" s="57" t="str">
        <f aca="false">IF(OR(B329="",G329=""),"",G329-E329-F329-I329-J329-K329)</f>
        <v/>
      </c>
      <c r="M329" s="58" t="str">
        <f aca="false">IF(L329="","",IF(G329=0,0,L329/G329))</f>
        <v/>
      </c>
      <c r="N329" s="53"/>
      <c r="O329" s="59" t="str">
        <f aca="false">IF(M329="","",IF(M329&lt;0.15,"⚠ LOW MARGIN / MARGEN BAJO","✔ OK"))</f>
        <v/>
      </c>
      <c r="P329" s="52" t="n">
        <f aca="false">IF(Q329=1,L329+ROW()/1000000,-1000000000000000)</f>
        <v>-1000000000000000</v>
      </c>
      <c r="Q329" s="52" t="n">
        <f aca="false">IF(B329="",0,IF(G329="",0,IF(N329="Returned / Devuelto",0,1)))</f>
        <v>0</v>
      </c>
      <c r="R329" s="52" t="n">
        <f aca="false">IF(Q329=1,IF(ISNUMBER(D329),YEAR(D329)*100+MONTH(D329),0),0)</f>
        <v>0</v>
      </c>
      <c r="S329" s="52" t="n">
        <f aca="false">IF(Q329=1,IF(M329&lt;0.15,1,0),0)</f>
        <v>0</v>
      </c>
    </row>
    <row r="330" customFormat="false" ht="15" hidden="false" customHeight="false" outlineLevel="0" collapsed="false">
      <c r="B330" s="53"/>
      <c r="C330" s="53"/>
      <c r="D330" s="54"/>
      <c r="E330" s="55"/>
      <c r="F330" s="55"/>
      <c r="G330" s="55"/>
      <c r="H330" s="56"/>
      <c r="I330" s="57" t="str">
        <f aca="false">IF(G330="","",G330*H330)</f>
        <v/>
      </c>
      <c r="J330" s="55"/>
      <c r="K330" s="55"/>
      <c r="L330" s="57" t="str">
        <f aca="false">IF(OR(B330="",G330=""),"",G330-E330-F330-I330-J330-K330)</f>
        <v/>
      </c>
      <c r="M330" s="58" t="str">
        <f aca="false">IF(L330="","",IF(G330=0,0,L330/G330))</f>
        <v/>
      </c>
      <c r="N330" s="53"/>
      <c r="O330" s="59" t="str">
        <f aca="false">IF(M330="","",IF(M330&lt;0.15,"⚠ LOW MARGIN / MARGEN BAJO","✔ OK"))</f>
        <v/>
      </c>
      <c r="P330" s="52" t="n">
        <f aca="false">IF(Q330=1,L330+ROW()/1000000,-1000000000000000)</f>
        <v>-1000000000000000</v>
      </c>
      <c r="Q330" s="52" t="n">
        <f aca="false">IF(B330="",0,IF(G330="",0,IF(N330="Returned / Devuelto",0,1)))</f>
        <v>0</v>
      </c>
      <c r="R330" s="52" t="n">
        <f aca="false">IF(Q330=1,IF(ISNUMBER(D330),YEAR(D330)*100+MONTH(D330),0),0)</f>
        <v>0</v>
      </c>
      <c r="S330" s="52" t="n">
        <f aca="false">IF(Q330=1,IF(M330&lt;0.15,1,0),0)</f>
        <v>0</v>
      </c>
    </row>
    <row r="331" customFormat="false" ht="15" hidden="false" customHeight="false" outlineLevel="0" collapsed="false">
      <c r="B331" s="53"/>
      <c r="C331" s="53"/>
      <c r="D331" s="54"/>
      <c r="E331" s="55"/>
      <c r="F331" s="55"/>
      <c r="G331" s="55"/>
      <c r="H331" s="56"/>
      <c r="I331" s="57" t="str">
        <f aca="false">IF(G331="","",G331*H331)</f>
        <v/>
      </c>
      <c r="J331" s="55"/>
      <c r="K331" s="55"/>
      <c r="L331" s="57" t="str">
        <f aca="false">IF(OR(B331="",G331=""),"",G331-E331-F331-I331-J331-K331)</f>
        <v/>
      </c>
      <c r="M331" s="58" t="str">
        <f aca="false">IF(L331="","",IF(G331=0,0,L331/G331))</f>
        <v/>
      </c>
      <c r="N331" s="53"/>
      <c r="O331" s="59" t="str">
        <f aca="false">IF(M331="","",IF(M331&lt;0.15,"⚠ LOW MARGIN / MARGEN BAJO","✔ OK"))</f>
        <v/>
      </c>
      <c r="P331" s="52" t="n">
        <f aca="false">IF(Q331=1,L331+ROW()/1000000,-1000000000000000)</f>
        <v>-1000000000000000</v>
      </c>
      <c r="Q331" s="52" t="n">
        <f aca="false">IF(B331="",0,IF(G331="",0,IF(N331="Returned / Devuelto",0,1)))</f>
        <v>0</v>
      </c>
      <c r="R331" s="52" t="n">
        <f aca="false">IF(Q331=1,IF(ISNUMBER(D331),YEAR(D331)*100+MONTH(D331),0),0)</f>
        <v>0</v>
      </c>
      <c r="S331" s="52" t="n">
        <f aca="false">IF(Q331=1,IF(M331&lt;0.15,1,0),0)</f>
        <v>0</v>
      </c>
    </row>
    <row r="332" customFormat="false" ht="15" hidden="false" customHeight="false" outlineLevel="0" collapsed="false">
      <c r="B332" s="53"/>
      <c r="C332" s="53"/>
      <c r="D332" s="54"/>
      <c r="E332" s="55"/>
      <c r="F332" s="55"/>
      <c r="G332" s="55"/>
      <c r="H332" s="56"/>
      <c r="I332" s="57" t="str">
        <f aca="false">IF(G332="","",G332*H332)</f>
        <v/>
      </c>
      <c r="J332" s="55"/>
      <c r="K332" s="55"/>
      <c r="L332" s="57" t="str">
        <f aca="false">IF(OR(B332="",G332=""),"",G332-E332-F332-I332-J332-K332)</f>
        <v/>
      </c>
      <c r="M332" s="58" t="str">
        <f aca="false">IF(L332="","",IF(G332=0,0,L332/G332))</f>
        <v/>
      </c>
      <c r="N332" s="53"/>
      <c r="O332" s="59" t="str">
        <f aca="false">IF(M332="","",IF(M332&lt;0.15,"⚠ LOW MARGIN / MARGEN BAJO","✔ OK"))</f>
        <v/>
      </c>
      <c r="P332" s="52" t="n">
        <f aca="false">IF(Q332=1,L332+ROW()/1000000,-1000000000000000)</f>
        <v>-1000000000000000</v>
      </c>
      <c r="Q332" s="52" t="n">
        <f aca="false">IF(B332="",0,IF(G332="",0,IF(N332="Returned / Devuelto",0,1)))</f>
        <v>0</v>
      </c>
      <c r="R332" s="52" t="n">
        <f aca="false">IF(Q332=1,IF(ISNUMBER(D332),YEAR(D332)*100+MONTH(D332),0),0)</f>
        <v>0</v>
      </c>
      <c r="S332" s="52" t="n">
        <f aca="false">IF(Q332=1,IF(M332&lt;0.15,1,0),0)</f>
        <v>0</v>
      </c>
    </row>
    <row r="333" customFormat="false" ht="15" hidden="false" customHeight="false" outlineLevel="0" collapsed="false">
      <c r="B333" s="53"/>
      <c r="C333" s="53"/>
      <c r="D333" s="54"/>
      <c r="E333" s="55"/>
      <c r="F333" s="55"/>
      <c r="G333" s="55"/>
      <c r="H333" s="56"/>
      <c r="I333" s="57" t="str">
        <f aca="false">IF(G333="","",G333*H333)</f>
        <v/>
      </c>
      <c r="J333" s="55"/>
      <c r="K333" s="55"/>
      <c r="L333" s="57" t="str">
        <f aca="false">IF(OR(B333="",G333=""),"",G333-E333-F333-I333-J333-K333)</f>
        <v/>
      </c>
      <c r="M333" s="58" t="str">
        <f aca="false">IF(L333="","",IF(G333=0,0,L333/G333))</f>
        <v/>
      </c>
      <c r="N333" s="53"/>
      <c r="O333" s="59" t="str">
        <f aca="false">IF(M333="","",IF(M333&lt;0.15,"⚠ LOW MARGIN / MARGEN BAJO","✔ OK"))</f>
        <v/>
      </c>
      <c r="P333" s="52" t="n">
        <f aca="false">IF(Q333=1,L333+ROW()/1000000,-1000000000000000)</f>
        <v>-1000000000000000</v>
      </c>
      <c r="Q333" s="52" t="n">
        <f aca="false">IF(B333="",0,IF(G333="",0,IF(N333="Returned / Devuelto",0,1)))</f>
        <v>0</v>
      </c>
      <c r="R333" s="52" t="n">
        <f aca="false">IF(Q333=1,IF(ISNUMBER(D333),YEAR(D333)*100+MONTH(D333),0),0)</f>
        <v>0</v>
      </c>
      <c r="S333" s="52" t="n">
        <f aca="false">IF(Q333=1,IF(M333&lt;0.15,1,0),0)</f>
        <v>0</v>
      </c>
    </row>
    <row r="334" customFormat="false" ht="15" hidden="false" customHeight="false" outlineLevel="0" collapsed="false">
      <c r="B334" s="53"/>
      <c r="C334" s="53"/>
      <c r="D334" s="54"/>
      <c r="E334" s="55"/>
      <c r="F334" s="55"/>
      <c r="G334" s="55"/>
      <c r="H334" s="56"/>
      <c r="I334" s="57" t="str">
        <f aca="false">IF(G334="","",G334*H334)</f>
        <v/>
      </c>
      <c r="J334" s="55"/>
      <c r="K334" s="55"/>
      <c r="L334" s="57" t="str">
        <f aca="false">IF(OR(B334="",G334=""),"",G334-E334-F334-I334-J334-K334)</f>
        <v/>
      </c>
      <c r="M334" s="58" t="str">
        <f aca="false">IF(L334="","",IF(G334=0,0,L334/G334))</f>
        <v/>
      </c>
      <c r="N334" s="53"/>
      <c r="O334" s="59" t="str">
        <f aca="false">IF(M334="","",IF(M334&lt;0.15,"⚠ LOW MARGIN / MARGEN BAJO","✔ OK"))</f>
        <v/>
      </c>
      <c r="P334" s="52" t="n">
        <f aca="false">IF(Q334=1,L334+ROW()/1000000,-1000000000000000)</f>
        <v>-1000000000000000</v>
      </c>
      <c r="Q334" s="52" t="n">
        <f aca="false">IF(B334="",0,IF(G334="",0,IF(N334="Returned / Devuelto",0,1)))</f>
        <v>0</v>
      </c>
      <c r="R334" s="52" t="n">
        <f aca="false">IF(Q334=1,IF(ISNUMBER(D334),YEAR(D334)*100+MONTH(D334),0),0)</f>
        <v>0</v>
      </c>
      <c r="S334" s="52" t="n">
        <f aca="false">IF(Q334=1,IF(M334&lt;0.15,1,0),0)</f>
        <v>0</v>
      </c>
    </row>
    <row r="335" customFormat="false" ht="15" hidden="false" customHeight="false" outlineLevel="0" collapsed="false">
      <c r="B335" s="53"/>
      <c r="C335" s="53"/>
      <c r="D335" s="54"/>
      <c r="E335" s="55"/>
      <c r="F335" s="55"/>
      <c r="G335" s="55"/>
      <c r="H335" s="56"/>
      <c r="I335" s="57" t="str">
        <f aca="false">IF(G335="","",G335*H335)</f>
        <v/>
      </c>
      <c r="J335" s="55"/>
      <c r="K335" s="55"/>
      <c r="L335" s="57" t="str">
        <f aca="false">IF(OR(B335="",G335=""),"",G335-E335-F335-I335-J335-K335)</f>
        <v/>
      </c>
      <c r="M335" s="58" t="str">
        <f aca="false">IF(L335="","",IF(G335=0,0,L335/G335))</f>
        <v/>
      </c>
      <c r="N335" s="53"/>
      <c r="O335" s="59" t="str">
        <f aca="false">IF(M335="","",IF(M335&lt;0.15,"⚠ LOW MARGIN / MARGEN BAJO","✔ OK"))</f>
        <v/>
      </c>
      <c r="P335" s="52" t="n">
        <f aca="false">IF(Q335=1,L335+ROW()/1000000,-1000000000000000)</f>
        <v>-1000000000000000</v>
      </c>
      <c r="Q335" s="52" t="n">
        <f aca="false">IF(B335="",0,IF(G335="",0,IF(N335="Returned / Devuelto",0,1)))</f>
        <v>0</v>
      </c>
      <c r="R335" s="52" t="n">
        <f aca="false">IF(Q335=1,IF(ISNUMBER(D335),YEAR(D335)*100+MONTH(D335),0),0)</f>
        <v>0</v>
      </c>
      <c r="S335" s="52" t="n">
        <f aca="false">IF(Q335=1,IF(M335&lt;0.15,1,0),0)</f>
        <v>0</v>
      </c>
    </row>
    <row r="336" customFormat="false" ht="15" hidden="false" customHeight="false" outlineLevel="0" collapsed="false">
      <c r="B336" s="53"/>
      <c r="C336" s="53"/>
      <c r="D336" s="54"/>
      <c r="E336" s="55"/>
      <c r="F336" s="55"/>
      <c r="G336" s="55"/>
      <c r="H336" s="56"/>
      <c r="I336" s="57" t="str">
        <f aca="false">IF(G336="","",G336*H336)</f>
        <v/>
      </c>
      <c r="J336" s="55"/>
      <c r="K336" s="55"/>
      <c r="L336" s="57" t="str">
        <f aca="false">IF(OR(B336="",G336=""),"",G336-E336-F336-I336-J336-K336)</f>
        <v/>
      </c>
      <c r="M336" s="58" t="str">
        <f aca="false">IF(L336="","",IF(G336=0,0,L336/G336))</f>
        <v/>
      </c>
      <c r="N336" s="53"/>
      <c r="O336" s="59" t="str">
        <f aca="false">IF(M336="","",IF(M336&lt;0.15,"⚠ LOW MARGIN / MARGEN BAJO","✔ OK"))</f>
        <v/>
      </c>
      <c r="P336" s="52" t="n">
        <f aca="false">IF(Q336=1,L336+ROW()/1000000,-1000000000000000)</f>
        <v>-1000000000000000</v>
      </c>
      <c r="Q336" s="52" t="n">
        <f aca="false">IF(B336="",0,IF(G336="",0,IF(N336="Returned / Devuelto",0,1)))</f>
        <v>0</v>
      </c>
      <c r="R336" s="52" t="n">
        <f aca="false">IF(Q336=1,IF(ISNUMBER(D336),YEAR(D336)*100+MONTH(D336),0),0)</f>
        <v>0</v>
      </c>
      <c r="S336" s="52" t="n">
        <f aca="false">IF(Q336=1,IF(M336&lt;0.15,1,0),0)</f>
        <v>0</v>
      </c>
    </row>
    <row r="337" customFormat="false" ht="15" hidden="false" customHeight="false" outlineLevel="0" collapsed="false">
      <c r="B337" s="53"/>
      <c r="C337" s="53"/>
      <c r="D337" s="54"/>
      <c r="E337" s="55"/>
      <c r="F337" s="55"/>
      <c r="G337" s="55"/>
      <c r="H337" s="56"/>
      <c r="I337" s="57" t="str">
        <f aca="false">IF(G337="","",G337*H337)</f>
        <v/>
      </c>
      <c r="J337" s="55"/>
      <c r="K337" s="55"/>
      <c r="L337" s="57" t="str">
        <f aca="false">IF(OR(B337="",G337=""),"",G337-E337-F337-I337-J337-K337)</f>
        <v/>
      </c>
      <c r="M337" s="58" t="str">
        <f aca="false">IF(L337="","",IF(G337=0,0,L337/G337))</f>
        <v/>
      </c>
      <c r="N337" s="53"/>
      <c r="O337" s="59" t="str">
        <f aca="false">IF(M337="","",IF(M337&lt;0.15,"⚠ LOW MARGIN / MARGEN BAJO","✔ OK"))</f>
        <v/>
      </c>
      <c r="P337" s="52" t="n">
        <f aca="false">IF(Q337=1,L337+ROW()/1000000,-1000000000000000)</f>
        <v>-1000000000000000</v>
      </c>
      <c r="Q337" s="52" t="n">
        <f aca="false">IF(B337="",0,IF(G337="",0,IF(N337="Returned / Devuelto",0,1)))</f>
        <v>0</v>
      </c>
      <c r="R337" s="52" t="n">
        <f aca="false">IF(Q337=1,IF(ISNUMBER(D337),YEAR(D337)*100+MONTH(D337),0),0)</f>
        <v>0</v>
      </c>
      <c r="S337" s="52" t="n">
        <f aca="false">IF(Q337=1,IF(M337&lt;0.15,1,0),0)</f>
        <v>0</v>
      </c>
    </row>
    <row r="338" customFormat="false" ht="15" hidden="false" customHeight="false" outlineLevel="0" collapsed="false">
      <c r="B338" s="53"/>
      <c r="C338" s="53"/>
      <c r="D338" s="54"/>
      <c r="E338" s="55"/>
      <c r="F338" s="55"/>
      <c r="G338" s="55"/>
      <c r="H338" s="56"/>
      <c r="I338" s="57" t="str">
        <f aca="false">IF(G338="","",G338*H338)</f>
        <v/>
      </c>
      <c r="J338" s="55"/>
      <c r="K338" s="55"/>
      <c r="L338" s="57" t="str">
        <f aca="false">IF(OR(B338="",G338=""),"",G338-E338-F338-I338-J338-K338)</f>
        <v/>
      </c>
      <c r="M338" s="58" t="str">
        <f aca="false">IF(L338="","",IF(G338=0,0,L338/G338))</f>
        <v/>
      </c>
      <c r="N338" s="53"/>
      <c r="O338" s="59" t="str">
        <f aca="false">IF(M338="","",IF(M338&lt;0.15,"⚠ LOW MARGIN / MARGEN BAJO","✔ OK"))</f>
        <v/>
      </c>
      <c r="P338" s="52" t="n">
        <f aca="false">IF(Q338=1,L338+ROW()/1000000,-1000000000000000)</f>
        <v>-1000000000000000</v>
      </c>
      <c r="Q338" s="52" t="n">
        <f aca="false">IF(B338="",0,IF(G338="",0,IF(N338="Returned / Devuelto",0,1)))</f>
        <v>0</v>
      </c>
      <c r="R338" s="52" t="n">
        <f aca="false">IF(Q338=1,IF(ISNUMBER(D338),YEAR(D338)*100+MONTH(D338),0),0)</f>
        <v>0</v>
      </c>
      <c r="S338" s="52" t="n">
        <f aca="false">IF(Q338=1,IF(M338&lt;0.15,1,0),0)</f>
        <v>0</v>
      </c>
    </row>
    <row r="339" customFormat="false" ht="15" hidden="false" customHeight="false" outlineLevel="0" collapsed="false">
      <c r="B339" s="53"/>
      <c r="C339" s="53"/>
      <c r="D339" s="54"/>
      <c r="E339" s="55"/>
      <c r="F339" s="55"/>
      <c r="G339" s="55"/>
      <c r="H339" s="56"/>
      <c r="I339" s="57" t="str">
        <f aca="false">IF(G339="","",G339*H339)</f>
        <v/>
      </c>
      <c r="J339" s="55"/>
      <c r="K339" s="55"/>
      <c r="L339" s="57" t="str">
        <f aca="false">IF(OR(B339="",G339=""),"",G339-E339-F339-I339-J339-K339)</f>
        <v/>
      </c>
      <c r="M339" s="58" t="str">
        <f aca="false">IF(L339="","",IF(G339=0,0,L339/G339))</f>
        <v/>
      </c>
      <c r="N339" s="53"/>
      <c r="O339" s="59" t="str">
        <f aca="false">IF(M339="","",IF(M339&lt;0.15,"⚠ LOW MARGIN / MARGEN BAJO","✔ OK"))</f>
        <v/>
      </c>
      <c r="P339" s="52" t="n">
        <f aca="false">IF(Q339=1,L339+ROW()/1000000,-1000000000000000)</f>
        <v>-1000000000000000</v>
      </c>
      <c r="Q339" s="52" t="n">
        <f aca="false">IF(B339="",0,IF(G339="",0,IF(N339="Returned / Devuelto",0,1)))</f>
        <v>0</v>
      </c>
      <c r="R339" s="52" t="n">
        <f aca="false">IF(Q339=1,IF(ISNUMBER(D339),YEAR(D339)*100+MONTH(D339),0),0)</f>
        <v>0</v>
      </c>
      <c r="S339" s="52" t="n">
        <f aca="false">IF(Q339=1,IF(M339&lt;0.15,1,0),0)</f>
        <v>0</v>
      </c>
    </row>
    <row r="340" customFormat="false" ht="15" hidden="false" customHeight="false" outlineLevel="0" collapsed="false">
      <c r="B340" s="53"/>
      <c r="C340" s="53"/>
      <c r="D340" s="54"/>
      <c r="E340" s="55"/>
      <c r="F340" s="55"/>
      <c r="G340" s="55"/>
      <c r="H340" s="56"/>
      <c r="I340" s="57" t="str">
        <f aca="false">IF(G340="","",G340*H340)</f>
        <v/>
      </c>
      <c r="J340" s="55"/>
      <c r="K340" s="55"/>
      <c r="L340" s="57" t="str">
        <f aca="false">IF(OR(B340="",G340=""),"",G340-E340-F340-I340-J340-K340)</f>
        <v/>
      </c>
      <c r="M340" s="58" t="str">
        <f aca="false">IF(L340="","",IF(G340=0,0,L340/G340))</f>
        <v/>
      </c>
      <c r="N340" s="53"/>
      <c r="O340" s="59" t="str">
        <f aca="false">IF(M340="","",IF(M340&lt;0.15,"⚠ LOW MARGIN / MARGEN BAJO","✔ OK"))</f>
        <v/>
      </c>
      <c r="P340" s="52" t="n">
        <f aca="false">IF(Q340=1,L340+ROW()/1000000,-1000000000000000)</f>
        <v>-1000000000000000</v>
      </c>
      <c r="Q340" s="52" t="n">
        <f aca="false">IF(B340="",0,IF(G340="",0,IF(N340="Returned / Devuelto",0,1)))</f>
        <v>0</v>
      </c>
      <c r="R340" s="52" t="n">
        <f aca="false">IF(Q340=1,IF(ISNUMBER(D340),YEAR(D340)*100+MONTH(D340),0),0)</f>
        <v>0</v>
      </c>
      <c r="S340" s="52" t="n">
        <f aca="false">IF(Q340=1,IF(M340&lt;0.15,1,0),0)</f>
        <v>0</v>
      </c>
    </row>
    <row r="341" customFormat="false" ht="15" hidden="false" customHeight="false" outlineLevel="0" collapsed="false">
      <c r="B341" s="53"/>
      <c r="C341" s="53"/>
      <c r="D341" s="54"/>
      <c r="E341" s="55"/>
      <c r="F341" s="55"/>
      <c r="G341" s="55"/>
      <c r="H341" s="56"/>
      <c r="I341" s="57" t="str">
        <f aca="false">IF(G341="","",G341*H341)</f>
        <v/>
      </c>
      <c r="J341" s="55"/>
      <c r="K341" s="55"/>
      <c r="L341" s="57" t="str">
        <f aca="false">IF(OR(B341="",G341=""),"",G341-E341-F341-I341-J341-K341)</f>
        <v/>
      </c>
      <c r="M341" s="58" t="str">
        <f aca="false">IF(L341="","",IF(G341=0,0,L341/G341))</f>
        <v/>
      </c>
      <c r="N341" s="53"/>
      <c r="O341" s="59" t="str">
        <f aca="false">IF(M341="","",IF(M341&lt;0.15,"⚠ LOW MARGIN / MARGEN BAJO","✔ OK"))</f>
        <v/>
      </c>
      <c r="P341" s="52" t="n">
        <f aca="false">IF(Q341=1,L341+ROW()/1000000,-1000000000000000)</f>
        <v>-1000000000000000</v>
      </c>
      <c r="Q341" s="52" t="n">
        <f aca="false">IF(B341="",0,IF(G341="",0,IF(N341="Returned / Devuelto",0,1)))</f>
        <v>0</v>
      </c>
      <c r="R341" s="52" t="n">
        <f aca="false">IF(Q341=1,IF(ISNUMBER(D341),YEAR(D341)*100+MONTH(D341),0),0)</f>
        <v>0</v>
      </c>
      <c r="S341" s="52" t="n">
        <f aca="false">IF(Q341=1,IF(M341&lt;0.15,1,0),0)</f>
        <v>0</v>
      </c>
    </row>
    <row r="342" customFormat="false" ht="15" hidden="false" customHeight="false" outlineLevel="0" collapsed="false">
      <c r="B342" s="53"/>
      <c r="C342" s="53"/>
      <c r="D342" s="54"/>
      <c r="E342" s="55"/>
      <c r="F342" s="55"/>
      <c r="G342" s="55"/>
      <c r="H342" s="56"/>
      <c r="I342" s="57" t="str">
        <f aca="false">IF(G342="","",G342*H342)</f>
        <v/>
      </c>
      <c r="J342" s="55"/>
      <c r="K342" s="55"/>
      <c r="L342" s="57" t="str">
        <f aca="false">IF(OR(B342="",G342=""),"",G342-E342-F342-I342-J342-K342)</f>
        <v/>
      </c>
      <c r="M342" s="58" t="str">
        <f aca="false">IF(L342="","",IF(G342=0,0,L342/G342))</f>
        <v/>
      </c>
      <c r="N342" s="53"/>
      <c r="O342" s="59" t="str">
        <f aca="false">IF(M342="","",IF(M342&lt;0.15,"⚠ LOW MARGIN / MARGEN BAJO","✔ OK"))</f>
        <v/>
      </c>
      <c r="P342" s="52" t="n">
        <f aca="false">IF(Q342=1,L342+ROW()/1000000,-1000000000000000)</f>
        <v>-1000000000000000</v>
      </c>
      <c r="Q342" s="52" t="n">
        <f aca="false">IF(B342="",0,IF(G342="",0,IF(N342="Returned / Devuelto",0,1)))</f>
        <v>0</v>
      </c>
      <c r="R342" s="52" t="n">
        <f aca="false">IF(Q342=1,IF(ISNUMBER(D342),YEAR(D342)*100+MONTH(D342),0),0)</f>
        <v>0</v>
      </c>
      <c r="S342" s="52" t="n">
        <f aca="false">IF(Q342=1,IF(M342&lt;0.15,1,0),0)</f>
        <v>0</v>
      </c>
    </row>
    <row r="343" customFormat="false" ht="15" hidden="false" customHeight="false" outlineLevel="0" collapsed="false">
      <c r="B343" s="53"/>
      <c r="C343" s="53"/>
      <c r="D343" s="54"/>
      <c r="E343" s="55"/>
      <c r="F343" s="55"/>
      <c r="G343" s="55"/>
      <c r="H343" s="56"/>
      <c r="I343" s="57" t="str">
        <f aca="false">IF(G343="","",G343*H343)</f>
        <v/>
      </c>
      <c r="J343" s="55"/>
      <c r="K343" s="55"/>
      <c r="L343" s="57" t="str">
        <f aca="false">IF(OR(B343="",G343=""),"",G343-E343-F343-I343-J343-K343)</f>
        <v/>
      </c>
      <c r="M343" s="58" t="str">
        <f aca="false">IF(L343="","",IF(G343=0,0,L343/G343))</f>
        <v/>
      </c>
      <c r="N343" s="53"/>
      <c r="O343" s="59" t="str">
        <f aca="false">IF(M343="","",IF(M343&lt;0.15,"⚠ LOW MARGIN / MARGEN BAJO","✔ OK"))</f>
        <v/>
      </c>
      <c r="P343" s="52" t="n">
        <f aca="false">IF(Q343=1,L343+ROW()/1000000,-1000000000000000)</f>
        <v>-1000000000000000</v>
      </c>
      <c r="Q343" s="52" t="n">
        <f aca="false">IF(B343="",0,IF(G343="",0,IF(N343="Returned / Devuelto",0,1)))</f>
        <v>0</v>
      </c>
      <c r="R343" s="52" t="n">
        <f aca="false">IF(Q343=1,IF(ISNUMBER(D343),YEAR(D343)*100+MONTH(D343),0),0)</f>
        <v>0</v>
      </c>
      <c r="S343" s="52" t="n">
        <f aca="false">IF(Q343=1,IF(M343&lt;0.15,1,0),0)</f>
        <v>0</v>
      </c>
    </row>
    <row r="344" customFormat="false" ht="15" hidden="false" customHeight="false" outlineLevel="0" collapsed="false">
      <c r="B344" s="53"/>
      <c r="C344" s="53"/>
      <c r="D344" s="54"/>
      <c r="E344" s="55"/>
      <c r="F344" s="55"/>
      <c r="G344" s="55"/>
      <c r="H344" s="56"/>
      <c r="I344" s="57" t="str">
        <f aca="false">IF(G344="","",G344*H344)</f>
        <v/>
      </c>
      <c r="J344" s="55"/>
      <c r="K344" s="55"/>
      <c r="L344" s="57" t="str">
        <f aca="false">IF(OR(B344="",G344=""),"",G344-E344-F344-I344-J344-K344)</f>
        <v/>
      </c>
      <c r="M344" s="58" t="str">
        <f aca="false">IF(L344="","",IF(G344=0,0,L344/G344))</f>
        <v/>
      </c>
      <c r="N344" s="53"/>
      <c r="O344" s="59" t="str">
        <f aca="false">IF(M344="","",IF(M344&lt;0.15,"⚠ LOW MARGIN / MARGEN BAJO","✔ OK"))</f>
        <v/>
      </c>
      <c r="P344" s="52" t="n">
        <f aca="false">IF(Q344=1,L344+ROW()/1000000,-1000000000000000)</f>
        <v>-1000000000000000</v>
      </c>
      <c r="Q344" s="52" t="n">
        <f aca="false">IF(B344="",0,IF(G344="",0,IF(N344="Returned / Devuelto",0,1)))</f>
        <v>0</v>
      </c>
      <c r="R344" s="52" t="n">
        <f aca="false">IF(Q344=1,IF(ISNUMBER(D344),YEAR(D344)*100+MONTH(D344),0),0)</f>
        <v>0</v>
      </c>
      <c r="S344" s="52" t="n">
        <f aca="false">IF(Q344=1,IF(M344&lt;0.15,1,0),0)</f>
        <v>0</v>
      </c>
    </row>
    <row r="345" customFormat="false" ht="15" hidden="false" customHeight="false" outlineLevel="0" collapsed="false">
      <c r="B345" s="53"/>
      <c r="C345" s="53"/>
      <c r="D345" s="54"/>
      <c r="E345" s="55"/>
      <c r="F345" s="55"/>
      <c r="G345" s="55"/>
      <c r="H345" s="56"/>
      <c r="I345" s="57" t="str">
        <f aca="false">IF(G345="","",G345*H345)</f>
        <v/>
      </c>
      <c r="J345" s="55"/>
      <c r="K345" s="55"/>
      <c r="L345" s="57" t="str">
        <f aca="false">IF(OR(B345="",G345=""),"",G345-E345-F345-I345-J345-K345)</f>
        <v/>
      </c>
      <c r="M345" s="58" t="str">
        <f aca="false">IF(L345="","",IF(G345=0,0,L345/G345))</f>
        <v/>
      </c>
      <c r="N345" s="53"/>
      <c r="O345" s="59" t="str">
        <f aca="false">IF(M345="","",IF(M345&lt;0.15,"⚠ LOW MARGIN / MARGEN BAJO","✔ OK"))</f>
        <v/>
      </c>
      <c r="P345" s="52" t="n">
        <f aca="false">IF(Q345=1,L345+ROW()/1000000,-1000000000000000)</f>
        <v>-1000000000000000</v>
      </c>
      <c r="Q345" s="52" t="n">
        <f aca="false">IF(B345="",0,IF(G345="",0,IF(N345="Returned / Devuelto",0,1)))</f>
        <v>0</v>
      </c>
      <c r="R345" s="52" t="n">
        <f aca="false">IF(Q345=1,IF(ISNUMBER(D345),YEAR(D345)*100+MONTH(D345),0),0)</f>
        <v>0</v>
      </c>
      <c r="S345" s="52" t="n">
        <f aca="false">IF(Q345=1,IF(M345&lt;0.15,1,0),0)</f>
        <v>0</v>
      </c>
    </row>
    <row r="346" customFormat="false" ht="15" hidden="false" customHeight="false" outlineLevel="0" collapsed="false">
      <c r="B346" s="53"/>
      <c r="C346" s="53"/>
      <c r="D346" s="54"/>
      <c r="E346" s="55"/>
      <c r="F346" s="55"/>
      <c r="G346" s="55"/>
      <c r="H346" s="56"/>
      <c r="I346" s="57" t="str">
        <f aca="false">IF(G346="","",G346*H346)</f>
        <v/>
      </c>
      <c r="J346" s="55"/>
      <c r="K346" s="55"/>
      <c r="L346" s="57" t="str">
        <f aca="false">IF(OR(B346="",G346=""),"",G346-E346-F346-I346-J346-K346)</f>
        <v/>
      </c>
      <c r="M346" s="58" t="str">
        <f aca="false">IF(L346="","",IF(G346=0,0,L346/G346))</f>
        <v/>
      </c>
      <c r="N346" s="53"/>
      <c r="O346" s="59" t="str">
        <f aca="false">IF(M346="","",IF(M346&lt;0.15,"⚠ LOW MARGIN / MARGEN BAJO","✔ OK"))</f>
        <v/>
      </c>
      <c r="P346" s="52" t="n">
        <f aca="false">IF(Q346=1,L346+ROW()/1000000,-1000000000000000)</f>
        <v>-1000000000000000</v>
      </c>
      <c r="Q346" s="52" t="n">
        <f aca="false">IF(B346="",0,IF(G346="",0,IF(N346="Returned / Devuelto",0,1)))</f>
        <v>0</v>
      </c>
      <c r="R346" s="52" t="n">
        <f aca="false">IF(Q346=1,IF(ISNUMBER(D346),YEAR(D346)*100+MONTH(D346),0),0)</f>
        <v>0</v>
      </c>
      <c r="S346" s="52" t="n">
        <f aca="false">IF(Q346=1,IF(M346&lt;0.15,1,0),0)</f>
        <v>0</v>
      </c>
    </row>
    <row r="347" customFormat="false" ht="15" hidden="false" customHeight="false" outlineLevel="0" collapsed="false">
      <c r="B347" s="53"/>
      <c r="C347" s="53"/>
      <c r="D347" s="54"/>
      <c r="E347" s="55"/>
      <c r="F347" s="55"/>
      <c r="G347" s="55"/>
      <c r="H347" s="56"/>
      <c r="I347" s="57" t="str">
        <f aca="false">IF(G347="","",G347*H347)</f>
        <v/>
      </c>
      <c r="J347" s="55"/>
      <c r="K347" s="55"/>
      <c r="L347" s="57" t="str">
        <f aca="false">IF(OR(B347="",G347=""),"",G347-E347-F347-I347-J347-K347)</f>
        <v/>
      </c>
      <c r="M347" s="58" t="str">
        <f aca="false">IF(L347="","",IF(G347=0,0,L347/G347))</f>
        <v/>
      </c>
      <c r="N347" s="53"/>
      <c r="O347" s="59" t="str">
        <f aca="false">IF(M347="","",IF(M347&lt;0.15,"⚠ LOW MARGIN / MARGEN BAJO","✔ OK"))</f>
        <v/>
      </c>
      <c r="P347" s="52" t="n">
        <f aca="false">IF(Q347=1,L347+ROW()/1000000,-1000000000000000)</f>
        <v>-1000000000000000</v>
      </c>
      <c r="Q347" s="52" t="n">
        <f aca="false">IF(B347="",0,IF(G347="",0,IF(N347="Returned / Devuelto",0,1)))</f>
        <v>0</v>
      </c>
      <c r="R347" s="52" t="n">
        <f aca="false">IF(Q347=1,IF(ISNUMBER(D347),YEAR(D347)*100+MONTH(D347),0),0)</f>
        <v>0</v>
      </c>
      <c r="S347" s="52" t="n">
        <f aca="false">IF(Q347=1,IF(M347&lt;0.15,1,0),0)</f>
        <v>0</v>
      </c>
    </row>
    <row r="348" customFormat="false" ht="15" hidden="false" customHeight="false" outlineLevel="0" collapsed="false">
      <c r="B348" s="53"/>
      <c r="C348" s="53"/>
      <c r="D348" s="54"/>
      <c r="E348" s="55"/>
      <c r="F348" s="55"/>
      <c r="G348" s="55"/>
      <c r="H348" s="56"/>
      <c r="I348" s="57" t="str">
        <f aca="false">IF(G348="","",G348*H348)</f>
        <v/>
      </c>
      <c r="J348" s="55"/>
      <c r="K348" s="55"/>
      <c r="L348" s="57" t="str">
        <f aca="false">IF(OR(B348="",G348=""),"",G348-E348-F348-I348-J348-K348)</f>
        <v/>
      </c>
      <c r="M348" s="58" t="str">
        <f aca="false">IF(L348="","",IF(G348=0,0,L348/G348))</f>
        <v/>
      </c>
      <c r="N348" s="53"/>
      <c r="O348" s="59" t="str">
        <f aca="false">IF(M348="","",IF(M348&lt;0.15,"⚠ LOW MARGIN / MARGEN BAJO","✔ OK"))</f>
        <v/>
      </c>
      <c r="P348" s="52" t="n">
        <f aca="false">IF(Q348=1,L348+ROW()/1000000,-1000000000000000)</f>
        <v>-1000000000000000</v>
      </c>
      <c r="Q348" s="52" t="n">
        <f aca="false">IF(B348="",0,IF(G348="",0,IF(N348="Returned / Devuelto",0,1)))</f>
        <v>0</v>
      </c>
      <c r="R348" s="52" t="n">
        <f aca="false">IF(Q348=1,IF(ISNUMBER(D348),YEAR(D348)*100+MONTH(D348),0),0)</f>
        <v>0</v>
      </c>
      <c r="S348" s="52" t="n">
        <f aca="false">IF(Q348=1,IF(M348&lt;0.15,1,0),0)</f>
        <v>0</v>
      </c>
    </row>
    <row r="349" customFormat="false" ht="15" hidden="false" customHeight="false" outlineLevel="0" collapsed="false">
      <c r="B349" s="53"/>
      <c r="C349" s="53"/>
      <c r="D349" s="54"/>
      <c r="E349" s="55"/>
      <c r="F349" s="55"/>
      <c r="G349" s="55"/>
      <c r="H349" s="56"/>
      <c r="I349" s="57" t="str">
        <f aca="false">IF(G349="","",G349*H349)</f>
        <v/>
      </c>
      <c r="J349" s="55"/>
      <c r="K349" s="55"/>
      <c r="L349" s="57" t="str">
        <f aca="false">IF(OR(B349="",G349=""),"",G349-E349-F349-I349-J349-K349)</f>
        <v/>
      </c>
      <c r="M349" s="58" t="str">
        <f aca="false">IF(L349="","",IF(G349=0,0,L349/G349))</f>
        <v/>
      </c>
      <c r="N349" s="53"/>
      <c r="O349" s="59" t="str">
        <f aca="false">IF(M349="","",IF(M349&lt;0.15,"⚠ LOW MARGIN / MARGEN BAJO","✔ OK"))</f>
        <v/>
      </c>
      <c r="P349" s="52" t="n">
        <f aca="false">IF(Q349=1,L349+ROW()/1000000,-1000000000000000)</f>
        <v>-1000000000000000</v>
      </c>
      <c r="Q349" s="52" t="n">
        <f aca="false">IF(B349="",0,IF(G349="",0,IF(N349="Returned / Devuelto",0,1)))</f>
        <v>0</v>
      </c>
      <c r="R349" s="52" t="n">
        <f aca="false">IF(Q349=1,IF(ISNUMBER(D349),YEAR(D349)*100+MONTH(D349),0),0)</f>
        <v>0</v>
      </c>
      <c r="S349" s="52" t="n">
        <f aca="false">IF(Q349=1,IF(M349&lt;0.15,1,0),0)</f>
        <v>0</v>
      </c>
    </row>
    <row r="350" customFormat="false" ht="15" hidden="false" customHeight="false" outlineLevel="0" collapsed="false">
      <c r="B350" s="53"/>
      <c r="C350" s="53"/>
      <c r="D350" s="54"/>
      <c r="E350" s="55"/>
      <c r="F350" s="55"/>
      <c r="G350" s="55"/>
      <c r="H350" s="56"/>
      <c r="I350" s="57" t="str">
        <f aca="false">IF(G350="","",G350*H350)</f>
        <v/>
      </c>
      <c r="J350" s="55"/>
      <c r="K350" s="55"/>
      <c r="L350" s="57" t="str">
        <f aca="false">IF(OR(B350="",G350=""),"",G350-E350-F350-I350-J350-K350)</f>
        <v/>
      </c>
      <c r="M350" s="58" t="str">
        <f aca="false">IF(L350="","",IF(G350=0,0,L350/G350))</f>
        <v/>
      </c>
      <c r="N350" s="53"/>
      <c r="O350" s="59" t="str">
        <f aca="false">IF(M350="","",IF(M350&lt;0.15,"⚠ LOW MARGIN / MARGEN BAJO","✔ OK"))</f>
        <v/>
      </c>
      <c r="P350" s="52" t="n">
        <f aca="false">IF(Q350=1,L350+ROW()/1000000,-1000000000000000)</f>
        <v>-1000000000000000</v>
      </c>
      <c r="Q350" s="52" t="n">
        <f aca="false">IF(B350="",0,IF(G350="",0,IF(N350="Returned / Devuelto",0,1)))</f>
        <v>0</v>
      </c>
      <c r="R350" s="52" t="n">
        <f aca="false">IF(Q350=1,IF(ISNUMBER(D350),YEAR(D350)*100+MONTH(D350),0),0)</f>
        <v>0</v>
      </c>
      <c r="S350" s="52" t="n">
        <f aca="false">IF(Q350=1,IF(M350&lt;0.15,1,0),0)</f>
        <v>0</v>
      </c>
    </row>
    <row r="351" customFormat="false" ht="15" hidden="false" customHeight="false" outlineLevel="0" collapsed="false">
      <c r="B351" s="53"/>
      <c r="C351" s="53"/>
      <c r="D351" s="54"/>
      <c r="E351" s="55"/>
      <c r="F351" s="55"/>
      <c r="G351" s="55"/>
      <c r="H351" s="56"/>
      <c r="I351" s="57" t="str">
        <f aca="false">IF(G351="","",G351*H351)</f>
        <v/>
      </c>
      <c r="J351" s="55"/>
      <c r="K351" s="55"/>
      <c r="L351" s="57" t="str">
        <f aca="false">IF(OR(B351="",G351=""),"",G351-E351-F351-I351-J351-K351)</f>
        <v/>
      </c>
      <c r="M351" s="58" t="str">
        <f aca="false">IF(L351="","",IF(G351=0,0,L351/G351))</f>
        <v/>
      </c>
      <c r="N351" s="53"/>
      <c r="O351" s="59" t="str">
        <f aca="false">IF(M351="","",IF(M351&lt;0.15,"⚠ LOW MARGIN / MARGEN BAJO","✔ OK"))</f>
        <v/>
      </c>
      <c r="P351" s="52" t="n">
        <f aca="false">IF(Q351=1,L351+ROW()/1000000,-1000000000000000)</f>
        <v>-1000000000000000</v>
      </c>
      <c r="Q351" s="52" t="n">
        <f aca="false">IF(B351="",0,IF(G351="",0,IF(N351="Returned / Devuelto",0,1)))</f>
        <v>0</v>
      </c>
      <c r="R351" s="52" t="n">
        <f aca="false">IF(Q351=1,IF(ISNUMBER(D351),YEAR(D351)*100+MONTH(D351),0),0)</f>
        <v>0</v>
      </c>
      <c r="S351" s="52" t="n">
        <f aca="false">IF(Q351=1,IF(M351&lt;0.15,1,0),0)</f>
        <v>0</v>
      </c>
    </row>
    <row r="352" customFormat="false" ht="15" hidden="false" customHeight="false" outlineLevel="0" collapsed="false">
      <c r="B352" s="53"/>
      <c r="C352" s="53"/>
      <c r="D352" s="54"/>
      <c r="E352" s="55"/>
      <c r="F352" s="55"/>
      <c r="G352" s="55"/>
      <c r="H352" s="56"/>
      <c r="I352" s="57" t="str">
        <f aca="false">IF(G352="","",G352*H352)</f>
        <v/>
      </c>
      <c r="J352" s="55"/>
      <c r="K352" s="55"/>
      <c r="L352" s="57" t="str">
        <f aca="false">IF(OR(B352="",G352=""),"",G352-E352-F352-I352-J352-K352)</f>
        <v/>
      </c>
      <c r="M352" s="58" t="str">
        <f aca="false">IF(L352="","",IF(G352=0,0,L352/G352))</f>
        <v/>
      </c>
      <c r="N352" s="53"/>
      <c r="O352" s="59" t="str">
        <f aca="false">IF(M352="","",IF(M352&lt;0.15,"⚠ LOW MARGIN / MARGEN BAJO","✔ OK"))</f>
        <v/>
      </c>
      <c r="P352" s="52" t="n">
        <f aca="false">IF(Q352=1,L352+ROW()/1000000,-1000000000000000)</f>
        <v>-1000000000000000</v>
      </c>
      <c r="Q352" s="52" t="n">
        <f aca="false">IF(B352="",0,IF(G352="",0,IF(N352="Returned / Devuelto",0,1)))</f>
        <v>0</v>
      </c>
      <c r="R352" s="52" t="n">
        <f aca="false">IF(Q352=1,IF(ISNUMBER(D352),YEAR(D352)*100+MONTH(D352),0),0)</f>
        <v>0</v>
      </c>
      <c r="S352" s="52" t="n">
        <f aca="false">IF(Q352=1,IF(M352&lt;0.15,1,0),0)</f>
        <v>0</v>
      </c>
    </row>
    <row r="353" customFormat="false" ht="15" hidden="false" customHeight="false" outlineLevel="0" collapsed="false">
      <c r="B353" s="53"/>
      <c r="C353" s="53"/>
      <c r="D353" s="54"/>
      <c r="E353" s="55"/>
      <c r="F353" s="55"/>
      <c r="G353" s="55"/>
      <c r="H353" s="56"/>
      <c r="I353" s="57" t="str">
        <f aca="false">IF(G353="","",G353*H353)</f>
        <v/>
      </c>
      <c r="J353" s="55"/>
      <c r="K353" s="55"/>
      <c r="L353" s="57" t="str">
        <f aca="false">IF(OR(B353="",G353=""),"",G353-E353-F353-I353-J353-K353)</f>
        <v/>
      </c>
      <c r="M353" s="58" t="str">
        <f aca="false">IF(L353="","",IF(G353=0,0,L353/G353))</f>
        <v/>
      </c>
      <c r="N353" s="53"/>
      <c r="O353" s="59" t="str">
        <f aca="false">IF(M353="","",IF(M353&lt;0.15,"⚠ LOW MARGIN / MARGEN BAJO","✔ OK"))</f>
        <v/>
      </c>
      <c r="P353" s="52" t="n">
        <f aca="false">IF(Q353=1,L353+ROW()/1000000,-1000000000000000)</f>
        <v>-1000000000000000</v>
      </c>
      <c r="Q353" s="52" t="n">
        <f aca="false">IF(B353="",0,IF(G353="",0,IF(N353="Returned / Devuelto",0,1)))</f>
        <v>0</v>
      </c>
      <c r="R353" s="52" t="n">
        <f aca="false">IF(Q353=1,IF(ISNUMBER(D353),YEAR(D353)*100+MONTH(D353),0),0)</f>
        <v>0</v>
      </c>
      <c r="S353" s="52" t="n">
        <f aca="false">IF(Q353=1,IF(M353&lt;0.15,1,0),0)</f>
        <v>0</v>
      </c>
    </row>
    <row r="354" customFormat="false" ht="15" hidden="false" customHeight="false" outlineLevel="0" collapsed="false">
      <c r="B354" s="53"/>
      <c r="C354" s="53"/>
      <c r="D354" s="54"/>
      <c r="E354" s="55"/>
      <c r="F354" s="55"/>
      <c r="G354" s="55"/>
      <c r="H354" s="56"/>
      <c r="I354" s="57" t="str">
        <f aca="false">IF(G354="","",G354*H354)</f>
        <v/>
      </c>
      <c r="J354" s="55"/>
      <c r="K354" s="55"/>
      <c r="L354" s="57" t="str">
        <f aca="false">IF(OR(B354="",G354=""),"",G354-E354-F354-I354-J354-K354)</f>
        <v/>
      </c>
      <c r="M354" s="58" t="str">
        <f aca="false">IF(L354="","",IF(G354=0,0,L354/G354))</f>
        <v/>
      </c>
      <c r="N354" s="53"/>
      <c r="O354" s="59" t="str">
        <f aca="false">IF(M354="","",IF(M354&lt;0.15,"⚠ LOW MARGIN / MARGEN BAJO","✔ OK"))</f>
        <v/>
      </c>
      <c r="P354" s="52" t="n">
        <f aca="false">IF(Q354=1,L354+ROW()/1000000,-1000000000000000)</f>
        <v>-1000000000000000</v>
      </c>
      <c r="Q354" s="52" t="n">
        <f aca="false">IF(B354="",0,IF(G354="",0,IF(N354="Returned / Devuelto",0,1)))</f>
        <v>0</v>
      </c>
      <c r="R354" s="52" t="n">
        <f aca="false">IF(Q354=1,IF(ISNUMBER(D354),YEAR(D354)*100+MONTH(D354),0),0)</f>
        <v>0</v>
      </c>
      <c r="S354" s="52" t="n">
        <f aca="false">IF(Q354=1,IF(M354&lt;0.15,1,0),0)</f>
        <v>0</v>
      </c>
    </row>
    <row r="355" customFormat="false" ht="15" hidden="false" customHeight="false" outlineLevel="0" collapsed="false">
      <c r="B355" s="53"/>
      <c r="C355" s="53"/>
      <c r="D355" s="54"/>
      <c r="E355" s="55"/>
      <c r="F355" s="55"/>
      <c r="G355" s="55"/>
      <c r="H355" s="56"/>
      <c r="I355" s="57" t="str">
        <f aca="false">IF(G355="","",G355*H355)</f>
        <v/>
      </c>
      <c r="J355" s="55"/>
      <c r="K355" s="55"/>
      <c r="L355" s="57" t="str">
        <f aca="false">IF(OR(B355="",G355=""),"",G355-E355-F355-I355-J355-K355)</f>
        <v/>
      </c>
      <c r="M355" s="58" t="str">
        <f aca="false">IF(L355="","",IF(G355=0,0,L355/G355))</f>
        <v/>
      </c>
      <c r="N355" s="53"/>
      <c r="O355" s="59" t="str">
        <f aca="false">IF(M355="","",IF(M355&lt;0.15,"⚠ LOW MARGIN / MARGEN BAJO","✔ OK"))</f>
        <v/>
      </c>
      <c r="P355" s="52" t="n">
        <f aca="false">IF(Q355=1,L355+ROW()/1000000,-1000000000000000)</f>
        <v>-1000000000000000</v>
      </c>
      <c r="Q355" s="52" t="n">
        <f aca="false">IF(B355="",0,IF(G355="",0,IF(N355="Returned / Devuelto",0,1)))</f>
        <v>0</v>
      </c>
      <c r="R355" s="52" t="n">
        <f aca="false">IF(Q355=1,IF(ISNUMBER(D355),YEAR(D355)*100+MONTH(D355),0),0)</f>
        <v>0</v>
      </c>
      <c r="S355" s="52" t="n">
        <f aca="false">IF(Q355=1,IF(M355&lt;0.15,1,0),0)</f>
        <v>0</v>
      </c>
    </row>
    <row r="356" customFormat="false" ht="15" hidden="false" customHeight="false" outlineLevel="0" collapsed="false">
      <c r="B356" s="53"/>
      <c r="C356" s="53"/>
      <c r="D356" s="54"/>
      <c r="E356" s="55"/>
      <c r="F356" s="55"/>
      <c r="G356" s="55"/>
      <c r="H356" s="56"/>
      <c r="I356" s="57" t="str">
        <f aca="false">IF(G356="","",G356*H356)</f>
        <v/>
      </c>
      <c r="J356" s="55"/>
      <c r="K356" s="55"/>
      <c r="L356" s="57" t="str">
        <f aca="false">IF(OR(B356="",G356=""),"",G356-E356-F356-I356-J356-K356)</f>
        <v/>
      </c>
      <c r="M356" s="58" t="str">
        <f aca="false">IF(L356="","",IF(G356=0,0,L356/G356))</f>
        <v/>
      </c>
      <c r="N356" s="53"/>
      <c r="O356" s="59" t="str">
        <f aca="false">IF(M356="","",IF(M356&lt;0.15,"⚠ LOW MARGIN / MARGEN BAJO","✔ OK"))</f>
        <v/>
      </c>
      <c r="P356" s="52" t="n">
        <f aca="false">IF(Q356=1,L356+ROW()/1000000,-1000000000000000)</f>
        <v>-1000000000000000</v>
      </c>
      <c r="Q356" s="52" t="n">
        <f aca="false">IF(B356="",0,IF(G356="",0,IF(N356="Returned / Devuelto",0,1)))</f>
        <v>0</v>
      </c>
      <c r="R356" s="52" t="n">
        <f aca="false">IF(Q356=1,IF(ISNUMBER(D356),YEAR(D356)*100+MONTH(D356),0),0)</f>
        <v>0</v>
      </c>
      <c r="S356" s="52" t="n">
        <f aca="false">IF(Q356=1,IF(M356&lt;0.15,1,0),0)</f>
        <v>0</v>
      </c>
    </row>
    <row r="357" customFormat="false" ht="15" hidden="false" customHeight="false" outlineLevel="0" collapsed="false">
      <c r="B357" s="53"/>
      <c r="C357" s="53"/>
      <c r="D357" s="54"/>
      <c r="E357" s="55"/>
      <c r="F357" s="55"/>
      <c r="G357" s="55"/>
      <c r="H357" s="56"/>
      <c r="I357" s="57" t="str">
        <f aca="false">IF(G357="","",G357*H357)</f>
        <v/>
      </c>
      <c r="J357" s="55"/>
      <c r="K357" s="55"/>
      <c r="L357" s="57" t="str">
        <f aca="false">IF(OR(B357="",G357=""),"",G357-E357-F357-I357-J357-K357)</f>
        <v/>
      </c>
      <c r="M357" s="58" t="str">
        <f aca="false">IF(L357="","",IF(G357=0,0,L357/G357))</f>
        <v/>
      </c>
      <c r="N357" s="53"/>
      <c r="O357" s="59" t="str">
        <f aca="false">IF(M357="","",IF(M357&lt;0.15,"⚠ LOW MARGIN / MARGEN BAJO","✔ OK"))</f>
        <v/>
      </c>
      <c r="P357" s="52" t="n">
        <f aca="false">IF(Q357=1,L357+ROW()/1000000,-1000000000000000)</f>
        <v>-1000000000000000</v>
      </c>
      <c r="Q357" s="52" t="n">
        <f aca="false">IF(B357="",0,IF(G357="",0,IF(N357="Returned / Devuelto",0,1)))</f>
        <v>0</v>
      </c>
      <c r="R357" s="52" t="n">
        <f aca="false">IF(Q357=1,IF(ISNUMBER(D357),YEAR(D357)*100+MONTH(D357),0),0)</f>
        <v>0</v>
      </c>
      <c r="S357" s="52" t="n">
        <f aca="false">IF(Q357=1,IF(M357&lt;0.15,1,0),0)</f>
        <v>0</v>
      </c>
    </row>
    <row r="358" customFormat="false" ht="15" hidden="false" customHeight="false" outlineLevel="0" collapsed="false">
      <c r="B358" s="53"/>
      <c r="C358" s="53"/>
      <c r="D358" s="54"/>
      <c r="E358" s="55"/>
      <c r="F358" s="55"/>
      <c r="G358" s="55"/>
      <c r="H358" s="56"/>
      <c r="I358" s="57" t="str">
        <f aca="false">IF(G358="","",G358*H358)</f>
        <v/>
      </c>
      <c r="J358" s="55"/>
      <c r="K358" s="55"/>
      <c r="L358" s="57" t="str">
        <f aca="false">IF(OR(B358="",G358=""),"",G358-E358-F358-I358-J358-K358)</f>
        <v/>
      </c>
      <c r="M358" s="58" t="str">
        <f aca="false">IF(L358="","",IF(G358=0,0,L358/G358))</f>
        <v/>
      </c>
      <c r="N358" s="53"/>
      <c r="O358" s="59" t="str">
        <f aca="false">IF(M358="","",IF(M358&lt;0.15,"⚠ LOW MARGIN / MARGEN BAJO","✔ OK"))</f>
        <v/>
      </c>
      <c r="P358" s="52" t="n">
        <f aca="false">IF(Q358=1,L358+ROW()/1000000,-1000000000000000)</f>
        <v>-1000000000000000</v>
      </c>
      <c r="Q358" s="52" t="n">
        <f aca="false">IF(B358="",0,IF(G358="",0,IF(N358="Returned / Devuelto",0,1)))</f>
        <v>0</v>
      </c>
      <c r="R358" s="52" t="n">
        <f aca="false">IF(Q358=1,IF(ISNUMBER(D358),YEAR(D358)*100+MONTH(D358),0),0)</f>
        <v>0</v>
      </c>
      <c r="S358" s="52" t="n">
        <f aca="false">IF(Q358=1,IF(M358&lt;0.15,1,0),0)</f>
        <v>0</v>
      </c>
    </row>
    <row r="359" customFormat="false" ht="15" hidden="false" customHeight="false" outlineLevel="0" collapsed="false">
      <c r="B359" s="53"/>
      <c r="C359" s="53"/>
      <c r="D359" s="54"/>
      <c r="E359" s="55"/>
      <c r="F359" s="55"/>
      <c r="G359" s="55"/>
      <c r="H359" s="56"/>
      <c r="I359" s="57" t="str">
        <f aca="false">IF(G359="","",G359*H359)</f>
        <v/>
      </c>
      <c r="J359" s="55"/>
      <c r="K359" s="55"/>
      <c r="L359" s="57" t="str">
        <f aca="false">IF(OR(B359="",G359=""),"",G359-E359-F359-I359-J359-K359)</f>
        <v/>
      </c>
      <c r="M359" s="58" t="str">
        <f aca="false">IF(L359="","",IF(G359=0,0,L359/G359))</f>
        <v/>
      </c>
      <c r="N359" s="53"/>
      <c r="O359" s="59" t="str">
        <f aca="false">IF(M359="","",IF(M359&lt;0.15,"⚠ LOW MARGIN / MARGEN BAJO","✔ OK"))</f>
        <v/>
      </c>
      <c r="P359" s="52" t="n">
        <f aca="false">IF(Q359=1,L359+ROW()/1000000,-1000000000000000)</f>
        <v>-1000000000000000</v>
      </c>
      <c r="Q359" s="52" t="n">
        <f aca="false">IF(B359="",0,IF(G359="",0,IF(N359="Returned / Devuelto",0,1)))</f>
        <v>0</v>
      </c>
      <c r="R359" s="52" t="n">
        <f aca="false">IF(Q359=1,IF(ISNUMBER(D359),YEAR(D359)*100+MONTH(D359),0),0)</f>
        <v>0</v>
      </c>
      <c r="S359" s="52" t="n">
        <f aca="false">IF(Q359=1,IF(M359&lt;0.15,1,0),0)</f>
        <v>0</v>
      </c>
    </row>
    <row r="360" customFormat="false" ht="15" hidden="false" customHeight="false" outlineLevel="0" collapsed="false">
      <c r="B360" s="53"/>
      <c r="C360" s="53"/>
      <c r="D360" s="54"/>
      <c r="E360" s="55"/>
      <c r="F360" s="55"/>
      <c r="G360" s="55"/>
      <c r="H360" s="56"/>
      <c r="I360" s="57" t="str">
        <f aca="false">IF(G360="","",G360*H360)</f>
        <v/>
      </c>
      <c r="J360" s="55"/>
      <c r="K360" s="55"/>
      <c r="L360" s="57" t="str">
        <f aca="false">IF(OR(B360="",G360=""),"",G360-E360-F360-I360-J360-K360)</f>
        <v/>
      </c>
      <c r="M360" s="58" t="str">
        <f aca="false">IF(L360="","",IF(G360=0,0,L360/G360))</f>
        <v/>
      </c>
      <c r="N360" s="53"/>
      <c r="O360" s="59" t="str">
        <f aca="false">IF(M360="","",IF(M360&lt;0.15,"⚠ LOW MARGIN / MARGEN BAJO","✔ OK"))</f>
        <v/>
      </c>
      <c r="P360" s="52" t="n">
        <f aca="false">IF(Q360=1,L360+ROW()/1000000,-1000000000000000)</f>
        <v>-1000000000000000</v>
      </c>
      <c r="Q360" s="52" t="n">
        <f aca="false">IF(B360="",0,IF(G360="",0,IF(N360="Returned / Devuelto",0,1)))</f>
        <v>0</v>
      </c>
      <c r="R360" s="52" t="n">
        <f aca="false">IF(Q360=1,IF(ISNUMBER(D360),YEAR(D360)*100+MONTH(D360),0),0)</f>
        <v>0</v>
      </c>
      <c r="S360" s="52" t="n">
        <f aca="false">IF(Q360=1,IF(M360&lt;0.15,1,0),0)</f>
        <v>0</v>
      </c>
    </row>
    <row r="361" customFormat="false" ht="15" hidden="false" customHeight="false" outlineLevel="0" collapsed="false">
      <c r="B361" s="53"/>
      <c r="C361" s="53"/>
      <c r="D361" s="54"/>
      <c r="E361" s="55"/>
      <c r="F361" s="55"/>
      <c r="G361" s="55"/>
      <c r="H361" s="56"/>
      <c r="I361" s="57" t="str">
        <f aca="false">IF(G361="","",G361*H361)</f>
        <v/>
      </c>
      <c r="J361" s="55"/>
      <c r="K361" s="55"/>
      <c r="L361" s="57" t="str">
        <f aca="false">IF(OR(B361="",G361=""),"",G361-E361-F361-I361-J361-K361)</f>
        <v/>
      </c>
      <c r="M361" s="58" t="str">
        <f aca="false">IF(L361="","",IF(G361=0,0,L361/G361))</f>
        <v/>
      </c>
      <c r="N361" s="53"/>
      <c r="O361" s="59" t="str">
        <f aca="false">IF(M361="","",IF(M361&lt;0.15,"⚠ LOW MARGIN / MARGEN BAJO","✔ OK"))</f>
        <v/>
      </c>
      <c r="P361" s="52" t="n">
        <f aca="false">IF(Q361=1,L361+ROW()/1000000,-1000000000000000)</f>
        <v>-1000000000000000</v>
      </c>
      <c r="Q361" s="52" t="n">
        <f aca="false">IF(B361="",0,IF(G361="",0,IF(N361="Returned / Devuelto",0,1)))</f>
        <v>0</v>
      </c>
      <c r="R361" s="52" t="n">
        <f aca="false">IF(Q361=1,IF(ISNUMBER(D361),YEAR(D361)*100+MONTH(D361),0),0)</f>
        <v>0</v>
      </c>
      <c r="S361" s="52" t="n">
        <f aca="false">IF(Q361=1,IF(M361&lt;0.15,1,0),0)</f>
        <v>0</v>
      </c>
    </row>
    <row r="362" customFormat="false" ht="15" hidden="false" customHeight="false" outlineLevel="0" collapsed="false">
      <c r="B362" s="53"/>
      <c r="C362" s="53"/>
      <c r="D362" s="54"/>
      <c r="E362" s="55"/>
      <c r="F362" s="55"/>
      <c r="G362" s="55"/>
      <c r="H362" s="56"/>
      <c r="I362" s="57" t="str">
        <f aca="false">IF(G362="","",G362*H362)</f>
        <v/>
      </c>
      <c r="J362" s="55"/>
      <c r="K362" s="55"/>
      <c r="L362" s="57" t="str">
        <f aca="false">IF(OR(B362="",G362=""),"",G362-E362-F362-I362-J362-K362)</f>
        <v/>
      </c>
      <c r="M362" s="58" t="str">
        <f aca="false">IF(L362="","",IF(G362=0,0,L362/G362))</f>
        <v/>
      </c>
      <c r="N362" s="53"/>
      <c r="O362" s="59" t="str">
        <f aca="false">IF(M362="","",IF(M362&lt;0.15,"⚠ LOW MARGIN / MARGEN BAJO","✔ OK"))</f>
        <v/>
      </c>
      <c r="P362" s="52" t="n">
        <f aca="false">IF(Q362=1,L362+ROW()/1000000,-1000000000000000)</f>
        <v>-1000000000000000</v>
      </c>
      <c r="Q362" s="52" t="n">
        <f aca="false">IF(B362="",0,IF(G362="",0,IF(N362="Returned / Devuelto",0,1)))</f>
        <v>0</v>
      </c>
      <c r="R362" s="52" t="n">
        <f aca="false">IF(Q362=1,IF(ISNUMBER(D362),YEAR(D362)*100+MONTH(D362),0),0)</f>
        <v>0</v>
      </c>
      <c r="S362" s="52" t="n">
        <f aca="false">IF(Q362=1,IF(M362&lt;0.15,1,0),0)</f>
        <v>0</v>
      </c>
    </row>
    <row r="363" customFormat="false" ht="15" hidden="false" customHeight="false" outlineLevel="0" collapsed="false">
      <c r="B363" s="53"/>
      <c r="C363" s="53"/>
      <c r="D363" s="54"/>
      <c r="E363" s="55"/>
      <c r="F363" s="55"/>
      <c r="G363" s="55"/>
      <c r="H363" s="56"/>
      <c r="I363" s="57" t="str">
        <f aca="false">IF(G363="","",G363*H363)</f>
        <v/>
      </c>
      <c r="J363" s="55"/>
      <c r="K363" s="55"/>
      <c r="L363" s="57" t="str">
        <f aca="false">IF(OR(B363="",G363=""),"",G363-E363-F363-I363-J363-K363)</f>
        <v/>
      </c>
      <c r="M363" s="58" t="str">
        <f aca="false">IF(L363="","",IF(G363=0,0,L363/G363))</f>
        <v/>
      </c>
      <c r="N363" s="53"/>
      <c r="O363" s="59" t="str">
        <f aca="false">IF(M363="","",IF(M363&lt;0.15,"⚠ LOW MARGIN / MARGEN BAJO","✔ OK"))</f>
        <v/>
      </c>
      <c r="P363" s="52" t="n">
        <f aca="false">IF(Q363=1,L363+ROW()/1000000,-1000000000000000)</f>
        <v>-1000000000000000</v>
      </c>
      <c r="Q363" s="52" t="n">
        <f aca="false">IF(B363="",0,IF(G363="",0,IF(N363="Returned / Devuelto",0,1)))</f>
        <v>0</v>
      </c>
      <c r="R363" s="52" t="n">
        <f aca="false">IF(Q363=1,IF(ISNUMBER(D363),YEAR(D363)*100+MONTH(D363),0),0)</f>
        <v>0</v>
      </c>
      <c r="S363" s="52" t="n">
        <f aca="false">IF(Q363=1,IF(M363&lt;0.15,1,0),0)</f>
        <v>0</v>
      </c>
    </row>
    <row r="364" customFormat="false" ht="15" hidden="false" customHeight="false" outlineLevel="0" collapsed="false">
      <c r="B364" s="53"/>
      <c r="C364" s="53"/>
      <c r="D364" s="54"/>
      <c r="E364" s="55"/>
      <c r="F364" s="55"/>
      <c r="G364" s="55"/>
      <c r="H364" s="56"/>
      <c r="I364" s="57" t="str">
        <f aca="false">IF(G364="","",G364*H364)</f>
        <v/>
      </c>
      <c r="J364" s="55"/>
      <c r="K364" s="55"/>
      <c r="L364" s="57" t="str">
        <f aca="false">IF(OR(B364="",G364=""),"",G364-E364-F364-I364-J364-K364)</f>
        <v/>
      </c>
      <c r="M364" s="58" t="str">
        <f aca="false">IF(L364="","",IF(G364=0,0,L364/G364))</f>
        <v/>
      </c>
      <c r="N364" s="53"/>
      <c r="O364" s="59" t="str">
        <f aca="false">IF(M364="","",IF(M364&lt;0.15,"⚠ LOW MARGIN / MARGEN BAJO","✔ OK"))</f>
        <v/>
      </c>
      <c r="P364" s="52" t="n">
        <f aca="false">IF(Q364=1,L364+ROW()/1000000,-1000000000000000)</f>
        <v>-1000000000000000</v>
      </c>
      <c r="Q364" s="52" t="n">
        <f aca="false">IF(B364="",0,IF(G364="",0,IF(N364="Returned / Devuelto",0,1)))</f>
        <v>0</v>
      </c>
      <c r="R364" s="52" t="n">
        <f aca="false">IF(Q364=1,IF(ISNUMBER(D364),YEAR(D364)*100+MONTH(D364),0),0)</f>
        <v>0</v>
      </c>
      <c r="S364" s="52" t="n">
        <f aca="false">IF(Q364=1,IF(M364&lt;0.15,1,0),0)</f>
        <v>0</v>
      </c>
    </row>
    <row r="365" customFormat="false" ht="15" hidden="false" customHeight="false" outlineLevel="0" collapsed="false">
      <c r="B365" s="53"/>
      <c r="C365" s="53"/>
      <c r="D365" s="54"/>
      <c r="E365" s="55"/>
      <c r="F365" s="55"/>
      <c r="G365" s="55"/>
      <c r="H365" s="56"/>
      <c r="I365" s="57" t="str">
        <f aca="false">IF(G365="","",G365*H365)</f>
        <v/>
      </c>
      <c r="J365" s="55"/>
      <c r="K365" s="55"/>
      <c r="L365" s="57" t="str">
        <f aca="false">IF(OR(B365="",G365=""),"",G365-E365-F365-I365-J365-K365)</f>
        <v/>
      </c>
      <c r="M365" s="58" t="str">
        <f aca="false">IF(L365="","",IF(G365=0,0,L365/G365))</f>
        <v/>
      </c>
      <c r="N365" s="53"/>
      <c r="O365" s="59" t="str">
        <f aca="false">IF(M365="","",IF(M365&lt;0.15,"⚠ LOW MARGIN / MARGEN BAJO","✔ OK"))</f>
        <v/>
      </c>
      <c r="P365" s="52" t="n">
        <f aca="false">IF(Q365=1,L365+ROW()/1000000,-1000000000000000)</f>
        <v>-1000000000000000</v>
      </c>
      <c r="Q365" s="52" t="n">
        <f aca="false">IF(B365="",0,IF(G365="",0,IF(N365="Returned / Devuelto",0,1)))</f>
        <v>0</v>
      </c>
      <c r="R365" s="52" t="n">
        <f aca="false">IF(Q365=1,IF(ISNUMBER(D365),YEAR(D365)*100+MONTH(D365),0),0)</f>
        <v>0</v>
      </c>
      <c r="S365" s="52" t="n">
        <f aca="false">IF(Q365=1,IF(M365&lt;0.15,1,0),0)</f>
        <v>0</v>
      </c>
    </row>
    <row r="366" customFormat="false" ht="15" hidden="false" customHeight="false" outlineLevel="0" collapsed="false">
      <c r="B366" s="53"/>
      <c r="C366" s="53"/>
      <c r="D366" s="54"/>
      <c r="E366" s="55"/>
      <c r="F366" s="55"/>
      <c r="G366" s="55"/>
      <c r="H366" s="56"/>
      <c r="I366" s="57" t="str">
        <f aca="false">IF(G366="","",G366*H366)</f>
        <v/>
      </c>
      <c r="J366" s="55"/>
      <c r="K366" s="55"/>
      <c r="L366" s="57" t="str">
        <f aca="false">IF(OR(B366="",G366=""),"",G366-E366-F366-I366-J366-K366)</f>
        <v/>
      </c>
      <c r="M366" s="58" t="str">
        <f aca="false">IF(L366="","",IF(G366=0,0,L366/G366))</f>
        <v/>
      </c>
      <c r="N366" s="53"/>
      <c r="O366" s="59" t="str">
        <f aca="false">IF(M366="","",IF(M366&lt;0.15,"⚠ LOW MARGIN / MARGEN BAJO","✔ OK"))</f>
        <v/>
      </c>
      <c r="P366" s="52" t="n">
        <f aca="false">IF(Q366=1,L366+ROW()/1000000,-1000000000000000)</f>
        <v>-1000000000000000</v>
      </c>
      <c r="Q366" s="52" t="n">
        <f aca="false">IF(B366="",0,IF(G366="",0,IF(N366="Returned / Devuelto",0,1)))</f>
        <v>0</v>
      </c>
      <c r="R366" s="52" t="n">
        <f aca="false">IF(Q366=1,IF(ISNUMBER(D366),YEAR(D366)*100+MONTH(D366),0),0)</f>
        <v>0</v>
      </c>
      <c r="S366" s="52" t="n">
        <f aca="false">IF(Q366=1,IF(M366&lt;0.15,1,0),0)</f>
        <v>0</v>
      </c>
    </row>
    <row r="367" customFormat="false" ht="15" hidden="false" customHeight="false" outlineLevel="0" collapsed="false">
      <c r="B367" s="53"/>
      <c r="C367" s="53"/>
      <c r="D367" s="54"/>
      <c r="E367" s="55"/>
      <c r="F367" s="55"/>
      <c r="G367" s="55"/>
      <c r="H367" s="56"/>
      <c r="I367" s="57" t="str">
        <f aca="false">IF(G367="","",G367*H367)</f>
        <v/>
      </c>
      <c r="J367" s="55"/>
      <c r="K367" s="55"/>
      <c r="L367" s="57" t="str">
        <f aca="false">IF(OR(B367="",G367=""),"",G367-E367-F367-I367-J367-K367)</f>
        <v/>
      </c>
      <c r="M367" s="58" t="str">
        <f aca="false">IF(L367="","",IF(G367=0,0,L367/G367))</f>
        <v/>
      </c>
      <c r="N367" s="53"/>
      <c r="O367" s="59" t="str">
        <f aca="false">IF(M367="","",IF(M367&lt;0.15,"⚠ LOW MARGIN / MARGEN BAJO","✔ OK"))</f>
        <v/>
      </c>
      <c r="P367" s="52" t="n">
        <f aca="false">IF(Q367=1,L367+ROW()/1000000,-1000000000000000)</f>
        <v>-1000000000000000</v>
      </c>
      <c r="Q367" s="52" t="n">
        <f aca="false">IF(B367="",0,IF(G367="",0,IF(N367="Returned / Devuelto",0,1)))</f>
        <v>0</v>
      </c>
      <c r="R367" s="52" t="n">
        <f aca="false">IF(Q367=1,IF(ISNUMBER(D367),YEAR(D367)*100+MONTH(D367),0),0)</f>
        <v>0</v>
      </c>
      <c r="S367" s="52" t="n">
        <f aca="false">IF(Q367=1,IF(M367&lt;0.15,1,0),0)</f>
        <v>0</v>
      </c>
    </row>
    <row r="368" customFormat="false" ht="15" hidden="false" customHeight="false" outlineLevel="0" collapsed="false">
      <c r="B368" s="53"/>
      <c r="C368" s="53"/>
      <c r="D368" s="54"/>
      <c r="E368" s="55"/>
      <c r="F368" s="55"/>
      <c r="G368" s="55"/>
      <c r="H368" s="56"/>
      <c r="I368" s="57" t="str">
        <f aca="false">IF(G368="","",G368*H368)</f>
        <v/>
      </c>
      <c r="J368" s="55"/>
      <c r="K368" s="55"/>
      <c r="L368" s="57" t="str">
        <f aca="false">IF(OR(B368="",G368=""),"",G368-E368-F368-I368-J368-K368)</f>
        <v/>
      </c>
      <c r="M368" s="58" t="str">
        <f aca="false">IF(L368="","",IF(G368=0,0,L368/G368))</f>
        <v/>
      </c>
      <c r="N368" s="53"/>
      <c r="O368" s="59" t="str">
        <f aca="false">IF(M368="","",IF(M368&lt;0.15,"⚠ LOW MARGIN / MARGEN BAJO","✔ OK"))</f>
        <v/>
      </c>
      <c r="P368" s="52" t="n">
        <f aca="false">IF(Q368=1,L368+ROW()/1000000,-1000000000000000)</f>
        <v>-1000000000000000</v>
      </c>
      <c r="Q368" s="52" t="n">
        <f aca="false">IF(B368="",0,IF(G368="",0,IF(N368="Returned / Devuelto",0,1)))</f>
        <v>0</v>
      </c>
      <c r="R368" s="52" t="n">
        <f aca="false">IF(Q368=1,IF(ISNUMBER(D368),YEAR(D368)*100+MONTH(D368),0),0)</f>
        <v>0</v>
      </c>
      <c r="S368" s="52" t="n">
        <f aca="false">IF(Q368=1,IF(M368&lt;0.15,1,0),0)</f>
        <v>0</v>
      </c>
    </row>
    <row r="369" customFormat="false" ht="15" hidden="false" customHeight="false" outlineLevel="0" collapsed="false">
      <c r="B369" s="53"/>
      <c r="C369" s="53"/>
      <c r="D369" s="54"/>
      <c r="E369" s="55"/>
      <c r="F369" s="55"/>
      <c r="G369" s="55"/>
      <c r="H369" s="56"/>
      <c r="I369" s="57" t="str">
        <f aca="false">IF(G369="","",G369*H369)</f>
        <v/>
      </c>
      <c r="J369" s="55"/>
      <c r="K369" s="55"/>
      <c r="L369" s="57" t="str">
        <f aca="false">IF(OR(B369="",G369=""),"",G369-E369-F369-I369-J369-K369)</f>
        <v/>
      </c>
      <c r="M369" s="58" t="str">
        <f aca="false">IF(L369="","",IF(G369=0,0,L369/G369))</f>
        <v/>
      </c>
      <c r="N369" s="53"/>
      <c r="O369" s="59" t="str">
        <f aca="false">IF(M369="","",IF(M369&lt;0.15,"⚠ LOW MARGIN / MARGEN BAJO","✔ OK"))</f>
        <v/>
      </c>
      <c r="P369" s="52" t="n">
        <f aca="false">IF(Q369=1,L369+ROW()/1000000,-1000000000000000)</f>
        <v>-1000000000000000</v>
      </c>
      <c r="Q369" s="52" t="n">
        <f aca="false">IF(B369="",0,IF(G369="",0,IF(N369="Returned / Devuelto",0,1)))</f>
        <v>0</v>
      </c>
      <c r="R369" s="52" t="n">
        <f aca="false">IF(Q369=1,IF(ISNUMBER(D369),YEAR(D369)*100+MONTH(D369),0),0)</f>
        <v>0</v>
      </c>
      <c r="S369" s="52" t="n">
        <f aca="false">IF(Q369=1,IF(M369&lt;0.15,1,0),0)</f>
        <v>0</v>
      </c>
    </row>
    <row r="370" customFormat="false" ht="15" hidden="false" customHeight="false" outlineLevel="0" collapsed="false">
      <c r="B370" s="53"/>
      <c r="C370" s="53"/>
      <c r="D370" s="54"/>
      <c r="E370" s="55"/>
      <c r="F370" s="55"/>
      <c r="G370" s="55"/>
      <c r="H370" s="56"/>
      <c r="I370" s="57" t="str">
        <f aca="false">IF(G370="","",G370*H370)</f>
        <v/>
      </c>
      <c r="J370" s="55"/>
      <c r="K370" s="55"/>
      <c r="L370" s="57" t="str">
        <f aca="false">IF(OR(B370="",G370=""),"",G370-E370-F370-I370-J370-K370)</f>
        <v/>
      </c>
      <c r="M370" s="58" t="str">
        <f aca="false">IF(L370="","",IF(G370=0,0,L370/G370))</f>
        <v/>
      </c>
      <c r="N370" s="53"/>
      <c r="O370" s="59" t="str">
        <f aca="false">IF(M370="","",IF(M370&lt;0.15,"⚠ LOW MARGIN / MARGEN BAJO","✔ OK"))</f>
        <v/>
      </c>
      <c r="P370" s="52" t="n">
        <f aca="false">IF(Q370=1,L370+ROW()/1000000,-1000000000000000)</f>
        <v>-1000000000000000</v>
      </c>
      <c r="Q370" s="52" t="n">
        <f aca="false">IF(B370="",0,IF(G370="",0,IF(N370="Returned / Devuelto",0,1)))</f>
        <v>0</v>
      </c>
      <c r="R370" s="52" t="n">
        <f aca="false">IF(Q370=1,IF(ISNUMBER(D370),YEAR(D370)*100+MONTH(D370),0),0)</f>
        <v>0</v>
      </c>
      <c r="S370" s="52" t="n">
        <f aca="false">IF(Q370=1,IF(M370&lt;0.15,1,0),0)</f>
        <v>0</v>
      </c>
    </row>
    <row r="371" customFormat="false" ht="15" hidden="false" customHeight="false" outlineLevel="0" collapsed="false">
      <c r="B371" s="53"/>
      <c r="C371" s="53"/>
      <c r="D371" s="54"/>
      <c r="E371" s="55"/>
      <c r="F371" s="55"/>
      <c r="G371" s="55"/>
      <c r="H371" s="56"/>
      <c r="I371" s="57" t="str">
        <f aca="false">IF(G371="","",G371*H371)</f>
        <v/>
      </c>
      <c r="J371" s="55"/>
      <c r="K371" s="55"/>
      <c r="L371" s="57" t="str">
        <f aca="false">IF(OR(B371="",G371=""),"",G371-E371-F371-I371-J371-K371)</f>
        <v/>
      </c>
      <c r="M371" s="58" t="str">
        <f aca="false">IF(L371="","",IF(G371=0,0,L371/G371))</f>
        <v/>
      </c>
      <c r="N371" s="53"/>
      <c r="O371" s="59" t="str">
        <f aca="false">IF(M371="","",IF(M371&lt;0.15,"⚠ LOW MARGIN / MARGEN BAJO","✔ OK"))</f>
        <v/>
      </c>
      <c r="P371" s="52" t="n">
        <f aca="false">IF(Q371=1,L371+ROW()/1000000,-1000000000000000)</f>
        <v>-1000000000000000</v>
      </c>
      <c r="Q371" s="52" t="n">
        <f aca="false">IF(B371="",0,IF(G371="",0,IF(N371="Returned / Devuelto",0,1)))</f>
        <v>0</v>
      </c>
      <c r="R371" s="52" t="n">
        <f aca="false">IF(Q371=1,IF(ISNUMBER(D371),YEAR(D371)*100+MONTH(D371),0),0)</f>
        <v>0</v>
      </c>
      <c r="S371" s="52" t="n">
        <f aca="false">IF(Q371=1,IF(M371&lt;0.15,1,0),0)</f>
        <v>0</v>
      </c>
    </row>
    <row r="372" customFormat="false" ht="15" hidden="false" customHeight="false" outlineLevel="0" collapsed="false">
      <c r="B372" s="53"/>
      <c r="C372" s="53"/>
      <c r="D372" s="54"/>
      <c r="E372" s="55"/>
      <c r="F372" s="55"/>
      <c r="G372" s="55"/>
      <c r="H372" s="56"/>
      <c r="I372" s="57" t="str">
        <f aca="false">IF(G372="","",G372*H372)</f>
        <v/>
      </c>
      <c r="J372" s="55"/>
      <c r="K372" s="55"/>
      <c r="L372" s="57" t="str">
        <f aca="false">IF(OR(B372="",G372=""),"",G372-E372-F372-I372-J372-K372)</f>
        <v/>
      </c>
      <c r="M372" s="58" t="str">
        <f aca="false">IF(L372="","",IF(G372=0,0,L372/G372))</f>
        <v/>
      </c>
      <c r="N372" s="53"/>
      <c r="O372" s="59" t="str">
        <f aca="false">IF(M372="","",IF(M372&lt;0.15,"⚠ LOW MARGIN / MARGEN BAJO","✔ OK"))</f>
        <v/>
      </c>
      <c r="P372" s="52" t="n">
        <f aca="false">IF(Q372=1,L372+ROW()/1000000,-1000000000000000)</f>
        <v>-1000000000000000</v>
      </c>
      <c r="Q372" s="52" t="n">
        <f aca="false">IF(B372="",0,IF(G372="",0,IF(N372="Returned / Devuelto",0,1)))</f>
        <v>0</v>
      </c>
      <c r="R372" s="52" t="n">
        <f aca="false">IF(Q372=1,IF(ISNUMBER(D372),YEAR(D372)*100+MONTH(D372),0),0)</f>
        <v>0</v>
      </c>
      <c r="S372" s="52" t="n">
        <f aca="false">IF(Q372=1,IF(M372&lt;0.15,1,0),0)</f>
        <v>0</v>
      </c>
    </row>
    <row r="373" customFormat="false" ht="15" hidden="false" customHeight="false" outlineLevel="0" collapsed="false">
      <c r="B373" s="53"/>
      <c r="C373" s="53"/>
      <c r="D373" s="54"/>
      <c r="E373" s="55"/>
      <c r="F373" s="55"/>
      <c r="G373" s="55"/>
      <c r="H373" s="56"/>
      <c r="I373" s="57" t="str">
        <f aca="false">IF(G373="","",G373*H373)</f>
        <v/>
      </c>
      <c r="J373" s="55"/>
      <c r="K373" s="55"/>
      <c r="L373" s="57" t="str">
        <f aca="false">IF(OR(B373="",G373=""),"",G373-E373-F373-I373-J373-K373)</f>
        <v/>
      </c>
      <c r="M373" s="58" t="str">
        <f aca="false">IF(L373="","",IF(G373=0,0,L373/G373))</f>
        <v/>
      </c>
      <c r="N373" s="53"/>
      <c r="O373" s="59" t="str">
        <f aca="false">IF(M373="","",IF(M373&lt;0.15,"⚠ LOW MARGIN / MARGEN BAJO","✔ OK"))</f>
        <v/>
      </c>
      <c r="P373" s="52" t="n">
        <f aca="false">IF(Q373=1,L373+ROW()/1000000,-1000000000000000)</f>
        <v>-1000000000000000</v>
      </c>
      <c r="Q373" s="52" t="n">
        <f aca="false">IF(B373="",0,IF(G373="",0,IF(N373="Returned / Devuelto",0,1)))</f>
        <v>0</v>
      </c>
      <c r="R373" s="52" t="n">
        <f aca="false">IF(Q373=1,IF(ISNUMBER(D373),YEAR(D373)*100+MONTH(D373),0),0)</f>
        <v>0</v>
      </c>
      <c r="S373" s="52" t="n">
        <f aca="false">IF(Q373=1,IF(M373&lt;0.15,1,0),0)</f>
        <v>0</v>
      </c>
    </row>
    <row r="374" customFormat="false" ht="15" hidden="false" customHeight="false" outlineLevel="0" collapsed="false">
      <c r="B374" s="53"/>
      <c r="C374" s="53"/>
      <c r="D374" s="54"/>
      <c r="E374" s="55"/>
      <c r="F374" s="55"/>
      <c r="G374" s="55"/>
      <c r="H374" s="56"/>
      <c r="I374" s="57" t="str">
        <f aca="false">IF(G374="","",G374*H374)</f>
        <v/>
      </c>
      <c r="J374" s="55"/>
      <c r="K374" s="55"/>
      <c r="L374" s="57" t="str">
        <f aca="false">IF(OR(B374="",G374=""),"",G374-E374-F374-I374-J374-K374)</f>
        <v/>
      </c>
      <c r="M374" s="58" t="str">
        <f aca="false">IF(L374="","",IF(G374=0,0,L374/G374))</f>
        <v/>
      </c>
      <c r="N374" s="53"/>
      <c r="O374" s="59" t="str">
        <f aca="false">IF(M374="","",IF(M374&lt;0.15,"⚠ LOW MARGIN / MARGEN BAJO","✔ OK"))</f>
        <v/>
      </c>
      <c r="P374" s="52" t="n">
        <f aca="false">IF(Q374=1,L374+ROW()/1000000,-1000000000000000)</f>
        <v>-1000000000000000</v>
      </c>
      <c r="Q374" s="52" t="n">
        <f aca="false">IF(B374="",0,IF(G374="",0,IF(N374="Returned / Devuelto",0,1)))</f>
        <v>0</v>
      </c>
      <c r="R374" s="52" t="n">
        <f aca="false">IF(Q374=1,IF(ISNUMBER(D374),YEAR(D374)*100+MONTH(D374),0),0)</f>
        <v>0</v>
      </c>
      <c r="S374" s="52" t="n">
        <f aca="false">IF(Q374=1,IF(M374&lt;0.15,1,0),0)</f>
        <v>0</v>
      </c>
    </row>
    <row r="375" customFormat="false" ht="15" hidden="false" customHeight="false" outlineLevel="0" collapsed="false">
      <c r="B375" s="53"/>
      <c r="C375" s="53"/>
      <c r="D375" s="54"/>
      <c r="E375" s="55"/>
      <c r="F375" s="55"/>
      <c r="G375" s="55"/>
      <c r="H375" s="56"/>
      <c r="I375" s="57" t="str">
        <f aca="false">IF(G375="","",G375*H375)</f>
        <v/>
      </c>
      <c r="J375" s="55"/>
      <c r="K375" s="55"/>
      <c r="L375" s="57" t="str">
        <f aca="false">IF(OR(B375="",G375=""),"",G375-E375-F375-I375-J375-K375)</f>
        <v/>
      </c>
      <c r="M375" s="58" t="str">
        <f aca="false">IF(L375="","",IF(G375=0,0,L375/G375))</f>
        <v/>
      </c>
      <c r="N375" s="53"/>
      <c r="O375" s="59" t="str">
        <f aca="false">IF(M375="","",IF(M375&lt;0.15,"⚠ LOW MARGIN / MARGEN BAJO","✔ OK"))</f>
        <v/>
      </c>
      <c r="P375" s="52" t="n">
        <f aca="false">IF(Q375=1,L375+ROW()/1000000,-1000000000000000)</f>
        <v>-1000000000000000</v>
      </c>
      <c r="Q375" s="52" t="n">
        <f aca="false">IF(B375="",0,IF(G375="",0,IF(N375="Returned / Devuelto",0,1)))</f>
        <v>0</v>
      </c>
      <c r="R375" s="52" t="n">
        <f aca="false">IF(Q375=1,IF(ISNUMBER(D375),YEAR(D375)*100+MONTH(D375),0),0)</f>
        <v>0</v>
      </c>
      <c r="S375" s="52" t="n">
        <f aca="false">IF(Q375=1,IF(M375&lt;0.15,1,0),0)</f>
        <v>0</v>
      </c>
    </row>
    <row r="376" customFormat="false" ht="15" hidden="false" customHeight="false" outlineLevel="0" collapsed="false">
      <c r="B376" s="53"/>
      <c r="C376" s="53"/>
      <c r="D376" s="54"/>
      <c r="E376" s="55"/>
      <c r="F376" s="55"/>
      <c r="G376" s="55"/>
      <c r="H376" s="56"/>
      <c r="I376" s="57" t="str">
        <f aca="false">IF(G376="","",G376*H376)</f>
        <v/>
      </c>
      <c r="J376" s="55"/>
      <c r="K376" s="55"/>
      <c r="L376" s="57" t="str">
        <f aca="false">IF(OR(B376="",G376=""),"",G376-E376-F376-I376-J376-K376)</f>
        <v/>
      </c>
      <c r="M376" s="58" t="str">
        <f aca="false">IF(L376="","",IF(G376=0,0,L376/G376))</f>
        <v/>
      </c>
      <c r="N376" s="53"/>
      <c r="O376" s="59" t="str">
        <f aca="false">IF(M376="","",IF(M376&lt;0.15,"⚠ LOW MARGIN / MARGEN BAJO","✔ OK"))</f>
        <v/>
      </c>
      <c r="P376" s="52" t="n">
        <f aca="false">IF(Q376=1,L376+ROW()/1000000,-1000000000000000)</f>
        <v>-1000000000000000</v>
      </c>
      <c r="Q376" s="52" t="n">
        <f aca="false">IF(B376="",0,IF(G376="",0,IF(N376="Returned / Devuelto",0,1)))</f>
        <v>0</v>
      </c>
      <c r="R376" s="52" t="n">
        <f aca="false">IF(Q376=1,IF(ISNUMBER(D376),YEAR(D376)*100+MONTH(D376),0),0)</f>
        <v>0</v>
      </c>
      <c r="S376" s="52" t="n">
        <f aca="false">IF(Q376=1,IF(M376&lt;0.15,1,0),0)</f>
        <v>0</v>
      </c>
    </row>
    <row r="377" customFormat="false" ht="15" hidden="false" customHeight="false" outlineLevel="0" collapsed="false">
      <c r="B377" s="53"/>
      <c r="C377" s="53"/>
      <c r="D377" s="54"/>
      <c r="E377" s="55"/>
      <c r="F377" s="55"/>
      <c r="G377" s="55"/>
      <c r="H377" s="56"/>
      <c r="I377" s="57" t="str">
        <f aca="false">IF(G377="","",G377*H377)</f>
        <v/>
      </c>
      <c r="J377" s="55"/>
      <c r="K377" s="55"/>
      <c r="L377" s="57" t="str">
        <f aca="false">IF(OR(B377="",G377=""),"",G377-E377-F377-I377-J377-K377)</f>
        <v/>
      </c>
      <c r="M377" s="58" t="str">
        <f aca="false">IF(L377="","",IF(G377=0,0,L377/G377))</f>
        <v/>
      </c>
      <c r="N377" s="53"/>
      <c r="O377" s="59" t="str">
        <f aca="false">IF(M377="","",IF(M377&lt;0.15,"⚠ LOW MARGIN / MARGEN BAJO","✔ OK"))</f>
        <v/>
      </c>
      <c r="P377" s="52" t="n">
        <f aca="false">IF(Q377=1,L377+ROW()/1000000,-1000000000000000)</f>
        <v>-1000000000000000</v>
      </c>
      <c r="Q377" s="52" t="n">
        <f aca="false">IF(B377="",0,IF(G377="",0,IF(N377="Returned / Devuelto",0,1)))</f>
        <v>0</v>
      </c>
      <c r="R377" s="52" t="n">
        <f aca="false">IF(Q377=1,IF(ISNUMBER(D377),YEAR(D377)*100+MONTH(D377),0),0)</f>
        <v>0</v>
      </c>
      <c r="S377" s="52" t="n">
        <f aca="false">IF(Q377=1,IF(M377&lt;0.15,1,0),0)</f>
        <v>0</v>
      </c>
    </row>
    <row r="378" customFormat="false" ht="15" hidden="false" customHeight="false" outlineLevel="0" collapsed="false">
      <c r="B378" s="53"/>
      <c r="C378" s="53"/>
      <c r="D378" s="54"/>
      <c r="E378" s="55"/>
      <c r="F378" s="55"/>
      <c r="G378" s="55"/>
      <c r="H378" s="56"/>
      <c r="I378" s="57" t="str">
        <f aca="false">IF(G378="","",G378*H378)</f>
        <v/>
      </c>
      <c r="J378" s="55"/>
      <c r="K378" s="55"/>
      <c r="L378" s="57" t="str">
        <f aca="false">IF(OR(B378="",G378=""),"",G378-E378-F378-I378-J378-K378)</f>
        <v/>
      </c>
      <c r="M378" s="58" t="str">
        <f aca="false">IF(L378="","",IF(G378=0,0,L378/G378))</f>
        <v/>
      </c>
      <c r="N378" s="53"/>
      <c r="O378" s="59" t="str">
        <f aca="false">IF(M378="","",IF(M378&lt;0.15,"⚠ LOW MARGIN / MARGEN BAJO","✔ OK"))</f>
        <v/>
      </c>
      <c r="P378" s="52" t="n">
        <f aca="false">IF(Q378=1,L378+ROW()/1000000,-1000000000000000)</f>
        <v>-1000000000000000</v>
      </c>
      <c r="Q378" s="52" t="n">
        <f aca="false">IF(B378="",0,IF(G378="",0,IF(N378="Returned / Devuelto",0,1)))</f>
        <v>0</v>
      </c>
      <c r="R378" s="52" t="n">
        <f aca="false">IF(Q378=1,IF(ISNUMBER(D378),YEAR(D378)*100+MONTH(D378),0),0)</f>
        <v>0</v>
      </c>
      <c r="S378" s="52" t="n">
        <f aca="false">IF(Q378=1,IF(M378&lt;0.15,1,0),0)</f>
        <v>0</v>
      </c>
    </row>
    <row r="379" customFormat="false" ht="15" hidden="false" customHeight="false" outlineLevel="0" collapsed="false">
      <c r="B379" s="53"/>
      <c r="C379" s="53"/>
      <c r="D379" s="54"/>
      <c r="E379" s="55"/>
      <c r="F379" s="55"/>
      <c r="G379" s="55"/>
      <c r="H379" s="56"/>
      <c r="I379" s="57" t="str">
        <f aca="false">IF(G379="","",G379*H379)</f>
        <v/>
      </c>
      <c r="J379" s="55"/>
      <c r="K379" s="55"/>
      <c r="L379" s="57" t="str">
        <f aca="false">IF(OR(B379="",G379=""),"",G379-E379-F379-I379-J379-K379)</f>
        <v/>
      </c>
      <c r="M379" s="58" t="str">
        <f aca="false">IF(L379="","",IF(G379=0,0,L379/G379))</f>
        <v/>
      </c>
      <c r="N379" s="53"/>
      <c r="O379" s="59" t="str">
        <f aca="false">IF(M379="","",IF(M379&lt;0.15,"⚠ LOW MARGIN / MARGEN BAJO","✔ OK"))</f>
        <v/>
      </c>
      <c r="P379" s="52" t="n">
        <f aca="false">IF(Q379=1,L379+ROW()/1000000,-1000000000000000)</f>
        <v>-1000000000000000</v>
      </c>
      <c r="Q379" s="52" t="n">
        <f aca="false">IF(B379="",0,IF(G379="",0,IF(N379="Returned / Devuelto",0,1)))</f>
        <v>0</v>
      </c>
      <c r="R379" s="52" t="n">
        <f aca="false">IF(Q379=1,IF(ISNUMBER(D379),YEAR(D379)*100+MONTH(D379),0),0)</f>
        <v>0</v>
      </c>
      <c r="S379" s="52" t="n">
        <f aca="false">IF(Q379=1,IF(M379&lt;0.15,1,0),0)</f>
        <v>0</v>
      </c>
    </row>
    <row r="380" customFormat="false" ht="15" hidden="false" customHeight="false" outlineLevel="0" collapsed="false">
      <c r="B380" s="53"/>
      <c r="C380" s="53"/>
      <c r="D380" s="54"/>
      <c r="E380" s="55"/>
      <c r="F380" s="55"/>
      <c r="G380" s="55"/>
      <c r="H380" s="56"/>
      <c r="I380" s="57" t="str">
        <f aca="false">IF(G380="","",G380*H380)</f>
        <v/>
      </c>
      <c r="J380" s="55"/>
      <c r="K380" s="55"/>
      <c r="L380" s="57" t="str">
        <f aca="false">IF(OR(B380="",G380=""),"",G380-E380-F380-I380-J380-K380)</f>
        <v/>
      </c>
      <c r="M380" s="58" t="str">
        <f aca="false">IF(L380="","",IF(G380=0,0,L380/G380))</f>
        <v/>
      </c>
      <c r="N380" s="53"/>
      <c r="O380" s="59" t="str">
        <f aca="false">IF(M380="","",IF(M380&lt;0.15,"⚠ LOW MARGIN / MARGEN BAJO","✔ OK"))</f>
        <v/>
      </c>
      <c r="P380" s="52" t="n">
        <f aca="false">IF(Q380=1,L380+ROW()/1000000,-1000000000000000)</f>
        <v>-1000000000000000</v>
      </c>
      <c r="Q380" s="52" t="n">
        <f aca="false">IF(B380="",0,IF(G380="",0,IF(N380="Returned / Devuelto",0,1)))</f>
        <v>0</v>
      </c>
      <c r="R380" s="52" t="n">
        <f aca="false">IF(Q380=1,IF(ISNUMBER(D380),YEAR(D380)*100+MONTH(D380),0),0)</f>
        <v>0</v>
      </c>
      <c r="S380" s="52" t="n">
        <f aca="false">IF(Q380=1,IF(M380&lt;0.15,1,0),0)</f>
        <v>0</v>
      </c>
    </row>
    <row r="381" customFormat="false" ht="15" hidden="false" customHeight="false" outlineLevel="0" collapsed="false">
      <c r="B381" s="53"/>
      <c r="C381" s="53"/>
      <c r="D381" s="54"/>
      <c r="E381" s="55"/>
      <c r="F381" s="55"/>
      <c r="G381" s="55"/>
      <c r="H381" s="56"/>
      <c r="I381" s="57" t="str">
        <f aca="false">IF(G381="","",G381*H381)</f>
        <v/>
      </c>
      <c r="J381" s="55"/>
      <c r="K381" s="55"/>
      <c r="L381" s="57" t="str">
        <f aca="false">IF(OR(B381="",G381=""),"",G381-E381-F381-I381-J381-K381)</f>
        <v/>
      </c>
      <c r="M381" s="58" t="str">
        <f aca="false">IF(L381="","",IF(G381=0,0,L381/G381))</f>
        <v/>
      </c>
      <c r="N381" s="53"/>
      <c r="O381" s="59" t="str">
        <f aca="false">IF(M381="","",IF(M381&lt;0.15,"⚠ LOW MARGIN / MARGEN BAJO","✔ OK"))</f>
        <v/>
      </c>
      <c r="P381" s="52" t="n">
        <f aca="false">IF(Q381=1,L381+ROW()/1000000,-1000000000000000)</f>
        <v>-1000000000000000</v>
      </c>
      <c r="Q381" s="52" t="n">
        <f aca="false">IF(B381="",0,IF(G381="",0,IF(N381="Returned / Devuelto",0,1)))</f>
        <v>0</v>
      </c>
      <c r="R381" s="52" t="n">
        <f aca="false">IF(Q381=1,IF(ISNUMBER(D381),YEAR(D381)*100+MONTH(D381),0),0)</f>
        <v>0</v>
      </c>
      <c r="S381" s="52" t="n">
        <f aca="false">IF(Q381=1,IF(M381&lt;0.15,1,0),0)</f>
        <v>0</v>
      </c>
    </row>
    <row r="382" customFormat="false" ht="15" hidden="false" customHeight="false" outlineLevel="0" collapsed="false">
      <c r="B382" s="53"/>
      <c r="C382" s="53"/>
      <c r="D382" s="54"/>
      <c r="E382" s="55"/>
      <c r="F382" s="55"/>
      <c r="G382" s="55"/>
      <c r="H382" s="56"/>
      <c r="I382" s="57" t="str">
        <f aca="false">IF(G382="","",G382*H382)</f>
        <v/>
      </c>
      <c r="J382" s="55"/>
      <c r="K382" s="55"/>
      <c r="L382" s="57" t="str">
        <f aca="false">IF(OR(B382="",G382=""),"",G382-E382-F382-I382-J382-K382)</f>
        <v/>
      </c>
      <c r="M382" s="58" t="str">
        <f aca="false">IF(L382="","",IF(G382=0,0,L382/G382))</f>
        <v/>
      </c>
      <c r="N382" s="53"/>
      <c r="O382" s="59" t="str">
        <f aca="false">IF(M382="","",IF(M382&lt;0.15,"⚠ LOW MARGIN / MARGEN BAJO","✔ OK"))</f>
        <v/>
      </c>
      <c r="P382" s="52" t="n">
        <f aca="false">IF(Q382=1,L382+ROW()/1000000,-1000000000000000)</f>
        <v>-1000000000000000</v>
      </c>
      <c r="Q382" s="52" t="n">
        <f aca="false">IF(B382="",0,IF(G382="",0,IF(N382="Returned / Devuelto",0,1)))</f>
        <v>0</v>
      </c>
      <c r="R382" s="52" t="n">
        <f aca="false">IF(Q382=1,IF(ISNUMBER(D382),YEAR(D382)*100+MONTH(D382),0),0)</f>
        <v>0</v>
      </c>
      <c r="S382" s="52" t="n">
        <f aca="false">IF(Q382=1,IF(M382&lt;0.15,1,0),0)</f>
        <v>0</v>
      </c>
    </row>
    <row r="383" customFormat="false" ht="15" hidden="false" customHeight="false" outlineLevel="0" collapsed="false">
      <c r="B383" s="53"/>
      <c r="C383" s="53"/>
      <c r="D383" s="54"/>
      <c r="E383" s="55"/>
      <c r="F383" s="55"/>
      <c r="G383" s="55"/>
      <c r="H383" s="56"/>
      <c r="I383" s="57" t="str">
        <f aca="false">IF(G383="","",G383*H383)</f>
        <v/>
      </c>
      <c r="J383" s="55"/>
      <c r="K383" s="55"/>
      <c r="L383" s="57" t="str">
        <f aca="false">IF(OR(B383="",G383=""),"",G383-E383-F383-I383-J383-K383)</f>
        <v/>
      </c>
      <c r="M383" s="58" t="str">
        <f aca="false">IF(L383="","",IF(G383=0,0,L383/G383))</f>
        <v/>
      </c>
      <c r="N383" s="53"/>
      <c r="O383" s="59" t="str">
        <f aca="false">IF(M383="","",IF(M383&lt;0.15,"⚠ LOW MARGIN / MARGEN BAJO","✔ OK"))</f>
        <v/>
      </c>
      <c r="P383" s="52" t="n">
        <f aca="false">IF(Q383=1,L383+ROW()/1000000,-1000000000000000)</f>
        <v>-1000000000000000</v>
      </c>
      <c r="Q383" s="52" t="n">
        <f aca="false">IF(B383="",0,IF(G383="",0,IF(N383="Returned / Devuelto",0,1)))</f>
        <v>0</v>
      </c>
      <c r="R383" s="52" t="n">
        <f aca="false">IF(Q383=1,IF(ISNUMBER(D383),YEAR(D383)*100+MONTH(D383),0),0)</f>
        <v>0</v>
      </c>
      <c r="S383" s="52" t="n">
        <f aca="false">IF(Q383=1,IF(M383&lt;0.15,1,0),0)</f>
        <v>0</v>
      </c>
    </row>
    <row r="384" customFormat="false" ht="15" hidden="false" customHeight="false" outlineLevel="0" collapsed="false">
      <c r="B384" s="53"/>
      <c r="C384" s="53"/>
      <c r="D384" s="54"/>
      <c r="E384" s="55"/>
      <c r="F384" s="55"/>
      <c r="G384" s="55"/>
      <c r="H384" s="56"/>
      <c r="I384" s="57" t="str">
        <f aca="false">IF(G384="","",G384*H384)</f>
        <v/>
      </c>
      <c r="J384" s="55"/>
      <c r="K384" s="55"/>
      <c r="L384" s="57" t="str">
        <f aca="false">IF(OR(B384="",G384=""),"",G384-E384-F384-I384-J384-K384)</f>
        <v/>
      </c>
      <c r="M384" s="58" t="str">
        <f aca="false">IF(L384="","",IF(G384=0,0,L384/G384))</f>
        <v/>
      </c>
      <c r="N384" s="53"/>
      <c r="O384" s="59" t="str">
        <f aca="false">IF(M384="","",IF(M384&lt;0.15,"⚠ LOW MARGIN / MARGEN BAJO","✔ OK"))</f>
        <v/>
      </c>
      <c r="P384" s="52" t="n">
        <f aca="false">IF(Q384=1,L384+ROW()/1000000,-1000000000000000)</f>
        <v>-1000000000000000</v>
      </c>
      <c r="Q384" s="52" t="n">
        <f aca="false">IF(B384="",0,IF(G384="",0,IF(N384="Returned / Devuelto",0,1)))</f>
        <v>0</v>
      </c>
      <c r="R384" s="52" t="n">
        <f aca="false">IF(Q384=1,IF(ISNUMBER(D384),YEAR(D384)*100+MONTH(D384),0),0)</f>
        <v>0</v>
      </c>
      <c r="S384" s="52" t="n">
        <f aca="false">IF(Q384=1,IF(M384&lt;0.15,1,0),0)</f>
        <v>0</v>
      </c>
    </row>
    <row r="385" customFormat="false" ht="15" hidden="false" customHeight="false" outlineLevel="0" collapsed="false">
      <c r="B385" s="53"/>
      <c r="C385" s="53"/>
      <c r="D385" s="54"/>
      <c r="E385" s="55"/>
      <c r="F385" s="55"/>
      <c r="G385" s="55"/>
      <c r="H385" s="56"/>
      <c r="I385" s="57" t="str">
        <f aca="false">IF(G385="","",G385*H385)</f>
        <v/>
      </c>
      <c r="J385" s="55"/>
      <c r="K385" s="55"/>
      <c r="L385" s="57" t="str">
        <f aca="false">IF(OR(B385="",G385=""),"",G385-E385-F385-I385-J385-K385)</f>
        <v/>
      </c>
      <c r="M385" s="58" t="str">
        <f aca="false">IF(L385="","",IF(G385=0,0,L385/G385))</f>
        <v/>
      </c>
      <c r="N385" s="53"/>
      <c r="O385" s="59" t="str">
        <f aca="false">IF(M385="","",IF(M385&lt;0.15,"⚠ LOW MARGIN / MARGEN BAJO","✔ OK"))</f>
        <v/>
      </c>
      <c r="P385" s="52" t="n">
        <f aca="false">IF(Q385=1,L385+ROW()/1000000,-1000000000000000)</f>
        <v>-1000000000000000</v>
      </c>
      <c r="Q385" s="52" t="n">
        <f aca="false">IF(B385="",0,IF(G385="",0,IF(N385="Returned / Devuelto",0,1)))</f>
        <v>0</v>
      </c>
      <c r="R385" s="52" t="n">
        <f aca="false">IF(Q385=1,IF(ISNUMBER(D385),YEAR(D385)*100+MONTH(D385),0),0)</f>
        <v>0</v>
      </c>
      <c r="S385" s="52" t="n">
        <f aca="false">IF(Q385=1,IF(M385&lt;0.15,1,0),0)</f>
        <v>0</v>
      </c>
    </row>
    <row r="386" customFormat="false" ht="15" hidden="false" customHeight="false" outlineLevel="0" collapsed="false">
      <c r="B386" s="53"/>
      <c r="C386" s="53"/>
      <c r="D386" s="54"/>
      <c r="E386" s="55"/>
      <c r="F386" s="55"/>
      <c r="G386" s="55"/>
      <c r="H386" s="56"/>
      <c r="I386" s="57" t="str">
        <f aca="false">IF(G386="","",G386*H386)</f>
        <v/>
      </c>
      <c r="J386" s="55"/>
      <c r="K386" s="55"/>
      <c r="L386" s="57" t="str">
        <f aca="false">IF(OR(B386="",G386=""),"",G386-E386-F386-I386-J386-K386)</f>
        <v/>
      </c>
      <c r="M386" s="58" t="str">
        <f aca="false">IF(L386="","",IF(G386=0,0,L386/G386))</f>
        <v/>
      </c>
      <c r="N386" s="53"/>
      <c r="O386" s="59" t="str">
        <f aca="false">IF(M386="","",IF(M386&lt;0.15,"⚠ LOW MARGIN / MARGEN BAJO","✔ OK"))</f>
        <v/>
      </c>
      <c r="P386" s="52" t="n">
        <f aca="false">IF(Q386=1,L386+ROW()/1000000,-1000000000000000)</f>
        <v>-1000000000000000</v>
      </c>
      <c r="Q386" s="52" t="n">
        <f aca="false">IF(B386="",0,IF(G386="",0,IF(N386="Returned / Devuelto",0,1)))</f>
        <v>0</v>
      </c>
      <c r="R386" s="52" t="n">
        <f aca="false">IF(Q386=1,IF(ISNUMBER(D386),YEAR(D386)*100+MONTH(D386),0),0)</f>
        <v>0</v>
      </c>
      <c r="S386" s="52" t="n">
        <f aca="false">IF(Q386=1,IF(M386&lt;0.15,1,0),0)</f>
        <v>0</v>
      </c>
    </row>
    <row r="387" customFormat="false" ht="15" hidden="false" customHeight="false" outlineLevel="0" collapsed="false">
      <c r="B387" s="53"/>
      <c r="C387" s="53"/>
      <c r="D387" s="54"/>
      <c r="E387" s="55"/>
      <c r="F387" s="55"/>
      <c r="G387" s="55"/>
      <c r="H387" s="56"/>
      <c r="I387" s="57" t="str">
        <f aca="false">IF(G387="","",G387*H387)</f>
        <v/>
      </c>
      <c r="J387" s="55"/>
      <c r="K387" s="55"/>
      <c r="L387" s="57" t="str">
        <f aca="false">IF(OR(B387="",G387=""),"",G387-E387-F387-I387-J387-K387)</f>
        <v/>
      </c>
      <c r="M387" s="58" t="str">
        <f aca="false">IF(L387="","",IF(G387=0,0,L387/G387))</f>
        <v/>
      </c>
      <c r="N387" s="53"/>
      <c r="O387" s="59" t="str">
        <f aca="false">IF(M387="","",IF(M387&lt;0.15,"⚠ LOW MARGIN / MARGEN BAJO","✔ OK"))</f>
        <v/>
      </c>
      <c r="P387" s="52" t="n">
        <f aca="false">IF(Q387=1,L387+ROW()/1000000,-1000000000000000)</f>
        <v>-1000000000000000</v>
      </c>
      <c r="Q387" s="52" t="n">
        <f aca="false">IF(B387="",0,IF(G387="",0,IF(N387="Returned / Devuelto",0,1)))</f>
        <v>0</v>
      </c>
      <c r="R387" s="52" t="n">
        <f aca="false">IF(Q387=1,IF(ISNUMBER(D387),YEAR(D387)*100+MONTH(D387),0),0)</f>
        <v>0</v>
      </c>
      <c r="S387" s="52" t="n">
        <f aca="false">IF(Q387=1,IF(M387&lt;0.15,1,0),0)</f>
        <v>0</v>
      </c>
    </row>
    <row r="388" customFormat="false" ht="15" hidden="false" customHeight="false" outlineLevel="0" collapsed="false">
      <c r="B388" s="53"/>
      <c r="C388" s="53"/>
      <c r="D388" s="54"/>
      <c r="E388" s="55"/>
      <c r="F388" s="55"/>
      <c r="G388" s="55"/>
      <c r="H388" s="56"/>
      <c r="I388" s="57" t="str">
        <f aca="false">IF(G388="","",G388*H388)</f>
        <v/>
      </c>
      <c r="J388" s="55"/>
      <c r="K388" s="55"/>
      <c r="L388" s="57" t="str">
        <f aca="false">IF(OR(B388="",G388=""),"",G388-E388-F388-I388-J388-K388)</f>
        <v/>
      </c>
      <c r="M388" s="58" t="str">
        <f aca="false">IF(L388="","",IF(G388=0,0,L388/G388))</f>
        <v/>
      </c>
      <c r="N388" s="53"/>
      <c r="O388" s="59" t="str">
        <f aca="false">IF(M388="","",IF(M388&lt;0.15,"⚠ LOW MARGIN / MARGEN BAJO","✔ OK"))</f>
        <v/>
      </c>
      <c r="P388" s="52" t="n">
        <f aca="false">IF(Q388=1,L388+ROW()/1000000,-1000000000000000)</f>
        <v>-1000000000000000</v>
      </c>
      <c r="Q388" s="52" t="n">
        <f aca="false">IF(B388="",0,IF(G388="",0,IF(N388="Returned / Devuelto",0,1)))</f>
        <v>0</v>
      </c>
      <c r="R388" s="52" t="n">
        <f aca="false">IF(Q388=1,IF(ISNUMBER(D388),YEAR(D388)*100+MONTH(D388),0),0)</f>
        <v>0</v>
      </c>
      <c r="S388" s="52" t="n">
        <f aca="false">IF(Q388=1,IF(M388&lt;0.15,1,0),0)</f>
        <v>0</v>
      </c>
    </row>
    <row r="389" customFormat="false" ht="15" hidden="false" customHeight="false" outlineLevel="0" collapsed="false">
      <c r="B389" s="53"/>
      <c r="C389" s="53"/>
      <c r="D389" s="54"/>
      <c r="E389" s="55"/>
      <c r="F389" s="55"/>
      <c r="G389" s="55"/>
      <c r="H389" s="56"/>
      <c r="I389" s="57" t="str">
        <f aca="false">IF(G389="","",G389*H389)</f>
        <v/>
      </c>
      <c r="J389" s="55"/>
      <c r="K389" s="55"/>
      <c r="L389" s="57" t="str">
        <f aca="false">IF(OR(B389="",G389=""),"",G389-E389-F389-I389-J389-K389)</f>
        <v/>
      </c>
      <c r="M389" s="58" t="str">
        <f aca="false">IF(L389="","",IF(G389=0,0,L389/G389))</f>
        <v/>
      </c>
      <c r="N389" s="53"/>
      <c r="O389" s="59" t="str">
        <f aca="false">IF(M389="","",IF(M389&lt;0.15,"⚠ LOW MARGIN / MARGEN BAJO","✔ OK"))</f>
        <v/>
      </c>
      <c r="P389" s="52" t="n">
        <f aca="false">IF(Q389=1,L389+ROW()/1000000,-1000000000000000)</f>
        <v>-1000000000000000</v>
      </c>
      <c r="Q389" s="52" t="n">
        <f aca="false">IF(B389="",0,IF(G389="",0,IF(N389="Returned / Devuelto",0,1)))</f>
        <v>0</v>
      </c>
      <c r="R389" s="52" t="n">
        <f aca="false">IF(Q389=1,IF(ISNUMBER(D389),YEAR(D389)*100+MONTH(D389),0),0)</f>
        <v>0</v>
      </c>
      <c r="S389" s="52" t="n">
        <f aca="false">IF(Q389=1,IF(M389&lt;0.15,1,0),0)</f>
        <v>0</v>
      </c>
    </row>
    <row r="390" customFormat="false" ht="15" hidden="false" customHeight="false" outlineLevel="0" collapsed="false">
      <c r="B390" s="53"/>
      <c r="C390" s="53"/>
      <c r="D390" s="54"/>
      <c r="E390" s="55"/>
      <c r="F390" s="55"/>
      <c r="G390" s="55"/>
      <c r="H390" s="56"/>
      <c r="I390" s="57" t="str">
        <f aca="false">IF(G390="","",G390*H390)</f>
        <v/>
      </c>
      <c r="J390" s="55"/>
      <c r="K390" s="55"/>
      <c r="L390" s="57" t="str">
        <f aca="false">IF(OR(B390="",G390=""),"",G390-E390-F390-I390-J390-K390)</f>
        <v/>
      </c>
      <c r="M390" s="58" t="str">
        <f aca="false">IF(L390="","",IF(G390=0,0,L390/G390))</f>
        <v/>
      </c>
      <c r="N390" s="53"/>
      <c r="O390" s="59" t="str">
        <f aca="false">IF(M390="","",IF(M390&lt;0.15,"⚠ LOW MARGIN / MARGEN BAJO","✔ OK"))</f>
        <v/>
      </c>
      <c r="P390" s="52" t="n">
        <f aca="false">IF(Q390=1,L390+ROW()/1000000,-1000000000000000)</f>
        <v>-1000000000000000</v>
      </c>
      <c r="Q390" s="52" t="n">
        <f aca="false">IF(B390="",0,IF(G390="",0,IF(N390="Returned / Devuelto",0,1)))</f>
        <v>0</v>
      </c>
      <c r="R390" s="52" t="n">
        <f aca="false">IF(Q390=1,IF(ISNUMBER(D390),YEAR(D390)*100+MONTH(D390),0),0)</f>
        <v>0</v>
      </c>
      <c r="S390" s="52" t="n">
        <f aca="false">IF(Q390=1,IF(M390&lt;0.15,1,0),0)</f>
        <v>0</v>
      </c>
    </row>
    <row r="391" customFormat="false" ht="15" hidden="false" customHeight="false" outlineLevel="0" collapsed="false">
      <c r="B391" s="53"/>
      <c r="C391" s="53"/>
      <c r="D391" s="54"/>
      <c r="E391" s="55"/>
      <c r="F391" s="55"/>
      <c r="G391" s="55"/>
      <c r="H391" s="56"/>
      <c r="I391" s="57" t="str">
        <f aca="false">IF(G391="","",G391*H391)</f>
        <v/>
      </c>
      <c r="J391" s="55"/>
      <c r="K391" s="55"/>
      <c r="L391" s="57" t="str">
        <f aca="false">IF(OR(B391="",G391=""),"",G391-E391-F391-I391-J391-K391)</f>
        <v/>
      </c>
      <c r="M391" s="58" t="str">
        <f aca="false">IF(L391="","",IF(G391=0,0,L391/G391))</f>
        <v/>
      </c>
      <c r="N391" s="53"/>
      <c r="O391" s="59" t="str">
        <f aca="false">IF(M391="","",IF(M391&lt;0.15,"⚠ LOW MARGIN / MARGEN BAJO","✔ OK"))</f>
        <v/>
      </c>
      <c r="P391" s="52" t="n">
        <f aca="false">IF(Q391=1,L391+ROW()/1000000,-1000000000000000)</f>
        <v>-1000000000000000</v>
      </c>
      <c r="Q391" s="52" t="n">
        <f aca="false">IF(B391="",0,IF(G391="",0,IF(N391="Returned / Devuelto",0,1)))</f>
        <v>0</v>
      </c>
      <c r="R391" s="52" t="n">
        <f aca="false">IF(Q391=1,IF(ISNUMBER(D391),YEAR(D391)*100+MONTH(D391),0),0)</f>
        <v>0</v>
      </c>
      <c r="S391" s="52" t="n">
        <f aca="false">IF(Q391=1,IF(M391&lt;0.15,1,0),0)</f>
        <v>0</v>
      </c>
    </row>
    <row r="392" customFormat="false" ht="15" hidden="false" customHeight="false" outlineLevel="0" collapsed="false">
      <c r="B392" s="53"/>
      <c r="C392" s="53"/>
      <c r="D392" s="54"/>
      <c r="E392" s="55"/>
      <c r="F392" s="55"/>
      <c r="G392" s="55"/>
      <c r="H392" s="56"/>
      <c r="I392" s="57" t="str">
        <f aca="false">IF(G392="","",G392*H392)</f>
        <v/>
      </c>
      <c r="J392" s="55"/>
      <c r="K392" s="55"/>
      <c r="L392" s="57" t="str">
        <f aca="false">IF(OR(B392="",G392=""),"",G392-E392-F392-I392-J392-K392)</f>
        <v/>
      </c>
      <c r="M392" s="58" t="str">
        <f aca="false">IF(L392="","",IF(G392=0,0,L392/G392))</f>
        <v/>
      </c>
      <c r="N392" s="53"/>
      <c r="O392" s="59" t="str">
        <f aca="false">IF(M392="","",IF(M392&lt;0.15,"⚠ LOW MARGIN / MARGEN BAJO","✔ OK"))</f>
        <v/>
      </c>
      <c r="P392" s="52" t="n">
        <f aca="false">IF(Q392=1,L392+ROW()/1000000,-1000000000000000)</f>
        <v>-1000000000000000</v>
      </c>
      <c r="Q392" s="52" t="n">
        <f aca="false">IF(B392="",0,IF(G392="",0,IF(N392="Returned / Devuelto",0,1)))</f>
        <v>0</v>
      </c>
      <c r="R392" s="52" t="n">
        <f aca="false">IF(Q392=1,IF(ISNUMBER(D392),YEAR(D392)*100+MONTH(D392),0),0)</f>
        <v>0</v>
      </c>
      <c r="S392" s="52" t="n">
        <f aca="false">IF(Q392=1,IF(M392&lt;0.15,1,0),0)</f>
        <v>0</v>
      </c>
    </row>
    <row r="393" customFormat="false" ht="15" hidden="false" customHeight="false" outlineLevel="0" collapsed="false">
      <c r="B393" s="53"/>
      <c r="C393" s="53"/>
      <c r="D393" s="54"/>
      <c r="E393" s="55"/>
      <c r="F393" s="55"/>
      <c r="G393" s="55"/>
      <c r="H393" s="56"/>
      <c r="I393" s="57" t="str">
        <f aca="false">IF(G393="","",G393*H393)</f>
        <v/>
      </c>
      <c r="J393" s="55"/>
      <c r="K393" s="55"/>
      <c r="L393" s="57" t="str">
        <f aca="false">IF(OR(B393="",G393=""),"",G393-E393-F393-I393-J393-K393)</f>
        <v/>
      </c>
      <c r="M393" s="58" t="str">
        <f aca="false">IF(L393="","",IF(G393=0,0,L393/G393))</f>
        <v/>
      </c>
      <c r="N393" s="53"/>
      <c r="O393" s="59" t="str">
        <f aca="false">IF(M393="","",IF(M393&lt;0.15,"⚠ LOW MARGIN / MARGEN BAJO","✔ OK"))</f>
        <v/>
      </c>
      <c r="P393" s="52" t="n">
        <f aca="false">IF(Q393=1,L393+ROW()/1000000,-1000000000000000)</f>
        <v>-1000000000000000</v>
      </c>
      <c r="Q393" s="52" t="n">
        <f aca="false">IF(B393="",0,IF(G393="",0,IF(N393="Returned / Devuelto",0,1)))</f>
        <v>0</v>
      </c>
      <c r="R393" s="52" t="n">
        <f aca="false">IF(Q393=1,IF(ISNUMBER(D393),YEAR(D393)*100+MONTH(D393),0),0)</f>
        <v>0</v>
      </c>
      <c r="S393" s="52" t="n">
        <f aca="false">IF(Q393=1,IF(M393&lt;0.15,1,0),0)</f>
        <v>0</v>
      </c>
    </row>
    <row r="394" customFormat="false" ht="15" hidden="false" customHeight="false" outlineLevel="0" collapsed="false">
      <c r="B394" s="53"/>
      <c r="C394" s="53"/>
      <c r="D394" s="54"/>
      <c r="E394" s="55"/>
      <c r="F394" s="55"/>
      <c r="G394" s="55"/>
      <c r="H394" s="56"/>
      <c r="I394" s="57" t="str">
        <f aca="false">IF(G394="","",G394*H394)</f>
        <v/>
      </c>
      <c r="J394" s="55"/>
      <c r="K394" s="55"/>
      <c r="L394" s="57" t="str">
        <f aca="false">IF(OR(B394="",G394=""),"",G394-E394-F394-I394-J394-K394)</f>
        <v/>
      </c>
      <c r="M394" s="58" t="str">
        <f aca="false">IF(L394="","",IF(G394=0,0,L394/G394))</f>
        <v/>
      </c>
      <c r="N394" s="53"/>
      <c r="O394" s="59" t="str">
        <f aca="false">IF(M394="","",IF(M394&lt;0.15,"⚠ LOW MARGIN / MARGEN BAJO","✔ OK"))</f>
        <v/>
      </c>
      <c r="P394" s="52" t="n">
        <f aca="false">IF(Q394=1,L394+ROW()/1000000,-1000000000000000)</f>
        <v>-1000000000000000</v>
      </c>
      <c r="Q394" s="52" t="n">
        <f aca="false">IF(B394="",0,IF(G394="",0,IF(N394="Returned / Devuelto",0,1)))</f>
        <v>0</v>
      </c>
      <c r="R394" s="52" t="n">
        <f aca="false">IF(Q394=1,IF(ISNUMBER(D394),YEAR(D394)*100+MONTH(D394),0),0)</f>
        <v>0</v>
      </c>
      <c r="S394" s="52" t="n">
        <f aca="false">IF(Q394=1,IF(M394&lt;0.15,1,0),0)</f>
        <v>0</v>
      </c>
    </row>
    <row r="395" customFormat="false" ht="15" hidden="false" customHeight="false" outlineLevel="0" collapsed="false">
      <c r="B395" s="53"/>
      <c r="C395" s="53"/>
      <c r="D395" s="54"/>
      <c r="E395" s="55"/>
      <c r="F395" s="55"/>
      <c r="G395" s="55"/>
      <c r="H395" s="56"/>
      <c r="I395" s="57" t="str">
        <f aca="false">IF(G395="","",G395*H395)</f>
        <v/>
      </c>
      <c r="J395" s="55"/>
      <c r="K395" s="55"/>
      <c r="L395" s="57" t="str">
        <f aca="false">IF(OR(B395="",G395=""),"",G395-E395-F395-I395-J395-K395)</f>
        <v/>
      </c>
      <c r="M395" s="58" t="str">
        <f aca="false">IF(L395="","",IF(G395=0,0,L395/G395))</f>
        <v/>
      </c>
      <c r="N395" s="53"/>
      <c r="O395" s="59" t="str">
        <f aca="false">IF(M395="","",IF(M395&lt;0.15,"⚠ LOW MARGIN / MARGEN BAJO","✔ OK"))</f>
        <v/>
      </c>
      <c r="P395" s="52" t="n">
        <f aca="false">IF(Q395=1,L395+ROW()/1000000,-1000000000000000)</f>
        <v>-1000000000000000</v>
      </c>
      <c r="Q395" s="52" t="n">
        <f aca="false">IF(B395="",0,IF(G395="",0,IF(N395="Returned / Devuelto",0,1)))</f>
        <v>0</v>
      </c>
      <c r="R395" s="52" t="n">
        <f aca="false">IF(Q395=1,IF(ISNUMBER(D395),YEAR(D395)*100+MONTH(D395),0),0)</f>
        <v>0</v>
      </c>
      <c r="S395" s="52" t="n">
        <f aca="false">IF(Q395=1,IF(M395&lt;0.15,1,0),0)</f>
        <v>0</v>
      </c>
    </row>
    <row r="396" customFormat="false" ht="15" hidden="false" customHeight="false" outlineLevel="0" collapsed="false">
      <c r="B396" s="53"/>
      <c r="C396" s="53"/>
      <c r="D396" s="54"/>
      <c r="E396" s="55"/>
      <c r="F396" s="55"/>
      <c r="G396" s="55"/>
      <c r="H396" s="56"/>
      <c r="I396" s="57" t="str">
        <f aca="false">IF(G396="","",G396*H396)</f>
        <v/>
      </c>
      <c r="J396" s="55"/>
      <c r="K396" s="55"/>
      <c r="L396" s="57" t="str">
        <f aca="false">IF(OR(B396="",G396=""),"",G396-E396-F396-I396-J396-K396)</f>
        <v/>
      </c>
      <c r="M396" s="58" t="str">
        <f aca="false">IF(L396="","",IF(G396=0,0,L396/G396))</f>
        <v/>
      </c>
      <c r="N396" s="53"/>
      <c r="O396" s="59" t="str">
        <f aca="false">IF(M396="","",IF(M396&lt;0.15,"⚠ LOW MARGIN / MARGEN BAJO","✔ OK"))</f>
        <v/>
      </c>
      <c r="P396" s="52" t="n">
        <f aca="false">IF(Q396=1,L396+ROW()/1000000,-1000000000000000)</f>
        <v>-1000000000000000</v>
      </c>
      <c r="Q396" s="52" t="n">
        <f aca="false">IF(B396="",0,IF(G396="",0,IF(N396="Returned / Devuelto",0,1)))</f>
        <v>0</v>
      </c>
      <c r="R396" s="52" t="n">
        <f aca="false">IF(Q396=1,IF(ISNUMBER(D396),YEAR(D396)*100+MONTH(D396),0),0)</f>
        <v>0</v>
      </c>
      <c r="S396" s="52" t="n">
        <f aca="false">IF(Q396=1,IF(M396&lt;0.15,1,0),0)</f>
        <v>0</v>
      </c>
    </row>
    <row r="397" customFormat="false" ht="15" hidden="false" customHeight="false" outlineLevel="0" collapsed="false">
      <c r="B397" s="53"/>
      <c r="C397" s="53"/>
      <c r="D397" s="54"/>
      <c r="E397" s="55"/>
      <c r="F397" s="55"/>
      <c r="G397" s="55"/>
      <c r="H397" s="56"/>
      <c r="I397" s="57" t="str">
        <f aca="false">IF(G397="","",G397*H397)</f>
        <v/>
      </c>
      <c r="J397" s="55"/>
      <c r="K397" s="55"/>
      <c r="L397" s="57" t="str">
        <f aca="false">IF(OR(B397="",G397=""),"",G397-E397-F397-I397-J397-K397)</f>
        <v/>
      </c>
      <c r="M397" s="58" t="str">
        <f aca="false">IF(L397="","",IF(G397=0,0,L397/G397))</f>
        <v/>
      </c>
      <c r="N397" s="53"/>
      <c r="O397" s="59" t="str">
        <f aca="false">IF(M397="","",IF(M397&lt;0.15,"⚠ LOW MARGIN / MARGEN BAJO","✔ OK"))</f>
        <v/>
      </c>
      <c r="P397" s="52" t="n">
        <f aca="false">IF(Q397=1,L397+ROW()/1000000,-1000000000000000)</f>
        <v>-1000000000000000</v>
      </c>
      <c r="Q397" s="52" t="n">
        <f aca="false">IF(B397="",0,IF(G397="",0,IF(N397="Returned / Devuelto",0,1)))</f>
        <v>0</v>
      </c>
      <c r="R397" s="52" t="n">
        <f aca="false">IF(Q397=1,IF(ISNUMBER(D397),YEAR(D397)*100+MONTH(D397),0),0)</f>
        <v>0</v>
      </c>
      <c r="S397" s="52" t="n">
        <f aca="false">IF(Q397=1,IF(M397&lt;0.15,1,0),0)</f>
        <v>0</v>
      </c>
    </row>
    <row r="398" customFormat="false" ht="15" hidden="false" customHeight="false" outlineLevel="0" collapsed="false">
      <c r="B398" s="53"/>
      <c r="C398" s="53"/>
      <c r="D398" s="54"/>
      <c r="E398" s="55"/>
      <c r="F398" s="55"/>
      <c r="G398" s="55"/>
      <c r="H398" s="56"/>
      <c r="I398" s="57" t="str">
        <f aca="false">IF(G398="","",G398*H398)</f>
        <v/>
      </c>
      <c r="J398" s="55"/>
      <c r="K398" s="55"/>
      <c r="L398" s="57" t="str">
        <f aca="false">IF(OR(B398="",G398=""),"",G398-E398-F398-I398-J398-K398)</f>
        <v/>
      </c>
      <c r="M398" s="58" t="str">
        <f aca="false">IF(L398="","",IF(G398=0,0,L398/G398))</f>
        <v/>
      </c>
      <c r="N398" s="53"/>
      <c r="O398" s="59" t="str">
        <f aca="false">IF(M398="","",IF(M398&lt;0.15,"⚠ LOW MARGIN / MARGEN BAJO","✔ OK"))</f>
        <v/>
      </c>
      <c r="P398" s="52" t="n">
        <f aca="false">IF(Q398=1,L398+ROW()/1000000,-1000000000000000)</f>
        <v>-1000000000000000</v>
      </c>
      <c r="Q398" s="52" t="n">
        <f aca="false">IF(B398="",0,IF(G398="",0,IF(N398="Returned / Devuelto",0,1)))</f>
        <v>0</v>
      </c>
      <c r="R398" s="52" t="n">
        <f aca="false">IF(Q398=1,IF(ISNUMBER(D398),YEAR(D398)*100+MONTH(D398),0),0)</f>
        <v>0</v>
      </c>
      <c r="S398" s="52" t="n">
        <f aca="false">IF(Q398=1,IF(M398&lt;0.15,1,0),0)</f>
        <v>0</v>
      </c>
    </row>
    <row r="399" customFormat="false" ht="15" hidden="false" customHeight="false" outlineLevel="0" collapsed="false">
      <c r="B399" s="53"/>
      <c r="C399" s="53"/>
      <c r="D399" s="54"/>
      <c r="E399" s="55"/>
      <c r="F399" s="55"/>
      <c r="G399" s="55"/>
      <c r="H399" s="56"/>
      <c r="I399" s="57" t="str">
        <f aca="false">IF(G399="","",G399*H399)</f>
        <v/>
      </c>
      <c r="J399" s="55"/>
      <c r="K399" s="55"/>
      <c r="L399" s="57" t="str">
        <f aca="false">IF(OR(B399="",G399=""),"",G399-E399-F399-I399-J399-K399)</f>
        <v/>
      </c>
      <c r="M399" s="58" t="str">
        <f aca="false">IF(L399="","",IF(G399=0,0,L399/G399))</f>
        <v/>
      </c>
      <c r="N399" s="53"/>
      <c r="O399" s="59" t="str">
        <f aca="false">IF(M399="","",IF(M399&lt;0.15,"⚠ LOW MARGIN / MARGEN BAJO","✔ OK"))</f>
        <v/>
      </c>
      <c r="P399" s="52" t="n">
        <f aca="false">IF(Q399=1,L399+ROW()/1000000,-1000000000000000)</f>
        <v>-1000000000000000</v>
      </c>
      <c r="Q399" s="52" t="n">
        <f aca="false">IF(B399="",0,IF(G399="",0,IF(N399="Returned / Devuelto",0,1)))</f>
        <v>0</v>
      </c>
      <c r="R399" s="52" t="n">
        <f aca="false">IF(Q399=1,IF(ISNUMBER(D399),YEAR(D399)*100+MONTH(D399),0),0)</f>
        <v>0</v>
      </c>
      <c r="S399" s="52" t="n">
        <f aca="false">IF(Q399=1,IF(M399&lt;0.15,1,0),0)</f>
        <v>0</v>
      </c>
    </row>
    <row r="400" customFormat="false" ht="15" hidden="false" customHeight="false" outlineLevel="0" collapsed="false">
      <c r="B400" s="53"/>
      <c r="C400" s="53"/>
      <c r="D400" s="54"/>
      <c r="E400" s="55"/>
      <c r="F400" s="55"/>
      <c r="G400" s="55"/>
      <c r="H400" s="56"/>
      <c r="I400" s="57" t="str">
        <f aca="false">IF(G400="","",G400*H400)</f>
        <v/>
      </c>
      <c r="J400" s="55"/>
      <c r="K400" s="55"/>
      <c r="L400" s="57" t="str">
        <f aca="false">IF(OR(B400="",G400=""),"",G400-E400-F400-I400-J400-K400)</f>
        <v/>
      </c>
      <c r="M400" s="58" t="str">
        <f aca="false">IF(L400="","",IF(G400=0,0,L400/G400))</f>
        <v/>
      </c>
      <c r="N400" s="53"/>
      <c r="O400" s="59" t="str">
        <f aca="false">IF(M400="","",IF(M400&lt;0.15,"⚠ LOW MARGIN / MARGEN BAJO","✔ OK"))</f>
        <v/>
      </c>
      <c r="P400" s="52" t="n">
        <f aca="false">IF(Q400=1,L400+ROW()/1000000,-1000000000000000)</f>
        <v>-1000000000000000</v>
      </c>
      <c r="Q400" s="52" t="n">
        <f aca="false">IF(B400="",0,IF(G400="",0,IF(N400="Returned / Devuelto",0,1)))</f>
        <v>0</v>
      </c>
      <c r="R400" s="52" t="n">
        <f aca="false">IF(Q400=1,IF(ISNUMBER(D400),YEAR(D400)*100+MONTH(D400),0),0)</f>
        <v>0</v>
      </c>
      <c r="S400" s="52" t="n">
        <f aca="false">IF(Q400=1,IF(M400&lt;0.15,1,0),0)</f>
        <v>0</v>
      </c>
    </row>
    <row r="401" customFormat="false" ht="15" hidden="false" customHeight="false" outlineLevel="0" collapsed="false">
      <c r="B401" s="53"/>
      <c r="C401" s="53"/>
      <c r="D401" s="54"/>
      <c r="E401" s="55"/>
      <c r="F401" s="55"/>
      <c r="G401" s="55"/>
      <c r="H401" s="56"/>
      <c r="I401" s="57" t="str">
        <f aca="false">IF(G401="","",G401*H401)</f>
        <v/>
      </c>
      <c r="J401" s="55"/>
      <c r="K401" s="55"/>
      <c r="L401" s="57" t="str">
        <f aca="false">IF(OR(B401="",G401=""),"",G401-E401-F401-I401-J401-K401)</f>
        <v/>
      </c>
      <c r="M401" s="58" t="str">
        <f aca="false">IF(L401="","",IF(G401=0,0,L401/G401))</f>
        <v/>
      </c>
      <c r="N401" s="53"/>
      <c r="O401" s="59" t="str">
        <f aca="false">IF(M401="","",IF(M401&lt;0.15,"⚠ LOW MARGIN / MARGEN BAJO","✔ OK"))</f>
        <v/>
      </c>
      <c r="P401" s="52" t="n">
        <f aca="false">IF(Q401=1,L401+ROW()/1000000,-1000000000000000)</f>
        <v>-1000000000000000</v>
      </c>
      <c r="Q401" s="52" t="n">
        <f aca="false">IF(B401="",0,IF(G401="",0,IF(N401="Returned / Devuelto",0,1)))</f>
        <v>0</v>
      </c>
      <c r="R401" s="52" t="n">
        <f aca="false">IF(Q401=1,IF(ISNUMBER(D401),YEAR(D401)*100+MONTH(D401),0),0)</f>
        <v>0</v>
      </c>
      <c r="S401" s="52" t="n">
        <f aca="false">IF(Q401=1,IF(M401&lt;0.15,1,0),0)</f>
        <v>0</v>
      </c>
    </row>
    <row r="402" customFormat="false" ht="15" hidden="false" customHeight="false" outlineLevel="0" collapsed="false">
      <c r="B402" s="53"/>
      <c r="C402" s="53"/>
      <c r="D402" s="54"/>
      <c r="E402" s="55"/>
      <c r="F402" s="55"/>
      <c r="G402" s="55"/>
      <c r="H402" s="56"/>
      <c r="I402" s="57" t="str">
        <f aca="false">IF(G402="","",G402*H402)</f>
        <v/>
      </c>
      <c r="J402" s="55"/>
      <c r="K402" s="55"/>
      <c r="L402" s="57" t="str">
        <f aca="false">IF(OR(B402="",G402=""),"",G402-E402-F402-I402-J402-K402)</f>
        <v/>
      </c>
      <c r="M402" s="58" t="str">
        <f aca="false">IF(L402="","",IF(G402=0,0,L402/G402))</f>
        <v/>
      </c>
      <c r="N402" s="53"/>
      <c r="O402" s="59" t="str">
        <f aca="false">IF(M402="","",IF(M402&lt;0.15,"⚠ LOW MARGIN / MARGEN BAJO","✔ OK"))</f>
        <v/>
      </c>
      <c r="P402" s="52" t="n">
        <f aca="false">IF(Q402=1,L402+ROW()/1000000,-1000000000000000)</f>
        <v>-1000000000000000</v>
      </c>
      <c r="Q402" s="52" t="n">
        <f aca="false">IF(B402="",0,IF(G402="",0,IF(N402="Returned / Devuelto",0,1)))</f>
        <v>0</v>
      </c>
      <c r="R402" s="52" t="n">
        <f aca="false">IF(Q402=1,IF(ISNUMBER(D402),YEAR(D402)*100+MONTH(D402),0),0)</f>
        <v>0</v>
      </c>
      <c r="S402" s="52" t="n">
        <f aca="false">IF(Q402=1,IF(M402&lt;0.15,1,0),0)</f>
        <v>0</v>
      </c>
    </row>
    <row r="403" customFormat="false" ht="15" hidden="false" customHeight="false" outlineLevel="0" collapsed="false">
      <c r="B403" s="53"/>
      <c r="C403" s="53"/>
      <c r="D403" s="54"/>
      <c r="E403" s="55"/>
      <c r="F403" s="55"/>
      <c r="G403" s="55"/>
      <c r="H403" s="56"/>
      <c r="I403" s="57" t="str">
        <f aca="false">IF(G403="","",G403*H403)</f>
        <v/>
      </c>
      <c r="J403" s="55"/>
      <c r="K403" s="55"/>
      <c r="L403" s="57" t="str">
        <f aca="false">IF(OR(B403="",G403=""),"",G403-E403-F403-I403-J403-K403)</f>
        <v/>
      </c>
      <c r="M403" s="58" t="str">
        <f aca="false">IF(L403="","",IF(G403=0,0,L403/G403))</f>
        <v/>
      </c>
      <c r="N403" s="53"/>
      <c r="O403" s="59" t="str">
        <f aca="false">IF(M403="","",IF(M403&lt;0.15,"⚠ LOW MARGIN / MARGEN BAJO","✔ OK"))</f>
        <v/>
      </c>
      <c r="P403" s="52" t="n">
        <f aca="false">IF(Q403=1,L403+ROW()/1000000,-1000000000000000)</f>
        <v>-1000000000000000</v>
      </c>
      <c r="Q403" s="52" t="n">
        <f aca="false">IF(B403="",0,IF(G403="",0,IF(N403="Returned / Devuelto",0,1)))</f>
        <v>0</v>
      </c>
      <c r="R403" s="52" t="n">
        <f aca="false">IF(Q403=1,IF(ISNUMBER(D403),YEAR(D403)*100+MONTH(D403),0),0)</f>
        <v>0</v>
      </c>
      <c r="S403" s="52" t="n">
        <f aca="false">IF(Q403=1,IF(M403&lt;0.15,1,0),0)</f>
        <v>0</v>
      </c>
    </row>
    <row r="404" customFormat="false" ht="15" hidden="false" customHeight="false" outlineLevel="0" collapsed="false">
      <c r="B404" s="53"/>
      <c r="C404" s="53"/>
      <c r="D404" s="54"/>
      <c r="E404" s="55"/>
      <c r="F404" s="55"/>
      <c r="G404" s="55"/>
      <c r="H404" s="56"/>
      <c r="I404" s="57" t="str">
        <f aca="false">IF(G404="","",G404*H404)</f>
        <v/>
      </c>
      <c r="J404" s="55"/>
      <c r="K404" s="55"/>
      <c r="L404" s="57" t="str">
        <f aca="false">IF(OR(B404="",G404=""),"",G404-E404-F404-I404-J404-K404)</f>
        <v/>
      </c>
      <c r="M404" s="58" t="str">
        <f aca="false">IF(L404="","",IF(G404=0,0,L404/G404))</f>
        <v/>
      </c>
      <c r="N404" s="53"/>
      <c r="O404" s="59" t="str">
        <f aca="false">IF(M404="","",IF(M404&lt;0.15,"⚠ LOW MARGIN / MARGEN BAJO","✔ OK"))</f>
        <v/>
      </c>
      <c r="P404" s="52" t="n">
        <f aca="false">IF(Q404=1,L404+ROW()/1000000,-1000000000000000)</f>
        <v>-1000000000000000</v>
      </c>
      <c r="Q404" s="52" t="n">
        <f aca="false">IF(B404="",0,IF(G404="",0,IF(N404="Returned / Devuelto",0,1)))</f>
        <v>0</v>
      </c>
      <c r="R404" s="52" t="n">
        <f aca="false">IF(Q404=1,IF(ISNUMBER(D404),YEAR(D404)*100+MONTH(D404),0),0)</f>
        <v>0</v>
      </c>
      <c r="S404" s="52" t="n">
        <f aca="false">IF(Q404=1,IF(M404&lt;0.15,1,0),0)</f>
        <v>0</v>
      </c>
    </row>
    <row r="405" customFormat="false" ht="15" hidden="false" customHeight="false" outlineLevel="0" collapsed="false">
      <c r="B405" s="53"/>
      <c r="C405" s="53"/>
      <c r="D405" s="54"/>
      <c r="E405" s="55"/>
      <c r="F405" s="55"/>
      <c r="G405" s="55"/>
      <c r="H405" s="56"/>
      <c r="I405" s="57" t="str">
        <f aca="false">IF(G405="","",G405*H405)</f>
        <v/>
      </c>
      <c r="J405" s="55"/>
      <c r="K405" s="55"/>
      <c r="L405" s="57" t="str">
        <f aca="false">IF(OR(B405="",G405=""),"",G405-E405-F405-I405-J405-K405)</f>
        <v/>
      </c>
      <c r="M405" s="58" t="str">
        <f aca="false">IF(L405="","",IF(G405=0,0,L405/G405))</f>
        <v/>
      </c>
      <c r="N405" s="53"/>
      <c r="O405" s="59" t="str">
        <f aca="false">IF(M405="","",IF(M405&lt;0.15,"⚠ LOW MARGIN / MARGEN BAJO","✔ OK"))</f>
        <v/>
      </c>
      <c r="P405" s="52" t="n">
        <f aca="false">IF(Q405=1,L405+ROW()/1000000,-1000000000000000)</f>
        <v>-1000000000000000</v>
      </c>
      <c r="Q405" s="52" t="n">
        <f aca="false">IF(B405="",0,IF(G405="",0,IF(N405="Returned / Devuelto",0,1)))</f>
        <v>0</v>
      </c>
      <c r="R405" s="52" t="n">
        <f aca="false">IF(Q405=1,IF(ISNUMBER(D405),YEAR(D405)*100+MONTH(D405),0),0)</f>
        <v>0</v>
      </c>
      <c r="S405" s="52" t="n">
        <f aca="false">IF(Q405=1,IF(M405&lt;0.15,1,0),0)</f>
        <v>0</v>
      </c>
    </row>
    <row r="406" customFormat="false" ht="15" hidden="false" customHeight="false" outlineLevel="0" collapsed="false">
      <c r="B406" s="53"/>
      <c r="C406" s="53"/>
      <c r="D406" s="54"/>
      <c r="E406" s="55"/>
      <c r="F406" s="55"/>
      <c r="G406" s="55"/>
      <c r="H406" s="56"/>
      <c r="I406" s="57" t="str">
        <f aca="false">IF(G406="","",G406*H406)</f>
        <v/>
      </c>
      <c r="J406" s="55"/>
      <c r="K406" s="55"/>
      <c r="L406" s="57" t="str">
        <f aca="false">IF(OR(B406="",G406=""),"",G406-E406-F406-I406-J406-K406)</f>
        <v/>
      </c>
      <c r="M406" s="58" t="str">
        <f aca="false">IF(L406="","",IF(G406=0,0,L406/G406))</f>
        <v/>
      </c>
      <c r="N406" s="53"/>
      <c r="O406" s="59" t="str">
        <f aca="false">IF(M406="","",IF(M406&lt;0.15,"⚠ LOW MARGIN / MARGEN BAJO","✔ OK"))</f>
        <v/>
      </c>
      <c r="P406" s="52" t="n">
        <f aca="false">IF(Q406=1,L406+ROW()/1000000,-1000000000000000)</f>
        <v>-1000000000000000</v>
      </c>
      <c r="Q406" s="52" t="n">
        <f aca="false">IF(B406="",0,IF(G406="",0,IF(N406="Returned / Devuelto",0,1)))</f>
        <v>0</v>
      </c>
      <c r="R406" s="52" t="n">
        <f aca="false">IF(Q406=1,IF(ISNUMBER(D406),YEAR(D406)*100+MONTH(D406),0),0)</f>
        <v>0</v>
      </c>
      <c r="S406" s="52" t="n">
        <f aca="false">IF(Q406=1,IF(M406&lt;0.15,1,0),0)</f>
        <v>0</v>
      </c>
    </row>
    <row r="407" customFormat="false" ht="15" hidden="false" customHeight="false" outlineLevel="0" collapsed="false">
      <c r="B407" s="53"/>
      <c r="C407" s="53"/>
      <c r="D407" s="54"/>
      <c r="E407" s="55"/>
      <c r="F407" s="55"/>
      <c r="G407" s="55"/>
      <c r="H407" s="56"/>
      <c r="I407" s="57" t="str">
        <f aca="false">IF(G407="","",G407*H407)</f>
        <v/>
      </c>
      <c r="J407" s="55"/>
      <c r="K407" s="55"/>
      <c r="L407" s="57" t="str">
        <f aca="false">IF(OR(B407="",G407=""),"",G407-E407-F407-I407-J407-K407)</f>
        <v/>
      </c>
      <c r="M407" s="58" t="str">
        <f aca="false">IF(L407="","",IF(G407=0,0,L407/G407))</f>
        <v/>
      </c>
      <c r="N407" s="53"/>
      <c r="O407" s="59" t="str">
        <f aca="false">IF(M407="","",IF(M407&lt;0.15,"⚠ LOW MARGIN / MARGEN BAJO","✔ OK"))</f>
        <v/>
      </c>
      <c r="P407" s="52" t="n">
        <f aca="false">IF(Q407=1,L407+ROW()/1000000,-1000000000000000)</f>
        <v>-1000000000000000</v>
      </c>
      <c r="Q407" s="52" t="n">
        <f aca="false">IF(B407="",0,IF(G407="",0,IF(N407="Returned / Devuelto",0,1)))</f>
        <v>0</v>
      </c>
      <c r="R407" s="52" t="n">
        <f aca="false">IF(Q407=1,IF(ISNUMBER(D407),YEAR(D407)*100+MONTH(D407),0),0)</f>
        <v>0</v>
      </c>
      <c r="S407" s="52" t="n">
        <f aca="false">IF(Q407=1,IF(M407&lt;0.15,1,0),0)</f>
        <v>0</v>
      </c>
    </row>
    <row r="408" customFormat="false" ht="15" hidden="false" customHeight="false" outlineLevel="0" collapsed="false">
      <c r="B408" s="53"/>
      <c r="C408" s="53"/>
      <c r="D408" s="54"/>
      <c r="E408" s="55"/>
      <c r="F408" s="55"/>
      <c r="G408" s="55"/>
      <c r="H408" s="56"/>
      <c r="I408" s="57" t="str">
        <f aca="false">IF(G408="","",G408*H408)</f>
        <v/>
      </c>
      <c r="J408" s="55"/>
      <c r="K408" s="55"/>
      <c r="L408" s="57" t="str">
        <f aca="false">IF(OR(B408="",G408=""),"",G408-E408-F408-I408-J408-K408)</f>
        <v/>
      </c>
      <c r="M408" s="58" t="str">
        <f aca="false">IF(L408="","",IF(G408=0,0,L408/G408))</f>
        <v/>
      </c>
      <c r="N408" s="53"/>
      <c r="O408" s="59" t="str">
        <f aca="false">IF(M408="","",IF(M408&lt;0.15,"⚠ LOW MARGIN / MARGEN BAJO","✔ OK"))</f>
        <v/>
      </c>
      <c r="P408" s="52" t="n">
        <f aca="false">IF(Q408=1,L408+ROW()/1000000,-1000000000000000)</f>
        <v>-1000000000000000</v>
      </c>
      <c r="Q408" s="52" t="n">
        <f aca="false">IF(B408="",0,IF(G408="",0,IF(N408="Returned / Devuelto",0,1)))</f>
        <v>0</v>
      </c>
      <c r="R408" s="52" t="n">
        <f aca="false">IF(Q408=1,IF(ISNUMBER(D408),YEAR(D408)*100+MONTH(D408),0),0)</f>
        <v>0</v>
      </c>
      <c r="S408" s="52" t="n">
        <f aca="false">IF(Q408=1,IF(M408&lt;0.15,1,0),0)</f>
        <v>0</v>
      </c>
    </row>
    <row r="409" customFormat="false" ht="15" hidden="false" customHeight="false" outlineLevel="0" collapsed="false">
      <c r="B409" s="53"/>
      <c r="C409" s="53"/>
      <c r="D409" s="54"/>
      <c r="E409" s="55"/>
      <c r="F409" s="55"/>
      <c r="G409" s="55"/>
      <c r="H409" s="56"/>
      <c r="I409" s="57" t="str">
        <f aca="false">IF(G409="","",G409*H409)</f>
        <v/>
      </c>
      <c r="J409" s="55"/>
      <c r="K409" s="55"/>
      <c r="L409" s="57" t="str">
        <f aca="false">IF(OR(B409="",G409=""),"",G409-E409-F409-I409-J409-K409)</f>
        <v/>
      </c>
      <c r="M409" s="58" t="str">
        <f aca="false">IF(L409="","",IF(G409=0,0,L409/G409))</f>
        <v/>
      </c>
      <c r="N409" s="53"/>
      <c r="O409" s="59" t="str">
        <f aca="false">IF(M409="","",IF(M409&lt;0.15,"⚠ LOW MARGIN / MARGEN BAJO","✔ OK"))</f>
        <v/>
      </c>
      <c r="P409" s="52" t="n">
        <f aca="false">IF(Q409=1,L409+ROW()/1000000,-1000000000000000)</f>
        <v>-1000000000000000</v>
      </c>
      <c r="Q409" s="52" t="n">
        <f aca="false">IF(B409="",0,IF(G409="",0,IF(N409="Returned / Devuelto",0,1)))</f>
        <v>0</v>
      </c>
      <c r="R409" s="52" t="n">
        <f aca="false">IF(Q409=1,IF(ISNUMBER(D409),YEAR(D409)*100+MONTH(D409),0),0)</f>
        <v>0</v>
      </c>
      <c r="S409" s="52" t="n">
        <f aca="false">IF(Q409=1,IF(M409&lt;0.15,1,0),0)</f>
        <v>0</v>
      </c>
    </row>
    <row r="410" customFormat="false" ht="15" hidden="false" customHeight="false" outlineLevel="0" collapsed="false">
      <c r="B410" s="53"/>
      <c r="C410" s="53"/>
      <c r="D410" s="54"/>
      <c r="E410" s="55"/>
      <c r="F410" s="55"/>
      <c r="G410" s="55"/>
      <c r="H410" s="56"/>
      <c r="I410" s="57" t="str">
        <f aca="false">IF(G410="","",G410*H410)</f>
        <v/>
      </c>
      <c r="J410" s="55"/>
      <c r="K410" s="55"/>
      <c r="L410" s="57" t="str">
        <f aca="false">IF(OR(B410="",G410=""),"",G410-E410-F410-I410-J410-K410)</f>
        <v/>
      </c>
      <c r="M410" s="58" t="str">
        <f aca="false">IF(L410="","",IF(G410=0,0,L410/G410))</f>
        <v/>
      </c>
      <c r="N410" s="53"/>
      <c r="O410" s="59" t="str">
        <f aca="false">IF(M410="","",IF(M410&lt;0.15,"⚠ LOW MARGIN / MARGEN BAJO","✔ OK"))</f>
        <v/>
      </c>
      <c r="P410" s="52" t="n">
        <f aca="false">IF(Q410=1,L410+ROW()/1000000,-1000000000000000)</f>
        <v>-1000000000000000</v>
      </c>
      <c r="Q410" s="52" t="n">
        <f aca="false">IF(B410="",0,IF(G410="",0,IF(N410="Returned / Devuelto",0,1)))</f>
        <v>0</v>
      </c>
      <c r="R410" s="52" t="n">
        <f aca="false">IF(Q410=1,IF(ISNUMBER(D410),YEAR(D410)*100+MONTH(D410),0),0)</f>
        <v>0</v>
      </c>
      <c r="S410" s="52" t="n">
        <f aca="false">IF(Q410=1,IF(M410&lt;0.15,1,0),0)</f>
        <v>0</v>
      </c>
    </row>
    <row r="411" customFormat="false" ht="15" hidden="false" customHeight="false" outlineLevel="0" collapsed="false">
      <c r="B411" s="53"/>
      <c r="C411" s="53"/>
      <c r="D411" s="54"/>
      <c r="E411" s="55"/>
      <c r="F411" s="55"/>
      <c r="G411" s="55"/>
      <c r="H411" s="56"/>
      <c r="I411" s="57" t="str">
        <f aca="false">IF(G411="","",G411*H411)</f>
        <v/>
      </c>
      <c r="J411" s="55"/>
      <c r="K411" s="55"/>
      <c r="L411" s="57" t="str">
        <f aca="false">IF(OR(B411="",G411=""),"",G411-E411-F411-I411-J411-K411)</f>
        <v/>
      </c>
      <c r="M411" s="58" t="str">
        <f aca="false">IF(L411="","",IF(G411=0,0,L411/G411))</f>
        <v/>
      </c>
      <c r="N411" s="53"/>
      <c r="O411" s="59" t="str">
        <f aca="false">IF(M411="","",IF(M411&lt;0.15,"⚠ LOW MARGIN / MARGEN BAJO","✔ OK"))</f>
        <v/>
      </c>
      <c r="P411" s="52" t="n">
        <f aca="false">IF(Q411=1,L411+ROW()/1000000,-1000000000000000)</f>
        <v>-1000000000000000</v>
      </c>
      <c r="Q411" s="52" t="n">
        <f aca="false">IF(B411="",0,IF(G411="",0,IF(N411="Returned / Devuelto",0,1)))</f>
        <v>0</v>
      </c>
      <c r="R411" s="52" t="n">
        <f aca="false">IF(Q411=1,IF(ISNUMBER(D411),YEAR(D411)*100+MONTH(D411),0),0)</f>
        <v>0</v>
      </c>
      <c r="S411" s="52" t="n">
        <f aca="false">IF(Q411=1,IF(M411&lt;0.15,1,0),0)</f>
        <v>0</v>
      </c>
    </row>
    <row r="412" customFormat="false" ht="15" hidden="false" customHeight="false" outlineLevel="0" collapsed="false">
      <c r="B412" s="53"/>
      <c r="C412" s="53"/>
      <c r="D412" s="54"/>
      <c r="E412" s="55"/>
      <c r="F412" s="55"/>
      <c r="G412" s="55"/>
      <c r="H412" s="56"/>
      <c r="I412" s="57" t="str">
        <f aca="false">IF(G412="","",G412*H412)</f>
        <v/>
      </c>
      <c r="J412" s="55"/>
      <c r="K412" s="55"/>
      <c r="L412" s="57" t="str">
        <f aca="false">IF(OR(B412="",G412=""),"",G412-E412-F412-I412-J412-K412)</f>
        <v/>
      </c>
      <c r="M412" s="58" t="str">
        <f aca="false">IF(L412="","",IF(G412=0,0,L412/G412))</f>
        <v/>
      </c>
      <c r="N412" s="53"/>
      <c r="O412" s="59" t="str">
        <f aca="false">IF(M412="","",IF(M412&lt;0.15,"⚠ LOW MARGIN / MARGEN BAJO","✔ OK"))</f>
        <v/>
      </c>
      <c r="P412" s="52" t="n">
        <f aca="false">IF(Q412=1,L412+ROW()/1000000,-1000000000000000)</f>
        <v>-1000000000000000</v>
      </c>
      <c r="Q412" s="52" t="n">
        <f aca="false">IF(B412="",0,IF(G412="",0,IF(N412="Returned / Devuelto",0,1)))</f>
        <v>0</v>
      </c>
      <c r="R412" s="52" t="n">
        <f aca="false">IF(Q412=1,IF(ISNUMBER(D412),YEAR(D412)*100+MONTH(D412),0),0)</f>
        <v>0</v>
      </c>
      <c r="S412" s="52" t="n">
        <f aca="false">IF(Q412=1,IF(M412&lt;0.15,1,0),0)</f>
        <v>0</v>
      </c>
    </row>
    <row r="413" customFormat="false" ht="15" hidden="false" customHeight="false" outlineLevel="0" collapsed="false">
      <c r="B413" s="53"/>
      <c r="C413" s="53"/>
      <c r="D413" s="54"/>
      <c r="E413" s="55"/>
      <c r="F413" s="55"/>
      <c r="G413" s="55"/>
      <c r="H413" s="56"/>
      <c r="I413" s="57" t="str">
        <f aca="false">IF(G413="","",G413*H413)</f>
        <v/>
      </c>
      <c r="J413" s="55"/>
      <c r="K413" s="55"/>
      <c r="L413" s="57" t="str">
        <f aca="false">IF(OR(B413="",G413=""),"",G413-E413-F413-I413-J413-K413)</f>
        <v/>
      </c>
      <c r="M413" s="58" t="str">
        <f aca="false">IF(L413="","",IF(G413=0,0,L413/G413))</f>
        <v/>
      </c>
      <c r="N413" s="53"/>
      <c r="O413" s="59" t="str">
        <f aca="false">IF(M413="","",IF(M413&lt;0.15,"⚠ LOW MARGIN / MARGEN BAJO","✔ OK"))</f>
        <v/>
      </c>
      <c r="P413" s="52" t="n">
        <f aca="false">IF(Q413=1,L413+ROW()/1000000,-1000000000000000)</f>
        <v>-1000000000000000</v>
      </c>
      <c r="Q413" s="52" t="n">
        <f aca="false">IF(B413="",0,IF(G413="",0,IF(N413="Returned / Devuelto",0,1)))</f>
        <v>0</v>
      </c>
      <c r="R413" s="52" t="n">
        <f aca="false">IF(Q413=1,IF(ISNUMBER(D413),YEAR(D413)*100+MONTH(D413),0),0)</f>
        <v>0</v>
      </c>
      <c r="S413" s="52" t="n">
        <f aca="false">IF(Q413=1,IF(M413&lt;0.15,1,0),0)</f>
        <v>0</v>
      </c>
    </row>
    <row r="414" customFormat="false" ht="15" hidden="false" customHeight="false" outlineLevel="0" collapsed="false">
      <c r="B414" s="53"/>
      <c r="C414" s="53"/>
      <c r="D414" s="54"/>
      <c r="E414" s="55"/>
      <c r="F414" s="55"/>
      <c r="G414" s="55"/>
      <c r="H414" s="56"/>
      <c r="I414" s="57" t="str">
        <f aca="false">IF(G414="","",G414*H414)</f>
        <v/>
      </c>
      <c r="J414" s="55"/>
      <c r="K414" s="55"/>
      <c r="L414" s="57" t="str">
        <f aca="false">IF(OR(B414="",G414=""),"",G414-E414-F414-I414-J414-K414)</f>
        <v/>
      </c>
      <c r="M414" s="58" t="str">
        <f aca="false">IF(L414="","",IF(G414=0,0,L414/G414))</f>
        <v/>
      </c>
      <c r="N414" s="53"/>
      <c r="O414" s="59" t="str">
        <f aca="false">IF(M414="","",IF(M414&lt;0.15,"⚠ LOW MARGIN / MARGEN BAJO","✔ OK"))</f>
        <v/>
      </c>
      <c r="P414" s="52" t="n">
        <f aca="false">IF(Q414=1,L414+ROW()/1000000,-1000000000000000)</f>
        <v>-1000000000000000</v>
      </c>
      <c r="Q414" s="52" t="n">
        <f aca="false">IF(B414="",0,IF(G414="",0,IF(N414="Returned / Devuelto",0,1)))</f>
        <v>0</v>
      </c>
      <c r="R414" s="52" t="n">
        <f aca="false">IF(Q414=1,IF(ISNUMBER(D414),YEAR(D414)*100+MONTH(D414),0),0)</f>
        <v>0</v>
      </c>
      <c r="S414" s="52" t="n">
        <f aca="false">IF(Q414=1,IF(M414&lt;0.15,1,0),0)</f>
        <v>0</v>
      </c>
    </row>
    <row r="415" customFormat="false" ht="15" hidden="false" customHeight="false" outlineLevel="0" collapsed="false">
      <c r="B415" s="53"/>
      <c r="C415" s="53"/>
      <c r="D415" s="54"/>
      <c r="E415" s="55"/>
      <c r="F415" s="55"/>
      <c r="G415" s="55"/>
      <c r="H415" s="56"/>
      <c r="I415" s="57" t="str">
        <f aca="false">IF(G415="","",G415*H415)</f>
        <v/>
      </c>
      <c r="J415" s="55"/>
      <c r="K415" s="55"/>
      <c r="L415" s="57" t="str">
        <f aca="false">IF(OR(B415="",G415=""),"",G415-E415-F415-I415-J415-K415)</f>
        <v/>
      </c>
      <c r="M415" s="58" t="str">
        <f aca="false">IF(L415="","",IF(G415=0,0,L415/G415))</f>
        <v/>
      </c>
      <c r="N415" s="53"/>
      <c r="O415" s="59" t="str">
        <f aca="false">IF(M415="","",IF(M415&lt;0.15,"⚠ LOW MARGIN / MARGEN BAJO","✔ OK"))</f>
        <v/>
      </c>
      <c r="P415" s="52" t="n">
        <f aca="false">IF(Q415=1,L415+ROW()/1000000,-1000000000000000)</f>
        <v>-1000000000000000</v>
      </c>
      <c r="Q415" s="52" t="n">
        <f aca="false">IF(B415="",0,IF(G415="",0,IF(N415="Returned / Devuelto",0,1)))</f>
        <v>0</v>
      </c>
      <c r="R415" s="52" t="n">
        <f aca="false">IF(Q415=1,IF(ISNUMBER(D415),YEAR(D415)*100+MONTH(D415),0),0)</f>
        <v>0</v>
      </c>
      <c r="S415" s="52" t="n">
        <f aca="false">IF(Q415=1,IF(M415&lt;0.15,1,0),0)</f>
        <v>0</v>
      </c>
    </row>
    <row r="416" customFormat="false" ht="15" hidden="false" customHeight="false" outlineLevel="0" collapsed="false">
      <c r="B416" s="53"/>
      <c r="C416" s="53"/>
      <c r="D416" s="54"/>
      <c r="E416" s="55"/>
      <c r="F416" s="55"/>
      <c r="G416" s="55"/>
      <c r="H416" s="56"/>
      <c r="I416" s="57" t="str">
        <f aca="false">IF(G416="","",G416*H416)</f>
        <v/>
      </c>
      <c r="J416" s="55"/>
      <c r="K416" s="55"/>
      <c r="L416" s="57" t="str">
        <f aca="false">IF(OR(B416="",G416=""),"",G416-E416-F416-I416-J416-K416)</f>
        <v/>
      </c>
      <c r="M416" s="58" t="str">
        <f aca="false">IF(L416="","",IF(G416=0,0,L416/G416))</f>
        <v/>
      </c>
      <c r="N416" s="53"/>
      <c r="O416" s="59" t="str">
        <f aca="false">IF(M416="","",IF(M416&lt;0.15,"⚠ LOW MARGIN / MARGEN BAJO","✔ OK"))</f>
        <v/>
      </c>
      <c r="P416" s="52" t="n">
        <f aca="false">IF(Q416=1,L416+ROW()/1000000,-1000000000000000)</f>
        <v>-1000000000000000</v>
      </c>
      <c r="Q416" s="52" t="n">
        <f aca="false">IF(B416="",0,IF(G416="",0,IF(N416="Returned / Devuelto",0,1)))</f>
        <v>0</v>
      </c>
      <c r="R416" s="52" t="n">
        <f aca="false">IF(Q416=1,IF(ISNUMBER(D416),YEAR(D416)*100+MONTH(D416),0),0)</f>
        <v>0</v>
      </c>
      <c r="S416" s="52" t="n">
        <f aca="false">IF(Q416=1,IF(M416&lt;0.15,1,0),0)</f>
        <v>0</v>
      </c>
    </row>
    <row r="417" customFormat="false" ht="15" hidden="false" customHeight="false" outlineLevel="0" collapsed="false">
      <c r="B417" s="53"/>
      <c r="C417" s="53"/>
      <c r="D417" s="54"/>
      <c r="E417" s="55"/>
      <c r="F417" s="55"/>
      <c r="G417" s="55"/>
      <c r="H417" s="56"/>
      <c r="I417" s="57" t="str">
        <f aca="false">IF(G417="","",G417*H417)</f>
        <v/>
      </c>
      <c r="J417" s="55"/>
      <c r="K417" s="55"/>
      <c r="L417" s="57" t="str">
        <f aca="false">IF(OR(B417="",G417=""),"",G417-E417-F417-I417-J417-K417)</f>
        <v/>
      </c>
      <c r="M417" s="58" t="str">
        <f aca="false">IF(L417="","",IF(G417=0,0,L417/G417))</f>
        <v/>
      </c>
      <c r="N417" s="53"/>
      <c r="O417" s="59" t="str">
        <f aca="false">IF(M417="","",IF(M417&lt;0.15,"⚠ LOW MARGIN / MARGEN BAJO","✔ OK"))</f>
        <v/>
      </c>
      <c r="P417" s="52" t="n">
        <f aca="false">IF(Q417=1,L417+ROW()/1000000,-1000000000000000)</f>
        <v>-1000000000000000</v>
      </c>
      <c r="Q417" s="52" t="n">
        <f aca="false">IF(B417="",0,IF(G417="",0,IF(N417="Returned / Devuelto",0,1)))</f>
        <v>0</v>
      </c>
      <c r="R417" s="52" t="n">
        <f aca="false">IF(Q417=1,IF(ISNUMBER(D417),YEAR(D417)*100+MONTH(D417),0),0)</f>
        <v>0</v>
      </c>
      <c r="S417" s="52" t="n">
        <f aca="false">IF(Q417=1,IF(M417&lt;0.15,1,0),0)</f>
        <v>0</v>
      </c>
    </row>
    <row r="418" customFormat="false" ht="15" hidden="false" customHeight="false" outlineLevel="0" collapsed="false">
      <c r="B418" s="53"/>
      <c r="C418" s="53"/>
      <c r="D418" s="54"/>
      <c r="E418" s="55"/>
      <c r="F418" s="55"/>
      <c r="G418" s="55"/>
      <c r="H418" s="56"/>
      <c r="I418" s="57" t="str">
        <f aca="false">IF(G418="","",G418*H418)</f>
        <v/>
      </c>
      <c r="J418" s="55"/>
      <c r="K418" s="55"/>
      <c r="L418" s="57" t="str">
        <f aca="false">IF(OR(B418="",G418=""),"",G418-E418-F418-I418-J418-K418)</f>
        <v/>
      </c>
      <c r="M418" s="58" t="str">
        <f aca="false">IF(L418="","",IF(G418=0,0,L418/G418))</f>
        <v/>
      </c>
      <c r="N418" s="53"/>
      <c r="O418" s="59" t="str">
        <f aca="false">IF(M418="","",IF(M418&lt;0.15,"⚠ LOW MARGIN / MARGEN BAJO","✔ OK"))</f>
        <v/>
      </c>
      <c r="P418" s="52" t="n">
        <f aca="false">IF(Q418=1,L418+ROW()/1000000,-1000000000000000)</f>
        <v>-1000000000000000</v>
      </c>
      <c r="Q418" s="52" t="n">
        <f aca="false">IF(B418="",0,IF(G418="",0,IF(N418="Returned / Devuelto",0,1)))</f>
        <v>0</v>
      </c>
      <c r="R418" s="52" t="n">
        <f aca="false">IF(Q418=1,IF(ISNUMBER(D418),YEAR(D418)*100+MONTH(D418),0),0)</f>
        <v>0</v>
      </c>
      <c r="S418" s="52" t="n">
        <f aca="false">IF(Q418=1,IF(M418&lt;0.15,1,0),0)</f>
        <v>0</v>
      </c>
    </row>
    <row r="419" customFormat="false" ht="15" hidden="false" customHeight="false" outlineLevel="0" collapsed="false">
      <c r="B419" s="53"/>
      <c r="C419" s="53"/>
      <c r="D419" s="54"/>
      <c r="E419" s="55"/>
      <c r="F419" s="55"/>
      <c r="G419" s="55"/>
      <c r="H419" s="56"/>
      <c r="I419" s="57" t="str">
        <f aca="false">IF(G419="","",G419*H419)</f>
        <v/>
      </c>
      <c r="J419" s="55"/>
      <c r="K419" s="55"/>
      <c r="L419" s="57" t="str">
        <f aca="false">IF(OR(B419="",G419=""),"",G419-E419-F419-I419-J419-K419)</f>
        <v/>
      </c>
      <c r="M419" s="58" t="str">
        <f aca="false">IF(L419="","",IF(G419=0,0,L419/G419))</f>
        <v/>
      </c>
      <c r="N419" s="53"/>
      <c r="O419" s="59" t="str">
        <f aca="false">IF(M419="","",IF(M419&lt;0.15,"⚠ LOW MARGIN / MARGEN BAJO","✔ OK"))</f>
        <v/>
      </c>
      <c r="P419" s="52" t="n">
        <f aca="false">IF(Q419=1,L419+ROW()/1000000,-1000000000000000)</f>
        <v>-1000000000000000</v>
      </c>
      <c r="Q419" s="52" t="n">
        <f aca="false">IF(B419="",0,IF(G419="",0,IF(N419="Returned / Devuelto",0,1)))</f>
        <v>0</v>
      </c>
      <c r="R419" s="52" t="n">
        <f aca="false">IF(Q419=1,IF(ISNUMBER(D419),YEAR(D419)*100+MONTH(D419),0),0)</f>
        <v>0</v>
      </c>
      <c r="S419" s="52" t="n">
        <f aca="false">IF(Q419=1,IF(M419&lt;0.15,1,0),0)</f>
        <v>0</v>
      </c>
    </row>
    <row r="420" customFormat="false" ht="15" hidden="false" customHeight="false" outlineLevel="0" collapsed="false">
      <c r="B420" s="53"/>
      <c r="C420" s="53"/>
      <c r="D420" s="54"/>
      <c r="E420" s="55"/>
      <c r="F420" s="55"/>
      <c r="G420" s="55"/>
      <c r="H420" s="56"/>
      <c r="I420" s="57" t="str">
        <f aca="false">IF(G420="","",G420*H420)</f>
        <v/>
      </c>
      <c r="J420" s="55"/>
      <c r="K420" s="55"/>
      <c r="L420" s="57" t="str">
        <f aca="false">IF(OR(B420="",G420=""),"",G420-E420-F420-I420-J420-K420)</f>
        <v/>
      </c>
      <c r="M420" s="58" t="str">
        <f aca="false">IF(L420="","",IF(G420=0,0,L420/G420))</f>
        <v/>
      </c>
      <c r="N420" s="53"/>
      <c r="O420" s="59" t="str">
        <f aca="false">IF(M420="","",IF(M420&lt;0.15,"⚠ LOW MARGIN / MARGEN BAJO","✔ OK"))</f>
        <v/>
      </c>
      <c r="P420" s="52" t="n">
        <f aca="false">IF(Q420=1,L420+ROW()/1000000,-1000000000000000)</f>
        <v>-1000000000000000</v>
      </c>
      <c r="Q420" s="52" t="n">
        <f aca="false">IF(B420="",0,IF(G420="",0,IF(N420="Returned / Devuelto",0,1)))</f>
        <v>0</v>
      </c>
      <c r="R420" s="52" t="n">
        <f aca="false">IF(Q420=1,IF(ISNUMBER(D420),YEAR(D420)*100+MONTH(D420),0),0)</f>
        <v>0</v>
      </c>
      <c r="S420" s="52" t="n">
        <f aca="false">IF(Q420=1,IF(M420&lt;0.15,1,0),0)</f>
        <v>0</v>
      </c>
    </row>
    <row r="421" customFormat="false" ht="15" hidden="false" customHeight="false" outlineLevel="0" collapsed="false">
      <c r="B421" s="53"/>
      <c r="C421" s="53"/>
      <c r="D421" s="54"/>
      <c r="E421" s="55"/>
      <c r="F421" s="55"/>
      <c r="G421" s="55"/>
      <c r="H421" s="56"/>
      <c r="I421" s="57" t="str">
        <f aca="false">IF(G421="","",G421*H421)</f>
        <v/>
      </c>
      <c r="J421" s="55"/>
      <c r="K421" s="55"/>
      <c r="L421" s="57" t="str">
        <f aca="false">IF(OR(B421="",G421=""),"",G421-E421-F421-I421-J421-K421)</f>
        <v/>
      </c>
      <c r="M421" s="58" t="str">
        <f aca="false">IF(L421="","",IF(G421=0,0,L421/G421))</f>
        <v/>
      </c>
      <c r="N421" s="53"/>
      <c r="O421" s="59" t="str">
        <f aca="false">IF(M421="","",IF(M421&lt;0.15,"⚠ LOW MARGIN / MARGEN BAJO","✔ OK"))</f>
        <v/>
      </c>
      <c r="P421" s="52" t="n">
        <f aca="false">IF(Q421=1,L421+ROW()/1000000,-1000000000000000)</f>
        <v>-1000000000000000</v>
      </c>
      <c r="Q421" s="52" t="n">
        <f aca="false">IF(B421="",0,IF(G421="",0,IF(N421="Returned / Devuelto",0,1)))</f>
        <v>0</v>
      </c>
      <c r="R421" s="52" t="n">
        <f aca="false">IF(Q421=1,IF(ISNUMBER(D421),YEAR(D421)*100+MONTH(D421),0),0)</f>
        <v>0</v>
      </c>
      <c r="S421" s="52" t="n">
        <f aca="false">IF(Q421=1,IF(M421&lt;0.15,1,0),0)</f>
        <v>0</v>
      </c>
    </row>
    <row r="422" customFormat="false" ht="15" hidden="false" customHeight="false" outlineLevel="0" collapsed="false">
      <c r="B422" s="53"/>
      <c r="C422" s="53"/>
      <c r="D422" s="54"/>
      <c r="E422" s="55"/>
      <c r="F422" s="55"/>
      <c r="G422" s="55"/>
      <c r="H422" s="56"/>
      <c r="I422" s="57" t="str">
        <f aca="false">IF(G422="","",G422*H422)</f>
        <v/>
      </c>
      <c r="J422" s="55"/>
      <c r="K422" s="55"/>
      <c r="L422" s="57" t="str">
        <f aca="false">IF(OR(B422="",G422=""),"",G422-E422-F422-I422-J422-K422)</f>
        <v/>
      </c>
      <c r="M422" s="58" t="str">
        <f aca="false">IF(L422="","",IF(G422=0,0,L422/G422))</f>
        <v/>
      </c>
      <c r="N422" s="53"/>
      <c r="O422" s="59" t="str">
        <f aca="false">IF(M422="","",IF(M422&lt;0.15,"⚠ LOW MARGIN / MARGEN BAJO","✔ OK"))</f>
        <v/>
      </c>
      <c r="P422" s="52" t="n">
        <f aca="false">IF(Q422=1,L422+ROW()/1000000,-1000000000000000)</f>
        <v>-1000000000000000</v>
      </c>
      <c r="Q422" s="52" t="n">
        <f aca="false">IF(B422="",0,IF(G422="",0,IF(N422="Returned / Devuelto",0,1)))</f>
        <v>0</v>
      </c>
      <c r="R422" s="52" t="n">
        <f aca="false">IF(Q422=1,IF(ISNUMBER(D422),YEAR(D422)*100+MONTH(D422),0),0)</f>
        <v>0</v>
      </c>
      <c r="S422" s="52" t="n">
        <f aca="false">IF(Q422=1,IF(M422&lt;0.15,1,0),0)</f>
        <v>0</v>
      </c>
    </row>
    <row r="423" customFormat="false" ht="15" hidden="false" customHeight="false" outlineLevel="0" collapsed="false">
      <c r="B423" s="53"/>
      <c r="C423" s="53"/>
      <c r="D423" s="54"/>
      <c r="E423" s="55"/>
      <c r="F423" s="55"/>
      <c r="G423" s="55"/>
      <c r="H423" s="56"/>
      <c r="I423" s="57" t="str">
        <f aca="false">IF(G423="","",G423*H423)</f>
        <v/>
      </c>
      <c r="J423" s="55"/>
      <c r="K423" s="55"/>
      <c r="L423" s="57" t="str">
        <f aca="false">IF(OR(B423="",G423=""),"",G423-E423-F423-I423-J423-K423)</f>
        <v/>
      </c>
      <c r="M423" s="58" t="str">
        <f aca="false">IF(L423="","",IF(G423=0,0,L423/G423))</f>
        <v/>
      </c>
      <c r="N423" s="53"/>
      <c r="O423" s="59" t="str">
        <f aca="false">IF(M423="","",IF(M423&lt;0.15,"⚠ LOW MARGIN / MARGEN BAJO","✔ OK"))</f>
        <v/>
      </c>
      <c r="P423" s="52" t="n">
        <f aca="false">IF(Q423=1,L423+ROW()/1000000,-1000000000000000)</f>
        <v>-1000000000000000</v>
      </c>
      <c r="Q423" s="52" t="n">
        <f aca="false">IF(B423="",0,IF(G423="",0,IF(N423="Returned / Devuelto",0,1)))</f>
        <v>0</v>
      </c>
      <c r="R423" s="52" t="n">
        <f aca="false">IF(Q423=1,IF(ISNUMBER(D423),YEAR(D423)*100+MONTH(D423),0),0)</f>
        <v>0</v>
      </c>
      <c r="S423" s="52" t="n">
        <f aca="false">IF(Q423=1,IF(M423&lt;0.15,1,0),0)</f>
        <v>0</v>
      </c>
    </row>
    <row r="424" customFormat="false" ht="15" hidden="false" customHeight="false" outlineLevel="0" collapsed="false">
      <c r="B424" s="53"/>
      <c r="C424" s="53"/>
      <c r="D424" s="54"/>
      <c r="E424" s="55"/>
      <c r="F424" s="55"/>
      <c r="G424" s="55"/>
      <c r="H424" s="56"/>
      <c r="I424" s="57" t="str">
        <f aca="false">IF(G424="","",G424*H424)</f>
        <v/>
      </c>
      <c r="J424" s="55"/>
      <c r="K424" s="55"/>
      <c r="L424" s="57" t="str">
        <f aca="false">IF(OR(B424="",G424=""),"",G424-E424-F424-I424-J424-K424)</f>
        <v/>
      </c>
      <c r="M424" s="58" t="str">
        <f aca="false">IF(L424="","",IF(G424=0,0,L424/G424))</f>
        <v/>
      </c>
      <c r="N424" s="53"/>
      <c r="O424" s="59" t="str">
        <f aca="false">IF(M424="","",IF(M424&lt;0.15,"⚠ LOW MARGIN / MARGEN BAJO","✔ OK"))</f>
        <v/>
      </c>
      <c r="P424" s="52" t="n">
        <f aca="false">IF(Q424=1,L424+ROW()/1000000,-1000000000000000)</f>
        <v>-1000000000000000</v>
      </c>
      <c r="Q424" s="52" t="n">
        <f aca="false">IF(B424="",0,IF(G424="",0,IF(N424="Returned / Devuelto",0,1)))</f>
        <v>0</v>
      </c>
      <c r="R424" s="52" t="n">
        <f aca="false">IF(Q424=1,IF(ISNUMBER(D424),YEAR(D424)*100+MONTH(D424),0),0)</f>
        <v>0</v>
      </c>
      <c r="S424" s="52" t="n">
        <f aca="false">IF(Q424=1,IF(M424&lt;0.15,1,0),0)</f>
        <v>0</v>
      </c>
    </row>
    <row r="425" customFormat="false" ht="15" hidden="false" customHeight="false" outlineLevel="0" collapsed="false">
      <c r="B425" s="53"/>
      <c r="C425" s="53"/>
      <c r="D425" s="54"/>
      <c r="E425" s="55"/>
      <c r="F425" s="55"/>
      <c r="G425" s="55"/>
      <c r="H425" s="56"/>
      <c r="I425" s="57" t="str">
        <f aca="false">IF(G425="","",G425*H425)</f>
        <v/>
      </c>
      <c r="J425" s="55"/>
      <c r="K425" s="55"/>
      <c r="L425" s="57" t="str">
        <f aca="false">IF(OR(B425="",G425=""),"",G425-E425-F425-I425-J425-K425)</f>
        <v/>
      </c>
      <c r="M425" s="58" t="str">
        <f aca="false">IF(L425="","",IF(G425=0,0,L425/G425))</f>
        <v/>
      </c>
      <c r="N425" s="53"/>
      <c r="O425" s="59" t="str">
        <f aca="false">IF(M425="","",IF(M425&lt;0.15,"⚠ LOW MARGIN / MARGEN BAJO","✔ OK"))</f>
        <v/>
      </c>
      <c r="P425" s="52" t="n">
        <f aca="false">IF(Q425=1,L425+ROW()/1000000,-1000000000000000)</f>
        <v>-1000000000000000</v>
      </c>
      <c r="Q425" s="52" t="n">
        <f aca="false">IF(B425="",0,IF(G425="",0,IF(N425="Returned / Devuelto",0,1)))</f>
        <v>0</v>
      </c>
      <c r="R425" s="52" t="n">
        <f aca="false">IF(Q425=1,IF(ISNUMBER(D425),YEAR(D425)*100+MONTH(D425),0),0)</f>
        <v>0</v>
      </c>
      <c r="S425" s="52" t="n">
        <f aca="false">IF(Q425=1,IF(M425&lt;0.15,1,0),0)</f>
        <v>0</v>
      </c>
    </row>
    <row r="426" customFormat="false" ht="15" hidden="false" customHeight="false" outlineLevel="0" collapsed="false">
      <c r="B426" s="53"/>
      <c r="C426" s="53"/>
      <c r="D426" s="54"/>
      <c r="E426" s="55"/>
      <c r="F426" s="55"/>
      <c r="G426" s="55"/>
      <c r="H426" s="56"/>
      <c r="I426" s="57" t="str">
        <f aca="false">IF(G426="","",G426*H426)</f>
        <v/>
      </c>
      <c r="J426" s="55"/>
      <c r="K426" s="55"/>
      <c r="L426" s="57" t="str">
        <f aca="false">IF(OR(B426="",G426=""),"",G426-E426-F426-I426-J426-K426)</f>
        <v/>
      </c>
      <c r="M426" s="58" t="str">
        <f aca="false">IF(L426="","",IF(G426=0,0,L426/G426))</f>
        <v/>
      </c>
      <c r="N426" s="53"/>
      <c r="O426" s="59" t="str">
        <f aca="false">IF(M426="","",IF(M426&lt;0.15,"⚠ LOW MARGIN / MARGEN BAJO","✔ OK"))</f>
        <v/>
      </c>
      <c r="P426" s="52" t="n">
        <f aca="false">IF(Q426=1,L426+ROW()/1000000,-1000000000000000)</f>
        <v>-1000000000000000</v>
      </c>
      <c r="Q426" s="52" t="n">
        <f aca="false">IF(B426="",0,IF(G426="",0,IF(N426="Returned / Devuelto",0,1)))</f>
        <v>0</v>
      </c>
      <c r="R426" s="52" t="n">
        <f aca="false">IF(Q426=1,IF(ISNUMBER(D426),YEAR(D426)*100+MONTH(D426),0),0)</f>
        <v>0</v>
      </c>
      <c r="S426" s="52" t="n">
        <f aca="false">IF(Q426=1,IF(M426&lt;0.15,1,0),0)</f>
        <v>0</v>
      </c>
    </row>
    <row r="427" customFormat="false" ht="15" hidden="false" customHeight="false" outlineLevel="0" collapsed="false">
      <c r="B427" s="53"/>
      <c r="C427" s="53"/>
      <c r="D427" s="54"/>
      <c r="E427" s="55"/>
      <c r="F427" s="55"/>
      <c r="G427" s="55"/>
      <c r="H427" s="56"/>
      <c r="I427" s="57" t="str">
        <f aca="false">IF(G427="","",G427*H427)</f>
        <v/>
      </c>
      <c r="J427" s="55"/>
      <c r="K427" s="55"/>
      <c r="L427" s="57" t="str">
        <f aca="false">IF(OR(B427="",G427=""),"",G427-E427-F427-I427-J427-K427)</f>
        <v/>
      </c>
      <c r="M427" s="58" t="str">
        <f aca="false">IF(L427="","",IF(G427=0,0,L427/G427))</f>
        <v/>
      </c>
      <c r="N427" s="53"/>
      <c r="O427" s="59" t="str">
        <f aca="false">IF(M427="","",IF(M427&lt;0.15,"⚠ LOW MARGIN / MARGEN BAJO","✔ OK"))</f>
        <v/>
      </c>
      <c r="P427" s="52" t="n">
        <f aca="false">IF(Q427=1,L427+ROW()/1000000,-1000000000000000)</f>
        <v>-1000000000000000</v>
      </c>
      <c r="Q427" s="52" t="n">
        <f aca="false">IF(B427="",0,IF(G427="",0,IF(N427="Returned / Devuelto",0,1)))</f>
        <v>0</v>
      </c>
      <c r="R427" s="52" t="n">
        <f aca="false">IF(Q427=1,IF(ISNUMBER(D427),YEAR(D427)*100+MONTH(D427),0),0)</f>
        <v>0</v>
      </c>
      <c r="S427" s="52" t="n">
        <f aca="false">IF(Q427=1,IF(M427&lt;0.15,1,0),0)</f>
        <v>0</v>
      </c>
    </row>
    <row r="428" customFormat="false" ht="15" hidden="false" customHeight="false" outlineLevel="0" collapsed="false">
      <c r="B428" s="53"/>
      <c r="C428" s="53"/>
      <c r="D428" s="54"/>
      <c r="E428" s="55"/>
      <c r="F428" s="55"/>
      <c r="G428" s="55"/>
      <c r="H428" s="56"/>
      <c r="I428" s="57" t="str">
        <f aca="false">IF(G428="","",G428*H428)</f>
        <v/>
      </c>
      <c r="J428" s="55"/>
      <c r="K428" s="55"/>
      <c r="L428" s="57" t="str">
        <f aca="false">IF(OR(B428="",G428=""),"",G428-E428-F428-I428-J428-K428)</f>
        <v/>
      </c>
      <c r="M428" s="58" t="str">
        <f aca="false">IF(L428="","",IF(G428=0,0,L428/G428))</f>
        <v/>
      </c>
      <c r="N428" s="53"/>
      <c r="O428" s="59" t="str">
        <f aca="false">IF(M428="","",IF(M428&lt;0.15,"⚠ LOW MARGIN / MARGEN BAJO","✔ OK"))</f>
        <v/>
      </c>
      <c r="P428" s="52" t="n">
        <f aca="false">IF(Q428=1,L428+ROW()/1000000,-1000000000000000)</f>
        <v>-1000000000000000</v>
      </c>
      <c r="Q428" s="52" t="n">
        <f aca="false">IF(B428="",0,IF(G428="",0,IF(N428="Returned / Devuelto",0,1)))</f>
        <v>0</v>
      </c>
      <c r="R428" s="52" t="n">
        <f aca="false">IF(Q428=1,IF(ISNUMBER(D428),YEAR(D428)*100+MONTH(D428),0),0)</f>
        <v>0</v>
      </c>
      <c r="S428" s="52" t="n">
        <f aca="false">IF(Q428=1,IF(M428&lt;0.15,1,0),0)</f>
        <v>0</v>
      </c>
    </row>
    <row r="429" customFormat="false" ht="15" hidden="false" customHeight="false" outlineLevel="0" collapsed="false">
      <c r="B429" s="53"/>
      <c r="C429" s="53"/>
      <c r="D429" s="54"/>
      <c r="E429" s="55"/>
      <c r="F429" s="55"/>
      <c r="G429" s="55"/>
      <c r="H429" s="56"/>
      <c r="I429" s="57" t="str">
        <f aca="false">IF(G429="","",G429*H429)</f>
        <v/>
      </c>
      <c r="J429" s="55"/>
      <c r="K429" s="55"/>
      <c r="L429" s="57" t="str">
        <f aca="false">IF(OR(B429="",G429=""),"",G429-E429-F429-I429-J429-K429)</f>
        <v/>
      </c>
      <c r="M429" s="58" t="str">
        <f aca="false">IF(L429="","",IF(G429=0,0,L429/G429))</f>
        <v/>
      </c>
      <c r="N429" s="53"/>
      <c r="O429" s="59" t="str">
        <f aca="false">IF(M429="","",IF(M429&lt;0.15,"⚠ LOW MARGIN / MARGEN BAJO","✔ OK"))</f>
        <v/>
      </c>
      <c r="P429" s="52" t="n">
        <f aca="false">IF(Q429=1,L429+ROW()/1000000,-1000000000000000)</f>
        <v>-1000000000000000</v>
      </c>
      <c r="Q429" s="52" t="n">
        <f aca="false">IF(B429="",0,IF(G429="",0,IF(N429="Returned / Devuelto",0,1)))</f>
        <v>0</v>
      </c>
      <c r="R429" s="52" t="n">
        <f aca="false">IF(Q429=1,IF(ISNUMBER(D429),YEAR(D429)*100+MONTH(D429),0),0)</f>
        <v>0</v>
      </c>
      <c r="S429" s="52" t="n">
        <f aca="false">IF(Q429=1,IF(M429&lt;0.15,1,0),0)</f>
        <v>0</v>
      </c>
    </row>
    <row r="430" customFormat="false" ht="15" hidden="false" customHeight="false" outlineLevel="0" collapsed="false">
      <c r="B430" s="53"/>
      <c r="C430" s="53"/>
      <c r="D430" s="54"/>
      <c r="E430" s="55"/>
      <c r="F430" s="55"/>
      <c r="G430" s="55"/>
      <c r="H430" s="56"/>
      <c r="I430" s="57" t="str">
        <f aca="false">IF(G430="","",G430*H430)</f>
        <v/>
      </c>
      <c r="J430" s="55"/>
      <c r="K430" s="55"/>
      <c r="L430" s="57" t="str">
        <f aca="false">IF(OR(B430="",G430=""),"",G430-E430-F430-I430-J430-K430)</f>
        <v/>
      </c>
      <c r="M430" s="58" t="str">
        <f aca="false">IF(L430="","",IF(G430=0,0,L430/G430))</f>
        <v/>
      </c>
      <c r="N430" s="53"/>
      <c r="O430" s="59" t="str">
        <f aca="false">IF(M430="","",IF(M430&lt;0.15,"⚠ LOW MARGIN / MARGEN BAJO","✔ OK"))</f>
        <v/>
      </c>
      <c r="P430" s="52" t="n">
        <f aca="false">IF(Q430=1,L430+ROW()/1000000,-1000000000000000)</f>
        <v>-1000000000000000</v>
      </c>
      <c r="Q430" s="52" t="n">
        <f aca="false">IF(B430="",0,IF(G430="",0,IF(N430="Returned / Devuelto",0,1)))</f>
        <v>0</v>
      </c>
      <c r="R430" s="52" t="n">
        <f aca="false">IF(Q430=1,IF(ISNUMBER(D430),YEAR(D430)*100+MONTH(D430),0),0)</f>
        <v>0</v>
      </c>
      <c r="S430" s="52" t="n">
        <f aca="false">IF(Q430=1,IF(M430&lt;0.15,1,0),0)</f>
        <v>0</v>
      </c>
    </row>
    <row r="431" customFormat="false" ht="15" hidden="false" customHeight="false" outlineLevel="0" collapsed="false">
      <c r="B431" s="53"/>
      <c r="C431" s="53"/>
      <c r="D431" s="54"/>
      <c r="E431" s="55"/>
      <c r="F431" s="55"/>
      <c r="G431" s="55"/>
      <c r="H431" s="56"/>
      <c r="I431" s="57" t="str">
        <f aca="false">IF(G431="","",G431*H431)</f>
        <v/>
      </c>
      <c r="J431" s="55"/>
      <c r="K431" s="55"/>
      <c r="L431" s="57" t="str">
        <f aca="false">IF(OR(B431="",G431=""),"",G431-E431-F431-I431-J431-K431)</f>
        <v/>
      </c>
      <c r="M431" s="58" t="str">
        <f aca="false">IF(L431="","",IF(G431=0,0,L431/G431))</f>
        <v/>
      </c>
      <c r="N431" s="53"/>
      <c r="O431" s="59" t="str">
        <f aca="false">IF(M431="","",IF(M431&lt;0.15,"⚠ LOW MARGIN / MARGEN BAJO","✔ OK"))</f>
        <v/>
      </c>
      <c r="P431" s="52" t="n">
        <f aca="false">IF(Q431=1,L431+ROW()/1000000,-1000000000000000)</f>
        <v>-1000000000000000</v>
      </c>
      <c r="Q431" s="52" t="n">
        <f aca="false">IF(B431="",0,IF(G431="",0,IF(N431="Returned / Devuelto",0,1)))</f>
        <v>0</v>
      </c>
      <c r="R431" s="52" t="n">
        <f aca="false">IF(Q431=1,IF(ISNUMBER(D431),YEAR(D431)*100+MONTH(D431),0),0)</f>
        <v>0</v>
      </c>
      <c r="S431" s="52" t="n">
        <f aca="false">IF(Q431=1,IF(M431&lt;0.15,1,0),0)</f>
        <v>0</v>
      </c>
    </row>
    <row r="432" customFormat="false" ht="15" hidden="false" customHeight="false" outlineLevel="0" collapsed="false">
      <c r="B432" s="53"/>
      <c r="C432" s="53"/>
      <c r="D432" s="54"/>
      <c r="E432" s="55"/>
      <c r="F432" s="55"/>
      <c r="G432" s="55"/>
      <c r="H432" s="56"/>
      <c r="I432" s="57" t="str">
        <f aca="false">IF(G432="","",G432*H432)</f>
        <v/>
      </c>
      <c r="J432" s="55"/>
      <c r="K432" s="55"/>
      <c r="L432" s="57" t="str">
        <f aca="false">IF(OR(B432="",G432=""),"",G432-E432-F432-I432-J432-K432)</f>
        <v/>
      </c>
      <c r="M432" s="58" t="str">
        <f aca="false">IF(L432="","",IF(G432=0,0,L432/G432))</f>
        <v/>
      </c>
      <c r="N432" s="53"/>
      <c r="O432" s="59" t="str">
        <f aca="false">IF(M432="","",IF(M432&lt;0.15,"⚠ LOW MARGIN / MARGEN BAJO","✔ OK"))</f>
        <v/>
      </c>
      <c r="P432" s="52" t="n">
        <f aca="false">IF(Q432=1,L432+ROW()/1000000,-1000000000000000)</f>
        <v>-1000000000000000</v>
      </c>
      <c r="Q432" s="52" t="n">
        <f aca="false">IF(B432="",0,IF(G432="",0,IF(N432="Returned / Devuelto",0,1)))</f>
        <v>0</v>
      </c>
      <c r="R432" s="52" t="n">
        <f aca="false">IF(Q432=1,IF(ISNUMBER(D432),YEAR(D432)*100+MONTH(D432),0),0)</f>
        <v>0</v>
      </c>
      <c r="S432" s="52" t="n">
        <f aca="false">IF(Q432=1,IF(M432&lt;0.15,1,0),0)</f>
        <v>0</v>
      </c>
    </row>
    <row r="433" customFormat="false" ht="15" hidden="false" customHeight="false" outlineLevel="0" collapsed="false">
      <c r="B433" s="53"/>
      <c r="C433" s="53"/>
      <c r="D433" s="54"/>
      <c r="E433" s="55"/>
      <c r="F433" s="55"/>
      <c r="G433" s="55"/>
      <c r="H433" s="56"/>
      <c r="I433" s="57" t="str">
        <f aca="false">IF(G433="","",G433*H433)</f>
        <v/>
      </c>
      <c r="J433" s="55"/>
      <c r="K433" s="55"/>
      <c r="L433" s="57" t="str">
        <f aca="false">IF(OR(B433="",G433=""),"",G433-E433-F433-I433-J433-K433)</f>
        <v/>
      </c>
      <c r="M433" s="58" t="str">
        <f aca="false">IF(L433="","",IF(G433=0,0,L433/G433))</f>
        <v/>
      </c>
      <c r="N433" s="53"/>
      <c r="O433" s="59" t="str">
        <f aca="false">IF(M433="","",IF(M433&lt;0.15,"⚠ LOW MARGIN / MARGEN BAJO","✔ OK"))</f>
        <v/>
      </c>
      <c r="P433" s="52" t="n">
        <f aca="false">IF(Q433=1,L433+ROW()/1000000,-1000000000000000)</f>
        <v>-1000000000000000</v>
      </c>
      <c r="Q433" s="52" t="n">
        <f aca="false">IF(B433="",0,IF(G433="",0,IF(N433="Returned / Devuelto",0,1)))</f>
        <v>0</v>
      </c>
      <c r="R433" s="52" t="n">
        <f aca="false">IF(Q433=1,IF(ISNUMBER(D433),YEAR(D433)*100+MONTH(D433),0),0)</f>
        <v>0</v>
      </c>
      <c r="S433" s="52" t="n">
        <f aca="false">IF(Q433=1,IF(M433&lt;0.15,1,0),0)</f>
        <v>0</v>
      </c>
    </row>
    <row r="434" customFormat="false" ht="15" hidden="false" customHeight="false" outlineLevel="0" collapsed="false">
      <c r="B434" s="53"/>
      <c r="C434" s="53"/>
      <c r="D434" s="54"/>
      <c r="E434" s="55"/>
      <c r="F434" s="55"/>
      <c r="G434" s="55"/>
      <c r="H434" s="56"/>
      <c r="I434" s="57" t="str">
        <f aca="false">IF(G434="","",G434*H434)</f>
        <v/>
      </c>
      <c r="J434" s="55"/>
      <c r="K434" s="55"/>
      <c r="L434" s="57" t="str">
        <f aca="false">IF(OR(B434="",G434=""),"",G434-E434-F434-I434-J434-K434)</f>
        <v/>
      </c>
      <c r="M434" s="58" t="str">
        <f aca="false">IF(L434="","",IF(G434=0,0,L434/G434))</f>
        <v/>
      </c>
      <c r="N434" s="53"/>
      <c r="O434" s="59" t="str">
        <f aca="false">IF(M434="","",IF(M434&lt;0.15,"⚠ LOW MARGIN / MARGEN BAJO","✔ OK"))</f>
        <v/>
      </c>
      <c r="P434" s="52" t="n">
        <f aca="false">IF(Q434=1,L434+ROW()/1000000,-1000000000000000)</f>
        <v>-1000000000000000</v>
      </c>
      <c r="Q434" s="52" t="n">
        <f aca="false">IF(B434="",0,IF(G434="",0,IF(N434="Returned / Devuelto",0,1)))</f>
        <v>0</v>
      </c>
      <c r="R434" s="52" t="n">
        <f aca="false">IF(Q434=1,IF(ISNUMBER(D434),YEAR(D434)*100+MONTH(D434),0),0)</f>
        <v>0</v>
      </c>
      <c r="S434" s="52" t="n">
        <f aca="false">IF(Q434=1,IF(M434&lt;0.15,1,0),0)</f>
        <v>0</v>
      </c>
    </row>
    <row r="435" customFormat="false" ht="15" hidden="false" customHeight="false" outlineLevel="0" collapsed="false">
      <c r="B435" s="53"/>
      <c r="C435" s="53"/>
      <c r="D435" s="54"/>
      <c r="E435" s="55"/>
      <c r="F435" s="55"/>
      <c r="G435" s="55"/>
      <c r="H435" s="56"/>
      <c r="I435" s="57" t="str">
        <f aca="false">IF(G435="","",G435*H435)</f>
        <v/>
      </c>
      <c r="J435" s="55"/>
      <c r="K435" s="55"/>
      <c r="L435" s="57" t="str">
        <f aca="false">IF(OR(B435="",G435=""),"",G435-E435-F435-I435-J435-K435)</f>
        <v/>
      </c>
      <c r="M435" s="58" t="str">
        <f aca="false">IF(L435="","",IF(G435=0,0,L435/G435))</f>
        <v/>
      </c>
      <c r="N435" s="53"/>
      <c r="O435" s="59" t="str">
        <f aca="false">IF(M435="","",IF(M435&lt;0.15,"⚠ LOW MARGIN / MARGEN BAJO","✔ OK"))</f>
        <v/>
      </c>
      <c r="P435" s="52" t="n">
        <f aca="false">IF(Q435=1,L435+ROW()/1000000,-1000000000000000)</f>
        <v>-1000000000000000</v>
      </c>
      <c r="Q435" s="52" t="n">
        <f aca="false">IF(B435="",0,IF(G435="",0,IF(N435="Returned / Devuelto",0,1)))</f>
        <v>0</v>
      </c>
      <c r="R435" s="52" t="n">
        <f aca="false">IF(Q435=1,IF(ISNUMBER(D435),YEAR(D435)*100+MONTH(D435),0),0)</f>
        <v>0</v>
      </c>
      <c r="S435" s="52" t="n">
        <f aca="false">IF(Q435=1,IF(M435&lt;0.15,1,0),0)</f>
        <v>0</v>
      </c>
    </row>
    <row r="436" customFormat="false" ht="15" hidden="false" customHeight="false" outlineLevel="0" collapsed="false">
      <c r="B436" s="53"/>
      <c r="C436" s="53"/>
      <c r="D436" s="54"/>
      <c r="E436" s="55"/>
      <c r="F436" s="55"/>
      <c r="G436" s="55"/>
      <c r="H436" s="56"/>
      <c r="I436" s="57" t="str">
        <f aca="false">IF(G436="","",G436*H436)</f>
        <v/>
      </c>
      <c r="J436" s="55"/>
      <c r="K436" s="55"/>
      <c r="L436" s="57" t="str">
        <f aca="false">IF(OR(B436="",G436=""),"",G436-E436-F436-I436-J436-K436)</f>
        <v/>
      </c>
      <c r="M436" s="58" t="str">
        <f aca="false">IF(L436="","",IF(G436=0,0,L436/G436))</f>
        <v/>
      </c>
      <c r="N436" s="53"/>
      <c r="O436" s="59" t="str">
        <f aca="false">IF(M436="","",IF(M436&lt;0.15,"⚠ LOW MARGIN / MARGEN BAJO","✔ OK"))</f>
        <v/>
      </c>
      <c r="P436" s="52" t="n">
        <f aca="false">IF(Q436=1,L436+ROW()/1000000,-1000000000000000)</f>
        <v>-1000000000000000</v>
      </c>
      <c r="Q436" s="52" t="n">
        <f aca="false">IF(B436="",0,IF(G436="",0,IF(N436="Returned / Devuelto",0,1)))</f>
        <v>0</v>
      </c>
      <c r="R436" s="52" t="n">
        <f aca="false">IF(Q436=1,IF(ISNUMBER(D436),YEAR(D436)*100+MONTH(D436),0),0)</f>
        <v>0</v>
      </c>
      <c r="S436" s="52" t="n">
        <f aca="false">IF(Q436=1,IF(M436&lt;0.15,1,0),0)</f>
        <v>0</v>
      </c>
    </row>
    <row r="437" customFormat="false" ht="15" hidden="false" customHeight="false" outlineLevel="0" collapsed="false">
      <c r="B437" s="53"/>
      <c r="C437" s="53"/>
      <c r="D437" s="54"/>
      <c r="E437" s="55"/>
      <c r="F437" s="55"/>
      <c r="G437" s="55"/>
      <c r="H437" s="56"/>
      <c r="I437" s="57" t="str">
        <f aca="false">IF(G437="","",G437*H437)</f>
        <v/>
      </c>
      <c r="J437" s="55"/>
      <c r="K437" s="55"/>
      <c r="L437" s="57" t="str">
        <f aca="false">IF(OR(B437="",G437=""),"",G437-E437-F437-I437-J437-K437)</f>
        <v/>
      </c>
      <c r="M437" s="58" t="str">
        <f aca="false">IF(L437="","",IF(G437=0,0,L437/G437))</f>
        <v/>
      </c>
      <c r="N437" s="53"/>
      <c r="O437" s="59" t="str">
        <f aca="false">IF(M437="","",IF(M437&lt;0.15,"⚠ LOW MARGIN / MARGEN BAJO","✔ OK"))</f>
        <v/>
      </c>
      <c r="P437" s="52" t="n">
        <f aca="false">IF(Q437=1,L437+ROW()/1000000,-1000000000000000)</f>
        <v>-1000000000000000</v>
      </c>
      <c r="Q437" s="52" t="n">
        <f aca="false">IF(B437="",0,IF(G437="",0,IF(N437="Returned / Devuelto",0,1)))</f>
        <v>0</v>
      </c>
      <c r="R437" s="52" t="n">
        <f aca="false">IF(Q437=1,IF(ISNUMBER(D437),YEAR(D437)*100+MONTH(D437),0),0)</f>
        <v>0</v>
      </c>
      <c r="S437" s="52" t="n">
        <f aca="false">IF(Q437=1,IF(M437&lt;0.15,1,0),0)</f>
        <v>0</v>
      </c>
    </row>
    <row r="438" customFormat="false" ht="15" hidden="false" customHeight="false" outlineLevel="0" collapsed="false">
      <c r="B438" s="53"/>
      <c r="C438" s="53"/>
      <c r="D438" s="54"/>
      <c r="E438" s="55"/>
      <c r="F438" s="55"/>
      <c r="G438" s="55"/>
      <c r="H438" s="56"/>
      <c r="I438" s="57" t="str">
        <f aca="false">IF(G438="","",G438*H438)</f>
        <v/>
      </c>
      <c r="J438" s="55"/>
      <c r="K438" s="55"/>
      <c r="L438" s="57" t="str">
        <f aca="false">IF(OR(B438="",G438=""),"",G438-E438-F438-I438-J438-K438)</f>
        <v/>
      </c>
      <c r="M438" s="58" t="str">
        <f aca="false">IF(L438="","",IF(G438=0,0,L438/G438))</f>
        <v/>
      </c>
      <c r="N438" s="53"/>
      <c r="O438" s="59" t="str">
        <f aca="false">IF(M438="","",IF(M438&lt;0.15,"⚠ LOW MARGIN / MARGEN BAJO","✔ OK"))</f>
        <v/>
      </c>
      <c r="P438" s="52" t="n">
        <f aca="false">IF(Q438=1,L438+ROW()/1000000,-1000000000000000)</f>
        <v>-1000000000000000</v>
      </c>
      <c r="Q438" s="52" t="n">
        <f aca="false">IF(B438="",0,IF(G438="",0,IF(N438="Returned / Devuelto",0,1)))</f>
        <v>0</v>
      </c>
      <c r="R438" s="52" t="n">
        <f aca="false">IF(Q438=1,IF(ISNUMBER(D438),YEAR(D438)*100+MONTH(D438),0),0)</f>
        <v>0</v>
      </c>
      <c r="S438" s="52" t="n">
        <f aca="false">IF(Q438=1,IF(M438&lt;0.15,1,0),0)</f>
        <v>0</v>
      </c>
    </row>
    <row r="439" customFormat="false" ht="15" hidden="false" customHeight="false" outlineLevel="0" collapsed="false">
      <c r="B439" s="53"/>
      <c r="C439" s="53"/>
      <c r="D439" s="54"/>
      <c r="E439" s="55"/>
      <c r="F439" s="55"/>
      <c r="G439" s="55"/>
      <c r="H439" s="56"/>
      <c r="I439" s="57" t="str">
        <f aca="false">IF(G439="","",G439*H439)</f>
        <v/>
      </c>
      <c r="J439" s="55"/>
      <c r="K439" s="55"/>
      <c r="L439" s="57" t="str">
        <f aca="false">IF(OR(B439="",G439=""),"",G439-E439-F439-I439-J439-K439)</f>
        <v/>
      </c>
      <c r="M439" s="58" t="str">
        <f aca="false">IF(L439="","",IF(G439=0,0,L439/G439))</f>
        <v/>
      </c>
      <c r="N439" s="53"/>
      <c r="O439" s="59" t="str">
        <f aca="false">IF(M439="","",IF(M439&lt;0.15,"⚠ LOW MARGIN / MARGEN BAJO","✔ OK"))</f>
        <v/>
      </c>
      <c r="P439" s="52" t="n">
        <f aca="false">IF(Q439=1,L439+ROW()/1000000,-1000000000000000)</f>
        <v>-1000000000000000</v>
      </c>
      <c r="Q439" s="52" t="n">
        <f aca="false">IF(B439="",0,IF(G439="",0,IF(N439="Returned / Devuelto",0,1)))</f>
        <v>0</v>
      </c>
      <c r="R439" s="52" t="n">
        <f aca="false">IF(Q439=1,IF(ISNUMBER(D439),YEAR(D439)*100+MONTH(D439),0),0)</f>
        <v>0</v>
      </c>
      <c r="S439" s="52" t="n">
        <f aca="false">IF(Q439=1,IF(M439&lt;0.15,1,0),0)</f>
        <v>0</v>
      </c>
    </row>
    <row r="440" customFormat="false" ht="15" hidden="false" customHeight="false" outlineLevel="0" collapsed="false">
      <c r="B440" s="53"/>
      <c r="C440" s="53"/>
      <c r="D440" s="54"/>
      <c r="E440" s="55"/>
      <c r="F440" s="55"/>
      <c r="G440" s="55"/>
      <c r="H440" s="56"/>
      <c r="I440" s="57" t="str">
        <f aca="false">IF(G440="","",G440*H440)</f>
        <v/>
      </c>
      <c r="J440" s="55"/>
      <c r="K440" s="55"/>
      <c r="L440" s="57" t="str">
        <f aca="false">IF(OR(B440="",G440=""),"",G440-E440-F440-I440-J440-K440)</f>
        <v/>
      </c>
      <c r="M440" s="58" t="str">
        <f aca="false">IF(L440="","",IF(G440=0,0,L440/G440))</f>
        <v/>
      </c>
      <c r="N440" s="53"/>
      <c r="O440" s="59" t="str">
        <f aca="false">IF(M440="","",IF(M440&lt;0.15,"⚠ LOW MARGIN / MARGEN BAJO","✔ OK"))</f>
        <v/>
      </c>
      <c r="P440" s="52" t="n">
        <f aca="false">IF(Q440=1,L440+ROW()/1000000,-1000000000000000)</f>
        <v>-1000000000000000</v>
      </c>
      <c r="Q440" s="52" t="n">
        <f aca="false">IF(B440="",0,IF(G440="",0,IF(N440="Returned / Devuelto",0,1)))</f>
        <v>0</v>
      </c>
      <c r="R440" s="52" t="n">
        <f aca="false">IF(Q440=1,IF(ISNUMBER(D440),YEAR(D440)*100+MONTH(D440),0),0)</f>
        <v>0</v>
      </c>
      <c r="S440" s="52" t="n">
        <f aca="false">IF(Q440=1,IF(M440&lt;0.15,1,0),0)</f>
        <v>0</v>
      </c>
    </row>
    <row r="441" customFormat="false" ht="15" hidden="false" customHeight="false" outlineLevel="0" collapsed="false">
      <c r="B441" s="53"/>
      <c r="C441" s="53"/>
      <c r="D441" s="54"/>
      <c r="E441" s="55"/>
      <c r="F441" s="55"/>
      <c r="G441" s="55"/>
      <c r="H441" s="56"/>
      <c r="I441" s="57" t="str">
        <f aca="false">IF(G441="","",G441*H441)</f>
        <v/>
      </c>
      <c r="J441" s="55"/>
      <c r="K441" s="55"/>
      <c r="L441" s="57" t="str">
        <f aca="false">IF(OR(B441="",G441=""),"",G441-E441-F441-I441-J441-K441)</f>
        <v/>
      </c>
      <c r="M441" s="58" t="str">
        <f aca="false">IF(L441="","",IF(G441=0,0,L441/G441))</f>
        <v/>
      </c>
      <c r="N441" s="53"/>
      <c r="O441" s="59" t="str">
        <f aca="false">IF(M441="","",IF(M441&lt;0.15,"⚠ LOW MARGIN / MARGEN BAJO","✔ OK"))</f>
        <v/>
      </c>
      <c r="P441" s="52" t="n">
        <f aca="false">IF(Q441=1,L441+ROW()/1000000,-1000000000000000)</f>
        <v>-1000000000000000</v>
      </c>
      <c r="Q441" s="52" t="n">
        <f aca="false">IF(B441="",0,IF(G441="",0,IF(N441="Returned / Devuelto",0,1)))</f>
        <v>0</v>
      </c>
      <c r="R441" s="52" t="n">
        <f aca="false">IF(Q441=1,IF(ISNUMBER(D441),YEAR(D441)*100+MONTH(D441),0),0)</f>
        <v>0</v>
      </c>
      <c r="S441" s="52" t="n">
        <f aca="false">IF(Q441=1,IF(M441&lt;0.15,1,0),0)</f>
        <v>0</v>
      </c>
    </row>
    <row r="442" customFormat="false" ht="15" hidden="false" customHeight="false" outlineLevel="0" collapsed="false">
      <c r="B442" s="53"/>
      <c r="C442" s="53"/>
      <c r="D442" s="54"/>
      <c r="E442" s="55"/>
      <c r="F442" s="55"/>
      <c r="G442" s="55"/>
      <c r="H442" s="56"/>
      <c r="I442" s="57" t="str">
        <f aca="false">IF(G442="","",G442*H442)</f>
        <v/>
      </c>
      <c r="J442" s="55"/>
      <c r="K442" s="55"/>
      <c r="L442" s="57" t="str">
        <f aca="false">IF(OR(B442="",G442=""),"",G442-E442-F442-I442-J442-K442)</f>
        <v/>
      </c>
      <c r="M442" s="58" t="str">
        <f aca="false">IF(L442="","",IF(G442=0,0,L442/G442))</f>
        <v/>
      </c>
      <c r="N442" s="53"/>
      <c r="O442" s="59" t="str">
        <f aca="false">IF(M442="","",IF(M442&lt;0.15,"⚠ LOW MARGIN / MARGEN BAJO","✔ OK"))</f>
        <v/>
      </c>
      <c r="P442" s="52" t="n">
        <f aca="false">IF(Q442=1,L442+ROW()/1000000,-1000000000000000)</f>
        <v>-1000000000000000</v>
      </c>
      <c r="Q442" s="52" t="n">
        <f aca="false">IF(B442="",0,IF(G442="",0,IF(N442="Returned / Devuelto",0,1)))</f>
        <v>0</v>
      </c>
      <c r="R442" s="52" t="n">
        <f aca="false">IF(Q442=1,IF(ISNUMBER(D442),YEAR(D442)*100+MONTH(D442),0),0)</f>
        <v>0</v>
      </c>
      <c r="S442" s="52" t="n">
        <f aca="false">IF(Q442=1,IF(M442&lt;0.15,1,0),0)</f>
        <v>0</v>
      </c>
    </row>
    <row r="443" customFormat="false" ht="15" hidden="false" customHeight="false" outlineLevel="0" collapsed="false">
      <c r="B443" s="53"/>
      <c r="C443" s="53"/>
      <c r="D443" s="54"/>
      <c r="E443" s="55"/>
      <c r="F443" s="55"/>
      <c r="G443" s="55"/>
      <c r="H443" s="56"/>
      <c r="I443" s="57" t="str">
        <f aca="false">IF(G443="","",G443*H443)</f>
        <v/>
      </c>
      <c r="J443" s="55"/>
      <c r="K443" s="55"/>
      <c r="L443" s="57" t="str">
        <f aca="false">IF(OR(B443="",G443=""),"",G443-E443-F443-I443-J443-K443)</f>
        <v/>
      </c>
      <c r="M443" s="58" t="str">
        <f aca="false">IF(L443="","",IF(G443=0,0,L443/G443))</f>
        <v/>
      </c>
      <c r="N443" s="53"/>
      <c r="O443" s="59" t="str">
        <f aca="false">IF(M443="","",IF(M443&lt;0.15,"⚠ LOW MARGIN / MARGEN BAJO","✔ OK"))</f>
        <v/>
      </c>
      <c r="P443" s="52" t="n">
        <f aca="false">IF(Q443=1,L443+ROW()/1000000,-1000000000000000)</f>
        <v>-1000000000000000</v>
      </c>
      <c r="Q443" s="52" t="n">
        <f aca="false">IF(B443="",0,IF(G443="",0,IF(N443="Returned / Devuelto",0,1)))</f>
        <v>0</v>
      </c>
      <c r="R443" s="52" t="n">
        <f aca="false">IF(Q443=1,IF(ISNUMBER(D443),YEAR(D443)*100+MONTH(D443),0),0)</f>
        <v>0</v>
      </c>
      <c r="S443" s="52" t="n">
        <f aca="false">IF(Q443=1,IF(M443&lt;0.15,1,0),0)</f>
        <v>0</v>
      </c>
    </row>
    <row r="444" customFormat="false" ht="15" hidden="false" customHeight="false" outlineLevel="0" collapsed="false">
      <c r="B444" s="53"/>
      <c r="C444" s="53"/>
      <c r="D444" s="54"/>
      <c r="E444" s="55"/>
      <c r="F444" s="55"/>
      <c r="G444" s="55"/>
      <c r="H444" s="56"/>
      <c r="I444" s="57" t="str">
        <f aca="false">IF(G444="","",G444*H444)</f>
        <v/>
      </c>
      <c r="J444" s="55"/>
      <c r="K444" s="55"/>
      <c r="L444" s="57" t="str">
        <f aca="false">IF(OR(B444="",G444=""),"",G444-E444-F444-I444-J444-K444)</f>
        <v/>
      </c>
      <c r="M444" s="58" t="str">
        <f aca="false">IF(L444="","",IF(G444=0,0,L444/G444))</f>
        <v/>
      </c>
      <c r="N444" s="53"/>
      <c r="O444" s="59" t="str">
        <f aca="false">IF(M444="","",IF(M444&lt;0.15,"⚠ LOW MARGIN / MARGEN BAJO","✔ OK"))</f>
        <v/>
      </c>
      <c r="P444" s="52" t="n">
        <f aca="false">IF(Q444=1,L444+ROW()/1000000,-1000000000000000)</f>
        <v>-1000000000000000</v>
      </c>
      <c r="Q444" s="52" t="n">
        <f aca="false">IF(B444="",0,IF(G444="",0,IF(N444="Returned / Devuelto",0,1)))</f>
        <v>0</v>
      </c>
      <c r="R444" s="52" t="n">
        <f aca="false">IF(Q444=1,IF(ISNUMBER(D444),YEAR(D444)*100+MONTH(D444),0),0)</f>
        <v>0</v>
      </c>
      <c r="S444" s="52" t="n">
        <f aca="false">IF(Q444=1,IF(M444&lt;0.15,1,0),0)</f>
        <v>0</v>
      </c>
    </row>
    <row r="445" customFormat="false" ht="15" hidden="false" customHeight="false" outlineLevel="0" collapsed="false">
      <c r="B445" s="53"/>
      <c r="C445" s="53"/>
      <c r="D445" s="54"/>
      <c r="E445" s="55"/>
      <c r="F445" s="55"/>
      <c r="G445" s="55"/>
      <c r="H445" s="56"/>
      <c r="I445" s="57" t="str">
        <f aca="false">IF(G445="","",G445*H445)</f>
        <v/>
      </c>
      <c r="J445" s="55"/>
      <c r="K445" s="55"/>
      <c r="L445" s="57" t="str">
        <f aca="false">IF(OR(B445="",G445=""),"",G445-E445-F445-I445-J445-K445)</f>
        <v/>
      </c>
      <c r="M445" s="58" t="str">
        <f aca="false">IF(L445="","",IF(G445=0,0,L445/G445))</f>
        <v/>
      </c>
      <c r="N445" s="53"/>
      <c r="O445" s="59" t="str">
        <f aca="false">IF(M445="","",IF(M445&lt;0.15,"⚠ LOW MARGIN / MARGEN BAJO","✔ OK"))</f>
        <v/>
      </c>
      <c r="P445" s="52" t="n">
        <f aca="false">IF(Q445=1,L445+ROW()/1000000,-1000000000000000)</f>
        <v>-1000000000000000</v>
      </c>
      <c r="Q445" s="52" t="n">
        <f aca="false">IF(B445="",0,IF(G445="",0,IF(N445="Returned / Devuelto",0,1)))</f>
        <v>0</v>
      </c>
      <c r="R445" s="52" t="n">
        <f aca="false">IF(Q445=1,IF(ISNUMBER(D445),YEAR(D445)*100+MONTH(D445),0),0)</f>
        <v>0</v>
      </c>
      <c r="S445" s="52" t="n">
        <f aca="false">IF(Q445=1,IF(M445&lt;0.15,1,0),0)</f>
        <v>0</v>
      </c>
    </row>
    <row r="446" customFormat="false" ht="15" hidden="false" customHeight="false" outlineLevel="0" collapsed="false">
      <c r="B446" s="53"/>
      <c r="C446" s="53"/>
      <c r="D446" s="54"/>
      <c r="E446" s="55"/>
      <c r="F446" s="55"/>
      <c r="G446" s="55"/>
      <c r="H446" s="56"/>
      <c r="I446" s="57" t="str">
        <f aca="false">IF(G446="","",G446*H446)</f>
        <v/>
      </c>
      <c r="J446" s="55"/>
      <c r="K446" s="55"/>
      <c r="L446" s="57" t="str">
        <f aca="false">IF(OR(B446="",G446=""),"",G446-E446-F446-I446-J446-K446)</f>
        <v/>
      </c>
      <c r="M446" s="58" t="str">
        <f aca="false">IF(L446="","",IF(G446=0,0,L446/G446))</f>
        <v/>
      </c>
      <c r="N446" s="53"/>
      <c r="O446" s="59" t="str">
        <f aca="false">IF(M446="","",IF(M446&lt;0.15,"⚠ LOW MARGIN / MARGEN BAJO","✔ OK"))</f>
        <v/>
      </c>
      <c r="P446" s="52" t="n">
        <f aca="false">IF(Q446=1,L446+ROW()/1000000,-1000000000000000)</f>
        <v>-1000000000000000</v>
      </c>
      <c r="Q446" s="52" t="n">
        <f aca="false">IF(B446="",0,IF(G446="",0,IF(N446="Returned / Devuelto",0,1)))</f>
        <v>0</v>
      </c>
      <c r="R446" s="52" t="n">
        <f aca="false">IF(Q446=1,IF(ISNUMBER(D446),YEAR(D446)*100+MONTH(D446),0),0)</f>
        <v>0</v>
      </c>
      <c r="S446" s="52" t="n">
        <f aca="false">IF(Q446=1,IF(M446&lt;0.15,1,0),0)</f>
        <v>0</v>
      </c>
    </row>
    <row r="447" customFormat="false" ht="15" hidden="false" customHeight="false" outlineLevel="0" collapsed="false">
      <c r="B447" s="53"/>
      <c r="C447" s="53"/>
      <c r="D447" s="54"/>
      <c r="E447" s="55"/>
      <c r="F447" s="55"/>
      <c r="G447" s="55"/>
      <c r="H447" s="56"/>
      <c r="I447" s="57" t="str">
        <f aca="false">IF(G447="","",G447*H447)</f>
        <v/>
      </c>
      <c r="J447" s="55"/>
      <c r="K447" s="55"/>
      <c r="L447" s="57" t="str">
        <f aca="false">IF(OR(B447="",G447=""),"",G447-E447-F447-I447-J447-K447)</f>
        <v/>
      </c>
      <c r="M447" s="58" t="str">
        <f aca="false">IF(L447="","",IF(G447=0,0,L447/G447))</f>
        <v/>
      </c>
      <c r="N447" s="53"/>
      <c r="O447" s="59" t="str">
        <f aca="false">IF(M447="","",IF(M447&lt;0.15,"⚠ LOW MARGIN / MARGEN BAJO","✔ OK"))</f>
        <v/>
      </c>
      <c r="P447" s="52" t="n">
        <f aca="false">IF(Q447=1,L447+ROW()/1000000,-1000000000000000)</f>
        <v>-1000000000000000</v>
      </c>
      <c r="Q447" s="52" t="n">
        <f aca="false">IF(B447="",0,IF(G447="",0,IF(N447="Returned / Devuelto",0,1)))</f>
        <v>0</v>
      </c>
      <c r="R447" s="52" t="n">
        <f aca="false">IF(Q447=1,IF(ISNUMBER(D447),YEAR(D447)*100+MONTH(D447),0),0)</f>
        <v>0</v>
      </c>
      <c r="S447" s="52" t="n">
        <f aca="false">IF(Q447=1,IF(M447&lt;0.15,1,0),0)</f>
        <v>0</v>
      </c>
    </row>
    <row r="448" customFormat="false" ht="15" hidden="false" customHeight="false" outlineLevel="0" collapsed="false">
      <c r="B448" s="53"/>
      <c r="C448" s="53"/>
      <c r="D448" s="54"/>
      <c r="E448" s="55"/>
      <c r="F448" s="55"/>
      <c r="G448" s="55"/>
      <c r="H448" s="56"/>
      <c r="I448" s="57" t="str">
        <f aca="false">IF(G448="","",G448*H448)</f>
        <v/>
      </c>
      <c r="J448" s="55"/>
      <c r="K448" s="55"/>
      <c r="L448" s="57" t="str">
        <f aca="false">IF(OR(B448="",G448=""),"",G448-E448-F448-I448-J448-K448)</f>
        <v/>
      </c>
      <c r="M448" s="58" t="str">
        <f aca="false">IF(L448="","",IF(G448=0,0,L448/G448))</f>
        <v/>
      </c>
      <c r="N448" s="53"/>
      <c r="O448" s="59" t="str">
        <f aca="false">IF(M448="","",IF(M448&lt;0.15,"⚠ LOW MARGIN / MARGEN BAJO","✔ OK"))</f>
        <v/>
      </c>
      <c r="P448" s="52" t="n">
        <f aca="false">IF(Q448=1,L448+ROW()/1000000,-1000000000000000)</f>
        <v>-1000000000000000</v>
      </c>
      <c r="Q448" s="52" t="n">
        <f aca="false">IF(B448="",0,IF(G448="",0,IF(N448="Returned / Devuelto",0,1)))</f>
        <v>0</v>
      </c>
      <c r="R448" s="52" t="n">
        <f aca="false">IF(Q448=1,IF(ISNUMBER(D448),YEAR(D448)*100+MONTH(D448),0),0)</f>
        <v>0</v>
      </c>
      <c r="S448" s="52" t="n">
        <f aca="false">IF(Q448=1,IF(M448&lt;0.15,1,0),0)</f>
        <v>0</v>
      </c>
    </row>
    <row r="449" customFormat="false" ht="15" hidden="false" customHeight="false" outlineLevel="0" collapsed="false">
      <c r="B449" s="53"/>
      <c r="C449" s="53"/>
      <c r="D449" s="54"/>
      <c r="E449" s="55"/>
      <c r="F449" s="55"/>
      <c r="G449" s="55"/>
      <c r="H449" s="56"/>
      <c r="I449" s="57" t="str">
        <f aca="false">IF(G449="","",G449*H449)</f>
        <v/>
      </c>
      <c r="J449" s="55"/>
      <c r="K449" s="55"/>
      <c r="L449" s="57" t="str">
        <f aca="false">IF(OR(B449="",G449=""),"",G449-E449-F449-I449-J449-K449)</f>
        <v/>
      </c>
      <c r="M449" s="58" t="str">
        <f aca="false">IF(L449="","",IF(G449=0,0,L449/G449))</f>
        <v/>
      </c>
      <c r="N449" s="53"/>
      <c r="O449" s="59" t="str">
        <f aca="false">IF(M449="","",IF(M449&lt;0.15,"⚠ LOW MARGIN / MARGEN BAJO","✔ OK"))</f>
        <v/>
      </c>
      <c r="P449" s="52" t="n">
        <f aca="false">IF(Q449=1,L449+ROW()/1000000,-1000000000000000)</f>
        <v>-1000000000000000</v>
      </c>
      <c r="Q449" s="52" t="n">
        <f aca="false">IF(B449="",0,IF(G449="",0,IF(N449="Returned / Devuelto",0,1)))</f>
        <v>0</v>
      </c>
      <c r="R449" s="52" t="n">
        <f aca="false">IF(Q449=1,IF(ISNUMBER(D449),YEAR(D449)*100+MONTH(D449),0),0)</f>
        <v>0</v>
      </c>
      <c r="S449" s="52" t="n">
        <f aca="false">IF(Q449=1,IF(M449&lt;0.15,1,0),0)</f>
        <v>0</v>
      </c>
    </row>
    <row r="450" customFormat="false" ht="15" hidden="false" customHeight="false" outlineLevel="0" collapsed="false">
      <c r="B450" s="53"/>
      <c r="C450" s="53"/>
      <c r="D450" s="54"/>
      <c r="E450" s="55"/>
      <c r="F450" s="55"/>
      <c r="G450" s="55"/>
      <c r="H450" s="56"/>
      <c r="I450" s="57" t="str">
        <f aca="false">IF(G450="","",G450*H450)</f>
        <v/>
      </c>
      <c r="J450" s="55"/>
      <c r="K450" s="55"/>
      <c r="L450" s="57" t="str">
        <f aca="false">IF(OR(B450="",G450=""),"",G450-E450-F450-I450-J450-K450)</f>
        <v/>
      </c>
      <c r="M450" s="58" t="str">
        <f aca="false">IF(L450="","",IF(G450=0,0,L450/G450))</f>
        <v/>
      </c>
      <c r="N450" s="53"/>
      <c r="O450" s="59" t="str">
        <f aca="false">IF(M450="","",IF(M450&lt;0.15,"⚠ LOW MARGIN / MARGEN BAJO","✔ OK"))</f>
        <v/>
      </c>
      <c r="P450" s="52" t="n">
        <f aca="false">IF(Q450=1,L450+ROW()/1000000,-1000000000000000)</f>
        <v>-1000000000000000</v>
      </c>
      <c r="Q450" s="52" t="n">
        <f aca="false">IF(B450="",0,IF(G450="",0,IF(N450="Returned / Devuelto",0,1)))</f>
        <v>0</v>
      </c>
      <c r="R450" s="52" t="n">
        <f aca="false">IF(Q450=1,IF(ISNUMBER(D450),YEAR(D450)*100+MONTH(D450),0),0)</f>
        <v>0</v>
      </c>
      <c r="S450" s="52" t="n">
        <f aca="false">IF(Q450=1,IF(M450&lt;0.15,1,0),0)</f>
        <v>0</v>
      </c>
    </row>
    <row r="451" customFormat="false" ht="15" hidden="false" customHeight="false" outlineLevel="0" collapsed="false">
      <c r="B451" s="53"/>
      <c r="C451" s="53"/>
      <c r="D451" s="54"/>
      <c r="E451" s="55"/>
      <c r="F451" s="55"/>
      <c r="G451" s="55"/>
      <c r="H451" s="56"/>
      <c r="I451" s="57" t="str">
        <f aca="false">IF(G451="","",G451*H451)</f>
        <v/>
      </c>
      <c r="J451" s="55"/>
      <c r="K451" s="55"/>
      <c r="L451" s="57" t="str">
        <f aca="false">IF(OR(B451="",G451=""),"",G451-E451-F451-I451-J451-K451)</f>
        <v/>
      </c>
      <c r="M451" s="58" t="str">
        <f aca="false">IF(L451="","",IF(G451=0,0,L451/G451))</f>
        <v/>
      </c>
      <c r="N451" s="53"/>
      <c r="O451" s="59" t="str">
        <f aca="false">IF(M451="","",IF(M451&lt;0.15,"⚠ LOW MARGIN / MARGEN BAJO","✔ OK"))</f>
        <v/>
      </c>
      <c r="P451" s="52" t="n">
        <f aca="false">IF(Q451=1,L451+ROW()/1000000,-1000000000000000)</f>
        <v>-1000000000000000</v>
      </c>
      <c r="Q451" s="52" t="n">
        <f aca="false">IF(B451="",0,IF(G451="",0,IF(N451="Returned / Devuelto",0,1)))</f>
        <v>0</v>
      </c>
      <c r="R451" s="52" t="n">
        <f aca="false">IF(Q451=1,IF(ISNUMBER(D451),YEAR(D451)*100+MONTH(D451),0),0)</f>
        <v>0</v>
      </c>
      <c r="S451" s="52" t="n">
        <f aca="false">IF(Q451=1,IF(M451&lt;0.15,1,0),0)</f>
        <v>0</v>
      </c>
    </row>
    <row r="452" customFormat="false" ht="15" hidden="false" customHeight="false" outlineLevel="0" collapsed="false">
      <c r="B452" s="53"/>
      <c r="C452" s="53"/>
      <c r="D452" s="54"/>
      <c r="E452" s="55"/>
      <c r="F452" s="55"/>
      <c r="G452" s="55"/>
      <c r="H452" s="56"/>
      <c r="I452" s="57" t="str">
        <f aca="false">IF(G452="","",G452*H452)</f>
        <v/>
      </c>
      <c r="J452" s="55"/>
      <c r="K452" s="55"/>
      <c r="L452" s="57" t="str">
        <f aca="false">IF(OR(B452="",G452=""),"",G452-E452-F452-I452-J452-K452)</f>
        <v/>
      </c>
      <c r="M452" s="58" t="str">
        <f aca="false">IF(L452="","",IF(G452=0,0,L452/G452))</f>
        <v/>
      </c>
      <c r="N452" s="53"/>
      <c r="O452" s="59" t="str">
        <f aca="false">IF(M452="","",IF(M452&lt;0.15,"⚠ LOW MARGIN / MARGEN BAJO","✔ OK"))</f>
        <v/>
      </c>
      <c r="P452" s="52" t="n">
        <f aca="false">IF(Q452=1,L452+ROW()/1000000,-1000000000000000)</f>
        <v>-1000000000000000</v>
      </c>
      <c r="Q452" s="52" t="n">
        <f aca="false">IF(B452="",0,IF(G452="",0,IF(N452="Returned / Devuelto",0,1)))</f>
        <v>0</v>
      </c>
      <c r="R452" s="52" t="n">
        <f aca="false">IF(Q452=1,IF(ISNUMBER(D452),YEAR(D452)*100+MONTH(D452),0),0)</f>
        <v>0</v>
      </c>
      <c r="S452" s="52" t="n">
        <f aca="false">IF(Q452=1,IF(M452&lt;0.15,1,0),0)</f>
        <v>0</v>
      </c>
    </row>
    <row r="453" customFormat="false" ht="15" hidden="false" customHeight="false" outlineLevel="0" collapsed="false">
      <c r="B453" s="53"/>
      <c r="C453" s="53"/>
      <c r="D453" s="54"/>
      <c r="E453" s="55"/>
      <c r="F453" s="55"/>
      <c r="G453" s="55"/>
      <c r="H453" s="56"/>
      <c r="I453" s="57" t="str">
        <f aca="false">IF(G453="","",G453*H453)</f>
        <v/>
      </c>
      <c r="J453" s="55"/>
      <c r="K453" s="55"/>
      <c r="L453" s="57" t="str">
        <f aca="false">IF(OR(B453="",G453=""),"",G453-E453-F453-I453-J453-K453)</f>
        <v/>
      </c>
      <c r="M453" s="58" t="str">
        <f aca="false">IF(L453="","",IF(G453=0,0,L453/G453))</f>
        <v/>
      </c>
      <c r="N453" s="53"/>
      <c r="O453" s="59" t="str">
        <f aca="false">IF(M453="","",IF(M453&lt;0.15,"⚠ LOW MARGIN / MARGEN BAJO","✔ OK"))</f>
        <v/>
      </c>
      <c r="P453" s="52" t="n">
        <f aca="false">IF(Q453=1,L453+ROW()/1000000,-1000000000000000)</f>
        <v>-1000000000000000</v>
      </c>
      <c r="Q453" s="52" t="n">
        <f aca="false">IF(B453="",0,IF(G453="",0,IF(N453="Returned / Devuelto",0,1)))</f>
        <v>0</v>
      </c>
      <c r="R453" s="52" t="n">
        <f aca="false">IF(Q453=1,IF(ISNUMBER(D453),YEAR(D453)*100+MONTH(D453),0),0)</f>
        <v>0</v>
      </c>
      <c r="S453" s="52" t="n">
        <f aca="false">IF(Q453=1,IF(M453&lt;0.15,1,0),0)</f>
        <v>0</v>
      </c>
    </row>
    <row r="454" customFormat="false" ht="15" hidden="false" customHeight="false" outlineLevel="0" collapsed="false">
      <c r="B454" s="53"/>
      <c r="C454" s="53"/>
      <c r="D454" s="54"/>
      <c r="E454" s="55"/>
      <c r="F454" s="55"/>
      <c r="G454" s="55"/>
      <c r="H454" s="56"/>
      <c r="I454" s="57" t="str">
        <f aca="false">IF(G454="","",G454*H454)</f>
        <v/>
      </c>
      <c r="J454" s="55"/>
      <c r="K454" s="55"/>
      <c r="L454" s="57" t="str">
        <f aca="false">IF(OR(B454="",G454=""),"",G454-E454-F454-I454-J454-K454)</f>
        <v/>
      </c>
      <c r="M454" s="58" t="str">
        <f aca="false">IF(L454="","",IF(G454=0,0,L454/G454))</f>
        <v/>
      </c>
      <c r="N454" s="53"/>
      <c r="O454" s="59" t="str">
        <f aca="false">IF(M454="","",IF(M454&lt;0.15,"⚠ LOW MARGIN / MARGEN BAJO","✔ OK"))</f>
        <v/>
      </c>
      <c r="P454" s="52" t="n">
        <f aca="false">IF(Q454=1,L454+ROW()/1000000,-1000000000000000)</f>
        <v>-1000000000000000</v>
      </c>
      <c r="Q454" s="52" t="n">
        <f aca="false">IF(B454="",0,IF(G454="",0,IF(N454="Returned / Devuelto",0,1)))</f>
        <v>0</v>
      </c>
      <c r="R454" s="52" t="n">
        <f aca="false">IF(Q454=1,IF(ISNUMBER(D454),YEAR(D454)*100+MONTH(D454),0),0)</f>
        <v>0</v>
      </c>
      <c r="S454" s="52" t="n">
        <f aca="false">IF(Q454=1,IF(M454&lt;0.15,1,0),0)</f>
        <v>0</v>
      </c>
    </row>
    <row r="455" customFormat="false" ht="15" hidden="false" customHeight="false" outlineLevel="0" collapsed="false">
      <c r="B455" s="53"/>
      <c r="C455" s="53"/>
      <c r="D455" s="54"/>
      <c r="E455" s="55"/>
      <c r="F455" s="55"/>
      <c r="G455" s="55"/>
      <c r="H455" s="56"/>
      <c r="I455" s="57" t="str">
        <f aca="false">IF(G455="","",G455*H455)</f>
        <v/>
      </c>
      <c r="J455" s="55"/>
      <c r="K455" s="55"/>
      <c r="L455" s="57" t="str">
        <f aca="false">IF(OR(B455="",G455=""),"",G455-E455-F455-I455-J455-K455)</f>
        <v/>
      </c>
      <c r="M455" s="58" t="str">
        <f aca="false">IF(L455="","",IF(G455=0,0,L455/G455))</f>
        <v/>
      </c>
      <c r="N455" s="53"/>
      <c r="O455" s="59" t="str">
        <f aca="false">IF(M455="","",IF(M455&lt;0.15,"⚠ LOW MARGIN / MARGEN BAJO","✔ OK"))</f>
        <v/>
      </c>
      <c r="P455" s="52" t="n">
        <f aca="false">IF(Q455=1,L455+ROW()/1000000,-1000000000000000)</f>
        <v>-1000000000000000</v>
      </c>
      <c r="Q455" s="52" t="n">
        <f aca="false">IF(B455="",0,IF(G455="",0,IF(N455="Returned / Devuelto",0,1)))</f>
        <v>0</v>
      </c>
      <c r="R455" s="52" t="n">
        <f aca="false">IF(Q455=1,IF(ISNUMBER(D455),YEAR(D455)*100+MONTH(D455),0),0)</f>
        <v>0</v>
      </c>
      <c r="S455" s="52" t="n">
        <f aca="false">IF(Q455=1,IF(M455&lt;0.15,1,0),0)</f>
        <v>0</v>
      </c>
    </row>
    <row r="456" customFormat="false" ht="15" hidden="false" customHeight="false" outlineLevel="0" collapsed="false">
      <c r="B456" s="53"/>
      <c r="C456" s="53"/>
      <c r="D456" s="54"/>
      <c r="E456" s="55"/>
      <c r="F456" s="55"/>
      <c r="G456" s="55"/>
      <c r="H456" s="56"/>
      <c r="I456" s="57" t="str">
        <f aca="false">IF(G456="","",G456*H456)</f>
        <v/>
      </c>
      <c r="J456" s="55"/>
      <c r="K456" s="55"/>
      <c r="L456" s="57" t="str">
        <f aca="false">IF(OR(B456="",G456=""),"",G456-E456-F456-I456-J456-K456)</f>
        <v/>
      </c>
      <c r="M456" s="58" t="str">
        <f aca="false">IF(L456="","",IF(G456=0,0,L456/G456))</f>
        <v/>
      </c>
      <c r="N456" s="53"/>
      <c r="O456" s="59" t="str">
        <f aca="false">IF(M456="","",IF(M456&lt;0.15,"⚠ LOW MARGIN / MARGEN BAJO","✔ OK"))</f>
        <v/>
      </c>
      <c r="P456" s="52" t="n">
        <f aca="false">IF(Q456=1,L456+ROW()/1000000,-1000000000000000)</f>
        <v>-1000000000000000</v>
      </c>
      <c r="Q456" s="52" t="n">
        <f aca="false">IF(B456="",0,IF(G456="",0,IF(N456="Returned / Devuelto",0,1)))</f>
        <v>0</v>
      </c>
      <c r="R456" s="52" t="n">
        <f aca="false">IF(Q456=1,IF(ISNUMBER(D456),YEAR(D456)*100+MONTH(D456),0),0)</f>
        <v>0</v>
      </c>
      <c r="S456" s="52" t="n">
        <f aca="false">IF(Q456=1,IF(M456&lt;0.15,1,0),0)</f>
        <v>0</v>
      </c>
    </row>
    <row r="457" customFormat="false" ht="15" hidden="false" customHeight="false" outlineLevel="0" collapsed="false">
      <c r="B457" s="53"/>
      <c r="C457" s="53"/>
      <c r="D457" s="54"/>
      <c r="E457" s="55"/>
      <c r="F457" s="55"/>
      <c r="G457" s="55"/>
      <c r="H457" s="56"/>
      <c r="I457" s="57" t="str">
        <f aca="false">IF(G457="","",G457*H457)</f>
        <v/>
      </c>
      <c r="J457" s="55"/>
      <c r="K457" s="55"/>
      <c r="L457" s="57" t="str">
        <f aca="false">IF(OR(B457="",G457=""),"",G457-E457-F457-I457-J457-K457)</f>
        <v/>
      </c>
      <c r="M457" s="58" t="str">
        <f aca="false">IF(L457="","",IF(G457=0,0,L457/G457))</f>
        <v/>
      </c>
      <c r="N457" s="53"/>
      <c r="O457" s="59" t="str">
        <f aca="false">IF(M457="","",IF(M457&lt;0.15,"⚠ LOW MARGIN / MARGEN BAJO","✔ OK"))</f>
        <v/>
      </c>
      <c r="P457" s="52" t="n">
        <f aca="false">IF(Q457=1,L457+ROW()/1000000,-1000000000000000)</f>
        <v>-1000000000000000</v>
      </c>
      <c r="Q457" s="52" t="n">
        <f aca="false">IF(B457="",0,IF(G457="",0,IF(N457="Returned / Devuelto",0,1)))</f>
        <v>0</v>
      </c>
      <c r="R457" s="52" t="n">
        <f aca="false">IF(Q457=1,IF(ISNUMBER(D457),YEAR(D457)*100+MONTH(D457),0),0)</f>
        <v>0</v>
      </c>
      <c r="S457" s="52" t="n">
        <f aca="false">IF(Q457=1,IF(M457&lt;0.15,1,0),0)</f>
        <v>0</v>
      </c>
    </row>
    <row r="458" customFormat="false" ht="15" hidden="false" customHeight="false" outlineLevel="0" collapsed="false">
      <c r="B458" s="53"/>
      <c r="C458" s="53"/>
      <c r="D458" s="54"/>
      <c r="E458" s="55"/>
      <c r="F458" s="55"/>
      <c r="G458" s="55"/>
      <c r="H458" s="56"/>
      <c r="I458" s="57" t="str">
        <f aca="false">IF(G458="","",G458*H458)</f>
        <v/>
      </c>
      <c r="J458" s="55"/>
      <c r="K458" s="55"/>
      <c r="L458" s="57" t="str">
        <f aca="false">IF(OR(B458="",G458=""),"",G458-E458-F458-I458-J458-K458)</f>
        <v/>
      </c>
      <c r="M458" s="58" t="str">
        <f aca="false">IF(L458="","",IF(G458=0,0,L458/G458))</f>
        <v/>
      </c>
      <c r="N458" s="53"/>
      <c r="O458" s="59" t="str">
        <f aca="false">IF(M458="","",IF(M458&lt;0.15,"⚠ LOW MARGIN / MARGEN BAJO","✔ OK"))</f>
        <v/>
      </c>
      <c r="P458" s="52" t="n">
        <f aca="false">IF(Q458=1,L458+ROW()/1000000,-1000000000000000)</f>
        <v>-1000000000000000</v>
      </c>
      <c r="Q458" s="52" t="n">
        <f aca="false">IF(B458="",0,IF(G458="",0,IF(N458="Returned / Devuelto",0,1)))</f>
        <v>0</v>
      </c>
      <c r="R458" s="52" t="n">
        <f aca="false">IF(Q458=1,IF(ISNUMBER(D458),YEAR(D458)*100+MONTH(D458),0),0)</f>
        <v>0</v>
      </c>
      <c r="S458" s="52" t="n">
        <f aca="false">IF(Q458=1,IF(M458&lt;0.15,1,0),0)</f>
        <v>0</v>
      </c>
    </row>
    <row r="459" customFormat="false" ht="15" hidden="false" customHeight="false" outlineLevel="0" collapsed="false">
      <c r="B459" s="53"/>
      <c r="C459" s="53"/>
      <c r="D459" s="54"/>
      <c r="E459" s="55"/>
      <c r="F459" s="55"/>
      <c r="G459" s="55"/>
      <c r="H459" s="56"/>
      <c r="I459" s="57" t="str">
        <f aca="false">IF(G459="","",G459*H459)</f>
        <v/>
      </c>
      <c r="J459" s="55"/>
      <c r="K459" s="55"/>
      <c r="L459" s="57" t="str">
        <f aca="false">IF(OR(B459="",G459=""),"",G459-E459-F459-I459-J459-K459)</f>
        <v/>
      </c>
      <c r="M459" s="58" t="str">
        <f aca="false">IF(L459="","",IF(G459=0,0,L459/G459))</f>
        <v/>
      </c>
      <c r="N459" s="53"/>
      <c r="O459" s="59" t="str">
        <f aca="false">IF(M459="","",IF(M459&lt;0.15,"⚠ LOW MARGIN / MARGEN BAJO","✔ OK"))</f>
        <v/>
      </c>
      <c r="P459" s="52" t="n">
        <f aca="false">IF(Q459=1,L459+ROW()/1000000,-1000000000000000)</f>
        <v>-1000000000000000</v>
      </c>
      <c r="Q459" s="52" t="n">
        <f aca="false">IF(B459="",0,IF(G459="",0,IF(N459="Returned / Devuelto",0,1)))</f>
        <v>0</v>
      </c>
      <c r="R459" s="52" t="n">
        <f aca="false">IF(Q459=1,IF(ISNUMBER(D459),YEAR(D459)*100+MONTH(D459),0),0)</f>
        <v>0</v>
      </c>
      <c r="S459" s="52" t="n">
        <f aca="false">IF(Q459=1,IF(M459&lt;0.15,1,0),0)</f>
        <v>0</v>
      </c>
    </row>
    <row r="460" customFormat="false" ht="15" hidden="false" customHeight="false" outlineLevel="0" collapsed="false">
      <c r="B460" s="53"/>
      <c r="C460" s="53"/>
      <c r="D460" s="54"/>
      <c r="E460" s="55"/>
      <c r="F460" s="55"/>
      <c r="G460" s="55"/>
      <c r="H460" s="56"/>
      <c r="I460" s="57" t="str">
        <f aca="false">IF(G460="","",G460*H460)</f>
        <v/>
      </c>
      <c r="J460" s="55"/>
      <c r="K460" s="55"/>
      <c r="L460" s="57" t="str">
        <f aca="false">IF(OR(B460="",G460=""),"",G460-E460-F460-I460-J460-K460)</f>
        <v/>
      </c>
      <c r="M460" s="58" t="str">
        <f aca="false">IF(L460="","",IF(G460=0,0,L460/G460))</f>
        <v/>
      </c>
      <c r="N460" s="53"/>
      <c r="O460" s="59" t="str">
        <f aca="false">IF(M460="","",IF(M460&lt;0.15,"⚠ LOW MARGIN / MARGEN BAJO","✔ OK"))</f>
        <v/>
      </c>
      <c r="P460" s="52" t="n">
        <f aca="false">IF(Q460=1,L460+ROW()/1000000,-1000000000000000)</f>
        <v>-1000000000000000</v>
      </c>
      <c r="Q460" s="52" t="n">
        <f aca="false">IF(B460="",0,IF(G460="",0,IF(N460="Returned / Devuelto",0,1)))</f>
        <v>0</v>
      </c>
      <c r="R460" s="52" t="n">
        <f aca="false">IF(Q460=1,IF(ISNUMBER(D460),YEAR(D460)*100+MONTH(D460),0),0)</f>
        <v>0</v>
      </c>
      <c r="S460" s="52" t="n">
        <f aca="false">IF(Q460=1,IF(M460&lt;0.15,1,0),0)</f>
        <v>0</v>
      </c>
    </row>
    <row r="461" customFormat="false" ht="15" hidden="false" customHeight="false" outlineLevel="0" collapsed="false">
      <c r="B461" s="53"/>
      <c r="C461" s="53"/>
      <c r="D461" s="54"/>
      <c r="E461" s="55"/>
      <c r="F461" s="55"/>
      <c r="G461" s="55"/>
      <c r="H461" s="56"/>
      <c r="I461" s="57" t="str">
        <f aca="false">IF(G461="","",G461*H461)</f>
        <v/>
      </c>
      <c r="J461" s="55"/>
      <c r="K461" s="55"/>
      <c r="L461" s="57" t="str">
        <f aca="false">IF(OR(B461="",G461=""),"",G461-E461-F461-I461-J461-K461)</f>
        <v/>
      </c>
      <c r="M461" s="58" t="str">
        <f aca="false">IF(L461="","",IF(G461=0,0,L461/G461))</f>
        <v/>
      </c>
      <c r="N461" s="53"/>
      <c r="O461" s="59" t="str">
        <f aca="false">IF(M461="","",IF(M461&lt;0.15,"⚠ LOW MARGIN / MARGEN BAJO","✔ OK"))</f>
        <v/>
      </c>
      <c r="P461" s="52" t="n">
        <f aca="false">IF(Q461=1,L461+ROW()/1000000,-1000000000000000)</f>
        <v>-1000000000000000</v>
      </c>
      <c r="Q461" s="52" t="n">
        <f aca="false">IF(B461="",0,IF(G461="",0,IF(N461="Returned / Devuelto",0,1)))</f>
        <v>0</v>
      </c>
      <c r="R461" s="52" t="n">
        <f aca="false">IF(Q461=1,IF(ISNUMBER(D461),YEAR(D461)*100+MONTH(D461),0),0)</f>
        <v>0</v>
      </c>
      <c r="S461" s="52" t="n">
        <f aca="false">IF(Q461=1,IF(M461&lt;0.15,1,0),0)</f>
        <v>0</v>
      </c>
    </row>
    <row r="462" customFormat="false" ht="15" hidden="false" customHeight="false" outlineLevel="0" collapsed="false">
      <c r="B462" s="53"/>
      <c r="C462" s="53"/>
      <c r="D462" s="54"/>
      <c r="E462" s="55"/>
      <c r="F462" s="55"/>
      <c r="G462" s="55"/>
      <c r="H462" s="56"/>
      <c r="I462" s="57" t="str">
        <f aca="false">IF(G462="","",G462*H462)</f>
        <v/>
      </c>
      <c r="J462" s="55"/>
      <c r="K462" s="55"/>
      <c r="L462" s="57" t="str">
        <f aca="false">IF(OR(B462="",G462=""),"",G462-E462-F462-I462-J462-K462)</f>
        <v/>
      </c>
      <c r="M462" s="58" t="str">
        <f aca="false">IF(L462="","",IF(G462=0,0,L462/G462))</f>
        <v/>
      </c>
      <c r="N462" s="53"/>
      <c r="O462" s="59" t="str">
        <f aca="false">IF(M462="","",IF(M462&lt;0.15,"⚠ LOW MARGIN / MARGEN BAJO","✔ OK"))</f>
        <v/>
      </c>
      <c r="P462" s="52" t="n">
        <f aca="false">IF(Q462=1,L462+ROW()/1000000,-1000000000000000)</f>
        <v>-1000000000000000</v>
      </c>
      <c r="Q462" s="52" t="n">
        <f aca="false">IF(B462="",0,IF(G462="",0,IF(N462="Returned / Devuelto",0,1)))</f>
        <v>0</v>
      </c>
      <c r="R462" s="52" t="n">
        <f aca="false">IF(Q462=1,IF(ISNUMBER(D462),YEAR(D462)*100+MONTH(D462),0),0)</f>
        <v>0</v>
      </c>
      <c r="S462" s="52" t="n">
        <f aca="false">IF(Q462=1,IF(M462&lt;0.15,1,0),0)</f>
        <v>0</v>
      </c>
    </row>
    <row r="463" customFormat="false" ht="15" hidden="false" customHeight="false" outlineLevel="0" collapsed="false">
      <c r="B463" s="53"/>
      <c r="C463" s="53"/>
      <c r="D463" s="54"/>
      <c r="E463" s="55"/>
      <c r="F463" s="55"/>
      <c r="G463" s="55"/>
      <c r="H463" s="56"/>
      <c r="I463" s="57" t="str">
        <f aca="false">IF(G463="","",G463*H463)</f>
        <v/>
      </c>
      <c r="J463" s="55"/>
      <c r="K463" s="55"/>
      <c r="L463" s="57" t="str">
        <f aca="false">IF(OR(B463="",G463=""),"",G463-E463-F463-I463-J463-K463)</f>
        <v/>
      </c>
      <c r="M463" s="58" t="str">
        <f aca="false">IF(L463="","",IF(G463=0,0,L463/G463))</f>
        <v/>
      </c>
      <c r="N463" s="53"/>
      <c r="O463" s="59" t="str">
        <f aca="false">IF(M463="","",IF(M463&lt;0.15,"⚠ LOW MARGIN / MARGEN BAJO","✔ OK"))</f>
        <v/>
      </c>
      <c r="P463" s="52" t="n">
        <f aca="false">IF(Q463=1,L463+ROW()/1000000,-1000000000000000)</f>
        <v>-1000000000000000</v>
      </c>
      <c r="Q463" s="52" t="n">
        <f aca="false">IF(B463="",0,IF(G463="",0,IF(N463="Returned / Devuelto",0,1)))</f>
        <v>0</v>
      </c>
      <c r="R463" s="52" t="n">
        <f aca="false">IF(Q463=1,IF(ISNUMBER(D463),YEAR(D463)*100+MONTH(D463),0),0)</f>
        <v>0</v>
      </c>
      <c r="S463" s="52" t="n">
        <f aca="false">IF(Q463=1,IF(M463&lt;0.15,1,0),0)</f>
        <v>0</v>
      </c>
    </row>
    <row r="464" customFormat="false" ht="15" hidden="false" customHeight="false" outlineLevel="0" collapsed="false">
      <c r="B464" s="53"/>
      <c r="C464" s="53"/>
      <c r="D464" s="54"/>
      <c r="E464" s="55"/>
      <c r="F464" s="55"/>
      <c r="G464" s="55"/>
      <c r="H464" s="56"/>
      <c r="I464" s="57" t="str">
        <f aca="false">IF(G464="","",G464*H464)</f>
        <v/>
      </c>
      <c r="J464" s="55"/>
      <c r="K464" s="55"/>
      <c r="L464" s="57" t="str">
        <f aca="false">IF(OR(B464="",G464=""),"",G464-E464-F464-I464-J464-K464)</f>
        <v/>
      </c>
      <c r="M464" s="58" t="str">
        <f aca="false">IF(L464="","",IF(G464=0,0,L464/G464))</f>
        <v/>
      </c>
      <c r="N464" s="53"/>
      <c r="O464" s="59" t="str">
        <f aca="false">IF(M464="","",IF(M464&lt;0.15,"⚠ LOW MARGIN / MARGEN BAJO","✔ OK"))</f>
        <v/>
      </c>
      <c r="P464" s="52" t="n">
        <f aca="false">IF(Q464=1,L464+ROW()/1000000,-1000000000000000)</f>
        <v>-1000000000000000</v>
      </c>
      <c r="Q464" s="52" t="n">
        <f aca="false">IF(B464="",0,IF(G464="",0,IF(N464="Returned / Devuelto",0,1)))</f>
        <v>0</v>
      </c>
      <c r="R464" s="52" t="n">
        <f aca="false">IF(Q464=1,IF(ISNUMBER(D464),YEAR(D464)*100+MONTH(D464),0),0)</f>
        <v>0</v>
      </c>
      <c r="S464" s="52" t="n">
        <f aca="false">IF(Q464=1,IF(M464&lt;0.15,1,0),0)</f>
        <v>0</v>
      </c>
    </row>
    <row r="465" customFormat="false" ht="15" hidden="false" customHeight="false" outlineLevel="0" collapsed="false">
      <c r="B465" s="53"/>
      <c r="C465" s="53"/>
      <c r="D465" s="54"/>
      <c r="E465" s="55"/>
      <c r="F465" s="55"/>
      <c r="G465" s="55"/>
      <c r="H465" s="56"/>
      <c r="I465" s="57" t="str">
        <f aca="false">IF(G465="","",G465*H465)</f>
        <v/>
      </c>
      <c r="J465" s="55"/>
      <c r="K465" s="55"/>
      <c r="L465" s="57" t="str">
        <f aca="false">IF(OR(B465="",G465=""),"",G465-E465-F465-I465-J465-K465)</f>
        <v/>
      </c>
      <c r="M465" s="58" t="str">
        <f aca="false">IF(L465="","",IF(G465=0,0,L465/G465))</f>
        <v/>
      </c>
      <c r="N465" s="53"/>
      <c r="O465" s="59" t="str">
        <f aca="false">IF(M465="","",IF(M465&lt;0.15,"⚠ LOW MARGIN / MARGEN BAJO","✔ OK"))</f>
        <v/>
      </c>
      <c r="P465" s="52" t="n">
        <f aca="false">IF(Q465=1,L465+ROW()/1000000,-1000000000000000)</f>
        <v>-1000000000000000</v>
      </c>
      <c r="Q465" s="52" t="n">
        <f aca="false">IF(B465="",0,IF(G465="",0,IF(N465="Returned / Devuelto",0,1)))</f>
        <v>0</v>
      </c>
      <c r="R465" s="52" t="n">
        <f aca="false">IF(Q465=1,IF(ISNUMBER(D465),YEAR(D465)*100+MONTH(D465),0),0)</f>
        <v>0</v>
      </c>
      <c r="S465" s="52" t="n">
        <f aca="false">IF(Q465=1,IF(M465&lt;0.15,1,0),0)</f>
        <v>0</v>
      </c>
    </row>
    <row r="466" customFormat="false" ht="15" hidden="false" customHeight="false" outlineLevel="0" collapsed="false">
      <c r="B466" s="53"/>
      <c r="C466" s="53"/>
      <c r="D466" s="54"/>
      <c r="E466" s="55"/>
      <c r="F466" s="55"/>
      <c r="G466" s="55"/>
      <c r="H466" s="56"/>
      <c r="I466" s="57" t="str">
        <f aca="false">IF(G466="","",G466*H466)</f>
        <v/>
      </c>
      <c r="J466" s="55"/>
      <c r="K466" s="55"/>
      <c r="L466" s="57" t="str">
        <f aca="false">IF(OR(B466="",G466=""),"",G466-E466-F466-I466-J466-K466)</f>
        <v/>
      </c>
      <c r="M466" s="58" t="str">
        <f aca="false">IF(L466="","",IF(G466=0,0,L466/G466))</f>
        <v/>
      </c>
      <c r="N466" s="53"/>
      <c r="O466" s="59" t="str">
        <f aca="false">IF(M466="","",IF(M466&lt;0.15,"⚠ LOW MARGIN / MARGEN BAJO","✔ OK"))</f>
        <v/>
      </c>
      <c r="P466" s="52" t="n">
        <f aca="false">IF(Q466=1,L466+ROW()/1000000,-1000000000000000)</f>
        <v>-1000000000000000</v>
      </c>
      <c r="Q466" s="52" t="n">
        <f aca="false">IF(B466="",0,IF(G466="",0,IF(N466="Returned / Devuelto",0,1)))</f>
        <v>0</v>
      </c>
      <c r="R466" s="52" t="n">
        <f aca="false">IF(Q466=1,IF(ISNUMBER(D466),YEAR(D466)*100+MONTH(D466),0),0)</f>
        <v>0</v>
      </c>
      <c r="S466" s="52" t="n">
        <f aca="false">IF(Q466=1,IF(M466&lt;0.15,1,0),0)</f>
        <v>0</v>
      </c>
    </row>
    <row r="467" customFormat="false" ht="15" hidden="false" customHeight="false" outlineLevel="0" collapsed="false">
      <c r="B467" s="53"/>
      <c r="C467" s="53"/>
      <c r="D467" s="54"/>
      <c r="E467" s="55"/>
      <c r="F467" s="55"/>
      <c r="G467" s="55"/>
      <c r="H467" s="56"/>
      <c r="I467" s="57" t="str">
        <f aca="false">IF(G467="","",G467*H467)</f>
        <v/>
      </c>
      <c r="J467" s="55"/>
      <c r="K467" s="55"/>
      <c r="L467" s="57" t="str">
        <f aca="false">IF(OR(B467="",G467=""),"",G467-E467-F467-I467-J467-K467)</f>
        <v/>
      </c>
      <c r="M467" s="58" t="str">
        <f aca="false">IF(L467="","",IF(G467=0,0,L467/G467))</f>
        <v/>
      </c>
      <c r="N467" s="53"/>
      <c r="O467" s="59" t="str">
        <f aca="false">IF(M467="","",IF(M467&lt;0.15,"⚠ LOW MARGIN / MARGEN BAJO","✔ OK"))</f>
        <v/>
      </c>
      <c r="P467" s="52" t="n">
        <f aca="false">IF(Q467=1,L467+ROW()/1000000,-1000000000000000)</f>
        <v>-1000000000000000</v>
      </c>
      <c r="Q467" s="52" t="n">
        <f aca="false">IF(B467="",0,IF(G467="",0,IF(N467="Returned / Devuelto",0,1)))</f>
        <v>0</v>
      </c>
      <c r="R467" s="52" t="n">
        <f aca="false">IF(Q467=1,IF(ISNUMBER(D467),YEAR(D467)*100+MONTH(D467),0),0)</f>
        <v>0</v>
      </c>
      <c r="S467" s="52" t="n">
        <f aca="false">IF(Q467=1,IF(M467&lt;0.15,1,0),0)</f>
        <v>0</v>
      </c>
    </row>
    <row r="468" customFormat="false" ht="15" hidden="false" customHeight="false" outlineLevel="0" collapsed="false">
      <c r="B468" s="53"/>
      <c r="C468" s="53"/>
      <c r="D468" s="54"/>
      <c r="E468" s="55"/>
      <c r="F468" s="55"/>
      <c r="G468" s="55"/>
      <c r="H468" s="56"/>
      <c r="I468" s="57" t="str">
        <f aca="false">IF(G468="","",G468*H468)</f>
        <v/>
      </c>
      <c r="J468" s="55"/>
      <c r="K468" s="55"/>
      <c r="L468" s="57" t="str">
        <f aca="false">IF(OR(B468="",G468=""),"",G468-E468-F468-I468-J468-K468)</f>
        <v/>
      </c>
      <c r="M468" s="58" t="str">
        <f aca="false">IF(L468="","",IF(G468=0,0,L468/G468))</f>
        <v/>
      </c>
      <c r="N468" s="53"/>
      <c r="O468" s="59" t="str">
        <f aca="false">IF(M468="","",IF(M468&lt;0.15,"⚠ LOW MARGIN / MARGEN BAJO","✔ OK"))</f>
        <v/>
      </c>
      <c r="P468" s="52" t="n">
        <f aca="false">IF(Q468=1,L468+ROW()/1000000,-1000000000000000)</f>
        <v>-1000000000000000</v>
      </c>
      <c r="Q468" s="52" t="n">
        <f aca="false">IF(B468="",0,IF(G468="",0,IF(N468="Returned / Devuelto",0,1)))</f>
        <v>0</v>
      </c>
      <c r="R468" s="52" t="n">
        <f aca="false">IF(Q468=1,IF(ISNUMBER(D468),YEAR(D468)*100+MONTH(D468),0),0)</f>
        <v>0</v>
      </c>
      <c r="S468" s="52" t="n">
        <f aca="false">IF(Q468=1,IF(M468&lt;0.15,1,0),0)</f>
        <v>0</v>
      </c>
    </row>
    <row r="469" customFormat="false" ht="15" hidden="false" customHeight="false" outlineLevel="0" collapsed="false">
      <c r="B469" s="53"/>
      <c r="C469" s="53"/>
      <c r="D469" s="54"/>
      <c r="E469" s="55"/>
      <c r="F469" s="55"/>
      <c r="G469" s="55"/>
      <c r="H469" s="56"/>
      <c r="I469" s="57" t="str">
        <f aca="false">IF(G469="","",G469*H469)</f>
        <v/>
      </c>
      <c r="J469" s="55"/>
      <c r="K469" s="55"/>
      <c r="L469" s="57" t="str">
        <f aca="false">IF(OR(B469="",G469=""),"",G469-E469-F469-I469-J469-K469)</f>
        <v/>
      </c>
      <c r="M469" s="58" t="str">
        <f aca="false">IF(L469="","",IF(G469=0,0,L469/G469))</f>
        <v/>
      </c>
      <c r="N469" s="53"/>
      <c r="O469" s="59" t="str">
        <f aca="false">IF(M469="","",IF(M469&lt;0.15,"⚠ LOW MARGIN / MARGEN BAJO","✔ OK"))</f>
        <v/>
      </c>
      <c r="P469" s="52" t="n">
        <f aca="false">IF(Q469=1,L469+ROW()/1000000,-1000000000000000)</f>
        <v>-1000000000000000</v>
      </c>
      <c r="Q469" s="52" t="n">
        <f aca="false">IF(B469="",0,IF(G469="",0,IF(N469="Returned / Devuelto",0,1)))</f>
        <v>0</v>
      </c>
      <c r="R469" s="52" t="n">
        <f aca="false">IF(Q469=1,IF(ISNUMBER(D469),YEAR(D469)*100+MONTH(D469),0),0)</f>
        <v>0</v>
      </c>
      <c r="S469" s="52" t="n">
        <f aca="false">IF(Q469=1,IF(M469&lt;0.15,1,0),0)</f>
        <v>0</v>
      </c>
    </row>
    <row r="470" customFormat="false" ht="15" hidden="false" customHeight="false" outlineLevel="0" collapsed="false">
      <c r="B470" s="53"/>
      <c r="C470" s="53"/>
      <c r="D470" s="54"/>
      <c r="E470" s="55"/>
      <c r="F470" s="55"/>
      <c r="G470" s="55"/>
      <c r="H470" s="56"/>
      <c r="I470" s="57" t="str">
        <f aca="false">IF(G470="","",G470*H470)</f>
        <v/>
      </c>
      <c r="J470" s="55"/>
      <c r="K470" s="55"/>
      <c r="L470" s="57" t="str">
        <f aca="false">IF(OR(B470="",G470=""),"",G470-E470-F470-I470-J470-K470)</f>
        <v/>
      </c>
      <c r="M470" s="58" t="str">
        <f aca="false">IF(L470="","",IF(G470=0,0,L470/G470))</f>
        <v/>
      </c>
      <c r="N470" s="53"/>
      <c r="O470" s="59" t="str">
        <f aca="false">IF(M470="","",IF(M470&lt;0.15,"⚠ LOW MARGIN / MARGEN BAJO","✔ OK"))</f>
        <v/>
      </c>
      <c r="P470" s="52" t="n">
        <f aca="false">IF(Q470=1,L470+ROW()/1000000,-1000000000000000)</f>
        <v>-1000000000000000</v>
      </c>
      <c r="Q470" s="52" t="n">
        <f aca="false">IF(B470="",0,IF(G470="",0,IF(N470="Returned / Devuelto",0,1)))</f>
        <v>0</v>
      </c>
      <c r="R470" s="52" t="n">
        <f aca="false">IF(Q470=1,IF(ISNUMBER(D470),YEAR(D470)*100+MONTH(D470),0),0)</f>
        <v>0</v>
      </c>
      <c r="S470" s="52" t="n">
        <f aca="false">IF(Q470=1,IF(M470&lt;0.15,1,0),0)</f>
        <v>0</v>
      </c>
    </row>
    <row r="471" customFormat="false" ht="15" hidden="false" customHeight="false" outlineLevel="0" collapsed="false">
      <c r="B471" s="53"/>
      <c r="C471" s="53"/>
      <c r="D471" s="54"/>
      <c r="E471" s="55"/>
      <c r="F471" s="55"/>
      <c r="G471" s="55"/>
      <c r="H471" s="56"/>
      <c r="I471" s="57" t="str">
        <f aca="false">IF(G471="","",G471*H471)</f>
        <v/>
      </c>
      <c r="J471" s="55"/>
      <c r="K471" s="55"/>
      <c r="L471" s="57" t="str">
        <f aca="false">IF(OR(B471="",G471=""),"",G471-E471-F471-I471-J471-K471)</f>
        <v/>
      </c>
      <c r="M471" s="58" t="str">
        <f aca="false">IF(L471="","",IF(G471=0,0,L471/G471))</f>
        <v/>
      </c>
      <c r="N471" s="53"/>
      <c r="O471" s="59" t="str">
        <f aca="false">IF(M471="","",IF(M471&lt;0.15,"⚠ LOW MARGIN / MARGEN BAJO","✔ OK"))</f>
        <v/>
      </c>
      <c r="P471" s="52" t="n">
        <f aca="false">IF(Q471=1,L471+ROW()/1000000,-1000000000000000)</f>
        <v>-1000000000000000</v>
      </c>
      <c r="Q471" s="52" t="n">
        <f aca="false">IF(B471="",0,IF(G471="",0,IF(N471="Returned / Devuelto",0,1)))</f>
        <v>0</v>
      </c>
      <c r="R471" s="52" t="n">
        <f aca="false">IF(Q471=1,IF(ISNUMBER(D471),YEAR(D471)*100+MONTH(D471),0),0)</f>
        <v>0</v>
      </c>
      <c r="S471" s="52" t="n">
        <f aca="false">IF(Q471=1,IF(M471&lt;0.15,1,0),0)</f>
        <v>0</v>
      </c>
    </row>
    <row r="472" customFormat="false" ht="15" hidden="false" customHeight="false" outlineLevel="0" collapsed="false">
      <c r="B472" s="53"/>
      <c r="C472" s="53"/>
      <c r="D472" s="54"/>
      <c r="E472" s="55"/>
      <c r="F472" s="55"/>
      <c r="G472" s="55"/>
      <c r="H472" s="56"/>
      <c r="I472" s="57" t="str">
        <f aca="false">IF(G472="","",G472*H472)</f>
        <v/>
      </c>
      <c r="J472" s="55"/>
      <c r="K472" s="55"/>
      <c r="L472" s="57" t="str">
        <f aca="false">IF(OR(B472="",G472=""),"",G472-E472-F472-I472-J472-K472)</f>
        <v/>
      </c>
      <c r="M472" s="58" t="str">
        <f aca="false">IF(L472="","",IF(G472=0,0,L472/G472))</f>
        <v/>
      </c>
      <c r="N472" s="53"/>
      <c r="O472" s="59" t="str">
        <f aca="false">IF(M472="","",IF(M472&lt;0.15,"⚠ LOW MARGIN / MARGEN BAJO","✔ OK"))</f>
        <v/>
      </c>
      <c r="P472" s="52" t="n">
        <f aca="false">IF(Q472=1,L472+ROW()/1000000,-1000000000000000)</f>
        <v>-1000000000000000</v>
      </c>
      <c r="Q472" s="52" t="n">
        <f aca="false">IF(B472="",0,IF(G472="",0,IF(N472="Returned / Devuelto",0,1)))</f>
        <v>0</v>
      </c>
      <c r="R472" s="52" t="n">
        <f aca="false">IF(Q472=1,IF(ISNUMBER(D472),YEAR(D472)*100+MONTH(D472),0),0)</f>
        <v>0</v>
      </c>
      <c r="S472" s="52" t="n">
        <f aca="false">IF(Q472=1,IF(M472&lt;0.15,1,0),0)</f>
        <v>0</v>
      </c>
    </row>
    <row r="473" customFormat="false" ht="15" hidden="false" customHeight="false" outlineLevel="0" collapsed="false">
      <c r="B473" s="53"/>
      <c r="C473" s="53"/>
      <c r="D473" s="54"/>
      <c r="E473" s="55"/>
      <c r="F473" s="55"/>
      <c r="G473" s="55"/>
      <c r="H473" s="56"/>
      <c r="I473" s="57" t="str">
        <f aca="false">IF(G473="","",G473*H473)</f>
        <v/>
      </c>
      <c r="J473" s="55"/>
      <c r="K473" s="55"/>
      <c r="L473" s="57" t="str">
        <f aca="false">IF(OR(B473="",G473=""),"",G473-E473-F473-I473-J473-K473)</f>
        <v/>
      </c>
      <c r="M473" s="58" t="str">
        <f aca="false">IF(L473="","",IF(G473=0,0,L473/G473))</f>
        <v/>
      </c>
      <c r="N473" s="53"/>
      <c r="O473" s="59" t="str">
        <f aca="false">IF(M473="","",IF(M473&lt;0.15,"⚠ LOW MARGIN / MARGEN BAJO","✔ OK"))</f>
        <v/>
      </c>
      <c r="P473" s="52" t="n">
        <f aca="false">IF(Q473=1,L473+ROW()/1000000,-1000000000000000)</f>
        <v>-1000000000000000</v>
      </c>
      <c r="Q473" s="52" t="n">
        <f aca="false">IF(B473="",0,IF(G473="",0,IF(N473="Returned / Devuelto",0,1)))</f>
        <v>0</v>
      </c>
      <c r="R473" s="52" t="n">
        <f aca="false">IF(Q473=1,IF(ISNUMBER(D473),YEAR(D473)*100+MONTH(D473),0),0)</f>
        <v>0</v>
      </c>
      <c r="S473" s="52" t="n">
        <f aca="false">IF(Q473=1,IF(M473&lt;0.15,1,0),0)</f>
        <v>0</v>
      </c>
    </row>
    <row r="474" customFormat="false" ht="15" hidden="false" customHeight="false" outlineLevel="0" collapsed="false">
      <c r="B474" s="53"/>
      <c r="C474" s="53"/>
      <c r="D474" s="54"/>
      <c r="E474" s="55"/>
      <c r="F474" s="55"/>
      <c r="G474" s="55"/>
      <c r="H474" s="56"/>
      <c r="I474" s="57" t="str">
        <f aca="false">IF(G474="","",G474*H474)</f>
        <v/>
      </c>
      <c r="J474" s="55"/>
      <c r="K474" s="55"/>
      <c r="L474" s="57" t="str">
        <f aca="false">IF(OR(B474="",G474=""),"",G474-E474-F474-I474-J474-K474)</f>
        <v/>
      </c>
      <c r="M474" s="58" t="str">
        <f aca="false">IF(L474="","",IF(G474=0,0,L474/G474))</f>
        <v/>
      </c>
      <c r="N474" s="53"/>
      <c r="O474" s="59" t="str">
        <f aca="false">IF(M474="","",IF(M474&lt;0.15,"⚠ LOW MARGIN / MARGEN BAJO","✔ OK"))</f>
        <v/>
      </c>
      <c r="P474" s="52" t="n">
        <f aca="false">IF(Q474=1,L474+ROW()/1000000,-1000000000000000)</f>
        <v>-1000000000000000</v>
      </c>
      <c r="Q474" s="52" t="n">
        <f aca="false">IF(B474="",0,IF(G474="",0,IF(N474="Returned / Devuelto",0,1)))</f>
        <v>0</v>
      </c>
      <c r="R474" s="52" t="n">
        <f aca="false">IF(Q474=1,IF(ISNUMBER(D474),YEAR(D474)*100+MONTH(D474),0),0)</f>
        <v>0</v>
      </c>
      <c r="S474" s="52" t="n">
        <f aca="false">IF(Q474=1,IF(M474&lt;0.15,1,0),0)</f>
        <v>0</v>
      </c>
    </row>
    <row r="475" customFormat="false" ht="15" hidden="false" customHeight="false" outlineLevel="0" collapsed="false">
      <c r="B475" s="53"/>
      <c r="C475" s="53"/>
      <c r="D475" s="54"/>
      <c r="E475" s="55"/>
      <c r="F475" s="55"/>
      <c r="G475" s="55"/>
      <c r="H475" s="56"/>
      <c r="I475" s="57" t="str">
        <f aca="false">IF(G475="","",G475*H475)</f>
        <v/>
      </c>
      <c r="J475" s="55"/>
      <c r="K475" s="55"/>
      <c r="L475" s="57" t="str">
        <f aca="false">IF(OR(B475="",G475=""),"",G475-E475-F475-I475-J475-K475)</f>
        <v/>
      </c>
      <c r="M475" s="58" t="str">
        <f aca="false">IF(L475="","",IF(G475=0,0,L475/G475))</f>
        <v/>
      </c>
      <c r="N475" s="53"/>
      <c r="O475" s="59" t="str">
        <f aca="false">IF(M475="","",IF(M475&lt;0.15,"⚠ LOW MARGIN / MARGEN BAJO","✔ OK"))</f>
        <v/>
      </c>
      <c r="P475" s="52" t="n">
        <f aca="false">IF(Q475=1,L475+ROW()/1000000,-1000000000000000)</f>
        <v>-1000000000000000</v>
      </c>
      <c r="Q475" s="52" t="n">
        <f aca="false">IF(B475="",0,IF(G475="",0,IF(N475="Returned / Devuelto",0,1)))</f>
        <v>0</v>
      </c>
      <c r="R475" s="52" t="n">
        <f aca="false">IF(Q475=1,IF(ISNUMBER(D475),YEAR(D475)*100+MONTH(D475),0),0)</f>
        <v>0</v>
      </c>
      <c r="S475" s="52" t="n">
        <f aca="false">IF(Q475=1,IF(M475&lt;0.15,1,0),0)</f>
        <v>0</v>
      </c>
    </row>
    <row r="476" customFormat="false" ht="15" hidden="false" customHeight="false" outlineLevel="0" collapsed="false">
      <c r="B476" s="53"/>
      <c r="C476" s="53"/>
      <c r="D476" s="54"/>
      <c r="E476" s="55"/>
      <c r="F476" s="55"/>
      <c r="G476" s="55"/>
      <c r="H476" s="56"/>
      <c r="I476" s="57" t="str">
        <f aca="false">IF(G476="","",G476*H476)</f>
        <v/>
      </c>
      <c r="J476" s="55"/>
      <c r="K476" s="55"/>
      <c r="L476" s="57" t="str">
        <f aca="false">IF(OR(B476="",G476=""),"",G476-E476-F476-I476-J476-K476)</f>
        <v/>
      </c>
      <c r="M476" s="58" t="str">
        <f aca="false">IF(L476="","",IF(G476=0,0,L476/G476))</f>
        <v/>
      </c>
      <c r="N476" s="53"/>
      <c r="O476" s="59" t="str">
        <f aca="false">IF(M476="","",IF(M476&lt;0.15,"⚠ LOW MARGIN / MARGEN BAJO","✔ OK"))</f>
        <v/>
      </c>
      <c r="P476" s="52" t="n">
        <f aca="false">IF(Q476=1,L476+ROW()/1000000,-1000000000000000)</f>
        <v>-1000000000000000</v>
      </c>
      <c r="Q476" s="52" t="n">
        <f aca="false">IF(B476="",0,IF(G476="",0,IF(N476="Returned / Devuelto",0,1)))</f>
        <v>0</v>
      </c>
      <c r="R476" s="52" t="n">
        <f aca="false">IF(Q476=1,IF(ISNUMBER(D476),YEAR(D476)*100+MONTH(D476),0),0)</f>
        <v>0</v>
      </c>
      <c r="S476" s="52" t="n">
        <f aca="false">IF(Q476=1,IF(M476&lt;0.15,1,0),0)</f>
        <v>0</v>
      </c>
    </row>
    <row r="477" customFormat="false" ht="15" hidden="false" customHeight="false" outlineLevel="0" collapsed="false">
      <c r="B477" s="53"/>
      <c r="C477" s="53"/>
      <c r="D477" s="54"/>
      <c r="E477" s="55"/>
      <c r="F477" s="55"/>
      <c r="G477" s="55"/>
      <c r="H477" s="56"/>
      <c r="I477" s="57" t="str">
        <f aca="false">IF(G477="","",G477*H477)</f>
        <v/>
      </c>
      <c r="J477" s="55"/>
      <c r="K477" s="55"/>
      <c r="L477" s="57" t="str">
        <f aca="false">IF(OR(B477="",G477=""),"",G477-E477-F477-I477-J477-K477)</f>
        <v/>
      </c>
      <c r="M477" s="58" t="str">
        <f aca="false">IF(L477="","",IF(G477=0,0,L477/G477))</f>
        <v/>
      </c>
      <c r="N477" s="53"/>
      <c r="O477" s="59" t="str">
        <f aca="false">IF(M477="","",IF(M477&lt;0.15,"⚠ LOW MARGIN / MARGEN BAJO","✔ OK"))</f>
        <v/>
      </c>
      <c r="P477" s="52" t="n">
        <f aca="false">IF(Q477=1,L477+ROW()/1000000,-1000000000000000)</f>
        <v>-1000000000000000</v>
      </c>
      <c r="Q477" s="52" t="n">
        <f aca="false">IF(B477="",0,IF(G477="",0,IF(N477="Returned / Devuelto",0,1)))</f>
        <v>0</v>
      </c>
      <c r="R477" s="52" t="n">
        <f aca="false">IF(Q477=1,IF(ISNUMBER(D477),YEAR(D477)*100+MONTH(D477),0),0)</f>
        <v>0</v>
      </c>
      <c r="S477" s="52" t="n">
        <f aca="false">IF(Q477=1,IF(M477&lt;0.15,1,0),0)</f>
        <v>0</v>
      </c>
    </row>
    <row r="478" customFormat="false" ht="15" hidden="false" customHeight="false" outlineLevel="0" collapsed="false">
      <c r="B478" s="53"/>
      <c r="C478" s="53"/>
      <c r="D478" s="54"/>
      <c r="E478" s="55"/>
      <c r="F478" s="55"/>
      <c r="G478" s="55"/>
      <c r="H478" s="56"/>
      <c r="I478" s="57" t="str">
        <f aca="false">IF(G478="","",G478*H478)</f>
        <v/>
      </c>
      <c r="J478" s="55"/>
      <c r="K478" s="55"/>
      <c r="L478" s="57" t="str">
        <f aca="false">IF(OR(B478="",G478=""),"",G478-E478-F478-I478-J478-K478)</f>
        <v/>
      </c>
      <c r="M478" s="58" t="str">
        <f aca="false">IF(L478="","",IF(G478=0,0,L478/G478))</f>
        <v/>
      </c>
      <c r="N478" s="53"/>
      <c r="O478" s="59" t="str">
        <f aca="false">IF(M478="","",IF(M478&lt;0.15,"⚠ LOW MARGIN / MARGEN BAJO","✔ OK"))</f>
        <v/>
      </c>
      <c r="P478" s="52" t="n">
        <f aca="false">IF(Q478=1,L478+ROW()/1000000,-1000000000000000)</f>
        <v>-1000000000000000</v>
      </c>
      <c r="Q478" s="52" t="n">
        <f aca="false">IF(B478="",0,IF(G478="",0,IF(N478="Returned / Devuelto",0,1)))</f>
        <v>0</v>
      </c>
      <c r="R478" s="52" t="n">
        <f aca="false">IF(Q478=1,IF(ISNUMBER(D478),YEAR(D478)*100+MONTH(D478),0),0)</f>
        <v>0</v>
      </c>
      <c r="S478" s="52" t="n">
        <f aca="false">IF(Q478=1,IF(M478&lt;0.15,1,0),0)</f>
        <v>0</v>
      </c>
    </row>
    <row r="479" customFormat="false" ht="15" hidden="false" customHeight="false" outlineLevel="0" collapsed="false">
      <c r="B479" s="53"/>
      <c r="C479" s="53"/>
      <c r="D479" s="54"/>
      <c r="E479" s="55"/>
      <c r="F479" s="55"/>
      <c r="G479" s="55"/>
      <c r="H479" s="56"/>
      <c r="I479" s="57" t="str">
        <f aca="false">IF(G479="","",G479*H479)</f>
        <v/>
      </c>
      <c r="J479" s="55"/>
      <c r="K479" s="55"/>
      <c r="L479" s="57" t="str">
        <f aca="false">IF(OR(B479="",G479=""),"",G479-E479-F479-I479-J479-K479)</f>
        <v/>
      </c>
      <c r="M479" s="58" t="str">
        <f aca="false">IF(L479="","",IF(G479=0,0,L479/G479))</f>
        <v/>
      </c>
      <c r="N479" s="53"/>
      <c r="O479" s="59" t="str">
        <f aca="false">IF(M479="","",IF(M479&lt;0.15,"⚠ LOW MARGIN / MARGEN BAJO","✔ OK"))</f>
        <v/>
      </c>
      <c r="P479" s="52" t="n">
        <f aca="false">IF(Q479=1,L479+ROW()/1000000,-1000000000000000)</f>
        <v>-1000000000000000</v>
      </c>
      <c r="Q479" s="52" t="n">
        <f aca="false">IF(B479="",0,IF(G479="",0,IF(N479="Returned / Devuelto",0,1)))</f>
        <v>0</v>
      </c>
      <c r="R479" s="52" t="n">
        <f aca="false">IF(Q479=1,IF(ISNUMBER(D479),YEAR(D479)*100+MONTH(D479),0),0)</f>
        <v>0</v>
      </c>
      <c r="S479" s="52" t="n">
        <f aca="false">IF(Q479=1,IF(M479&lt;0.15,1,0),0)</f>
        <v>0</v>
      </c>
    </row>
    <row r="480" customFormat="false" ht="15" hidden="false" customHeight="false" outlineLevel="0" collapsed="false">
      <c r="B480" s="53"/>
      <c r="C480" s="53"/>
      <c r="D480" s="54"/>
      <c r="E480" s="55"/>
      <c r="F480" s="55"/>
      <c r="G480" s="55"/>
      <c r="H480" s="56"/>
      <c r="I480" s="57" t="str">
        <f aca="false">IF(G480="","",G480*H480)</f>
        <v/>
      </c>
      <c r="J480" s="55"/>
      <c r="K480" s="55"/>
      <c r="L480" s="57" t="str">
        <f aca="false">IF(OR(B480="",G480=""),"",G480-E480-F480-I480-J480-K480)</f>
        <v/>
      </c>
      <c r="M480" s="58" t="str">
        <f aca="false">IF(L480="","",IF(G480=0,0,L480/G480))</f>
        <v/>
      </c>
      <c r="N480" s="53"/>
      <c r="O480" s="59" t="str">
        <f aca="false">IF(M480="","",IF(M480&lt;0.15,"⚠ LOW MARGIN / MARGEN BAJO","✔ OK"))</f>
        <v/>
      </c>
      <c r="P480" s="52" t="n">
        <f aca="false">IF(Q480=1,L480+ROW()/1000000,-1000000000000000)</f>
        <v>-1000000000000000</v>
      </c>
      <c r="Q480" s="52" t="n">
        <f aca="false">IF(B480="",0,IF(G480="",0,IF(N480="Returned / Devuelto",0,1)))</f>
        <v>0</v>
      </c>
      <c r="R480" s="52" t="n">
        <f aca="false">IF(Q480=1,IF(ISNUMBER(D480),YEAR(D480)*100+MONTH(D480),0),0)</f>
        <v>0</v>
      </c>
      <c r="S480" s="52" t="n">
        <f aca="false">IF(Q480=1,IF(M480&lt;0.15,1,0),0)</f>
        <v>0</v>
      </c>
    </row>
    <row r="481" customFormat="false" ht="15" hidden="false" customHeight="false" outlineLevel="0" collapsed="false">
      <c r="B481" s="53"/>
      <c r="C481" s="53"/>
      <c r="D481" s="54"/>
      <c r="E481" s="55"/>
      <c r="F481" s="55"/>
      <c r="G481" s="55"/>
      <c r="H481" s="56"/>
      <c r="I481" s="57" t="str">
        <f aca="false">IF(G481="","",G481*H481)</f>
        <v/>
      </c>
      <c r="J481" s="55"/>
      <c r="K481" s="55"/>
      <c r="L481" s="57" t="str">
        <f aca="false">IF(OR(B481="",G481=""),"",G481-E481-F481-I481-J481-K481)</f>
        <v/>
      </c>
      <c r="M481" s="58" t="str">
        <f aca="false">IF(L481="","",IF(G481=0,0,L481/G481))</f>
        <v/>
      </c>
      <c r="N481" s="53"/>
      <c r="O481" s="59" t="str">
        <f aca="false">IF(M481="","",IF(M481&lt;0.15,"⚠ LOW MARGIN / MARGEN BAJO","✔ OK"))</f>
        <v/>
      </c>
      <c r="P481" s="52" t="n">
        <f aca="false">IF(Q481=1,L481+ROW()/1000000,-1000000000000000)</f>
        <v>-1000000000000000</v>
      </c>
      <c r="Q481" s="52" t="n">
        <f aca="false">IF(B481="",0,IF(G481="",0,IF(N481="Returned / Devuelto",0,1)))</f>
        <v>0</v>
      </c>
      <c r="R481" s="52" t="n">
        <f aca="false">IF(Q481=1,IF(ISNUMBER(D481),YEAR(D481)*100+MONTH(D481),0),0)</f>
        <v>0</v>
      </c>
      <c r="S481" s="52" t="n">
        <f aca="false">IF(Q481=1,IF(M481&lt;0.15,1,0),0)</f>
        <v>0</v>
      </c>
    </row>
    <row r="482" customFormat="false" ht="15" hidden="false" customHeight="false" outlineLevel="0" collapsed="false">
      <c r="B482" s="53"/>
      <c r="C482" s="53"/>
      <c r="D482" s="54"/>
      <c r="E482" s="55"/>
      <c r="F482" s="55"/>
      <c r="G482" s="55"/>
      <c r="H482" s="56"/>
      <c r="I482" s="57" t="str">
        <f aca="false">IF(G482="","",G482*H482)</f>
        <v/>
      </c>
      <c r="J482" s="55"/>
      <c r="K482" s="55"/>
      <c r="L482" s="57" t="str">
        <f aca="false">IF(OR(B482="",G482=""),"",G482-E482-F482-I482-J482-K482)</f>
        <v/>
      </c>
      <c r="M482" s="58" t="str">
        <f aca="false">IF(L482="","",IF(G482=0,0,L482/G482))</f>
        <v/>
      </c>
      <c r="N482" s="53"/>
      <c r="O482" s="59" t="str">
        <f aca="false">IF(M482="","",IF(M482&lt;0.15,"⚠ LOW MARGIN / MARGEN BAJO","✔ OK"))</f>
        <v/>
      </c>
      <c r="P482" s="52" t="n">
        <f aca="false">IF(Q482=1,L482+ROW()/1000000,-1000000000000000)</f>
        <v>-1000000000000000</v>
      </c>
      <c r="Q482" s="52" t="n">
        <f aca="false">IF(B482="",0,IF(G482="",0,IF(N482="Returned / Devuelto",0,1)))</f>
        <v>0</v>
      </c>
      <c r="R482" s="52" t="n">
        <f aca="false">IF(Q482=1,IF(ISNUMBER(D482),YEAR(D482)*100+MONTH(D482),0),0)</f>
        <v>0</v>
      </c>
      <c r="S482" s="52" t="n">
        <f aca="false">IF(Q482=1,IF(M482&lt;0.15,1,0),0)</f>
        <v>0</v>
      </c>
    </row>
    <row r="483" customFormat="false" ht="15" hidden="false" customHeight="false" outlineLevel="0" collapsed="false">
      <c r="B483" s="53"/>
      <c r="C483" s="53"/>
      <c r="D483" s="54"/>
      <c r="E483" s="55"/>
      <c r="F483" s="55"/>
      <c r="G483" s="55"/>
      <c r="H483" s="56"/>
      <c r="I483" s="57" t="str">
        <f aca="false">IF(G483="","",G483*H483)</f>
        <v/>
      </c>
      <c r="J483" s="55"/>
      <c r="K483" s="55"/>
      <c r="L483" s="57" t="str">
        <f aca="false">IF(OR(B483="",G483=""),"",G483-E483-F483-I483-J483-K483)</f>
        <v/>
      </c>
      <c r="M483" s="58" t="str">
        <f aca="false">IF(L483="","",IF(G483=0,0,L483/G483))</f>
        <v/>
      </c>
      <c r="N483" s="53"/>
      <c r="O483" s="59" t="str">
        <f aca="false">IF(M483="","",IF(M483&lt;0.15,"⚠ LOW MARGIN / MARGEN BAJO","✔ OK"))</f>
        <v/>
      </c>
      <c r="P483" s="52" t="n">
        <f aca="false">IF(Q483=1,L483+ROW()/1000000,-1000000000000000)</f>
        <v>-1000000000000000</v>
      </c>
      <c r="Q483" s="52" t="n">
        <f aca="false">IF(B483="",0,IF(G483="",0,IF(N483="Returned / Devuelto",0,1)))</f>
        <v>0</v>
      </c>
      <c r="R483" s="52" t="n">
        <f aca="false">IF(Q483=1,IF(ISNUMBER(D483),YEAR(D483)*100+MONTH(D483),0),0)</f>
        <v>0</v>
      </c>
      <c r="S483" s="52" t="n">
        <f aca="false">IF(Q483=1,IF(M483&lt;0.15,1,0),0)</f>
        <v>0</v>
      </c>
    </row>
    <row r="484" customFormat="false" ht="15" hidden="false" customHeight="false" outlineLevel="0" collapsed="false">
      <c r="B484" s="53"/>
      <c r="C484" s="53"/>
      <c r="D484" s="54"/>
      <c r="E484" s="55"/>
      <c r="F484" s="55"/>
      <c r="G484" s="55"/>
      <c r="H484" s="56"/>
      <c r="I484" s="57" t="str">
        <f aca="false">IF(G484="","",G484*H484)</f>
        <v/>
      </c>
      <c r="J484" s="55"/>
      <c r="K484" s="55"/>
      <c r="L484" s="57" t="str">
        <f aca="false">IF(OR(B484="",G484=""),"",G484-E484-F484-I484-J484-K484)</f>
        <v/>
      </c>
      <c r="M484" s="58" t="str">
        <f aca="false">IF(L484="","",IF(G484=0,0,L484/G484))</f>
        <v/>
      </c>
      <c r="N484" s="53"/>
      <c r="O484" s="59" t="str">
        <f aca="false">IF(M484="","",IF(M484&lt;0.15,"⚠ LOW MARGIN / MARGEN BAJO","✔ OK"))</f>
        <v/>
      </c>
      <c r="P484" s="52" t="n">
        <f aca="false">IF(Q484=1,L484+ROW()/1000000,-1000000000000000)</f>
        <v>-1000000000000000</v>
      </c>
      <c r="Q484" s="52" t="n">
        <f aca="false">IF(B484="",0,IF(G484="",0,IF(N484="Returned / Devuelto",0,1)))</f>
        <v>0</v>
      </c>
      <c r="R484" s="52" t="n">
        <f aca="false">IF(Q484=1,IF(ISNUMBER(D484),YEAR(D484)*100+MONTH(D484),0),0)</f>
        <v>0</v>
      </c>
      <c r="S484" s="52" t="n">
        <f aca="false">IF(Q484=1,IF(M484&lt;0.15,1,0),0)</f>
        <v>0</v>
      </c>
    </row>
    <row r="485" customFormat="false" ht="15" hidden="false" customHeight="false" outlineLevel="0" collapsed="false">
      <c r="B485" s="53"/>
      <c r="C485" s="53"/>
      <c r="D485" s="54"/>
      <c r="E485" s="55"/>
      <c r="F485" s="55"/>
      <c r="G485" s="55"/>
      <c r="H485" s="56"/>
      <c r="I485" s="57" t="str">
        <f aca="false">IF(G485="","",G485*H485)</f>
        <v/>
      </c>
      <c r="J485" s="55"/>
      <c r="K485" s="55"/>
      <c r="L485" s="57" t="str">
        <f aca="false">IF(OR(B485="",G485=""),"",G485-E485-F485-I485-J485-K485)</f>
        <v/>
      </c>
      <c r="M485" s="58" t="str">
        <f aca="false">IF(L485="","",IF(G485=0,0,L485/G485))</f>
        <v/>
      </c>
      <c r="N485" s="53"/>
      <c r="O485" s="59" t="str">
        <f aca="false">IF(M485="","",IF(M485&lt;0.15,"⚠ LOW MARGIN / MARGEN BAJO","✔ OK"))</f>
        <v/>
      </c>
      <c r="P485" s="52" t="n">
        <f aca="false">IF(Q485=1,L485+ROW()/1000000,-1000000000000000)</f>
        <v>-1000000000000000</v>
      </c>
      <c r="Q485" s="52" t="n">
        <f aca="false">IF(B485="",0,IF(G485="",0,IF(N485="Returned / Devuelto",0,1)))</f>
        <v>0</v>
      </c>
      <c r="R485" s="52" t="n">
        <f aca="false">IF(Q485=1,IF(ISNUMBER(D485),YEAR(D485)*100+MONTH(D485),0),0)</f>
        <v>0</v>
      </c>
      <c r="S485" s="52" t="n">
        <f aca="false">IF(Q485=1,IF(M485&lt;0.15,1,0),0)</f>
        <v>0</v>
      </c>
    </row>
    <row r="486" customFormat="false" ht="15" hidden="false" customHeight="false" outlineLevel="0" collapsed="false">
      <c r="B486" s="53"/>
      <c r="C486" s="53"/>
      <c r="D486" s="54"/>
      <c r="E486" s="55"/>
      <c r="F486" s="55"/>
      <c r="G486" s="55"/>
      <c r="H486" s="56"/>
      <c r="I486" s="57" t="str">
        <f aca="false">IF(G486="","",G486*H486)</f>
        <v/>
      </c>
      <c r="J486" s="55"/>
      <c r="K486" s="55"/>
      <c r="L486" s="57" t="str">
        <f aca="false">IF(OR(B486="",G486=""),"",G486-E486-F486-I486-J486-K486)</f>
        <v/>
      </c>
      <c r="M486" s="58" t="str">
        <f aca="false">IF(L486="","",IF(G486=0,0,L486/G486))</f>
        <v/>
      </c>
      <c r="N486" s="53"/>
      <c r="O486" s="59" t="str">
        <f aca="false">IF(M486="","",IF(M486&lt;0.15,"⚠ LOW MARGIN / MARGEN BAJO","✔ OK"))</f>
        <v/>
      </c>
      <c r="P486" s="52" t="n">
        <f aca="false">IF(Q486=1,L486+ROW()/1000000,-1000000000000000)</f>
        <v>-1000000000000000</v>
      </c>
      <c r="Q486" s="52" t="n">
        <f aca="false">IF(B486="",0,IF(G486="",0,IF(N486="Returned / Devuelto",0,1)))</f>
        <v>0</v>
      </c>
      <c r="R486" s="52" t="n">
        <f aca="false">IF(Q486=1,IF(ISNUMBER(D486),YEAR(D486)*100+MONTH(D486),0),0)</f>
        <v>0</v>
      </c>
      <c r="S486" s="52" t="n">
        <f aca="false">IF(Q486=1,IF(M486&lt;0.15,1,0),0)</f>
        <v>0</v>
      </c>
    </row>
    <row r="487" customFormat="false" ht="15" hidden="false" customHeight="false" outlineLevel="0" collapsed="false">
      <c r="B487" s="53"/>
      <c r="C487" s="53"/>
      <c r="D487" s="54"/>
      <c r="E487" s="55"/>
      <c r="F487" s="55"/>
      <c r="G487" s="55"/>
      <c r="H487" s="56"/>
      <c r="I487" s="57" t="str">
        <f aca="false">IF(G487="","",G487*H487)</f>
        <v/>
      </c>
      <c r="J487" s="55"/>
      <c r="K487" s="55"/>
      <c r="L487" s="57" t="str">
        <f aca="false">IF(OR(B487="",G487=""),"",G487-E487-F487-I487-J487-K487)</f>
        <v/>
      </c>
      <c r="M487" s="58" t="str">
        <f aca="false">IF(L487="","",IF(G487=0,0,L487/G487))</f>
        <v/>
      </c>
      <c r="N487" s="53"/>
      <c r="O487" s="59" t="str">
        <f aca="false">IF(M487="","",IF(M487&lt;0.15,"⚠ LOW MARGIN / MARGEN BAJO","✔ OK"))</f>
        <v/>
      </c>
      <c r="P487" s="52" t="n">
        <f aca="false">IF(Q487=1,L487+ROW()/1000000,-1000000000000000)</f>
        <v>-1000000000000000</v>
      </c>
      <c r="Q487" s="52" t="n">
        <f aca="false">IF(B487="",0,IF(G487="",0,IF(N487="Returned / Devuelto",0,1)))</f>
        <v>0</v>
      </c>
      <c r="R487" s="52" t="n">
        <f aca="false">IF(Q487=1,IF(ISNUMBER(D487),YEAR(D487)*100+MONTH(D487),0),0)</f>
        <v>0</v>
      </c>
      <c r="S487" s="52" t="n">
        <f aca="false">IF(Q487=1,IF(M487&lt;0.15,1,0),0)</f>
        <v>0</v>
      </c>
    </row>
    <row r="488" customFormat="false" ht="15" hidden="false" customHeight="false" outlineLevel="0" collapsed="false">
      <c r="B488" s="53"/>
      <c r="C488" s="53"/>
      <c r="D488" s="54"/>
      <c r="E488" s="55"/>
      <c r="F488" s="55"/>
      <c r="G488" s="55"/>
      <c r="H488" s="56"/>
      <c r="I488" s="57" t="str">
        <f aca="false">IF(G488="","",G488*H488)</f>
        <v/>
      </c>
      <c r="J488" s="55"/>
      <c r="K488" s="55"/>
      <c r="L488" s="57" t="str">
        <f aca="false">IF(OR(B488="",G488=""),"",G488-E488-F488-I488-J488-K488)</f>
        <v/>
      </c>
      <c r="M488" s="58" t="str">
        <f aca="false">IF(L488="","",IF(G488=0,0,L488/G488))</f>
        <v/>
      </c>
      <c r="N488" s="53"/>
      <c r="O488" s="59" t="str">
        <f aca="false">IF(M488="","",IF(M488&lt;0.15,"⚠ LOW MARGIN / MARGEN BAJO","✔ OK"))</f>
        <v/>
      </c>
      <c r="P488" s="52" t="n">
        <f aca="false">IF(Q488=1,L488+ROW()/1000000,-1000000000000000)</f>
        <v>-1000000000000000</v>
      </c>
      <c r="Q488" s="52" t="n">
        <f aca="false">IF(B488="",0,IF(G488="",0,IF(N488="Returned / Devuelto",0,1)))</f>
        <v>0</v>
      </c>
      <c r="R488" s="52" t="n">
        <f aca="false">IF(Q488=1,IF(ISNUMBER(D488),YEAR(D488)*100+MONTH(D488),0),0)</f>
        <v>0</v>
      </c>
      <c r="S488" s="52" t="n">
        <f aca="false">IF(Q488=1,IF(M488&lt;0.15,1,0),0)</f>
        <v>0</v>
      </c>
    </row>
    <row r="489" customFormat="false" ht="15" hidden="false" customHeight="false" outlineLevel="0" collapsed="false">
      <c r="B489" s="53"/>
      <c r="C489" s="53"/>
      <c r="D489" s="54"/>
      <c r="E489" s="55"/>
      <c r="F489" s="55"/>
      <c r="G489" s="55"/>
      <c r="H489" s="56"/>
      <c r="I489" s="57" t="str">
        <f aca="false">IF(G489="","",G489*H489)</f>
        <v/>
      </c>
      <c r="J489" s="55"/>
      <c r="K489" s="55"/>
      <c r="L489" s="57" t="str">
        <f aca="false">IF(OR(B489="",G489=""),"",G489-E489-F489-I489-J489-K489)</f>
        <v/>
      </c>
      <c r="M489" s="58" t="str">
        <f aca="false">IF(L489="","",IF(G489=0,0,L489/G489))</f>
        <v/>
      </c>
      <c r="N489" s="53"/>
      <c r="O489" s="59" t="str">
        <f aca="false">IF(M489="","",IF(M489&lt;0.15,"⚠ LOW MARGIN / MARGEN BAJO","✔ OK"))</f>
        <v/>
      </c>
      <c r="P489" s="52" t="n">
        <f aca="false">IF(Q489=1,L489+ROW()/1000000,-1000000000000000)</f>
        <v>-1000000000000000</v>
      </c>
      <c r="Q489" s="52" t="n">
        <f aca="false">IF(B489="",0,IF(G489="",0,IF(N489="Returned / Devuelto",0,1)))</f>
        <v>0</v>
      </c>
      <c r="R489" s="52" t="n">
        <f aca="false">IF(Q489=1,IF(ISNUMBER(D489),YEAR(D489)*100+MONTH(D489),0),0)</f>
        <v>0</v>
      </c>
      <c r="S489" s="52" t="n">
        <f aca="false">IF(Q489=1,IF(M489&lt;0.15,1,0),0)</f>
        <v>0</v>
      </c>
    </row>
    <row r="490" customFormat="false" ht="15" hidden="false" customHeight="false" outlineLevel="0" collapsed="false">
      <c r="B490" s="53"/>
      <c r="C490" s="53"/>
      <c r="D490" s="54"/>
      <c r="E490" s="55"/>
      <c r="F490" s="55"/>
      <c r="G490" s="55"/>
      <c r="H490" s="56"/>
      <c r="I490" s="57" t="str">
        <f aca="false">IF(G490="","",G490*H490)</f>
        <v/>
      </c>
      <c r="J490" s="55"/>
      <c r="K490" s="55"/>
      <c r="L490" s="57" t="str">
        <f aca="false">IF(OR(B490="",G490=""),"",G490-E490-F490-I490-J490-K490)</f>
        <v/>
      </c>
      <c r="M490" s="58" t="str">
        <f aca="false">IF(L490="","",IF(G490=0,0,L490/G490))</f>
        <v/>
      </c>
      <c r="N490" s="53"/>
      <c r="O490" s="59" t="str">
        <f aca="false">IF(M490="","",IF(M490&lt;0.15,"⚠ LOW MARGIN / MARGEN BAJO","✔ OK"))</f>
        <v/>
      </c>
      <c r="P490" s="52" t="n">
        <f aca="false">IF(Q490=1,L490+ROW()/1000000,-1000000000000000)</f>
        <v>-1000000000000000</v>
      </c>
      <c r="Q490" s="52" t="n">
        <f aca="false">IF(B490="",0,IF(G490="",0,IF(N490="Returned / Devuelto",0,1)))</f>
        <v>0</v>
      </c>
      <c r="R490" s="52" t="n">
        <f aca="false">IF(Q490=1,IF(ISNUMBER(D490),YEAR(D490)*100+MONTH(D490),0),0)</f>
        <v>0</v>
      </c>
      <c r="S490" s="52" t="n">
        <f aca="false">IF(Q490=1,IF(M490&lt;0.15,1,0),0)</f>
        <v>0</v>
      </c>
    </row>
    <row r="491" customFormat="false" ht="15" hidden="false" customHeight="false" outlineLevel="0" collapsed="false">
      <c r="B491" s="53"/>
      <c r="C491" s="53"/>
      <c r="D491" s="54"/>
      <c r="E491" s="55"/>
      <c r="F491" s="55"/>
      <c r="G491" s="55"/>
      <c r="H491" s="56"/>
      <c r="I491" s="57" t="str">
        <f aca="false">IF(G491="","",G491*H491)</f>
        <v/>
      </c>
      <c r="J491" s="55"/>
      <c r="K491" s="55"/>
      <c r="L491" s="57" t="str">
        <f aca="false">IF(OR(B491="",G491=""),"",G491-E491-F491-I491-J491-K491)</f>
        <v/>
      </c>
      <c r="M491" s="58" t="str">
        <f aca="false">IF(L491="","",IF(G491=0,0,L491/G491))</f>
        <v/>
      </c>
      <c r="N491" s="53"/>
      <c r="O491" s="59" t="str">
        <f aca="false">IF(M491="","",IF(M491&lt;0.15,"⚠ LOW MARGIN / MARGEN BAJO","✔ OK"))</f>
        <v/>
      </c>
      <c r="P491" s="52" t="n">
        <f aca="false">IF(Q491=1,L491+ROW()/1000000,-1000000000000000)</f>
        <v>-1000000000000000</v>
      </c>
      <c r="Q491" s="52" t="n">
        <f aca="false">IF(B491="",0,IF(G491="",0,IF(N491="Returned / Devuelto",0,1)))</f>
        <v>0</v>
      </c>
      <c r="R491" s="52" t="n">
        <f aca="false">IF(Q491=1,IF(ISNUMBER(D491),YEAR(D491)*100+MONTH(D491),0),0)</f>
        <v>0</v>
      </c>
      <c r="S491" s="52" t="n">
        <f aca="false">IF(Q491=1,IF(M491&lt;0.15,1,0),0)</f>
        <v>0</v>
      </c>
    </row>
    <row r="492" customFormat="false" ht="15" hidden="false" customHeight="false" outlineLevel="0" collapsed="false">
      <c r="B492" s="53"/>
      <c r="C492" s="53"/>
      <c r="D492" s="54"/>
      <c r="E492" s="55"/>
      <c r="F492" s="55"/>
      <c r="G492" s="55"/>
      <c r="H492" s="56"/>
      <c r="I492" s="57" t="str">
        <f aca="false">IF(G492="","",G492*H492)</f>
        <v/>
      </c>
      <c r="J492" s="55"/>
      <c r="K492" s="55"/>
      <c r="L492" s="57" t="str">
        <f aca="false">IF(OR(B492="",G492=""),"",G492-E492-F492-I492-J492-K492)</f>
        <v/>
      </c>
      <c r="M492" s="58" t="str">
        <f aca="false">IF(L492="","",IF(G492=0,0,L492/G492))</f>
        <v/>
      </c>
      <c r="N492" s="53"/>
      <c r="O492" s="59" t="str">
        <f aca="false">IF(M492="","",IF(M492&lt;0.15,"⚠ LOW MARGIN / MARGEN BAJO","✔ OK"))</f>
        <v/>
      </c>
      <c r="P492" s="52" t="n">
        <f aca="false">IF(Q492=1,L492+ROW()/1000000,-1000000000000000)</f>
        <v>-1000000000000000</v>
      </c>
      <c r="Q492" s="52" t="n">
        <f aca="false">IF(B492="",0,IF(G492="",0,IF(N492="Returned / Devuelto",0,1)))</f>
        <v>0</v>
      </c>
      <c r="R492" s="52" t="n">
        <f aca="false">IF(Q492=1,IF(ISNUMBER(D492),YEAR(D492)*100+MONTH(D492),0),0)</f>
        <v>0</v>
      </c>
      <c r="S492" s="52" t="n">
        <f aca="false">IF(Q492=1,IF(M492&lt;0.15,1,0),0)</f>
        <v>0</v>
      </c>
    </row>
    <row r="493" customFormat="false" ht="15" hidden="false" customHeight="false" outlineLevel="0" collapsed="false">
      <c r="B493" s="53"/>
      <c r="C493" s="53"/>
      <c r="D493" s="54"/>
      <c r="E493" s="55"/>
      <c r="F493" s="55"/>
      <c r="G493" s="55"/>
      <c r="H493" s="56"/>
      <c r="I493" s="57" t="str">
        <f aca="false">IF(G493="","",G493*H493)</f>
        <v/>
      </c>
      <c r="J493" s="55"/>
      <c r="K493" s="55"/>
      <c r="L493" s="57" t="str">
        <f aca="false">IF(OR(B493="",G493=""),"",G493-E493-F493-I493-J493-K493)</f>
        <v/>
      </c>
      <c r="M493" s="58" t="str">
        <f aca="false">IF(L493="","",IF(G493=0,0,L493/G493))</f>
        <v/>
      </c>
      <c r="N493" s="53"/>
      <c r="O493" s="59" t="str">
        <f aca="false">IF(M493="","",IF(M493&lt;0.15,"⚠ LOW MARGIN / MARGEN BAJO","✔ OK"))</f>
        <v/>
      </c>
      <c r="P493" s="52" t="n">
        <f aca="false">IF(Q493=1,L493+ROW()/1000000,-1000000000000000)</f>
        <v>-1000000000000000</v>
      </c>
      <c r="Q493" s="52" t="n">
        <f aca="false">IF(B493="",0,IF(G493="",0,IF(N493="Returned / Devuelto",0,1)))</f>
        <v>0</v>
      </c>
      <c r="R493" s="52" t="n">
        <f aca="false">IF(Q493=1,IF(ISNUMBER(D493),YEAR(D493)*100+MONTH(D493),0),0)</f>
        <v>0</v>
      </c>
      <c r="S493" s="52" t="n">
        <f aca="false">IF(Q493=1,IF(M493&lt;0.15,1,0),0)</f>
        <v>0</v>
      </c>
    </row>
    <row r="494" customFormat="false" ht="15" hidden="false" customHeight="false" outlineLevel="0" collapsed="false">
      <c r="B494" s="53"/>
      <c r="C494" s="53"/>
      <c r="D494" s="54"/>
      <c r="E494" s="55"/>
      <c r="F494" s="55"/>
      <c r="G494" s="55"/>
      <c r="H494" s="56"/>
      <c r="I494" s="57" t="str">
        <f aca="false">IF(G494="","",G494*H494)</f>
        <v/>
      </c>
      <c r="J494" s="55"/>
      <c r="K494" s="55"/>
      <c r="L494" s="57" t="str">
        <f aca="false">IF(OR(B494="",G494=""),"",G494-E494-F494-I494-J494-K494)</f>
        <v/>
      </c>
      <c r="M494" s="58" t="str">
        <f aca="false">IF(L494="","",IF(G494=0,0,L494/G494))</f>
        <v/>
      </c>
      <c r="N494" s="53"/>
      <c r="O494" s="59" t="str">
        <f aca="false">IF(M494="","",IF(M494&lt;0.15,"⚠ LOW MARGIN / MARGEN BAJO","✔ OK"))</f>
        <v/>
      </c>
      <c r="P494" s="52" t="n">
        <f aca="false">IF(Q494=1,L494+ROW()/1000000,-1000000000000000)</f>
        <v>-1000000000000000</v>
      </c>
      <c r="Q494" s="52" t="n">
        <f aca="false">IF(B494="",0,IF(G494="",0,IF(N494="Returned / Devuelto",0,1)))</f>
        <v>0</v>
      </c>
      <c r="R494" s="52" t="n">
        <f aca="false">IF(Q494=1,IF(ISNUMBER(D494),YEAR(D494)*100+MONTH(D494),0),0)</f>
        <v>0</v>
      </c>
      <c r="S494" s="52" t="n">
        <f aca="false">IF(Q494=1,IF(M494&lt;0.15,1,0),0)</f>
        <v>0</v>
      </c>
    </row>
    <row r="495" customFormat="false" ht="15" hidden="false" customHeight="false" outlineLevel="0" collapsed="false">
      <c r="B495" s="53"/>
      <c r="C495" s="53"/>
      <c r="D495" s="54"/>
      <c r="E495" s="55"/>
      <c r="F495" s="55"/>
      <c r="G495" s="55"/>
      <c r="H495" s="56"/>
      <c r="I495" s="57" t="str">
        <f aca="false">IF(G495="","",G495*H495)</f>
        <v/>
      </c>
      <c r="J495" s="55"/>
      <c r="K495" s="55"/>
      <c r="L495" s="57" t="str">
        <f aca="false">IF(OR(B495="",G495=""),"",G495-E495-F495-I495-J495-K495)</f>
        <v/>
      </c>
      <c r="M495" s="58" t="str">
        <f aca="false">IF(L495="","",IF(G495=0,0,L495/G495))</f>
        <v/>
      </c>
      <c r="N495" s="53"/>
      <c r="O495" s="59" t="str">
        <f aca="false">IF(M495="","",IF(M495&lt;0.15,"⚠ LOW MARGIN / MARGEN BAJO","✔ OK"))</f>
        <v/>
      </c>
      <c r="P495" s="52" t="n">
        <f aca="false">IF(Q495=1,L495+ROW()/1000000,-1000000000000000)</f>
        <v>-1000000000000000</v>
      </c>
      <c r="Q495" s="52" t="n">
        <f aca="false">IF(B495="",0,IF(G495="",0,IF(N495="Returned / Devuelto",0,1)))</f>
        <v>0</v>
      </c>
      <c r="R495" s="52" t="n">
        <f aca="false">IF(Q495=1,IF(ISNUMBER(D495),YEAR(D495)*100+MONTH(D495),0),0)</f>
        <v>0</v>
      </c>
      <c r="S495" s="52" t="n">
        <f aca="false">IF(Q495=1,IF(M495&lt;0.15,1,0),0)</f>
        <v>0</v>
      </c>
    </row>
    <row r="496" customFormat="false" ht="15" hidden="false" customHeight="false" outlineLevel="0" collapsed="false">
      <c r="B496" s="53"/>
      <c r="C496" s="53"/>
      <c r="D496" s="54"/>
      <c r="E496" s="55"/>
      <c r="F496" s="55"/>
      <c r="G496" s="55"/>
      <c r="H496" s="56"/>
      <c r="I496" s="57" t="str">
        <f aca="false">IF(G496="","",G496*H496)</f>
        <v/>
      </c>
      <c r="J496" s="55"/>
      <c r="K496" s="55"/>
      <c r="L496" s="57" t="str">
        <f aca="false">IF(OR(B496="",G496=""),"",G496-E496-F496-I496-J496-K496)</f>
        <v/>
      </c>
      <c r="M496" s="58" t="str">
        <f aca="false">IF(L496="","",IF(G496=0,0,L496/G496))</f>
        <v/>
      </c>
      <c r="N496" s="53"/>
      <c r="O496" s="59" t="str">
        <f aca="false">IF(M496="","",IF(M496&lt;0.15,"⚠ LOW MARGIN / MARGEN BAJO","✔ OK"))</f>
        <v/>
      </c>
      <c r="P496" s="52" t="n">
        <f aca="false">IF(Q496=1,L496+ROW()/1000000,-1000000000000000)</f>
        <v>-1000000000000000</v>
      </c>
      <c r="Q496" s="52" t="n">
        <f aca="false">IF(B496="",0,IF(G496="",0,IF(N496="Returned / Devuelto",0,1)))</f>
        <v>0</v>
      </c>
      <c r="R496" s="52" t="n">
        <f aca="false">IF(Q496=1,IF(ISNUMBER(D496),YEAR(D496)*100+MONTH(D496),0),0)</f>
        <v>0</v>
      </c>
      <c r="S496" s="52" t="n">
        <f aca="false">IF(Q496=1,IF(M496&lt;0.15,1,0),0)</f>
        <v>0</v>
      </c>
    </row>
    <row r="497" customFormat="false" ht="15" hidden="false" customHeight="false" outlineLevel="0" collapsed="false">
      <c r="B497" s="53"/>
      <c r="C497" s="53"/>
      <c r="D497" s="54"/>
      <c r="E497" s="55"/>
      <c r="F497" s="55"/>
      <c r="G497" s="55"/>
      <c r="H497" s="56"/>
      <c r="I497" s="57" t="str">
        <f aca="false">IF(G497="","",G497*H497)</f>
        <v/>
      </c>
      <c r="J497" s="55"/>
      <c r="K497" s="55"/>
      <c r="L497" s="57" t="str">
        <f aca="false">IF(OR(B497="",G497=""),"",G497-E497-F497-I497-J497-K497)</f>
        <v/>
      </c>
      <c r="M497" s="58" t="str">
        <f aca="false">IF(L497="","",IF(G497=0,0,L497/G497))</f>
        <v/>
      </c>
      <c r="N497" s="53"/>
      <c r="O497" s="59" t="str">
        <f aca="false">IF(M497="","",IF(M497&lt;0.15,"⚠ LOW MARGIN / MARGEN BAJO","✔ OK"))</f>
        <v/>
      </c>
      <c r="P497" s="52" t="n">
        <f aca="false">IF(Q497=1,L497+ROW()/1000000,-1000000000000000)</f>
        <v>-1000000000000000</v>
      </c>
      <c r="Q497" s="52" t="n">
        <f aca="false">IF(B497="",0,IF(G497="",0,IF(N497="Returned / Devuelto",0,1)))</f>
        <v>0</v>
      </c>
      <c r="R497" s="52" t="n">
        <f aca="false">IF(Q497=1,IF(ISNUMBER(D497),YEAR(D497)*100+MONTH(D497),0),0)</f>
        <v>0</v>
      </c>
      <c r="S497" s="52" t="n">
        <f aca="false">IF(Q497=1,IF(M497&lt;0.15,1,0),0)</f>
        <v>0</v>
      </c>
    </row>
    <row r="498" customFormat="false" ht="15" hidden="false" customHeight="false" outlineLevel="0" collapsed="false">
      <c r="B498" s="53"/>
      <c r="C498" s="53"/>
      <c r="D498" s="54"/>
      <c r="E498" s="55"/>
      <c r="F498" s="55"/>
      <c r="G498" s="55"/>
      <c r="H498" s="56"/>
      <c r="I498" s="57" t="str">
        <f aca="false">IF(G498="","",G498*H498)</f>
        <v/>
      </c>
      <c r="J498" s="55"/>
      <c r="K498" s="55"/>
      <c r="L498" s="57" t="str">
        <f aca="false">IF(OR(B498="",G498=""),"",G498-E498-F498-I498-J498-K498)</f>
        <v/>
      </c>
      <c r="M498" s="58" t="str">
        <f aca="false">IF(L498="","",IF(G498=0,0,L498/G498))</f>
        <v/>
      </c>
      <c r="N498" s="53"/>
      <c r="O498" s="59" t="str">
        <f aca="false">IF(M498="","",IF(M498&lt;0.15,"⚠ LOW MARGIN / MARGEN BAJO","✔ OK"))</f>
        <v/>
      </c>
      <c r="P498" s="52" t="n">
        <f aca="false">IF(Q498=1,L498+ROW()/1000000,-1000000000000000)</f>
        <v>-1000000000000000</v>
      </c>
      <c r="Q498" s="52" t="n">
        <f aca="false">IF(B498="",0,IF(G498="",0,IF(N498="Returned / Devuelto",0,1)))</f>
        <v>0</v>
      </c>
      <c r="R498" s="52" t="n">
        <f aca="false">IF(Q498=1,IF(ISNUMBER(D498),YEAR(D498)*100+MONTH(D498),0),0)</f>
        <v>0</v>
      </c>
      <c r="S498" s="52" t="n">
        <f aca="false">IF(Q498=1,IF(M498&lt;0.15,1,0),0)</f>
        <v>0</v>
      </c>
    </row>
    <row r="499" customFormat="false" ht="15" hidden="false" customHeight="false" outlineLevel="0" collapsed="false">
      <c r="B499" s="53"/>
      <c r="C499" s="53"/>
      <c r="D499" s="54"/>
      <c r="E499" s="55"/>
      <c r="F499" s="55"/>
      <c r="G499" s="55"/>
      <c r="H499" s="56"/>
      <c r="I499" s="57" t="str">
        <f aca="false">IF(G499="","",G499*H499)</f>
        <v/>
      </c>
      <c r="J499" s="55"/>
      <c r="K499" s="55"/>
      <c r="L499" s="57" t="str">
        <f aca="false">IF(OR(B499="",G499=""),"",G499-E499-F499-I499-J499-K499)</f>
        <v/>
      </c>
      <c r="M499" s="58" t="str">
        <f aca="false">IF(L499="","",IF(G499=0,0,L499/G499))</f>
        <v/>
      </c>
      <c r="N499" s="53"/>
      <c r="O499" s="59" t="str">
        <f aca="false">IF(M499="","",IF(M499&lt;0.15,"⚠ LOW MARGIN / MARGEN BAJO","✔ OK"))</f>
        <v/>
      </c>
      <c r="P499" s="52" t="n">
        <f aca="false">IF(Q499=1,L499+ROW()/1000000,-1000000000000000)</f>
        <v>-1000000000000000</v>
      </c>
      <c r="Q499" s="52" t="n">
        <f aca="false">IF(B499="",0,IF(G499="",0,IF(N499="Returned / Devuelto",0,1)))</f>
        <v>0</v>
      </c>
      <c r="R499" s="52" t="n">
        <f aca="false">IF(Q499=1,IF(ISNUMBER(D499),YEAR(D499)*100+MONTH(D499),0),0)</f>
        <v>0</v>
      </c>
      <c r="S499" s="52" t="n">
        <f aca="false">IF(Q499=1,IF(M499&lt;0.15,1,0),0)</f>
        <v>0</v>
      </c>
    </row>
    <row r="500" customFormat="false" ht="15" hidden="false" customHeight="false" outlineLevel="0" collapsed="false">
      <c r="B500" s="53"/>
      <c r="C500" s="53"/>
      <c r="D500" s="54"/>
      <c r="E500" s="55"/>
      <c r="F500" s="55"/>
      <c r="G500" s="55"/>
      <c r="H500" s="56"/>
      <c r="I500" s="57" t="str">
        <f aca="false">IF(G500="","",G500*H500)</f>
        <v/>
      </c>
      <c r="J500" s="55"/>
      <c r="K500" s="55"/>
      <c r="L500" s="57" t="str">
        <f aca="false">IF(OR(B500="",G500=""),"",G500-E500-F500-I500-J500-K500)</f>
        <v/>
      </c>
      <c r="M500" s="58" t="str">
        <f aca="false">IF(L500="","",IF(G500=0,0,L500/G500))</f>
        <v/>
      </c>
      <c r="N500" s="53"/>
      <c r="O500" s="59" t="str">
        <f aca="false">IF(M500="","",IF(M500&lt;0.15,"⚠ LOW MARGIN / MARGEN BAJO","✔ OK"))</f>
        <v/>
      </c>
      <c r="P500" s="52" t="n">
        <f aca="false">IF(Q500=1,L500+ROW()/1000000,-1000000000000000)</f>
        <v>-1000000000000000</v>
      </c>
      <c r="Q500" s="52" t="n">
        <f aca="false">IF(B500="",0,IF(G500="",0,IF(N500="Returned / Devuelto",0,1)))</f>
        <v>0</v>
      </c>
      <c r="R500" s="52" t="n">
        <f aca="false">IF(Q500=1,IF(ISNUMBER(D500),YEAR(D500)*100+MONTH(D500),0),0)</f>
        <v>0</v>
      </c>
      <c r="S500" s="52" t="n">
        <f aca="false">IF(Q500=1,IF(M500&lt;0.15,1,0),0)</f>
        <v>0</v>
      </c>
    </row>
    <row r="501" customFormat="false" ht="15" hidden="false" customHeight="false" outlineLevel="0" collapsed="false">
      <c r="B501" s="53"/>
      <c r="C501" s="53"/>
      <c r="D501" s="54"/>
      <c r="E501" s="55"/>
      <c r="F501" s="55"/>
      <c r="G501" s="55"/>
      <c r="H501" s="56"/>
      <c r="I501" s="57" t="str">
        <f aca="false">IF(G501="","",G501*H501)</f>
        <v/>
      </c>
      <c r="J501" s="55"/>
      <c r="K501" s="55"/>
      <c r="L501" s="57" t="str">
        <f aca="false">IF(OR(B501="",G501=""),"",G501-E501-F501-I501-J501-K501)</f>
        <v/>
      </c>
      <c r="M501" s="58" t="str">
        <f aca="false">IF(L501="","",IF(G501=0,0,L501/G501))</f>
        <v/>
      </c>
      <c r="N501" s="53"/>
      <c r="O501" s="59" t="str">
        <f aca="false">IF(M501="","",IF(M501&lt;0.15,"⚠ LOW MARGIN / MARGEN BAJO","✔ OK"))</f>
        <v/>
      </c>
      <c r="P501" s="52" t="n">
        <f aca="false">IF(Q501=1,L501+ROW()/1000000,-1000000000000000)</f>
        <v>-1000000000000000</v>
      </c>
      <c r="Q501" s="52" t="n">
        <f aca="false">IF(B501="",0,IF(G501="",0,IF(N501="Returned / Devuelto",0,1)))</f>
        <v>0</v>
      </c>
      <c r="R501" s="52" t="n">
        <f aca="false">IF(Q501=1,IF(ISNUMBER(D501),YEAR(D501)*100+MONTH(D501),0),0)</f>
        <v>0</v>
      </c>
      <c r="S501" s="52" t="n">
        <f aca="false">IF(Q501=1,IF(M501&lt;0.15,1,0),0)</f>
        <v>0</v>
      </c>
    </row>
    <row r="502" customFormat="false" ht="15" hidden="false" customHeight="false" outlineLevel="0" collapsed="false">
      <c r="B502" s="53"/>
      <c r="C502" s="53"/>
      <c r="D502" s="54"/>
      <c r="E502" s="55"/>
      <c r="F502" s="55"/>
      <c r="G502" s="55"/>
      <c r="H502" s="56"/>
      <c r="I502" s="57" t="str">
        <f aca="false">IF(G502="","",G502*H502)</f>
        <v/>
      </c>
      <c r="J502" s="55"/>
      <c r="K502" s="55"/>
      <c r="L502" s="57" t="str">
        <f aca="false">IF(OR(B502="",G502=""),"",G502-E502-F502-I502-J502-K502)</f>
        <v/>
      </c>
      <c r="M502" s="58" t="str">
        <f aca="false">IF(L502="","",IF(G502=0,0,L502/G502))</f>
        <v/>
      </c>
      <c r="N502" s="53"/>
      <c r="O502" s="59" t="str">
        <f aca="false">IF(M502="","",IF(M502&lt;0.15,"⚠ LOW MARGIN / MARGEN BAJO","✔ OK"))</f>
        <v/>
      </c>
      <c r="P502" s="52" t="n">
        <f aca="false">IF(Q502=1,L502+ROW()/1000000,-1000000000000000)</f>
        <v>-1000000000000000</v>
      </c>
      <c r="Q502" s="52" t="n">
        <f aca="false">IF(B502="",0,IF(G502="",0,IF(N502="Returned / Devuelto",0,1)))</f>
        <v>0</v>
      </c>
      <c r="R502" s="52" t="n">
        <f aca="false">IF(Q502=1,IF(ISNUMBER(D502),YEAR(D502)*100+MONTH(D502),0),0)</f>
        <v>0</v>
      </c>
      <c r="S502" s="52" t="n">
        <f aca="false">IF(Q502=1,IF(M502&lt;0.15,1,0),0)</f>
        <v>0</v>
      </c>
    </row>
    <row r="503" customFormat="false" ht="15" hidden="false" customHeight="false" outlineLevel="0" collapsed="false">
      <c r="B503" s="53"/>
      <c r="C503" s="53"/>
      <c r="D503" s="54"/>
      <c r="E503" s="55"/>
      <c r="F503" s="55"/>
      <c r="G503" s="55"/>
      <c r="H503" s="56"/>
      <c r="I503" s="57" t="str">
        <f aca="false">IF(G503="","",G503*H503)</f>
        <v/>
      </c>
      <c r="J503" s="55"/>
      <c r="K503" s="55"/>
      <c r="L503" s="57" t="str">
        <f aca="false">IF(OR(B503="",G503=""),"",G503-E503-F503-I503-J503-K503)</f>
        <v/>
      </c>
      <c r="M503" s="58" t="str">
        <f aca="false">IF(L503="","",IF(G503=0,0,L503/G503))</f>
        <v/>
      </c>
      <c r="N503" s="53"/>
      <c r="O503" s="59" t="str">
        <f aca="false">IF(M503="","",IF(M503&lt;0.15,"⚠ LOW MARGIN / MARGEN BAJO","✔ OK"))</f>
        <v/>
      </c>
      <c r="P503" s="52" t="n">
        <f aca="false">IF(Q503=1,L503+ROW()/1000000,-1000000000000000)</f>
        <v>-1000000000000000</v>
      </c>
      <c r="Q503" s="52" t="n">
        <f aca="false">IF(B503="",0,IF(G503="",0,IF(N503="Returned / Devuelto",0,1)))</f>
        <v>0</v>
      </c>
      <c r="R503" s="52" t="n">
        <f aca="false">IF(Q503=1,IF(ISNUMBER(D503),YEAR(D503)*100+MONTH(D503),0),0)</f>
        <v>0</v>
      </c>
      <c r="S503" s="52" t="n">
        <f aca="false">IF(Q503=1,IF(M503&lt;0.15,1,0),0)</f>
        <v>0</v>
      </c>
    </row>
    <row r="504" customFormat="false" ht="15" hidden="false" customHeight="false" outlineLevel="0" collapsed="false">
      <c r="B504" s="53"/>
      <c r="C504" s="53"/>
      <c r="D504" s="54"/>
      <c r="E504" s="55"/>
      <c r="F504" s="55"/>
      <c r="G504" s="55"/>
      <c r="H504" s="56"/>
      <c r="I504" s="57" t="str">
        <f aca="false">IF(G504="","",G504*H504)</f>
        <v/>
      </c>
      <c r="J504" s="55"/>
      <c r="K504" s="55"/>
      <c r="L504" s="57" t="str">
        <f aca="false">IF(OR(B504="",G504=""),"",G504-E504-F504-I504-J504-K504)</f>
        <v/>
      </c>
      <c r="M504" s="58" t="str">
        <f aca="false">IF(L504="","",IF(G504=0,0,L504/G504))</f>
        <v/>
      </c>
      <c r="N504" s="53"/>
      <c r="O504" s="59" t="str">
        <f aca="false">IF(M504="","",IF(M504&lt;0.15,"⚠ LOW MARGIN / MARGEN BAJO","✔ OK"))</f>
        <v/>
      </c>
      <c r="P504" s="52" t="n">
        <f aca="false">IF(Q504=1,L504+ROW()/1000000,-1000000000000000)</f>
        <v>-1000000000000000</v>
      </c>
      <c r="Q504" s="52" t="n">
        <f aca="false">IF(B504="",0,IF(G504="",0,IF(N504="Returned / Devuelto",0,1)))</f>
        <v>0</v>
      </c>
      <c r="R504" s="52" t="n">
        <f aca="false">IF(Q504=1,IF(ISNUMBER(D504),YEAR(D504)*100+MONTH(D504),0),0)</f>
        <v>0</v>
      </c>
      <c r="S504" s="52" t="n">
        <f aca="false">IF(Q504=1,IF(M504&lt;0.15,1,0),0)</f>
        <v>0</v>
      </c>
    </row>
    <row r="505" customFormat="false" ht="15" hidden="false" customHeight="false" outlineLevel="0" collapsed="false">
      <c r="B505" s="53"/>
      <c r="C505" s="53"/>
      <c r="D505" s="54"/>
      <c r="E505" s="55"/>
      <c r="F505" s="55"/>
      <c r="G505" s="55"/>
      <c r="H505" s="56"/>
      <c r="I505" s="57" t="str">
        <f aca="false">IF(G505="","",G505*H505)</f>
        <v/>
      </c>
      <c r="J505" s="55"/>
      <c r="K505" s="55"/>
      <c r="L505" s="57" t="str">
        <f aca="false">IF(OR(B505="",G505=""),"",G505-E505-F505-I505-J505-K505)</f>
        <v/>
      </c>
      <c r="M505" s="58" t="str">
        <f aca="false">IF(L505="","",IF(G505=0,0,L505/G505))</f>
        <v/>
      </c>
      <c r="N505" s="53"/>
      <c r="O505" s="59" t="str">
        <f aca="false">IF(M505="","",IF(M505&lt;0.15,"⚠ LOW MARGIN / MARGEN BAJO","✔ OK"))</f>
        <v/>
      </c>
      <c r="P505" s="52" t="n">
        <f aca="false">IF(Q505=1,L505+ROW()/1000000,-1000000000000000)</f>
        <v>-1000000000000000</v>
      </c>
      <c r="Q505" s="52" t="n">
        <f aca="false">IF(B505="",0,IF(G505="",0,IF(N505="Returned / Devuelto",0,1)))</f>
        <v>0</v>
      </c>
      <c r="R505" s="52" t="n">
        <f aca="false">IF(Q505=1,IF(ISNUMBER(D505),YEAR(D505)*100+MONTH(D505),0),0)</f>
        <v>0</v>
      </c>
      <c r="S505" s="52" t="n">
        <f aca="false">IF(Q505=1,IF(M505&lt;0.15,1,0),0)</f>
        <v>0</v>
      </c>
    </row>
  </sheetData>
  <autoFilter ref="B5:O505"/>
  <mergeCells count="3">
    <mergeCell ref="B1:O1"/>
    <mergeCell ref="B2:O2"/>
    <mergeCell ref="B3:O3"/>
  </mergeCells>
  <conditionalFormatting sqref="O6:O505">
    <cfRule type="containsText" priority="2" operator="containsText" aboveAverage="0" equalAverage="0" bottom="0" percent="0" rank="0" text="LOW" dxfId="12">
      <formula>NOT(ISERROR(SEARCH("LOW",O6)))</formula>
    </cfRule>
    <cfRule type="containsText" priority="3" operator="containsText" aboveAverage="0" equalAverage="0" bottom="0" percent="0" rank="0" text="OK" dxfId="13">
      <formula>NOT(ISERROR(SEARCH("OK",O6)))</formula>
    </cfRule>
  </conditionalFormatting>
  <conditionalFormatting sqref="N6:N505">
    <cfRule type="containsText" priority="4" operator="containsText" aboveAverage="0" equalAverage="0" bottom="0" percent="0" rank="0" text="Returned" dxfId="14">
      <formula>NOT(ISERROR(SEARCH("Returned",N6)))</formula>
    </cfRule>
  </conditionalFormatting>
  <conditionalFormatting sqref="M6:M505">
    <cfRule type="cellIs" priority="5" operator="lessThan" aboveAverage="0" equalAverage="0" bottom="0" percent="0" rank="0" text="" dxfId="15">
      <formula>0.15</formula>
    </cfRule>
  </conditionalFormatting>
  <dataValidations count="5">
    <dataValidation allowBlank="true" error="Choose a platform from the list.&#10;Elige una plataforma de la lista." errorStyle="stop" errorTitle="Platform / Plataforma" operator="between" prompt="Pick from the list / Elige de la lista" promptTitle="Platform / Plataforma" showDropDown="false" showErrorMessage="false" showInputMessage="false" sqref="C6:C505" type="list">
      <formula1>"eBay,Facebook Marketplace,Etsy,Poshmark,Other"</formula1>
      <formula2>0</formula2>
    </dataValidation>
    <dataValidation allowBlank="true" error="Choose a status from the list.&#10;Elige un estado de la lista." errorStyle="stop" errorTitle="Status / Estado" operator="between" showDropDown="false" showErrorMessage="false" showInputMessage="false" sqref="N6:N505" type="list">
      <formula1>"Sold / Vendido,Shipped / Enviado,Delivered / Entregado,Pending / Pendiente,Returned / Devuelto"</formula1>
      <formula2>0</formula2>
    </dataValidation>
    <dataValidation allowBlank="true" error="Enter a valid date (e.g. 2026-03-15).&#10;Escribe una fecha válida." errorStyle="stop" errorTitle="Date / Fecha" operator="greaterThan" showDropDown="false" showErrorMessage="false" showInputMessage="false" sqref="D6:D505" type="date">
      <formula1>36526</formula1>
      <formula2>0</formula2>
    </dataValidation>
    <dataValidation allowBlank="true" error="Enter a percent between 0% and 100% (e.g. 13.25%).&#10;Escribe un porcentaje entre 0% y 100%." errorStyle="stop" errorTitle="Fee % / Comisión %" operator="between" showDropDown="false" showErrorMessage="false" showInputMessage="false" sqref="H6:H505" type="decimal">
      <formula1>0</formula1>
      <formula2>1</formula2>
    </dataValidation>
    <dataValidation allowBlank="true" error="Enter a number ≥ 0.&#10;Escribe un número ≥ 0." errorStyle="stop" errorTitle="Amount / Monto" operator="greaterThanOrEqual" showDropDown="false" showErrorMessage="false" showInputMessage="false" sqref="E6:G505 J6:K505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B8A6"/>
    <pageSetUpPr fitToPage="true"/>
  </sheetPr>
  <dimension ref="A1:Q1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28"/>
    <col collapsed="false" customWidth="true" hidden="false" outlineLevel="0" max="3" min="3" style="0" width="17"/>
    <col collapsed="false" customWidth="true" hidden="false" outlineLevel="0" max="4" min="4" style="0" width="19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10" min="9" style="0" width="12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5" min="15" style="0" width="14"/>
    <col collapsed="false" customWidth="true" hidden="false" outlineLevel="0" max="17" min="16" style="0" width="22"/>
  </cols>
  <sheetData>
    <row r="1" customFormat="false" ht="18" hidden="false" customHeight="true" outlineLevel="0" collapsed="false">
      <c r="A1" s="1"/>
      <c r="B1" s="14" t="s">
        <v>1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customFormat="false" ht="30" hidden="false" customHeight="true" outlineLevel="0" collapsed="false">
      <c r="A2" s="1"/>
      <c r="B2" s="15" t="s">
        <v>108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customFormat="false" ht="19.5" hidden="false" customHeight="true" outlineLevel="0" collapsed="false">
      <c r="A3" s="1"/>
      <c r="B3" s="16" t="s">
        <v>109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</row>
    <row r="4" customFormat="false" ht="3.75" hidden="false" customHeight="true" outlineLevel="0" collapsed="false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6" customFormat="false" ht="15" hidden="false" customHeight="false" outlineLevel="0" collapsed="false">
      <c r="B6" s="26" t="s">
        <v>110</v>
      </c>
      <c r="C6" s="26"/>
      <c r="D6" s="26"/>
      <c r="E6" s="26"/>
      <c r="F6" s="26"/>
    </row>
    <row r="7" customFormat="false" ht="15" hidden="false" customHeight="true" outlineLevel="0" collapsed="false">
      <c r="B7" s="60" t="s">
        <v>111</v>
      </c>
      <c r="C7" s="60"/>
      <c r="D7" s="60"/>
      <c r="E7" s="60"/>
      <c r="F7" s="61" t="n">
        <v>0.3</v>
      </c>
      <c r="H7" s="62" t="s">
        <v>112</v>
      </c>
      <c r="I7" s="62"/>
      <c r="J7" s="62"/>
      <c r="K7" s="62"/>
      <c r="L7" s="62"/>
      <c r="M7" s="62"/>
      <c r="N7" s="62"/>
      <c r="O7" s="62"/>
      <c r="P7" s="62"/>
      <c r="Q7" s="62"/>
    </row>
    <row r="8" customFormat="false" ht="15" hidden="false" customHeight="false" outlineLevel="0" collapsed="false">
      <c r="B8" s="60" t="s">
        <v>113</v>
      </c>
      <c r="C8" s="60"/>
      <c r="D8" s="60"/>
      <c r="E8" s="60"/>
      <c r="F8" s="63" t="n">
        <v>10</v>
      </c>
      <c r="H8" s="62"/>
      <c r="I8" s="62"/>
      <c r="J8" s="62"/>
      <c r="K8" s="62"/>
      <c r="L8" s="62"/>
      <c r="M8" s="62"/>
      <c r="N8" s="62"/>
      <c r="O8" s="62"/>
      <c r="P8" s="62"/>
      <c r="Q8" s="62"/>
    </row>
    <row r="10" customFormat="false" ht="36" hidden="false" customHeight="true" outlineLevel="0" collapsed="false">
      <c r="B10" s="27" t="s">
        <v>114</v>
      </c>
      <c r="C10" s="27" t="s">
        <v>115</v>
      </c>
      <c r="D10" s="27" t="s">
        <v>116</v>
      </c>
      <c r="E10" s="27" t="s">
        <v>117</v>
      </c>
      <c r="F10" s="27" t="s">
        <v>69</v>
      </c>
      <c r="G10" s="27" t="s">
        <v>118</v>
      </c>
      <c r="H10" s="27" t="s">
        <v>119</v>
      </c>
      <c r="I10" s="27" t="s">
        <v>120</v>
      </c>
      <c r="J10" s="27" t="s">
        <v>121</v>
      </c>
      <c r="K10" s="27" t="s">
        <v>74</v>
      </c>
      <c r="L10" s="27" t="s">
        <v>122</v>
      </c>
      <c r="M10" s="27" t="s">
        <v>123</v>
      </c>
      <c r="N10" s="27" t="s">
        <v>124</v>
      </c>
      <c r="O10" s="27" t="s">
        <v>125</v>
      </c>
      <c r="P10" s="27" t="s">
        <v>126</v>
      </c>
      <c r="Q10" s="27" t="s">
        <v>127</v>
      </c>
    </row>
    <row r="11" customFormat="false" ht="15" hidden="false" customHeight="false" outlineLevel="0" collapsed="false">
      <c r="B11" s="53" t="s">
        <v>128</v>
      </c>
      <c r="C11" s="53" t="s">
        <v>129</v>
      </c>
      <c r="D11" s="53" t="s">
        <v>34</v>
      </c>
      <c r="E11" s="55" t="n">
        <v>8</v>
      </c>
      <c r="F11" s="55" t="n">
        <v>0</v>
      </c>
      <c r="G11" s="55" t="n">
        <v>55</v>
      </c>
      <c r="H11" s="56" t="n">
        <v>0.1325</v>
      </c>
      <c r="I11" s="57" t="n">
        <f aca="false">IF(G11="","",G11*H11)</f>
        <v>7.2875</v>
      </c>
      <c r="J11" s="55" t="n">
        <v>8.5</v>
      </c>
      <c r="K11" s="55" t="n">
        <v>0</v>
      </c>
      <c r="L11" s="57" t="n">
        <f aca="false">IF(OR(B11="",G11=""),"",G11-E11-F11-I11-J11-K11)</f>
        <v>31.2125</v>
      </c>
      <c r="M11" s="58" t="n">
        <f aca="false">IF(L11="","",IF(G11=0,0,L11/G11))</f>
        <v>0.5675</v>
      </c>
      <c r="N11" s="64" t="n">
        <f aca="false">IF(L11="","",IF(E11+F11=0,"∞",L11/(E11+F11)))</f>
        <v>3.9015625</v>
      </c>
      <c r="O11" s="57" t="n">
        <f aca="false">IF(L11="","",MAX(0,MIN(G11*(1-H11-$F$7),G11*(1-H11)-$F$8)-J11-K11-F11))</f>
        <v>22.7125</v>
      </c>
      <c r="P11" s="59" t="str">
        <f aca="false">IF(L11="","",IF(AND(M11&gt;=$F$7,L11&gt;=$F$8),"✔ BUY / COMPRAR","✖ PASS / NO COMPRAR"))</f>
        <v>✔ BUY / COMPRAR</v>
      </c>
      <c r="Q11" s="53" t="s">
        <v>130</v>
      </c>
    </row>
    <row r="12" customFormat="false" ht="15" hidden="false" customHeight="false" outlineLevel="0" collapsed="false">
      <c r="B12" s="53" t="s">
        <v>131</v>
      </c>
      <c r="C12" s="53" t="s">
        <v>132</v>
      </c>
      <c r="D12" s="53" t="s">
        <v>35</v>
      </c>
      <c r="E12" s="55" t="n">
        <v>60</v>
      </c>
      <c r="F12" s="55" t="n">
        <v>0</v>
      </c>
      <c r="G12" s="55" t="n">
        <v>180</v>
      </c>
      <c r="H12" s="56" t="n">
        <v>0</v>
      </c>
      <c r="I12" s="57" t="n">
        <f aca="false">IF(G12="","",G12*H12)</f>
        <v>0</v>
      </c>
      <c r="J12" s="55" t="n">
        <v>0</v>
      </c>
      <c r="K12" s="55" t="n">
        <v>0</v>
      </c>
      <c r="L12" s="57" t="n">
        <f aca="false">IF(OR(B12="",G12=""),"",G12-E12-F12-I12-J12-K12)</f>
        <v>120</v>
      </c>
      <c r="M12" s="58" t="n">
        <f aca="false">IF(L12="","",IF(G12=0,0,L12/G12))</f>
        <v>0.666666666666667</v>
      </c>
      <c r="N12" s="64" t="n">
        <f aca="false">IF(L12="","",IF(E12+F12=0,"∞",L12/(E12+F12)))</f>
        <v>2</v>
      </c>
      <c r="O12" s="57" t="n">
        <f aca="false">IF(L12="","",MAX(0,MIN(G12*(1-H12-$F$7),G12*(1-H12)-$F$8)-J12-K12-F12))</f>
        <v>126</v>
      </c>
      <c r="P12" s="59" t="str">
        <f aca="false">IF(L12="","",IF(AND(M12&gt;=$F$7,L12&gt;=$F$8),"✔ BUY / COMPRAR","✖ PASS / NO COMPRAR"))</f>
        <v>✔ BUY / COMPRAR</v>
      </c>
      <c r="Q12" s="53" t="s">
        <v>133</v>
      </c>
    </row>
    <row r="13" customFormat="false" ht="15" hidden="false" customHeight="false" outlineLevel="0" collapsed="false">
      <c r="B13" s="53" t="s">
        <v>134</v>
      </c>
      <c r="C13" s="53" t="s">
        <v>135</v>
      </c>
      <c r="D13" s="53" t="s">
        <v>37</v>
      </c>
      <c r="E13" s="55" t="n">
        <v>3</v>
      </c>
      <c r="F13" s="55" t="n">
        <v>0</v>
      </c>
      <c r="G13" s="55" t="n">
        <v>12</v>
      </c>
      <c r="H13" s="56" t="n">
        <v>0.2</v>
      </c>
      <c r="I13" s="57" t="n">
        <f aca="false">IF(G13="","",G13*H13)</f>
        <v>2.4</v>
      </c>
      <c r="J13" s="55" t="n">
        <v>0</v>
      </c>
      <c r="K13" s="55" t="n">
        <v>0</v>
      </c>
      <c r="L13" s="57" t="n">
        <f aca="false">IF(OR(B13="",G13=""),"",G13-E13-F13-I13-J13-K13)</f>
        <v>6.6</v>
      </c>
      <c r="M13" s="58" t="n">
        <f aca="false">IF(L13="","",IF(G13=0,0,L13/G13))</f>
        <v>0.55</v>
      </c>
      <c r="N13" s="64" t="n">
        <f aca="false">IF(L13="","",IF(E13+F13=0,"∞",L13/(E13+F13)))</f>
        <v>2.2</v>
      </c>
      <c r="O13" s="57" t="n">
        <f aca="false">IF(L13="","",MAX(0,MIN(G13*(1-H13-$F$7),G13*(1-H13)-$F$8)-J13-K13-F13))</f>
        <v>0</v>
      </c>
      <c r="P13" s="59" t="str">
        <f aca="false">IF(L13="","",IF(AND(M13&gt;=$F$7,L13&gt;=$F$8),"✔ BUY / COMPRAR","✖ PASS / NO COMPRAR"))</f>
        <v>✖ PASS / NO COMPRAR</v>
      </c>
      <c r="Q13" s="53"/>
    </row>
    <row r="14" customFormat="false" ht="15" hidden="false" customHeight="false" outlineLevel="0" collapsed="false">
      <c r="B14" s="53" t="s">
        <v>136</v>
      </c>
      <c r="C14" s="53" t="s">
        <v>137</v>
      </c>
      <c r="D14" s="53" t="s">
        <v>36</v>
      </c>
      <c r="E14" s="55" t="n">
        <v>12</v>
      </c>
      <c r="F14" s="55" t="n">
        <v>0</v>
      </c>
      <c r="G14" s="55" t="n">
        <v>45</v>
      </c>
      <c r="H14" s="56" t="n">
        <v>0.095</v>
      </c>
      <c r="I14" s="57" t="n">
        <f aca="false">IF(G14="","",G14*H14)</f>
        <v>4.275</v>
      </c>
      <c r="J14" s="55" t="n">
        <v>12</v>
      </c>
      <c r="K14" s="55" t="n">
        <v>0.25</v>
      </c>
      <c r="L14" s="57" t="n">
        <f aca="false">IF(OR(B14="",G14=""),"",G14-E14-F14-I14-J14-K14)</f>
        <v>16.475</v>
      </c>
      <c r="M14" s="58" t="n">
        <f aca="false">IF(L14="","",IF(G14=0,0,L14/G14))</f>
        <v>0.366111111111111</v>
      </c>
      <c r="N14" s="64" t="n">
        <f aca="false">IF(L14="","",IF(E14+F14=0,"∞",L14/(E14+F14)))</f>
        <v>1.37291666666667</v>
      </c>
      <c r="O14" s="57" t="n">
        <f aca="false">IF(L14="","",MAX(0,MIN(G14*(1-H14-$F$7),G14*(1-H14)-$F$8)-J14-K14-F14))</f>
        <v>14.975</v>
      </c>
      <c r="P14" s="59" t="str">
        <f aca="false">IF(L14="","",IF(AND(M14&gt;=$F$7,L14&gt;=$F$8),"✔ BUY / COMPRAR","✖ PASS / NO COMPRAR"))</f>
        <v>✔ BUY / COMPRAR</v>
      </c>
      <c r="Q14" s="53"/>
    </row>
    <row r="15" customFormat="false" ht="15" hidden="false" customHeight="false" outlineLevel="0" collapsed="false">
      <c r="B15" s="53" t="s">
        <v>138</v>
      </c>
      <c r="C15" s="53" t="s">
        <v>139</v>
      </c>
      <c r="D15" s="53" t="s">
        <v>34</v>
      </c>
      <c r="E15" s="55" t="n">
        <v>95</v>
      </c>
      <c r="F15" s="55" t="n">
        <v>0</v>
      </c>
      <c r="G15" s="55" t="n">
        <v>140</v>
      </c>
      <c r="H15" s="56" t="n">
        <v>0.1325</v>
      </c>
      <c r="I15" s="57" t="n">
        <f aca="false">IF(G15="","",G15*H15)</f>
        <v>18.55</v>
      </c>
      <c r="J15" s="55" t="n">
        <v>10</v>
      </c>
      <c r="K15" s="55" t="n">
        <v>0</v>
      </c>
      <c r="L15" s="57" t="n">
        <f aca="false">IF(OR(B15="",G15=""),"",G15-E15-F15-I15-J15-K15)</f>
        <v>16.45</v>
      </c>
      <c r="M15" s="58" t="n">
        <f aca="false">IF(L15="","",IF(G15=0,0,L15/G15))</f>
        <v>0.1175</v>
      </c>
      <c r="N15" s="64" t="n">
        <f aca="false">IF(L15="","",IF(E15+F15=0,"∞",L15/(E15+F15)))</f>
        <v>0.173157894736842</v>
      </c>
      <c r="O15" s="57" t="n">
        <f aca="false">IF(L15="","",MAX(0,MIN(G15*(1-H15-$F$7),G15*(1-H15)-$F$8)-J15-K15-F15))</f>
        <v>69.45</v>
      </c>
      <c r="P15" s="59" t="str">
        <f aca="false">IF(L15="","",IF(AND(M15&gt;=$F$7,L15&gt;=$F$8),"✔ BUY / COMPRAR","✖ PASS / NO COMPRAR"))</f>
        <v>✖ PASS / NO COMPRAR</v>
      </c>
      <c r="Q15" s="53" t="s">
        <v>140</v>
      </c>
    </row>
    <row r="16" customFormat="false" ht="15" hidden="false" customHeight="false" outlineLevel="0" collapsed="false">
      <c r="B16" s="53"/>
      <c r="C16" s="53"/>
      <c r="D16" s="53"/>
      <c r="E16" s="55"/>
      <c r="F16" s="55"/>
      <c r="G16" s="55"/>
      <c r="H16" s="56"/>
      <c r="I16" s="57" t="str">
        <f aca="false">IF(G16="","",G16*H16)</f>
        <v/>
      </c>
      <c r="J16" s="55"/>
      <c r="K16" s="55"/>
      <c r="L16" s="57" t="str">
        <f aca="false">IF(OR(B16="",G16=""),"",G16-E16-F16-I16-J16-K16)</f>
        <v/>
      </c>
      <c r="M16" s="58" t="str">
        <f aca="false">IF(L16="","",IF(G16=0,0,L16/G16))</f>
        <v/>
      </c>
      <c r="N16" s="64" t="str">
        <f aca="false">IF(L16="","",IF(E16+F16=0,"∞",L16/(E16+F16)))</f>
        <v/>
      </c>
      <c r="O16" s="57" t="str">
        <f aca="false">IF(L16="","",MAX(0,MIN(G16*(1-H16-$F$7),G16*(1-H16)-$F$8)-J16-K16-F16))</f>
        <v/>
      </c>
      <c r="P16" s="59" t="str">
        <f aca="false">IF(L16="","",IF(AND(M16&gt;=$F$7,L16&gt;=$F$8),"✔ BUY / COMPRAR","✖ PASS / NO COMPRAR"))</f>
        <v/>
      </c>
      <c r="Q16" s="53"/>
    </row>
    <row r="17" customFormat="false" ht="15" hidden="false" customHeight="false" outlineLevel="0" collapsed="false">
      <c r="B17" s="53"/>
      <c r="C17" s="53"/>
      <c r="D17" s="53"/>
      <c r="E17" s="55"/>
      <c r="F17" s="55"/>
      <c r="G17" s="55"/>
      <c r="H17" s="56"/>
      <c r="I17" s="57" t="str">
        <f aca="false">IF(G17="","",G17*H17)</f>
        <v/>
      </c>
      <c r="J17" s="55"/>
      <c r="K17" s="55"/>
      <c r="L17" s="57" t="str">
        <f aca="false">IF(OR(B17="",G17=""),"",G17-E17-F17-I17-J17-K17)</f>
        <v/>
      </c>
      <c r="M17" s="58" t="str">
        <f aca="false">IF(L17="","",IF(G17=0,0,L17/G17))</f>
        <v/>
      </c>
      <c r="N17" s="64" t="str">
        <f aca="false">IF(L17="","",IF(E17+F17=0,"∞",L17/(E17+F17)))</f>
        <v/>
      </c>
      <c r="O17" s="57" t="str">
        <f aca="false">IF(L17="","",MAX(0,MIN(G17*(1-H17-$F$7),G17*(1-H17)-$F$8)-J17-K17-F17))</f>
        <v/>
      </c>
      <c r="P17" s="59" t="str">
        <f aca="false">IF(L17="","",IF(AND(M17&gt;=$F$7,L17&gt;=$F$8),"✔ BUY / COMPRAR","✖ PASS / NO COMPRAR"))</f>
        <v/>
      </c>
      <c r="Q17" s="53"/>
    </row>
    <row r="18" customFormat="false" ht="15" hidden="false" customHeight="false" outlineLevel="0" collapsed="false">
      <c r="B18" s="53"/>
      <c r="C18" s="53"/>
      <c r="D18" s="53"/>
      <c r="E18" s="55"/>
      <c r="F18" s="55"/>
      <c r="G18" s="55"/>
      <c r="H18" s="56"/>
      <c r="I18" s="57" t="str">
        <f aca="false">IF(G18="","",G18*H18)</f>
        <v/>
      </c>
      <c r="J18" s="55"/>
      <c r="K18" s="55"/>
      <c r="L18" s="57" t="str">
        <f aca="false">IF(OR(B18="",G18=""),"",G18-E18-F18-I18-J18-K18)</f>
        <v/>
      </c>
      <c r="M18" s="58" t="str">
        <f aca="false">IF(L18="","",IF(G18=0,0,L18/G18))</f>
        <v/>
      </c>
      <c r="N18" s="64" t="str">
        <f aca="false">IF(L18="","",IF(E18+F18=0,"∞",L18/(E18+F18)))</f>
        <v/>
      </c>
      <c r="O18" s="57" t="str">
        <f aca="false">IF(L18="","",MAX(0,MIN(G18*(1-H18-$F$7),G18*(1-H18)-$F$8)-J18-K18-F18))</f>
        <v/>
      </c>
      <c r="P18" s="59" t="str">
        <f aca="false">IF(L18="","",IF(AND(M18&gt;=$F$7,L18&gt;=$F$8),"✔ BUY / COMPRAR","✖ PASS / NO COMPRAR"))</f>
        <v/>
      </c>
      <c r="Q18" s="53"/>
    </row>
    <row r="19" customFormat="false" ht="15" hidden="false" customHeight="false" outlineLevel="0" collapsed="false">
      <c r="B19" s="53"/>
      <c r="C19" s="53"/>
      <c r="D19" s="53"/>
      <c r="E19" s="55"/>
      <c r="F19" s="55"/>
      <c r="G19" s="55"/>
      <c r="H19" s="56"/>
      <c r="I19" s="57" t="str">
        <f aca="false">IF(G19="","",G19*H19)</f>
        <v/>
      </c>
      <c r="J19" s="55"/>
      <c r="K19" s="55"/>
      <c r="L19" s="57" t="str">
        <f aca="false">IF(OR(B19="",G19=""),"",G19-E19-F19-I19-J19-K19)</f>
        <v/>
      </c>
      <c r="M19" s="58" t="str">
        <f aca="false">IF(L19="","",IF(G19=0,0,L19/G19))</f>
        <v/>
      </c>
      <c r="N19" s="64" t="str">
        <f aca="false">IF(L19="","",IF(E19+F19=0,"∞",L19/(E19+F19)))</f>
        <v/>
      </c>
      <c r="O19" s="57" t="str">
        <f aca="false">IF(L19="","",MAX(0,MIN(G19*(1-H19-$F$7),G19*(1-H19)-$F$8)-J19-K19-F19))</f>
        <v/>
      </c>
      <c r="P19" s="59" t="str">
        <f aca="false">IF(L19="","",IF(AND(M19&gt;=$F$7,L19&gt;=$F$8),"✔ BUY / COMPRAR","✖ PASS / NO COMPRAR"))</f>
        <v/>
      </c>
      <c r="Q19" s="53"/>
    </row>
    <row r="20" customFormat="false" ht="15" hidden="false" customHeight="false" outlineLevel="0" collapsed="false">
      <c r="B20" s="53"/>
      <c r="C20" s="53"/>
      <c r="D20" s="53"/>
      <c r="E20" s="55"/>
      <c r="F20" s="55"/>
      <c r="G20" s="55"/>
      <c r="H20" s="56"/>
      <c r="I20" s="57" t="str">
        <f aca="false">IF(G20="","",G20*H20)</f>
        <v/>
      </c>
      <c r="J20" s="55"/>
      <c r="K20" s="55"/>
      <c r="L20" s="57" t="str">
        <f aca="false">IF(OR(B20="",G20=""),"",G20-E20-F20-I20-J20-K20)</f>
        <v/>
      </c>
      <c r="M20" s="58" t="str">
        <f aca="false">IF(L20="","",IF(G20=0,0,L20/G20))</f>
        <v/>
      </c>
      <c r="N20" s="64" t="str">
        <f aca="false">IF(L20="","",IF(E20+F20=0,"∞",L20/(E20+F20)))</f>
        <v/>
      </c>
      <c r="O20" s="57" t="str">
        <f aca="false">IF(L20="","",MAX(0,MIN(G20*(1-H20-$F$7),G20*(1-H20)-$F$8)-J20-K20-F20))</f>
        <v/>
      </c>
      <c r="P20" s="59" t="str">
        <f aca="false">IF(L20="","",IF(AND(M20&gt;=$F$7,L20&gt;=$F$8),"✔ BUY / COMPRAR","✖ PASS / NO COMPRAR"))</f>
        <v/>
      </c>
      <c r="Q20" s="53"/>
    </row>
    <row r="21" customFormat="false" ht="15" hidden="false" customHeight="false" outlineLevel="0" collapsed="false">
      <c r="B21" s="53"/>
      <c r="C21" s="53"/>
      <c r="D21" s="53"/>
      <c r="E21" s="55"/>
      <c r="F21" s="55"/>
      <c r="G21" s="55"/>
      <c r="H21" s="56"/>
      <c r="I21" s="57" t="str">
        <f aca="false">IF(G21="","",G21*H21)</f>
        <v/>
      </c>
      <c r="J21" s="55"/>
      <c r="K21" s="55"/>
      <c r="L21" s="57" t="str">
        <f aca="false">IF(OR(B21="",G21=""),"",G21-E21-F21-I21-J21-K21)</f>
        <v/>
      </c>
      <c r="M21" s="58" t="str">
        <f aca="false">IF(L21="","",IF(G21=0,0,L21/G21))</f>
        <v/>
      </c>
      <c r="N21" s="64" t="str">
        <f aca="false">IF(L21="","",IF(E21+F21=0,"∞",L21/(E21+F21)))</f>
        <v/>
      </c>
      <c r="O21" s="57" t="str">
        <f aca="false">IF(L21="","",MAX(0,MIN(G21*(1-H21-$F$7),G21*(1-H21)-$F$8)-J21-K21-F21))</f>
        <v/>
      </c>
      <c r="P21" s="59" t="str">
        <f aca="false">IF(L21="","",IF(AND(M21&gt;=$F$7,L21&gt;=$F$8),"✔ BUY / COMPRAR","✖ PASS / NO COMPRAR"))</f>
        <v/>
      </c>
      <c r="Q21" s="53"/>
    </row>
    <row r="22" customFormat="false" ht="15" hidden="false" customHeight="false" outlineLevel="0" collapsed="false">
      <c r="B22" s="53"/>
      <c r="C22" s="53"/>
      <c r="D22" s="53"/>
      <c r="E22" s="55"/>
      <c r="F22" s="55"/>
      <c r="G22" s="55"/>
      <c r="H22" s="56"/>
      <c r="I22" s="57" t="str">
        <f aca="false">IF(G22="","",G22*H22)</f>
        <v/>
      </c>
      <c r="J22" s="55"/>
      <c r="K22" s="55"/>
      <c r="L22" s="57" t="str">
        <f aca="false">IF(OR(B22="",G22=""),"",G22-E22-F22-I22-J22-K22)</f>
        <v/>
      </c>
      <c r="M22" s="58" t="str">
        <f aca="false">IF(L22="","",IF(G22=0,0,L22/G22))</f>
        <v/>
      </c>
      <c r="N22" s="64" t="str">
        <f aca="false">IF(L22="","",IF(E22+F22=0,"∞",L22/(E22+F22)))</f>
        <v/>
      </c>
      <c r="O22" s="57" t="str">
        <f aca="false">IF(L22="","",MAX(0,MIN(G22*(1-H22-$F$7),G22*(1-H22)-$F$8)-J22-K22-F22))</f>
        <v/>
      </c>
      <c r="P22" s="59" t="str">
        <f aca="false">IF(L22="","",IF(AND(M22&gt;=$F$7,L22&gt;=$F$8),"✔ BUY / COMPRAR","✖ PASS / NO COMPRAR"))</f>
        <v/>
      </c>
      <c r="Q22" s="53"/>
    </row>
    <row r="23" customFormat="false" ht="15" hidden="false" customHeight="false" outlineLevel="0" collapsed="false">
      <c r="B23" s="53"/>
      <c r="C23" s="53"/>
      <c r="D23" s="53"/>
      <c r="E23" s="55"/>
      <c r="F23" s="55"/>
      <c r="G23" s="55"/>
      <c r="H23" s="56"/>
      <c r="I23" s="57" t="str">
        <f aca="false">IF(G23="","",G23*H23)</f>
        <v/>
      </c>
      <c r="J23" s="55"/>
      <c r="K23" s="55"/>
      <c r="L23" s="57" t="str">
        <f aca="false">IF(OR(B23="",G23=""),"",G23-E23-F23-I23-J23-K23)</f>
        <v/>
      </c>
      <c r="M23" s="58" t="str">
        <f aca="false">IF(L23="","",IF(G23=0,0,L23/G23))</f>
        <v/>
      </c>
      <c r="N23" s="64" t="str">
        <f aca="false">IF(L23="","",IF(E23+F23=0,"∞",L23/(E23+F23)))</f>
        <v/>
      </c>
      <c r="O23" s="57" t="str">
        <f aca="false">IF(L23="","",MAX(0,MIN(G23*(1-H23-$F$7),G23*(1-H23)-$F$8)-J23-K23-F23))</f>
        <v/>
      </c>
      <c r="P23" s="59" t="str">
        <f aca="false">IF(L23="","",IF(AND(M23&gt;=$F$7,L23&gt;=$F$8),"✔ BUY / COMPRAR","✖ PASS / NO COMPRAR"))</f>
        <v/>
      </c>
      <c r="Q23" s="53"/>
    </row>
    <row r="24" customFormat="false" ht="15" hidden="false" customHeight="false" outlineLevel="0" collapsed="false">
      <c r="B24" s="53"/>
      <c r="C24" s="53"/>
      <c r="D24" s="53"/>
      <c r="E24" s="55"/>
      <c r="F24" s="55"/>
      <c r="G24" s="55"/>
      <c r="H24" s="56"/>
      <c r="I24" s="57" t="str">
        <f aca="false">IF(G24="","",G24*H24)</f>
        <v/>
      </c>
      <c r="J24" s="55"/>
      <c r="K24" s="55"/>
      <c r="L24" s="57" t="str">
        <f aca="false">IF(OR(B24="",G24=""),"",G24-E24-F24-I24-J24-K24)</f>
        <v/>
      </c>
      <c r="M24" s="58" t="str">
        <f aca="false">IF(L24="","",IF(G24=0,0,L24/G24))</f>
        <v/>
      </c>
      <c r="N24" s="64" t="str">
        <f aca="false">IF(L24="","",IF(E24+F24=0,"∞",L24/(E24+F24)))</f>
        <v/>
      </c>
      <c r="O24" s="57" t="str">
        <f aca="false">IF(L24="","",MAX(0,MIN(G24*(1-H24-$F$7),G24*(1-H24)-$F$8)-J24-K24-F24))</f>
        <v/>
      </c>
      <c r="P24" s="59" t="str">
        <f aca="false">IF(L24="","",IF(AND(M24&gt;=$F$7,L24&gt;=$F$8),"✔ BUY / COMPRAR","✖ PASS / NO COMPRAR"))</f>
        <v/>
      </c>
      <c r="Q24" s="53"/>
    </row>
    <row r="25" customFormat="false" ht="15" hidden="false" customHeight="false" outlineLevel="0" collapsed="false">
      <c r="B25" s="53"/>
      <c r="C25" s="53"/>
      <c r="D25" s="53"/>
      <c r="E25" s="55"/>
      <c r="F25" s="55"/>
      <c r="G25" s="55"/>
      <c r="H25" s="56"/>
      <c r="I25" s="57" t="str">
        <f aca="false">IF(G25="","",G25*H25)</f>
        <v/>
      </c>
      <c r="J25" s="55"/>
      <c r="K25" s="55"/>
      <c r="L25" s="57" t="str">
        <f aca="false">IF(OR(B25="",G25=""),"",G25-E25-F25-I25-J25-K25)</f>
        <v/>
      </c>
      <c r="M25" s="58" t="str">
        <f aca="false">IF(L25="","",IF(G25=0,0,L25/G25))</f>
        <v/>
      </c>
      <c r="N25" s="64" t="str">
        <f aca="false">IF(L25="","",IF(E25+F25=0,"∞",L25/(E25+F25)))</f>
        <v/>
      </c>
      <c r="O25" s="57" t="str">
        <f aca="false">IF(L25="","",MAX(0,MIN(G25*(1-H25-$F$7),G25*(1-H25)-$F$8)-J25-K25-F25))</f>
        <v/>
      </c>
      <c r="P25" s="59" t="str">
        <f aca="false">IF(L25="","",IF(AND(M25&gt;=$F$7,L25&gt;=$F$8),"✔ BUY / COMPRAR","✖ PASS / NO COMPRAR"))</f>
        <v/>
      </c>
      <c r="Q25" s="53"/>
    </row>
    <row r="26" customFormat="false" ht="15" hidden="false" customHeight="false" outlineLevel="0" collapsed="false">
      <c r="B26" s="53"/>
      <c r="C26" s="53"/>
      <c r="D26" s="53"/>
      <c r="E26" s="55"/>
      <c r="F26" s="55"/>
      <c r="G26" s="55"/>
      <c r="H26" s="56"/>
      <c r="I26" s="57" t="str">
        <f aca="false">IF(G26="","",G26*H26)</f>
        <v/>
      </c>
      <c r="J26" s="55"/>
      <c r="K26" s="55"/>
      <c r="L26" s="57" t="str">
        <f aca="false">IF(OR(B26="",G26=""),"",G26-E26-F26-I26-J26-K26)</f>
        <v/>
      </c>
      <c r="M26" s="58" t="str">
        <f aca="false">IF(L26="","",IF(G26=0,0,L26/G26))</f>
        <v/>
      </c>
      <c r="N26" s="64" t="str">
        <f aca="false">IF(L26="","",IF(E26+F26=0,"∞",L26/(E26+F26)))</f>
        <v/>
      </c>
      <c r="O26" s="57" t="str">
        <f aca="false">IF(L26="","",MAX(0,MIN(G26*(1-H26-$F$7),G26*(1-H26)-$F$8)-J26-K26-F26))</f>
        <v/>
      </c>
      <c r="P26" s="59" t="str">
        <f aca="false">IF(L26="","",IF(AND(M26&gt;=$F$7,L26&gt;=$F$8),"✔ BUY / COMPRAR","✖ PASS / NO COMPRAR"))</f>
        <v/>
      </c>
      <c r="Q26" s="53"/>
    </row>
    <row r="27" customFormat="false" ht="15" hidden="false" customHeight="false" outlineLevel="0" collapsed="false">
      <c r="B27" s="53"/>
      <c r="C27" s="53"/>
      <c r="D27" s="53"/>
      <c r="E27" s="55"/>
      <c r="F27" s="55"/>
      <c r="G27" s="55"/>
      <c r="H27" s="56"/>
      <c r="I27" s="57" t="str">
        <f aca="false">IF(G27="","",G27*H27)</f>
        <v/>
      </c>
      <c r="J27" s="55"/>
      <c r="K27" s="55"/>
      <c r="L27" s="57" t="str">
        <f aca="false">IF(OR(B27="",G27=""),"",G27-E27-F27-I27-J27-K27)</f>
        <v/>
      </c>
      <c r="M27" s="58" t="str">
        <f aca="false">IF(L27="","",IF(G27=0,0,L27/G27))</f>
        <v/>
      </c>
      <c r="N27" s="64" t="str">
        <f aca="false">IF(L27="","",IF(E27+F27=0,"∞",L27/(E27+F27)))</f>
        <v/>
      </c>
      <c r="O27" s="57" t="str">
        <f aca="false">IF(L27="","",MAX(0,MIN(G27*(1-H27-$F$7),G27*(1-H27)-$F$8)-J27-K27-F27))</f>
        <v/>
      </c>
      <c r="P27" s="59" t="str">
        <f aca="false">IF(L27="","",IF(AND(M27&gt;=$F$7,L27&gt;=$F$8),"✔ BUY / COMPRAR","✖ PASS / NO COMPRAR"))</f>
        <v/>
      </c>
      <c r="Q27" s="53"/>
    </row>
    <row r="28" customFormat="false" ht="15" hidden="false" customHeight="false" outlineLevel="0" collapsed="false">
      <c r="B28" s="53"/>
      <c r="C28" s="53"/>
      <c r="D28" s="53"/>
      <c r="E28" s="55"/>
      <c r="F28" s="55"/>
      <c r="G28" s="55"/>
      <c r="H28" s="56"/>
      <c r="I28" s="57" t="str">
        <f aca="false">IF(G28="","",G28*H28)</f>
        <v/>
      </c>
      <c r="J28" s="55"/>
      <c r="K28" s="55"/>
      <c r="L28" s="57" t="str">
        <f aca="false">IF(OR(B28="",G28=""),"",G28-E28-F28-I28-J28-K28)</f>
        <v/>
      </c>
      <c r="M28" s="58" t="str">
        <f aca="false">IF(L28="","",IF(G28=0,0,L28/G28))</f>
        <v/>
      </c>
      <c r="N28" s="64" t="str">
        <f aca="false">IF(L28="","",IF(E28+F28=0,"∞",L28/(E28+F28)))</f>
        <v/>
      </c>
      <c r="O28" s="57" t="str">
        <f aca="false">IF(L28="","",MAX(0,MIN(G28*(1-H28-$F$7),G28*(1-H28)-$F$8)-J28-K28-F28))</f>
        <v/>
      </c>
      <c r="P28" s="59" t="str">
        <f aca="false">IF(L28="","",IF(AND(M28&gt;=$F$7,L28&gt;=$F$8),"✔ BUY / COMPRAR","✖ PASS / NO COMPRAR"))</f>
        <v/>
      </c>
      <c r="Q28" s="53"/>
    </row>
    <row r="29" customFormat="false" ht="15" hidden="false" customHeight="false" outlineLevel="0" collapsed="false">
      <c r="B29" s="53"/>
      <c r="C29" s="53"/>
      <c r="D29" s="53"/>
      <c r="E29" s="55"/>
      <c r="F29" s="55"/>
      <c r="G29" s="55"/>
      <c r="H29" s="56"/>
      <c r="I29" s="57" t="str">
        <f aca="false">IF(G29="","",G29*H29)</f>
        <v/>
      </c>
      <c r="J29" s="55"/>
      <c r="K29" s="55"/>
      <c r="L29" s="57" t="str">
        <f aca="false">IF(OR(B29="",G29=""),"",G29-E29-F29-I29-J29-K29)</f>
        <v/>
      </c>
      <c r="M29" s="58" t="str">
        <f aca="false">IF(L29="","",IF(G29=0,0,L29/G29))</f>
        <v/>
      </c>
      <c r="N29" s="64" t="str">
        <f aca="false">IF(L29="","",IF(E29+F29=0,"∞",L29/(E29+F29)))</f>
        <v/>
      </c>
      <c r="O29" s="57" t="str">
        <f aca="false">IF(L29="","",MAX(0,MIN(G29*(1-H29-$F$7),G29*(1-H29)-$F$8)-J29-K29-F29))</f>
        <v/>
      </c>
      <c r="P29" s="59" t="str">
        <f aca="false">IF(L29="","",IF(AND(M29&gt;=$F$7,L29&gt;=$F$8),"✔ BUY / COMPRAR","✖ PASS / NO COMPRAR"))</f>
        <v/>
      </c>
      <c r="Q29" s="53"/>
    </row>
    <row r="30" customFormat="false" ht="15" hidden="false" customHeight="false" outlineLevel="0" collapsed="false">
      <c r="B30" s="53"/>
      <c r="C30" s="53"/>
      <c r="D30" s="53"/>
      <c r="E30" s="55"/>
      <c r="F30" s="55"/>
      <c r="G30" s="55"/>
      <c r="H30" s="56"/>
      <c r="I30" s="57" t="str">
        <f aca="false">IF(G30="","",G30*H30)</f>
        <v/>
      </c>
      <c r="J30" s="55"/>
      <c r="K30" s="55"/>
      <c r="L30" s="57" t="str">
        <f aca="false">IF(OR(B30="",G30=""),"",G30-E30-F30-I30-J30-K30)</f>
        <v/>
      </c>
      <c r="M30" s="58" t="str">
        <f aca="false">IF(L30="","",IF(G30=0,0,L30/G30))</f>
        <v/>
      </c>
      <c r="N30" s="64" t="str">
        <f aca="false">IF(L30="","",IF(E30+F30=0,"∞",L30/(E30+F30)))</f>
        <v/>
      </c>
      <c r="O30" s="57" t="str">
        <f aca="false">IF(L30="","",MAX(0,MIN(G30*(1-H30-$F$7),G30*(1-H30)-$F$8)-J30-K30-F30))</f>
        <v/>
      </c>
      <c r="P30" s="59" t="str">
        <f aca="false">IF(L30="","",IF(AND(M30&gt;=$F$7,L30&gt;=$F$8),"✔ BUY / COMPRAR","✖ PASS / NO COMPRAR"))</f>
        <v/>
      </c>
      <c r="Q30" s="53"/>
    </row>
    <row r="31" customFormat="false" ht="15" hidden="false" customHeight="false" outlineLevel="0" collapsed="false">
      <c r="B31" s="53"/>
      <c r="C31" s="53"/>
      <c r="D31" s="53"/>
      <c r="E31" s="55"/>
      <c r="F31" s="55"/>
      <c r="G31" s="55"/>
      <c r="H31" s="56"/>
      <c r="I31" s="57" t="str">
        <f aca="false">IF(G31="","",G31*H31)</f>
        <v/>
      </c>
      <c r="J31" s="55"/>
      <c r="K31" s="55"/>
      <c r="L31" s="57" t="str">
        <f aca="false">IF(OR(B31="",G31=""),"",G31-E31-F31-I31-J31-K31)</f>
        <v/>
      </c>
      <c r="M31" s="58" t="str">
        <f aca="false">IF(L31="","",IF(G31=0,0,L31/G31))</f>
        <v/>
      </c>
      <c r="N31" s="64" t="str">
        <f aca="false">IF(L31="","",IF(E31+F31=0,"∞",L31/(E31+F31)))</f>
        <v/>
      </c>
      <c r="O31" s="57" t="str">
        <f aca="false">IF(L31="","",MAX(0,MIN(G31*(1-H31-$F$7),G31*(1-H31)-$F$8)-J31-K31-F31))</f>
        <v/>
      </c>
      <c r="P31" s="59" t="str">
        <f aca="false">IF(L31="","",IF(AND(M31&gt;=$F$7,L31&gt;=$F$8),"✔ BUY / COMPRAR","✖ PASS / NO COMPRAR"))</f>
        <v/>
      </c>
      <c r="Q31" s="53"/>
    </row>
    <row r="32" customFormat="false" ht="15" hidden="false" customHeight="false" outlineLevel="0" collapsed="false">
      <c r="B32" s="53"/>
      <c r="C32" s="53"/>
      <c r="D32" s="53"/>
      <c r="E32" s="55"/>
      <c r="F32" s="55"/>
      <c r="G32" s="55"/>
      <c r="H32" s="56"/>
      <c r="I32" s="57" t="str">
        <f aca="false">IF(G32="","",G32*H32)</f>
        <v/>
      </c>
      <c r="J32" s="55"/>
      <c r="K32" s="55"/>
      <c r="L32" s="57" t="str">
        <f aca="false">IF(OR(B32="",G32=""),"",G32-E32-F32-I32-J32-K32)</f>
        <v/>
      </c>
      <c r="M32" s="58" t="str">
        <f aca="false">IF(L32="","",IF(G32=0,0,L32/G32))</f>
        <v/>
      </c>
      <c r="N32" s="64" t="str">
        <f aca="false">IF(L32="","",IF(E32+F32=0,"∞",L32/(E32+F32)))</f>
        <v/>
      </c>
      <c r="O32" s="57" t="str">
        <f aca="false">IF(L32="","",MAX(0,MIN(G32*(1-H32-$F$7),G32*(1-H32)-$F$8)-J32-K32-F32))</f>
        <v/>
      </c>
      <c r="P32" s="59" t="str">
        <f aca="false">IF(L32="","",IF(AND(M32&gt;=$F$7,L32&gt;=$F$8),"✔ BUY / COMPRAR","✖ PASS / NO COMPRAR"))</f>
        <v/>
      </c>
      <c r="Q32" s="53"/>
    </row>
    <row r="33" customFormat="false" ht="15" hidden="false" customHeight="false" outlineLevel="0" collapsed="false">
      <c r="B33" s="53"/>
      <c r="C33" s="53"/>
      <c r="D33" s="53"/>
      <c r="E33" s="55"/>
      <c r="F33" s="55"/>
      <c r="G33" s="55"/>
      <c r="H33" s="56"/>
      <c r="I33" s="57" t="str">
        <f aca="false">IF(G33="","",G33*H33)</f>
        <v/>
      </c>
      <c r="J33" s="55"/>
      <c r="K33" s="55"/>
      <c r="L33" s="57" t="str">
        <f aca="false">IF(OR(B33="",G33=""),"",G33-E33-F33-I33-J33-K33)</f>
        <v/>
      </c>
      <c r="M33" s="58" t="str">
        <f aca="false">IF(L33="","",IF(G33=0,0,L33/G33))</f>
        <v/>
      </c>
      <c r="N33" s="64" t="str">
        <f aca="false">IF(L33="","",IF(E33+F33=0,"∞",L33/(E33+F33)))</f>
        <v/>
      </c>
      <c r="O33" s="57" t="str">
        <f aca="false">IF(L33="","",MAX(0,MIN(G33*(1-H33-$F$7),G33*(1-H33)-$F$8)-J33-K33-F33))</f>
        <v/>
      </c>
      <c r="P33" s="59" t="str">
        <f aca="false">IF(L33="","",IF(AND(M33&gt;=$F$7,L33&gt;=$F$8),"✔ BUY / COMPRAR","✖ PASS / NO COMPRAR"))</f>
        <v/>
      </c>
      <c r="Q33" s="53"/>
    </row>
    <row r="34" customFormat="false" ht="15" hidden="false" customHeight="false" outlineLevel="0" collapsed="false">
      <c r="B34" s="53"/>
      <c r="C34" s="53"/>
      <c r="D34" s="53"/>
      <c r="E34" s="55"/>
      <c r="F34" s="55"/>
      <c r="G34" s="55"/>
      <c r="H34" s="56"/>
      <c r="I34" s="57" t="str">
        <f aca="false">IF(G34="","",G34*H34)</f>
        <v/>
      </c>
      <c r="J34" s="55"/>
      <c r="K34" s="55"/>
      <c r="L34" s="57" t="str">
        <f aca="false">IF(OR(B34="",G34=""),"",G34-E34-F34-I34-J34-K34)</f>
        <v/>
      </c>
      <c r="M34" s="58" t="str">
        <f aca="false">IF(L34="","",IF(G34=0,0,L34/G34))</f>
        <v/>
      </c>
      <c r="N34" s="64" t="str">
        <f aca="false">IF(L34="","",IF(E34+F34=0,"∞",L34/(E34+F34)))</f>
        <v/>
      </c>
      <c r="O34" s="57" t="str">
        <f aca="false">IF(L34="","",MAX(0,MIN(G34*(1-H34-$F$7),G34*(1-H34)-$F$8)-J34-K34-F34))</f>
        <v/>
      </c>
      <c r="P34" s="59" t="str">
        <f aca="false">IF(L34="","",IF(AND(M34&gt;=$F$7,L34&gt;=$F$8),"✔ BUY / COMPRAR","✖ PASS / NO COMPRAR"))</f>
        <v/>
      </c>
      <c r="Q34" s="53"/>
    </row>
    <row r="35" customFormat="false" ht="15" hidden="false" customHeight="false" outlineLevel="0" collapsed="false">
      <c r="B35" s="53"/>
      <c r="C35" s="53"/>
      <c r="D35" s="53"/>
      <c r="E35" s="55"/>
      <c r="F35" s="55"/>
      <c r="G35" s="55"/>
      <c r="H35" s="56"/>
      <c r="I35" s="57" t="str">
        <f aca="false">IF(G35="","",G35*H35)</f>
        <v/>
      </c>
      <c r="J35" s="55"/>
      <c r="K35" s="55"/>
      <c r="L35" s="57" t="str">
        <f aca="false">IF(OR(B35="",G35=""),"",G35-E35-F35-I35-J35-K35)</f>
        <v/>
      </c>
      <c r="M35" s="58" t="str">
        <f aca="false">IF(L35="","",IF(G35=0,0,L35/G35))</f>
        <v/>
      </c>
      <c r="N35" s="64" t="str">
        <f aca="false">IF(L35="","",IF(E35+F35=0,"∞",L35/(E35+F35)))</f>
        <v/>
      </c>
      <c r="O35" s="57" t="str">
        <f aca="false">IF(L35="","",MAX(0,MIN(G35*(1-H35-$F$7),G35*(1-H35)-$F$8)-J35-K35-F35))</f>
        <v/>
      </c>
      <c r="P35" s="59" t="str">
        <f aca="false">IF(L35="","",IF(AND(M35&gt;=$F$7,L35&gt;=$F$8),"✔ BUY / COMPRAR","✖ PASS / NO COMPRAR"))</f>
        <v/>
      </c>
      <c r="Q35" s="53"/>
    </row>
    <row r="36" customFormat="false" ht="15" hidden="false" customHeight="false" outlineLevel="0" collapsed="false">
      <c r="B36" s="53"/>
      <c r="C36" s="53"/>
      <c r="D36" s="53"/>
      <c r="E36" s="55"/>
      <c r="F36" s="55"/>
      <c r="G36" s="55"/>
      <c r="H36" s="56"/>
      <c r="I36" s="57" t="str">
        <f aca="false">IF(G36="","",G36*H36)</f>
        <v/>
      </c>
      <c r="J36" s="55"/>
      <c r="K36" s="55"/>
      <c r="L36" s="57" t="str">
        <f aca="false">IF(OR(B36="",G36=""),"",G36-E36-F36-I36-J36-K36)</f>
        <v/>
      </c>
      <c r="M36" s="58" t="str">
        <f aca="false">IF(L36="","",IF(G36=0,0,L36/G36))</f>
        <v/>
      </c>
      <c r="N36" s="64" t="str">
        <f aca="false">IF(L36="","",IF(E36+F36=0,"∞",L36/(E36+F36)))</f>
        <v/>
      </c>
      <c r="O36" s="57" t="str">
        <f aca="false">IF(L36="","",MAX(0,MIN(G36*(1-H36-$F$7),G36*(1-H36)-$F$8)-J36-K36-F36))</f>
        <v/>
      </c>
      <c r="P36" s="59" t="str">
        <f aca="false">IF(L36="","",IF(AND(M36&gt;=$F$7,L36&gt;=$F$8),"✔ BUY / COMPRAR","✖ PASS / NO COMPRAR"))</f>
        <v/>
      </c>
      <c r="Q36" s="53"/>
    </row>
    <row r="37" customFormat="false" ht="15" hidden="false" customHeight="false" outlineLevel="0" collapsed="false">
      <c r="B37" s="53"/>
      <c r="C37" s="53"/>
      <c r="D37" s="53"/>
      <c r="E37" s="55"/>
      <c r="F37" s="55"/>
      <c r="G37" s="55"/>
      <c r="H37" s="56"/>
      <c r="I37" s="57" t="str">
        <f aca="false">IF(G37="","",G37*H37)</f>
        <v/>
      </c>
      <c r="J37" s="55"/>
      <c r="K37" s="55"/>
      <c r="L37" s="57" t="str">
        <f aca="false">IF(OR(B37="",G37=""),"",G37-E37-F37-I37-J37-K37)</f>
        <v/>
      </c>
      <c r="M37" s="58" t="str">
        <f aca="false">IF(L37="","",IF(G37=0,0,L37/G37))</f>
        <v/>
      </c>
      <c r="N37" s="64" t="str">
        <f aca="false">IF(L37="","",IF(E37+F37=0,"∞",L37/(E37+F37)))</f>
        <v/>
      </c>
      <c r="O37" s="57" t="str">
        <f aca="false">IF(L37="","",MAX(0,MIN(G37*(1-H37-$F$7),G37*(1-H37)-$F$8)-J37-K37-F37))</f>
        <v/>
      </c>
      <c r="P37" s="59" t="str">
        <f aca="false">IF(L37="","",IF(AND(M37&gt;=$F$7,L37&gt;=$F$8),"✔ BUY / COMPRAR","✖ PASS / NO COMPRAR"))</f>
        <v/>
      </c>
      <c r="Q37" s="53"/>
    </row>
    <row r="38" customFormat="false" ht="15" hidden="false" customHeight="false" outlineLevel="0" collapsed="false">
      <c r="B38" s="53"/>
      <c r="C38" s="53"/>
      <c r="D38" s="53"/>
      <c r="E38" s="55"/>
      <c r="F38" s="55"/>
      <c r="G38" s="55"/>
      <c r="H38" s="56"/>
      <c r="I38" s="57" t="str">
        <f aca="false">IF(G38="","",G38*H38)</f>
        <v/>
      </c>
      <c r="J38" s="55"/>
      <c r="K38" s="55"/>
      <c r="L38" s="57" t="str">
        <f aca="false">IF(OR(B38="",G38=""),"",G38-E38-F38-I38-J38-K38)</f>
        <v/>
      </c>
      <c r="M38" s="58" t="str">
        <f aca="false">IF(L38="","",IF(G38=0,0,L38/G38))</f>
        <v/>
      </c>
      <c r="N38" s="64" t="str">
        <f aca="false">IF(L38="","",IF(E38+F38=0,"∞",L38/(E38+F38)))</f>
        <v/>
      </c>
      <c r="O38" s="57" t="str">
        <f aca="false">IF(L38="","",MAX(0,MIN(G38*(1-H38-$F$7),G38*(1-H38)-$F$8)-J38-K38-F38))</f>
        <v/>
      </c>
      <c r="P38" s="59" t="str">
        <f aca="false">IF(L38="","",IF(AND(M38&gt;=$F$7,L38&gt;=$F$8),"✔ BUY / COMPRAR","✖ PASS / NO COMPRAR"))</f>
        <v/>
      </c>
      <c r="Q38" s="53"/>
    </row>
    <row r="39" customFormat="false" ht="15" hidden="false" customHeight="false" outlineLevel="0" collapsed="false">
      <c r="B39" s="53"/>
      <c r="C39" s="53"/>
      <c r="D39" s="53"/>
      <c r="E39" s="55"/>
      <c r="F39" s="55"/>
      <c r="G39" s="55"/>
      <c r="H39" s="56"/>
      <c r="I39" s="57" t="str">
        <f aca="false">IF(G39="","",G39*H39)</f>
        <v/>
      </c>
      <c r="J39" s="55"/>
      <c r="K39" s="55"/>
      <c r="L39" s="57" t="str">
        <f aca="false">IF(OR(B39="",G39=""),"",G39-E39-F39-I39-J39-K39)</f>
        <v/>
      </c>
      <c r="M39" s="58" t="str">
        <f aca="false">IF(L39="","",IF(G39=0,0,L39/G39))</f>
        <v/>
      </c>
      <c r="N39" s="64" t="str">
        <f aca="false">IF(L39="","",IF(E39+F39=0,"∞",L39/(E39+F39)))</f>
        <v/>
      </c>
      <c r="O39" s="57" t="str">
        <f aca="false">IF(L39="","",MAX(0,MIN(G39*(1-H39-$F$7),G39*(1-H39)-$F$8)-J39-K39-F39))</f>
        <v/>
      </c>
      <c r="P39" s="59" t="str">
        <f aca="false">IF(L39="","",IF(AND(M39&gt;=$F$7,L39&gt;=$F$8),"✔ BUY / COMPRAR","✖ PASS / NO COMPRAR"))</f>
        <v/>
      </c>
      <c r="Q39" s="53"/>
    </row>
    <row r="40" customFormat="false" ht="15" hidden="false" customHeight="false" outlineLevel="0" collapsed="false">
      <c r="B40" s="53"/>
      <c r="C40" s="53"/>
      <c r="D40" s="53"/>
      <c r="E40" s="55"/>
      <c r="F40" s="55"/>
      <c r="G40" s="55"/>
      <c r="H40" s="56"/>
      <c r="I40" s="57" t="str">
        <f aca="false">IF(G40="","",G40*H40)</f>
        <v/>
      </c>
      <c r="J40" s="55"/>
      <c r="K40" s="55"/>
      <c r="L40" s="57" t="str">
        <f aca="false">IF(OR(B40="",G40=""),"",G40-E40-F40-I40-J40-K40)</f>
        <v/>
      </c>
      <c r="M40" s="58" t="str">
        <f aca="false">IF(L40="","",IF(G40=0,0,L40/G40))</f>
        <v/>
      </c>
      <c r="N40" s="64" t="str">
        <f aca="false">IF(L40="","",IF(E40+F40=0,"∞",L40/(E40+F40)))</f>
        <v/>
      </c>
      <c r="O40" s="57" t="str">
        <f aca="false">IF(L40="","",MAX(0,MIN(G40*(1-H40-$F$7),G40*(1-H40)-$F$8)-J40-K40-F40))</f>
        <v/>
      </c>
      <c r="P40" s="59" t="str">
        <f aca="false">IF(L40="","",IF(AND(M40&gt;=$F$7,L40&gt;=$F$8),"✔ BUY / COMPRAR","✖ PASS / NO COMPRAR"))</f>
        <v/>
      </c>
      <c r="Q40" s="53"/>
    </row>
    <row r="41" customFormat="false" ht="15" hidden="false" customHeight="false" outlineLevel="0" collapsed="false">
      <c r="B41" s="53"/>
      <c r="C41" s="53"/>
      <c r="D41" s="53"/>
      <c r="E41" s="55"/>
      <c r="F41" s="55"/>
      <c r="G41" s="55"/>
      <c r="H41" s="56"/>
      <c r="I41" s="57" t="str">
        <f aca="false">IF(G41="","",G41*H41)</f>
        <v/>
      </c>
      <c r="J41" s="55"/>
      <c r="K41" s="55"/>
      <c r="L41" s="57" t="str">
        <f aca="false">IF(OR(B41="",G41=""),"",G41-E41-F41-I41-J41-K41)</f>
        <v/>
      </c>
      <c r="M41" s="58" t="str">
        <f aca="false">IF(L41="","",IF(G41=0,0,L41/G41))</f>
        <v/>
      </c>
      <c r="N41" s="64" t="str">
        <f aca="false">IF(L41="","",IF(E41+F41=0,"∞",L41/(E41+F41)))</f>
        <v/>
      </c>
      <c r="O41" s="57" t="str">
        <f aca="false">IF(L41="","",MAX(0,MIN(G41*(1-H41-$F$7),G41*(1-H41)-$F$8)-J41-K41-F41))</f>
        <v/>
      </c>
      <c r="P41" s="59" t="str">
        <f aca="false">IF(L41="","",IF(AND(M41&gt;=$F$7,L41&gt;=$F$8),"✔ BUY / COMPRAR","✖ PASS / NO COMPRAR"))</f>
        <v/>
      </c>
      <c r="Q41" s="53"/>
    </row>
    <row r="42" customFormat="false" ht="15" hidden="false" customHeight="false" outlineLevel="0" collapsed="false">
      <c r="B42" s="53"/>
      <c r="C42" s="53"/>
      <c r="D42" s="53"/>
      <c r="E42" s="55"/>
      <c r="F42" s="55"/>
      <c r="G42" s="55"/>
      <c r="H42" s="56"/>
      <c r="I42" s="57" t="str">
        <f aca="false">IF(G42="","",G42*H42)</f>
        <v/>
      </c>
      <c r="J42" s="55"/>
      <c r="K42" s="55"/>
      <c r="L42" s="57" t="str">
        <f aca="false">IF(OR(B42="",G42=""),"",G42-E42-F42-I42-J42-K42)</f>
        <v/>
      </c>
      <c r="M42" s="58" t="str">
        <f aca="false">IF(L42="","",IF(G42=0,0,L42/G42))</f>
        <v/>
      </c>
      <c r="N42" s="64" t="str">
        <f aca="false">IF(L42="","",IF(E42+F42=0,"∞",L42/(E42+F42)))</f>
        <v/>
      </c>
      <c r="O42" s="57" t="str">
        <f aca="false">IF(L42="","",MAX(0,MIN(G42*(1-H42-$F$7),G42*(1-H42)-$F$8)-J42-K42-F42))</f>
        <v/>
      </c>
      <c r="P42" s="59" t="str">
        <f aca="false">IF(L42="","",IF(AND(M42&gt;=$F$7,L42&gt;=$F$8),"✔ BUY / COMPRAR","✖ PASS / NO COMPRAR"))</f>
        <v/>
      </c>
      <c r="Q42" s="53"/>
    </row>
    <row r="43" customFormat="false" ht="15" hidden="false" customHeight="false" outlineLevel="0" collapsed="false">
      <c r="B43" s="53"/>
      <c r="C43" s="53"/>
      <c r="D43" s="53"/>
      <c r="E43" s="55"/>
      <c r="F43" s="55"/>
      <c r="G43" s="55"/>
      <c r="H43" s="56"/>
      <c r="I43" s="57" t="str">
        <f aca="false">IF(G43="","",G43*H43)</f>
        <v/>
      </c>
      <c r="J43" s="55"/>
      <c r="K43" s="55"/>
      <c r="L43" s="57" t="str">
        <f aca="false">IF(OR(B43="",G43=""),"",G43-E43-F43-I43-J43-K43)</f>
        <v/>
      </c>
      <c r="M43" s="58" t="str">
        <f aca="false">IF(L43="","",IF(G43=0,0,L43/G43))</f>
        <v/>
      </c>
      <c r="N43" s="64" t="str">
        <f aca="false">IF(L43="","",IF(E43+F43=0,"∞",L43/(E43+F43)))</f>
        <v/>
      </c>
      <c r="O43" s="57" t="str">
        <f aca="false">IF(L43="","",MAX(0,MIN(G43*(1-H43-$F$7),G43*(1-H43)-$F$8)-J43-K43-F43))</f>
        <v/>
      </c>
      <c r="P43" s="59" t="str">
        <f aca="false">IF(L43="","",IF(AND(M43&gt;=$F$7,L43&gt;=$F$8),"✔ BUY / COMPRAR","✖ PASS / NO COMPRAR"))</f>
        <v/>
      </c>
      <c r="Q43" s="53"/>
    </row>
    <row r="44" customFormat="false" ht="15" hidden="false" customHeight="false" outlineLevel="0" collapsed="false">
      <c r="B44" s="53"/>
      <c r="C44" s="53"/>
      <c r="D44" s="53"/>
      <c r="E44" s="55"/>
      <c r="F44" s="55"/>
      <c r="G44" s="55"/>
      <c r="H44" s="56"/>
      <c r="I44" s="57" t="str">
        <f aca="false">IF(G44="","",G44*H44)</f>
        <v/>
      </c>
      <c r="J44" s="55"/>
      <c r="K44" s="55"/>
      <c r="L44" s="57" t="str">
        <f aca="false">IF(OR(B44="",G44=""),"",G44-E44-F44-I44-J44-K44)</f>
        <v/>
      </c>
      <c r="M44" s="58" t="str">
        <f aca="false">IF(L44="","",IF(G44=0,0,L44/G44))</f>
        <v/>
      </c>
      <c r="N44" s="64" t="str">
        <f aca="false">IF(L44="","",IF(E44+F44=0,"∞",L44/(E44+F44)))</f>
        <v/>
      </c>
      <c r="O44" s="57" t="str">
        <f aca="false">IF(L44="","",MAX(0,MIN(G44*(1-H44-$F$7),G44*(1-H44)-$F$8)-J44-K44-F44))</f>
        <v/>
      </c>
      <c r="P44" s="59" t="str">
        <f aca="false">IF(L44="","",IF(AND(M44&gt;=$F$7,L44&gt;=$F$8),"✔ BUY / COMPRAR","✖ PASS / NO COMPRAR"))</f>
        <v/>
      </c>
      <c r="Q44" s="53"/>
    </row>
    <row r="45" customFormat="false" ht="15" hidden="false" customHeight="false" outlineLevel="0" collapsed="false">
      <c r="B45" s="53"/>
      <c r="C45" s="53"/>
      <c r="D45" s="53"/>
      <c r="E45" s="55"/>
      <c r="F45" s="55"/>
      <c r="G45" s="55"/>
      <c r="H45" s="56"/>
      <c r="I45" s="57" t="str">
        <f aca="false">IF(G45="","",G45*H45)</f>
        <v/>
      </c>
      <c r="J45" s="55"/>
      <c r="K45" s="55"/>
      <c r="L45" s="57" t="str">
        <f aca="false">IF(OR(B45="",G45=""),"",G45-E45-F45-I45-J45-K45)</f>
        <v/>
      </c>
      <c r="M45" s="58" t="str">
        <f aca="false">IF(L45="","",IF(G45=0,0,L45/G45))</f>
        <v/>
      </c>
      <c r="N45" s="64" t="str">
        <f aca="false">IF(L45="","",IF(E45+F45=0,"∞",L45/(E45+F45)))</f>
        <v/>
      </c>
      <c r="O45" s="57" t="str">
        <f aca="false">IF(L45="","",MAX(0,MIN(G45*(1-H45-$F$7),G45*(1-H45)-$F$8)-J45-K45-F45))</f>
        <v/>
      </c>
      <c r="P45" s="59" t="str">
        <f aca="false">IF(L45="","",IF(AND(M45&gt;=$F$7,L45&gt;=$F$8),"✔ BUY / COMPRAR","✖ PASS / NO COMPRAR"))</f>
        <v/>
      </c>
      <c r="Q45" s="53"/>
    </row>
    <row r="46" customFormat="false" ht="15" hidden="false" customHeight="false" outlineLevel="0" collapsed="false">
      <c r="B46" s="53"/>
      <c r="C46" s="53"/>
      <c r="D46" s="53"/>
      <c r="E46" s="55"/>
      <c r="F46" s="55"/>
      <c r="G46" s="55"/>
      <c r="H46" s="56"/>
      <c r="I46" s="57" t="str">
        <f aca="false">IF(G46="","",G46*H46)</f>
        <v/>
      </c>
      <c r="J46" s="55"/>
      <c r="K46" s="55"/>
      <c r="L46" s="57" t="str">
        <f aca="false">IF(OR(B46="",G46=""),"",G46-E46-F46-I46-J46-K46)</f>
        <v/>
      </c>
      <c r="M46" s="58" t="str">
        <f aca="false">IF(L46="","",IF(G46=0,0,L46/G46))</f>
        <v/>
      </c>
      <c r="N46" s="64" t="str">
        <f aca="false">IF(L46="","",IF(E46+F46=0,"∞",L46/(E46+F46)))</f>
        <v/>
      </c>
      <c r="O46" s="57" t="str">
        <f aca="false">IF(L46="","",MAX(0,MIN(G46*(1-H46-$F$7),G46*(1-H46)-$F$8)-J46-K46-F46))</f>
        <v/>
      </c>
      <c r="P46" s="59" t="str">
        <f aca="false">IF(L46="","",IF(AND(M46&gt;=$F$7,L46&gt;=$F$8),"✔ BUY / COMPRAR","✖ PASS / NO COMPRAR"))</f>
        <v/>
      </c>
      <c r="Q46" s="53"/>
    </row>
    <row r="47" customFormat="false" ht="15" hidden="false" customHeight="false" outlineLevel="0" collapsed="false">
      <c r="B47" s="53"/>
      <c r="C47" s="53"/>
      <c r="D47" s="53"/>
      <c r="E47" s="55"/>
      <c r="F47" s="55"/>
      <c r="G47" s="55"/>
      <c r="H47" s="56"/>
      <c r="I47" s="57" t="str">
        <f aca="false">IF(G47="","",G47*H47)</f>
        <v/>
      </c>
      <c r="J47" s="55"/>
      <c r="K47" s="55"/>
      <c r="L47" s="57" t="str">
        <f aca="false">IF(OR(B47="",G47=""),"",G47-E47-F47-I47-J47-K47)</f>
        <v/>
      </c>
      <c r="M47" s="58" t="str">
        <f aca="false">IF(L47="","",IF(G47=0,0,L47/G47))</f>
        <v/>
      </c>
      <c r="N47" s="64" t="str">
        <f aca="false">IF(L47="","",IF(E47+F47=0,"∞",L47/(E47+F47)))</f>
        <v/>
      </c>
      <c r="O47" s="57" t="str">
        <f aca="false">IF(L47="","",MAX(0,MIN(G47*(1-H47-$F$7),G47*(1-H47)-$F$8)-J47-K47-F47))</f>
        <v/>
      </c>
      <c r="P47" s="59" t="str">
        <f aca="false">IF(L47="","",IF(AND(M47&gt;=$F$7,L47&gt;=$F$8),"✔ BUY / COMPRAR","✖ PASS / NO COMPRAR"))</f>
        <v/>
      </c>
      <c r="Q47" s="53"/>
    </row>
    <row r="48" customFormat="false" ht="15" hidden="false" customHeight="false" outlineLevel="0" collapsed="false">
      <c r="B48" s="53"/>
      <c r="C48" s="53"/>
      <c r="D48" s="53"/>
      <c r="E48" s="55"/>
      <c r="F48" s="55"/>
      <c r="G48" s="55"/>
      <c r="H48" s="56"/>
      <c r="I48" s="57" t="str">
        <f aca="false">IF(G48="","",G48*H48)</f>
        <v/>
      </c>
      <c r="J48" s="55"/>
      <c r="K48" s="55"/>
      <c r="L48" s="57" t="str">
        <f aca="false">IF(OR(B48="",G48=""),"",G48-E48-F48-I48-J48-K48)</f>
        <v/>
      </c>
      <c r="M48" s="58" t="str">
        <f aca="false">IF(L48="","",IF(G48=0,0,L48/G48))</f>
        <v/>
      </c>
      <c r="N48" s="64" t="str">
        <f aca="false">IF(L48="","",IF(E48+F48=0,"∞",L48/(E48+F48)))</f>
        <v/>
      </c>
      <c r="O48" s="57" t="str">
        <f aca="false">IF(L48="","",MAX(0,MIN(G48*(1-H48-$F$7),G48*(1-H48)-$F$8)-J48-K48-F48))</f>
        <v/>
      </c>
      <c r="P48" s="59" t="str">
        <f aca="false">IF(L48="","",IF(AND(M48&gt;=$F$7,L48&gt;=$F$8),"✔ BUY / COMPRAR","✖ PASS / NO COMPRAR"))</f>
        <v/>
      </c>
      <c r="Q48" s="53"/>
    </row>
    <row r="49" customFormat="false" ht="15" hidden="false" customHeight="false" outlineLevel="0" collapsed="false">
      <c r="B49" s="53"/>
      <c r="C49" s="53"/>
      <c r="D49" s="53"/>
      <c r="E49" s="55"/>
      <c r="F49" s="55"/>
      <c r="G49" s="55"/>
      <c r="H49" s="56"/>
      <c r="I49" s="57" t="str">
        <f aca="false">IF(G49="","",G49*H49)</f>
        <v/>
      </c>
      <c r="J49" s="55"/>
      <c r="K49" s="55"/>
      <c r="L49" s="57" t="str">
        <f aca="false">IF(OR(B49="",G49=""),"",G49-E49-F49-I49-J49-K49)</f>
        <v/>
      </c>
      <c r="M49" s="58" t="str">
        <f aca="false">IF(L49="","",IF(G49=0,0,L49/G49))</f>
        <v/>
      </c>
      <c r="N49" s="64" t="str">
        <f aca="false">IF(L49="","",IF(E49+F49=0,"∞",L49/(E49+F49)))</f>
        <v/>
      </c>
      <c r="O49" s="57" t="str">
        <f aca="false">IF(L49="","",MAX(0,MIN(G49*(1-H49-$F$7),G49*(1-H49)-$F$8)-J49-K49-F49))</f>
        <v/>
      </c>
      <c r="P49" s="59" t="str">
        <f aca="false">IF(L49="","",IF(AND(M49&gt;=$F$7,L49&gt;=$F$8),"✔ BUY / COMPRAR","✖ PASS / NO COMPRAR"))</f>
        <v/>
      </c>
      <c r="Q49" s="53"/>
    </row>
    <row r="50" customFormat="false" ht="15" hidden="false" customHeight="false" outlineLevel="0" collapsed="false">
      <c r="B50" s="53"/>
      <c r="C50" s="53"/>
      <c r="D50" s="53"/>
      <c r="E50" s="55"/>
      <c r="F50" s="55"/>
      <c r="G50" s="55"/>
      <c r="H50" s="56"/>
      <c r="I50" s="57" t="str">
        <f aca="false">IF(G50="","",G50*H50)</f>
        <v/>
      </c>
      <c r="J50" s="55"/>
      <c r="K50" s="55"/>
      <c r="L50" s="57" t="str">
        <f aca="false">IF(OR(B50="",G50=""),"",G50-E50-F50-I50-J50-K50)</f>
        <v/>
      </c>
      <c r="M50" s="58" t="str">
        <f aca="false">IF(L50="","",IF(G50=0,0,L50/G50))</f>
        <v/>
      </c>
      <c r="N50" s="64" t="str">
        <f aca="false">IF(L50="","",IF(E50+F50=0,"∞",L50/(E50+F50)))</f>
        <v/>
      </c>
      <c r="O50" s="57" t="str">
        <f aca="false">IF(L50="","",MAX(0,MIN(G50*(1-H50-$F$7),G50*(1-H50)-$F$8)-J50-K50-F50))</f>
        <v/>
      </c>
      <c r="P50" s="59" t="str">
        <f aca="false">IF(L50="","",IF(AND(M50&gt;=$F$7,L50&gt;=$F$8),"✔ BUY / COMPRAR","✖ PASS / NO COMPRAR"))</f>
        <v/>
      </c>
      <c r="Q50" s="53"/>
    </row>
    <row r="51" customFormat="false" ht="15" hidden="false" customHeight="false" outlineLevel="0" collapsed="false">
      <c r="B51" s="53"/>
      <c r="C51" s="53"/>
      <c r="D51" s="53"/>
      <c r="E51" s="55"/>
      <c r="F51" s="55"/>
      <c r="G51" s="55"/>
      <c r="H51" s="56"/>
      <c r="I51" s="57" t="str">
        <f aca="false">IF(G51="","",G51*H51)</f>
        <v/>
      </c>
      <c r="J51" s="55"/>
      <c r="K51" s="55"/>
      <c r="L51" s="57" t="str">
        <f aca="false">IF(OR(B51="",G51=""),"",G51-E51-F51-I51-J51-K51)</f>
        <v/>
      </c>
      <c r="M51" s="58" t="str">
        <f aca="false">IF(L51="","",IF(G51=0,0,L51/G51))</f>
        <v/>
      </c>
      <c r="N51" s="64" t="str">
        <f aca="false">IF(L51="","",IF(E51+F51=0,"∞",L51/(E51+F51)))</f>
        <v/>
      </c>
      <c r="O51" s="57" t="str">
        <f aca="false">IF(L51="","",MAX(0,MIN(G51*(1-H51-$F$7),G51*(1-H51)-$F$8)-J51-K51-F51))</f>
        <v/>
      </c>
      <c r="P51" s="59" t="str">
        <f aca="false">IF(L51="","",IF(AND(M51&gt;=$F$7,L51&gt;=$F$8),"✔ BUY / COMPRAR","✖ PASS / NO COMPRAR"))</f>
        <v/>
      </c>
      <c r="Q51" s="53"/>
    </row>
    <row r="52" customFormat="false" ht="15" hidden="false" customHeight="false" outlineLevel="0" collapsed="false">
      <c r="B52" s="53"/>
      <c r="C52" s="53"/>
      <c r="D52" s="53"/>
      <c r="E52" s="55"/>
      <c r="F52" s="55"/>
      <c r="G52" s="55"/>
      <c r="H52" s="56"/>
      <c r="I52" s="57" t="str">
        <f aca="false">IF(G52="","",G52*H52)</f>
        <v/>
      </c>
      <c r="J52" s="55"/>
      <c r="K52" s="55"/>
      <c r="L52" s="57" t="str">
        <f aca="false">IF(OR(B52="",G52=""),"",G52-E52-F52-I52-J52-K52)</f>
        <v/>
      </c>
      <c r="M52" s="58" t="str">
        <f aca="false">IF(L52="","",IF(G52=0,0,L52/G52))</f>
        <v/>
      </c>
      <c r="N52" s="64" t="str">
        <f aca="false">IF(L52="","",IF(E52+F52=0,"∞",L52/(E52+F52)))</f>
        <v/>
      </c>
      <c r="O52" s="57" t="str">
        <f aca="false">IF(L52="","",MAX(0,MIN(G52*(1-H52-$F$7),G52*(1-H52)-$F$8)-J52-K52-F52))</f>
        <v/>
      </c>
      <c r="P52" s="59" t="str">
        <f aca="false">IF(L52="","",IF(AND(M52&gt;=$F$7,L52&gt;=$F$8),"✔ BUY / COMPRAR","✖ PASS / NO COMPRAR"))</f>
        <v/>
      </c>
      <c r="Q52" s="53"/>
    </row>
    <row r="53" customFormat="false" ht="15" hidden="false" customHeight="false" outlineLevel="0" collapsed="false">
      <c r="B53" s="53"/>
      <c r="C53" s="53"/>
      <c r="D53" s="53"/>
      <c r="E53" s="55"/>
      <c r="F53" s="55"/>
      <c r="G53" s="55"/>
      <c r="H53" s="56"/>
      <c r="I53" s="57" t="str">
        <f aca="false">IF(G53="","",G53*H53)</f>
        <v/>
      </c>
      <c r="J53" s="55"/>
      <c r="K53" s="55"/>
      <c r="L53" s="57" t="str">
        <f aca="false">IF(OR(B53="",G53=""),"",G53-E53-F53-I53-J53-K53)</f>
        <v/>
      </c>
      <c r="M53" s="58" t="str">
        <f aca="false">IF(L53="","",IF(G53=0,0,L53/G53))</f>
        <v/>
      </c>
      <c r="N53" s="64" t="str">
        <f aca="false">IF(L53="","",IF(E53+F53=0,"∞",L53/(E53+F53)))</f>
        <v/>
      </c>
      <c r="O53" s="57" t="str">
        <f aca="false">IF(L53="","",MAX(0,MIN(G53*(1-H53-$F$7),G53*(1-H53)-$F$8)-J53-K53-F53))</f>
        <v/>
      </c>
      <c r="P53" s="59" t="str">
        <f aca="false">IF(L53="","",IF(AND(M53&gt;=$F$7,L53&gt;=$F$8),"✔ BUY / COMPRAR","✖ PASS / NO COMPRAR"))</f>
        <v/>
      </c>
      <c r="Q53" s="53"/>
    </row>
    <row r="54" customFormat="false" ht="15" hidden="false" customHeight="false" outlineLevel="0" collapsed="false">
      <c r="B54" s="53"/>
      <c r="C54" s="53"/>
      <c r="D54" s="53"/>
      <c r="E54" s="55"/>
      <c r="F54" s="55"/>
      <c r="G54" s="55"/>
      <c r="H54" s="56"/>
      <c r="I54" s="57" t="str">
        <f aca="false">IF(G54="","",G54*H54)</f>
        <v/>
      </c>
      <c r="J54" s="55"/>
      <c r="K54" s="55"/>
      <c r="L54" s="57" t="str">
        <f aca="false">IF(OR(B54="",G54=""),"",G54-E54-F54-I54-J54-K54)</f>
        <v/>
      </c>
      <c r="M54" s="58" t="str">
        <f aca="false">IF(L54="","",IF(G54=0,0,L54/G54))</f>
        <v/>
      </c>
      <c r="N54" s="64" t="str">
        <f aca="false">IF(L54="","",IF(E54+F54=0,"∞",L54/(E54+F54)))</f>
        <v/>
      </c>
      <c r="O54" s="57" t="str">
        <f aca="false">IF(L54="","",MAX(0,MIN(G54*(1-H54-$F$7),G54*(1-H54)-$F$8)-J54-K54-F54))</f>
        <v/>
      </c>
      <c r="P54" s="59" t="str">
        <f aca="false">IF(L54="","",IF(AND(M54&gt;=$F$7,L54&gt;=$F$8),"✔ BUY / COMPRAR","✖ PASS / NO COMPRAR"))</f>
        <v/>
      </c>
      <c r="Q54" s="53"/>
    </row>
    <row r="55" customFormat="false" ht="15" hidden="false" customHeight="false" outlineLevel="0" collapsed="false">
      <c r="B55" s="53"/>
      <c r="C55" s="53"/>
      <c r="D55" s="53"/>
      <c r="E55" s="55"/>
      <c r="F55" s="55"/>
      <c r="G55" s="55"/>
      <c r="H55" s="56"/>
      <c r="I55" s="57" t="str">
        <f aca="false">IF(G55="","",G55*H55)</f>
        <v/>
      </c>
      <c r="J55" s="55"/>
      <c r="K55" s="55"/>
      <c r="L55" s="57" t="str">
        <f aca="false">IF(OR(B55="",G55=""),"",G55-E55-F55-I55-J55-K55)</f>
        <v/>
      </c>
      <c r="M55" s="58" t="str">
        <f aca="false">IF(L55="","",IF(G55=0,0,L55/G55))</f>
        <v/>
      </c>
      <c r="N55" s="64" t="str">
        <f aca="false">IF(L55="","",IF(E55+F55=0,"∞",L55/(E55+F55)))</f>
        <v/>
      </c>
      <c r="O55" s="57" t="str">
        <f aca="false">IF(L55="","",MAX(0,MIN(G55*(1-H55-$F$7),G55*(1-H55)-$F$8)-J55-K55-F55))</f>
        <v/>
      </c>
      <c r="P55" s="59" t="str">
        <f aca="false">IF(L55="","",IF(AND(M55&gt;=$F$7,L55&gt;=$F$8),"✔ BUY / COMPRAR","✖ PASS / NO COMPRAR"))</f>
        <v/>
      </c>
      <c r="Q55" s="53"/>
    </row>
    <row r="56" customFormat="false" ht="15" hidden="false" customHeight="false" outlineLevel="0" collapsed="false">
      <c r="B56" s="53"/>
      <c r="C56" s="53"/>
      <c r="D56" s="53"/>
      <c r="E56" s="55"/>
      <c r="F56" s="55"/>
      <c r="G56" s="55"/>
      <c r="H56" s="56"/>
      <c r="I56" s="57" t="str">
        <f aca="false">IF(G56="","",G56*H56)</f>
        <v/>
      </c>
      <c r="J56" s="55"/>
      <c r="K56" s="55"/>
      <c r="L56" s="57" t="str">
        <f aca="false">IF(OR(B56="",G56=""),"",G56-E56-F56-I56-J56-K56)</f>
        <v/>
      </c>
      <c r="M56" s="58" t="str">
        <f aca="false">IF(L56="","",IF(G56=0,0,L56/G56))</f>
        <v/>
      </c>
      <c r="N56" s="64" t="str">
        <f aca="false">IF(L56="","",IF(E56+F56=0,"∞",L56/(E56+F56)))</f>
        <v/>
      </c>
      <c r="O56" s="57" t="str">
        <f aca="false">IF(L56="","",MAX(0,MIN(G56*(1-H56-$F$7),G56*(1-H56)-$F$8)-J56-K56-F56))</f>
        <v/>
      </c>
      <c r="P56" s="59" t="str">
        <f aca="false">IF(L56="","",IF(AND(M56&gt;=$F$7,L56&gt;=$F$8),"✔ BUY / COMPRAR","✖ PASS / NO COMPRAR"))</f>
        <v/>
      </c>
      <c r="Q56" s="53"/>
    </row>
    <row r="57" customFormat="false" ht="15" hidden="false" customHeight="false" outlineLevel="0" collapsed="false">
      <c r="B57" s="53"/>
      <c r="C57" s="53"/>
      <c r="D57" s="53"/>
      <c r="E57" s="55"/>
      <c r="F57" s="55"/>
      <c r="G57" s="55"/>
      <c r="H57" s="56"/>
      <c r="I57" s="57" t="str">
        <f aca="false">IF(G57="","",G57*H57)</f>
        <v/>
      </c>
      <c r="J57" s="55"/>
      <c r="K57" s="55"/>
      <c r="L57" s="57" t="str">
        <f aca="false">IF(OR(B57="",G57=""),"",G57-E57-F57-I57-J57-K57)</f>
        <v/>
      </c>
      <c r="M57" s="58" t="str">
        <f aca="false">IF(L57="","",IF(G57=0,0,L57/G57))</f>
        <v/>
      </c>
      <c r="N57" s="64" t="str">
        <f aca="false">IF(L57="","",IF(E57+F57=0,"∞",L57/(E57+F57)))</f>
        <v/>
      </c>
      <c r="O57" s="57" t="str">
        <f aca="false">IF(L57="","",MAX(0,MIN(G57*(1-H57-$F$7),G57*(1-H57)-$F$8)-J57-K57-F57))</f>
        <v/>
      </c>
      <c r="P57" s="59" t="str">
        <f aca="false">IF(L57="","",IF(AND(M57&gt;=$F$7,L57&gt;=$F$8),"✔ BUY / COMPRAR","✖ PASS / NO COMPRAR"))</f>
        <v/>
      </c>
      <c r="Q57" s="53"/>
    </row>
    <row r="58" customFormat="false" ht="15" hidden="false" customHeight="false" outlineLevel="0" collapsed="false">
      <c r="B58" s="53"/>
      <c r="C58" s="53"/>
      <c r="D58" s="53"/>
      <c r="E58" s="55"/>
      <c r="F58" s="55"/>
      <c r="G58" s="55"/>
      <c r="H58" s="56"/>
      <c r="I58" s="57" t="str">
        <f aca="false">IF(G58="","",G58*H58)</f>
        <v/>
      </c>
      <c r="J58" s="55"/>
      <c r="K58" s="55"/>
      <c r="L58" s="57" t="str">
        <f aca="false">IF(OR(B58="",G58=""),"",G58-E58-F58-I58-J58-K58)</f>
        <v/>
      </c>
      <c r="M58" s="58" t="str">
        <f aca="false">IF(L58="","",IF(G58=0,0,L58/G58))</f>
        <v/>
      </c>
      <c r="N58" s="64" t="str">
        <f aca="false">IF(L58="","",IF(E58+F58=0,"∞",L58/(E58+F58)))</f>
        <v/>
      </c>
      <c r="O58" s="57" t="str">
        <f aca="false">IF(L58="","",MAX(0,MIN(G58*(1-H58-$F$7),G58*(1-H58)-$F$8)-J58-K58-F58))</f>
        <v/>
      </c>
      <c r="P58" s="59" t="str">
        <f aca="false">IF(L58="","",IF(AND(M58&gt;=$F$7,L58&gt;=$F$8),"✔ BUY / COMPRAR","✖ PASS / NO COMPRAR"))</f>
        <v/>
      </c>
      <c r="Q58" s="53"/>
    </row>
    <row r="59" customFormat="false" ht="15" hidden="false" customHeight="false" outlineLevel="0" collapsed="false">
      <c r="B59" s="53"/>
      <c r="C59" s="53"/>
      <c r="D59" s="53"/>
      <c r="E59" s="55"/>
      <c r="F59" s="55"/>
      <c r="G59" s="55"/>
      <c r="H59" s="56"/>
      <c r="I59" s="57" t="str">
        <f aca="false">IF(G59="","",G59*H59)</f>
        <v/>
      </c>
      <c r="J59" s="55"/>
      <c r="K59" s="55"/>
      <c r="L59" s="57" t="str">
        <f aca="false">IF(OR(B59="",G59=""),"",G59-E59-F59-I59-J59-K59)</f>
        <v/>
      </c>
      <c r="M59" s="58" t="str">
        <f aca="false">IF(L59="","",IF(G59=0,0,L59/G59))</f>
        <v/>
      </c>
      <c r="N59" s="64" t="str">
        <f aca="false">IF(L59="","",IF(E59+F59=0,"∞",L59/(E59+F59)))</f>
        <v/>
      </c>
      <c r="O59" s="57" t="str">
        <f aca="false">IF(L59="","",MAX(0,MIN(G59*(1-H59-$F$7),G59*(1-H59)-$F$8)-J59-K59-F59))</f>
        <v/>
      </c>
      <c r="P59" s="59" t="str">
        <f aca="false">IF(L59="","",IF(AND(M59&gt;=$F$7,L59&gt;=$F$8),"✔ BUY / COMPRAR","✖ PASS / NO COMPRAR"))</f>
        <v/>
      </c>
      <c r="Q59" s="53"/>
    </row>
    <row r="60" customFormat="false" ht="15" hidden="false" customHeight="false" outlineLevel="0" collapsed="false">
      <c r="B60" s="53"/>
      <c r="C60" s="53"/>
      <c r="D60" s="53"/>
      <c r="E60" s="55"/>
      <c r="F60" s="55"/>
      <c r="G60" s="55"/>
      <c r="H60" s="56"/>
      <c r="I60" s="57" t="str">
        <f aca="false">IF(G60="","",G60*H60)</f>
        <v/>
      </c>
      <c r="J60" s="55"/>
      <c r="K60" s="55"/>
      <c r="L60" s="57" t="str">
        <f aca="false">IF(OR(B60="",G60=""),"",G60-E60-F60-I60-J60-K60)</f>
        <v/>
      </c>
      <c r="M60" s="58" t="str">
        <f aca="false">IF(L60="","",IF(G60=0,0,L60/G60))</f>
        <v/>
      </c>
      <c r="N60" s="64" t="str">
        <f aca="false">IF(L60="","",IF(E60+F60=0,"∞",L60/(E60+F60)))</f>
        <v/>
      </c>
      <c r="O60" s="57" t="str">
        <f aca="false">IF(L60="","",MAX(0,MIN(G60*(1-H60-$F$7),G60*(1-H60)-$F$8)-J60-K60-F60))</f>
        <v/>
      </c>
      <c r="P60" s="59" t="str">
        <f aca="false">IF(L60="","",IF(AND(M60&gt;=$F$7,L60&gt;=$F$8),"✔ BUY / COMPRAR","✖ PASS / NO COMPRAR"))</f>
        <v/>
      </c>
      <c r="Q60" s="53"/>
    </row>
    <row r="61" customFormat="false" ht="15" hidden="false" customHeight="false" outlineLevel="0" collapsed="false">
      <c r="B61" s="53"/>
      <c r="C61" s="53"/>
      <c r="D61" s="53"/>
      <c r="E61" s="55"/>
      <c r="F61" s="55"/>
      <c r="G61" s="55"/>
      <c r="H61" s="56"/>
      <c r="I61" s="57" t="str">
        <f aca="false">IF(G61="","",G61*H61)</f>
        <v/>
      </c>
      <c r="J61" s="55"/>
      <c r="K61" s="55"/>
      <c r="L61" s="57" t="str">
        <f aca="false">IF(OR(B61="",G61=""),"",G61-E61-F61-I61-J61-K61)</f>
        <v/>
      </c>
      <c r="M61" s="58" t="str">
        <f aca="false">IF(L61="","",IF(G61=0,0,L61/G61))</f>
        <v/>
      </c>
      <c r="N61" s="64" t="str">
        <f aca="false">IF(L61="","",IF(E61+F61=0,"∞",L61/(E61+F61)))</f>
        <v/>
      </c>
      <c r="O61" s="57" t="str">
        <f aca="false">IF(L61="","",MAX(0,MIN(G61*(1-H61-$F$7),G61*(1-H61)-$F$8)-J61-K61-F61))</f>
        <v/>
      </c>
      <c r="P61" s="59" t="str">
        <f aca="false">IF(L61="","",IF(AND(M61&gt;=$F$7,L61&gt;=$F$8),"✔ BUY / COMPRAR","✖ PASS / NO COMPRAR"))</f>
        <v/>
      </c>
      <c r="Q61" s="53"/>
    </row>
    <row r="62" customFormat="false" ht="15" hidden="false" customHeight="false" outlineLevel="0" collapsed="false">
      <c r="B62" s="53"/>
      <c r="C62" s="53"/>
      <c r="D62" s="53"/>
      <c r="E62" s="55"/>
      <c r="F62" s="55"/>
      <c r="G62" s="55"/>
      <c r="H62" s="56"/>
      <c r="I62" s="57" t="str">
        <f aca="false">IF(G62="","",G62*H62)</f>
        <v/>
      </c>
      <c r="J62" s="55"/>
      <c r="K62" s="55"/>
      <c r="L62" s="57" t="str">
        <f aca="false">IF(OR(B62="",G62=""),"",G62-E62-F62-I62-J62-K62)</f>
        <v/>
      </c>
      <c r="M62" s="58" t="str">
        <f aca="false">IF(L62="","",IF(G62=0,0,L62/G62))</f>
        <v/>
      </c>
      <c r="N62" s="64" t="str">
        <f aca="false">IF(L62="","",IF(E62+F62=0,"∞",L62/(E62+F62)))</f>
        <v/>
      </c>
      <c r="O62" s="57" t="str">
        <f aca="false">IF(L62="","",MAX(0,MIN(G62*(1-H62-$F$7),G62*(1-H62)-$F$8)-J62-K62-F62))</f>
        <v/>
      </c>
      <c r="P62" s="59" t="str">
        <f aca="false">IF(L62="","",IF(AND(M62&gt;=$F$7,L62&gt;=$F$8),"✔ BUY / COMPRAR","✖ PASS / NO COMPRAR"))</f>
        <v/>
      </c>
      <c r="Q62" s="53"/>
    </row>
    <row r="63" customFormat="false" ht="15" hidden="false" customHeight="false" outlineLevel="0" collapsed="false">
      <c r="B63" s="53"/>
      <c r="C63" s="53"/>
      <c r="D63" s="53"/>
      <c r="E63" s="55"/>
      <c r="F63" s="55"/>
      <c r="G63" s="55"/>
      <c r="H63" s="56"/>
      <c r="I63" s="57" t="str">
        <f aca="false">IF(G63="","",G63*H63)</f>
        <v/>
      </c>
      <c r="J63" s="55"/>
      <c r="K63" s="55"/>
      <c r="L63" s="57" t="str">
        <f aca="false">IF(OR(B63="",G63=""),"",G63-E63-F63-I63-J63-K63)</f>
        <v/>
      </c>
      <c r="M63" s="58" t="str">
        <f aca="false">IF(L63="","",IF(G63=0,0,L63/G63))</f>
        <v/>
      </c>
      <c r="N63" s="64" t="str">
        <f aca="false">IF(L63="","",IF(E63+F63=0,"∞",L63/(E63+F63)))</f>
        <v/>
      </c>
      <c r="O63" s="57" t="str">
        <f aca="false">IF(L63="","",MAX(0,MIN(G63*(1-H63-$F$7),G63*(1-H63)-$F$8)-J63-K63-F63))</f>
        <v/>
      </c>
      <c r="P63" s="59" t="str">
        <f aca="false">IF(L63="","",IF(AND(M63&gt;=$F$7,L63&gt;=$F$8),"✔ BUY / COMPRAR","✖ PASS / NO COMPRAR"))</f>
        <v/>
      </c>
      <c r="Q63" s="53"/>
    </row>
    <row r="64" customFormat="false" ht="15" hidden="false" customHeight="false" outlineLevel="0" collapsed="false">
      <c r="B64" s="53"/>
      <c r="C64" s="53"/>
      <c r="D64" s="53"/>
      <c r="E64" s="55"/>
      <c r="F64" s="55"/>
      <c r="G64" s="55"/>
      <c r="H64" s="56"/>
      <c r="I64" s="57" t="str">
        <f aca="false">IF(G64="","",G64*H64)</f>
        <v/>
      </c>
      <c r="J64" s="55"/>
      <c r="K64" s="55"/>
      <c r="L64" s="57" t="str">
        <f aca="false">IF(OR(B64="",G64=""),"",G64-E64-F64-I64-J64-K64)</f>
        <v/>
      </c>
      <c r="M64" s="58" t="str">
        <f aca="false">IF(L64="","",IF(G64=0,0,L64/G64))</f>
        <v/>
      </c>
      <c r="N64" s="64" t="str">
        <f aca="false">IF(L64="","",IF(E64+F64=0,"∞",L64/(E64+F64)))</f>
        <v/>
      </c>
      <c r="O64" s="57" t="str">
        <f aca="false">IF(L64="","",MAX(0,MIN(G64*(1-H64-$F$7),G64*(1-H64)-$F$8)-J64-K64-F64))</f>
        <v/>
      </c>
      <c r="P64" s="59" t="str">
        <f aca="false">IF(L64="","",IF(AND(M64&gt;=$F$7,L64&gt;=$F$8),"✔ BUY / COMPRAR","✖ PASS / NO COMPRAR"))</f>
        <v/>
      </c>
      <c r="Q64" s="53"/>
    </row>
    <row r="65" customFormat="false" ht="15" hidden="false" customHeight="false" outlineLevel="0" collapsed="false">
      <c r="B65" s="53"/>
      <c r="C65" s="53"/>
      <c r="D65" s="53"/>
      <c r="E65" s="55"/>
      <c r="F65" s="55"/>
      <c r="G65" s="55"/>
      <c r="H65" s="56"/>
      <c r="I65" s="57" t="str">
        <f aca="false">IF(G65="","",G65*H65)</f>
        <v/>
      </c>
      <c r="J65" s="55"/>
      <c r="K65" s="55"/>
      <c r="L65" s="57" t="str">
        <f aca="false">IF(OR(B65="",G65=""),"",G65-E65-F65-I65-J65-K65)</f>
        <v/>
      </c>
      <c r="M65" s="58" t="str">
        <f aca="false">IF(L65="","",IF(G65=0,0,L65/G65))</f>
        <v/>
      </c>
      <c r="N65" s="64" t="str">
        <f aca="false">IF(L65="","",IF(E65+F65=0,"∞",L65/(E65+F65)))</f>
        <v/>
      </c>
      <c r="O65" s="57" t="str">
        <f aca="false">IF(L65="","",MAX(0,MIN(G65*(1-H65-$F$7),G65*(1-H65)-$F$8)-J65-K65-F65))</f>
        <v/>
      </c>
      <c r="P65" s="59" t="str">
        <f aca="false">IF(L65="","",IF(AND(M65&gt;=$F$7,L65&gt;=$F$8),"✔ BUY / COMPRAR","✖ PASS / NO COMPRAR"))</f>
        <v/>
      </c>
      <c r="Q65" s="53"/>
    </row>
    <row r="66" customFormat="false" ht="15" hidden="false" customHeight="false" outlineLevel="0" collapsed="false">
      <c r="B66" s="53"/>
      <c r="C66" s="53"/>
      <c r="D66" s="53"/>
      <c r="E66" s="55"/>
      <c r="F66" s="55"/>
      <c r="G66" s="55"/>
      <c r="H66" s="56"/>
      <c r="I66" s="57" t="str">
        <f aca="false">IF(G66="","",G66*H66)</f>
        <v/>
      </c>
      <c r="J66" s="55"/>
      <c r="K66" s="55"/>
      <c r="L66" s="57" t="str">
        <f aca="false">IF(OR(B66="",G66=""),"",G66-E66-F66-I66-J66-K66)</f>
        <v/>
      </c>
      <c r="M66" s="58" t="str">
        <f aca="false">IF(L66="","",IF(G66=0,0,L66/G66))</f>
        <v/>
      </c>
      <c r="N66" s="64" t="str">
        <f aca="false">IF(L66="","",IF(E66+F66=0,"∞",L66/(E66+F66)))</f>
        <v/>
      </c>
      <c r="O66" s="57" t="str">
        <f aca="false">IF(L66="","",MAX(0,MIN(G66*(1-H66-$F$7),G66*(1-H66)-$F$8)-J66-K66-F66))</f>
        <v/>
      </c>
      <c r="P66" s="59" t="str">
        <f aca="false">IF(L66="","",IF(AND(M66&gt;=$F$7,L66&gt;=$F$8),"✔ BUY / COMPRAR","✖ PASS / NO COMPRAR"))</f>
        <v/>
      </c>
      <c r="Q66" s="53"/>
    </row>
    <row r="67" customFormat="false" ht="15" hidden="false" customHeight="false" outlineLevel="0" collapsed="false">
      <c r="B67" s="53"/>
      <c r="C67" s="53"/>
      <c r="D67" s="53"/>
      <c r="E67" s="55"/>
      <c r="F67" s="55"/>
      <c r="G67" s="55"/>
      <c r="H67" s="56"/>
      <c r="I67" s="57" t="str">
        <f aca="false">IF(G67="","",G67*H67)</f>
        <v/>
      </c>
      <c r="J67" s="55"/>
      <c r="K67" s="55"/>
      <c r="L67" s="57" t="str">
        <f aca="false">IF(OR(B67="",G67=""),"",G67-E67-F67-I67-J67-K67)</f>
        <v/>
      </c>
      <c r="M67" s="58" t="str">
        <f aca="false">IF(L67="","",IF(G67=0,0,L67/G67))</f>
        <v/>
      </c>
      <c r="N67" s="64" t="str">
        <f aca="false">IF(L67="","",IF(E67+F67=0,"∞",L67/(E67+F67)))</f>
        <v/>
      </c>
      <c r="O67" s="57" t="str">
        <f aca="false">IF(L67="","",MAX(0,MIN(G67*(1-H67-$F$7),G67*(1-H67)-$F$8)-J67-K67-F67))</f>
        <v/>
      </c>
      <c r="P67" s="59" t="str">
        <f aca="false">IF(L67="","",IF(AND(M67&gt;=$F$7,L67&gt;=$F$8),"✔ BUY / COMPRAR","✖ PASS / NO COMPRAR"))</f>
        <v/>
      </c>
      <c r="Q67" s="53"/>
    </row>
    <row r="68" customFormat="false" ht="15" hidden="false" customHeight="false" outlineLevel="0" collapsed="false">
      <c r="B68" s="53"/>
      <c r="C68" s="53"/>
      <c r="D68" s="53"/>
      <c r="E68" s="55"/>
      <c r="F68" s="55"/>
      <c r="G68" s="55"/>
      <c r="H68" s="56"/>
      <c r="I68" s="57" t="str">
        <f aca="false">IF(G68="","",G68*H68)</f>
        <v/>
      </c>
      <c r="J68" s="55"/>
      <c r="K68" s="55"/>
      <c r="L68" s="57" t="str">
        <f aca="false">IF(OR(B68="",G68=""),"",G68-E68-F68-I68-J68-K68)</f>
        <v/>
      </c>
      <c r="M68" s="58" t="str">
        <f aca="false">IF(L68="","",IF(G68=0,0,L68/G68))</f>
        <v/>
      </c>
      <c r="N68" s="64" t="str">
        <f aca="false">IF(L68="","",IF(E68+F68=0,"∞",L68/(E68+F68)))</f>
        <v/>
      </c>
      <c r="O68" s="57" t="str">
        <f aca="false">IF(L68="","",MAX(0,MIN(G68*(1-H68-$F$7),G68*(1-H68)-$F$8)-J68-K68-F68))</f>
        <v/>
      </c>
      <c r="P68" s="59" t="str">
        <f aca="false">IF(L68="","",IF(AND(M68&gt;=$F$7,L68&gt;=$F$8),"✔ BUY / COMPRAR","✖ PASS / NO COMPRAR"))</f>
        <v/>
      </c>
      <c r="Q68" s="53"/>
    </row>
    <row r="69" customFormat="false" ht="15" hidden="false" customHeight="false" outlineLevel="0" collapsed="false">
      <c r="B69" s="53"/>
      <c r="C69" s="53"/>
      <c r="D69" s="53"/>
      <c r="E69" s="55"/>
      <c r="F69" s="55"/>
      <c r="G69" s="55"/>
      <c r="H69" s="56"/>
      <c r="I69" s="57" t="str">
        <f aca="false">IF(G69="","",G69*H69)</f>
        <v/>
      </c>
      <c r="J69" s="55"/>
      <c r="K69" s="55"/>
      <c r="L69" s="57" t="str">
        <f aca="false">IF(OR(B69="",G69=""),"",G69-E69-F69-I69-J69-K69)</f>
        <v/>
      </c>
      <c r="M69" s="58" t="str">
        <f aca="false">IF(L69="","",IF(G69=0,0,L69/G69))</f>
        <v/>
      </c>
      <c r="N69" s="64" t="str">
        <f aca="false">IF(L69="","",IF(E69+F69=0,"∞",L69/(E69+F69)))</f>
        <v/>
      </c>
      <c r="O69" s="57" t="str">
        <f aca="false">IF(L69="","",MAX(0,MIN(G69*(1-H69-$F$7),G69*(1-H69)-$F$8)-J69-K69-F69))</f>
        <v/>
      </c>
      <c r="P69" s="59" t="str">
        <f aca="false">IF(L69="","",IF(AND(M69&gt;=$F$7,L69&gt;=$F$8),"✔ BUY / COMPRAR","✖ PASS / NO COMPRAR"))</f>
        <v/>
      </c>
      <c r="Q69" s="53"/>
    </row>
    <row r="70" customFormat="false" ht="15" hidden="false" customHeight="false" outlineLevel="0" collapsed="false">
      <c r="B70" s="53"/>
      <c r="C70" s="53"/>
      <c r="D70" s="53"/>
      <c r="E70" s="55"/>
      <c r="F70" s="55"/>
      <c r="G70" s="55"/>
      <c r="H70" s="56"/>
      <c r="I70" s="57" t="str">
        <f aca="false">IF(G70="","",G70*H70)</f>
        <v/>
      </c>
      <c r="J70" s="55"/>
      <c r="K70" s="55"/>
      <c r="L70" s="57" t="str">
        <f aca="false">IF(OR(B70="",G70=""),"",G70-E70-F70-I70-J70-K70)</f>
        <v/>
      </c>
      <c r="M70" s="58" t="str">
        <f aca="false">IF(L70="","",IF(G70=0,0,L70/G70))</f>
        <v/>
      </c>
      <c r="N70" s="64" t="str">
        <f aca="false">IF(L70="","",IF(E70+F70=0,"∞",L70/(E70+F70)))</f>
        <v/>
      </c>
      <c r="O70" s="57" t="str">
        <f aca="false">IF(L70="","",MAX(0,MIN(G70*(1-H70-$F$7),G70*(1-H70)-$F$8)-J70-K70-F70))</f>
        <v/>
      </c>
      <c r="P70" s="59" t="str">
        <f aca="false">IF(L70="","",IF(AND(M70&gt;=$F$7,L70&gt;=$F$8),"✔ BUY / COMPRAR","✖ PASS / NO COMPRAR"))</f>
        <v/>
      </c>
      <c r="Q70" s="53"/>
    </row>
    <row r="71" customFormat="false" ht="15" hidden="false" customHeight="false" outlineLevel="0" collapsed="false">
      <c r="B71" s="53"/>
      <c r="C71" s="53"/>
      <c r="D71" s="53"/>
      <c r="E71" s="55"/>
      <c r="F71" s="55"/>
      <c r="G71" s="55"/>
      <c r="H71" s="56"/>
      <c r="I71" s="57" t="str">
        <f aca="false">IF(G71="","",G71*H71)</f>
        <v/>
      </c>
      <c r="J71" s="55"/>
      <c r="K71" s="55"/>
      <c r="L71" s="57" t="str">
        <f aca="false">IF(OR(B71="",G71=""),"",G71-E71-F71-I71-J71-K71)</f>
        <v/>
      </c>
      <c r="M71" s="58" t="str">
        <f aca="false">IF(L71="","",IF(G71=0,0,L71/G71))</f>
        <v/>
      </c>
      <c r="N71" s="64" t="str">
        <f aca="false">IF(L71="","",IF(E71+F71=0,"∞",L71/(E71+F71)))</f>
        <v/>
      </c>
      <c r="O71" s="57" t="str">
        <f aca="false">IF(L71="","",MAX(0,MIN(G71*(1-H71-$F$7),G71*(1-H71)-$F$8)-J71-K71-F71))</f>
        <v/>
      </c>
      <c r="P71" s="59" t="str">
        <f aca="false">IF(L71="","",IF(AND(M71&gt;=$F$7,L71&gt;=$F$8),"✔ BUY / COMPRAR","✖ PASS / NO COMPRAR"))</f>
        <v/>
      </c>
      <c r="Q71" s="53"/>
    </row>
    <row r="72" customFormat="false" ht="15" hidden="false" customHeight="false" outlineLevel="0" collapsed="false">
      <c r="B72" s="53"/>
      <c r="C72" s="53"/>
      <c r="D72" s="53"/>
      <c r="E72" s="55"/>
      <c r="F72" s="55"/>
      <c r="G72" s="55"/>
      <c r="H72" s="56"/>
      <c r="I72" s="57" t="str">
        <f aca="false">IF(G72="","",G72*H72)</f>
        <v/>
      </c>
      <c r="J72" s="55"/>
      <c r="K72" s="55"/>
      <c r="L72" s="57" t="str">
        <f aca="false">IF(OR(B72="",G72=""),"",G72-E72-F72-I72-J72-K72)</f>
        <v/>
      </c>
      <c r="M72" s="58" t="str">
        <f aca="false">IF(L72="","",IF(G72=0,0,L72/G72))</f>
        <v/>
      </c>
      <c r="N72" s="64" t="str">
        <f aca="false">IF(L72="","",IF(E72+F72=0,"∞",L72/(E72+F72)))</f>
        <v/>
      </c>
      <c r="O72" s="57" t="str">
        <f aca="false">IF(L72="","",MAX(0,MIN(G72*(1-H72-$F$7),G72*(1-H72)-$F$8)-J72-K72-F72))</f>
        <v/>
      </c>
      <c r="P72" s="59" t="str">
        <f aca="false">IF(L72="","",IF(AND(M72&gt;=$F$7,L72&gt;=$F$8),"✔ BUY / COMPRAR","✖ PASS / NO COMPRAR"))</f>
        <v/>
      </c>
      <c r="Q72" s="53"/>
    </row>
    <row r="73" customFormat="false" ht="15" hidden="false" customHeight="false" outlineLevel="0" collapsed="false">
      <c r="B73" s="53"/>
      <c r="C73" s="53"/>
      <c r="D73" s="53"/>
      <c r="E73" s="55"/>
      <c r="F73" s="55"/>
      <c r="G73" s="55"/>
      <c r="H73" s="56"/>
      <c r="I73" s="57" t="str">
        <f aca="false">IF(G73="","",G73*H73)</f>
        <v/>
      </c>
      <c r="J73" s="55"/>
      <c r="K73" s="55"/>
      <c r="L73" s="57" t="str">
        <f aca="false">IF(OR(B73="",G73=""),"",G73-E73-F73-I73-J73-K73)</f>
        <v/>
      </c>
      <c r="M73" s="58" t="str">
        <f aca="false">IF(L73="","",IF(G73=0,0,L73/G73))</f>
        <v/>
      </c>
      <c r="N73" s="64" t="str">
        <f aca="false">IF(L73="","",IF(E73+F73=0,"∞",L73/(E73+F73)))</f>
        <v/>
      </c>
      <c r="O73" s="57" t="str">
        <f aca="false">IF(L73="","",MAX(0,MIN(G73*(1-H73-$F$7),G73*(1-H73)-$F$8)-J73-K73-F73))</f>
        <v/>
      </c>
      <c r="P73" s="59" t="str">
        <f aca="false">IF(L73="","",IF(AND(M73&gt;=$F$7,L73&gt;=$F$8),"✔ BUY / COMPRAR","✖ PASS / NO COMPRAR"))</f>
        <v/>
      </c>
      <c r="Q73" s="53"/>
    </row>
    <row r="74" customFormat="false" ht="15" hidden="false" customHeight="false" outlineLevel="0" collapsed="false">
      <c r="B74" s="53"/>
      <c r="C74" s="53"/>
      <c r="D74" s="53"/>
      <c r="E74" s="55"/>
      <c r="F74" s="55"/>
      <c r="G74" s="55"/>
      <c r="H74" s="56"/>
      <c r="I74" s="57" t="str">
        <f aca="false">IF(G74="","",G74*H74)</f>
        <v/>
      </c>
      <c r="J74" s="55"/>
      <c r="K74" s="55"/>
      <c r="L74" s="57" t="str">
        <f aca="false">IF(OR(B74="",G74=""),"",G74-E74-F74-I74-J74-K74)</f>
        <v/>
      </c>
      <c r="M74" s="58" t="str">
        <f aca="false">IF(L74="","",IF(G74=0,0,L74/G74))</f>
        <v/>
      </c>
      <c r="N74" s="64" t="str">
        <f aca="false">IF(L74="","",IF(E74+F74=0,"∞",L74/(E74+F74)))</f>
        <v/>
      </c>
      <c r="O74" s="57" t="str">
        <f aca="false">IF(L74="","",MAX(0,MIN(G74*(1-H74-$F$7),G74*(1-H74)-$F$8)-J74-K74-F74))</f>
        <v/>
      </c>
      <c r="P74" s="59" t="str">
        <f aca="false">IF(L74="","",IF(AND(M74&gt;=$F$7,L74&gt;=$F$8),"✔ BUY / COMPRAR","✖ PASS / NO COMPRAR"))</f>
        <v/>
      </c>
      <c r="Q74" s="53"/>
    </row>
    <row r="75" customFormat="false" ht="15" hidden="false" customHeight="false" outlineLevel="0" collapsed="false">
      <c r="B75" s="53"/>
      <c r="C75" s="53"/>
      <c r="D75" s="53"/>
      <c r="E75" s="55"/>
      <c r="F75" s="55"/>
      <c r="G75" s="55"/>
      <c r="H75" s="56"/>
      <c r="I75" s="57" t="str">
        <f aca="false">IF(G75="","",G75*H75)</f>
        <v/>
      </c>
      <c r="J75" s="55"/>
      <c r="K75" s="55"/>
      <c r="L75" s="57" t="str">
        <f aca="false">IF(OR(B75="",G75=""),"",G75-E75-F75-I75-J75-K75)</f>
        <v/>
      </c>
      <c r="M75" s="58" t="str">
        <f aca="false">IF(L75="","",IF(G75=0,0,L75/G75))</f>
        <v/>
      </c>
      <c r="N75" s="64" t="str">
        <f aca="false">IF(L75="","",IF(E75+F75=0,"∞",L75/(E75+F75)))</f>
        <v/>
      </c>
      <c r="O75" s="57" t="str">
        <f aca="false">IF(L75="","",MAX(0,MIN(G75*(1-H75-$F$7),G75*(1-H75)-$F$8)-J75-K75-F75))</f>
        <v/>
      </c>
      <c r="P75" s="59" t="str">
        <f aca="false">IF(L75="","",IF(AND(M75&gt;=$F$7,L75&gt;=$F$8),"✔ BUY / COMPRAR","✖ PASS / NO COMPRAR"))</f>
        <v/>
      </c>
      <c r="Q75" s="53"/>
    </row>
    <row r="76" customFormat="false" ht="15" hidden="false" customHeight="false" outlineLevel="0" collapsed="false">
      <c r="B76" s="53"/>
      <c r="C76" s="53"/>
      <c r="D76" s="53"/>
      <c r="E76" s="55"/>
      <c r="F76" s="55"/>
      <c r="G76" s="55"/>
      <c r="H76" s="56"/>
      <c r="I76" s="57" t="str">
        <f aca="false">IF(G76="","",G76*H76)</f>
        <v/>
      </c>
      <c r="J76" s="55"/>
      <c r="K76" s="55"/>
      <c r="L76" s="57" t="str">
        <f aca="false">IF(OR(B76="",G76=""),"",G76-E76-F76-I76-J76-K76)</f>
        <v/>
      </c>
      <c r="M76" s="58" t="str">
        <f aca="false">IF(L76="","",IF(G76=0,0,L76/G76))</f>
        <v/>
      </c>
      <c r="N76" s="64" t="str">
        <f aca="false">IF(L76="","",IF(E76+F76=0,"∞",L76/(E76+F76)))</f>
        <v/>
      </c>
      <c r="O76" s="57" t="str">
        <f aca="false">IF(L76="","",MAX(0,MIN(G76*(1-H76-$F$7),G76*(1-H76)-$F$8)-J76-K76-F76))</f>
        <v/>
      </c>
      <c r="P76" s="59" t="str">
        <f aca="false">IF(L76="","",IF(AND(M76&gt;=$F$7,L76&gt;=$F$8),"✔ BUY / COMPRAR","✖ PASS / NO COMPRAR"))</f>
        <v/>
      </c>
      <c r="Q76" s="53"/>
    </row>
    <row r="77" customFormat="false" ht="15" hidden="false" customHeight="false" outlineLevel="0" collapsed="false">
      <c r="B77" s="53"/>
      <c r="C77" s="53"/>
      <c r="D77" s="53"/>
      <c r="E77" s="55"/>
      <c r="F77" s="55"/>
      <c r="G77" s="55"/>
      <c r="H77" s="56"/>
      <c r="I77" s="57" t="str">
        <f aca="false">IF(G77="","",G77*H77)</f>
        <v/>
      </c>
      <c r="J77" s="55"/>
      <c r="K77" s="55"/>
      <c r="L77" s="57" t="str">
        <f aca="false">IF(OR(B77="",G77=""),"",G77-E77-F77-I77-J77-K77)</f>
        <v/>
      </c>
      <c r="M77" s="58" t="str">
        <f aca="false">IF(L77="","",IF(G77=0,0,L77/G77))</f>
        <v/>
      </c>
      <c r="N77" s="64" t="str">
        <f aca="false">IF(L77="","",IF(E77+F77=0,"∞",L77/(E77+F77)))</f>
        <v/>
      </c>
      <c r="O77" s="57" t="str">
        <f aca="false">IF(L77="","",MAX(0,MIN(G77*(1-H77-$F$7),G77*(1-H77)-$F$8)-J77-K77-F77))</f>
        <v/>
      </c>
      <c r="P77" s="59" t="str">
        <f aca="false">IF(L77="","",IF(AND(M77&gt;=$F$7,L77&gt;=$F$8),"✔ BUY / COMPRAR","✖ PASS / NO COMPRAR"))</f>
        <v/>
      </c>
      <c r="Q77" s="53"/>
    </row>
    <row r="78" customFormat="false" ht="15" hidden="false" customHeight="false" outlineLevel="0" collapsed="false">
      <c r="B78" s="53"/>
      <c r="C78" s="53"/>
      <c r="D78" s="53"/>
      <c r="E78" s="55"/>
      <c r="F78" s="55"/>
      <c r="G78" s="55"/>
      <c r="H78" s="56"/>
      <c r="I78" s="57" t="str">
        <f aca="false">IF(G78="","",G78*H78)</f>
        <v/>
      </c>
      <c r="J78" s="55"/>
      <c r="K78" s="55"/>
      <c r="L78" s="57" t="str">
        <f aca="false">IF(OR(B78="",G78=""),"",G78-E78-F78-I78-J78-K78)</f>
        <v/>
      </c>
      <c r="M78" s="58" t="str">
        <f aca="false">IF(L78="","",IF(G78=0,0,L78/G78))</f>
        <v/>
      </c>
      <c r="N78" s="64" t="str">
        <f aca="false">IF(L78="","",IF(E78+F78=0,"∞",L78/(E78+F78)))</f>
        <v/>
      </c>
      <c r="O78" s="57" t="str">
        <f aca="false">IF(L78="","",MAX(0,MIN(G78*(1-H78-$F$7),G78*(1-H78)-$F$8)-J78-K78-F78))</f>
        <v/>
      </c>
      <c r="P78" s="59" t="str">
        <f aca="false">IF(L78="","",IF(AND(M78&gt;=$F$7,L78&gt;=$F$8),"✔ BUY / COMPRAR","✖ PASS / NO COMPRAR"))</f>
        <v/>
      </c>
      <c r="Q78" s="53"/>
    </row>
    <row r="79" customFormat="false" ht="15" hidden="false" customHeight="false" outlineLevel="0" collapsed="false">
      <c r="B79" s="53"/>
      <c r="C79" s="53"/>
      <c r="D79" s="53"/>
      <c r="E79" s="55"/>
      <c r="F79" s="55"/>
      <c r="G79" s="55"/>
      <c r="H79" s="56"/>
      <c r="I79" s="57" t="str">
        <f aca="false">IF(G79="","",G79*H79)</f>
        <v/>
      </c>
      <c r="J79" s="55"/>
      <c r="K79" s="55"/>
      <c r="L79" s="57" t="str">
        <f aca="false">IF(OR(B79="",G79=""),"",G79-E79-F79-I79-J79-K79)</f>
        <v/>
      </c>
      <c r="M79" s="58" t="str">
        <f aca="false">IF(L79="","",IF(G79=0,0,L79/G79))</f>
        <v/>
      </c>
      <c r="N79" s="64" t="str">
        <f aca="false">IF(L79="","",IF(E79+F79=0,"∞",L79/(E79+F79)))</f>
        <v/>
      </c>
      <c r="O79" s="57" t="str">
        <f aca="false">IF(L79="","",MAX(0,MIN(G79*(1-H79-$F$7),G79*(1-H79)-$F$8)-J79-K79-F79))</f>
        <v/>
      </c>
      <c r="P79" s="59" t="str">
        <f aca="false">IF(L79="","",IF(AND(M79&gt;=$F$7,L79&gt;=$F$8),"✔ BUY / COMPRAR","✖ PASS / NO COMPRAR"))</f>
        <v/>
      </c>
      <c r="Q79" s="53"/>
    </row>
    <row r="80" customFormat="false" ht="15" hidden="false" customHeight="false" outlineLevel="0" collapsed="false">
      <c r="B80" s="53"/>
      <c r="C80" s="53"/>
      <c r="D80" s="53"/>
      <c r="E80" s="55"/>
      <c r="F80" s="55"/>
      <c r="G80" s="55"/>
      <c r="H80" s="56"/>
      <c r="I80" s="57" t="str">
        <f aca="false">IF(G80="","",G80*H80)</f>
        <v/>
      </c>
      <c r="J80" s="55"/>
      <c r="K80" s="55"/>
      <c r="L80" s="57" t="str">
        <f aca="false">IF(OR(B80="",G80=""),"",G80-E80-F80-I80-J80-K80)</f>
        <v/>
      </c>
      <c r="M80" s="58" t="str">
        <f aca="false">IF(L80="","",IF(G80=0,0,L80/G80))</f>
        <v/>
      </c>
      <c r="N80" s="64" t="str">
        <f aca="false">IF(L80="","",IF(E80+F80=0,"∞",L80/(E80+F80)))</f>
        <v/>
      </c>
      <c r="O80" s="57" t="str">
        <f aca="false">IF(L80="","",MAX(0,MIN(G80*(1-H80-$F$7),G80*(1-H80)-$F$8)-J80-K80-F80))</f>
        <v/>
      </c>
      <c r="P80" s="59" t="str">
        <f aca="false">IF(L80="","",IF(AND(M80&gt;=$F$7,L80&gt;=$F$8),"✔ BUY / COMPRAR","✖ PASS / NO COMPRAR"))</f>
        <v/>
      </c>
      <c r="Q80" s="53"/>
    </row>
    <row r="81" customFormat="false" ht="15" hidden="false" customHeight="false" outlineLevel="0" collapsed="false">
      <c r="B81" s="53"/>
      <c r="C81" s="53"/>
      <c r="D81" s="53"/>
      <c r="E81" s="55"/>
      <c r="F81" s="55"/>
      <c r="G81" s="55"/>
      <c r="H81" s="56"/>
      <c r="I81" s="57" t="str">
        <f aca="false">IF(G81="","",G81*H81)</f>
        <v/>
      </c>
      <c r="J81" s="55"/>
      <c r="K81" s="55"/>
      <c r="L81" s="57" t="str">
        <f aca="false">IF(OR(B81="",G81=""),"",G81-E81-F81-I81-J81-K81)</f>
        <v/>
      </c>
      <c r="M81" s="58" t="str">
        <f aca="false">IF(L81="","",IF(G81=0,0,L81/G81))</f>
        <v/>
      </c>
      <c r="N81" s="64" t="str">
        <f aca="false">IF(L81="","",IF(E81+F81=0,"∞",L81/(E81+F81)))</f>
        <v/>
      </c>
      <c r="O81" s="57" t="str">
        <f aca="false">IF(L81="","",MAX(0,MIN(G81*(1-H81-$F$7),G81*(1-H81)-$F$8)-J81-K81-F81))</f>
        <v/>
      </c>
      <c r="P81" s="59" t="str">
        <f aca="false">IF(L81="","",IF(AND(M81&gt;=$F$7,L81&gt;=$F$8),"✔ BUY / COMPRAR","✖ PASS / NO COMPRAR"))</f>
        <v/>
      </c>
      <c r="Q81" s="53"/>
    </row>
    <row r="82" customFormat="false" ht="15" hidden="false" customHeight="false" outlineLevel="0" collapsed="false">
      <c r="B82" s="53"/>
      <c r="C82" s="53"/>
      <c r="D82" s="53"/>
      <c r="E82" s="55"/>
      <c r="F82" s="55"/>
      <c r="G82" s="55"/>
      <c r="H82" s="56"/>
      <c r="I82" s="57" t="str">
        <f aca="false">IF(G82="","",G82*H82)</f>
        <v/>
      </c>
      <c r="J82" s="55"/>
      <c r="K82" s="55"/>
      <c r="L82" s="57" t="str">
        <f aca="false">IF(OR(B82="",G82=""),"",G82-E82-F82-I82-J82-K82)</f>
        <v/>
      </c>
      <c r="M82" s="58" t="str">
        <f aca="false">IF(L82="","",IF(G82=0,0,L82/G82))</f>
        <v/>
      </c>
      <c r="N82" s="64" t="str">
        <f aca="false">IF(L82="","",IF(E82+F82=0,"∞",L82/(E82+F82)))</f>
        <v/>
      </c>
      <c r="O82" s="57" t="str">
        <f aca="false">IF(L82="","",MAX(0,MIN(G82*(1-H82-$F$7),G82*(1-H82)-$F$8)-J82-K82-F82))</f>
        <v/>
      </c>
      <c r="P82" s="59" t="str">
        <f aca="false">IF(L82="","",IF(AND(M82&gt;=$F$7,L82&gt;=$F$8),"✔ BUY / COMPRAR","✖ PASS / NO COMPRAR"))</f>
        <v/>
      </c>
      <c r="Q82" s="53"/>
    </row>
    <row r="83" customFormat="false" ht="15" hidden="false" customHeight="false" outlineLevel="0" collapsed="false">
      <c r="B83" s="53"/>
      <c r="C83" s="53"/>
      <c r="D83" s="53"/>
      <c r="E83" s="55"/>
      <c r="F83" s="55"/>
      <c r="G83" s="55"/>
      <c r="H83" s="56"/>
      <c r="I83" s="57" t="str">
        <f aca="false">IF(G83="","",G83*H83)</f>
        <v/>
      </c>
      <c r="J83" s="55"/>
      <c r="K83" s="55"/>
      <c r="L83" s="57" t="str">
        <f aca="false">IF(OR(B83="",G83=""),"",G83-E83-F83-I83-J83-K83)</f>
        <v/>
      </c>
      <c r="M83" s="58" t="str">
        <f aca="false">IF(L83="","",IF(G83=0,0,L83/G83))</f>
        <v/>
      </c>
      <c r="N83" s="64" t="str">
        <f aca="false">IF(L83="","",IF(E83+F83=0,"∞",L83/(E83+F83)))</f>
        <v/>
      </c>
      <c r="O83" s="57" t="str">
        <f aca="false">IF(L83="","",MAX(0,MIN(G83*(1-H83-$F$7),G83*(1-H83)-$F$8)-J83-K83-F83))</f>
        <v/>
      </c>
      <c r="P83" s="59" t="str">
        <f aca="false">IF(L83="","",IF(AND(M83&gt;=$F$7,L83&gt;=$F$8),"✔ BUY / COMPRAR","✖ PASS / NO COMPRAR"))</f>
        <v/>
      </c>
      <c r="Q83" s="53"/>
    </row>
    <row r="84" customFormat="false" ht="15" hidden="false" customHeight="false" outlineLevel="0" collapsed="false">
      <c r="B84" s="53"/>
      <c r="C84" s="53"/>
      <c r="D84" s="53"/>
      <c r="E84" s="55"/>
      <c r="F84" s="55"/>
      <c r="G84" s="55"/>
      <c r="H84" s="56"/>
      <c r="I84" s="57" t="str">
        <f aca="false">IF(G84="","",G84*H84)</f>
        <v/>
      </c>
      <c r="J84" s="55"/>
      <c r="K84" s="55"/>
      <c r="L84" s="57" t="str">
        <f aca="false">IF(OR(B84="",G84=""),"",G84-E84-F84-I84-J84-K84)</f>
        <v/>
      </c>
      <c r="M84" s="58" t="str">
        <f aca="false">IF(L84="","",IF(G84=0,0,L84/G84))</f>
        <v/>
      </c>
      <c r="N84" s="64" t="str">
        <f aca="false">IF(L84="","",IF(E84+F84=0,"∞",L84/(E84+F84)))</f>
        <v/>
      </c>
      <c r="O84" s="57" t="str">
        <f aca="false">IF(L84="","",MAX(0,MIN(G84*(1-H84-$F$7),G84*(1-H84)-$F$8)-J84-K84-F84))</f>
        <v/>
      </c>
      <c r="P84" s="59" t="str">
        <f aca="false">IF(L84="","",IF(AND(M84&gt;=$F$7,L84&gt;=$F$8),"✔ BUY / COMPRAR","✖ PASS / NO COMPRAR"))</f>
        <v/>
      </c>
      <c r="Q84" s="53"/>
    </row>
    <row r="85" customFormat="false" ht="15" hidden="false" customHeight="false" outlineLevel="0" collapsed="false">
      <c r="B85" s="53"/>
      <c r="C85" s="53"/>
      <c r="D85" s="53"/>
      <c r="E85" s="55"/>
      <c r="F85" s="55"/>
      <c r="G85" s="55"/>
      <c r="H85" s="56"/>
      <c r="I85" s="57" t="str">
        <f aca="false">IF(G85="","",G85*H85)</f>
        <v/>
      </c>
      <c r="J85" s="55"/>
      <c r="K85" s="55"/>
      <c r="L85" s="57" t="str">
        <f aca="false">IF(OR(B85="",G85=""),"",G85-E85-F85-I85-J85-K85)</f>
        <v/>
      </c>
      <c r="M85" s="58" t="str">
        <f aca="false">IF(L85="","",IF(G85=0,0,L85/G85))</f>
        <v/>
      </c>
      <c r="N85" s="64" t="str">
        <f aca="false">IF(L85="","",IF(E85+F85=0,"∞",L85/(E85+F85)))</f>
        <v/>
      </c>
      <c r="O85" s="57" t="str">
        <f aca="false">IF(L85="","",MAX(0,MIN(G85*(1-H85-$F$7),G85*(1-H85)-$F$8)-J85-K85-F85))</f>
        <v/>
      </c>
      <c r="P85" s="59" t="str">
        <f aca="false">IF(L85="","",IF(AND(M85&gt;=$F$7,L85&gt;=$F$8),"✔ BUY / COMPRAR","✖ PASS / NO COMPRAR"))</f>
        <v/>
      </c>
      <c r="Q85" s="53"/>
    </row>
    <row r="86" customFormat="false" ht="15" hidden="false" customHeight="false" outlineLevel="0" collapsed="false">
      <c r="B86" s="53"/>
      <c r="C86" s="53"/>
      <c r="D86" s="53"/>
      <c r="E86" s="55"/>
      <c r="F86" s="55"/>
      <c r="G86" s="55"/>
      <c r="H86" s="56"/>
      <c r="I86" s="57" t="str">
        <f aca="false">IF(G86="","",G86*H86)</f>
        <v/>
      </c>
      <c r="J86" s="55"/>
      <c r="K86" s="55"/>
      <c r="L86" s="57" t="str">
        <f aca="false">IF(OR(B86="",G86=""),"",G86-E86-F86-I86-J86-K86)</f>
        <v/>
      </c>
      <c r="M86" s="58" t="str">
        <f aca="false">IF(L86="","",IF(G86=0,0,L86/G86))</f>
        <v/>
      </c>
      <c r="N86" s="64" t="str">
        <f aca="false">IF(L86="","",IF(E86+F86=0,"∞",L86/(E86+F86)))</f>
        <v/>
      </c>
      <c r="O86" s="57" t="str">
        <f aca="false">IF(L86="","",MAX(0,MIN(G86*(1-H86-$F$7),G86*(1-H86)-$F$8)-J86-K86-F86))</f>
        <v/>
      </c>
      <c r="P86" s="59" t="str">
        <f aca="false">IF(L86="","",IF(AND(M86&gt;=$F$7,L86&gt;=$F$8),"✔ BUY / COMPRAR","✖ PASS / NO COMPRAR"))</f>
        <v/>
      </c>
      <c r="Q86" s="53"/>
    </row>
    <row r="87" customFormat="false" ht="15" hidden="false" customHeight="false" outlineLevel="0" collapsed="false">
      <c r="B87" s="53"/>
      <c r="C87" s="53"/>
      <c r="D87" s="53"/>
      <c r="E87" s="55"/>
      <c r="F87" s="55"/>
      <c r="G87" s="55"/>
      <c r="H87" s="56"/>
      <c r="I87" s="57" t="str">
        <f aca="false">IF(G87="","",G87*H87)</f>
        <v/>
      </c>
      <c r="J87" s="55"/>
      <c r="K87" s="55"/>
      <c r="L87" s="57" t="str">
        <f aca="false">IF(OR(B87="",G87=""),"",G87-E87-F87-I87-J87-K87)</f>
        <v/>
      </c>
      <c r="M87" s="58" t="str">
        <f aca="false">IF(L87="","",IF(G87=0,0,L87/G87))</f>
        <v/>
      </c>
      <c r="N87" s="64" t="str">
        <f aca="false">IF(L87="","",IF(E87+F87=0,"∞",L87/(E87+F87)))</f>
        <v/>
      </c>
      <c r="O87" s="57" t="str">
        <f aca="false">IF(L87="","",MAX(0,MIN(G87*(1-H87-$F$7),G87*(1-H87)-$F$8)-J87-K87-F87))</f>
        <v/>
      </c>
      <c r="P87" s="59" t="str">
        <f aca="false">IF(L87="","",IF(AND(M87&gt;=$F$7,L87&gt;=$F$8),"✔ BUY / COMPRAR","✖ PASS / NO COMPRAR"))</f>
        <v/>
      </c>
      <c r="Q87" s="53"/>
    </row>
    <row r="88" customFormat="false" ht="15" hidden="false" customHeight="false" outlineLevel="0" collapsed="false">
      <c r="B88" s="53"/>
      <c r="C88" s="53"/>
      <c r="D88" s="53"/>
      <c r="E88" s="55"/>
      <c r="F88" s="55"/>
      <c r="G88" s="55"/>
      <c r="H88" s="56"/>
      <c r="I88" s="57" t="str">
        <f aca="false">IF(G88="","",G88*H88)</f>
        <v/>
      </c>
      <c r="J88" s="55"/>
      <c r="K88" s="55"/>
      <c r="L88" s="57" t="str">
        <f aca="false">IF(OR(B88="",G88=""),"",G88-E88-F88-I88-J88-K88)</f>
        <v/>
      </c>
      <c r="M88" s="58" t="str">
        <f aca="false">IF(L88="","",IF(G88=0,0,L88/G88))</f>
        <v/>
      </c>
      <c r="N88" s="64" t="str">
        <f aca="false">IF(L88="","",IF(E88+F88=0,"∞",L88/(E88+F88)))</f>
        <v/>
      </c>
      <c r="O88" s="57" t="str">
        <f aca="false">IF(L88="","",MAX(0,MIN(G88*(1-H88-$F$7),G88*(1-H88)-$F$8)-J88-K88-F88))</f>
        <v/>
      </c>
      <c r="P88" s="59" t="str">
        <f aca="false">IF(L88="","",IF(AND(M88&gt;=$F$7,L88&gt;=$F$8),"✔ BUY / COMPRAR","✖ PASS / NO COMPRAR"))</f>
        <v/>
      </c>
      <c r="Q88" s="53"/>
    </row>
    <row r="89" customFormat="false" ht="15" hidden="false" customHeight="false" outlineLevel="0" collapsed="false">
      <c r="B89" s="53"/>
      <c r="C89" s="53"/>
      <c r="D89" s="53"/>
      <c r="E89" s="55"/>
      <c r="F89" s="55"/>
      <c r="G89" s="55"/>
      <c r="H89" s="56"/>
      <c r="I89" s="57" t="str">
        <f aca="false">IF(G89="","",G89*H89)</f>
        <v/>
      </c>
      <c r="J89" s="55"/>
      <c r="K89" s="55"/>
      <c r="L89" s="57" t="str">
        <f aca="false">IF(OR(B89="",G89=""),"",G89-E89-F89-I89-J89-K89)</f>
        <v/>
      </c>
      <c r="M89" s="58" t="str">
        <f aca="false">IF(L89="","",IF(G89=0,0,L89/G89))</f>
        <v/>
      </c>
      <c r="N89" s="64" t="str">
        <f aca="false">IF(L89="","",IF(E89+F89=0,"∞",L89/(E89+F89)))</f>
        <v/>
      </c>
      <c r="O89" s="57" t="str">
        <f aca="false">IF(L89="","",MAX(0,MIN(G89*(1-H89-$F$7),G89*(1-H89)-$F$8)-J89-K89-F89))</f>
        <v/>
      </c>
      <c r="P89" s="59" t="str">
        <f aca="false">IF(L89="","",IF(AND(M89&gt;=$F$7,L89&gt;=$F$8),"✔ BUY / COMPRAR","✖ PASS / NO COMPRAR"))</f>
        <v/>
      </c>
      <c r="Q89" s="53"/>
    </row>
    <row r="90" customFormat="false" ht="15" hidden="false" customHeight="false" outlineLevel="0" collapsed="false">
      <c r="B90" s="53"/>
      <c r="C90" s="53"/>
      <c r="D90" s="53"/>
      <c r="E90" s="55"/>
      <c r="F90" s="55"/>
      <c r="G90" s="55"/>
      <c r="H90" s="56"/>
      <c r="I90" s="57" t="str">
        <f aca="false">IF(G90="","",G90*H90)</f>
        <v/>
      </c>
      <c r="J90" s="55"/>
      <c r="K90" s="55"/>
      <c r="L90" s="57" t="str">
        <f aca="false">IF(OR(B90="",G90=""),"",G90-E90-F90-I90-J90-K90)</f>
        <v/>
      </c>
      <c r="M90" s="58" t="str">
        <f aca="false">IF(L90="","",IF(G90=0,0,L90/G90))</f>
        <v/>
      </c>
      <c r="N90" s="64" t="str">
        <f aca="false">IF(L90="","",IF(E90+F90=0,"∞",L90/(E90+F90)))</f>
        <v/>
      </c>
      <c r="O90" s="57" t="str">
        <f aca="false">IF(L90="","",MAX(0,MIN(G90*(1-H90-$F$7),G90*(1-H90)-$F$8)-J90-K90-F90))</f>
        <v/>
      </c>
      <c r="P90" s="59" t="str">
        <f aca="false">IF(L90="","",IF(AND(M90&gt;=$F$7,L90&gt;=$F$8),"✔ BUY / COMPRAR","✖ PASS / NO COMPRAR"))</f>
        <v/>
      </c>
      <c r="Q90" s="53"/>
    </row>
    <row r="91" customFormat="false" ht="15" hidden="false" customHeight="false" outlineLevel="0" collapsed="false">
      <c r="B91" s="53"/>
      <c r="C91" s="53"/>
      <c r="D91" s="53"/>
      <c r="E91" s="55"/>
      <c r="F91" s="55"/>
      <c r="G91" s="55"/>
      <c r="H91" s="56"/>
      <c r="I91" s="57" t="str">
        <f aca="false">IF(G91="","",G91*H91)</f>
        <v/>
      </c>
      <c r="J91" s="55"/>
      <c r="K91" s="55"/>
      <c r="L91" s="57" t="str">
        <f aca="false">IF(OR(B91="",G91=""),"",G91-E91-F91-I91-J91-K91)</f>
        <v/>
      </c>
      <c r="M91" s="58" t="str">
        <f aca="false">IF(L91="","",IF(G91=0,0,L91/G91))</f>
        <v/>
      </c>
      <c r="N91" s="64" t="str">
        <f aca="false">IF(L91="","",IF(E91+F91=0,"∞",L91/(E91+F91)))</f>
        <v/>
      </c>
      <c r="O91" s="57" t="str">
        <f aca="false">IF(L91="","",MAX(0,MIN(G91*(1-H91-$F$7),G91*(1-H91)-$F$8)-J91-K91-F91))</f>
        <v/>
      </c>
      <c r="P91" s="59" t="str">
        <f aca="false">IF(L91="","",IF(AND(M91&gt;=$F$7,L91&gt;=$F$8),"✔ BUY / COMPRAR","✖ PASS / NO COMPRAR"))</f>
        <v/>
      </c>
      <c r="Q91" s="53"/>
    </row>
    <row r="92" customFormat="false" ht="15" hidden="false" customHeight="false" outlineLevel="0" collapsed="false">
      <c r="B92" s="53"/>
      <c r="C92" s="53"/>
      <c r="D92" s="53"/>
      <c r="E92" s="55"/>
      <c r="F92" s="55"/>
      <c r="G92" s="55"/>
      <c r="H92" s="56"/>
      <c r="I92" s="57" t="str">
        <f aca="false">IF(G92="","",G92*H92)</f>
        <v/>
      </c>
      <c r="J92" s="55"/>
      <c r="K92" s="55"/>
      <c r="L92" s="57" t="str">
        <f aca="false">IF(OR(B92="",G92=""),"",G92-E92-F92-I92-J92-K92)</f>
        <v/>
      </c>
      <c r="M92" s="58" t="str">
        <f aca="false">IF(L92="","",IF(G92=0,0,L92/G92))</f>
        <v/>
      </c>
      <c r="N92" s="64" t="str">
        <f aca="false">IF(L92="","",IF(E92+F92=0,"∞",L92/(E92+F92)))</f>
        <v/>
      </c>
      <c r="O92" s="57" t="str">
        <f aca="false">IF(L92="","",MAX(0,MIN(G92*(1-H92-$F$7),G92*(1-H92)-$F$8)-J92-K92-F92))</f>
        <v/>
      </c>
      <c r="P92" s="59" t="str">
        <f aca="false">IF(L92="","",IF(AND(M92&gt;=$F$7,L92&gt;=$F$8),"✔ BUY / COMPRAR","✖ PASS / NO COMPRAR"))</f>
        <v/>
      </c>
      <c r="Q92" s="53"/>
    </row>
    <row r="93" customFormat="false" ht="15" hidden="false" customHeight="false" outlineLevel="0" collapsed="false">
      <c r="B93" s="53"/>
      <c r="C93" s="53"/>
      <c r="D93" s="53"/>
      <c r="E93" s="55"/>
      <c r="F93" s="55"/>
      <c r="G93" s="55"/>
      <c r="H93" s="56"/>
      <c r="I93" s="57" t="str">
        <f aca="false">IF(G93="","",G93*H93)</f>
        <v/>
      </c>
      <c r="J93" s="55"/>
      <c r="K93" s="55"/>
      <c r="L93" s="57" t="str">
        <f aca="false">IF(OR(B93="",G93=""),"",G93-E93-F93-I93-J93-K93)</f>
        <v/>
      </c>
      <c r="M93" s="58" t="str">
        <f aca="false">IF(L93="","",IF(G93=0,0,L93/G93))</f>
        <v/>
      </c>
      <c r="N93" s="64" t="str">
        <f aca="false">IF(L93="","",IF(E93+F93=0,"∞",L93/(E93+F93)))</f>
        <v/>
      </c>
      <c r="O93" s="57" t="str">
        <f aca="false">IF(L93="","",MAX(0,MIN(G93*(1-H93-$F$7),G93*(1-H93)-$F$8)-J93-K93-F93))</f>
        <v/>
      </c>
      <c r="P93" s="59" t="str">
        <f aca="false">IF(L93="","",IF(AND(M93&gt;=$F$7,L93&gt;=$F$8),"✔ BUY / COMPRAR","✖ PASS / NO COMPRAR"))</f>
        <v/>
      </c>
      <c r="Q93" s="53"/>
    </row>
    <row r="94" customFormat="false" ht="15" hidden="false" customHeight="false" outlineLevel="0" collapsed="false">
      <c r="B94" s="53"/>
      <c r="C94" s="53"/>
      <c r="D94" s="53"/>
      <c r="E94" s="55"/>
      <c r="F94" s="55"/>
      <c r="G94" s="55"/>
      <c r="H94" s="56"/>
      <c r="I94" s="57" t="str">
        <f aca="false">IF(G94="","",G94*H94)</f>
        <v/>
      </c>
      <c r="J94" s="55"/>
      <c r="K94" s="55"/>
      <c r="L94" s="57" t="str">
        <f aca="false">IF(OR(B94="",G94=""),"",G94-E94-F94-I94-J94-K94)</f>
        <v/>
      </c>
      <c r="M94" s="58" t="str">
        <f aca="false">IF(L94="","",IF(G94=0,0,L94/G94))</f>
        <v/>
      </c>
      <c r="N94" s="64" t="str">
        <f aca="false">IF(L94="","",IF(E94+F94=0,"∞",L94/(E94+F94)))</f>
        <v/>
      </c>
      <c r="O94" s="57" t="str">
        <f aca="false">IF(L94="","",MAX(0,MIN(G94*(1-H94-$F$7),G94*(1-H94)-$F$8)-J94-K94-F94))</f>
        <v/>
      </c>
      <c r="P94" s="59" t="str">
        <f aca="false">IF(L94="","",IF(AND(M94&gt;=$F$7,L94&gt;=$F$8),"✔ BUY / COMPRAR","✖ PASS / NO COMPRAR"))</f>
        <v/>
      </c>
      <c r="Q94" s="53"/>
    </row>
    <row r="95" customFormat="false" ht="15" hidden="false" customHeight="false" outlineLevel="0" collapsed="false">
      <c r="B95" s="53"/>
      <c r="C95" s="53"/>
      <c r="D95" s="53"/>
      <c r="E95" s="55"/>
      <c r="F95" s="55"/>
      <c r="G95" s="55"/>
      <c r="H95" s="56"/>
      <c r="I95" s="57" t="str">
        <f aca="false">IF(G95="","",G95*H95)</f>
        <v/>
      </c>
      <c r="J95" s="55"/>
      <c r="K95" s="55"/>
      <c r="L95" s="57" t="str">
        <f aca="false">IF(OR(B95="",G95=""),"",G95-E95-F95-I95-J95-K95)</f>
        <v/>
      </c>
      <c r="M95" s="58" t="str">
        <f aca="false">IF(L95="","",IF(G95=0,0,L95/G95))</f>
        <v/>
      </c>
      <c r="N95" s="64" t="str">
        <f aca="false">IF(L95="","",IF(E95+F95=0,"∞",L95/(E95+F95)))</f>
        <v/>
      </c>
      <c r="O95" s="57" t="str">
        <f aca="false">IF(L95="","",MAX(0,MIN(G95*(1-H95-$F$7),G95*(1-H95)-$F$8)-J95-K95-F95))</f>
        <v/>
      </c>
      <c r="P95" s="59" t="str">
        <f aca="false">IF(L95="","",IF(AND(M95&gt;=$F$7,L95&gt;=$F$8),"✔ BUY / COMPRAR","✖ PASS / NO COMPRAR"))</f>
        <v/>
      </c>
      <c r="Q95" s="53"/>
    </row>
    <row r="96" customFormat="false" ht="15" hidden="false" customHeight="false" outlineLevel="0" collapsed="false">
      <c r="B96" s="53"/>
      <c r="C96" s="53"/>
      <c r="D96" s="53"/>
      <c r="E96" s="55"/>
      <c r="F96" s="55"/>
      <c r="G96" s="55"/>
      <c r="H96" s="56"/>
      <c r="I96" s="57" t="str">
        <f aca="false">IF(G96="","",G96*H96)</f>
        <v/>
      </c>
      <c r="J96" s="55"/>
      <c r="K96" s="55"/>
      <c r="L96" s="57" t="str">
        <f aca="false">IF(OR(B96="",G96=""),"",G96-E96-F96-I96-J96-K96)</f>
        <v/>
      </c>
      <c r="M96" s="58" t="str">
        <f aca="false">IF(L96="","",IF(G96=0,0,L96/G96))</f>
        <v/>
      </c>
      <c r="N96" s="64" t="str">
        <f aca="false">IF(L96="","",IF(E96+F96=0,"∞",L96/(E96+F96)))</f>
        <v/>
      </c>
      <c r="O96" s="57" t="str">
        <f aca="false">IF(L96="","",MAX(0,MIN(G96*(1-H96-$F$7),G96*(1-H96)-$F$8)-J96-K96-F96))</f>
        <v/>
      </c>
      <c r="P96" s="59" t="str">
        <f aca="false">IF(L96="","",IF(AND(M96&gt;=$F$7,L96&gt;=$F$8),"✔ BUY / COMPRAR","✖ PASS / NO COMPRAR"))</f>
        <v/>
      </c>
      <c r="Q96" s="53"/>
    </row>
    <row r="97" customFormat="false" ht="15" hidden="false" customHeight="false" outlineLevel="0" collapsed="false">
      <c r="B97" s="53"/>
      <c r="C97" s="53"/>
      <c r="D97" s="53"/>
      <c r="E97" s="55"/>
      <c r="F97" s="55"/>
      <c r="G97" s="55"/>
      <c r="H97" s="56"/>
      <c r="I97" s="57" t="str">
        <f aca="false">IF(G97="","",G97*H97)</f>
        <v/>
      </c>
      <c r="J97" s="55"/>
      <c r="K97" s="55"/>
      <c r="L97" s="57" t="str">
        <f aca="false">IF(OR(B97="",G97=""),"",G97-E97-F97-I97-J97-K97)</f>
        <v/>
      </c>
      <c r="M97" s="58" t="str">
        <f aca="false">IF(L97="","",IF(G97=0,0,L97/G97))</f>
        <v/>
      </c>
      <c r="N97" s="64" t="str">
        <f aca="false">IF(L97="","",IF(E97+F97=0,"∞",L97/(E97+F97)))</f>
        <v/>
      </c>
      <c r="O97" s="57" t="str">
        <f aca="false">IF(L97="","",MAX(0,MIN(G97*(1-H97-$F$7),G97*(1-H97)-$F$8)-J97-K97-F97))</f>
        <v/>
      </c>
      <c r="P97" s="59" t="str">
        <f aca="false">IF(L97="","",IF(AND(M97&gt;=$F$7,L97&gt;=$F$8),"✔ BUY / COMPRAR","✖ PASS / NO COMPRAR"))</f>
        <v/>
      </c>
      <c r="Q97" s="53"/>
    </row>
    <row r="98" customFormat="false" ht="15" hidden="false" customHeight="false" outlineLevel="0" collapsed="false">
      <c r="B98" s="53"/>
      <c r="C98" s="53"/>
      <c r="D98" s="53"/>
      <c r="E98" s="55"/>
      <c r="F98" s="55"/>
      <c r="G98" s="55"/>
      <c r="H98" s="56"/>
      <c r="I98" s="57" t="str">
        <f aca="false">IF(G98="","",G98*H98)</f>
        <v/>
      </c>
      <c r="J98" s="55"/>
      <c r="K98" s="55"/>
      <c r="L98" s="57" t="str">
        <f aca="false">IF(OR(B98="",G98=""),"",G98-E98-F98-I98-J98-K98)</f>
        <v/>
      </c>
      <c r="M98" s="58" t="str">
        <f aca="false">IF(L98="","",IF(G98=0,0,L98/G98))</f>
        <v/>
      </c>
      <c r="N98" s="64" t="str">
        <f aca="false">IF(L98="","",IF(E98+F98=0,"∞",L98/(E98+F98)))</f>
        <v/>
      </c>
      <c r="O98" s="57" t="str">
        <f aca="false">IF(L98="","",MAX(0,MIN(G98*(1-H98-$F$7),G98*(1-H98)-$F$8)-J98-K98-F98))</f>
        <v/>
      </c>
      <c r="P98" s="59" t="str">
        <f aca="false">IF(L98="","",IF(AND(M98&gt;=$F$7,L98&gt;=$F$8),"✔ BUY / COMPRAR","✖ PASS / NO COMPRAR"))</f>
        <v/>
      </c>
      <c r="Q98" s="53"/>
    </row>
    <row r="99" customFormat="false" ht="15" hidden="false" customHeight="false" outlineLevel="0" collapsed="false">
      <c r="B99" s="53"/>
      <c r="C99" s="53"/>
      <c r="D99" s="53"/>
      <c r="E99" s="55"/>
      <c r="F99" s="55"/>
      <c r="G99" s="55"/>
      <c r="H99" s="56"/>
      <c r="I99" s="57" t="str">
        <f aca="false">IF(G99="","",G99*H99)</f>
        <v/>
      </c>
      <c r="J99" s="55"/>
      <c r="K99" s="55"/>
      <c r="L99" s="57" t="str">
        <f aca="false">IF(OR(B99="",G99=""),"",G99-E99-F99-I99-J99-K99)</f>
        <v/>
      </c>
      <c r="M99" s="58" t="str">
        <f aca="false">IF(L99="","",IF(G99=0,0,L99/G99))</f>
        <v/>
      </c>
      <c r="N99" s="64" t="str">
        <f aca="false">IF(L99="","",IF(E99+F99=0,"∞",L99/(E99+F99)))</f>
        <v/>
      </c>
      <c r="O99" s="57" t="str">
        <f aca="false">IF(L99="","",MAX(0,MIN(G99*(1-H99-$F$7),G99*(1-H99)-$F$8)-J99-K99-F99))</f>
        <v/>
      </c>
      <c r="P99" s="59" t="str">
        <f aca="false">IF(L99="","",IF(AND(M99&gt;=$F$7,L99&gt;=$F$8),"✔ BUY / COMPRAR","✖ PASS / NO COMPRAR"))</f>
        <v/>
      </c>
      <c r="Q99" s="53"/>
    </row>
    <row r="100" customFormat="false" ht="15" hidden="false" customHeight="false" outlineLevel="0" collapsed="false">
      <c r="B100" s="53"/>
      <c r="C100" s="53"/>
      <c r="D100" s="53"/>
      <c r="E100" s="55"/>
      <c r="F100" s="55"/>
      <c r="G100" s="55"/>
      <c r="H100" s="56"/>
      <c r="I100" s="57" t="str">
        <f aca="false">IF(G100="","",G100*H100)</f>
        <v/>
      </c>
      <c r="J100" s="55"/>
      <c r="K100" s="55"/>
      <c r="L100" s="57" t="str">
        <f aca="false">IF(OR(B100="",G100=""),"",G100-E100-F100-I100-J100-K100)</f>
        <v/>
      </c>
      <c r="M100" s="58" t="str">
        <f aca="false">IF(L100="","",IF(G100=0,0,L100/G100))</f>
        <v/>
      </c>
      <c r="N100" s="64" t="str">
        <f aca="false">IF(L100="","",IF(E100+F100=0,"∞",L100/(E100+F100)))</f>
        <v/>
      </c>
      <c r="O100" s="57" t="str">
        <f aca="false">IF(L100="","",MAX(0,MIN(G100*(1-H100-$F$7),G100*(1-H100)-$F$8)-J100-K100-F100))</f>
        <v/>
      </c>
      <c r="P100" s="59" t="str">
        <f aca="false">IF(L100="","",IF(AND(M100&gt;=$F$7,L100&gt;=$F$8),"✔ BUY / COMPRAR","✖ PASS / NO COMPRAR"))</f>
        <v/>
      </c>
      <c r="Q100" s="53"/>
    </row>
    <row r="101" customFormat="false" ht="15" hidden="false" customHeight="false" outlineLevel="0" collapsed="false">
      <c r="B101" s="53"/>
      <c r="C101" s="53"/>
      <c r="D101" s="53"/>
      <c r="E101" s="55"/>
      <c r="F101" s="55"/>
      <c r="G101" s="55"/>
      <c r="H101" s="56"/>
      <c r="I101" s="57" t="str">
        <f aca="false">IF(G101="","",G101*H101)</f>
        <v/>
      </c>
      <c r="J101" s="55"/>
      <c r="K101" s="55"/>
      <c r="L101" s="57" t="str">
        <f aca="false">IF(OR(B101="",G101=""),"",G101-E101-F101-I101-J101-K101)</f>
        <v/>
      </c>
      <c r="M101" s="58" t="str">
        <f aca="false">IF(L101="","",IF(G101=0,0,L101/G101))</f>
        <v/>
      </c>
      <c r="N101" s="64" t="str">
        <f aca="false">IF(L101="","",IF(E101+F101=0,"∞",L101/(E101+F101)))</f>
        <v/>
      </c>
      <c r="O101" s="57" t="str">
        <f aca="false">IF(L101="","",MAX(0,MIN(G101*(1-H101-$F$7),G101*(1-H101)-$F$8)-J101-K101-F101))</f>
        <v/>
      </c>
      <c r="P101" s="59" t="str">
        <f aca="false">IF(L101="","",IF(AND(M101&gt;=$F$7,L101&gt;=$F$8),"✔ BUY / COMPRAR","✖ PASS / NO COMPRAR"))</f>
        <v/>
      </c>
      <c r="Q101" s="53"/>
    </row>
    <row r="102" customFormat="false" ht="15" hidden="false" customHeight="false" outlineLevel="0" collapsed="false">
      <c r="B102" s="53"/>
      <c r="C102" s="53"/>
      <c r="D102" s="53"/>
      <c r="E102" s="55"/>
      <c r="F102" s="55"/>
      <c r="G102" s="55"/>
      <c r="H102" s="56"/>
      <c r="I102" s="57" t="str">
        <f aca="false">IF(G102="","",G102*H102)</f>
        <v/>
      </c>
      <c r="J102" s="55"/>
      <c r="K102" s="55"/>
      <c r="L102" s="57" t="str">
        <f aca="false">IF(OR(B102="",G102=""),"",G102-E102-F102-I102-J102-K102)</f>
        <v/>
      </c>
      <c r="M102" s="58" t="str">
        <f aca="false">IF(L102="","",IF(G102=0,0,L102/G102))</f>
        <v/>
      </c>
      <c r="N102" s="64" t="str">
        <f aca="false">IF(L102="","",IF(E102+F102=0,"∞",L102/(E102+F102)))</f>
        <v/>
      </c>
      <c r="O102" s="57" t="str">
        <f aca="false">IF(L102="","",MAX(0,MIN(G102*(1-H102-$F$7),G102*(1-H102)-$F$8)-J102-K102-F102))</f>
        <v/>
      </c>
      <c r="P102" s="59" t="str">
        <f aca="false">IF(L102="","",IF(AND(M102&gt;=$F$7,L102&gt;=$F$8),"✔ BUY / COMPRAR","✖ PASS / NO COMPRAR"))</f>
        <v/>
      </c>
      <c r="Q102" s="53"/>
    </row>
    <row r="103" customFormat="false" ht="15" hidden="false" customHeight="false" outlineLevel="0" collapsed="false">
      <c r="B103" s="53"/>
      <c r="C103" s="53"/>
      <c r="D103" s="53"/>
      <c r="E103" s="55"/>
      <c r="F103" s="55"/>
      <c r="G103" s="55"/>
      <c r="H103" s="56"/>
      <c r="I103" s="57" t="str">
        <f aca="false">IF(G103="","",G103*H103)</f>
        <v/>
      </c>
      <c r="J103" s="55"/>
      <c r="K103" s="55"/>
      <c r="L103" s="57" t="str">
        <f aca="false">IF(OR(B103="",G103=""),"",G103-E103-F103-I103-J103-K103)</f>
        <v/>
      </c>
      <c r="M103" s="58" t="str">
        <f aca="false">IF(L103="","",IF(G103=0,0,L103/G103))</f>
        <v/>
      </c>
      <c r="N103" s="64" t="str">
        <f aca="false">IF(L103="","",IF(E103+F103=0,"∞",L103/(E103+F103)))</f>
        <v/>
      </c>
      <c r="O103" s="57" t="str">
        <f aca="false">IF(L103="","",MAX(0,MIN(G103*(1-H103-$F$7),G103*(1-H103)-$F$8)-J103-K103-F103))</f>
        <v/>
      </c>
      <c r="P103" s="59" t="str">
        <f aca="false">IF(L103="","",IF(AND(M103&gt;=$F$7,L103&gt;=$F$8),"✔ BUY / COMPRAR","✖ PASS / NO COMPRAR"))</f>
        <v/>
      </c>
      <c r="Q103" s="53"/>
    </row>
    <row r="104" customFormat="false" ht="15" hidden="false" customHeight="false" outlineLevel="0" collapsed="false">
      <c r="B104" s="53"/>
      <c r="C104" s="53"/>
      <c r="D104" s="53"/>
      <c r="E104" s="55"/>
      <c r="F104" s="55"/>
      <c r="G104" s="55"/>
      <c r="H104" s="56"/>
      <c r="I104" s="57" t="str">
        <f aca="false">IF(G104="","",G104*H104)</f>
        <v/>
      </c>
      <c r="J104" s="55"/>
      <c r="K104" s="55"/>
      <c r="L104" s="57" t="str">
        <f aca="false">IF(OR(B104="",G104=""),"",G104-E104-F104-I104-J104-K104)</f>
        <v/>
      </c>
      <c r="M104" s="58" t="str">
        <f aca="false">IF(L104="","",IF(G104=0,0,L104/G104))</f>
        <v/>
      </c>
      <c r="N104" s="64" t="str">
        <f aca="false">IF(L104="","",IF(E104+F104=0,"∞",L104/(E104+F104)))</f>
        <v/>
      </c>
      <c r="O104" s="57" t="str">
        <f aca="false">IF(L104="","",MAX(0,MIN(G104*(1-H104-$F$7),G104*(1-H104)-$F$8)-J104-K104-F104))</f>
        <v/>
      </c>
      <c r="P104" s="59" t="str">
        <f aca="false">IF(L104="","",IF(AND(M104&gt;=$F$7,L104&gt;=$F$8),"✔ BUY / COMPRAR","✖ PASS / NO COMPRAR"))</f>
        <v/>
      </c>
      <c r="Q104" s="53"/>
    </row>
    <row r="105" customFormat="false" ht="15" hidden="false" customHeight="false" outlineLevel="0" collapsed="false">
      <c r="B105" s="53"/>
      <c r="C105" s="53"/>
      <c r="D105" s="53"/>
      <c r="E105" s="55"/>
      <c r="F105" s="55"/>
      <c r="G105" s="55"/>
      <c r="H105" s="56"/>
      <c r="I105" s="57" t="str">
        <f aca="false">IF(G105="","",G105*H105)</f>
        <v/>
      </c>
      <c r="J105" s="55"/>
      <c r="K105" s="55"/>
      <c r="L105" s="57" t="str">
        <f aca="false">IF(OR(B105="",G105=""),"",G105-E105-F105-I105-J105-K105)</f>
        <v/>
      </c>
      <c r="M105" s="58" t="str">
        <f aca="false">IF(L105="","",IF(G105=0,0,L105/G105))</f>
        <v/>
      </c>
      <c r="N105" s="64" t="str">
        <f aca="false">IF(L105="","",IF(E105+F105=0,"∞",L105/(E105+F105)))</f>
        <v/>
      </c>
      <c r="O105" s="57" t="str">
        <f aca="false">IF(L105="","",MAX(0,MIN(G105*(1-H105-$F$7),G105*(1-H105)-$F$8)-J105-K105-F105))</f>
        <v/>
      </c>
      <c r="P105" s="59" t="str">
        <f aca="false">IF(L105="","",IF(AND(M105&gt;=$F$7,L105&gt;=$F$8),"✔ BUY / COMPRAR","✖ PASS / NO COMPRAR"))</f>
        <v/>
      </c>
      <c r="Q105" s="53"/>
    </row>
    <row r="106" customFormat="false" ht="15" hidden="false" customHeight="false" outlineLevel="0" collapsed="false">
      <c r="B106" s="53"/>
      <c r="C106" s="53"/>
      <c r="D106" s="53"/>
      <c r="E106" s="55"/>
      <c r="F106" s="55"/>
      <c r="G106" s="55"/>
      <c r="H106" s="56"/>
      <c r="I106" s="57" t="str">
        <f aca="false">IF(G106="","",G106*H106)</f>
        <v/>
      </c>
      <c r="J106" s="55"/>
      <c r="K106" s="55"/>
      <c r="L106" s="57" t="str">
        <f aca="false">IF(OR(B106="",G106=""),"",G106-E106-F106-I106-J106-K106)</f>
        <v/>
      </c>
      <c r="M106" s="58" t="str">
        <f aca="false">IF(L106="","",IF(G106=0,0,L106/G106))</f>
        <v/>
      </c>
      <c r="N106" s="64" t="str">
        <f aca="false">IF(L106="","",IF(E106+F106=0,"∞",L106/(E106+F106)))</f>
        <v/>
      </c>
      <c r="O106" s="57" t="str">
        <f aca="false">IF(L106="","",MAX(0,MIN(G106*(1-H106-$F$7),G106*(1-H106)-$F$8)-J106-K106-F106))</f>
        <v/>
      </c>
      <c r="P106" s="59" t="str">
        <f aca="false">IF(L106="","",IF(AND(M106&gt;=$F$7,L106&gt;=$F$8),"✔ BUY / COMPRAR","✖ PASS / NO COMPRAR"))</f>
        <v/>
      </c>
      <c r="Q106" s="53"/>
    </row>
    <row r="107" customFormat="false" ht="15" hidden="false" customHeight="false" outlineLevel="0" collapsed="false">
      <c r="B107" s="53"/>
      <c r="C107" s="53"/>
      <c r="D107" s="53"/>
      <c r="E107" s="55"/>
      <c r="F107" s="55"/>
      <c r="G107" s="55"/>
      <c r="H107" s="56"/>
      <c r="I107" s="57" t="str">
        <f aca="false">IF(G107="","",G107*H107)</f>
        <v/>
      </c>
      <c r="J107" s="55"/>
      <c r="K107" s="55"/>
      <c r="L107" s="57" t="str">
        <f aca="false">IF(OR(B107="",G107=""),"",G107-E107-F107-I107-J107-K107)</f>
        <v/>
      </c>
      <c r="M107" s="58" t="str">
        <f aca="false">IF(L107="","",IF(G107=0,0,L107/G107))</f>
        <v/>
      </c>
      <c r="N107" s="64" t="str">
        <f aca="false">IF(L107="","",IF(E107+F107=0,"∞",L107/(E107+F107)))</f>
        <v/>
      </c>
      <c r="O107" s="57" t="str">
        <f aca="false">IF(L107="","",MAX(0,MIN(G107*(1-H107-$F$7),G107*(1-H107)-$F$8)-J107-K107-F107))</f>
        <v/>
      </c>
      <c r="P107" s="59" t="str">
        <f aca="false">IF(L107="","",IF(AND(M107&gt;=$F$7,L107&gt;=$F$8),"✔ BUY / COMPRAR","✖ PASS / NO COMPRAR"))</f>
        <v/>
      </c>
      <c r="Q107" s="53"/>
    </row>
    <row r="108" customFormat="false" ht="15" hidden="false" customHeight="false" outlineLevel="0" collapsed="false">
      <c r="B108" s="53"/>
      <c r="C108" s="53"/>
      <c r="D108" s="53"/>
      <c r="E108" s="55"/>
      <c r="F108" s="55"/>
      <c r="G108" s="55"/>
      <c r="H108" s="56"/>
      <c r="I108" s="57" t="str">
        <f aca="false">IF(G108="","",G108*H108)</f>
        <v/>
      </c>
      <c r="J108" s="55"/>
      <c r="K108" s="55"/>
      <c r="L108" s="57" t="str">
        <f aca="false">IF(OR(B108="",G108=""),"",G108-E108-F108-I108-J108-K108)</f>
        <v/>
      </c>
      <c r="M108" s="58" t="str">
        <f aca="false">IF(L108="","",IF(G108=0,0,L108/G108))</f>
        <v/>
      </c>
      <c r="N108" s="64" t="str">
        <f aca="false">IF(L108="","",IF(E108+F108=0,"∞",L108/(E108+F108)))</f>
        <v/>
      </c>
      <c r="O108" s="57" t="str">
        <f aca="false">IF(L108="","",MAX(0,MIN(G108*(1-H108-$F$7),G108*(1-H108)-$F$8)-J108-K108-F108))</f>
        <v/>
      </c>
      <c r="P108" s="59" t="str">
        <f aca="false">IF(L108="","",IF(AND(M108&gt;=$F$7,L108&gt;=$F$8),"✔ BUY / COMPRAR","✖ PASS / NO COMPRAR"))</f>
        <v/>
      </c>
      <c r="Q108" s="53"/>
    </row>
    <row r="109" customFormat="false" ht="15" hidden="false" customHeight="false" outlineLevel="0" collapsed="false">
      <c r="B109" s="53"/>
      <c r="C109" s="53"/>
      <c r="D109" s="53"/>
      <c r="E109" s="55"/>
      <c r="F109" s="55"/>
      <c r="G109" s="55"/>
      <c r="H109" s="56"/>
      <c r="I109" s="57" t="str">
        <f aca="false">IF(G109="","",G109*H109)</f>
        <v/>
      </c>
      <c r="J109" s="55"/>
      <c r="K109" s="55"/>
      <c r="L109" s="57" t="str">
        <f aca="false">IF(OR(B109="",G109=""),"",G109-E109-F109-I109-J109-K109)</f>
        <v/>
      </c>
      <c r="M109" s="58" t="str">
        <f aca="false">IF(L109="","",IF(G109=0,0,L109/G109))</f>
        <v/>
      </c>
      <c r="N109" s="64" t="str">
        <f aca="false">IF(L109="","",IF(E109+F109=0,"∞",L109/(E109+F109)))</f>
        <v/>
      </c>
      <c r="O109" s="57" t="str">
        <f aca="false">IF(L109="","",MAX(0,MIN(G109*(1-H109-$F$7),G109*(1-H109)-$F$8)-J109-K109-F109))</f>
        <v/>
      </c>
      <c r="P109" s="59" t="str">
        <f aca="false">IF(L109="","",IF(AND(M109&gt;=$F$7,L109&gt;=$F$8),"✔ BUY / COMPRAR","✖ PASS / NO COMPRAR"))</f>
        <v/>
      </c>
      <c r="Q109" s="53"/>
    </row>
    <row r="110" customFormat="false" ht="15" hidden="false" customHeight="false" outlineLevel="0" collapsed="false">
      <c r="B110" s="53"/>
      <c r="C110" s="53"/>
      <c r="D110" s="53"/>
      <c r="E110" s="55"/>
      <c r="F110" s="55"/>
      <c r="G110" s="55"/>
      <c r="H110" s="56"/>
      <c r="I110" s="57" t="str">
        <f aca="false">IF(G110="","",G110*H110)</f>
        <v/>
      </c>
      <c r="J110" s="55"/>
      <c r="K110" s="55"/>
      <c r="L110" s="57" t="str">
        <f aca="false">IF(OR(B110="",G110=""),"",G110-E110-F110-I110-J110-K110)</f>
        <v/>
      </c>
      <c r="M110" s="58" t="str">
        <f aca="false">IF(L110="","",IF(G110=0,0,L110/G110))</f>
        <v/>
      </c>
      <c r="N110" s="64" t="str">
        <f aca="false">IF(L110="","",IF(E110+F110=0,"∞",L110/(E110+F110)))</f>
        <v/>
      </c>
      <c r="O110" s="57" t="str">
        <f aca="false">IF(L110="","",MAX(0,MIN(G110*(1-H110-$F$7),G110*(1-H110)-$F$8)-J110-K110-F110))</f>
        <v/>
      </c>
      <c r="P110" s="59" t="str">
        <f aca="false">IF(L110="","",IF(AND(M110&gt;=$F$7,L110&gt;=$F$8),"✔ BUY / COMPRAR","✖ PASS / NO COMPRAR"))</f>
        <v/>
      </c>
      <c r="Q110" s="53"/>
    </row>
  </sheetData>
  <mergeCells count="7">
    <mergeCell ref="B1:Q1"/>
    <mergeCell ref="B2:Q2"/>
    <mergeCell ref="B3:Q3"/>
    <mergeCell ref="B6:F6"/>
    <mergeCell ref="B7:E7"/>
    <mergeCell ref="H7:Q8"/>
    <mergeCell ref="B8:E8"/>
  </mergeCells>
  <conditionalFormatting sqref="P11:P110">
    <cfRule type="containsText" priority="2" operator="containsText" aboveAverage="0" equalAverage="0" bottom="0" percent="0" rank="0" text="BUY" dxfId="16">
      <formula>NOT(ISERROR(SEARCH("BUY",P11)))</formula>
    </cfRule>
    <cfRule type="containsText" priority="3" operator="containsText" aboveAverage="0" equalAverage="0" bottom="0" percent="0" rank="0" text="PASS" dxfId="12">
      <formula>NOT(ISERROR(SEARCH("PASS",P11)))</formula>
    </cfRule>
  </conditionalFormatting>
  <conditionalFormatting sqref="M11:M110">
    <cfRule type="cellIs" priority="4" operator="lessThan" aboveAverage="0" equalAverage="0" bottom="0" percent="0" rank="0" text="" dxfId="15">
      <formula>$F$7</formula>
    </cfRule>
  </conditionalFormatting>
  <dataValidations count="2">
    <dataValidation allowBlank="true" errorStyle="stop" operator="between" showDropDown="false" showErrorMessage="false" showInputMessage="false" sqref="D11:D110" type="list">
      <formula1>"eBay,Facebook Marketplace,Etsy,Poshmark,Other"</formula1>
      <formula2>0</formula2>
    </dataValidation>
    <dataValidation allowBlank="true" error="Enter a percent between 0% and 100%.&#10;Escribe un porcentaje entre 0% y 100%." errorStyle="stop" operator="between" showDropDown="false" showErrorMessage="false" showInputMessage="false" sqref="F7 H11:H110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3A"/>
    <pageSetUpPr fitToPage="true"/>
  </sheetPr>
  <dimension ref="A1:E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6"/>
    <col collapsed="false" customWidth="true" hidden="false" outlineLevel="0" max="4" min="3" style="0" width="58"/>
    <col collapsed="false" customWidth="true" hidden="false" outlineLevel="0" max="5" min="5" style="0" width="2"/>
  </cols>
  <sheetData>
    <row r="1" customFormat="false" ht="18" hidden="false" customHeight="true" outlineLevel="0" collapsed="false">
      <c r="A1" s="1"/>
      <c r="B1" s="14" t="s">
        <v>1</v>
      </c>
      <c r="C1" s="14"/>
      <c r="D1" s="14"/>
      <c r="E1" s="14"/>
    </row>
    <row r="2" customFormat="false" ht="30" hidden="false" customHeight="true" outlineLevel="0" collapsed="false">
      <c r="A2" s="1"/>
      <c r="B2" s="15" t="s">
        <v>141</v>
      </c>
      <c r="C2" s="15"/>
      <c r="D2" s="15"/>
      <c r="E2" s="15"/>
    </row>
    <row r="3" customFormat="false" ht="19.5" hidden="false" customHeight="true" outlineLevel="0" collapsed="false">
      <c r="A3" s="1"/>
      <c r="B3" s="16" t="s">
        <v>142</v>
      </c>
      <c r="C3" s="16"/>
      <c r="D3" s="16"/>
      <c r="E3" s="16"/>
    </row>
    <row r="4" customFormat="false" ht="3.75" hidden="false" customHeight="true" outlineLevel="0" collapsed="false">
      <c r="A4" s="7"/>
      <c r="B4" s="7"/>
      <c r="C4" s="7"/>
      <c r="D4" s="7"/>
      <c r="E4" s="7"/>
    </row>
    <row r="6" customFormat="false" ht="21.75" hidden="false" customHeight="true" outlineLevel="0" collapsed="false">
      <c r="B6" s="27" t="s">
        <v>59</v>
      </c>
      <c r="C6" s="27" t="s">
        <v>143</v>
      </c>
      <c r="D6" s="27" t="s">
        <v>144</v>
      </c>
    </row>
    <row r="7" customFormat="false" ht="66" hidden="false" customHeight="true" outlineLevel="0" collapsed="false">
      <c r="B7" s="65" t="n">
        <v>1</v>
      </c>
      <c r="C7" s="66" t="s">
        <v>145</v>
      </c>
      <c r="D7" s="66" t="s">
        <v>146</v>
      </c>
    </row>
    <row r="8" customFormat="false" ht="66" hidden="false" customHeight="true" outlineLevel="0" collapsed="false">
      <c r="B8" s="65" t="n">
        <v>2</v>
      </c>
      <c r="C8" s="67" t="s">
        <v>147</v>
      </c>
      <c r="D8" s="67" t="s">
        <v>148</v>
      </c>
    </row>
    <row r="9" customFormat="false" ht="51" hidden="false" customHeight="true" outlineLevel="0" collapsed="false">
      <c r="B9" s="65" t="n">
        <v>3</v>
      </c>
      <c r="C9" s="66" t="s">
        <v>149</v>
      </c>
      <c r="D9" s="66" t="s">
        <v>150</v>
      </c>
    </row>
    <row r="10" customFormat="false" ht="66" hidden="false" customHeight="true" outlineLevel="0" collapsed="false">
      <c r="B10" s="65" t="n">
        <v>4</v>
      </c>
      <c r="C10" s="67" t="s">
        <v>151</v>
      </c>
      <c r="D10" s="67" t="s">
        <v>152</v>
      </c>
    </row>
    <row r="11" customFormat="false" ht="51" hidden="false" customHeight="true" outlineLevel="0" collapsed="false">
      <c r="B11" s="65" t="n">
        <v>5</v>
      </c>
      <c r="C11" s="66" t="s">
        <v>153</v>
      </c>
      <c r="D11" s="66" t="s">
        <v>154</v>
      </c>
    </row>
    <row r="12" customFormat="false" ht="51" hidden="false" customHeight="true" outlineLevel="0" collapsed="false">
      <c r="B12" s="65" t="n">
        <v>6</v>
      </c>
      <c r="C12" s="67" t="s">
        <v>155</v>
      </c>
      <c r="D12" s="67" t="s">
        <v>156</v>
      </c>
    </row>
    <row r="13" customFormat="false" ht="66" hidden="false" customHeight="true" outlineLevel="0" collapsed="false">
      <c r="B13" s="65" t="n">
        <v>7</v>
      </c>
      <c r="C13" s="66" t="s">
        <v>157</v>
      </c>
      <c r="D13" s="66" t="s">
        <v>158</v>
      </c>
    </row>
    <row r="14" customFormat="false" ht="81" hidden="false" customHeight="true" outlineLevel="0" collapsed="false">
      <c r="B14" s="65" t="n">
        <v>8</v>
      </c>
      <c r="C14" s="67" t="s">
        <v>159</v>
      </c>
      <c r="D14" s="67" t="s">
        <v>160</v>
      </c>
    </row>
    <row r="15" customFormat="false" ht="51" hidden="false" customHeight="true" outlineLevel="0" collapsed="false">
      <c r="B15" s="65" t="n">
        <v>9</v>
      </c>
      <c r="C15" s="66" t="s">
        <v>161</v>
      </c>
      <c r="D15" s="66" t="s">
        <v>162</v>
      </c>
    </row>
    <row r="16" customFormat="false" ht="36" hidden="false" customHeight="true" outlineLevel="0" collapsed="false">
      <c r="B16" s="65" t="n">
        <v>10</v>
      </c>
      <c r="C16" s="67" t="s">
        <v>163</v>
      </c>
      <c r="D16" s="67" t="s">
        <v>164</v>
      </c>
    </row>
    <row r="18" customFormat="false" ht="15" hidden="false" customHeight="false" outlineLevel="0" collapsed="false">
      <c r="B18" s="68" t="s">
        <v>165</v>
      </c>
      <c r="C18" s="68"/>
      <c r="D18" s="68"/>
    </row>
    <row r="19" customFormat="false" ht="15" hidden="false" customHeight="false" outlineLevel="0" collapsed="false">
      <c r="B19" s="69"/>
      <c r="C19" s="70" t="s">
        <v>166</v>
      </c>
      <c r="D19" s="70" t="s">
        <v>167</v>
      </c>
    </row>
    <row r="20" customFormat="false" ht="15" hidden="false" customHeight="false" outlineLevel="0" collapsed="false">
      <c r="B20" s="71"/>
      <c r="C20" s="70" t="s">
        <v>168</v>
      </c>
      <c r="D20" s="70" t="s">
        <v>169</v>
      </c>
    </row>
    <row r="21" customFormat="false" ht="15" hidden="false" customHeight="false" outlineLevel="0" collapsed="false">
      <c r="B21" s="72"/>
      <c r="C21" s="70" t="s">
        <v>170</v>
      </c>
      <c r="D21" s="70" t="s">
        <v>171</v>
      </c>
    </row>
    <row r="23" customFormat="false" ht="15" hidden="false" customHeight="false" outlineLevel="0" collapsed="false">
      <c r="B23" s="68" t="s">
        <v>172</v>
      </c>
      <c r="C23" s="68"/>
      <c r="D23" s="68"/>
    </row>
    <row r="24" customFormat="false" ht="15" hidden="false" customHeight="false" outlineLevel="0" collapsed="false">
      <c r="B24" s="27"/>
      <c r="C24" s="27" t="s">
        <v>173</v>
      </c>
      <c r="D24" s="27" t="s">
        <v>174</v>
      </c>
    </row>
    <row r="25" customFormat="false" ht="30" hidden="false" customHeight="true" outlineLevel="0" collapsed="false">
      <c r="B25" s="73"/>
      <c r="C25" s="73" t="s">
        <v>175</v>
      </c>
      <c r="D25" s="73" t="s">
        <v>176</v>
      </c>
    </row>
    <row r="26" customFormat="false" ht="30" hidden="false" customHeight="true" outlineLevel="0" collapsed="false">
      <c r="B26" s="73"/>
      <c r="C26" s="73" t="s">
        <v>177</v>
      </c>
      <c r="D26" s="73" t="s">
        <v>178</v>
      </c>
    </row>
    <row r="27" customFormat="false" ht="30" hidden="false" customHeight="true" outlineLevel="0" collapsed="false">
      <c r="B27" s="73"/>
      <c r="C27" s="73" t="s">
        <v>179</v>
      </c>
      <c r="D27" s="73" t="s">
        <v>180</v>
      </c>
    </row>
    <row r="28" customFormat="false" ht="30" hidden="false" customHeight="true" outlineLevel="0" collapsed="false">
      <c r="B28" s="73"/>
      <c r="C28" s="73" t="s">
        <v>181</v>
      </c>
      <c r="D28" s="73" t="s">
        <v>182</v>
      </c>
    </row>
    <row r="29" customFormat="false" ht="30" hidden="false" customHeight="true" outlineLevel="0" collapsed="false">
      <c r="B29" s="73"/>
      <c r="C29" s="73" t="s">
        <v>183</v>
      </c>
      <c r="D29" s="73" t="s">
        <v>184</v>
      </c>
    </row>
    <row r="30" customFormat="false" ht="25.5" hidden="false" customHeight="true" outlineLevel="0" collapsed="false">
      <c r="B30" s="74" t="s">
        <v>185</v>
      </c>
      <c r="C30" s="74"/>
      <c r="D30" s="74"/>
    </row>
    <row r="32" customFormat="false" ht="15" hidden="false" customHeight="false" outlineLevel="0" collapsed="false">
      <c r="B32" s="68" t="s">
        <v>186</v>
      </c>
      <c r="C32" s="68"/>
      <c r="D32" s="68"/>
    </row>
    <row r="33" customFormat="false" ht="48" hidden="false" customHeight="true" outlineLevel="0" collapsed="false">
      <c r="C33" s="73" t="s">
        <v>187</v>
      </c>
      <c r="D33" s="73" t="s">
        <v>188</v>
      </c>
    </row>
    <row r="34" customFormat="false" ht="48" hidden="false" customHeight="true" outlineLevel="0" collapsed="false">
      <c r="C34" s="73" t="s">
        <v>189</v>
      </c>
      <c r="D34" s="73" t="s">
        <v>190</v>
      </c>
    </row>
    <row r="35" customFormat="false" ht="48" hidden="false" customHeight="true" outlineLevel="0" collapsed="false">
      <c r="C35" s="73" t="s">
        <v>191</v>
      </c>
      <c r="D35" s="73" t="s">
        <v>192</v>
      </c>
    </row>
    <row r="37" customFormat="false" ht="15" hidden="false" customHeight="false" outlineLevel="0" collapsed="false">
      <c r="B37" s="68" t="s">
        <v>193</v>
      </c>
      <c r="C37" s="68"/>
      <c r="D37" s="68"/>
    </row>
    <row r="38" customFormat="false" ht="33.75" hidden="false" customHeight="true" outlineLevel="0" collapsed="false">
      <c r="C38" s="73" t="s">
        <v>194</v>
      </c>
      <c r="D38" s="73" t="s">
        <v>195</v>
      </c>
    </row>
    <row r="39" customFormat="false" ht="48" hidden="false" customHeight="true" outlineLevel="0" collapsed="false">
      <c r="C39" s="73" t="s">
        <v>196</v>
      </c>
      <c r="D39" s="73" t="s">
        <v>197</v>
      </c>
    </row>
    <row r="40" customFormat="false" ht="103.5" hidden="false" customHeight="true" outlineLevel="0" collapsed="false">
      <c r="C40" s="73" t="s">
        <v>198</v>
      </c>
      <c r="D40" s="73" t="s">
        <v>199</v>
      </c>
    </row>
    <row r="41" customFormat="false" ht="61.5" hidden="false" customHeight="true" outlineLevel="0" collapsed="false">
      <c r="C41" s="73" t="s">
        <v>200</v>
      </c>
      <c r="D41" s="73" t="s">
        <v>201</v>
      </c>
    </row>
  </sheetData>
  <mergeCells count="8">
    <mergeCell ref="B1:E1"/>
    <mergeCell ref="B2:E2"/>
    <mergeCell ref="B3:E3"/>
    <mergeCell ref="B18:D18"/>
    <mergeCell ref="B23:D23"/>
    <mergeCell ref="B30:D30"/>
    <mergeCell ref="B32:D32"/>
    <mergeCell ref="B37:D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2026-09-30T22:37:44Z</dcterms:created>
  <dc:creator>ProfitTrack</dc:creator>
  <dc:description/>
  <dc:language>en-US</dc:language>
  <cp:lastModifiedBy/>
  <dcterms:modified xsi:type="dcterms:W3CDTF">2026-09-30T22:37:47Z</dcterms:modified>
  <cp:revision>1</cp:revision>
  <dc:subject/>
  <dc:title>ProfitTrack — Reseller Profit Tracker &amp; Dashboard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