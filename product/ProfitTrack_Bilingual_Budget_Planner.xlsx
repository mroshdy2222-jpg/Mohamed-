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Transactions" sheetId="3" state="visible" r:id="rId5"/>
    <sheet name="Budget" sheetId="4" state="visible" r:id="rId6"/>
    <sheet name="Savings Goals" sheetId="5" state="visible" r:id="rId7"/>
    <sheet name="Debts" sheetId="6" state="visible" r:id="rId8"/>
    <sheet name="Quick Start Guide" sheetId="7" state="visible" r:id="rId9"/>
  </sheets>
  <definedNames>
    <definedName function="false" hidden="false" localSheetId="2" name="_xlnm.Print_Titles" vbProcedure="false">Transactions!$5:$5</definedName>
    <definedName function="false" hidden="true" localSheetId="2" name="_xlnm._FilterDatabase" vbProcedure="false">Transactions!$B$5:$I$1005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Shows the month of your latest transaction. Pick any month from the list.
Muestra el mes de tu último movimiento. Elige cualquier mes de la lista.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Rows 6–175 are EXAMPLES. Select B6:G175 and press Delete to start fresh.
Las filas 6–175 son EJEMPLOS. Selecciona B6:G175 y presiona Suprimir.</t>
        </r>
      </text>
    </comment>
    <comment ref="E5" authorId="0">
      <text>
        <r>
          <rPr>
            <sz val="10"/>
            <rFont val="Arial"/>
            <family val="2"/>
          </rPr>
          <t xml:space="preserve">Always a positive number – the category decides if it is income or an expense.
Siempre un número positivo – la categoría decide si es ingreso o gasto.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Yellow cells are yours: rename categories, change groups and amounts. Rows 11 and 35–41 are free for your own categories.
Las celdas amarillas son tuyas: renombra categorías, cambia grupos y montos. Las filas 11 y 35–41 están libres.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Counted from this month to the target month (minimum 1).
Contado desde este mes hasta el mes meta (mínimo 1).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Estimate at your current monthly payment.
Estimado con tu pago mensual actual.</t>
        </r>
      </text>
    </comment>
    <comment ref="K5" authorId="0">
      <text>
        <r>
          <rPr>
            <sz val="10"/>
            <rFont val="Arial"/>
            <family val="2"/>
          </rPr>
          <t xml:space="preserve">Snowball: pay the SMALLEST balance first (quick wins).
Bola de nieve: paga primero el saldo MÁS PEQUEÑO.</t>
        </r>
      </text>
    </comment>
    <comment ref="L5" authorId="0">
      <text>
        <r>
          <rPr>
            <sz val="10"/>
            <rFont val="Arial"/>
            <family val="2"/>
          </rPr>
          <t xml:space="preserve">Avalanche: pay the HIGHEST interest first (saves the most money).
Avalancha: paga primero el interés MÁS ALTO (ahorras más).</t>
        </r>
      </text>
    </comment>
  </commentList>
</comments>
</file>

<file path=xl/sharedStrings.xml><?xml version="1.0" encoding="utf-8"?>
<sst xmlns="http://schemas.openxmlformats.org/spreadsheetml/2006/main" count="799" uniqueCount="239">
  <si>
    <t xml:space="preserve">FAMILY FINANCES  •  FINANZAS FAMILIARES</t>
  </si>
  <si>
    <t xml:space="preserve">ProfitTrack</t>
  </si>
  <si>
    <t xml:space="preserve">Bilingual Budget Planner</t>
  </si>
  <si>
    <t xml:space="preserve">Planificador de Presupuesto Bilingüe</t>
  </si>
  <si>
    <t xml:space="preserve">English  +  Español  —  every heading, every instruction / cada título, cada instrucción</t>
  </si>
  <si>
    <t xml:space="preserve">WHAT'S INSIDE  /  CONTENIDO   (click to open • clic para abrir)</t>
  </si>
  <si>
    <t xml:space="preserve">📊  Dashboard / Panel</t>
  </si>
  <si>
    <t xml:space="preserve">Month at a glance, budget vs. actual, 50/30/20, year overview / Tu mes de un vistazo</t>
  </si>
  <si>
    <t xml:space="preserve">🧾  Transactions / Movimientos</t>
  </si>
  <si>
    <t xml:space="preserve">Log income &amp; spending in seconds / Registra ingresos y gastos en segundos</t>
  </si>
  <si>
    <t xml:space="preserve">🎯  Budget / Presupuesto</t>
  </si>
  <si>
    <t xml:space="preserve">Your monthly plan by category / Tu plan mensual por categoría</t>
  </si>
  <si>
    <t xml:space="preserve">🐷  Savings Goals / Metas de Ahorro</t>
  </si>
  <si>
    <t xml:space="preserve">Progress bars &amp; how much to save each month / Cuánto ahorrar cada mes</t>
  </si>
  <si>
    <t xml:space="preserve">💳  Debts / Deudas</t>
  </si>
  <si>
    <t xml:space="preserve">Payoff date, interest, snowball &amp; avalanche order / Fecha de pago e intereses</t>
  </si>
  <si>
    <t xml:space="preserve">🚀  Quick Start Guide / Guía Rápida</t>
  </si>
  <si>
    <t xml:space="preserve">Step-by-step setup in 5 minutes / Configuración paso a paso</t>
  </si>
  <si>
    <t xml:space="preserve">💻 PC / Mac  •  📱 iPhone / Android  —  Excel • Google Sheets   |   Computadora y celular — Excel • Google Sheets</t>
  </si>
  <si>
    <t xml:space="preserve">Start here → Quick Start Guide   |   Empieza aquí → Guía Rápida</t>
  </si>
  <si>
    <t xml:space="preserve">© ProfitTrack  •  v1.0  •  For personal use only – do not resell or redistribute / Solo para uso personal – prohibida su reventa o distribución</t>
  </si>
  <si>
    <t xml:space="preserve">Dashboard  /  Panel de Control</t>
  </si>
  <si>
    <t xml:space="preserve">Pick a month to see where your money went. Updates automatically.  •  Elige un mes para ver a dónde fue tu dinero. Se actualiza solo.</t>
  </si>
  <si>
    <t xml:space="preserve">Month / Mes:</t>
  </si>
  <si>
    <t xml:space="preserve">Year / Año:</t>
  </si>
  <si>
    <t xml:space="preserve">← pick month &amp; year / elige mes y año</t>
  </si>
  <si>
    <t xml:space="preserve">INCOME THIS MONTH</t>
  </si>
  <si>
    <t xml:space="preserve">SPENDING THIS MONTH</t>
  </si>
  <si>
    <t xml:space="preserve">LEFT OVER</t>
  </si>
  <si>
    <t xml:space="preserve">CATEGORIES OVER BUDGET</t>
  </si>
  <si>
    <t xml:space="preserve">Ingresos del Mes</t>
  </si>
  <si>
    <t xml:space="preserve">Gastos del Mes</t>
  </si>
  <si>
    <t xml:space="preserve">Sobrante</t>
  </si>
  <si>
    <t xml:space="preserve">Categorías Excedidas</t>
  </si>
  <si>
    <t xml:space="preserve">✔ under = green · ⚠ over = red</t>
  </si>
  <si>
    <t xml:space="preserve">INCOME THIS YEAR</t>
  </si>
  <si>
    <t xml:space="preserve">SPENDING THIS YEAR</t>
  </si>
  <si>
    <t xml:space="preserve">SAVED TOWARD GOALS</t>
  </si>
  <si>
    <t xml:space="preserve">TOTAL DEBT</t>
  </si>
  <si>
    <t xml:space="preserve">Ingresos del Año</t>
  </si>
  <si>
    <t xml:space="preserve">Gastos del Año</t>
  </si>
  <si>
    <t xml:space="preserve">Ahorrado para Metas</t>
  </si>
  <si>
    <t xml:space="preserve">Deuda Total</t>
  </si>
  <si>
    <t xml:space="preserve">Budget vs. Actual – Selected Month  /  Presupuesto vs. Real – Mes Elegido</t>
  </si>
  <si>
    <t xml:space="preserve">50 / 30 / 20 Check – Selected Month  /  Regla 50/30/20</t>
  </si>
  <si>
    <t xml:space="preserve">Category
Categoría</t>
  </si>
  <si>
    <t xml:space="preserve">Budget
Presupuesto</t>
  </si>
  <si>
    <t xml:space="preserve">Actual
Real</t>
  </si>
  <si>
    <t xml:space="preserve">Difference
Diferencia</t>
  </si>
  <si>
    <t xml:space="preserve">% Used
% Usado</t>
  </si>
  <si>
    <t xml:space="preserve">Status
Estado</t>
  </si>
  <si>
    <t xml:space="preserve">Group
Grupo</t>
  </si>
  <si>
    <t xml:space="preserve">Spent
Gastado</t>
  </si>
  <si>
    <t xml:space="preserve">% of Income
% del Ingreso</t>
  </si>
  <si>
    <t xml:space="preserve">Ideal
Ideal</t>
  </si>
  <si>
    <t xml:space="preserve">Result
Resultado</t>
  </si>
  <si>
    <t xml:space="preserve">Needs / Necesidades</t>
  </si>
  <si>
    <t xml:space="preserve">Wants / Gustos</t>
  </si>
  <si>
    <t xml:space="preserve">Savings &amp; Debt / Ahorro y Deuda</t>
  </si>
  <si>
    <t xml:space="preserve">Groups come from the Budget sheet. / Los grupos vienen de la hoja Presupuesto.</t>
  </si>
  <si>
    <t xml:space="preserve">Other categories / Otras categorías</t>
  </si>
  <si>
    <t xml:space="preserve">TOTAL SPENDING / GASTO TOTAL</t>
  </si>
  <si>
    <t xml:space="preserve">Year Overview  /  Resumen del Año</t>
  </si>
  <si>
    <t xml:space="preserve">Month
Mes</t>
  </si>
  <si>
    <t xml:space="preserve">Income
Ingresos</t>
  </si>
  <si>
    <t xml:space="preserve">Spending
Gastos</t>
  </si>
  <si>
    <t xml:space="preserve">Left Over
Sobrante</t>
  </si>
  <si>
    <t xml:space="preserve">Saved %
% Ahorro</t>
  </si>
  <si>
    <t xml:space="preserve">Jan / Ene</t>
  </si>
  <si>
    <t xml:space="preserve">Feb / Feb</t>
  </si>
  <si>
    <t xml:space="preserve">Mar / Mar</t>
  </si>
  <si>
    <t xml:space="preserve">Apr / Abr</t>
  </si>
  <si>
    <t xml:space="preserve">May / May</t>
  </si>
  <si>
    <t xml:space="preserve">Jun / Jun</t>
  </si>
  <si>
    <t xml:space="preserve">Jul / Jul</t>
  </si>
  <si>
    <t xml:space="preserve">Aug / Ago</t>
  </si>
  <si>
    <t xml:space="preserve">Sep / Sep</t>
  </si>
  <si>
    <t xml:space="preserve">Oct / Oct</t>
  </si>
  <si>
    <t xml:space="preserve">Nov / Nov</t>
  </si>
  <si>
    <t xml:space="preserve">Dec / Dic</t>
  </si>
  <si>
    <t xml:space="preserve">YEAR / AÑO</t>
  </si>
  <si>
    <t xml:space="preserve">Transactions  /  Movimientos</t>
  </si>
  <si>
    <t xml:space="preserve">One row per income or expense. Pick a category – the type and group fill in automatically.  •  Una fila por ingreso o gasto. Elige la categoría – el tipo y el grupo se llenan solos.</t>
  </si>
  <si>
    <t xml:space="preserve">Date
Fecha</t>
  </si>
  <si>
    <t xml:space="preserve">Description
Descripción</t>
  </si>
  <si>
    <t xml:space="preserve">Amount
Monto</t>
  </si>
  <si>
    <t xml:space="preserve">Payment Method
Método de Pago</t>
  </si>
  <si>
    <t xml:space="preserve">Notes
Notas</t>
  </si>
  <si>
    <t xml:space="preserve">Type
Tipo</t>
  </si>
  <si>
    <t xml:space="preserve">Check
Revisar</t>
  </si>
  <si>
    <t xml:space="preserve">Helper – do not edit: category row</t>
  </si>
  <si>
    <t xml:space="preserve">Helper – do not edit: year-month</t>
  </si>
  <si>
    <t xml:space="preserve">Helper – do not edit: year</t>
  </si>
  <si>
    <t xml:space="preserve">Helper – do not edit: group</t>
  </si>
  <si>
    <t xml:space="preserve">Paycheck / Cheque</t>
  </si>
  <si>
    <t xml:space="preserve">Salary / Salario</t>
  </si>
  <si>
    <t xml:space="preserve">Other / Otro</t>
  </si>
  <si>
    <t xml:space="preserve">Rent / Renta</t>
  </si>
  <si>
    <t xml:space="preserve">Rent / Mortgage – Renta / Hipoteca</t>
  </si>
  <si>
    <t xml:space="preserve">Transfer / Transferencia</t>
  </si>
  <si>
    <t xml:space="preserve">Netflix + Spotify</t>
  </si>
  <si>
    <t xml:space="preserve">Subscriptions / Suscripciones</t>
  </si>
  <si>
    <t xml:space="preserve">Credit / Crédito</t>
  </si>
  <si>
    <t xml:space="preserve">Partner salary / Salario de pareja</t>
  </si>
  <si>
    <t xml:space="preserve">Walmart</t>
  </si>
  <si>
    <t xml:space="preserve">Groceries / Supermercado</t>
  </si>
  <si>
    <t xml:space="preserve">Debit / Débito</t>
  </si>
  <si>
    <t xml:space="preserve">Electric + water / Luz y agua</t>
  </si>
  <si>
    <t xml:space="preserve">Utilities / Servicios (luz, agua, gas)</t>
  </si>
  <si>
    <t xml:space="preserve">Shell</t>
  </si>
  <si>
    <t xml:space="preserve">Gas / Gasolina</t>
  </si>
  <si>
    <t xml:space="preserve">Car insurance / Seguro</t>
  </si>
  <si>
    <t xml:space="preserve">Insurance / Seguros</t>
  </si>
  <si>
    <t xml:space="preserve">Costco</t>
  </si>
  <si>
    <t xml:space="preserve">Restaurant / Restaurante</t>
  </si>
  <si>
    <t xml:space="preserve">Dining out / Comer fuera</t>
  </si>
  <si>
    <t xml:space="preserve">Daycare / Guardería</t>
  </si>
  <si>
    <t xml:space="preserve">Childcare &amp; School / Niños y Escuela</t>
  </si>
  <si>
    <t xml:space="preserve">Verizon</t>
  </si>
  <si>
    <t xml:space="preserve">Phone &amp; Internet / Teléfono e Internet</t>
  </si>
  <si>
    <t xml:space="preserve">Remitly – mamá</t>
  </si>
  <si>
    <t xml:space="preserve">Family support / Apoyo a la familia (remesas)</t>
  </si>
  <si>
    <t xml:space="preserve">H-E-B</t>
  </si>
  <si>
    <t xml:space="preserve">Credit card payment / Pago tarjeta</t>
  </si>
  <si>
    <t xml:space="preserve">Debt payments / Pagos de deudas</t>
  </si>
  <si>
    <t xml:space="preserve">Savings transfer / Ahorro</t>
  </si>
  <si>
    <t xml:space="preserve">Emergency fund / Fondo de emergencia</t>
  </si>
  <si>
    <t xml:space="preserve">Target</t>
  </si>
  <si>
    <t xml:space="preserve">Shopping &amp; Clothes / Compras y Ropa</t>
  </si>
  <si>
    <t xml:space="preserve">Side job / Trabajo extra</t>
  </si>
  <si>
    <t xml:space="preserve">Side income / Ingreso extra</t>
  </si>
  <si>
    <t xml:space="preserve">Trip to Galveston / Viaje</t>
  </si>
  <si>
    <t xml:space="preserve">Travel / Viajes</t>
  </si>
  <si>
    <t xml:space="preserve">Monthly Budget  /  Presupuesto Mensual</t>
  </si>
  <si>
    <t xml:space="preserve">Plan how much you expect to earn and spend each month. Rename categories or add your own.  •  Planea cuánto esperas ganar y gastar cada mes. Renombra categorías o agrega las tuyas.</t>
  </si>
  <si>
    <t xml:space="preserve">Group (50/30/20)
Grupo</t>
  </si>
  <si>
    <t xml:space="preserve">Monthly Budget
Presupuesto Mensual</t>
  </si>
  <si>
    <t xml:space="preserve">Income / Ingreso</t>
  </si>
  <si>
    <t xml:space="preserve">—</t>
  </si>
  <si>
    <t xml:space="preserve">Other income / Otros ingresos</t>
  </si>
  <si>
    <t xml:space="preserve">Expense / Gasto</t>
  </si>
  <si>
    <t xml:space="preserve">Transportation / Transporte</t>
  </si>
  <si>
    <t xml:space="preserve">Health / Salud</t>
  </si>
  <si>
    <t xml:space="preserve">Entertainment / Entretenimiento</t>
  </si>
  <si>
    <t xml:space="preserve">Personal care / Cuidado personal</t>
  </si>
  <si>
    <t xml:space="preserve">Gifts &amp; Donations / Regalos y Donaciones</t>
  </si>
  <si>
    <t xml:space="preserve">Pets / Mascotas</t>
  </si>
  <si>
    <t xml:space="preserve">Savings goals / Metas de ahorro</t>
  </si>
  <si>
    <t xml:space="preserve">Retirement / Retiro</t>
  </si>
  <si>
    <t xml:space="preserve">TOTAL PLANNED INCOME / INGRESO PLANEADO</t>
  </si>
  <si>
    <t xml:space="preserve">TOTAL PLANNED SPENDING / GASTO PLANEADO</t>
  </si>
  <si>
    <t xml:space="preserve">LEFT TO PLAN / POR ASIGNAR (aim for $0 / ideal $0)</t>
  </si>
  <si>
    <t xml:space="preserve">Zero-based budget: give every dollar a job until 'Left to plan' is $0.  /  Presupuesto base cero: asigna cada dólar hasta que 'Por asignar' sea $0.</t>
  </si>
  <si>
    <t xml:space="preserve">Savings Goals  /  Metas de Ahorro</t>
  </si>
  <si>
    <t xml:space="preserve">Set a target and a date – see your progress and how much to save each month.  •  Pon una meta y una fecha – mira tu avance y cuánto ahorrar cada mes.</t>
  </si>
  <si>
    <t xml:space="preserve">Goal
Meta</t>
  </si>
  <si>
    <t xml:space="preserve">Target $
Meta $</t>
  </si>
  <si>
    <t xml:space="preserve">Saved So Far $
Ahorrado $</t>
  </si>
  <si>
    <t xml:space="preserve">Target Date
Fecha Meta</t>
  </si>
  <si>
    <t xml:space="preserve">Still Needed $
Falta $</t>
  </si>
  <si>
    <t xml:space="preserve">Progress
Avance</t>
  </si>
  <si>
    <t xml:space="preserve">Progress Bar
Barra de Avance</t>
  </si>
  <si>
    <t xml:space="preserve">Months Left
Meses</t>
  </si>
  <si>
    <t xml:space="preserve">Save per Month
Ahorro Mensual</t>
  </si>
  <si>
    <t xml:space="preserve">Helper – do not edit: goal</t>
  </si>
  <si>
    <t xml:space="preserve">Trip to Mexico / Viaje a México</t>
  </si>
  <si>
    <t xml:space="preserve">Car down payment / Enganche del carro</t>
  </si>
  <si>
    <t xml:space="preserve">Christmas gifts / Regalos de Navidad</t>
  </si>
  <si>
    <t xml:space="preserve">Debt Payoff  /  Pago de Deudas</t>
  </si>
  <si>
    <t xml:space="preserve">See when each debt will be paid off and how much interest it costs. Extra payments make a big difference.  •  Mira cuándo terminas de pagar cada deuda y cuánto interés pagas. Los pagos extra hacen gran diferencia.</t>
  </si>
  <si>
    <t xml:space="preserve">Debt
Deuda</t>
  </si>
  <si>
    <t xml:space="preserve">Balance $
Saldo $</t>
  </si>
  <si>
    <t xml:space="preserve">APR %
Interés Anual</t>
  </si>
  <si>
    <t xml:space="preserve">Minimum Payment
Pago Mínimo</t>
  </si>
  <si>
    <t xml:space="preserve">Extra Payment
Pago Extra</t>
  </si>
  <si>
    <t xml:space="preserve">Monthly Payment
Pago Mensual</t>
  </si>
  <si>
    <t xml:space="preserve">Months to Pay Off
Meses para Pagar</t>
  </si>
  <si>
    <t xml:space="preserve">Payoff Date
Fecha de Pago</t>
  </si>
  <si>
    <t xml:space="preserve">Total Interest
Interés Total</t>
  </si>
  <si>
    <t xml:space="preserve">Snowball Order
Orden Bola de Nieve</t>
  </si>
  <si>
    <t xml:space="preserve">Avalanche Order
Orden Avalancha</t>
  </si>
  <si>
    <t xml:space="preserve">Helper – do not edit: active</t>
  </si>
  <si>
    <t xml:space="preserve">Helper – do not edit: snowball key</t>
  </si>
  <si>
    <t xml:space="preserve">Helper – do not edit: avalanche key</t>
  </si>
  <si>
    <t xml:space="preserve">Credit card / Tarjeta de crédito</t>
  </si>
  <si>
    <t xml:space="preserve">Car loan / Préstamo del carro</t>
  </si>
  <si>
    <t xml:space="preserve">Medical bill / Cuenta médica</t>
  </si>
  <si>
    <t xml:space="preserve">Student loan / Préstamo estudiantil</t>
  </si>
  <si>
    <t xml:space="preserve">TOTAL DEBT / DEUDA TOTAL</t>
  </si>
  <si>
    <t xml:space="preserve">TOTAL MONTHLY PAYMENTS / PAGOS MENSUALES</t>
  </si>
  <si>
    <t xml:space="preserve">TOTAL INTEREST (estimate) / INTERÉS TOTAL</t>
  </si>
  <si>
    <t xml:space="preserve">Quick Start Guide  /  Guía Rápida</t>
  </si>
  <si>
    <t xml:space="preserve">Up and running in 5 minutes.  •  Listo en 5 minutos.</t>
  </si>
  <si>
    <t xml:space="preserve">#</t>
  </si>
  <si>
    <t xml:space="preserve">ENGLISH</t>
  </si>
  <si>
    <t xml:space="preserve">ESPAÑOL</t>
  </si>
  <si>
    <t xml:space="preserve">Clear the example data: on Transactions select B6:G175 and press Delete. Replace the example goals and debts with yours.</t>
  </si>
  <si>
    <t xml:space="preserve">Borra los datos de ejemplo: en Transactions selecciona B6:G175 y presiona Suprimir. Reemplaza las metas y deudas de ejemplo con las tuyas.</t>
  </si>
  <si>
    <t xml:space="preserve">Budget: enter your monthly income, then give every dollar a job across the categories until 'Left to plan' is $0. Rename categories or add your own in the empty yellow rows.</t>
  </si>
  <si>
    <t xml:space="preserve">Budget (Presupuesto): escribe tu ingreso mensual y asigna cada dólar a las categorías hasta que 'Por asignar' sea $0. Renombra categorías o agrega las tuyas en las filas amarillas vacías.</t>
  </si>
  <si>
    <t xml:space="preserve">Each category belongs to a group: Needs, Wants or Savings &amp; Debt. This powers the 50/30/20 check on the Dashboard.</t>
  </si>
  <si>
    <t xml:space="preserve">Cada categoría pertenece a un grupo: Necesidades, Gustos o Ahorro y Deuda. Esto alimenta la regla 50/30/20 del Panel.</t>
  </si>
  <si>
    <t xml:space="preserve">Transactions: log every paycheck and every expense – date, description, category (dropdown) and amount (always positive). The type fills in automatically.</t>
  </si>
  <si>
    <t xml:space="preserve">Transactions (Movimientos): registra cada cheque y cada gasto – fecha, descripción, categoría (lista) y monto (siempre positivo). El tipo se llena solo.</t>
  </si>
  <si>
    <t xml:space="preserve">The Check column flags a missing date, amount or category, and categories that aren't in your Budget yet.</t>
  </si>
  <si>
    <t xml:space="preserve">La columna Revisar marca si falta fecha, monto o categoría, y categorías que todavía no están en tu Presupuesto.</t>
  </si>
  <si>
    <t xml:space="preserve">Dashboard: pick a month and year (yellow cells). See income, spending, money left over, budget vs. actual for every category, the 50/30/20 check and your whole year.</t>
  </si>
  <si>
    <t xml:space="preserve">Dashboard (Panel): elige mes y año (celdas amarillas). Mira ingresos, gastos, sobrante, presupuesto vs. real por categoría, la regla 50/30/20 y todo tu año.</t>
  </si>
  <si>
    <t xml:space="preserve">Savings Goals: add a goal, target amount, what you've saved and a target date – get a progress bar and how much to save each month.</t>
  </si>
  <si>
    <t xml:space="preserve">Savings Goals (Metas): agrega una meta, el monto, lo que llevas ahorrado y una fecha – verás una barra de avance y cuánto ahorrar cada mes.</t>
  </si>
  <si>
    <t xml:space="preserve">Debts: enter balance, APR and payments – see months to pay off, payoff date and total interest, plus Snowball and Avalanche payoff order.</t>
  </si>
  <si>
    <t xml:space="preserve">Debts (Deudas): escribe saldo, interés anual y pagos – verás meses para pagar, fecha de pago e interés total, más el orden Bola de Nieve y Avalancha.</t>
  </si>
  <si>
    <t xml:space="preserve">Weekly habit: 10 minutes every Sunday to log receipts and check the Dashboard. Small habits, big results!</t>
  </si>
  <si>
    <t xml:space="preserve">Hábito semanal: 10 minutos cada domingo para registrar recibos y revisar el Panel. ¡Pequeños hábitos, grandes resultados!</t>
  </si>
  <si>
    <t xml:space="preserve">Google Sheets: upload to Google Drive → Open with Google Sheets → File → Save as Google Sheets. Share it with your partner to budget together.</t>
  </si>
  <si>
    <t xml:space="preserve">Google Sheets: súbelo a Google Drive → Abrir con Google Sheets → Archivo → Guardar como Hojas de cálculo de Google. Compártelo con tu pareja para planear juntos.</t>
  </si>
  <si>
    <t xml:space="preserve">Color Legend  /  Leyenda de Colores</t>
  </si>
  <si>
    <t xml:space="preserve">Light teal = type your data here</t>
  </si>
  <si>
    <t xml:space="preserve">Verde claro = escribe tus datos aquí</t>
  </si>
  <si>
    <t xml:space="preserve">Grey = automatic formula – don't type here</t>
  </si>
  <si>
    <t xml:space="preserve">Gris = fórmula automática – no escribas aquí</t>
  </si>
  <si>
    <t xml:space="preserve">Yellow = settings you can change</t>
  </si>
  <si>
    <t xml:space="preserve">Amarillo = ajustes que puedes cambiar</t>
  </si>
  <si>
    <t xml:space="preserve">FAQ  /  Preguntas Frecuentes</t>
  </si>
  <si>
    <t xml:space="preserve">Q: What is 50/30/20?  A: A simple guideline: about 50% of income for needs, 30% for wants and 20% for savings &amp; debt payoff. Adjust it to your life.</t>
  </si>
  <si>
    <t xml:space="preserve">P: ¿Qué es 50/30/20?  R: Una guía sencilla: cerca del 50% del ingreso para necesidades, 30% para gustos y 20% para ahorro y deudas. Ajústala a tu vida.</t>
  </si>
  <si>
    <t xml:space="preserve">Q: Snowball or avalanche?  A: Snowball pays the smallest balance first for quick motivation; avalanche pays the highest interest first to save the most money.</t>
  </si>
  <si>
    <t xml:space="preserve">P: ¿Bola de nieve o avalancha?  R: Bola de nieve paga primero el saldo más pequeño (motivación rápida); avalancha paga primero el interés más alto (ahorras más).</t>
  </si>
  <si>
    <t xml:space="preserve">Q: Why can't I type on the Dashboard?  A: It's locked so formulas can't be erased. Only the yellow month and year cells change. To unlock (no password): Excel → Review → Unprotect Sheet.</t>
  </si>
  <si>
    <t xml:space="preserve">P: ¿Por qué no puedo escribir en el Panel?  R: Está bloqueado para no borrar fórmulas. Solo cambian las celdas amarillas de mes y año. Para desbloquear (sin contraseña): Excel → Revisar → Desproteger hoja.</t>
  </si>
  <si>
    <t xml:space="preserve">Q: Another currency?  A: Amounts show a $ sign but the math works for any currency – pesos, quetzales, euros…</t>
  </si>
  <si>
    <t xml:space="preserve">P: ¿Otra moneda?  R: Los montos muestran $ pero el cálculo sirve para cualquier moneda – pesos, quetzales, euros…</t>
  </si>
  <si>
    <t xml:space="preserve">Phone, Tablet &amp; Computer  /  Celular, Tableta y Computadora</t>
  </si>
  <si>
    <t xml:space="preserve">💻 Computer (Windows / Mac): open in Microsoft Excel, or in Google Sheets from any browser. Everything works.</t>
  </si>
  <si>
    <t xml:space="preserve">💻 Computadora (Windows / Mac): ábrelo en Microsoft Excel o en Google Sheets desde cualquier navegador. Todo funciona.</t>
  </si>
  <si>
    <t xml:space="preserve">📱 iPhone, iPad &amp; Android — RECOMMENDED: the free Microsoft Excel app or the free Google Sheets app. Formulas, dropdowns, charts and alerts all work.</t>
  </si>
  <si>
    <t xml:space="preserve">📱 iPhone, iPad y Android — RECOMENDADO: la app gratuita Microsoft Excel o la app gratuita Google Sheets. Fórmulas, listas, gráficas y alertas funcionan.</t>
  </si>
  <si>
    <t xml:space="preserve">🍎 Apple Numbers: formulas, Dashboard, charts and alerts work, but Numbers removes dropdown lists from Excel files (you'll see a message – this is normal). Type the option exactly as listed, or re-add a menu: select the cells → Format → Cell → Data Format → Pop-Up Menu.</t>
  </si>
  <si>
    <t xml:space="preserve">🍎 Apple Numbers: las fórmulas, el Panel, las gráficas y las alertas funcionan, pero Numbers elimina las listas desplegables de los archivos de Excel (verás un aviso – es normal). Escribe la opción tal como aparece, o vuelve a crear el menú: selecciona las celdas → Formato → Celda → Formato de datos → Menú desplegable.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</si>
</sst>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"/>
    <numFmt numFmtId="166" formatCode="General"/>
    <numFmt numFmtId="167" formatCode="\$#,##0;[RED]&quot;-$&quot;#,##0;\-"/>
    <numFmt numFmtId="168" formatCode="\$#,##0&quot; planned / planeado&quot;"/>
    <numFmt numFmtId="169" formatCode="\$#,##0&quot; budgeted / presupuestado&quot;"/>
    <numFmt numFmtId="170" formatCode="0%&quot; of income / del ingreso&quot;;[RED]\-0%&quot; of income / del ingreso&quot;"/>
    <numFmt numFmtId="171" formatCode="&quot;of $&quot;#,##0&quot; goals / de metas&quot;"/>
    <numFmt numFmtId="172" formatCode="\$#,##0&quot;/mo in payments · pagos al mes&quot;"/>
    <numFmt numFmtId="173" formatCode="\$#,##0.00;[RED]&quot;-$&quot;#,##0.00;\-"/>
    <numFmt numFmtId="174" formatCode="0%"/>
    <numFmt numFmtId="175" formatCode="\$#,##0.00"/>
    <numFmt numFmtId="176" formatCode="0.0%;[RED]\-0.0%;\-"/>
    <numFmt numFmtId="177" formatCode="\$#,##0"/>
    <numFmt numFmtId="178" formatCode="yyyy\-mm\-dd"/>
    <numFmt numFmtId="179" formatCode="0.0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B8A6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18"/>
      <color rgb="FFCCFBF1"/>
      <name val="Arial"/>
      <family val="0"/>
      <charset val="1"/>
    </font>
    <font>
      <i val="true"/>
      <sz val="14"/>
      <color rgb="FFC7D2FE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2"/>
      <color rgb="FF14B8A6"/>
      <name val="Arial"/>
      <family val="0"/>
      <charset val="1"/>
    </font>
    <font>
      <b val="true"/>
      <u val="single"/>
      <sz val="13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u val="single"/>
      <sz val="11"/>
      <color rgb="FF14B8A6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14B8A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C7D2FE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i val="true"/>
      <sz val="8"/>
      <color rgb="FF475569"/>
      <name val="Arial"/>
      <family val="0"/>
      <charset val="1"/>
    </font>
    <font>
      <i val="true"/>
      <sz val="8"/>
      <color rgb="FFC7D2F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0B1F3A"/>
      <name val="Arial"/>
      <family val="2"/>
    </font>
    <font>
      <sz val="7.5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Calibri"/>
      <family val="2"/>
    </font>
    <font>
      <sz val="8"/>
      <color rgb="FF94A3B8"/>
      <name val="Arial"/>
      <family val="0"/>
      <charset val="1"/>
    </font>
    <font>
      <sz val="10"/>
      <color rgb="FF1E3A8A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1"/>
      <color rgb="FF0F766E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1F3A"/>
        <bgColor rgb="FF16325C"/>
      </patternFill>
    </fill>
    <fill>
      <patternFill patternType="solid">
        <fgColor rgb="FF14B8A6"/>
        <bgColor rgb="FF00CCFF"/>
      </patternFill>
    </fill>
    <fill>
      <patternFill patternType="solid">
        <fgColor rgb="FFFEF9C3"/>
        <bgColor rgb="FFFEF3C7"/>
      </patternFill>
    </fill>
    <fill>
      <patternFill patternType="solid">
        <fgColor rgb="FF16325C"/>
        <bgColor rgb="FF1E3A8A"/>
      </patternFill>
    </fill>
    <fill>
      <patternFill patternType="solid">
        <fgColor rgb="FFCCFBF1"/>
        <bgColor rgb="FFDCFCE7"/>
      </patternFill>
    </fill>
    <fill>
      <patternFill patternType="solid">
        <fgColor rgb="FFFFFFFF"/>
        <bgColor rgb="FFF0FDFA"/>
      </patternFill>
    </fill>
    <fill>
      <patternFill patternType="solid">
        <fgColor rgb="FFF0FDFA"/>
        <bgColor rgb="FFF1F5F9"/>
      </patternFill>
    </fill>
    <fill>
      <patternFill patternType="solid">
        <fgColor rgb="FFF1F5F9"/>
        <bgColor rgb="FFF0FDFA"/>
      </patternFill>
    </fill>
    <fill>
      <patternFill patternType="solid">
        <fgColor rgb="FFDCFCE7"/>
        <bgColor rgb="FFCCFBF1"/>
      </patternFill>
    </fill>
    <fill>
      <patternFill patternType="solid">
        <fgColor rgb="FF0F766E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color rgb="FF15803D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DC2626"/>
      </font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5803D"/>
      </font>
      <fill>
        <patternFill>
          <bgColor rgb="FFDCFCE7"/>
        </patternFill>
      </fill>
    </dxf>
    <dxf>
      <fill>
        <patternFill patternType="solid">
          <fgColor rgb="FF16325C"/>
          <bgColor rgb="FF000000"/>
        </patternFill>
      </fill>
    </dxf>
    <dxf>
      <fill>
        <patternFill patternType="solid">
          <fgColor rgb="FFF0FDFA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ont>
        <name val="Arial"/>
        <charset val="1"/>
        <family val="0"/>
        <color rgb="FF15803D"/>
      </font>
    </dxf>
    <dxf>
      <font>
        <name val="Arial"/>
        <charset val="1"/>
        <family val="0"/>
        <b val="1"/>
        <color rgb="FF0F766E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CBD5E1"/>
      <rgbColor rgb="FF878787"/>
      <rgbColor rgb="FF9999FF"/>
      <rgbColor rgb="FF993366"/>
      <rgbColor rgb="FFFEF9C3"/>
      <rgbColor rgb="FFCCFBF1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EF3C7"/>
      <rgbColor rgb="FFD9D9D9"/>
      <rgbColor rgb="FFF1F5F9"/>
      <rgbColor rgb="FFCC99FF"/>
      <rgbColor rgb="FFFEE2E2"/>
      <rgbColor rgb="FF3366FF"/>
      <rgbColor rgb="FF14B8A6"/>
      <rgbColor rgb="FF99CC00"/>
      <rgbColor rgb="FFFFCC00"/>
      <rgbColor rgb="FFFF9900"/>
      <rgbColor rgb="FFFF6600"/>
      <rgbColor rgb="FF64748B"/>
      <rgbColor rgb="FF94A3B8"/>
      <rgbColor rgb="FF16325C"/>
      <rgbColor rgb="FF339966"/>
      <rgbColor rgb="FF0B1F3A"/>
      <rgbColor rgb="FF333300"/>
      <rgbColor rgb="FFB45309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1f3a"/>
                </a:solidFill>
                <a:latin typeface="Arial"/>
              </a:defRPr>
            </a:pPr>
            <a:r>
              <a:rPr b="1" sz="1200" spc="-1" strike="noStrike">
                <a:solidFill>
                  <a:srgbClr val="0b1f3a"/>
                </a:solidFill>
                <a:latin typeface="Arial"/>
              </a:rPr>
              <a:t>Spending vs. Ideal / Gasto vs. Ideal (% of income)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"Actual / Real"</c:f>
              <c:strCache>
                <c:ptCount val="1"/>
                <c:pt idx="0">
                  <c:v>Actual / Real</c:v>
                </c:pt>
              </c:strCache>
            </c:strRef>
          </c:tx>
          <c:spPr>
            <a:solidFill>
              <a:srgbClr val="14b8a6"/>
            </a:solidFill>
            <a:ln w="9360">
              <a:solidFill>
                <a:srgbClr val="0f76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Dashboard!$I$21:$I$23</c:f>
              <c:strCache>
                <c:ptCount val="3"/>
                <c:pt idx="0">
                  <c:v>Needs / Necesidades</c:v>
                </c:pt>
                <c:pt idx="1">
                  <c:v>Wants / Gustos</c:v>
                </c:pt>
                <c:pt idx="2">
                  <c:v>Savings &amp; Debt / Ahorro y Deuda</c:v>
                </c:pt>
              </c:strCache>
            </c:strRef>
          </c:cat>
          <c:val>
            <c:numRef>
              <c:f>Dashboard!$K$21:$K$23</c:f>
              <c:numCache>
                <c:formatCode>0%</c:formatCode>
                <c:ptCount val="3"/>
                <c:pt idx="0">
                  <c:v>0.604170247933884</c:v>
                </c:pt>
                <c:pt idx="1">
                  <c:v>0.0268595041322314</c:v>
                </c:pt>
                <c:pt idx="2">
                  <c:v>0.128099173553719</c:v>
                </c:pt>
              </c:numCache>
            </c:numRef>
          </c:val>
        </c:ser>
        <c:ser>
          <c:idx val="1"/>
          <c:order val="1"/>
          <c:tx>
            <c:strRef>
              <c:f>"Ideal"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rgbClr val="cbd5e1"/>
            </a:solidFill>
            <a:ln w="9360">
              <a:solidFill>
                <a:srgbClr val="94a3b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Dashboard!$I$21:$I$23</c:f>
              <c:strCache>
                <c:ptCount val="3"/>
                <c:pt idx="0">
                  <c:v>Needs / Necesidades</c:v>
                </c:pt>
                <c:pt idx="1">
                  <c:v>Wants / Gustos</c:v>
                </c:pt>
                <c:pt idx="2">
                  <c:v>Savings &amp; Debt / Ahorro y Deuda</c:v>
                </c:pt>
              </c:strCache>
            </c:strRef>
          </c:cat>
          <c:val>
            <c:numRef>
              <c:f>Dashboard!$L$21:$L$23</c:f>
              <c:numCache>
                <c:formatCode>0%</c:formatCode>
                <c:ptCount val="3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</c:ser>
        <c:gapWidth val="150"/>
        <c:overlap val="0"/>
        <c:axId val="10958455"/>
        <c:axId val="9018988"/>
      </c:barChart>
      <c:catAx>
        <c:axId val="1095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8988"/>
        <c:crosses val="autoZero"/>
        <c:auto val="1"/>
        <c:lblAlgn val="ctr"/>
        <c:lblOffset val="100"/>
        <c:noMultiLvlLbl val="0"/>
      </c:catAx>
      <c:valAx>
        <c:axId val="901898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5845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1f3a"/>
                </a:solidFill>
                <a:latin typeface="Arial"/>
              </a:defRPr>
            </a:pPr>
            <a:r>
              <a:rPr b="1" sz="1200" spc="-1" strike="noStrike">
                <a:solidFill>
                  <a:srgbClr val="0b1f3a"/>
                </a:solidFill>
                <a:latin typeface="Arial"/>
              </a:rPr>
              <a:t>Income vs. Spending / Ingresos vs. Gastos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"Income / Ingresos"</c:f>
              <c:strCache>
                <c:ptCount val="1"/>
                <c:pt idx="0">
                  <c:v>Income / Ingresos</c:v>
                </c:pt>
              </c:strCache>
            </c:strRef>
          </c:tx>
          <c:spPr>
            <a:solidFill>
              <a:srgbClr val="14b8a6"/>
            </a:solidFill>
            <a:ln w="9360">
              <a:solidFill>
                <a:srgbClr val="0f766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Dashboard!$B$58:$B$69</c:f>
              <c:strCache>
                <c:ptCount val="12"/>
                <c:pt idx="0">
                  <c:v>Jan / Ene</c:v>
                </c:pt>
                <c:pt idx="1">
                  <c:v>Feb / Feb</c:v>
                </c:pt>
                <c:pt idx="2">
                  <c:v>Mar / Mar</c:v>
                </c:pt>
                <c:pt idx="3">
                  <c:v>Apr / Abr</c:v>
                </c:pt>
                <c:pt idx="4">
                  <c:v>May / May</c:v>
                </c:pt>
                <c:pt idx="5">
                  <c:v>Jun / Jun</c:v>
                </c:pt>
                <c:pt idx="6">
                  <c:v>Jul / Jul</c:v>
                </c:pt>
                <c:pt idx="7">
                  <c:v>Aug / Ago</c:v>
                </c:pt>
                <c:pt idx="8">
                  <c:v>Sep / Sep</c:v>
                </c:pt>
                <c:pt idx="9">
                  <c:v>Oct / Oct</c:v>
                </c:pt>
                <c:pt idx="10">
                  <c:v>Nov / Nov</c:v>
                </c:pt>
                <c:pt idx="11">
                  <c:v>Dec / Dic</c:v>
                </c:pt>
              </c:strCache>
            </c:strRef>
          </c:cat>
          <c:val>
            <c:numRef>
              <c:f>Dashboard!$C$58:$C$69</c:f>
              <c:numCache>
                <c:formatCode>\$#,##0.00</c:formatCode>
                <c:ptCount val="12"/>
                <c:pt idx="0">
                  <c:v>5600</c:v>
                </c:pt>
                <c:pt idx="1">
                  <c:v>5600</c:v>
                </c:pt>
                <c:pt idx="2">
                  <c:v>6050</c:v>
                </c:pt>
                <c:pt idx="3">
                  <c:v>5600</c:v>
                </c:pt>
                <c:pt idx="4">
                  <c:v>5600</c:v>
                </c:pt>
                <c:pt idx="5">
                  <c:v>6050</c:v>
                </c:pt>
                <c:pt idx="6">
                  <c:v>5600</c:v>
                </c:pt>
                <c:pt idx="7">
                  <c:v>5600</c:v>
                </c:pt>
                <c:pt idx="8">
                  <c:v>6050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"Spending / Gastos"</c:f>
              <c:strCache>
                <c:ptCount val="1"/>
                <c:pt idx="0">
                  <c:v>Spending / Gastos</c:v>
                </c:pt>
              </c:strCache>
            </c:strRef>
          </c:tx>
          <c:spPr>
            <a:solidFill>
              <a:srgbClr val="16325c"/>
            </a:solidFill>
            <a:ln w="9360">
              <a:solidFill>
                <a:srgbClr val="0b1f3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Dashboard!$B$58:$B$69</c:f>
              <c:strCache>
                <c:ptCount val="12"/>
                <c:pt idx="0">
                  <c:v>Jan / Ene</c:v>
                </c:pt>
                <c:pt idx="1">
                  <c:v>Feb / Feb</c:v>
                </c:pt>
                <c:pt idx="2">
                  <c:v>Mar / Mar</c:v>
                </c:pt>
                <c:pt idx="3">
                  <c:v>Apr / Abr</c:v>
                </c:pt>
                <c:pt idx="4">
                  <c:v>May / May</c:v>
                </c:pt>
                <c:pt idx="5">
                  <c:v>Jun / Jun</c:v>
                </c:pt>
                <c:pt idx="6">
                  <c:v>Jul / Jul</c:v>
                </c:pt>
                <c:pt idx="7">
                  <c:v>Aug / Ago</c:v>
                </c:pt>
                <c:pt idx="8">
                  <c:v>Sep / Sep</c:v>
                </c:pt>
                <c:pt idx="9">
                  <c:v>Oct / Oct</c:v>
                </c:pt>
                <c:pt idx="10">
                  <c:v>Nov / Nov</c:v>
                </c:pt>
                <c:pt idx="11">
                  <c:v>Dec / Dic</c:v>
                </c:pt>
              </c:strCache>
            </c:strRef>
          </c:cat>
          <c:val>
            <c:numRef>
              <c:f>Dashboard!$D$58:$D$69</c:f>
              <c:numCache>
                <c:formatCode>\$#,##0.00</c:formatCode>
                <c:ptCount val="12"/>
                <c:pt idx="0">
                  <c:v>4573.39</c:v>
                </c:pt>
                <c:pt idx="1">
                  <c:v>4550.39</c:v>
                </c:pt>
                <c:pt idx="2">
                  <c:v>4599.47</c:v>
                </c:pt>
                <c:pt idx="3">
                  <c:v>4743.52</c:v>
                </c:pt>
                <c:pt idx="4">
                  <c:v>4695.42</c:v>
                </c:pt>
                <c:pt idx="5">
                  <c:v>4609.89</c:v>
                </c:pt>
                <c:pt idx="6">
                  <c:v>5066.01</c:v>
                </c:pt>
                <c:pt idx="7">
                  <c:v>4639.92</c:v>
                </c:pt>
                <c:pt idx="8">
                  <c:v>4592.73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94368295"/>
        <c:axId val="12868460"/>
      </c:barChart>
      <c:catAx>
        <c:axId val="94368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68460"/>
        <c:crosses val="autoZero"/>
        <c:auto val="1"/>
        <c:lblAlgn val="ctr"/>
        <c:lblOffset val="100"/>
        <c:noMultiLvlLbl val="0"/>
      </c:catAx>
      <c:valAx>
        <c:axId val="1286846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6829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25</xdr:row>
      <xdr:rowOff>0</xdr:rowOff>
    </xdr:from>
    <xdr:to>
      <xdr:col>12</xdr:col>
      <xdr:colOff>696960</xdr:colOff>
      <xdr:row>39</xdr:row>
      <xdr:rowOff>32400</xdr:rowOff>
    </xdr:to>
    <xdr:graphicFrame>
      <xdr:nvGraphicFramePr>
        <xdr:cNvPr id="0" name="Chart 1"/>
        <xdr:cNvGraphicFramePr/>
      </xdr:nvGraphicFramePr>
      <xdr:xfrm>
        <a:off x="10801440" y="58482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54</xdr:row>
      <xdr:rowOff>0</xdr:rowOff>
    </xdr:from>
    <xdr:to>
      <xdr:col>12</xdr:col>
      <xdr:colOff>696960</xdr:colOff>
      <xdr:row>68</xdr:row>
      <xdr:rowOff>93960</xdr:rowOff>
    </xdr:to>
    <xdr:graphicFrame>
      <xdr:nvGraphicFramePr>
        <xdr:cNvPr id="1" name="Chart 2"/>
        <xdr:cNvGraphicFramePr/>
      </xdr:nvGraphicFramePr>
      <xdr:xfrm>
        <a:off x="10801440" y="1137276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fitTrack_Bilingual_Budget_Planner.xlsx" TargetMode="External"/><Relationship Id="rId2" Type="http://schemas.openxmlformats.org/officeDocument/2006/relationships/hyperlink" Target="ProfitTrack_Bilingual_Budget_Planner.xlsx" TargetMode="External"/><Relationship Id="rId3" Type="http://schemas.openxmlformats.org/officeDocument/2006/relationships/hyperlink" Target="ProfitTrack_Bilingual_Budget_Planner.xlsx" TargetMode="External"/><Relationship Id="rId4" Type="http://schemas.openxmlformats.org/officeDocument/2006/relationships/hyperlink" Target="ProfitTrack_Bilingual_Budget_Planner.xlsx" TargetMode="External"/><Relationship Id="rId5" Type="http://schemas.openxmlformats.org/officeDocument/2006/relationships/hyperlink" Target="ProfitTrack_Bilingual_Budget_Planner.xlsx" TargetMode="External"/><Relationship Id="rId6" Type="http://schemas.openxmlformats.org/officeDocument/2006/relationships/hyperlink" Target="ProfitTrack_Bilingual_Budget_Planner.xlsx" TargetMode="External"/><Relationship Id="rId7" Type="http://schemas.openxmlformats.org/officeDocument/2006/relationships/hyperlink" Target="ProfitTrack_Bilingual_Budget_Planne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/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1.75" hidden="false" customHeight="tru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3"/>
      <c r="L6" s="1"/>
    </row>
    <row r="7" customFormat="false" ht="21.75" hidden="false" customHeight="tru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</row>
    <row r="8" customFormat="false" ht="21.75" hidden="false" customHeight="true" outlineLevel="0" collapsed="false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1"/>
    </row>
    <row r="9" customFormat="false" ht="27.75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4"/>
      <c r="I9" s="4"/>
      <c r="J9" s="4"/>
      <c r="K9" s="4"/>
      <c r="L9" s="1"/>
    </row>
    <row r="10" customFormat="false" ht="21.75" hidden="false" customHeight="true" outlineLevel="0" collapsed="false">
      <c r="A10" s="1"/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1"/>
    </row>
    <row r="11" customFormat="false" ht="15" hidden="false" customHeight="true" outlineLevel="0" collapsed="false">
      <c r="A11" s="1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4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true" outlineLevel="0" collapsed="false">
      <c r="A15" s="1"/>
      <c r="B15" s="8" t="s">
        <v>5</v>
      </c>
      <c r="C15" s="8"/>
      <c r="D15" s="8"/>
      <c r="E15" s="8"/>
      <c r="F15" s="8"/>
      <c r="G15" s="8"/>
      <c r="H15" s="8"/>
      <c r="I15" s="8"/>
      <c r="J15" s="8"/>
      <c r="K15" s="8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1"/>
      <c r="C17" s="9" t="s">
        <v>6</v>
      </c>
      <c r="D17" s="9"/>
      <c r="E17" s="9"/>
      <c r="F17" s="9"/>
      <c r="G17" s="9"/>
      <c r="H17" s="9"/>
      <c r="I17" s="9"/>
      <c r="J17" s="9"/>
      <c r="K17" s="1"/>
      <c r="L17" s="1"/>
    </row>
    <row r="18" customFormat="false" ht="25.5" hidden="false" customHeight="true" outlineLevel="0" collapsed="false">
      <c r="A18" s="1"/>
      <c r="B18" s="1"/>
      <c r="C18" s="10" t="s">
        <v>7</v>
      </c>
      <c r="D18" s="10"/>
      <c r="E18" s="10"/>
      <c r="F18" s="10"/>
      <c r="G18" s="10"/>
      <c r="H18" s="10"/>
      <c r="I18" s="10"/>
      <c r="J18" s="10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1.75" hidden="false" customHeight="true" outlineLevel="0" collapsed="false">
      <c r="A20" s="1"/>
      <c r="B20" s="1"/>
      <c r="C20" s="9" t="s">
        <v>8</v>
      </c>
      <c r="D20" s="9"/>
      <c r="E20" s="9"/>
      <c r="F20" s="9"/>
      <c r="G20" s="9"/>
      <c r="H20" s="9"/>
      <c r="I20" s="9"/>
      <c r="J20" s="9"/>
      <c r="K20" s="1"/>
      <c r="L20" s="1"/>
    </row>
    <row r="21" customFormat="false" ht="25.5" hidden="false" customHeight="true" outlineLevel="0" collapsed="false">
      <c r="A21" s="1"/>
      <c r="B21" s="1"/>
      <c r="C21" s="10" t="s">
        <v>9</v>
      </c>
      <c r="D21" s="10"/>
      <c r="E21" s="10"/>
      <c r="F21" s="10"/>
      <c r="G21" s="10"/>
      <c r="H21" s="10"/>
      <c r="I21" s="10"/>
      <c r="J21" s="10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1"/>
      <c r="C23" s="9" t="s">
        <v>10</v>
      </c>
      <c r="D23" s="9"/>
      <c r="E23" s="9"/>
      <c r="F23" s="9"/>
      <c r="G23" s="9"/>
      <c r="H23" s="9"/>
      <c r="I23" s="9"/>
      <c r="J23" s="9"/>
      <c r="K23" s="1"/>
      <c r="L23" s="1"/>
    </row>
    <row r="24" customFormat="false" ht="25.5" hidden="false" customHeight="true" outlineLevel="0" collapsed="false">
      <c r="A24" s="1"/>
      <c r="B24" s="1"/>
      <c r="C24" s="10" t="s">
        <v>11</v>
      </c>
      <c r="D24" s="10"/>
      <c r="E24" s="10"/>
      <c r="F24" s="10"/>
      <c r="G24" s="10"/>
      <c r="H24" s="10"/>
      <c r="I24" s="10"/>
      <c r="J24" s="10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21.75" hidden="false" customHeight="true" outlineLevel="0" collapsed="false">
      <c r="A26" s="1"/>
      <c r="B26" s="1"/>
      <c r="C26" s="9" t="s">
        <v>12</v>
      </c>
      <c r="D26" s="9"/>
      <c r="E26" s="9"/>
      <c r="F26" s="9"/>
      <c r="G26" s="9"/>
      <c r="H26" s="9"/>
      <c r="I26" s="9"/>
      <c r="J26" s="9"/>
      <c r="K26" s="1"/>
      <c r="L26" s="1"/>
    </row>
    <row r="27" customFormat="false" ht="25.5" hidden="false" customHeight="true" outlineLevel="0" collapsed="false">
      <c r="A27" s="1"/>
      <c r="B27" s="1"/>
      <c r="C27" s="10" t="s">
        <v>13</v>
      </c>
      <c r="D27" s="10"/>
      <c r="E27" s="10"/>
      <c r="F27" s="10"/>
      <c r="G27" s="10"/>
      <c r="H27" s="10"/>
      <c r="I27" s="10"/>
      <c r="J27" s="10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21.75" hidden="false" customHeight="true" outlineLevel="0" collapsed="false">
      <c r="A29" s="1"/>
      <c r="B29" s="1"/>
      <c r="C29" s="9" t="s">
        <v>14</v>
      </c>
      <c r="D29" s="9"/>
      <c r="E29" s="9"/>
      <c r="F29" s="9"/>
      <c r="G29" s="9"/>
      <c r="H29" s="9"/>
      <c r="I29" s="9"/>
      <c r="J29" s="9"/>
      <c r="K29" s="1"/>
      <c r="L29" s="1"/>
    </row>
    <row r="30" customFormat="false" ht="25.5" hidden="false" customHeight="true" outlineLevel="0" collapsed="false">
      <c r="A30" s="1"/>
      <c r="B30" s="1"/>
      <c r="C30" s="10" t="s">
        <v>15</v>
      </c>
      <c r="D30" s="10"/>
      <c r="E30" s="10"/>
      <c r="F30" s="10"/>
      <c r="G30" s="10"/>
      <c r="H30" s="10"/>
      <c r="I30" s="10"/>
      <c r="J30" s="10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21.75" hidden="false" customHeight="true" outlineLevel="0" collapsed="false">
      <c r="A32" s="1"/>
      <c r="B32" s="1"/>
      <c r="C32" s="9" t="s">
        <v>16</v>
      </c>
      <c r="D32" s="9"/>
      <c r="E32" s="9"/>
      <c r="F32" s="9"/>
      <c r="G32" s="9"/>
      <c r="H32" s="9"/>
      <c r="I32" s="9"/>
      <c r="J32" s="9"/>
      <c r="K32" s="1"/>
      <c r="L32" s="1"/>
    </row>
    <row r="33" customFormat="false" ht="25.5" hidden="false" customHeight="true" outlineLevel="0" collapsed="false">
      <c r="A33" s="1"/>
      <c r="B33" s="1"/>
      <c r="C33" s="10" t="s">
        <v>17</v>
      </c>
      <c r="D33" s="10"/>
      <c r="E33" s="10"/>
      <c r="F33" s="10"/>
      <c r="G33" s="10"/>
      <c r="H33" s="10"/>
      <c r="I33" s="10"/>
      <c r="J33" s="10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true" outlineLevel="0" collapsed="false">
      <c r="A36" s="1"/>
      <c r="B36" s="11" t="s">
        <v>18</v>
      </c>
      <c r="C36" s="11"/>
      <c r="D36" s="11"/>
      <c r="E36" s="11"/>
      <c r="F36" s="11"/>
      <c r="G36" s="11"/>
      <c r="H36" s="11"/>
      <c r="I36" s="11"/>
      <c r="J36" s="11"/>
      <c r="K36" s="1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true" outlineLevel="0" collapsed="false">
      <c r="A38" s="1"/>
      <c r="B38" s="12" t="s">
        <v>19</v>
      </c>
      <c r="C38" s="12"/>
      <c r="D38" s="12"/>
      <c r="E38" s="12"/>
      <c r="F38" s="12"/>
      <c r="G38" s="12"/>
      <c r="H38" s="12"/>
      <c r="I38" s="12"/>
      <c r="J38" s="12"/>
      <c r="K38" s="12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true" outlineLevel="0" collapsed="false">
      <c r="A41" s="1"/>
      <c r="B41" s="13" t="s">
        <v>20</v>
      </c>
      <c r="C41" s="13"/>
      <c r="D41" s="13"/>
      <c r="E41" s="13"/>
      <c r="F41" s="13"/>
      <c r="G41" s="13"/>
      <c r="H41" s="13"/>
      <c r="I41" s="13"/>
      <c r="J41" s="13"/>
      <c r="K41" s="13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21">
    <mergeCell ref="B4:K4"/>
    <mergeCell ref="B6:K8"/>
    <mergeCell ref="B9:K9"/>
    <mergeCell ref="B10:K10"/>
    <mergeCell ref="B11:K11"/>
    <mergeCell ref="B15:K15"/>
    <mergeCell ref="C17:J17"/>
    <mergeCell ref="C18:J18"/>
    <mergeCell ref="C20:J20"/>
    <mergeCell ref="C21:J21"/>
    <mergeCell ref="C23:J23"/>
    <mergeCell ref="C24:J24"/>
    <mergeCell ref="C26:J26"/>
    <mergeCell ref="C27:J27"/>
    <mergeCell ref="C29:J29"/>
    <mergeCell ref="C30:J30"/>
    <mergeCell ref="C32:J32"/>
    <mergeCell ref="C33:J33"/>
    <mergeCell ref="B36:K36"/>
    <mergeCell ref="B38:K38"/>
    <mergeCell ref="B41:K41"/>
  </mergeCells>
  <hyperlinks>
    <hyperlink ref="C17" r:id="rId1" location="'Dashboard'!A1" display="📊  Dashboard / Panel"/>
    <hyperlink ref="C20" r:id="rId2" location="'Transactions'!A1" display="🧾  Transactions / Movimientos"/>
    <hyperlink ref="C23" r:id="rId3" location="'Budget'!A1" display="🎯  Budget / Presupuesto"/>
    <hyperlink ref="C26" r:id="rId4" location="'Savings%20Goals'!A1" display="🐷  Savings Goals / Metas de Ahorro"/>
    <hyperlink ref="C29" r:id="rId5" location="'Debts'!A1" display="💳  Debts / Deudas"/>
    <hyperlink ref="C32" r:id="rId6" location="'Quick%20Start%20Guide'!A1" display="🚀  Quick Start Guide / Guía Rápida"/>
    <hyperlink ref="B38" r:id="rId7" location="'Quick%20Start%20Guide'!A1" display="Start here → Quick Start Guide   |   Empieza aquí → Guía Rápid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24"/>
    <col collapsed="false" customWidth="true" hidden="false" outlineLevel="0" max="11" min="10" style="0" width="13"/>
    <col collapsed="false" customWidth="true" hidden="false" outlineLevel="0" max="12" min="12" style="0" width="11"/>
    <col collapsed="false" customWidth="true" hidden="false" outlineLevel="0" max="14" min="13" style="0" width="13"/>
    <col collapsed="false" customWidth="true" hidden="false" outlineLevel="0" max="15" min="15" style="0" width="3"/>
    <col collapsed="false" customWidth="true" hidden="true" outlineLevel="0" max="17" min="17" style="0" width="13"/>
    <col collapsed="false" customWidth="true" hidden="true" outlineLevel="0" max="19" min="19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30" hidden="false" customHeight="true" outlineLevel="0" collapsed="false">
      <c r="A2" s="1"/>
      <c r="B2" s="15" t="s">
        <v>21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customFormat="false" ht="19.5" hidden="false" customHeight="true" outlineLevel="0" collapsed="false">
      <c r="A3" s="1"/>
      <c r="B3" s="16" t="s">
        <v>22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customFormat="false" ht="24" hidden="false" customHeight="true" outlineLevel="0" collapsed="false">
      <c r="B6" s="17" t="s">
        <v>23</v>
      </c>
      <c r="C6" s="18" t="str">
        <f aca="true">INDEX($B$58:$B$69,IF(COUNT(Transactions!$B$6:$B$1005)=0,MONTH(TODAY()),MONTH(MAX(Transactions!$B$6:$B$1005))))</f>
        <v>Sep / Sep</v>
      </c>
      <c r="D6" s="18"/>
      <c r="E6" s="17" t="s">
        <v>24</v>
      </c>
      <c r="F6" s="19" t="n">
        <f aca="true">IF(COUNT(Transactions!$B$6:$B$1005)=0,YEAR(TODAY()),YEAR(MAX(Transactions!$B$6:$B$1005)))</f>
        <v>2026</v>
      </c>
      <c r="G6" s="20" t="s">
        <v>25</v>
      </c>
      <c r="Q6" s="21" t="n">
        <f aca="false">IFERROR(MATCH($C$6,$B$58:$B$69,0),1)</f>
        <v>9</v>
      </c>
    </row>
    <row r="7" customFormat="false" ht="15" hidden="false" customHeight="false" outlineLevel="0" collapsed="false">
      <c r="Q7" s="0" t="n">
        <f aca="false">$F$6*100+$Q$6</f>
        <v>202609</v>
      </c>
    </row>
    <row r="8" customFormat="false" ht="19.5" hidden="false" customHeight="true" outlineLevel="0" collapsed="false">
      <c r="B8" s="22" t="s">
        <v>26</v>
      </c>
      <c r="C8" s="23" t="s">
        <v>27</v>
      </c>
      <c r="D8" s="23"/>
      <c r="E8" s="23" t="s">
        <v>28</v>
      </c>
      <c r="F8" s="23"/>
      <c r="G8" s="22" t="s">
        <v>29</v>
      </c>
    </row>
    <row r="9" customFormat="false" ht="15.75" hidden="false" customHeight="true" outlineLevel="0" collapsed="false">
      <c r="B9" s="24" t="s">
        <v>30</v>
      </c>
      <c r="C9" s="25" t="s">
        <v>31</v>
      </c>
      <c r="D9" s="25"/>
      <c r="E9" s="25" t="s">
        <v>32</v>
      </c>
      <c r="F9" s="25"/>
      <c r="G9" s="24" t="s">
        <v>33</v>
      </c>
    </row>
    <row r="10" customFormat="false" ht="37.5" hidden="false" customHeight="true" outlineLevel="0" collapsed="false">
      <c r="B10" s="26" t="n">
        <f aca="false">SUMIFS(Transactions!$E$6:$E$1005,Transactions!$L$6:$L$1005,$Q$7,Transactions!$H$6:$H$1005,"Income / Ingreso")</f>
        <v>6050</v>
      </c>
      <c r="C10" s="27" t="n">
        <f aca="false">SUMIFS(Transactions!$E$6:$E$1005,Transactions!$L$6:$L$1005,$Q$7,Transactions!$H$6:$H$1005,"Expense / Gasto")</f>
        <v>4592.73</v>
      </c>
      <c r="D10" s="27"/>
      <c r="E10" s="27" t="n">
        <f aca="false">B10-C10</f>
        <v>1457.27</v>
      </c>
      <c r="F10" s="27"/>
      <c r="G10" s="28" t="n">
        <f aca="false">SUM($S$21:$S$50)</f>
        <v>2</v>
      </c>
    </row>
    <row r="11" customFormat="false" ht="18" hidden="false" customHeight="true" outlineLevel="0" collapsed="false">
      <c r="B11" s="29" t="n">
        <f aca="false">SUM(Budget!$E$7:$E$11)</f>
        <v>5900</v>
      </c>
      <c r="C11" s="30" t="n">
        <f aca="false">SUM(C21:C50)</f>
        <v>5850</v>
      </c>
      <c r="D11" s="30"/>
      <c r="E11" s="31" t="n">
        <f aca="false">IF(B10=0,0,E10/B10)</f>
        <v>0.240871074380165</v>
      </c>
      <c r="F11" s="31"/>
      <c r="G11" s="32" t="s">
        <v>34</v>
      </c>
    </row>
    <row r="13" customFormat="false" ht="19.5" hidden="false" customHeight="true" outlineLevel="0" collapsed="false">
      <c r="B13" s="22" t="s">
        <v>35</v>
      </c>
      <c r="C13" s="23" t="s">
        <v>36</v>
      </c>
      <c r="D13" s="23"/>
      <c r="E13" s="23" t="s">
        <v>37</v>
      </c>
      <c r="F13" s="23"/>
      <c r="G13" s="22" t="s">
        <v>38</v>
      </c>
    </row>
    <row r="14" customFormat="false" ht="15.75" hidden="false" customHeight="true" outlineLevel="0" collapsed="false">
      <c r="B14" s="24" t="s">
        <v>39</v>
      </c>
      <c r="C14" s="25" t="s">
        <v>40</v>
      </c>
      <c r="D14" s="25"/>
      <c r="E14" s="25" t="s">
        <v>41</v>
      </c>
      <c r="F14" s="25"/>
      <c r="G14" s="24" t="s">
        <v>42</v>
      </c>
    </row>
    <row r="15" customFormat="false" ht="37.5" hidden="false" customHeight="true" outlineLevel="0" collapsed="false">
      <c r="B15" s="26" t="n">
        <f aca="false">SUMIFS(Transactions!$E$6:$E$1005,Transactions!$M$6:$M$1005,$F$6,Transactions!$H$6:$H$1005,"Income / Ingreso")</f>
        <v>51750</v>
      </c>
      <c r="C15" s="27" t="n">
        <f aca="false">SUMIFS(Transactions!$E$6:$E$1005,Transactions!$M$6:$M$1005,$F$6,Transactions!$H$6:$H$1005,"Expense / Gasto")</f>
        <v>42070.74</v>
      </c>
      <c r="D15" s="27"/>
      <c r="E15" s="27" t="n">
        <f aca="false">SUM('Savings Goals'!$D$6:$D$25)</f>
        <v>3000</v>
      </c>
      <c r="F15" s="27"/>
      <c r="G15" s="26" t="n">
        <f aca="false">Debts!$G$27</f>
        <v>24850</v>
      </c>
    </row>
    <row r="16" customFormat="false" ht="18" hidden="false" customHeight="true" outlineLevel="0" collapsed="false">
      <c r="B16" s="32"/>
      <c r="C16" s="33"/>
      <c r="D16" s="33"/>
      <c r="E16" s="34" t="n">
        <f aca="false">SUM('Savings Goals'!$C$6:$C$25)</f>
        <v>10400</v>
      </c>
      <c r="F16" s="34"/>
      <c r="G16" s="35" t="n">
        <f aca="false">Debts!$G$28</f>
        <v>625</v>
      </c>
    </row>
    <row r="18" customFormat="false" ht="15" hidden="false" customHeight="false" outlineLevel="0" collapsed="false">
      <c r="B18" s="36" t="s">
        <v>43</v>
      </c>
      <c r="C18" s="36"/>
      <c r="D18" s="36"/>
      <c r="E18" s="36"/>
      <c r="F18" s="36"/>
      <c r="G18" s="36"/>
      <c r="I18" s="36" t="s">
        <v>44</v>
      </c>
      <c r="J18" s="36"/>
      <c r="K18" s="36"/>
      <c r="L18" s="36"/>
      <c r="M18" s="36"/>
      <c r="N18" s="36"/>
    </row>
    <row r="19" customFormat="false" ht="3.75" hidden="false" customHeight="true" outlineLevel="0" collapsed="false"/>
    <row r="20" customFormat="false" ht="30" hidden="false" customHeight="true" outlineLevel="0" collapsed="false">
      <c r="B20" s="37" t="s">
        <v>45</v>
      </c>
      <c r="C20" s="37" t="s">
        <v>46</v>
      </c>
      <c r="D20" s="37" t="s">
        <v>47</v>
      </c>
      <c r="E20" s="37" t="s">
        <v>48</v>
      </c>
      <c r="F20" s="37" t="s">
        <v>49</v>
      </c>
      <c r="G20" s="37" t="s">
        <v>50</v>
      </c>
      <c r="I20" s="37" t="s">
        <v>51</v>
      </c>
      <c r="J20" s="37" t="s">
        <v>52</v>
      </c>
      <c r="K20" s="37" t="s">
        <v>53</v>
      </c>
      <c r="L20" s="37" t="s">
        <v>54</v>
      </c>
      <c r="M20" s="38" t="s">
        <v>55</v>
      </c>
      <c r="N20" s="38"/>
    </row>
    <row r="21" customFormat="false" ht="15" hidden="false" customHeight="false" outlineLevel="0" collapsed="false">
      <c r="B21" s="39" t="str">
        <f aca="false">IF(Budget!$B$12="","",Budget!$B$12)</f>
        <v>Rent / Mortgage – Renta / Hipoteca</v>
      </c>
      <c r="C21" s="40" t="n">
        <f aca="false">IF($B21="",0,IF(Budget!$E$12="",0,Budget!$E$12))</f>
        <v>1650</v>
      </c>
      <c r="D21" s="40" t="n">
        <f aca="false">IF($B21="",0,SUMIFS(Transactions!$E$6:$E$1005,Transactions!$L$6:$L$1005,$Q$7,Transactions!$D$6:$D$1005,$B21))</f>
        <v>1650</v>
      </c>
      <c r="E21" s="40" t="n">
        <f aca="false">C21-D21</f>
        <v>0</v>
      </c>
      <c r="F21" s="41" t="n">
        <f aca="false">IF($B21="","",IF(C21=0,IF(D21&gt;0,1,0),D21/C21))</f>
        <v>1</v>
      </c>
      <c r="G21" s="39" t="str">
        <f aca="false">IF($B21="","",IF(D21&gt;C21,"⚠ OVER / EXCEDIDO",IF(D21=0,"– not used / sin uso","✔ UNDER / BAJO")))</f>
        <v>✔ UNDER / BAJO</v>
      </c>
      <c r="I21" s="42" t="s">
        <v>56</v>
      </c>
      <c r="J21" s="43" t="n">
        <f aca="false">ROUND(SUMIFS(Transactions!$E$6:$E$1005,Transactions!$L$6:$L$1005,$Q$7,Transactions!$N$6:$N$1005,I21,Transactions!$H$6:$H$1005,"Expense / Gasto"),2)</f>
        <v>3655.23</v>
      </c>
      <c r="K21" s="41" t="n">
        <f aca="false">IF($B$10=0,0,J21/$B$10)</f>
        <v>0.604170247933884</v>
      </c>
      <c r="L21" s="41" t="n">
        <v>0.5</v>
      </c>
      <c r="M21" s="39" t="str">
        <f aca="false">IF(K21&lt;=L21,"✔ ON TRACK / BIEN","● TOO HIGH / MUY ALTO")</f>
        <v>● TOO HIGH / MUY ALTO</v>
      </c>
      <c r="N21" s="39"/>
      <c r="S21" s="0" t="n">
        <f aca="false">IF($B21="",0,IF(D21&gt;C21,1,0))</f>
        <v>0</v>
      </c>
    </row>
    <row r="22" customFormat="false" ht="15" hidden="false" customHeight="false" outlineLevel="0" collapsed="false">
      <c r="B22" s="44" t="str">
        <f aca="false">IF(Budget!$B$13="","",Budget!$B$13)</f>
        <v>Utilities / Servicios (luz, agua, gas)</v>
      </c>
      <c r="C22" s="45" t="n">
        <f aca="false">IF($B22="",0,IF(Budget!$E$13="",0,Budget!$E$13))</f>
        <v>220</v>
      </c>
      <c r="D22" s="45" t="n">
        <f aca="false">IF($B22="",0,SUMIFS(Transactions!$E$6:$E$1005,Transactions!$L$6:$L$1005,$Q$7,Transactions!$D$6:$D$1005,$B22))</f>
        <v>259.06</v>
      </c>
      <c r="E22" s="45" t="n">
        <f aca="false">C22-D22</f>
        <v>-39.06</v>
      </c>
      <c r="F22" s="46" t="n">
        <f aca="false">IF($B22="","",IF(C22=0,IF(D22&gt;0,1,0),D22/C22))</f>
        <v>1.17754545454545</v>
      </c>
      <c r="G22" s="44" t="str">
        <f aca="false">IF($B22="","",IF(D22&gt;C22,"⚠ OVER / EXCEDIDO",IF(D22=0,"– not used / sin uso","✔ UNDER / BAJO")))</f>
        <v>⚠ OVER / EXCEDIDO</v>
      </c>
      <c r="I22" s="47" t="s">
        <v>57</v>
      </c>
      <c r="J22" s="48" t="n">
        <f aca="false">ROUND(SUMIFS(Transactions!$E$6:$E$1005,Transactions!$L$6:$L$1005,$Q$7,Transactions!$N$6:$N$1005,I22,Transactions!$H$6:$H$1005,"Expense / Gasto"),2)</f>
        <v>162.5</v>
      </c>
      <c r="K22" s="46" t="n">
        <f aca="false">IF($B$10=0,0,J22/$B$10)</f>
        <v>0.0268595041322314</v>
      </c>
      <c r="L22" s="46" t="n">
        <v>0.3</v>
      </c>
      <c r="M22" s="44" t="str">
        <f aca="false">IF(K22&lt;=L22,"✔ ON TRACK / BIEN","● TOO HIGH / MUY ALTO")</f>
        <v>✔ ON TRACK / BIEN</v>
      </c>
      <c r="N22" s="44"/>
      <c r="S22" s="0" t="n">
        <f aca="false">IF($B22="",0,IF(D22&gt;C22,1,0))</f>
        <v>1</v>
      </c>
    </row>
    <row r="23" customFormat="false" ht="15" hidden="false" customHeight="false" outlineLevel="0" collapsed="false">
      <c r="B23" s="39" t="str">
        <f aca="false">IF(Budget!$B$14="","",Budget!$B$14)</f>
        <v>Groceries / Supermercado</v>
      </c>
      <c r="C23" s="40" t="n">
        <f aca="false">IF($B23="",0,IF(Budget!$E$14="",0,Budget!$E$14))</f>
        <v>650</v>
      </c>
      <c r="D23" s="40" t="n">
        <f aca="false">IF($B23="",0,SUMIFS(Transactions!$E$6:$E$1005,Transactions!$L$6:$L$1005,$Q$7,Transactions!$D$6:$D$1005,$B23))</f>
        <v>581.42</v>
      </c>
      <c r="E23" s="40" t="n">
        <f aca="false">C23-D23</f>
        <v>68.5799999999999</v>
      </c>
      <c r="F23" s="41" t="n">
        <f aca="false">IF($B23="","",IF(C23=0,IF(D23&gt;0,1,0),D23/C23))</f>
        <v>0.894492307692308</v>
      </c>
      <c r="G23" s="39" t="str">
        <f aca="false">IF($B23="","",IF(D23&gt;C23,"⚠ OVER / EXCEDIDO",IF(D23=0,"– not used / sin uso","✔ UNDER / BAJO")))</f>
        <v>✔ UNDER / BAJO</v>
      </c>
      <c r="I23" s="42" t="s">
        <v>58</v>
      </c>
      <c r="J23" s="43" t="n">
        <f aca="false">ROUND(SUMIFS(Transactions!$E$6:$E$1005,Transactions!$L$6:$L$1005,$Q$7,Transactions!$N$6:$N$1005,I23,Transactions!$H$6:$H$1005,"Expense / Gasto"),2)</f>
        <v>775</v>
      </c>
      <c r="K23" s="41" t="n">
        <f aca="false">IF($B$10=0,0,J23/$B$10)</f>
        <v>0.128099173553719</v>
      </c>
      <c r="L23" s="41" t="n">
        <v>0.2</v>
      </c>
      <c r="M23" s="39" t="str">
        <f aca="false">IF(K23&gt;=L23,"✔ GREAT / EXCELENTE","● SAVE MORE / AHORRA MÁS")</f>
        <v>● SAVE MORE / AHORRA MÁS</v>
      </c>
      <c r="N23" s="39"/>
      <c r="S23" s="0" t="n">
        <f aca="false">IF($B23="",0,IF(D23&gt;C23,1,0))</f>
        <v>0</v>
      </c>
    </row>
    <row r="24" customFormat="false" ht="15" hidden="false" customHeight="false" outlineLevel="0" collapsed="false">
      <c r="B24" s="44" t="str">
        <f aca="false">IF(Budget!$B$15="","",Budget!$B$15)</f>
        <v>Transportation / Transporte</v>
      </c>
      <c r="C24" s="45" t="n">
        <f aca="false">IF($B24="",0,IF(Budget!$E$15="",0,Budget!$E$15))</f>
        <v>180</v>
      </c>
      <c r="D24" s="45" t="n">
        <f aca="false">IF($B24="",0,SUMIFS(Transactions!$E$6:$E$1005,Transactions!$L$6:$L$1005,$Q$7,Transactions!$D$6:$D$1005,$B24))</f>
        <v>0</v>
      </c>
      <c r="E24" s="45" t="n">
        <f aca="false">C24-D24</f>
        <v>180</v>
      </c>
      <c r="F24" s="46" t="n">
        <f aca="false">IF($B24="","",IF(C24=0,IF(D24&gt;0,1,0),D24/C24))</f>
        <v>0</v>
      </c>
      <c r="G24" s="44" t="str">
        <f aca="false">IF($B24="","",IF(D24&gt;C24,"⚠ OVER / EXCEDIDO",IF(D24=0,"– not used / sin uso","✔ UNDER / BAJO")))</f>
        <v>– not used / sin uso</v>
      </c>
      <c r="I24" s="20" t="s">
        <v>59</v>
      </c>
      <c r="S24" s="21" t="n">
        <f aca="false">IF($B24="",0,IF(D24&gt;C24,1,0))</f>
        <v>0</v>
      </c>
    </row>
    <row r="25" customFormat="false" ht="15" hidden="false" customHeight="false" outlineLevel="0" collapsed="false">
      <c r="B25" s="39" t="str">
        <f aca="false">IF(Budget!$B$16="","",Budget!$B$16)</f>
        <v>Gas / Gasolina</v>
      </c>
      <c r="C25" s="40" t="n">
        <f aca="false">IF($B25="",0,IF(Budget!$E$16="",0,Budget!$E$16))</f>
        <v>200</v>
      </c>
      <c r="D25" s="40" t="n">
        <f aca="false">IF($B25="",0,SUMIFS(Transactions!$E$6:$E$1005,Transactions!$L$6:$L$1005,$Q$7,Transactions!$D$6:$D$1005,$B25))</f>
        <v>214.75</v>
      </c>
      <c r="E25" s="40" t="n">
        <f aca="false">C25-D25</f>
        <v>-14.75</v>
      </c>
      <c r="F25" s="41" t="n">
        <f aca="false">IF($B25="","",IF(C25=0,IF(D25&gt;0,1,0),D25/C25))</f>
        <v>1.07375</v>
      </c>
      <c r="G25" s="39" t="str">
        <f aca="false">IF($B25="","",IF(D25&gt;C25,"⚠ OVER / EXCEDIDO",IF(D25=0,"– not used / sin uso","✔ UNDER / BAJO")))</f>
        <v>⚠ OVER / EXCEDIDO</v>
      </c>
      <c r="S25" s="21" t="n">
        <f aca="false">IF($B25="",0,IF(D25&gt;C25,1,0))</f>
        <v>1</v>
      </c>
    </row>
    <row r="26" customFormat="false" ht="15" hidden="false" customHeight="false" outlineLevel="0" collapsed="false">
      <c r="B26" s="44" t="str">
        <f aca="false">IF(Budget!$B$17="","",Budget!$B$17)</f>
        <v>Insurance / Seguros</v>
      </c>
      <c r="C26" s="45" t="n">
        <f aca="false">IF($B26="",0,IF(Budget!$E$17="",0,Budget!$E$17))</f>
        <v>260</v>
      </c>
      <c r="D26" s="45" t="n">
        <f aca="false">IF($B26="",0,SUMIFS(Transactions!$E$6:$E$1005,Transactions!$L$6:$L$1005,$Q$7,Transactions!$D$6:$D$1005,$B26))</f>
        <v>260</v>
      </c>
      <c r="E26" s="45" t="n">
        <f aca="false">C26-D26</f>
        <v>0</v>
      </c>
      <c r="F26" s="46" t="n">
        <f aca="false">IF($B26="","",IF(C26=0,IF(D26&gt;0,1,0),D26/C26))</f>
        <v>1</v>
      </c>
      <c r="G26" s="44" t="str">
        <f aca="false">IF($B26="","",IF(D26&gt;C26,"⚠ OVER / EXCEDIDO",IF(D26=0,"– not used / sin uso","✔ UNDER / BAJO")))</f>
        <v>✔ UNDER / BAJO</v>
      </c>
      <c r="S26" s="21" t="n">
        <f aca="false">IF($B26="",0,IF(D26&gt;C26,1,0))</f>
        <v>0</v>
      </c>
    </row>
    <row r="27" customFormat="false" ht="15" hidden="false" customHeight="false" outlineLevel="0" collapsed="false">
      <c r="B27" s="39" t="str">
        <f aca="false">IF(Budget!$B$18="","",Budget!$B$18)</f>
        <v>Phone &amp; Internet / Teléfono e Internet</v>
      </c>
      <c r="C27" s="40" t="n">
        <f aca="false">IF($B27="",0,IF(Budget!$E$18="",0,Budget!$E$18))</f>
        <v>140</v>
      </c>
      <c r="D27" s="40" t="n">
        <f aca="false">IF($B27="",0,SUMIFS(Transactions!$E$6:$E$1005,Transactions!$L$6:$L$1005,$Q$7,Transactions!$D$6:$D$1005,$B27))</f>
        <v>140</v>
      </c>
      <c r="E27" s="40" t="n">
        <f aca="false">C27-D27</f>
        <v>0</v>
      </c>
      <c r="F27" s="41" t="n">
        <f aca="false">IF($B27="","",IF(C27=0,IF(D27&gt;0,1,0),D27/C27))</f>
        <v>1</v>
      </c>
      <c r="G27" s="39" t="str">
        <f aca="false">IF($B27="","",IF(D27&gt;C27,"⚠ OVER / EXCEDIDO",IF(D27=0,"– not used / sin uso","✔ UNDER / BAJO")))</f>
        <v>✔ UNDER / BAJO</v>
      </c>
      <c r="S27" s="21" t="n">
        <f aca="false">IF($B27="",0,IF(D27&gt;C27,1,0))</f>
        <v>0</v>
      </c>
    </row>
    <row r="28" customFormat="false" ht="15" hidden="false" customHeight="false" outlineLevel="0" collapsed="false">
      <c r="B28" s="44" t="str">
        <f aca="false">IF(Budget!$B$19="","",Budget!$B$19)</f>
        <v>Health / Salud</v>
      </c>
      <c r="C28" s="45" t="n">
        <f aca="false">IF($B28="",0,IF(Budget!$E$19="",0,Budget!$E$19))</f>
        <v>120</v>
      </c>
      <c r="D28" s="45" t="n">
        <f aca="false">IF($B28="",0,SUMIFS(Transactions!$E$6:$E$1005,Transactions!$L$6:$L$1005,$Q$7,Transactions!$D$6:$D$1005,$B28))</f>
        <v>0</v>
      </c>
      <c r="E28" s="45" t="n">
        <f aca="false">C28-D28</f>
        <v>120</v>
      </c>
      <c r="F28" s="46" t="n">
        <f aca="false">IF($B28="","",IF(C28=0,IF(D28&gt;0,1,0),D28/C28))</f>
        <v>0</v>
      </c>
      <c r="G28" s="44" t="str">
        <f aca="false">IF($B28="","",IF(D28&gt;C28,"⚠ OVER / EXCEDIDO",IF(D28=0,"– not used / sin uso","✔ UNDER / BAJO")))</f>
        <v>– not used / sin uso</v>
      </c>
      <c r="S28" s="21" t="n">
        <f aca="false">IF($B28="",0,IF(D28&gt;C28,1,0))</f>
        <v>0</v>
      </c>
    </row>
    <row r="29" customFormat="false" ht="15" hidden="false" customHeight="false" outlineLevel="0" collapsed="false">
      <c r="B29" s="39" t="str">
        <f aca="false">IF(Budget!$B$20="","",Budget!$B$20)</f>
        <v>Childcare &amp; School / Niños y Escuela</v>
      </c>
      <c r="C29" s="40" t="n">
        <f aca="false">IF($B29="",0,IF(Budget!$E$20="",0,Budget!$E$20))</f>
        <v>300</v>
      </c>
      <c r="D29" s="40" t="n">
        <f aca="false">IF($B29="",0,SUMIFS(Transactions!$E$6:$E$1005,Transactions!$L$6:$L$1005,$Q$7,Transactions!$D$6:$D$1005,$B29))</f>
        <v>300</v>
      </c>
      <c r="E29" s="40" t="n">
        <f aca="false">C29-D29</f>
        <v>0</v>
      </c>
      <c r="F29" s="41" t="n">
        <f aca="false">IF($B29="","",IF(C29=0,IF(D29&gt;0,1,0),D29/C29))</f>
        <v>1</v>
      </c>
      <c r="G29" s="39" t="str">
        <f aca="false">IF($B29="","",IF(D29&gt;C29,"⚠ OVER / EXCEDIDO",IF(D29=0,"– not used / sin uso","✔ UNDER / BAJO")))</f>
        <v>✔ UNDER / BAJO</v>
      </c>
      <c r="S29" s="21" t="n">
        <f aca="false">IF($B29="",0,IF(D29&gt;C29,1,0))</f>
        <v>0</v>
      </c>
    </row>
    <row r="30" customFormat="false" ht="15" hidden="false" customHeight="false" outlineLevel="0" collapsed="false">
      <c r="B30" s="44" t="str">
        <f aca="false">IF(Budget!$B$21="","",Budget!$B$21)</f>
        <v>Family support / Apoyo a la familia (remesas)</v>
      </c>
      <c r="C30" s="45" t="n">
        <f aca="false">IF($B30="",0,IF(Budget!$E$21="",0,Budget!$E$21))</f>
        <v>250</v>
      </c>
      <c r="D30" s="45" t="n">
        <f aca="false">IF($B30="",0,SUMIFS(Transactions!$E$6:$E$1005,Transactions!$L$6:$L$1005,$Q$7,Transactions!$D$6:$D$1005,$B30))</f>
        <v>250</v>
      </c>
      <c r="E30" s="45" t="n">
        <f aca="false">C30-D30</f>
        <v>0</v>
      </c>
      <c r="F30" s="46" t="n">
        <f aca="false">IF($B30="","",IF(C30=0,IF(D30&gt;0,1,0),D30/C30))</f>
        <v>1</v>
      </c>
      <c r="G30" s="44" t="str">
        <f aca="false">IF($B30="","",IF(D30&gt;C30,"⚠ OVER / EXCEDIDO",IF(D30=0,"– not used / sin uso","✔ UNDER / BAJO")))</f>
        <v>✔ UNDER / BAJO</v>
      </c>
      <c r="S30" s="21" t="n">
        <f aca="false">IF($B30="",0,IF(D30&gt;C30,1,0))</f>
        <v>0</v>
      </c>
    </row>
    <row r="31" customFormat="false" ht="15" hidden="false" customHeight="false" outlineLevel="0" collapsed="false">
      <c r="B31" s="39" t="str">
        <f aca="false">IF(Budget!$B$22="","",Budget!$B$22)</f>
        <v>Dining out / Comer fuera</v>
      </c>
      <c r="C31" s="40" t="n">
        <f aca="false">IF($B31="",0,IF(Budget!$E$22="",0,Budget!$E$22))</f>
        <v>220</v>
      </c>
      <c r="D31" s="40" t="n">
        <f aca="false">IF($B31="",0,SUMIFS(Transactions!$E$6:$E$1005,Transactions!$L$6:$L$1005,$Q$7,Transactions!$D$6:$D$1005,$B31))</f>
        <v>133.52</v>
      </c>
      <c r="E31" s="40" t="n">
        <f aca="false">C31-D31</f>
        <v>86.48</v>
      </c>
      <c r="F31" s="41" t="n">
        <f aca="false">IF($B31="","",IF(C31=0,IF(D31&gt;0,1,0),D31/C31))</f>
        <v>0.606909090909091</v>
      </c>
      <c r="G31" s="39" t="str">
        <f aca="false">IF($B31="","",IF(D31&gt;C31,"⚠ OVER / EXCEDIDO",IF(D31=0,"– not used / sin uso","✔ UNDER / BAJO")))</f>
        <v>✔ UNDER / BAJO</v>
      </c>
      <c r="S31" s="21" t="n">
        <f aca="false">IF($B31="",0,IF(D31&gt;C31,1,0))</f>
        <v>0</v>
      </c>
    </row>
    <row r="32" customFormat="false" ht="15" hidden="false" customHeight="false" outlineLevel="0" collapsed="false">
      <c r="B32" s="44" t="str">
        <f aca="false">IF(Budget!$B$23="","",Budget!$B$23)</f>
        <v>Entertainment / Entretenimiento</v>
      </c>
      <c r="C32" s="45" t="n">
        <f aca="false">IF($B32="",0,IF(Budget!$E$23="",0,Budget!$E$23))</f>
        <v>100</v>
      </c>
      <c r="D32" s="45" t="n">
        <f aca="false">IF($B32="",0,SUMIFS(Transactions!$E$6:$E$1005,Transactions!$L$6:$L$1005,$Q$7,Transactions!$D$6:$D$1005,$B32))</f>
        <v>0</v>
      </c>
      <c r="E32" s="45" t="n">
        <f aca="false">C32-D32</f>
        <v>100</v>
      </c>
      <c r="F32" s="46" t="n">
        <f aca="false">IF($B32="","",IF(C32=0,IF(D32&gt;0,1,0),D32/C32))</f>
        <v>0</v>
      </c>
      <c r="G32" s="44" t="str">
        <f aca="false">IF($B32="","",IF(D32&gt;C32,"⚠ OVER / EXCEDIDO",IF(D32=0,"– not used / sin uso","✔ UNDER / BAJO")))</f>
        <v>– not used / sin uso</v>
      </c>
      <c r="S32" s="21" t="n">
        <f aca="false">IF($B32="",0,IF(D32&gt;C32,1,0))</f>
        <v>0</v>
      </c>
    </row>
    <row r="33" customFormat="false" ht="15" hidden="false" customHeight="false" outlineLevel="0" collapsed="false">
      <c r="B33" s="39" t="str">
        <f aca="false">IF(Budget!$B$24="","",Budget!$B$24)</f>
        <v>Shopping &amp; Clothes / Compras y Ropa</v>
      </c>
      <c r="C33" s="40" t="n">
        <f aca="false">IF($B33="",0,IF(Budget!$E$24="",0,Budget!$E$24))</f>
        <v>150</v>
      </c>
      <c r="D33" s="40" t="n">
        <f aca="false">IF($B33="",0,SUMIFS(Transactions!$E$6:$E$1005,Transactions!$L$6:$L$1005,$Q$7,Transactions!$D$6:$D$1005,$B33))</f>
        <v>0</v>
      </c>
      <c r="E33" s="40" t="n">
        <f aca="false">C33-D33</f>
        <v>150</v>
      </c>
      <c r="F33" s="41" t="n">
        <f aca="false">IF($B33="","",IF(C33=0,IF(D33&gt;0,1,0),D33/C33))</f>
        <v>0</v>
      </c>
      <c r="G33" s="39" t="str">
        <f aca="false">IF($B33="","",IF(D33&gt;C33,"⚠ OVER / EXCEDIDO",IF(D33=0,"– not used / sin uso","✔ UNDER / BAJO")))</f>
        <v>– not used / sin uso</v>
      </c>
      <c r="S33" s="21" t="n">
        <f aca="false">IF($B33="",0,IF(D33&gt;C33,1,0))</f>
        <v>0</v>
      </c>
    </row>
    <row r="34" customFormat="false" ht="15" hidden="false" customHeight="false" outlineLevel="0" collapsed="false">
      <c r="B34" s="44" t="str">
        <f aca="false">IF(Budget!$B$25="","",Budget!$B$25)</f>
        <v>Subscriptions / Suscripciones</v>
      </c>
      <c r="C34" s="45" t="n">
        <f aca="false">IF($B34="",0,IF(Budget!$E$25="",0,Budget!$E$25))</f>
        <v>45</v>
      </c>
      <c r="D34" s="45" t="n">
        <f aca="false">IF($B34="",0,SUMIFS(Transactions!$E$6:$E$1005,Transactions!$L$6:$L$1005,$Q$7,Transactions!$D$6:$D$1005,$B34))</f>
        <v>28.98</v>
      </c>
      <c r="E34" s="45" t="n">
        <f aca="false">C34-D34</f>
        <v>16.02</v>
      </c>
      <c r="F34" s="46" t="n">
        <f aca="false">IF($B34="","",IF(C34=0,IF(D34&gt;0,1,0),D34/C34))</f>
        <v>0.644</v>
      </c>
      <c r="G34" s="44" t="str">
        <f aca="false">IF($B34="","",IF(D34&gt;C34,"⚠ OVER / EXCEDIDO",IF(D34=0,"– not used / sin uso","✔ UNDER / BAJO")))</f>
        <v>✔ UNDER / BAJO</v>
      </c>
      <c r="S34" s="21" t="n">
        <f aca="false">IF($B34="",0,IF(D34&gt;C34,1,0))</f>
        <v>0</v>
      </c>
    </row>
    <row r="35" customFormat="false" ht="15" hidden="false" customHeight="false" outlineLevel="0" collapsed="false">
      <c r="B35" s="39" t="str">
        <f aca="false">IF(Budget!$B$26="","",Budget!$B$26)</f>
        <v>Personal care / Cuidado personal</v>
      </c>
      <c r="C35" s="40" t="n">
        <f aca="false">IF($B35="",0,IF(Budget!$E$26="",0,Budget!$E$26))</f>
        <v>60</v>
      </c>
      <c r="D35" s="40" t="n">
        <f aca="false">IF($B35="",0,SUMIFS(Transactions!$E$6:$E$1005,Transactions!$L$6:$L$1005,$Q$7,Transactions!$D$6:$D$1005,$B35))</f>
        <v>0</v>
      </c>
      <c r="E35" s="40" t="n">
        <f aca="false">C35-D35</f>
        <v>60</v>
      </c>
      <c r="F35" s="41" t="n">
        <f aca="false">IF($B35="","",IF(C35=0,IF(D35&gt;0,1,0),D35/C35))</f>
        <v>0</v>
      </c>
      <c r="G35" s="39" t="str">
        <f aca="false">IF($B35="","",IF(D35&gt;C35,"⚠ OVER / EXCEDIDO",IF(D35=0,"– not used / sin uso","✔ UNDER / BAJO")))</f>
        <v>– not used / sin uso</v>
      </c>
      <c r="S35" s="21" t="n">
        <f aca="false">IF($B35="",0,IF(D35&gt;C35,1,0))</f>
        <v>0</v>
      </c>
    </row>
    <row r="36" customFormat="false" ht="15" hidden="false" customHeight="false" outlineLevel="0" collapsed="false">
      <c r="B36" s="44" t="str">
        <f aca="false">IF(Budget!$B$27="","",Budget!$B$27)</f>
        <v>Gifts &amp; Donations / Regalos y Donaciones</v>
      </c>
      <c r="C36" s="45" t="n">
        <f aca="false">IF($B36="",0,IF(Budget!$E$27="",0,Budget!$E$27))</f>
        <v>80</v>
      </c>
      <c r="D36" s="45" t="n">
        <f aca="false">IF($B36="",0,SUMIFS(Transactions!$E$6:$E$1005,Transactions!$L$6:$L$1005,$Q$7,Transactions!$D$6:$D$1005,$B36))</f>
        <v>0</v>
      </c>
      <c r="E36" s="45" t="n">
        <f aca="false">C36-D36</f>
        <v>80</v>
      </c>
      <c r="F36" s="46" t="n">
        <f aca="false">IF($B36="","",IF(C36=0,IF(D36&gt;0,1,0),D36/C36))</f>
        <v>0</v>
      </c>
      <c r="G36" s="44" t="str">
        <f aca="false">IF($B36="","",IF(D36&gt;C36,"⚠ OVER / EXCEDIDO",IF(D36=0,"– not used / sin uso","✔ UNDER / BAJO")))</f>
        <v>– not used / sin uso</v>
      </c>
      <c r="S36" s="21" t="n">
        <f aca="false">IF($B36="",0,IF(D36&gt;C36,1,0))</f>
        <v>0</v>
      </c>
    </row>
    <row r="37" customFormat="false" ht="15" hidden="false" customHeight="false" outlineLevel="0" collapsed="false">
      <c r="B37" s="39" t="str">
        <f aca="false">IF(Budget!$B$28="","",Budget!$B$28)</f>
        <v>Travel / Viajes</v>
      </c>
      <c r="C37" s="40" t="n">
        <f aca="false">IF($B37="",0,IF(Budget!$E$28="",0,Budget!$E$28))</f>
        <v>100</v>
      </c>
      <c r="D37" s="40" t="n">
        <f aca="false">IF($B37="",0,SUMIFS(Transactions!$E$6:$E$1005,Transactions!$L$6:$L$1005,$Q$7,Transactions!$D$6:$D$1005,$B37))</f>
        <v>0</v>
      </c>
      <c r="E37" s="40" t="n">
        <f aca="false">C37-D37</f>
        <v>100</v>
      </c>
      <c r="F37" s="41" t="n">
        <f aca="false">IF($B37="","",IF(C37=0,IF(D37&gt;0,1,0),D37/C37))</f>
        <v>0</v>
      </c>
      <c r="G37" s="39" t="str">
        <f aca="false">IF($B37="","",IF(D37&gt;C37,"⚠ OVER / EXCEDIDO",IF(D37=0,"– not used / sin uso","✔ UNDER / BAJO")))</f>
        <v>– not used / sin uso</v>
      </c>
      <c r="S37" s="21" t="n">
        <f aca="false">IF($B37="",0,IF(D37&gt;C37,1,0))</f>
        <v>0</v>
      </c>
    </row>
    <row r="38" customFormat="false" ht="15" hidden="false" customHeight="false" outlineLevel="0" collapsed="false">
      <c r="B38" s="44" t="str">
        <f aca="false">IF(Budget!$B$29="","",Budget!$B$29)</f>
        <v>Pets / Mascotas</v>
      </c>
      <c r="C38" s="45" t="n">
        <f aca="false">IF($B38="",0,IF(Budget!$E$29="",0,Budget!$E$29))</f>
        <v>50</v>
      </c>
      <c r="D38" s="45" t="n">
        <f aca="false">IF($B38="",0,SUMIFS(Transactions!$E$6:$E$1005,Transactions!$L$6:$L$1005,$Q$7,Transactions!$D$6:$D$1005,$B38))</f>
        <v>0</v>
      </c>
      <c r="E38" s="45" t="n">
        <f aca="false">C38-D38</f>
        <v>50</v>
      </c>
      <c r="F38" s="46" t="n">
        <f aca="false">IF($B38="","",IF(C38=0,IF(D38&gt;0,1,0),D38/C38))</f>
        <v>0</v>
      </c>
      <c r="G38" s="44" t="str">
        <f aca="false">IF($B38="","",IF(D38&gt;C38,"⚠ OVER / EXCEDIDO",IF(D38=0,"– not used / sin uso","✔ UNDER / BAJO")))</f>
        <v>– not used / sin uso</v>
      </c>
      <c r="S38" s="21" t="n">
        <f aca="false">IF($B38="",0,IF(D38&gt;C38,1,0))</f>
        <v>0</v>
      </c>
    </row>
    <row r="39" customFormat="false" ht="15" hidden="false" customHeight="false" outlineLevel="0" collapsed="false">
      <c r="B39" s="39" t="str">
        <f aca="false">IF(Budget!$B$30="","",Budget!$B$30)</f>
        <v>Debt payments / Pagos de deudas</v>
      </c>
      <c r="C39" s="40" t="n">
        <f aca="false">IF($B39="",0,IF(Budget!$E$30="",0,Budget!$E$30))</f>
        <v>575</v>
      </c>
      <c r="D39" s="40" t="n">
        <f aca="false">IF($B39="",0,SUMIFS(Transactions!$E$6:$E$1005,Transactions!$L$6:$L$1005,$Q$7,Transactions!$D$6:$D$1005,$B39))</f>
        <v>575</v>
      </c>
      <c r="E39" s="40" t="n">
        <f aca="false">C39-D39</f>
        <v>0</v>
      </c>
      <c r="F39" s="41" t="n">
        <f aca="false">IF($B39="","",IF(C39=0,IF(D39&gt;0,1,0),D39/C39))</f>
        <v>1</v>
      </c>
      <c r="G39" s="39" t="str">
        <f aca="false">IF($B39="","",IF(D39&gt;C39,"⚠ OVER / EXCEDIDO",IF(D39=0,"– not used / sin uso","✔ UNDER / BAJO")))</f>
        <v>✔ UNDER / BAJO</v>
      </c>
      <c r="S39" s="21" t="n">
        <f aca="false">IF($B39="",0,IF(D39&gt;C39,1,0))</f>
        <v>0</v>
      </c>
    </row>
    <row r="40" customFormat="false" ht="15" hidden="false" customHeight="false" outlineLevel="0" collapsed="false">
      <c r="B40" s="44" t="str">
        <f aca="false">IF(Budget!$B$31="","",Budget!$B$31)</f>
        <v>Emergency fund / Fondo de emergencia</v>
      </c>
      <c r="C40" s="45" t="n">
        <f aca="false">IF($B40="",0,IF(Budget!$E$31="",0,Budget!$E$31))</f>
        <v>200</v>
      </c>
      <c r="D40" s="45" t="n">
        <f aca="false">IF($B40="",0,SUMIFS(Transactions!$E$6:$E$1005,Transactions!$L$6:$L$1005,$Q$7,Transactions!$D$6:$D$1005,$B40))</f>
        <v>200</v>
      </c>
      <c r="E40" s="45" t="n">
        <f aca="false">C40-D40</f>
        <v>0</v>
      </c>
      <c r="F40" s="46" t="n">
        <f aca="false">IF($B40="","",IF(C40=0,IF(D40&gt;0,1,0),D40/C40))</f>
        <v>1</v>
      </c>
      <c r="G40" s="44" t="str">
        <f aca="false">IF($B40="","",IF(D40&gt;C40,"⚠ OVER / EXCEDIDO",IF(D40=0,"– not used / sin uso","✔ UNDER / BAJO")))</f>
        <v>✔ UNDER / BAJO</v>
      </c>
      <c r="S40" s="21" t="n">
        <f aca="false">IF($B40="",0,IF(D40&gt;C40,1,0))</f>
        <v>0</v>
      </c>
    </row>
    <row r="41" customFormat="false" ht="15" hidden="false" customHeight="false" outlineLevel="0" collapsed="false">
      <c r="B41" s="39" t="str">
        <f aca="false">IF(Budget!$B$32="","",Budget!$B$32)</f>
        <v>Savings goals / Metas de ahorro</v>
      </c>
      <c r="C41" s="40" t="n">
        <f aca="false">IF($B41="",0,IF(Budget!$E$32="",0,Budget!$E$32))</f>
        <v>150</v>
      </c>
      <c r="D41" s="40" t="n">
        <f aca="false">IF($B41="",0,SUMIFS(Transactions!$E$6:$E$1005,Transactions!$L$6:$L$1005,$Q$7,Transactions!$D$6:$D$1005,$B41))</f>
        <v>0</v>
      </c>
      <c r="E41" s="40" t="n">
        <f aca="false">C41-D41</f>
        <v>150</v>
      </c>
      <c r="F41" s="41" t="n">
        <f aca="false">IF($B41="","",IF(C41=0,IF(D41&gt;0,1,0),D41/C41))</f>
        <v>0</v>
      </c>
      <c r="G41" s="39" t="str">
        <f aca="false">IF($B41="","",IF(D41&gt;C41,"⚠ OVER / EXCEDIDO",IF(D41=0,"– not used / sin uso","✔ UNDER / BAJO")))</f>
        <v>– not used / sin uso</v>
      </c>
      <c r="S41" s="21" t="n">
        <f aca="false">IF($B41="",0,IF(D41&gt;C41,1,0))</f>
        <v>0</v>
      </c>
    </row>
    <row r="42" customFormat="false" ht="15" hidden="false" customHeight="false" outlineLevel="0" collapsed="false">
      <c r="B42" s="44" t="str">
        <f aca="false">IF(Budget!$B$33="","",Budget!$B$33)</f>
        <v>Retirement / Retiro</v>
      </c>
      <c r="C42" s="45" t="n">
        <f aca="false">IF($B42="",0,IF(Budget!$E$33="",0,Budget!$E$33))</f>
        <v>100</v>
      </c>
      <c r="D42" s="45" t="n">
        <f aca="false">IF($B42="",0,SUMIFS(Transactions!$E$6:$E$1005,Transactions!$L$6:$L$1005,$Q$7,Transactions!$D$6:$D$1005,$B42))</f>
        <v>0</v>
      </c>
      <c r="E42" s="45" t="n">
        <f aca="false">C42-D42</f>
        <v>100</v>
      </c>
      <c r="F42" s="46" t="n">
        <f aca="false">IF($B42="","",IF(C42=0,IF(D42&gt;0,1,0),D42/C42))</f>
        <v>0</v>
      </c>
      <c r="G42" s="44" t="str">
        <f aca="false">IF($B42="","",IF(D42&gt;C42,"⚠ OVER / EXCEDIDO",IF(D42=0,"– not used / sin uso","✔ UNDER / BAJO")))</f>
        <v>– not used / sin uso</v>
      </c>
      <c r="S42" s="21" t="n">
        <f aca="false">IF($B42="",0,IF(D42&gt;C42,1,0))</f>
        <v>0</v>
      </c>
    </row>
    <row r="43" customFormat="false" ht="15" hidden="false" customHeight="false" outlineLevel="0" collapsed="false">
      <c r="B43" s="39" t="str">
        <f aca="false">IF(Budget!$B$34="","",Budget!$B$34)</f>
        <v>Other / Otro</v>
      </c>
      <c r="C43" s="40" t="n">
        <f aca="false">IF($B43="",0,IF(Budget!$E$34="",0,Budget!$E$34))</f>
        <v>50</v>
      </c>
      <c r="D43" s="40" t="n">
        <f aca="false">IF($B43="",0,SUMIFS(Transactions!$E$6:$E$1005,Transactions!$L$6:$L$1005,$Q$7,Transactions!$D$6:$D$1005,$B43))</f>
        <v>0</v>
      </c>
      <c r="E43" s="40" t="n">
        <f aca="false">C43-D43</f>
        <v>50</v>
      </c>
      <c r="F43" s="41" t="n">
        <f aca="false">IF($B43="","",IF(C43=0,IF(D43&gt;0,1,0),D43/C43))</f>
        <v>0</v>
      </c>
      <c r="G43" s="39" t="str">
        <f aca="false">IF($B43="","",IF(D43&gt;C43,"⚠ OVER / EXCEDIDO",IF(D43=0,"– not used / sin uso","✔ UNDER / BAJO")))</f>
        <v>– not used / sin uso</v>
      </c>
      <c r="S43" s="21" t="n">
        <f aca="false">IF($B43="",0,IF(D43&gt;C43,1,0))</f>
        <v>0</v>
      </c>
    </row>
    <row r="44" customFormat="false" ht="15" hidden="false" customHeight="false" outlineLevel="0" collapsed="false">
      <c r="B44" s="44" t="str">
        <f aca="false">IF(Budget!$B$35="","",Budget!$B$35)</f>
        <v/>
      </c>
      <c r="C44" s="45" t="n">
        <f aca="false">IF($B44="",0,IF(Budget!$E$35="",0,Budget!$E$35))</f>
        <v>0</v>
      </c>
      <c r="D44" s="45" t="n">
        <f aca="false">IF($B44="",0,SUMIFS(Transactions!$E$6:$E$1005,Transactions!$L$6:$L$1005,$Q$7,Transactions!$D$6:$D$1005,$B44))</f>
        <v>0</v>
      </c>
      <c r="E44" s="45" t="n">
        <f aca="false">C44-D44</f>
        <v>0</v>
      </c>
      <c r="F44" s="46" t="str">
        <f aca="false">IF($B44="","",IF(C44=0,IF(D44&gt;0,1,0),D44/C44))</f>
        <v/>
      </c>
      <c r="G44" s="44" t="str">
        <f aca="false">IF($B44="","",IF(D44&gt;C44,"⚠ OVER / EXCEDIDO",IF(D44=0,"– not used / sin uso","✔ UNDER / BAJO")))</f>
        <v/>
      </c>
      <c r="S44" s="21" t="n">
        <f aca="false">IF($B44="",0,IF(D44&gt;C44,1,0))</f>
        <v>0</v>
      </c>
    </row>
    <row r="45" customFormat="false" ht="15" hidden="false" customHeight="false" outlineLevel="0" collapsed="false">
      <c r="B45" s="39" t="str">
        <f aca="false">IF(Budget!$B$36="","",Budget!$B$36)</f>
        <v/>
      </c>
      <c r="C45" s="40" t="n">
        <f aca="false">IF($B45="",0,IF(Budget!$E$36="",0,Budget!$E$36))</f>
        <v>0</v>
      </c>
      <c r="D45" s="40" t="n">
        <f aca="false">IF($B45="",0,SUMIFS(Transactions!$E$6:$E$1005,Transactions!$L$6:$L$1005,$Q$7,Transactions!$D$6:$D$1005,$B45))</f>
        <v>0</v>
      </c>
      <c r="E45" s="40" t="n">
        <f aca="false">C45-D45</f>
        <v>0</v>
      </c>
      <c r="F45" s="41" t="str">
        <f aca="false">IF($B45="","",IF(C45=0,IF(D45&gt;0,1,0),D45/C45))</f>
        <v/>
      </c>
      <c r="G45" s="39" t="str">
        <f aca="false">IF($B45="","",IF(D45&gt;C45,"⚠ OVER / EXCEDIDO",IF(D45=0,"– not used / sin uso","✔ UNDER / BAJO")))</f>
        <v/>
      </c>
      <c r="S45" s="21" t="n">
        <f aca="false">IF($B45="",0,IF(D45&gt;C45,1,0))</f>
        <v>0</v>
      </c>
    </row>
    <row r="46" customFormat="false" ht="15" hidden="false" customHeight="false" outlineLevel="0" collapsed="false">
      <c r="B46" s="44" t="str">
        <f aca="false">IF(Budget!$B$37="","",Budget!$B$37)</f>
        <v/>
      </c>
      <c r="C46" s="45" t="n">
        <f aca="false">IF($B46="",0,IF(Budget!$E$37="",0,Budget!$E$37))</f>
        <v>0</v>
      </c>
      <c r="D46" s="45" t="n">
        <f aca="false">IF($B46="",0,SUMIFS(Transactions!$E$6:$E$1005,Transactions!$L$6:$L$1005,$Q$7,Transactions!$D$6:$D$1005,$B46))</f>
        <v>0</v>
      </c>
      <c r="E46" s="45" t="n">
        <f aca="false">C46-D46</f>
        <v>0</v>
      </c>
      <c r="F46" s="46" t="str">
        <f aca="false">IF($B46="","",IF(C46=0,IF(D46&gt;0,1,0),D46/C46))</f>
        <v/>
      </c>
      <c r="G46" s="44" t="str">
        <f aca="false">IF($B46="","",IF(D46&gt;C46,"⚠ OVER / EXCEDIDO",IF(D46=0,"– not used / sin uso","✔ UNDER / BAJO")))</f>
        <v/>
      </c>
      <c r="S46" s="21" t="n">
        <f aca="false">IF($B46="",0,IF(D46&gt;C46,1,0))</f>
        <v>0</v>
      </c>
    </row>
    <row r="47" customFormat="false" ht="15" hidden="false" customHeight="false" outlineLevel="0" collapsed="false">
      <c r="B47" s="39" t="str">
        <f aca="false">IF(Budget!$B$38="","",Budget!$B$38)</f>
        <v/>
      </c>
      <c r="C47" s="40" t="n">
        <f aca="false">IF($B47="",0,IF(Budget!$E$38="",0,Budget!$E$38))</f>
        <v>0</v>
      </c>
      <c r="D47" s="40" t="n">
        <f aca="false">IF($B47="",0,SUMIFS(Transactions!$E$6:$E$1005,Transactions!$L$6:$L$1005,$Q$7,Transactions!$D$6:$D$1005,$B47))</f>
        <v>0</v>
      </c>
      <c r="E47" s="40" t="n">
        <f aca="false">C47-D47</f>
        <v>0</v>
      </c>
      <c r="F47" s="41" t="str">
        <f aca="false">IF($B47="","",IF(C47=0,IF(D47&gt;0,1,0),D47/C47))</f>
        <v/>
      </c>
      <c r="G47" s="39" t="str">
        <f aca="false">IF($B47="","",IF(D47&gt;C47,"⚠ OVER / EXCEDIDO",IF(D47=0,"– not used / sin uso","✔ UNDER / BAJO")))</f>
        <v/>
      </c>
      <c r="S47" s="21" t="n">
        <f aca="false">IF($B47="",0,IF(D47&gt;C47,1,0))</f>
        <v>0</v>
      </c>
    </row>
    <row r="48" customFormat="false" ht="15" hidden="false" customHeight="false" outlineLevel="0" collapsed="false">
      <c r="B48" s="44" t="str">
        <f aca="false">IF(Budget!$B$39="","",Budget!$B$39)</f>
        <v/>
      </c>
      <c r="C48" s="45" t="n">
        <f aca="false">IF($B48="",0,IF(Budget!$E$39="",0,Budget!$E$39))</f>
        <v>0</v>
      </c>
      <c r="D48" s="45" t="n">
        <f aca="false">IF($B48="",0,SUMIFS(Transactions!$E$6:$E$1005,Transactions!$L$6:$L$1005,$Q$7,Transactions!$D$6:$D$1005,$B48))</f>
        <v>0</v>
      </c>
      <c r="E48" s="45" t="n">
        <f aca="false">C48-D48</f>
        <v>0</v>
      </c>
      <c r="F48" s="46" t="str">
        <f aca="false">IF($B48="","",IF(C48=0,IF(D48&gt;0,1,0),D48/C48))</f>
        <v/>
      </c>
      <c r="G48" s="44" t="str">
        <f aca="false">IF($B48="","",IF(D48&gt;C48,"⚠ OVER / EXCEDIDO",IF(D48=0,"– not used / sin uso","✔ UNDER / BAJO")))</f>
        <v/>
      </c>
      <c r="S48" s="21" t="n">
        <f aca="false">IF($B48="",0,IF(D48&gt;C48,1,0))</f>
        <v>0</v>
      </c>
    </row>
    <row r="49" customFormat="false" ht="15" hidden="false" customHeight="false" outlineLevel="0" collapsed="false">
      <c r="B49" s="39" t="str">
        <f aca="false">IF(Budget!$B$40="","",Budget!$B$40)</f>
        <v/>
      </c>
      <c r="C49" s="40" t="n">
        <f aca="false">IF($B49="",0,IF(Budget!$E$40="",0,Budget!$E$40))</f>
        <v>0</v>
      </c>
      <c r="D49" s="40" t="n">
        <f aca="false">IF($B49="",0,SUMIFS(Transactions!$E$6:$E$1005,Transactions!$L$6:$L$1005,$Q$7,Transactions!$D$6:$D$1005,$B49))</f>
        <v>0</v>
      </c>
      <c r="E49" s="40" t="n">
        <f aca="false">C49-D49</f>
        <v>0</v>
      </c>
      <c r="F49" s="41" t="str">
        <f aca="false">IF($B49="","",IF(C49=0,IF(D49&gt;0,1,0),D49/C49))</f>
        <v/>
      </c>
      <c r="G49" s="39" t="str">
        <f aca="false">IF($B49="","",IF(D49&gt;C49,"⚠ OVER / EXCEDIDO",IF(D49=0,"– not used / sin uso","✔ UNDER / BAJO")))</f>
        <v/>
      </c>
      <c r="S49" s="21" t="n">
        <f aca="false">IF($B49="",0,IF(D49&gt;C49,1,0))</f>
        <v>0</v>
      </c>
    </row>
    <row r="50" customFormat="false" ht="15" hidden="false" customHeight="false" outlineLevel="0" collapsed="false">
      <c r="B50" s="44" t="str">
        <f aca="false">IF(Budget!$B$41="","",Budget!$B$41)</f>
        <v/>
      </c>
      <c r="C50" s="45" t="n">
        <f aca="false">IF($B50="",0,IF(Budget!$E$41="",0,Budget!$E$41))</f>
        <v>0</v>
      </c>
      <c r="D50" s="45" t="n">
        <f aca="false">IF($B50="",0,SUMIFS(Transactions!$E$6:$E$1005,Transactions!$L$6:$L$1005,$Q$7,Transactions!$D$6:$D$1005,$B50))</f>
        <v>0</v>
      </c>
      <c r="E50" s="45" t="n">
        <f aca="false">C50-D50</f>
        <v>0</v>
      </c>
      <c r="F50" s="46" t="str">
        <f aca="false">IF($B50="","",IF(C50=0,IF(D50&gt;0,1,0),D50/C50))</f>
        <v/>
      </c>
      <c r="G50" s="44" t="str">
        <f aca="false">IF($B50="","",IF(D50&gt;C50,"⚠ OVER / EXCEDIDO",IF(D50=0,"– not used / sin uso","✔ UNDER / BAJO")))</f>
        <v/>
      </c>
      <c r="S50" s="21" t="n">
        <f aca="false">IF($B50="",0,IF(D50&gt;C50,1,0))</f>
        <v>0</v>
      </c>
    </row>
    <row r="51" customFormat="false" ht="15" hidden="false" customHeight="false" outlineLevel="0" collapsed="false">
      <c r="B51" s="39" t="s">
        <v>60</v>
      </c>
      <c r="C51" s="40" t="n">
        <v>0</v>
      </c>
      <c r="D51" s="40" t="n">
        <f aca="false">C10-SUM(D21:D50)</f>
        <v>0</v>
      </c>
      <c r="E51" s="40" t="n">
        <f aca="false">C51-D51</f>
        <v>0</v>
      </c>
      <c r="F51" s="41"/>
      <c r="G51" s="39"/>
    </row>
    <row r="52" customFormat="false" ht="15" hidden="false" customHeight="false" outlineLevel="0" collapsed="false">
      <c r="B52" s="49" t="s">
        <v>61</v>
      </c>
      <c r="C52" s="50" t="n">
        <f aca="false">SUM(C21:C51)</f>
        <v>5850</v>
      </c>
      <c r="D52" s="50" t="n">
        <f aca="false">SUM(D21:D51)</f>
        <v>4592.73</v>
      </c>
      <c r="E52" s="50" t="n">
        <f aca="false">C52-D52</f>
        <v>1257.27</v>
      </c>
      <c r="F52" s="51" t="n">
        <f aca="false">IF(C52=0,0,D52/C52)</f>
        <v>0.785082051282051</v>
      </c>
      <c r="G52" s="49"/>
    </row>
    <row r="55" customFormat="false" ht="15" hidden="false" customHeight="false" outlineLevel="0" collapsed="false">
      <c r="B55" s="36" t="s">
        <v>62</v>
      </c>
      <c r="C55" s="36"/>
      <c r="D55" s="36"/>
      <c r="E55" s="36"/>
      <c r="F55" s="36"/>
      <c r="G55" s="36"/>
    </row>
    <row r="57" customFormat="false" ht="30" hidden="false" customHeight="true" outlineLevel="0" collapsed="false">
      <c r="B57" s="37" t="s">
        <v>63</v>
      </c>
      <c r="C57" s="37" t="s">
        <v>64</v>
      </c>
      <c r="D57" s="37" t="s">
        <v>65</v>
      </c>
      <c r="E57" s="37" t="s">
        <v>66</v>
      </c>
      <c r="F57" s="37" t="s">
        <v>67</v>
      </c>
    </row>
    <row r="58" customFormat="false" ht="15" hidden="false" customHeight="false" outlineLevel="0" collapsed="false">
      <c r="B58" s="42" t="s">
        <v>68</v>
      </c>
      <c r="C58" s="43" t="n">
        <f aca="false">ROUND(SUMIFS(Transactions!$E$6:$E$1005,Transactions!$L$6:$L$1005,$F$6*100+1,Transactions!$H$6:$H$1005,"Income / Ingreso"),2)</f>
        <v>5600</v>
      </c>
      <c r="D58" s="43" t="n">
        <f aca="false">ROUND(SUMIFS(Transactions!$E$6:$E$1005,Transactions!$L$6:$L$1005,$F$6*100+1,Transactions!$H$6:$H$1005,"Expense / Gasto"),2)</f>
        <v>4573.39</v>
      </c>
      <c r="E58" s="40" t="n">
        <f aca="false">C58-D58</f>
        <v>1026.61</v>
      </c>
      <c r="F58" s="52" t="n">
        <f aca="false">IF(C58=0,0,E58/C58)</f>
        <v>0.183323214285714</v>
      </c>
    </row>
    <row r="59" customFormat="false" ht="15" hidden="false" customHeight="false" outlineLevel="0" collapsed="false">
      <c r="B59" s="47" t="s">
        <v>69</v>
      </c>
      <c r="C59" s="48" t="n">
        <f aca="false">ROUND(SUMIFS(Transactions!$E$6:$E$1005,Transactions!$L$6:$L$1005,$F$6*100+2,Transactions!$H$6:$H$1005,"Income / Ingreso"),2)</f>
        <v>5600</v>
      </c>
      <c r="D59" s="48" t="n">
        <f aca="false">ROUND(SUMIFS(Transactions!$E$6:$E$1005,Transactions!$L$6:$L$1005,$F$6*100+2,Transactions!$H$6:$H$1005,"Expense / Gasto"),2)</f>
        <v>4550.39</v>
      </c>
      <c r="E59" s="45" t="n">
        <f aca="false">C59-D59</f>
        <v>1049.61</v>
      </c>
      <c r="F59" s="53" t="n">
        <f aca="false">IF(C59=0,0,E59/C59)</f>
        <v>0.187430357142857</v>
      </c>
    </row>
    <row r="60" customFormat="false" ht="15" hidden="false" customHeight="false" outlineLevel="0" collapsed="false">
      <c r="B60" s="42" t="s">
        <v>70</v>
      </c>
      <c r="C60" s="43" t="n">
        <f aca="false">ROUND(SUMIFS(Transactions!$E$6:$E$1005,Transactions!$L$6:$L$1005,$F$6*100+3,Transactions!$H$6:$H$1005,"Income / Ingreso"),2)</f>
        <v>6050</v>
      </c>
      <c r="D60" s="43" t="n">
        <f aca="false">ROUND(SUMIFS(Transactions!$E$6:$E$1005,Transactions!$L$6:$L$1005,$F$6*100+3,Transactions!$H$6:$H$1005,"Expense / Gasto"),2)</f>
        <v>4599.47</v>
      </c>
      <c r="E60" s="40" t="n">
        <f aca="false">C60-D60</f>
        <v>1450.53</v>
      </c>
      <c r="F60" s="52" t="n">
        <f aca="false">IF(C60=0,0,E60/C60)</f>
        <v>0.239757024793388</v>
      </c>
    </row>
    <row r="61" customFormat="false" ht="15" hidden="false" customHeight="false" outlineLevel="0" collapsed="false">
      <c r="B61" s="47" t="s">
        <v>71</v>
      </c>
      <c r="C61" s="48" t="n">
        <f aca="false">ROUND(SUMIFS(Transactions!$E$6:$E$1005,Transactions!$L$6:$L$1005,$F$6*100+4,Transactions!$H$6:$H$1005,"Income / Ingreso"),2)</f>
        <v>5600</v>
      </c>
      <c r="D61" s="48" t="n">
        <f aca="false">ROUND(SUMIFS(Transactions!$E$6:$E$1005,Transactions!$L$6:$L$1005,$F$6*100+4,Transactions!$H$6:$H$1005,"Expense / Gasto"),2)</f>
        <v>4743.52</v>
      </c>
      <c r="E61" s="45" t="n">
        <f aca="false">C61-D61</f>
        <v>856.48</v>
      </c>
      <c r="F61" s="53" t="n">
        <f aca="false">IF(C61=0,0,E61/C61)</f>
        <v>0.152942857142857</v>
      </c>
    </row>
    <row r="62" customFormat="false" ht="15" hidden="false" customHeight="false" outlineLevel="0" collapsed="false">
      <c r="B62" s="42" t="s">
        <v>72</v>
      </c>
      <c r="C62" s="43" t="n">
        <f aca="false">ROUND(SUMIFS(Transactions!$E$6:$E$1005,Transactions!$L$6:$L$1005,$F$6*100+5,Transactions!$H$6:$H$1005,"Income / Ingreso"),2)</f>
        <v>5600</v>
      </c>
      <c r="D62" s="43" t="n">
        <f aca="false">ROUND(SUMIFS(Transactions!$E$6:$E$1005,Transactions!$L$6:$L$1005,$F$6*100+5,Transactions!$H$6:$H$1005,"Expense / Gasto"),2)</f>
        <v>4695.42</v>
      </c>
      <c r="E62" s="40" t="n">
        <f aca="false">C62-D62</f>
        <v>904.58</v>
      </c>
      <c r="F62" s="52" t="n">
        <f aca="false">IF(C62=0,0,E62/C62)</f>
        <v>0.161532142857143</v>
      </c>
    </row>
    <row r="63" customFormat="false" ht="15" hidden="false" customHeight="false" outlineLevel="0" collapsed="false">
      <c r="B63" s="47" t="s">
        <v>73</v>
      </c>
      <c r="C63" s="48" t="n">
        <f aca="false">ROUND(SUMIFS(Transactions!$E$6:$E$1005,Transactions!$L$6:$L$1005,$F$6*100+6,Transactions!$H$6:$H$1005,"Income / Ingreso"),2)</f>
        <v>6050</v>
      </c>
      <c r="D63" s="48" t="n">
        <f aca="false">ROUND(SUMIFS(Transactions!$E$6:$E$1005,Transactions!$L$6:$L$1005,$F$6*100+6,Transactions!$H$6:$H$1005,"Expense / Gasto"),2)</f>
        <v>4609.89</v>
      </c>
      <c r="E63" s="45" t="n">
        <f aca="false">C63-D63</f>
        <v>1440.11</v>
      </c>
      <c r="F63" s="53" t="n">
        <f aca="false">IF(C63=0,0,E63/C63)</f>
        <v>0.238034710743802</v>
      </c>
    </row>
    <row r="64" customFormat="false" ht="15" hidden="false" customHeight="false" outlineLevel="0" collapsed="false">
      <c r="B64" s="42" t="s">
        <v>74</v>
      </c>
      <c r="C64" s="43" t="n">
        <f aca="false">ROUND(SUMIFS(Transactions!$E$6:$E$1005,Transactions!$L$6:$L$1005,$F$6*100+7,Transactions!$H$6:$H$1005,"Income / Ingreso"),2)</f>
        <v>5600</v>
      </c>
      <c r="D64" s="43" t="n">
        <f aca="false">ROUND(SUMIFS(Transactions!$E$6:$E$1005,Transactions!$L$6:$L$1005,$F$6*100+7,Transactions!$H$6:$H$1005,"Expense / Gasto"),2)</f>
        <v>5066.01</v>
      </c>
      <c r="E64" s="40" t="n">
        <f aca="false">C64-D64</f>
        <v>533.99</v>
      </c>
      <c r="F64" s="52" t="n">
        <f aca="false">IF(C64=0,0,E64/C64)</f>
        <v>0.0953553571428571</v>
      </c>
    </row>
    <row r="65" customFormat="false" ht="15" hidden="false" customHeight="false" outlineLevel="0" collapsed="false">
      <c r="B65" s="47" t="s">
        <v>75</v>
      </c>
      <c r="C65" s="48" t="n">
        <f aca="false">ROUND(SUMIFS(Transactions!$E$6:$E$1005,Transactions!$L$6:$L$1005,$F$6*100+8,Transactions!$H$6:$H$1005,"Income / Ingreso"),2)</f>
        <v>5600</v>
      </c>
      <c r="D65" s="48" t="n">
        <f aca="false">ROUND(SUMIFS(Transactions!$E$6:$E$1005,Transactions!$L$6:$L$1005,$F$6*100+8,Transactions!$H$6:$H$1005,"Expense / Gasto"),2)</f>
        <v>4639.92</v>
      </c>
      <c r="E65" s="45" t="n">
        <f aca="false">C65-D65</f>
        <v>960.08</v>
      </c>
      <c r="F65" s="53" t="n">
        <f aca="false">IF(C65=0,0,E65/C65)</f>
        <v>0.171442857142857</v>
      </c>
    </row>
    <row r="66" customFormat="false" ht="15" hidden="false" customHeight="false" outlineLevel="0" collapsed="false">
      <c r="B66" s="42" t="s">
        <v>76</v>
      </c>
      <c r="C66" s="43" t="n">
        <f aca="false">ROUND(SUMIFS(Transactions!$E$6:$E$1005,Transactions!$L$6:$L$1005,$F$6*100+9,Transactions!$H$6:$H$1005,"Income / Ingreso"),2)</f>
        <v>6050</v>
      </c>
      <c r="D66" s="43" t="n">
        <f aca="false">ROUND(SUMIFS(Transactions!$E$6:$E$1005,Transactions!$L$6:$L$1005,$F$6*100+9,Transactions!$H$6:$H$1005,"Expense / Gasto"),2)</f>
        <v>4592.73</v>
      </c>
      <c r="E66" s="40" t="n">
        <f aca="false">C66-D66</f>
        <v>1457.27</v>
      </c>
      <c r="F66" s="52" t="n">
        <f aca="false">IF(C66=0,0,E66/C66)</f>
        <v>0.240871074380165</v>
      </c>
    </row>
    <row r="67" customFormat="false" ht="15" hidden="false" customHeight="false" outlineLevel="0" collapsed="false">
      <c r="B67" s="47" t="s">
        <v>77</v>
      </c>
      <c r="C67" s="48" t="n">
        <f aca="false">ROUND(SUMIFS(Transactions!$E$6:$E$1005,Transactions!$L$6:$L$1005,$F$6*100+10,Transactions!$H$6:$H$1005,"Income / Ingreso"),2)</f>
        <v>0</v>
      </c>
      <c r="D67" s="48" t="n">
        <f aca="false">ROUND(SUMIFS(Transactions!$E$6:$E$1005,Transactions!$L$6:$L$1005,$F$6*100+10,Transactions!$H$6:$H$1005,"Expense / Gasto"),2)</f>
        <v>0</v>
      </c>
      <c r="E67" s="45" t="n">
        <f aca="false">C67-D67</f>
        <v>0</v>
      </c>
      <c r="F67" s="53" t="n">
        <f aca="false">IF(C67=0,0,E67/C67)</f>
        <v>0</v>
      </c>
    </row>
    <row r="68" customFormat="false" ht="15" hidden="false" customHeight="false" outlineLevel="0" collapsed="false">
      <c r="B68" s="42" t="s">
        <v>78</v>
      </c>
      <c r="C68" s="43" t="n">
        <f aca="false">ROUND(SUMIFS(Transactions!$E$6:$E$1005,Transactions!$L$6:$L$1005,$F$6*100+11,Transactions!$H$6:$H$1005,"Income / Ingreso"),2)</f>
        <v>0</v>
      </c>
      <c r="D68" s="43" t="n">
        <f aca="false">ROUND(SUMIFS(Transactions!$E$6:$E$1005,Transactions!$L$6:$L$1005,$F$6*100+11,Transactions!$H$6:$H$1005,"Expense / Gasto"),2)</f>
        <v>0</v>
      </c>
      <c r="E68" s="40" t="n">
        <f aca="false">C68-D68</f>
        <v>0</v>
      </c>
      <c r="F68" s="52" t="n">
        <f aca="false">IF(C68=0,0,E68/C68)</f>
        <v>0</v>
      </c>
    </row>
    <row r="69" customFormat="false" ht="15" hidden="false" customHeight="false" outlineLevel="0" collapsed="false">
      <c r="B69" s="47" t="s">
        <v>79</v>
      </c>
      <c r="C69" s="48" t="n">
        <f aca="false">ROUND(SUMIFS(Transactions!$E$6:$E$1005,Transactions!$L$6:$L$1005,$F$6*100+12,Transactions!$H$6:$H$1005,"Income / Ingreso"),2)</f>
        <v>0</v>
      </c>
      <c r="D69" s="48" t="n">
        <f aca="false">ROUND(SUMIFS(Transactions!$E$6:$E$1005,Transactions!$L$6:$L$1005,$F$6*100+12,Transactions!$H$6:$H$1005,"Expense / Gasto"),2)</f>
        <v>0</v>
      </c>
      <c r="E69" s="45" t="n">
        <f aca="false">C69-D69</f>
        <v>0</v>
      </c>
      <c r="F69" s="53" t="n">
        <f aca="false">IF(C69=0,0,E69/C69)</f>
        <v>0</v>
      </c>
    </row>
    <row r="70" customFormat="false" ht="15" hidden="false" customHeight="false" outlineLevel="0" collapsed="false">
      <c r="B70" s="49" t="s">
        <v>80</v>
      </c>
      <c r="C70" s="54" t="n">
        <f aca="false">B15</f>
        <v>51750</v>
      </c>
      <c r="D70" s="54" t="n">
        <f aca="false">C15</f>
        <v>42070.74</v>
      </c>
      <c r="E70" s="50" t="n">
        <f aca="false">C70-D70</f>
        <v>9679.26</v>
      </c>
      <c r="F70" s="55" t="n">
        <f aca="false">IF(C70=0,0,E70/C70)</f>
        <v>0.18703884057971</v>
      </c>
    </row>
  </sheetData>
  <sheetProtection sheet="true"/>
  <mergeCells count="27">
    <mergeCell ref="B1:O1"/>
    <mergeCell ref="B2:O2"/>
    <mergeCell ref="B3:O3"/>
    <mergeCell ref="C6:D6"/>
    <mergeCell ref="C8:D8"/>
    <mergeCell ref="E8:F8"/>
    <mergeCell ref="C9:D9"/>
    <mergeCell ref="E9:F9"/>
    <mergeCell ref="C10:D10"/>
    <mergeCell ref="E10:F10"/>
    <mergeCell ref="C11:D11"/>
    <mergeCell ref="E11:F11"/>
    <mergeCell ref="C13:D13"/>
    <mergeCell ref="E13:F13"/>
    <mergeCell ref="C14:D14"/>
    <mergeCell ref="E14:F14"/>
    <mergeCell ref="C15:D15"/>
    <mergeCell ref="E15:F15"/>
    <mergeCell ref="C16:D16"/>
    <mergeCell ref="E16:F16"/>
    <mergeCell ref="B18:G18"/>
    <mergeCell ref="I18:N18"/>
    <mergeCell ref="M20:N20"/>
    <mergeCell ref="M21:N21"/>
    <mergeCell ref="M22:N22"/>
    <mergeCell ref="M23:N23"/>
    <mergeCell ref="B55:G55"/>
  </mergeCells>
  <conditionalFormatting sqref="G21:G50">
    <cfRule type="containsText" priority="2" operator="containsText" aboveAverage="0" equalAverage="0" bottom="0" percent="0" rank="0" text="OVER" dxfId="0">
      <formula>NOT(ISERROR(SEARCH("OVER",G21)))</formula>
    </cfRule>
    <cfRule type="containsText" priority="3" operator="containsText" aboveAverage="0" equalAverage="0" bottom="0" percent="0" rank="0" text="UNDER" dxfId="1">
      <formula>NOT(ISERROR(SEARCH("UNDER",G21)))</formula>
    </cfRule>
  </conditionalFormatting>
  <conditionalFormatting sqref="E21:E52">
    <cfRule type="cellIs" priority="4" operator="lessThan" aboveAverage="0" equalAverage="0" bottom="0" percent="0" rank="0" text="" dxfId="2">
      <formula>0</formula>
    </cfRule>
  </conditionalFormatting>
  <conditionalFormatting sqref="M21:M23">
    <cfRule type="containsText" priority="5" operator="containsText" aboveAverage="0" equalAverage="0" bottom="0" percent="0" rank="0" text="●" dxfId="3">
      <formula>NOT(ISERROR(SEARCH("●",M21)))</formula>
    </cfRule>
    <cfRule type="containsText" priority="6" operator="containsText" aboveAverage="0" equalAverage="0" bottom="0" percent="0" rank="0" text="✔" dxfId="4">
      <formula>NOT(ISERROR(SEARCH("✔",M21)))</formula>
    </cfRule>
  </conditionalFormatting>
  <dataValidations count="1">
    <dataValidation allowBlank="true" error="Choose an option from the list.&#10;Elige una opción de la lista." errorStyle="stop" errorTitle="Month / Mes" operator="between" showDropDown="false" showErrorMessage="false" showInputMessage="false" sqref="C6" type="list">
      <formula1>"Jan / Ene,Feb / Feb,Mar / Mar,Apr / Abr,May / May,Jun / Jun,Jul / Jul,Aug / Ago,Sep / Sep,Oct / Oct,Nov / Nov,Dec / Dic"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N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30"/>
    <col collapsed="false" customWidth="true" hidden="true" outlineLevel="0" max="14" min="11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</row>
    <row r="2" customFormat="false" ht="30" hidden="false" customHeight="true" outlineLevel="0" collapsed="false">
      <c r="A2" s="1"/>
      <c r="B2" s="15" t="s">
        <v>81</v>
      </c>
      <c r="C2" s="15"/>
      <c r="D2" s="15"/>
      <c r="E2" s="15"/>
      <c r="F2" s="15"/>
      <c r="G2" s="15"/>
      <c r="H2" s="15"/>
      <c r="I2" s="15"/>
    </row>
    <row r="3" customFormat="false" ht="19.5" hidden="false" customHeight="true" outlineLevel="0" collapsed="false">
      <c r="A3" s="1"/>
      <c r="B3" s="16" t="s">
        <v>82</v>
      </c>
      <c r="C3" s="16"/>
      <c r="D3" s="16"/>
      <c r="E3" s="16"/>
      <c r="F3" s="16"/>
      <c r="G3" s="16"/>
      <c r="H3" s="16"/>
      <c r="I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</row>
    <row r="5" customFormat="false" ht="48" hidden="false" customHeight="true" outlineLevel="0" collapsed="false">
      <c r="B5" s="37" t="s">
        <v>83</v>
      </c>
      <c r="C5" s="37" t="s">
        <v>84</v>
      </c>
      <c r="D5" s="37" t="s">
        <v>45</v>
      </c>
      <c r="E5" s="37" t="s">
        <v>85</v>
      </c>
      <c r="F5" s="37" t="s">
        <v>86</v>
      </c>
      <c r="G5" s="37" t="s">
        <v>87</v>
      </c>
      <c r="H5" s="37" t="s">
        <v>88</v>
      </c>
      <c r="I5" s="37" t="s">
        <v>89</v>
      </c>
      <c r="K5" s="56" t="s">
        <v>90</v>
      </c>
      <c r="L5" s="56" t="s">
        <v>91</v>
      </c>
      <c r="M5" s="56" t="s">
        <v>92</v>
      </c>
      <c r="N5" s="56" t="s">
        <v>93</v>
      </c>
    </row>
    <row r="6" customFormat="false" ht="15" hidden="false" customHeight="false" outlineLevel="0" collapsed="false">
      <c r="B6" s="57" t="n">
        <v>46023</v>
      </c>
      <c r="C6" s="58" t="s">
        <v>94</v>
      </c>
      <c r="D6" s="58" t="s">
        <v>95</v>
      </c>
      <c r="E6" s="59" t="n">
        <v>1700</v>
      </c>
      <c r="F6" s="58" t="s">
        <v>96</v>
      </c>
      <c r="G6" s="58"/>
      <c r="H6" s="60" t="str">
        <f aca="false">IF(OR(E6="",D6=""),"",IF(K6=0,"Expense / Gasto",INDEX(Budget!$C$7:$C$41,K6)))</f>
        <v>Income / Ingreso</v>
      </c>
      <c r="I6" s="60" t="str">
        <f aca="false">IF(AND(B6="",E6=""),"",IF(NOT(ISNUMBER(B6)),"⚠ ADD DATE / AGREGA FECHA",IF(E6="","⚠ ADD AMOUNT / AGREGA MONTO",IF(D6="","⚠ ADD CATEGORY / AGREGA CATEGORÍA",IF(K6=0,"● NEW CATEGORY? / ¿CATEGORÍA NUEVA?","✔ OK")))))</f>
        <v>✔ OK</v>
      </c>
      <c r="K6" s="56" t="n">
        <f aca="false">IF(D6="","",IFERROR(MATCH(D6,Budget!$B$7:$B$41,0),0))</f>
        <v>1</v>
      </c>
      <c r="L6" s="56" t="n">
        <f aca="false">IF(AND(ISNUMBER(B6),ISNUMBER(E6),D6&lt;&gt;""),YEAR(B6)*100+MONTH(B6),0)</f>
        <v>202601</v>
      </c>
      <c r="M6" s="56" t="n">
        <f aca="false">IF(L6=0,0,YEAR(B6))</f>
        <v>2026</v>
      </c>
      <c r="N6" s="56" t="str">
        <f aca="false">IF(L6=0,"",IF(K6=0,"Wants / Gustos",INDEX(Budget!$D$7:$D$41,K6)))</f>
        <v>—</v>
      </c>
    </row>
    <row r="7" customFormat="false" ht="15" hidden="false" customHeight="false" outlineLevel="0" collapsed="false">
      <c r="B7" s="57" t="n">
        <v>46023</v>
      </c>
      <c r="C7" s="58" t="s">
        <v>97</v>
      </c>
      <c r="D7" s="58" t="s">
        <v>98</v>
      </c>
      <c r="E7" s="59" t="n">
        <v>1650</v>
      </c>
      <c r="F7" s="58" t="s">
        <v>99</v>
      </c>
      <c r="G7" s="58"/>
      <c r="H7" s="60" t="str">
        <f aca="false">IF(OR(E7="",D7=""),"",IF(K7=0,"Expense / Gasto",INDEX(Budget!$C$7:$C$41,K7)))</f>
        <v>Expense / Gasto</v>
      </c>
      <c r="I7" s="60" t="str">
        <f aca="false">IF(AND(B7="",E7=""),"",IF(NOT(ISNUMBER(B7)),"⚠ ADD DATE / AGREGA FECHA",IF(E7="","⚠ ADD AMOUNT / AGREGA MONTO",IF(D7="","⚠ ADD CATEGORY / AGREGA CATEGORÍA",IF(K7=0,"● NEW CATEGORY? / ¿CATEGORÍA NUEVA?","✔ OK")))))</f>
        <v>✔ OK</v>
      </c>
      <c r="K7" s="56" t="n">
        <f aca="false">IF(D7="","",IFERROR(MATCH(D7,Budget!$B$7:$B$41,0),0))</f>
        <v>6</v>
      </c>
      <c r="L7" s="56" t="n">
        <f aca="false">IF(AND(ISNUMBER(B7),ISNUMBER(E7),D7&lt;&gt;""),YEAR(B7)*100+MONTH(B7),0)</f>
        <v>202601</v>
      </c>
      <c r="M7" s="56" t="n">
        <f aca="false">IF(L7=0,0,YEAR(B7))</f>
        <v>2026</v>
      </c>
      <c r="N7" s="56" t="str">
        <f aca="false">IF(L7=0,"",IF(K7=0,"Wants / Gustos",INDEX(Budget!$D$7:$D$41,K7)))</f>
        <v>Needs / Necesidades</v>
      </c>
    </row>
    <row r="8" customFormat="false" ht="15" hidden="false" customHeight="false" outlineLevel="0" collapsed="false">
      <c r="B8" s="57" t="n">
        <v>46025</v>
      </c>
      <c r="C8" s="58" t="s">
        <v>100</v>
      </c>
      <c r="D8" s="58" t="s">
        <v>101</v>
      </c>
      <c r="E8" s="59" t="n">
        <v>28.98</v>
      </c>
      <c r="F8" s="58" t="s">
        <v>102</v>
      </c>
      <c r="G8" s="58"/>
      <c r="H8" s="60" t="str">
        <f aca="false">IF(OR(E8="",D8=""),"",IF(K8=0,"Expense / Gasto",INDEX(Budget!$C$7:$C$41,K8)))</f>
        <v>Expense / Gasto</v>
      </c>
      <c r="I8" s="60" t="str">
        <f aca="false">IF(AND(B8="",E8=""),"",IF(NOT(ISNUMBER(B8)),"⚠ ADD DATE / AGREGA FECHA",IF(E8="","⚠ ADD AMOUNT / AGREGA MONTO",IF(D8="","⚠ ADD CATEGORY / AGREGA CATEGORÍA",IF(K8=0,"● NEW CATEGORY? / ¿CATEGORÍA NUEVA?","✔ OK")))))</f>
        <v>✔ OK</v>
      </c>
      <c r="K8" s="56" t="n">
        <f aca="false">IF(D8="","",IFERROR(MATCH(D8,Budget!$B$7:$B$41,0),0))</f>
        <v>19</v>
      </c>
      <c r="L8" s="56" t="n">
        <f aca="false">IF(AND(ISNUMBER(B8),ISNUMBER(E8),D8&lt;&gt;""),YEAR(B8)*100+MONTH(B8),0)</f>
        <v>202601</v>
      </c>
      <c r="M8" s="56" t="n">
        <f aca="false">IF(L8=0,0,YEAR(B8))</f>
        <v>2026</v>
      </c>
      <c r="N8" s="56" t="str">
        <f aca="false">IF(L8=0,"",IF(K8=0,"Wants / Gustos",INDEX(Budget!$D$7:$D$41,K8)))</f>
        <v>Wants / Gustos</v>
      </c>
    </row>
    <row r="9" customFormat="false" ht="15" hidden="false" customHeight="false" outlineLevel="0" collapsed="false">
      <c r="B9" s="57" t="n">
        <v>46027</v>
      </c>
      <c r="C9" s="58" t="s">
        <v>94</v>
      </c>
      <c r="D9" s="58" t="s">
        <v>103</v>
      </c>
      <c r="E9" s="59" t="n">
        <v>2200</v>
      </c>
      <c r="F9" s="58" t="s">
        <v>96</v>
      </c>
      <c r="G9" s="58"/>
      <c r="H9" s="60" t="str">
        <f aca="false">IF(OR(E9="",D9=""),"",IF(K9=0,"Expense / Gasto",INDEX(Budget!$C$7:$C$41,K9)))</f>
        <v>Income / Ingreso</v>
      </c>
      <c r="I9" s="60" t="str">
        <f aca="false">IF(AND(B9="",E9=""),"",IF(NOT(ISNUMBER(B9)),"⚠ ADD DATE / AGREGA FECHA",IF(E9="","⚠ ADD AMOUNT / AGREGA MONTO",IF(D9="","⚠ ADD CATEGORY / AGREGA CATEGORÍA",IF(K9=0,"● NEW CATEGORY? / ¿CATEGORÍA NUEVA?","✔ OK")))))</f>
        <v>✔ OK</v>
      </c>
      <c r="K9" s="56" t="n">
        <f aca="false">IF(D9="","",IFERROR(MATCH(D9,Budget!$B$7:$B$41,0),0))</f>
        <v>2</v>
      </c>
      <c r="L9" s="56" t="n">
        <f aca="false">IF(AND(ISNUMBER(B9),ISNUMBER(E9),D9&lt;&gt;""),YEAR(B9)*100+MONTH(B9),0)</f>
        <v>202601</v>
      </c>
      <c r="M9" s="56" t="n">
        <f aca="false">IF(L9=0,0,YEAR(B9))</f>
        <v>2026</v>
      </c>
      <c r="N9" s="56" t="str">
        <f aca="false">IF(L9=0,"",IF(K9=0,"Wants / Gustos",INDEX(Budget!$D$7:$D$41,K9)))</f>
        <v>—</v>
      </c>
    </row>
    <row r="10" customFormat="false" ht="15" hidden="false" customHeight="false" outlineLevel="0" collapsed="false">
      <c r="B10" s="57" t="n">
        <v>46028</v>
      </c>
      <c r="C10" s="58" t="s">
        <v>104</v>
      </c>
      <c r="D10" s="58" t="s">
        <v>105</v>
      </c>
      <c r="E10" s="59" t="n">
        <v>151.5</v>
      </c>
      <c r="F10" s="58" t="s">
        <v>106</v>
      </c>
      <c r="G10" s="58"/>
      <c r="H10" s="60" t="str">
        <f aca="false">IF(OR(E10="",D10=""),"",IF(K10=0,"Expense / Gasto",INDEX(Budget!$C$7:$C$41,K10)))</f>
        <v>Expense / Gasto</v>
      </c>
      <c r="I10" s="60" t="str">
        <f aca="false">IF(AND(B10="",E10=""),"",IF(NOT(ISNUMBER(B10)),"⚠ ADD DATE / AGREGA FECHA",IF(E10="","⚠ ADD AMOUNT / AGREGA MONTO",IF(D10="","⚠ ADD CATEGORY / AGREGA CATEGORÍA",IF(K10=0,"● NEW CATEGORY? / ¿CATEGORÍA NUEVA?","✔ OK")))))</f>
        <v>✔ OK</v>
      </c>
      <c r="K10" s="56" t="n">
        <f aca="false">IF(D10="","",IFERROR(MATCH(D10,Budget!$B$7:$B$41,0),0))</f>
        <v>8</v>
      </c>
      <c r="L10" s="56" t="n">
        <f aca="false">IF(AND(ISNUMBER(B10),ISNUMBER(E10),D10&lt;&gt;""),YEAR(B10)*100+MONTH(B10),0)</f>
        <v>202601</v>
      </c>
      <c r="M10" s="56" t="n">
        <f aca="false">IF(L10=0,0,YEAR(B10))</f>
        <v>2026</v>
      </c>
      <c r="N10" s="56" t="str">
        <f aca="false">IF(L10=0,"",IF(K10=0,"Wants / Gustos",INDEX(Budget!$D$7:$D$41,K10)))</f>
        <v>Needs / Necesidades</v>
      </c>
    </row>
    <row r="11" customFormat="false" ht="15" hidden="false" customHeight="false" outlineLevel="0" collapsed="false">
      <c r="B11" s="57" t="n">
        <v>46030</v>
      </c>
      <c r="C11" s="58" t="s">
        <v>107</v>
      </c>
      <c r="D11" s="58" t="s">
        <v>108</v>
      </c>
      <c r="E11" s="59" t="n">
        <v>227.55</v>
      </c>
      <c r="F11" s="58" t="s">
        <v>106</v>
      </c>
      <c r="G11" s="58"/>
      <c r="H11" s="60" t="str">
        <f aca="false">IF(OR(E11="",D11=""),"",IF(K11=0,"Expense / Gasto",INDEX(Budget!$C$7:$C$41,K11)))</f>
        <v>Expense / Gasto</v>
      </c>
      <c r="I11" s="60" t="str">
        <f aca="false">IF(AND(B11="",E11=""),"",IF(NOT(ISNUMBER(B11)),"⚠ ADD DATE / AGREGA FECHA",IF(E11="","⚠ ADD AMOUNT / AGREGA MONTO",IF(D11="","⚠ ADD CATEGORY / AGREGA CATEGORÍA",IF(K11=0,"● NEW CATEGORY? / ¿CATEGORÍA NUEVA?","✔ OK")))))</f>
        <v>✔ OK</v>
      </c>
      <c r="K11" s="56" t="n">
        <f aca="false">IF(D11="","",IFERROR(MATCH(D11,Budget!$B$7:$B$41,0),0))</f>
        <v>7</v>
      </c>
      <c r="L11" s="56" t="n">
        <f aca="false">IF(AND(ISNUMBER(B11),ISNUMBER(E11),D11&lt;&gt;""),YEAR(B11)*100+MONTH(B11),0)</f>
        <v>202601</v>
      </c>
      <c r="M11" s="56" t="n">
        <f aca="false">IF(L11=0,0,YEAR(B11))</f>
        <v>2026</v>
      </c>
      <c r="N11" s="56" t="str">
        <f aca="false">IF(L11=0,"",IF(K11=0,"Wants / Gustos",INDEX(Budget!$D$7:$D$41,K11)))</f>
        <v>Needs / Necesidades</v>
      </c>
    </row>
    <row r="12" customFormat="false" ht="15" hidden="false" customHeight="false" outlineLevel="0" collapsed="false">
      <c r="B12" s="57" t="n">
        <v>46032</v>
      </c>
      <c r="C12" s="58" t="s">
        <v>109</v>
      </c>
      <c r="D12" s="58" t="s">
        <v>110</v>
      </c>
      <c r="E12" s="59" t="n">
        <v>109.46</v>
      </c>
      <c r="F12" s="58" t="s">
        <v>102</v>
      </c>
      <c r="G12" s="58"/>
      <c r="H12" s="60" t="str">
        <f aca="false">IF(OR(E12="",D12=""),"",IF(K12=0,"Expense / Gasto",INDEX(Budget!$C$7:$C$41,K12)))</f>
        <v>Expense / Gasto</v>
      </c>
      <c r="I12" s="60" t="str">
        <f aca="false">IF(AND(B12="",E12=""),"",IF(NOT(ISNUMBER(B12)),"⚠ ADD DATE / AGREGA FECHA",IF(E12="","⚠ ADD AMOUNT / AGREGA MONTO",IF(D12="","⚠ ADD CATEGORY / AGREGA CATEGORÍA",IF(K12=0,"● NEW CATEGORY? / ¿CATEGORÍA NUEVA?","✔ OK")))))</f>
        <v>✔ OK</v>
      </c>
      <c r="K12" s="56" t="n">
        <f aca="false">IF(D12="","",IFERROR(MATCH(D12,Budget!$B$7:$B$41,0),0))</f>
        <v>10</v>
      </c>
      <c r="L12" s="56" t="n">
        <f aca="false">IF(AND(ISNUMBER(B12),ISNUMBER(E12),D12&lt;&gt;""),YEAR(B12)*100+MONTH(B12),0)</f>
        <v>202601</v>
      </c>
      <c r="M12" s="56" t="n">
        <f aca="false">IF(L12=0,0,YEAR(B12))</f>
        <v>2026</v>
      </c>
      <c r="N12" s="56" t="str">
        <f aca="false">IF(L12=0,"",IF(K12=0,"Wants / Gustos",INDEX(Budget!$D$7:$D$41,K12)))</f>
        <v>Needs / Necesidades</v>
      </c>
    </row>
    <row r="13" customFormat="false" ht="15" hidden="false" customHeight="false" outlineLevel="0" collapsed="false">
      <c r="B13" s="57" t="n">
        <v>46034</v>
      </c>
      <c r="C13" s="58" t="s">
        <v>111</v>
      </c>
      <c r="D13" s="58" t="s">
        <v>112</v>
      </c>
      <c r="E13" s="59" t="n">
        <v>260</v>
      </c>
      <c r="F13" s="58" t="s">
        <v>106</v>
      </c>
      <c r="G13" s="58"/>
      <c r="H13" s="60" t="str">
        <f aca="false">IF(OR(E13="",D13=""),"",IF(K13=0,"Expense / Gasto",INDEX(Budget!$C$7:$C$41,K13)))</f>
        <v>Expense / Gasto</v>
      </c>
      <c r="I13" s="60" t="str">
        <f aca="false">IF(AND(B13="",E13=""),"",IF(NOT(ISNUMBER(B13)),"⚠ ADD DATE / AGREGA FECHA",IF(E13="","⚠ ADD AMOUNT / AGREGA MONTO",IF(D13="","⚠ ADD CATEGORY / AGREGA CATEGORÍA",IF(K13=0,"● NEW CATEGORY? / ¿CATEGORÍA NUEVA?","✔ OK")))))</f>
        <v>✔ OK</v>
      </c>
      <c r="K13" s="56" t="n">
        <f aca="false">IF(D13="","",IFERROR(MATCH(D13,Budget!$B$7:$B$41,0),0))</f>
        <v>11</v>
      </c>
      <c r="L13" s="56" t="n">
        <f aca="false">IF(AND(ISNUMBER(B13),ISNUMBER(E13),D13&lt;&gt;""),YEAR(B13)*100+MONTH(B13),0)</f>
        <v>202601</v>
      </c>
      <c r="M13" s="56" t="n">
        <f aca="false">IF(L13=0,0,YEAR(B13))</f>
        <v>2026</v>
      </c>
      <c r="N13" s="56" t="str">
        <f aca="false">IF(L13=0,"",IF(K13=0,"Wants / Gustos",INDEX(Budget!$D$7:$D$41,K13)))</f>
        <v>Needs / Necesidades</v>
      </c>
    </row>
    <row r="14" customFormat="false" ht="15" hidden="false" customHeight="false" outlineLevel="0" collapsed="false">
      <c r="B14" s="57" t="n">
        <v>46035</v>
      </c>
      <c r="C14" s="58" t="s">
        <v>113</v>
      </c>
      <c r="D14" s="58" t="s">
        <v>105</v>
      </c>
      <c r="E14" s="59" t="n">
        <v>182</v>
      </c>
      <c r="F14" s="58" t="s">
        <v>102</v>
      </c>
      <c r="G14" s="58"/>
      <c r="H14" s="60" t="str">
        <f aca="false">IF(OR(E14="",D14=""),"",IF(K14=0,"Expense / Gasto",INDEX(Budget!$C$7:$C$41,K14)))</f>
        <v>Expense / Gasto</v>
      </c>
      <c r="I14" s="60" t="str">
        <f aca="false">IF(AND(B14="",E14=""),"",IF(NOT(ISNUMBER(B14)),"⚠ ADD DATE / AGREGA FECHA",IF(E14="","⚠ ADD AMOUNT / AGREGA MONTO",IF(D14="","⚠ ADD CATEGORY / AGREGA CATEGORÍA",IF(K14=0,"● NEW CATEGORY? / ¿CATEGORÍA NUEVA?","✔ OK")))))</f>
        <v>✔ OK</v>
      </c>
      <c r="K14" s="56" t="n">
        <f aca="false">IF(D14="","",IFERROR(MATCH(D14,Budget!$B$7:$B$41,0),0))</f>
        <v>8</v>
      </c>
      <c r="L14" s="56" t="n">
        <f aca="false">IF(AND(ISNUMBER(B14),ISNUMBER(E14),D14&lt;&gt;""),YEAR(B14)*100+MONTH(B14),0)</f>
        <v>202601</v>
      </c>
      <c r="M14" s="56" t="n">
        <f aca="false">IF(L14=0,0,YEAR(B14))</f>
        <v>2026</v>
      </c>
      <c r="N14" s="56" t="str">
        <f aca="false">IF(L14=0,"",IF(K14=0,"Wants / Gustos",INDEX(Budget!$D$7:$D$41,K14)))</f>
        <v>Needs / Necesidades</v>
      </c>
    </row>
    <row r="15" customFormat="false" ht="15" hidden="false" customHeight="false" outlineLevel="0" collapsed="false">
      <c r="B15" s="57" t="n">
        <v>46036</v>
      </c>
      <c r="C15" s="58" t="s">
        <v>114</v>
      </c>
      <c r="D15" s="58" t="s">
        <v>115</v>
      </c>
      <c r="E15" s="59" t="n">
        <v>259.51</v>
      </c>
      <c r="F15" s="58" t="s">
        <v>102</v>
      </c>
      <c r="G15" s="58"/>
      <c r="H15" s="60" t="str">
        <f aca="false">IF(OR(E15="",D15=""),"",IF(K15=0,"Expense / Gasto",INDEX(Budget!$C$7:$C$41,K15)))</f>
        <v>Expense / Gasto</v>
      </c>
      <c r="I15" s="60" t="str">
        <f aca="false">IF(AND(B15="",E15=""),"",IF(NOT(ISNUMBER(B15)),"⚠ ADD DATE / AGREGA FECHA",IF(E15="","⚠ ADD AMOUNT / AGREGA MONTO",IF(D15="","⚠ ADD CATEGORY / AGREGA CATEGORÍA",IF(K15=0,"● NEW CATEGORY? / ¿CATEGORÍA NUEVA?","✔ OK")))))</f>
        <v>✔ OK</v>
      </c>
      <c r="K15" s="56" t="n">
        <f aca="false">IF(D15="","",IFERROR(MATCH(D15,Budget!$B$7:$B$41,0),0))</f>
        <v>16</v>
      </c>
      <c r="L15" s="56" t="n">
        <f aca="false">IF(AND(ISNUMBER(B15),ISNUMBER(E15),D15&lt;&gt;""),YEAR(B15)*100+MONTH(B15),0)</f>
        <v>202601</v>
      </c>
      <c r="M15" s="56" t="n">
        <f aca="false">IF(L15=0,0,YEAR(B15))</f>
        <v>2026</v>
      </c>
      <c r="N15" s="56" t="str">
        <f aca="false">IF(L15=0,"",IF(K15=0,"Wants / Gustos",INDEX(Budget!$D$7:$D$41,K15)))</f>
        <v>Wants / Gustos</v>
      </c>
    </row>
    <row r="16" customFormat="false" ht="15" hidden="false" customHeight="false" outlineLevel="0" collapsed="false">
      <c r="B16" s="57" t="n">
        <v>46037</v>
      </c>
      <c r="C16" s="58" t="s">
        <v>94</v>
      </c>
      <c r="D16" s="58" t="s">
        <v>95</v>
      </c>
      <c r="E16" s="59" t="n">
        <v>1700</v>
      </c>
      <c r="F16" s="58" t="s">
        <v>96</v>
      </c>
      <c r="G16" s="58"/>
      <c r="H16" s="60" t="str">
        <f aca="false">IF(OR(E16="",D16=""),"",IF(K16=0,"Expense / Gasto",INDEX(Budget!$C$7:$C$41,K16)))</f>
        <v>Income / Ingreso</v>
      </c>
      <c r="I16" s="60" t="str">
        <f aca="false">IF(AND(B16="",E16=""),"",IF(NOT(ISNUMBER(B16)),"⚠ ADD DATE / AGREGA FECHA",IF(E16="","⚠ ADD AMOUNT / AGREGA MONTO",IF(D16="","⚠ ADD CATEGORY / AGREGA CATEGORÍA",IF(K16=0,"● NEW CATEGORY? / ¿CATEGORÍA NUEVA?","✔ OK")))))</f>
        <v>✔ OK</v>
      </c>
      <c r="K16" s="56" t="n">
        <f aca="false">IF(D16="","",IFERROR(MATCH(D16,Budget!$B$7:$B$41,0),0))</f>
        <v>1</v>
      </c>
      <c r="L16" s="56" t="n">
        <f aca="false">IF(AND(ISNUMBER(B16),ISNUMBER(E16),D16&lt;&gt;""),YEAR(B16)*100+MONTH(B16),0)</f>
        <v>202601</v>
      </c>
      <c r="M16" s="56" t="n">
        <f aca="false">IF(L16=0,0,YEAR(B16))</f>
        <v>2026</v>
      </c>
      <c r="N16" s="56" t="str">
        <f aca="false">IF(L16=0,"",IF(K16=0,"Wants / Gustos",INDEX(Budget!$D$7:$D$41,K16)))</f>
        <v>—</v>
      </c>
    </row>
    <row r="17" customFormat="false" ht="15" hidden="false" customHeight="false" outlineLevel="0" collapsed="false">
      <c r="B17" s="57" t="n">
        <v>46038</v>
      </c>
      <c r="C17" s="58" t="s">
        <v>116</v>
      </c>
      <c r="D17" s="58" t="s">
        <v>117</v>
      </c>
      <c r="E17" s="59" t="n">
        <v>300</v>
      </c>
      <c r="F17" s="58" t="s">
        <v>106</v>
      </c>
      <c r="G17" s="58"/>
      <c r="H17" s="60" t="str">
        <f aca="false">IF(OR(E17="",D17=""),"",IF(K17=0,"Expense / Gasto",INDEX(Budget!$C$7:$C$41,K17)))</f>
        <v>Expense / Gasto</v>
      </c>
      <c r="I17" s="60" t="str">
        <f aca="false">IF(AND(B17="",E17=""),"",IF(NOT(ISNUMBER(B17)),"⚠ ADD DATE / AGREGA FECHA",IF(E17="","⚠ ADD AMOUNT / AGREGA MONTO",IF(D17="","⚠ ADD CATEGORY / AGREGA CATEGORÍA",IF(K17=0,"● NEW CATEGORY? / ¿CATEGORÍA NUEVA?","✔ OK")))))</f>
        <v>✔ OK</v>
      </c>
      <c r="K17" s="56" t="n">
        <f aca="false">IF(D17="","",IFERROR(MATCH(D17,Budget!$B$7:$B$41,0),0))</f>
        <v>14</v>
      </c>
      <c r="L17" s="56" t="n">
        <f aca="false">IF(AND(ISNUMBER(B17),ISNUMBER(E17),D17&lt;&gt;""),YEAR(B17)*100+MONTH(B17),0)</f>
        <v>202601</v>
      </c>
      <c r="M17" s="56" t="n">
        <f aca="false">IF(L17=0,0,YEAR(B17))</f>
        <v>2026</v>
      </c>
      <c r="N17" s="56" t="str">
        <f aca="false">IF(L17=0,"",IF(K17=0,"Wants / Gustos",INDEX(Budget!$D$7:$D$41,K17)))</f>
        <v>Needs / Necesidades</v>
      </c>
    </row>
    <row r="18" customFormat="false" ht="15" hidden="false" customHeight="false" outlineLevel="0" collapsed="false">
      <c r="B18" s="57" t="n">
        <v>46040</v>
      </c>
      <c r="C18" s="58" t="s">
        <v>118</v>
      </c>
      <c r="D18" s="58" t="s">
        <v>119</v>
      </c>
      <c r="E18" s="59" t="n">
        <v>140</v>
      </c>
      <c r="F18" s="58" t="s">
        <v>102</v>
      </c>
      <c r="G18" s="58"/>
      <c r="H18" s="60" t="str">
        <f aca="false">IF(OR(E18="",D18=""),"",IF(K18=0,"Expense / Gasto",INDEX(Budget!$C$7:$C$41,K18)))</f>
        <v>Expense / Gasto</v>
      </c>
      <c r="I18" s="60" t="str">
        <f aca="false">IF(AND(B18="",E18=""),"",IF(NOT(ISNUMBER(B18)),"⚠ ADD DATE / AGREGA FECHA",IF(E18="","⚠ ADD AMOUNT / AGREGA MONTO",IF(D18="","⚠ ADD CATEGORY / AGREGA CATEGORÍA",IF(K18=0,"● NEW CATEGORY? / ¿CATEGORÍA NUEVA?","✔ OK")))))</f>
        <v>✔ OK</v>
      </c>
      <c r="K18" s="56" t="n">
        <f aca="false">IF(D18="","",IFERROR(MATCH(D18,Budget!$B$7:$B$41,0),0))</f>
        <v>12</v>
      </c>
      <c r="L18" s="56" t="n">
        <f aca="false">IF(AND(ISNUMBER(B18),ISNUMBER(E18),D18&lt;&gt;""),YEAR(B18)*100+MONTH(B18),0)</f>
        <v>202601</v>
      </c>
      <c r="M18" s="56" t="n">
        <f aca="false">IF(L18=0,0,YEAR(B18))</f>
        <v>2026</v>
      </c>
      <c r="N18" s="56" t="str">
        <f aca="false">IF(L18=0,"",IF(K18=0,"Wants / Gustos",INDEX(Budget!$D$7:$D$41,K18)))</f>
        <v>Needs / Necesidades</v>
      </c>
    </row>
    <row r="19" customFormat="false" ht="15" hidden="false" customHeight="false" outlineLevel="0" collapsed="false">
      <c r="B19" s="57" t="n">
        <v>46042</v>
      </c>
      <c r="C19" s="58" t="s">
        <v>120</v>
      </c>
      <c r="D19" s="58" t="s">
        <v>121</v>
      </c>
      <c r="E19" s="59" t="n">
        <v>250</v>
      </c>
      <c r="F19" s="58" t="s">
        <v>99</v>
      </c>
      <c r="G19" s="58"/>
      <c r="H19" s="60" t="str">
        <f aca="false">IF(OR(E19="",D19=""),"",IF(K19=0,"Expense / Gasto",INDEX(Budget!$C$7:$C$41,K19)))</f>
        <v>Expense / Gasto</v>
      </c>
      <c r="I19" s="60" t="str">
        <f aca="false">IF(AND(B19="",E19=""),"",IF(NOT(ISNUMBER(B19)),"⚠ ADD DATE / AGREGA FECHA",IF(E19="","⚠ ADD AMOUNT / AGREGA MONTO",IF(D19="","⚠ ADD CATEGORY / AGREGA CATEGORÍA",IF(K19=0,"● NEW CATEGORY? / ¿CATEGORÍA NUEVA?","✔ OK")))))</f>
        <v>✔ OK</v>
      </c>
      <c r="K19" s="56" t="n">
        <f aca="false">IF(D19="","",IFERROR(MATCH(D19,Budget!$B$7:$B$41,0),0))</f>
        <v>15</v>
      </c>
      <c r="L19" s="56" t="n">
        <f aca="false">IF(AND(ISNUMBER(B19),ISNUMBER(E19),D19&lt;&gt;""),YEAR(B19)*100+MONTH(B19),0)</f>
        <v>202601</v>
      </c>
      <c r="M19" s="56" t="n">
        <f aca="false">IF(L19=0,0,YEAR(B19))</f>
        <v>2026</v>
      </c>
      <c r="N19" s="56" t="str">
        <f aca="false">IF(L19=0,"",IF(K19=0,"Wants / Gustos",INDEX(Budget!$D$7:$D$41,K19)))</f>
        <v>Needs / Necesidades</v>
      </c>
    </row>
    <row r="20" customFormat="false" ht="15" hidden="false" customHeight="false" outlineLevel="0" collapsed="false">
      <c r="B20" s="57" t="n">
        <v>46043</v>
      </c>
      <c r="C20" s="58" t="s">
        <v>122</v>
      </c>
      <c r="D20" s="58" t="s">
        <v>105</v>
      </c>
      <c r="E20" s="59" t="n">
        <v>142.32</v>
      </c>
      <c r="F20" s="58" t="s">
        <v>106</v>
      </c>
      <c r="G20" s="58"/>
      <c r="H20" s="60" t="str">
        <f aca="false">IF(OR(E20="",D20=""),"",IF(K20=0,"Expense / Gasto",INDEX(Budget!$C$7:$C$41,K20)))</f>
        <v>Expense / Gasto</v>
      </c>
      <c r="I20" s="60" t="str">
        <f aca="false">IF(AND(B20="",E20=""),"",IF(NOT(ISNUMBER(B20)),"⚠ ADD DATE / AGREGA FECHA",IF(E20="","⚠ ADD AMOUNT / AGREGA MONTO",IF(D20="","⚠ ADD CATEGORY / AGREGA CATEGORÍA",IF(K20=0,"● NEW CATEGORY? / ¿CATEGORÍA NUEVA?","✔ OK")))))</f>
        <v>✔ OK</v>
      </c>
      <c r="K20" s="56" t="n">
        <f aca="false">IF(D20="","",IFERROR(MATCH(D20,Budget!$B$7:$B$41,0),0))</f>
        <v>8</v>
      </c>
      <c r="L20" s="56" t="n">
        <f aca="false">IF(AND(ISNUMBER(B20),ISNUMBER(E20),D20&lt;&gt;""),YEAR(B20)*100+MONTH(B20),0)</f>
        <v>202601</v>
      </c>
      <c r="M20" s="56" t="n">
        <f aca="false">IF(L20=0,0,YEAR(B20))</f>
        <v>2026</v>
      </c>
      <c r="N20" s="56" t="str">
        <f aca="false">IF(L20=0,"",IF(K20=0,"Wants / Gustos",INDEX(Budget!$D$7:$D$41,K20)))</f>
        <v>Needs / Necesidades</v>
      </c>
    </row>
    <row r="21" customFormat="false" ht="15" hidden="false" customHeight="false" outlineLevel="0" collapsed="false">
      <c r="B21" s="57" t="n">
        <v>46046</v>
      </c>
      <c r="C21" s="58" t="s">
        <v>109</v>
      </c>
      <c r="D21" s="58" t="s">
        <v>110</v>
      </c>
      <c r="E21" s="59" t="n">
        <v>97.07</v>
      </c>
      <c r="F21" s="58" t="s">
        <v>102</v>
      </c>
      <c r="G21" s="58"/>
      <c r="H21" s="60" t="str">
        <f aca="false">IF(OR(E21="",D21=""),"",IF(K21=0,"Expense / Gasto",INDEX(Budget!$C$7:$C$41,K21)))</f>
        <v>Expense / Gasto</v>
      </c>
      <c r="I21" s="60" t="str">
        <f aca="false">IF(AND(B21="",E21=""),"",IF(NOT(ISNUMBER(B21)),"⚠ ADD DATE / AGREGA FECHA",IF(E21="","⚠ ADD AMOUNT / AGREGA MONTO",IF(D21="","⚠ ADD CATEGORY / AGREGA CATEGORÍA",IF(K21=0,"● NEW CATEGORY? / ¿CATEGORÍA NUEVA?","✔ OK")))))</f>
        <v>✔ OK</v>
      </c>
      <c r="K21" s="56" t="n">
        <f aca="false">IF(D21="","",IFERROR(MATCH(D21,Budget!$B$7:$B$41,0),0))</f>
        <v>10</v>
      </c>
      <c r="L21" s="56" t="n">
        <f aca="false">IF(AND(ISNUMBER(B21),ISNUMBER(E21),D21&lt;&gt;""),YEAR(B21)*100+MONTH(B21),0)</f>
        <v>202601</v>
      </c>
      <c r="M21" s="56" t="n">
        <f aca="false">IF(L21=0,0,YEAR(B21))</f>
        <v>2026</v>
      </c>
      <c r="N21" s="56" t="str">
        <f aca="false">IF(L21=0,"",IF(K21=0,"Wants / Gustos",INDEX(Budget!$D$7:$D$41,K21)))</f>
        <v>Needs / Necesidades</v>
      </c>
    </row>
    <row r="22" customFormat="false" ht="15" hidden="false" customHeight="false" outlineLevel="0" collapsed="false">
      <c r="B22" s="57" t="n">
        <v>46047</v>
      </c>
      <c r="C22" s="58" t="s">
        <v>123</v>
      </c>
      <c r="D22" s="58" t="s">
        <v>124</v>
      </c>
      <c r="E22" s="59" t="n">
        <v>575</v>
      </c>
      <c r="F22" s="58" t="s">
        <v>99</v>
      </c>
      <c r="G22" s="58"/>
      <c r="H22" s="60" t="str">
        <f aca="false">IF(OR(E22="",D22=""),"",IF(K22=0,"Expense / Gasto",INDEX(Budget!$C$7:$C$41,K22)))</f>
        <v>Expense / Gasto</v>
      </c>
      <c r="I22" s="60" t="str">
        <f aca="false">IF(AND(B22="",E22=""),"",IF(NOT(ISNUMBER(B22)),"⚠ ADD DATE / AGREGA FECHA",IF(E22="","⚠ ADD AMOUNT / AGREGA MONTO",IF(D22="","⚠ ADD CATEGORY / AGREGA CATEGORÍA",IF(K22=0,"● NEW CATEGORY? / ¿CATEGORÍA NUEVA?","✔ OK")))))</f>
        <v>✔ OK</v>
      </c>
      <c r="K22" s="56" t="n">
        <f aca="false">IF(D22="","",IFERROR(MATCH(D22,Budget!$B$7:$B$41,0),0))</f>
        <v>24</v>
      </c>
      <c r="L22" s="56" t="n">
        <f aca="false">IF(AND(ISNUMBER(B22),ISNUMBER(E22),D22&lt;&gt;""),YEAR(B22)*100+MONTH(B22),0)</f>
        <v>202601</v>
      </c>
      <c r="M22" s="56" t="n">
        <f aca="false">IF(L22=0,0,YEAR(B22))</f>
        <v>2026</v>
      </c>
      <c r="N22" s="56" t="str">
        <f aca="false">IF(L22=0,"",IF(K22=0,"Wants / Gustos",INDEX(Budget!$D$7:$D$41,K22)))</f>
        <v>Savings &amp; Debt / Ahorro y Deuda</v>
      </c>
    </row>
    <row r="23" customFormat="false" ht="15" hidden="false" customHeight="false" outlineLevel="0" collapsed="false">
      <c r="B23" s="57" t="n">
        <v>46048</v>
      </c>
      <c r="C23" s="58" t="s">
        <v>125</v>
      </c>
      <c r="D23" s="58" t="s">
        <v>126</v>
      </c>
      <c r="E23" s="59" t="n">
        <v>200</v>
      </c>
      <c r="F23" s="58" t="s">
        <v>99</v>
      </c>
      <c r="G23" s="58"/>
      <c r="H23" s="60" t="str">
        <f aca="false">IF(OR(E23="",D23=""),"",IF(K23=0,"Expense / Gasto",INDEX(Budget!$C$7:$C$41,K23)))</f>
        <v>Expense / Gasto</v>
      </c>
      <c r="I23" s="60" t="str">
        <f aca="false">IF(AND(B23="",E23=""),"",IF(NOT(ISNUMBER(B23)),"⚠ ADD DATE / AGREGA FECHA",IF(E23="","⚠ ADD AMOUNT / AGREGA MONTO",IF(D23="","⚠ ADD CATEGORY / AGREGA CATEGORÍA",IF(K23=0,"● NEW CATEGORY? / ¿CATEGORÍA NUEVA?","✔ OK")))))</f>
        <v>✔ OK</v>
      </c>
      <c r="K23" s="56" t="n">
        <f aca="false">IF(D23="","",IFERROR(MATCH(D23,Budget!$B$7:$B$41,0),0))</f>
        <v>25</v>
      </c>
      <c r="L23" s="56" t="n">
        <f aca="false">IF(AND(ISNUMBER(B23),ISNUMBER(E23),D23&lt;&gt;""),YEAR(B23)*100+MONTH(B23),0)</f>
        <v>202601</v>
      </c>
      <c r="M23" s="56" t="n">
        <f aca="false">IF(L23=0,0,YEAR(B23))</f>
        <v>2026</v>
      </c>
      <c r="N23" s="56" t="str">
        <f aca="false">IF(L23=0,"",IF(K23=0,"Wants / Gustos",INDEX(Budget!$D$7:$D$41,K23)))</f>
        <v>Savings &amp; Debt / Ahorro y Deuda</v>
      </c>
    </row>
    <row r="24" customFormat="false" ht="15" hidden="false" customHeight="false" outlineLevel="0" collapsed="false">
      <c r="B24" s="57" t="n">
        <v>46054</v>
      </c>
      <c r="C24" s="58" t="s">
        <v>94</v>
      </c>
      <c r="D24" s="58" t="s">
        <v>95</v>
      </c>
      <c r="E24" s="59" t="n">
        <v>1700</v>
      </c>
      <c r="F24" s="58" t="s">
        <v>96</v>
      </c>
      <c r="G24" s="58"/>
      <c r="H24" s="60" t="str">
        <f aca="false">IF(OR(E24="",D24=""),"",IF(K24=0,"Expense / Gasto",INDEX(Budget!$C$7:$C$41,K24)))</f>
        <v>Income / Ingreso</v>
      </c>
      <c r="I24" s="60" t="str">
        <f aca="false">IF(AND(B24="",E24=""),"",IF(NOT(ISNUMBER(B24)),"⚠ ADD DATE / AGREGA FECHA",IF(E24="","⚠ ADD AMOUNT / AGREGA MONTO",IF(D24="","⚠ ADD CATEGORY / AGREGA CATEGORÍA",IF(K24=0,"● NEW CATEGORY? / ¿CATEGORÍA NUEVA?","✔ OK")))))</f>
        <v>✔ OK</v>
      </c>
      <c r="K24" s="56" t="n">
        <f aca="false">IF(D24="","",IFERROR(MATCH(D24,Budget!$B$7:$B$41,0),0))</f>
        <v>1</v>
      </c>
      <c r="L24" s="56" t="n">
        <f aca="false">IF(AND(ISNUMBER(B24),ISNUMBER(E24),D24&lt;&gt;""),YEAR(B24)*100+MONTH(B24),0)</f>
        <v>202602</v>
      </c>
      <c r="M24" s="56" t="n">
        <f aca="false">IF(L24=0,0,YEAR(B24))</f>
        <v>2026</v>
      </c>
      <c r="N24" s="56" t="str">
        <f aca="false">IF(L24=0,"",IF(K24=0,"Wants / Gustos",INDEX(Budget!$D$7:$D$41,K24)))</f>
        <v>—</v>
      </c>
    </row>
    <row r="25" customFormat="false" ht="15" hidden="false" customHeight="false" outlineLevel="0" collapsed="false">
      <c r="B25" s="57" t="n">
        <v>46054</v>
      </c>
      <c r="C25" s="58" t="s">
        <v>97</v>
      </c>
      <c r="D25" s="58" t="s">
        <v>98</v>
      </c>
      <c r="E25" s="59" t="n">
        <v>1650</v>
      </c>
      <c r="F25" s="58" t="s">
        <v>99</v>
      </c>
      <c r="G25" s="58"/>
      <c r="H25" s="60" t="str">
        <f aca="false">IF(OR(E25="",D25=""),"",IF(K25=0,"Expense / Gasto",INDEX(Budget!$C$7:$C$41,K25)))</f>
        <v>Expense / Gasto</v>
      </c>
      <c r="I25" s="60" t="str">
        <f aca="false">IF(AND(B25="",E25=""),"",IF(NOT(ISNUMBER(B25)),"⚠ ADD DATE / AGREGA FECHA",IF(E25="","⚠ ADD AMOUNT / AGREGA MONTO",IF(D25="","⚠ ADD CATEGORY / AGREGA CATEGORÍA",IF(K25=0,"● NEW CATEGORY? / ¿CATEGORÍA NUEVA?","✔ OK")))))</f>
        <v>✔ OK</v>
      </c>
      <c r="K25" s="56" t="n">
        <f aca="false">IF(D25="","",IFERROR(MATCH(D25,Budget!$B$7:$B$41,0),0))</f>
        <v>6</v>
      </c>
      <c r="L25" s="56" t="n">
        <f aca="false">IF(AND(ISNUMBER(B25),ISNUMBER(E25),D25&lt;&gt;""),YEAR(B25)*100+MONTH(B25),0)</f>
        <v>202602</v>
      </c>
      <c r="M25" s="56" t="n">
        <f aca="false">IF(L25=0,0,YEAR(B25))</f>
        <v>2026</v>
      </c>
      <c r="N25" s="56" t="str">
        <f aca="false">IF(L25=0,"",IF(K25=0,"Wants / Gustos",INDEX(Budget!$D$7:$D$41,K25)))</f>
        <v>Needs / Necesidades</v>
      </c>
    </row>
    <row r="26" customFormat="false" ht="15" hidden="false" customHeight="false" outlineLevel="0" collapsed="false">
      <c r="B26" s="57" t="n">
        <v>46056</v>
      </c>
      <c r="C26" s="58" t="s">
        <v>100</v>
      </c>
      <c r="D26" s="58" t="s">
        <v>101</v>
      </c>
      <c r="E26" s="59" t="n">
        <v>28.98</v>
      </c>
      <c r="F26" s="58" t="s">
        <v>102</v>
      </c>
      <c r="G26" s="58"/>
      <c r="H26" s="60" t="str">
        <f aca="false">IF(OR(E26="",D26=""),"",IF(K26=0,"Expense / Gasto",INDEX(Budget!$C$7:$C$41,K26)))</f>
        <v>Expense / Gasto</v>
      </c>
      <c r="I26" s="60" t="str">
        <f aca="false">IF(AND(B26="",E26=""),"",IF(NOT(ISNUMBER(B26)),"⚠ ADD DATE / AGREGA FECHA",IF(E26="","⚠ ADD AMOUNT / AGREGA MONTO",IF(D26="","⚠ ADD CATEGORY / AGREGA CATEGORÍA",IF(K26=0,"● NEW CATEGORY? / ¿CATEGORÍA NUEVA?","✔ OK")))))</f>
        <v>✔ OK</v>
      </c>
      <c r="K26" s="56" t="n">
        <f aca="false">IF(D26="","",IFERROR(MATCH(D26,Budget!$B$7:$B$41,0),0))</f>
        <v>19</v>
      </c>
      <c r="L26" s="56" t="n">
        <f aca="false">IF(AND(ISNUMBER(B26),ISNUMBER(E26),D26&lt;&gt;""),YEAR(B26)*100+MONTH(B26),0)</f>
        <v>202602</v>
      </c>
      <c r="M26" s="56" t="n">
        <f aca="false">IF(L26=0,0,YEAR(B26))</f>
        <v>2026</v>
      </c>
      <c r="N26" s="56" t="str">
        <f aca="false">IF(L26=0,"",IF(K26=0,"Wants / Gustos",INDEX(Budget!$D$7:$D$41,K26)))</f>
        <v>Wants / Gustos</v>
      </c>
    </row>
    <row r="27" customFormat="false" ht="15" hidden="false" customHeight="false" outlineLevel="0" collapsed="false">
      <c r="B27" s="57" t="n">
        <v>46058</v>
      </c>
      <c r="C27" s="58" t="s">
        <v>94</v>
      </c>
      <c r="D27" s="58" t="s">
        <v>103</v>
      </c>
      <c r="E27" s="59" t="n">
        <v>2200</v>
      </c>
      <c r="F27" s="58" t="s">
        <v>96</v>
      </c>
      <c r="G27" s="58"/>
      <c r="H27" s="60" t="str">
        <f aca="false">IF(OR(E27="",D27=""),"",IF(K27=0,"Expense / Gasto",INDEX(Budget!$C$7:$C$41,K27)))</f>
        <v>Income / Ingreso</v>
      </c>
      <c r="I27" s="60" t="str">
        <f aca="false">IF(AND(B27="",E27=""),"",IF(NOT(ISNUMBER(B27)),"⚠ ADD DATE / AGREGA FECHA",IF(E27="","⚠ ADD AMOUNT / AGREGA MONTO",IF(D27="","⚠ ADD CATEGORY / AGREGA CATEGORÍA",IF(K27=0,"● NEW CATEGORY? / ¿CATEGORÍA NUEVA?","✔ OK")))))</f>
        <v>✔ OK</v>
      </c>
      <c r="K27" s="56" t="n">
        <f aca="false">IF(D27="","",IFERROR(MATCH(D27,Budget!$B$7:$B$41,0),0))</f>
        <v>2</v>
      </c>
      <c r="L27" s="56" t="n">
        <f aca="false">IF(AND(ISNUMBER(B27),ISNUMBER(E27),D27&lt;&gt;""),YEAR(B27)*100+MONTH(B27),0)</f>
        <v>202602</v>
      </c>
      <c r="M27" s="56" t="n">
        <f aca="false">IF(L27=0,0,YEAR(B27))</f>
        <v>2026</v>
      </c>
      <c r="N27" s="56" t="str">
        <f aca="false">IF(L27=0,"",IF(K27=0,"Wants / Gustos",INDEX(Budget!$D$7:$D$41,K27)))</f>
        <v>—</v>
      </c>
    </row>
    <row r="28" customFormat="false" ht="15" hidden="false" customHeight="false" outlineLevel="0" collapsed="false">
      <c r="B28" s="57" t="n">
        <v>46059</v>
      </c>
      <c r="C28" s="58" t="s">
        <v>104</v>
      </c>
      <c r="D28" s="58" t="s">
        <v>105</v>
      </c>
      <c r="E28" s="59" t="n">
        <v>175.32</v>
      </c>
      <c r="F28" s="58" t="s">
        <v>106</v>
      </c>
      <c r="G28" s="58"/>
      <c r="H28" s="60" t="str">
        <f aca="false">IF(OR(E28="",D28=""),"",IF(K28=0,"Expense / Gasto",INDEX(Budget!$C$7:$C$41,K28)))</f>
        <v>Expense / Gasto</v>
      </c>
      <c r="I28" s="60" t="str">
        <f aca="false">IF(AND(B28="",E28=""),"",IF(NOT(ISNUMBER(B28)),"⚠ ADD DATE / AGREGA FECHA",IF(E28="","⚠ ADD AMOUNT / AGREGA MONTO",IF(D28="","⚠ ADD CATEGORY / AGREGA CATEGORÍA",IF(K28=0,"● NEW CATEGORY? / ¿CATEGORÍA NUEVA?","✔ OK")))))</f>
        <v>✔ OK</v>
      </c>
      <c r="K28" s="56" t="n">
        <f aca="false">IF(D28="","",IFERROR(MATCH(D28,Budget!$B$7:$B$41,0),0))</f>
        <v>8</v>
      </c>
      <c r="L28" s="56" t="n">
        <f aca="false">IF(AND(ISNUMBER(B28),ISNUMBER(E28),D28&lt;&gt;""),YEAR(B28)*100+MONTH(B28),0)</f>
        <v>202602</v>
      </c>
      <c r="M28" s="56" t="n">
        <f aca="false">IF(L28=0,0,YEAR(B28))</f>
        <v>2026</v>
      </c>
      <c r="N28" s="56" t="str">
        <f aca="false">IF(L28=0,"",IF(K28=0,"Wants / Gustos",INDEX(Budget!$D$7:$D$41,K28)))</f>
        <v>Needs / Necesidades</v>
      </c>
    </row>
    <row r="29" customFormat="false" ht="15" hidden="false" customHeight="false" outlineLevel="0" collapsed="false">
      <c r="B29" s="57" t="n">
        <v>46061</v>
      </c>
      <c r="C29" s="58" t="s">
        <v>107</v>
      </c>
      <c r="D29" s="58" t="s">
        <v>108</v>
      </c>
      <c r="E29" s="59" t="n">
        <v>177.82</v>
      </c>
      <c r="F29" s="58" t="s">
        <v>106</v>
      </c>
      <c r="G29" s="58"/>
      <c r="H29" s="60" t="str">
        <f aca="false">IF(OR(E29="",D29=""),"",IF(K29=0,"Expense / Gasto",INDEX(Budget!$C$7:$C$41,K29)))</f>
        <v>Expense / Gasto</v>
      </c>
      <c r="I29" s="60" t="str">
        <f aca="false">IF(AND(B29="",E29=""),"",IF(NOT(ISNUMBER(B29)),"⚠ ADD DATE / AGREGA FECHA",IF(E29="","⚠ ADD AMOUNT / AGREGA MONTO",IF(D29="","⚠ ADD CATEGORY / AGREGA CATEGORÍA",IF(K29=0,"● NEW CATEGORY? / ¿CATEGORÍA NUEVA?","✔ OK")))))</f>
        <v>✔ OK</v>
      </c>
      <c r="K29" s="56" t="n">
        <f aca="false">IF(D29="","",IFERROR(MATCH(D29,Budget!$B$7:$B$41,0),0))</f>
        <v>7</v>
      </c>
      <c r="L29" s="56" t="n">
        <f aca="false">IF(AND(ISNUMBER(B29),ISNUMBER(E29),D29&lt;&gt;""),YEAR(B29)*100+MONTH(B29),0)</f>
        <v>202602</v>
      </c>
      <c r="M29" s="56" t="n">
        <f aca="false">IF(L29=0,0,YEAR(B29))</f>
        <v>2026</v>
      </c>
      <c r="N29" s="56" t="str">
        <f aca="false">IF(L29=0,"",IF(K29=0,"Wants / Gustos",INDEX(Budget!$D$7:$D$41,K29)))</f>
        <v>Needs / Necesidades</v>
      </c>
    </row>
    <row r="30" customFormat="false" ht="15" hidden="false" customHeight="false" outlineLevel="0" collapsed="false">
      <c r="B30" s="57" t="n">
        <v>46063</v>
      </c>
      <c r="C30" s="58" t="s">
        <v>109</v>
      </c>
      <c r="D30" s="58" t="s">
        <v>110</v>
      </c>
      <c r="E30" s="59" t="n">
        <v>100.21</v>
      </c>
      <c r="F30" s="58" t="s">
        <v>102</v>
      </c>
      <c r="G30" s="58"/>
      <c r="H30" s="60" t="str">
        <f aca="false">IF(OR(E30="",D30=""),"",IF(K30=0,"Expense / Gasto",INDEX(Budget!$C$7:$C$41,K30)))</f>
        <v>Expense / Gasto</v>
      </c>
      <c r="I30" s="60" t="str">
        <f aca="false">IF(AND(B30="",E30=""),"",IF(NOT(ISNUMBER(B30)),"⚠ ADD DATE / AGREGA FECHA",IF(E30="","⚠ ADD AMOUNT / AGREGA MONTO",IF(D30="","⚠ ADD CATEGORY / AGREGA CATEGORÍA",IF(K30=0,"● NEW CATEGORY? / ¿CATEGORÍA NUEVA?","✔ OK")))))</f>
        <v>✔ OK</v>
      </c>
      <c r="K30" s="56" t="n">
        <f aca="false">IF(D30="","",IFERROR(MATCH(D30,Budget!$B$7:$B$41,0),0))</f>
        <v>10</v>
      </c>
      <c r="L30" s="56" t="n">
        <f aca="false">IF(AND(ISNUMBER(B30),ISNUMBER(E30),D30&lt;&gt;""),YEAR(B30)*100+MONTH(B30),0)</f>
        <v>202602</v>
      </c>
      <c r="M30" s="56" t="n">
        <f aca="false">IF(L30=0,0,YEAR(B30))</f>
        <v>2026</v>
      </c>
      <c r="N30" s="56" t="str">
        <f aca="false">IF(L30=0,"",IF(K30=0,"Wants / Gustos",INDEX(Budget!$D$7:$D$41,K30)))</f>
        <v>Needs / Necesidades</v>
      </c>
    </row>
    <row r="31" customFormat="false" ht="15" hidden="false" customHeight="false" outlineLevel="0" collapsed="false">
      <c r="B31" s="57" t="n">
        <v>46065</v>
      </c>
      <c r="C31" s="58" t="s">
        <v>111</v>
      </c>
      <c r="D31" s="58" t="s">
        <v>112</v>
      </c>
      <c r="E31" s="59" t="n">
        <v>260</v>
      </c>
      <c r="F31" s="58" t="s">
        <v>106</v>
      </c>
      <c r="G31" s="58"/>
      <c r="H31" s="60" t="str">
        <f aca="false">IF(OR(E31="",D31=""),"",IF(K31=0,"Expense / Gasto",INDEX(Budget!$C$7:$C$41,K31)))</f>
        <v>Expense / Gasto</v>
      </c>
      <c r="I31" s="60" t="str">
        <f aca="false">IF(AND(B31="",E31=""),"",IF(NOT(ISNUMBER(B31)),"⚠ ADD DATE / AGREGA FECHA",IF(E31="","⚠ ADD AMOUNT / AGREGA MONTO",IF(D31="","⚠ ADD CATEGORY / AGREGA CATEGORÍA",IF(K31=0,"● NEW CATEGORY? / ¿CATEGORÍA NUEVA?","✔ OK")))))</f>
        <v>✔ OK</v>
      </c>
      <c r="K31" s="56" t="n">
        <f aca="false">IF(D31="","",IFERROR(MATCH(D31,Budget!$B$7:$B$41,0),0))</f>
        <v>11</v>
      </c>
      <c r="L31" s="56" t="n">
        <f aca="false">IF(AND(ISNUMBER(B31),ISNUMBER(E31),D31&lt;&gt;""),YEAR(B31)*100+MONTH(B31),0)</f>
        <v>202602</v>
      </c>
      <c r="M31" s="56" t="n">
        <f aca="false">IF(L31=0,0,YEAR(B31))</f>
        <v>2026</v>
      </c>
      <c r="N31" s="56" t="str">
        <f aca="false">IF(L31=0,"",IF(K31=0,"Wants / Gustos",INDEX(Budget!$D$7:$D$41,K31)))</f>
        <v>Needs / Necesidades</v>
      </c>
    </row>
    <row r="32" customFormat="false" ht="15" hidden="false" customHeight="false" outlineLevel="0" collapsed="false">
      <c r="B32" s="57" t="n">
        <v>46066</v>
      </c>
      <c r="C32" s="58" t="s">
        <v>113</v>
      </c>
      <c r="D32" s="58" t="s">
        <v>105</v>
      </c>
      <c r="E32" s="59" t="n">
        <v>162.38</v>
      </c>
      <c r="F32" s="58" t="s">
        <v>102</v>
      </c>
      <c r="G32" s="58"/>
      <c r="H32" s="60" t="str">
        <f aca="false">IF(OR(E32="",D32=""),"",IF(K32=0,"Expense / Gasto",INDEX(Budget!$C$7:$C$41,K32)))</f>
        <v>Expense / Gasto</v>
      </c>
      <c r="I32" s="60" t="str">
        <f aca="false">IF(AND(B32="",E32=""),"",IF(NOT(ISNUMBER(B32)),"⚠ ADD DATE / AGREGA FECHA",IF(E32="","⚠ ADD AMOUNT / AGREGA MONTO",IF(D32="","⚠ ADD CATEGORY / AGREGA CATEGORÍA",IF(K32=0,"● NEW CATEGORY? / ¿CATEGORÍA NUEVA?","✔ OK")))))</f>
        <v>✔ OK</v>
      </c>
      <c r="K32" s="56" t="n">
        <f aca="false">IF(D32="","",IFERROR(MATCH(D32,Budget!$B$7:$B$41,0),0))</f>
        <v>8</v>
      </c>
      <c r="L32" s="56" t="n">
        <f aca="false">IF(AND(ISNUMBER(B32),ISNUMBER(E32),D32&lt;&gt;""),YEAR(B32)*100+MONTH(B32),0)</f>
        <v>202602</v>
      </c>
      <c r="M32" s="56" t="n">
        <f aca="false">IF(L32=0,0,YEAR(B32))</f>
        <v>2026</v>
      </c>
      <c r="N32" s="56" t="str">
        <f aca="false">IF(L32=0,"",IF(K32=0,"Wants / Gustos",INDEX(Budget!$D$7:$D$41,K32)))</f>
        <v>Needs / Necesidades</v>
      </c>
    </row>
    <row r="33" customFormat="false" ht="15" hidden="false" customHeight="false" outlineLevel="0" collapsed="false">
      <c r="B33" s="57" t="n">
        <v>46067</v>
      </c>
      <c r="C33" s="58" t="s">
        <v>114</v>
      </c>
      <c r="D33" s="58" t="s">
        <v>115</v>
      </c>
      <c r="E33" s="59" t="n">
        <v>127.78</v>
      </c>
      <c r="F33" s="58" t="s">
        <v>102</v>
      </c>
      <c r="G33" s="58"/>
      <c r="H33" s="60" t="str">
        <f aca="false">IF(OR(E33="",D33=""),"",IF(K33=0,"Expense / Gasto",INDEX(Budget!$C$7:$C$41,K33)))</f>
        <v>Expense / Gasto</v>
      </c>
      <c r="I33" s="60" t="str">
        <f aca="false">IF(AND(B33="",E33=""),"",IF(NOT(ISNUMBER(B33)),"⚠ ADD DATE / AGREGA FECHA",IF(E33="","⚠ ADD AMOUNT / AGREGA MONTO",IF(D33="","⚠ ADD CATEGORY / AGREGA CATEGORÍA",IF(K33=0,"● NEW CATEGORY? / ¿CATEGORÍA NUEVA?","✔ OK")))))</f>
        <v>✔ OK</v>
      </c>
      <c r="K33" s="56" t="n">
        <f aca="false">IF(D33="","",IFERROR(MATCH(D33,Budget!$B$7:$B$41,0),0))</f>
        <v>16</v>
      </c>
      <c r="L33" s="56" t="n">
        <f aca="false">IF(AND(ISNUMBER(B33),ISNUMBER(E33),D33&lt;&gt;""),YEAR(B33)*100+MONTH(B33),0)</f>
        <v>202602</v>
      </c>
      <c r="M33" s="56" t="n">
        <f aca="false">IF(L33=0,0,YEAR(B33))</f>
        <v>2026</v>
      </c>
      <c r="N33" s="56" t="str">
        <f aca="false">IF(L33=0,"",IF(K33=0,"Wants / Gustos",INDEX(Budget!$D$7:$D$41,K33)))</f>
        <v>Wants / Gustos</v>
      </c>
    </row>
    <row r="34" customFormat="false" ht="15" hidden="false" customHeight="false" outlineLevel="0" collapsed="false">
      <c r="B34" s="57" t="n">
        <v>46068</v>
      </c>
      <c r="C34" s="58" t="s">
        <v>94</v>
      </c>
      <c r="D34" s="58" t="s">
        <v>95</v>
      </c>
      <c r="E34" s="59" t="n">
        <v>1700</v>
      </c>
      <c r="F34" s="58" t="s">
        <v>96</v>
      </c>
      <c r="G34" s="58"/>
      <c r="H34" s="60" t="str">
        <f aca="false">IF(OR(E34="",D34=""),"",IF(K34=0,"Expense / Gasto",INDEX(Budget!$C$7:$C$41,K34)))</f>
        <v>Income / Ingreso</v>
      </c>
      <c r="I34" s="60" t="str">
        <f aca="false">IF(AND(B34="",E34=""),"",IF(NOT(ISNUMBER(B34)),"⚠ ADD DATE / AGREGA FECHA",IF(E34="","⚠ ADD AMOUNT / AGREGA MONTO",IF(D34="","⚠ ADD CATEGORY / AGREGA CATEGORÍA",IF(K34=0,"● NEW CATEGORY? / ¿CATEGORÍA NUEVA?","✔ OK")))))</f>
        <v>✔ OK</v>
      </c>
      <c r="K34" s="56" t="n">
        <f aca="false">IF(D34="","",IFERROR(MATCH(D34,Budget!$B$7:$B$41,0),0))</f>
        <v>1</v>
      </c>
      <c r="L34" s="56" t="n">
        <f aca="false">IF(AND(ISNUMBER(B34),ISNUMBER(E34),D34&lt;&gt;""),YEAR(B34)*100+MONTH(B34),0)</f>
        <v>202602</v>
      </c>
      <c r="M34" s="56" t="n">
        <f aca="false">IF(L34=0,0,YEAR(B34))</f>
        <v>2026</v>
      </c>
      <c r="N34" s="56" t="str">
        <f aca="false">IF(L34=0,"",IF(K34=0,"Wants / Gustos",INDEX(Budget!$D$7:$D$41,K34)))</f>
        <v>—</v>
      </c>
    </row>
    <row r="35" customFormat="false" ht="15" hidden="false" customHeight="false" outlineLevel="0" collapsed="false">
      <c r="B35" s="57" t="n">
        <v>46069</v>
      </c>
      <c r="C35" s="58" t="s">
        <v>116</v>
      </c>
      <c r="D35" s="58" t="s">
        <v>117</v>
      </c>
      <c r="E35" s="59" t="n">
        <v>300</v>
      </c>
      <c r="F35" s="58" t="s">
        <v>106</v>
      </c>
      <c r="G35" s="58"/>
      <c r="H35" s="60" t="str">
        <f aca="false">IF(OR(E35="",D35=""),"",IF(K35=0,"Expense / Gasto",INDEX(Budget!$C$7:$C$41,K35)))</f>
        <v>Expense / Gasto</v>
      </c>
      <c r="I35" s="60" t="str">
        <f aca="false">IF(AND(B35="",E35=""),"",IF(NOT(ISNUMBER(B35)),"⚠ ADD DATE / AGREGA FECHA",IF(E35="","⚠ ADD AMOUNT / AGREGA MONTO",IF(D35="","⚠ ADD CATEGORY / AGREGA CATEGORÍA",IF(K35=0,"● NEW CATEGORY? / ¿CATEGORÍA NUEVA?","✔ OK")))))</f>
        <v>✔ OK</v>
      </c>
      <c r="K35" s="56" t="n">
        <f aca="false">IF(D35="","",IFERROR(MATCH(D35,Budget!$B$7:$B$41,0),0))</f>
        <v>14</v>
      </c>
      <c r="L35" s="56" t="n">
        <f aca="false">IF(AND(ISNUMBER(B35),ISNUMBER(E35),D35&lt;&gt;""),YEAR(B35)*100+MONTH(B35),0)</f>
        <v>202602</v>
      </c>
      <c r="M35" s="56" t="n">
        <f aca="false">IF(L35=0,0,YEAR(B35))</f>
        <v>2026</v>
      </c>
      <c r="N35" s="56" t="str">
        <f aca="false">IF(L35=0,"",IF(K35=0,"Wants / Gustos",INDEX(Budget!$D$7:$D$41,K35)))</f>
        <v>Needs / Necesidades</v>
      </c>
    </row>
    <row r="36" customFormat="false" ht="15" hidden="false" customHeight="false" outlineLevel="0" collapsed="false">
      <c r="B36" s="57" t="n">
        <v>46071</v>
      </c>
      <c r="C36" s="58" t="s">
        <v>118</v>
      </c>
      <c r="D36" s="58" t="s">
        <v>119</v>
      </c>
      <c r="E36" s="59" t="n">
        <v>140</v>
      </c>
      <c r="F36" s="58" t="s">
        <v>102</v>
      </c>
      <c r="G36" s="58"/>
      <c r="H36" s="60" t="str">
        <f aca="false">IF(OR(E36="",D36=""),"",IF(K36=0,"Expense / Gasto",INDEX(Budget!$C$7:$C$41,K36)))</f>
        <v>Expense / Gasto</v>
      </c>
      <c r="I36" s="60" t="str">
        <f aca="false">IF(AND(B36="",E36=""),"",IF(NOT(ISNUMBER(B36)),"⚠ ADD DATE / AGREGA FECHA",IF(E36="","⚠ ADD AMOUNT / AGREGA MONTO",IF(D36="","⚠ ADD CATEGORY / AGREGA CATEGORÍA",IF(K36=0,"● NEW CATEGORY? / ¿CATEGORÍA NUEVA?","✔ OK")))))</f>
        <v>✔ OK</v>
      </c>
      <c r="K36" s="56" t="n">
        <f aca="false">IF(D36="","",IFERROR(MATCH(D36,Budget!$B$7:$B$41,0),0))</f>
        <v>12</v>
      </c>
      <c r="L36" s="56" t="n">
        <f aca="false">IF(AND(ISNUMBER(B36),ISNUMBER(E36),D36&lt;&gt;""),YEAR(B36)*100+MONTH(B36),0)</f>
        <v>202602</v>
      </c>
      <c r="M36" s="56" t="n">
        <f aca="false">IF(L36=0,0,YEAR(B36))</f>
        <v>2026</v>
      </c>
      <c r="N36" s="56" t="str">
        <f aca="false">IF(L36=0,"",IF(K36=0,"Wants / Gustos",INDEX(Budget!$D$7:$D$41,K36)))</f>
        <v>Needs / Necesidades</v>
      </c>
    </row>
    <row r="37" customFormat="false" ht="15" hidden="false" customHeight="false" outlineLevel="0" collapsed="false">
      <c r="B37" s="57" t="n">
        <v>46072</v>
      </c>
      <c r="C37" s="58" t="s">
        <v>127</v>
      </c>
      <c r="D37" s="58" t="s">
        <v>128</v>
      </c>
      <c r="E37" s="59" t="n">
        <v>189.98</v>
      </c>
      <c r="F37" s="58" t="s">
        <v>102</v>
      </c>
      <c r="G37" s="58"/>
      <c r="H37" s="60" t="str">
        <f aca="false">IF(OR(E37="",D37=""),"",IF(K37=0,"Expense / Gasto",INDEX(Budget!$C$7:$C$41,K37)))</f>
        <v>Expense / Gasto</v>
      </c>
      <c r="I37" s="60" t="str">
        <f aca="false">IF(AND(B37="",E37=""),"",IF(NOT(ISNUMBER(B37)),"⚠ ADD DATE / AGREGA FECHA",IF(E37="","⚠ ADD AMOUNT / AGREGA MONTO",IF(D37="","⚠ ADD CATEGORY / AGREGA CATEGORÍA",IF(K37=0,"● NEW CATEGORY? / ¿CATEGORÍA NUEVA?","✔ OK")))))</f>
        <v>✔ OK</v>
      </c>
      <c r="K37" s="56" t="n">
        <f aca="false">IF(D37="","",IFERROR(MATCH(D37,Budget!$B$7:$B$41,0),0))</f>
        <v>18</v>
      </c>
      <c r="L37" s="56" t="n">
        <f aca="false">IF(AND(ISNUMBER(B37),ISNUMBER(E37),D37&lt;&gt;""),YEAR(B37)*100+MONTH(B37),0)</f>
        <v>202602</v>
      </c>
      <c r="M37" s="56" t="n">
        <f aca="false">IF(L37=0,0,YEAR(B37))</f>
        <v>2026</v>
      </c>
      <c r="N37" s="56" t="str">
        <f aca="false">IF(L37=0,"",IF(K37=0,"Wants / Gustos",INDEX(Budget!$D$7:$D$41,K37)))</f>
        <v>Wants / Gustos</v>
      </c>
    </row>
    <row r="38" customFormat="false" ht="15" hidden="false" customHeight="false" outlineLevel="0" collapsed="false">
      <c r="B38" s="57" t="n">
        <v>46073</v>
      </c>
      <c r="C38" s="58" t="s">
        <v>120</v>
      </c>
      <c r="D38" s="58" t="s">
        <v>121</v>
      </c>
      <c r="E38" s="59" t="n">
        <v>250</v>
      </c>
      <c r="F38" s="58" t="s">
        <v>99</v>
      </c>
      <c r="G38" s="58"/>
      <c r="H38" s="60" t="str">
        <f aca="false">IF(OR(E38="",D38=""),"",IF(K38=0,"Expense / Gasto",INDEX(Budget!$C$7:$C$41,K38)))</f>
        <v>Expense / Gasto</v>
      </c>
      <c r="I38" s="60" t="str">
        <f aca="false">IF(AND(B38="",E38=""),"",IF(NOT(ISNUMBER(B38)),"⚠ ADD DATE / AGREGA FECHA",IF(E38="","⚠ ADD AMOUNT / AGREGA MONTO",IF(D38="","⚠ ADD CATEGORY / AGREGA CATEGORÍA",IF(K38=0,"● NEW CATEGORY? / ¿CATEGORÍA NUEVA?","✔ OK")))))</f>
        <v>✔ OK</v>
      </c>
      <c r="K38" s="56" t="n">
        <f aca="false">IF(D38="","",IFERROR(MATCH(D38,Budget!$B$7:$B$41,0),0))</f>
        <v>15</v>
      </c>
      <c r="L38" s="56" t="n">
        <f aca="false">IF(AND(ISNUMBER(B38),ISNUMBER(E38),D38&lt;&gt;""),YEAR(B38)*100+MONTH(B38),0)</f>
        <v>202602</v>
      </c>
      <c r="M38" s="56" t="n">
        <f aca="false">IF(L38=0,0,YEAR(B38))</f>
        <v>2026</v>
      </c>
      <c r="N38" s="56" t="str">
        <f aca="false">IF(L38=0,"",IF(K38=0,"Wants / Gustos",INDEX(Budget!$D$7:$D$41,K38)))</f>
        <v>Needs / Necesidades</v>
      </c>
    </row>
    <row r="39" customFormat="false" ht="15" hidden="false" customHeight="false" outlineLevel="0" collapsed="false">
      <c r="B39" s="57" t="n">
        <v>46074</v>
      </c>
      <c r="C39" s="58" t="s">
        <v>122</v>
      </c>
      <c r="D39" s="58" t="s">
        <v>105</v>
      </c>
      <c r="E39" s="59" t="n">
        <v>141.86</v>
      </c>
      <c r="F39" s="58" t="s">
        <v>106</v>
      </c>
      <c r="G39" s="58"/>
      <c r="H39" s="60" t="str">
        <f aca="false">IF(OR(E39="",D39=""),"",IF(K39=0,"Expense / Gasto",INDEX(Budget!$C$7:$C$41,K39)))</f>
        <v>Expense / Gasto</v>
      </c>
      <c r="I39" s="60" t="str">
        <f aca="false">IF(AND(B39="",E39=""),"",IF(NOT(ISNUMBER(B39)),"⚠ ADD DATE / AGREGA FECHA",IF(E39="","⚠ ADD AMOUNT / AGREGA MONTO",IF(D39="","⚠ ADD CATEGORY / AGREGA CATEGORÍA",IF(K39=0,"● NEW CATEGORY? / ¿CATEGORÍA NUEVA?","✔ OK")))))</f>
        <v>✔ OK</v>
      </c>
      <c r="K39" s="56" t="n">
        <f aca="false">IF(D39="","",IFERROR(MATCH(D39,Budget!$B$7:$B$41,0),0))</f>
        <v>8</v>
      </c>
      <c r="L39" s="56" t="n">
        <f aca="false">IF(AND(ISNUMBER(B39),ISNUMBER(E39),D39&lt;&gt;""),YEAR(B39)*100+MONTH(B39),0)</f>
        <v>202602</v>
      </c>
      <c r="M39" s="56" t="n">
        <f aca="false">IF(L39=0,0,YEAR(B39))</f>
        <v>2026</v>
      </c>
      <c r="N39" s="56" t="str">
        <f aca="false">IF(L39=0,"",IF(K39=0,"Wants / Gustos",INDEX(Budget!$D$7:$D$41,K39)))</f>
        <v>Needs / Necesidades</v>
      </c>
    </row>
    <row r="40" customFormat="false" ht="15" hidden="false" customHeight="false" outlineLevel="0" collapsed="false">
      <c r="B40" s="57" t="n">
        <v>46077</v>
      </c>
      <c r="C40" s="58" t="s">
        <v>109</v>
      </c>
      <c r="D40" s="58" t="s">
        <v>110</v>
      </c>
      <c r="E40" s="59" t="n">
        <v>71.06</v>
      </c>
      <c r="F40" s="58" t="s">
        <v>102</v>
      </c>
      <c r="G40" s="58"/>
      <c r="H40" s="60" t="str">
        <f aca="false">IF(OR(E40="",D40=""),"",IF(K40=0,"Expense / Gasto",INDEX(Budget!$C$7:$C$41,K40)))</f>
        <v>Expense / Gasto</v>
      </c>
      <c r="I40" s="60" t="str">
        <f aca="false">IF(AND(B40="",E40=""),"",IF(NOT(ISNUMBER(B40)),"⚠ ADD DATE / AGREGA FECHA",IF(E40="","⚠ ADD AMOUNT / AGREGA MONTO",IF(D40="","⚠ ADD CATEGORY / AGREGA CATEGORÍA",IF(K40=0,"● NEW CATEGORY? / ¿CATEGORÍA NUEVA?","✔ OK")))))</f>
        <v>✔ OK</v>
      </c>
      <c r="K40" s="56" t="n">
        <f aca="false">IF(D40="","",IFERROR(MATCH(D40,Budget!$B$7:$B$41,0),0))</f>
        <v>10</v>
      </c>
      <c r="L40" s="56" t="n">
        <f aca="false">IF(AND(ISNUMBER(B40),ISNUMBER(E40),D40&lt;&gt;""),YEAR(B40)*100+MONTH(B40),0)</f>
        <v>202602</v>
      </c>
      <c r="M40" s="56" t="n">
        <f aca="false">IF(L40=0,0,YEAR(B40))</f>
        <v>2026</v>
      </c>
      <c r="N40" s="56" t="str">
        <f aca="false">IF(L40=0,"",IF(K40=0,"Wants / Gustos",INDEX(Budget!$D$7:$D$41,K40)))</f>
        <v>Needs / Necesidades</v>
      </c>
    </row>
    <row r="41" customFormat="false" ht="15" hidden="false" customHeight="false" outlineLevel="0" collapsed="false">
      <c r="B41" s="57" t="n">
        <v>46078</v>
      </c>
      <c r="C41" s="58" t="s">
        <v>123</v>
      </c>
      <c r="D41" s="58" t="s">
        <v>124</v>
      </c>
      <c r="E41" s="59" t="n">
        <v>575</v>
      </c>
      <c r="F41" s="58" t="s">
        <v>99</v>
      </c>
      <c r="G41" s="58"/>
      <c r="H41" s="60" t="str">
        <f aca="false">IF(OR(E41="",D41=""),"",IF(K41=0,"Expense / Gasto",INDEX(Budget!$C$7:$C$41,K41)))</f>
        <v>Expense / Gasto</v>
      </c>
      <c r="I41" s="60" t="str">
        <f aca="false">IF(AND(B41="",E41=""),"",IF(NOT(ISNUMBER(B41)),"⚠ ADD DATE / AGREGA FECHA",IF(E41="","⚠ ADD AMOUNT / AGREGA MONTO",IF(D41="","⚠ ADD CATEGORY / AGREGA CATEGORÍA",IF(K41=0,"● NEW CATEGORY? / ¿CATEGORÍA NUEVA?","✔ OK")))))</f>
        <v>✔ OK</v>
      </c>
      <c r="K41" s="56" t="n">
        <f aca="false">IF(D41="","",IFERROR(MATCH(D41,Budget!$B$7:$B$41,0),0))</f>
        <v>24</v>
      </c>
      <c r="L41" s="56" t="n">
        <f aca="false">IF(AND(ISNUMBER(B41),ISNUMBER(E41),D41&lt;&gt;""),YEAR(B41)*100+MONTH(B41),0)</f>
        <v>202602</v>
      </c>
      <c r="M41" s="56" t="n">
        <f aca="false">IF(L41=0,0,YEAR(B41))</f>
        <v>2026</v>
      </c>
      <c r="N41" s="56" t="str">
        <f aca="false">IF(L41=0,"",IF(K41=0,"Wants / Gustos",INDEX(Budget!$D$7:$D$41,K41)))</f>
        <v>Savings &amp; Debt / Ahorro y Deuda</v>
      </c>
    </row>
    <row r="42" customFormat="false" ht="15" hidden="false" customHeight="false" outlineLevel="0" collapsed="false">
      <c r="B42" s="57" t="n">
        <v>46079</v>
      </c>
      <c r="C42" s="58" t="s">
        <v>125</v>
      </c>
      <c r="D42" s="58" t="s">
        <v>126</v>
      </c>
      <c r="E42" s="59" t="n">
        <v>200</v>
      </c>
      <c r="F42" s="58" t="s">
        <v>99</v>
      </c>
      <c r="G42" s="58"/>
      <c r="H42" s="60" t="str">
        <f aca="false">IF(OR(E42="",D42=""),"",IF(K42=0,"Expense / Gasto",INDEX(Budget!$C$7:$C$41,K42)))</f>
        <v>Expense / Gasto</v>
      </c>
      <c r="I42" s="60" t="str">
        <f aca="false">IF(AND(B42="",E42=""),"",IF(NOT(ISNUMBER(B42)),"⚠ ADD DATE / AGREGA FECHA",IF(E42="","⚠ ADD AMOUNT / AGREGA MONTO",IF(D42="","⚠ ADD CATEGORY / AGREGA CATEGORÍA",IF(K42=0,"● NEW CATEGORY? / ¿CATEGORÍA NUEVA?","✔ OK")))))</f>
        <v>✔ OK</v>
      </c>
      <c r="K42" s="56" t="n">
        <f aca="false">IF(D42="","",IFERROR(MATCH(D42,Budget!$B$7:$B$41,0),0))</f>
        <v>25</v>
      </c>
      <c r="L42" s="56" t="n">
        <f aca="false">IF(AND(ISNUMBER(B42),ISNUMBER(E42),D42&lt;&gt;""),YEAR(B42)*100+MONTH(B42),0)</f>
        <v>202602</v>
      </c>
      <c r="M42" s="56" t="n">
        <f aca="false">IF(L42=0,0,YEAR(B42))</f>
        <v>2026</v>
      </c>
      <c r="N42" s="56" t="str">
        <f aca="false">IF(L42=0,"",IF(K42=0,"Wants / Gustos",INDEX(Budget!$D$7:$D$41,K42)))</f>
        <v>Savings &amp; Debt / Ahorro y Deuda</v>
      </c>
    </row>
    <row r="43" customFormat="false" ht="15" hidden="false" customHeight="false" outlineLevel="0" collapsed="false">
      <c r="B43" s="57" t="n">
        <v>46082</v>
      </c>
      <c r="C43" s="58" t="s">
        <v>94</v>
      </c>
      <c r="D43" s="58" t="s">
        <v>95</v>
      </c>
      <c r="E43" s="59" t="n">
        <v>1700</v>
      </c>
      <c r="F43" s="58" t="s">
        <v>96</v>
      </c>
      <c r="G43" s="58"/>
      <c r="H43" s="60" t="str">
        <f aca="false">IF(OR(E43="",D43=""),"",IF(K43=0,"Expense / Gasto",INDEX(Budget!$C$7:$C$41,K43)))</f>
        <v>Income / Ingreso</v>
      </c>
      <c r="I43" s="60" t="str">
        <f aca="false">IF(AND(B43="",E43=""),"",IF(NOT(ISNUMBER(B43)),"⚠ ADD DATE / AGREGA FECHA",IF(E43="","⚠ ADD AMOUNT / AGREGA MONTO",IF(D43="","⚠ ADD CATEGORY / AGREGA CATEGORÍA",IF(K43=0,"● NEW CATEGORY? / ¿CATEGORÍA NUEVA?","✔ OK")))))</f>
        <v>✔ OK</v>
      </c>
      <c r="K43" s="56" t="n">
        <f aca="false">IF(D43="","",IFERROR(MATCH(D43,Budget!$B$7:$B$41,0),0))</f>
        <v>1</v>
      </c>
      <c r="L43" s="56" t="n">
        <f aca="false">IF(AND(ISNUMBER(B43),ISNUMBER(E43),D43&lt;&gt;""),YEAR(B43)*100+MONTH(B43),0)</f>
        <v>202603</v>
      </c>
      <c r="M43" s="56" t="n">
        <f aca="false">IF(L43=0,0,YEAR(B43))</f>
        <v>2026</v>
      </c>
      <c r="N43" s="56" t="str">
        <f aca="false">IF(L43=0,"",IF(K43=0,"Wants / Gustos",INDEX(Budget!$D$7:$D$41,K43)))</f>
        <v>—</v>
      </c>
    </row>
    <row r="44" customFormat="false" ht="15" hidden="false" customHeight="false" outlineLevel="0" collapsed="false">
      <c r="B44" s="57" t="n">
        <v>46082</v>
      </c>
      <c r="C44" s="58" t="s">
        <v>97</v>
      </c>
      <c r="D44" s="58" t="s">
        <v>98</v>
      </c>
      <c r="E44" s="59" t="n">
        <v>1650</v>
      </c>
      <c r="F44" s="58" t="s">
        <v>99</v>
      </c>
      <c r="G44" s="58"/>
      <c r="H44" s="60" t="str">
        <f aca="false">IF(OR(E44="",D44=""),"",IF(K44=0,"Expense / Gasto",INDEX(Budget!$C$7:$C$41,K44)))</f>
        <v>Expense / Gasto</v>
      </c>
      <c r="I44" s="60" t="str">
        <f aca="false">IF(AND(B44="",E44=""),"",IF(NOT(ISNUMBER(B44)),"⚠ ADD DATE / AGREGA FECHA",IF(E44="","⚠ ADD AMOUNT / AGREGA MONTO",IF(D44="","⚠ ADD CATEGORY / AGREGA CATEGORÍA",IF(K44=0,"● NEW CATEGORY? / ¿CATEGORÍA NUEVA?","✔ OK")))))</f>
        <v>✔ OK</v>
      </c>
      <c r="K44" s="56" t="n">
        <f aca="false">IF(D44="","",IFERROR(MATCH(D44,Budget!$B$7:$B$41,0),0))</f>
        <v>6</v>
      </c>
      <c r="L44" s="56" t="n">
        <f aca="false">IF(AND(ISNUMBER(B44),ISNUMBER(E44),D44&lt;&gt;""),YEAR(B44)*100+MONTH(B44),0)</f>
        <v>202603</v>
      </c>
      <c r="M44" s="56" t="n">
        <f aca="false">IF(L44=0,0,YEAR(B44))</f>
        <v>2026</v>
      </c>
      <c r="N44" s="56" t="str">
        <f aca="false">IF(L44=0,"",IF(K44=0,"Wants / Gustos",INDEX(Budget!$D$7:$D$41,K44)))</f>
        <v>Needs / Necesidades</v>
      </c>
    </row>
    <row r="45" customFormat="false" ht="15" hidden="false" customHeight="false" outlineLevel="0" collapsed="false">
      <c r="B45" s="57" t="n">
        <v>46084</v>
      </c>
      <c r="C45" s="58" t="s">
        <v>100</v>
      </c>
      <c r="D45" s="58" t="s">
        <v>101</v>
      </c>
      <c r="E45" s="59" t="n">
        <v>28.98</v>
      </c>
      <c r="F45" s="58" t="s">
        <v>102</v>
      </c>
      <c r="G45" s="58"/>
      <c r="H45" s="60" t="str">
        <f aca="false">IF(OR(E45="",D45=""),"",IF(K45=0,"Expense / Gasto",INDEX(Budget!$C$7:$C$41,K45)))</f>
        <v>Expense / Gasto</v>
      </c>
      <c r="I45" s="60" t="str">
        <f aca="false">IF(AND(B45="",E45=""),"",IF(NOT(ISNUMBER(B45)),"⚠ ADD DATE / AGREGA FECHA",IF(E45="","⚠ ADD AMOUNT / AGREGA MONTO",IF(D45="","⚠ ADD CATEGORY / AGREGA CATEGORÍA",IF(K45=0,"● NEW CATEGORY? / ¿CATEGORÍA NUEVA?","✔ OK")))))</f>
        <v>✔ OK</v>
      </c>
      <c r="K45" s="56" t="n">
        <f aca="false">IF(D45="","",IFERROR(MATCH(D45,Budget!$B$7:$B$41,0),0))</f>
        <v>19</v>
      </c>
      <c r="L45" s="56" t="n">
        <f aca="false">IF(AND(ISNUMBER(B45),ISNUMBER(E45),D45&lt;&gt;""),YEAR(B45)*100+MONTH(B45),0)</f>
        <v>202603</v>
      </c>
      <c r="M45" s="56" t="n">
        <f aca="false">IF(L45=0,0,YEAR(B45))</f>
        <v>2026</v>
      </c>
      <c r="N45" s="56" t="str">
        <f aca="false">IF(L45=0,"",IF(K45=0,"Wants / Gustos",INDEX(Budget!$D$7:$D$41,K45)))</f>
        <v>Wants / Gustos</v>
      </c>
    </row>
    <row r="46" customFormat="false" ht="15" hidden="false" customHeight="false" outlineLevel="0" collapsed="false">
      <c r="B46" s="57" t="n">
        <v>46086</v>
      </c>
      <c r="C46" s="58" t="s">
        <v>94</v>
      </c>
      <c r="D46" s="58" t="s">
        <v>103</v>
      </c>
      <c r="E46" s="59" t="n">
        <v>2200</v>
      </c>
      <c r="F46" s="58" t="s">
        <v>96</v>
      </c>
      <c r="G46" s="58"/>
      <c r="H46" s="60" t="str">
        <f aca="false">IF(OR(E46="",D46=""),"",IF(K46=0,"Expense / Gasto",INDEX(Budget!$C$7:$C$41,K46)))</f>
        <v>Income / Ingreso</v>
      </c>
      <c r="I46" s="60" t="str">
        <f aca="false">IF(AND(B46="",E46=""),"",IF(NOT(ISNUMBER(B46)),"⚠ ADD DATE / AGREGA FECHA",IF(E46="","⚠ ADD AMOUNT / AGREGA MONTO",IF(D46="","⚠ ADD CATEGORY / AGREGA CATEGORÍA",IF(K46=0,"● NEW CATEGORY? / ¿CATEGORÍA NUEVA?","✔ OK")))))</f>
        <v>✔ OK</v>
      </c>
      <c r="K46" s="56" t="n">
        <f aca="false">IF(D46="","",IFERROR(MATCH(D46,Budget!$B$7:$B$41,0),0))</f>
        <v>2</v>
      </c>
      <c r="L46" s="56" t="n">
        <f aca="false">IF(AND(ISNUMBER(B46),ISNUMBER(E46),D46&lt;&gt;""),YEAR(B46)*100+MONTH(B46),0)</f>
        <v>202603</v>
      </c>
      <c r="M46" s="56" t="n">
        <f aca="false">IF(L46=0,0,YEAR(B46))</f>
        <v>2026</v>
      </c>
      <c r="N46" s="56" t="str">
        <f aca="false">IF(L46=0,"",IF(K46=0,"Wants / Gustos",INDEX(Budget!$D$7:$D$41,K46)))</f>
        <v>—</v>
      </c>
    </row>
    <row r="47" customFormat="false" ht="15" hidden="false" customHeight="false" outlineLevel="0" collapsed="false">
      <c r="B47" s="57" t="n">
        <v>46087</v>
      </c>
      <c r="C47" s="58" t="s">
        <v>104</v>
      </c>
      <c r="D47" s="58" t="s">
        <v>105</v>
      </c>
      <c r="E47" s="59" t="n">
        <v>163.23</v>
      </c>
      <c r="F47" s="58" t="s">
        <v>106</v>
      </c>
      <c r="G47" s="58"/>
      <c r="H47" s="60" t="str">
        <f aca="false">IF(OR(E47="",D47=""),"",IF(K47=0,"Expense / Gasto",INDEX(Budget!$C$7:$C$41,K47)))</f>
        <v>Expense / Gasto</v>
      </c>
      <c r="I47" s="60" t="str">
        <f aca="false">IF(AND(B47="",E47=""),"",IF(NOT(ISNUMBER(B47)),"⚠ ADD DATE / AGREGA FECHA",IF(E47="","⚠ ADD AMOUNT / AGREGA MONTO",IF(D47="","⚠ ADD CATEGORY / AGREGA CATEGORÍA",IF(K47=0,"● NEW CATEGORY? / ¿CATEGORÍA NUEVA?","✔ OK")))))</f>
        <v>✔ OK</v>
      </c>
      <c r="K47" s="56" t="n">
        <f aca="false">IF(D47="","",IFERROR(MATCH(D47,Budget!$B$7:$B$41,0),0))</f>
        <v>8</v>
      </c>
      <c r="L47" s="56" t="n">
        <f aca="false">IF(AND(ISNUMBER(B47),ISNUMBER(E47),D47&lt;&gt;""),YEAR(B47)*100+MONTH(B47),0)</f>
        <v>202603</v>
      </c>
      <c r="M47" s="56" t="n">
        <f aca="false">IF(L47=0,0,YEAR(B47))</f>
        <v>2026</v>
      </c>
      <c r="N47" s="56" t="str">
        <f aca="false">IF(L47=0,"",IF(K47=0,"Wants / Gustos",INDEX(Budget!$D$7:$D$41,K47)))</f>
        <v>Needs / Necesidades</v>
      </c>
    </row>
    <row r="48" customFormat="false" ht="15" hidden="false" customHeight="false" outlineLevel="0" collapsed="false">
      <c r="B48" s="57" t="n">
        <v>46089</v>
      </c>
      <c r="C48" s="58" t="s">
        <v>107</v>
      </c>
      <c r="D48" s="58" t="s">
        <v>108</v>
      </c>
      <c r="E48" s="59" t="n">
        <v>219.04</v>
      </c>
      <c r="F48" s="58" t="s">
        <v>106</v>
      </c>
      <c r="G48" s="58"/>
      <c r="H48" s="60" t="str">
        <f aca="false">IF(OR(E48="",D48=""),"",IF(K48=0,"Expense / Gasto",INDEX(Budget!$C$7:$C$41,K48)))</f>
        <v>Expense / Gasto</v>
      </c>
      <c r="I48" s="60" t="str">
        <f aca="false">IF(AND(B48="",E48=""),"",IF(NOT(ISNUMBER(B48)),"⚠ ADD DATE / AGREGA FECHA",IF(E48="","⚠ ADD AMOUNT / AGREGA MONTO",IF(D48="","⚠ ADD CATEGORY / AGREGA CATEGORÍA",IF(K48=0,"● NEW CATEGORY? / ¿CATEGORÍA NUEVA?","✔ OK")))))</f>
        <v>✔ OK</v>
      </c>
      <c r="K48" s="56" t="n">
        <f aca="false">IF(D48="","",IFERROR(MATCH(D48,Budget!$B$7:$B$41,0),0))</f>
        <v>7</v>
      </c>
      <c r="L48" s="56" t="n">
        <f aca="false">IF(AND(ISNUMBER(B48),ISNUMBER(E48),D48&lt;&gt;""),YEAR(B48)*100+MONTH(B48),0)</f>
        <v>202603</v>
      </c>
      <c r="M48" s="56" t="n">
        <f aca="false">IF(L48=0,0,YEAR(B48))</f>
        <v>2026</v>
      </c>
      <c r="N48" s="56" t="str">
        <f aca="false">IF(L48=0,"",IF(K48=0,"Wants / Gustos",INDEX(Budget!$D$7:$D$41,K48)))</f>
        <v>Needs / Necesidades</v>
      </c>
    </row>
    <row r="49" customFormat="false" ht="15" hidden="false" customHeight="false" outlineLevel="0" collapsed="false">
      <c r="B49" s="57" t="n">
        <v>46091</v>
      </c>
      <c r="C49" s="58" t="s">
        <v>109</v>
      </c>
      <c r="D49" s="58" t="s">
        <v>110</v>
      </c>
      <c r="E49" s="59" t="n">
        <v>80.26</v>
      </c>
      <c r="F49" s="58" t="s">
        <v>102</v>
      </c>
      <c r="G49" s="58"/>
      <c r="H49" s="60" t="str">
        <f aca="false">IF(OR(E49="",D49=""),"",IF(K49=0,"Expense / Gasto",INDEX(Budget!$C$7:$C$41,K49)))</f>
        <v>Expense / Gasto</v>
      </c>
      <c r="I49" s="60" t="str">
        <f aca="false">IF(AND(B49="",E49=""),"",IF(NOT(ISNUMBER(B49)),"⚠ ADD DATE / AGREGA FECHA",IF(E49="","⚠ ADD AMOUNT / AGREGA MONTO",IF(D49="","⚠ ADD CATEGORY / AGREGA CATEGORÍA",IF(K49=0,"● NEW CATEGORY? / ¿CATEGORÍA NUEVA?","✔ OK")))))</f>
        <v>✔ OK</v>
      </c>
      <c r="K49" s="56" t="n">
        <f aca="false">IF(D49="","",IFERROR(MATCH(D49,Budget!$B$7:$B$41,0),0))</f>
        <v>10</v>
      </c>
      <c r="L49" s="56" t="n">
        <f aca="false">IF(AND(ISNUMBER(B49),ISNUMBER(E49),D49&lt;&gt;""),YEAR(B49)*100+MONTH(B49),0)</f>
        <v>202603</v>
      </c>
      <c r="M49" s="56" t="n">
        <f aca="false">IF(L49=0,0,YEAR(B49))</f>
        <v>2026</v>
      </c>
      <c r="N49" s="56" t="str">
        <f aca="false">IF(L49=0,"",IF(K49=0,"Wants / Gustos",INDEX(Budget!$D$7:$D$41,K49)))</f>
        <v>Needs / Necesidades</v>
      </c>
    </row>
    <row r="50" customFormat="false" ht="15" hidden="false" customHeight="false" outlineLevel="0" collapsed="false">
      <c r="B50" s="57" t="n">
        <v>46093</v>
      </c>
      <c r="C50" s="58" t="s">
        <v>111</v>
      </c>
      <c r="D50" s="58" t="s">
        <v>112</v>
      </c>
      <c r="E50" s="59" t="n">
        <v>260</v>
      </c>
      <c r="F50" s="58" t="s">
        <v>106</v>
      </c>
      <c r="G50" s="58"/>
      <c r="H50" s="60" t="str">
        <f aca="false">IF(OR(E50="",D50=""),"",IF(K50=0,"Expense / Gasto",INDEX(Budget!$C$7:$C$41,K50)))</f>
        <v>Expense / Gasto</v>
      </c>
      <c r="I50" s="60" t="str">
        <f aca="false">IF(AND(B50="",E50=""),"",IF(NOT(ISNUMBER(B50)),"⚠ ADD DATE / AGREGA FECHA",IF(E50="","⚠ ADD AMOUNT / AGREGA MONTO",IF(D50="","⚠ ADD CATEGORY / AGREGA CATEGORÍA",IF(K50=0,"● NEW CATEGORY? / ¿CATEGORÍA NUEVA?","✔ OK")))))</f>
        <v>✔ OK</v>
      </c>
      <c r="K50" s="56" t="n">
        <f aca="false">IF(D50="","",IFERROR(MATCH(D50,Budget!$B$7:$B$41,0),0))</f>
        <v>11</v>
      </c>
      <c r="L50" s="56" t="n">
        <f aca="false">IF(AND(ISNUMBER(B50),ISNUMBER(E50),D50&lt;&gt;""),YEAR(B50)*100+MONTH(B50),0)</f>
        <v>202603</v>
      </c>
      <c r="M50" s="56" t="n">
        <f aca="false">IF(L50=0,0,YEAR(B50))</f>
        <v>2026</v>
      </c>
      <c r="N50" s="56" t="str">
        <f aca="false">IF(L50=0,"",IF(K50=0,"Wants / Gustos",INDEX(Budget!$D$7:$D$41,K50)))</f>
        <v>Needs / Necesidades</v>
      </c>
    </row>
    <row r="51" customFormat="false" ht="15" hidden="false" customHeight="false" outlineLevel="0" collapsed="false">
      <c r="B51" s="57" t="n">
        <v>46094</v>
      </c>
      <c r="C51" s="58" t="s">
        <v>113</v>
      </c>
      <c r="D51" s="58" t="s">
        <v>105</v>
      </c>
      <c r="E51" s="59" t="n">
        <v>207.14</v>
      </c>
      <c r="F51" s="58" t="s">
        <v>102</v>
      </c>
      <c r="G51" s="58"/>
      <c r="H51" s="60" t="str">
        <f aca="false">IF(OR(E51="",D51=""),"",IF(K51=0,"Expense / Gasto",INDEX(Budget!$C$7:$C$41,K51)))</f>
        <v>Expense / Gasto</v>
      </c>
      <c r="I51" s="60" t="str">
        <f aca="false">IF(AND(B51="",E51=""),"",IF(NOT(ISNUMBER(B51)),"⚠ ADD DATE / AGREGA FECHA",IF(E51="","⚠ ADD AMOUNT / AGREGA MONTO",IF(D51="","⚠ ADD CATEGORY / AGREGA CATEGORÍA",IF(K51=0,"● NEW CATEGORY? / ¿CATEGORÍA NUEVA?","✔ OK")))))</f>
        <v>✔ OK</v>
      </c>
      <c r="K51" s="56" t="n">
        <f aca="false">IF(D51="","",IFERROR(MATCH(D51,Budget!$B$7:$B$41,0),0))</f>
        <v>8</v>
      </c>
      <c r="L51" s="56" t="n">
        <f aca="false">IF(AND(ISNUMBER(B51),ISNUMBER(E51),D51&lt;&gt;""),YEAR(B51)*100+MONTH(B51),0)</f>
        <v>202603</v>
      </c>
      <c r="M51" s="56" t="n">
        <f aca="false">IF(L51=0,0,YEAR(B51))</f>
        <v>2026</v>
      </c>
      <c r="N51" s="56" t="str">
        <f aca="false">IF(L51=0,"",IF(K51=0,"Wants / Gustos",INDEX(Budget!$D$7:$D$41,K51)))</f>
        <v>Needs / Necesidades</v>
      </c>
    </row>
    <row r="52" customFormat="false" ht="15" hidden="false" customHeight="false" outlineLevel="0" collapsed="false">
      <c r="B52" s="57" t="n">
        <v>46095</v>
      </c>
      <c r="C52" s="58" t="s">
        <v>114</v>
      </c>
      <c r="D52" s="58" t="s">
        <v>115</v>
      </c>
      <c r="E52" s="59" t="n">
        <v>222.65</v>
      </c>
      <c r="F52" s="58" t="s">
        <v>102</v>
      </c>
      <c r="G52" s="58"/>
      <c r="H52" s="60" t="str">
        <f aca="false">IF(OR(E52="",D52=""),"",IF(K52=0,"Expense / Gasto",INDEX(Budget!$C$7:$C$41,K52)))</f>
        <v>Expense / Gasto</v>
      </c>
      <c r="I52" s="60" t="str">
        <f aca="false">IF(AND(B52="",E52=""),"",IF(NOT(ISNUMBER(B52)),"⚠ ADD DATE / AGREGA FECHA",IF(E52="","⚠ ADD AMOUNT / AGREGA MONTO",IF(D52="","⚠ ADD CATEGORY / AGREGA CATEGORÍA",IF(K52=0,"● NEW CATEGORY? / ¿CATEGORÍA NUEVA?","✔ OK")))))</f>
        <v>✔ OK</v>
      </c>
      <c r="K52" s="56" t="n">
        <f aca="false">IF(D52="","",IFERROR(MATCH(D52,Budget!$B$7:$B$41,0),0))</f>
        <v>16</v>
      </c>
      <c r="L52" s="56" t="n">
        <f aca="false">IF(AND(ISNUMBER(B52),ISNUMBER(E52),D52&lt;&gt;""),YEAR(B52)*100+MONTH(B52),0)</f>
        <v>202603</v>
      </c>
      <c r="M52" s="56" t="n">
        <f aca="false">IF(L52=0,0,YEAR(B52))</f>
        <v>2026</v>
      </c>
      <c r="N52" s="56" t="str">
        <f aca="false">IF(L52=0,"",IF(K52=0,"Wants / Gustos",INDEX(Budget!$D$7:$D$41,K52)))</f>
        <v>Wants / Gustos</v>
      </c>
    </row>
    <row r="53" customFormat="false" ht="15" hidden="false" customHeight="false" outlineLevel="0" collapsed="false">
      <c r="B53" s="57" t="n">
        <v>46096</v>
      </c>
      <c r="C53" s="58" t="s">
        <v>94</v>
      </c>
      <c r="D53" s="58" t="s">
        <v>95</v>
      </c>
      <c r="E53" s="59" t="n">
        <v>1700</v>
      </c>
      <c r="F53" s="58" t="s">
        <v>96</v>
      </c>
      <c r="G53" s="58"/>
      <c r="H53" s="60" t="str">
        <f aca="false">IF(OR(E53="",D53=""),"",IF(K53=0,"Expense / Gasto",INDEX(Budget!$C$7:$C$41,K53)))</f>
        <v>Income / Ingreso</v>
      </c>
      <c r="I53" s="60" t="str">
        <f aca="false">IF(AND(B53="",E53=""),"",IF(NOT(ISNUMBER(B53)),"⚠ ADD DATE / AGREGA FECHA",IF(E53="","⚠ ADD AMOUNT / AGREGA MONTO",IF(D53="","⚠ ADD CATEGORY / AGREGA CATEGORÍA",IF(K53=0,"● NEW CATEGORY? / ¿CATEGORÍA NUEVA?","✔ OK")))))</f>
        <v>✔ OK</v>
      </c>
      <c r="K53" s="56" t="n">
        <f aca="false">IF(D53="","",IFERROR(MATCH(D53,Budget!$B$7:$B$41,0),0))</f>
        <v>1</v>
      </c>
      <c r="L53" s="56" t="n">
        <f aca="false">IF(AND(ISNUMBER(B53),ISNUMBER(E53),D53&lt;&gt;""),YEAR(B53)*100+MONTH(B53),0)</f>
        <v>202603</v>
      </c>
      <c r="M53" s="56" t="n">
        <f aca="false">IF(L53=0,0,YEAR(B53))</f>
        <v>2026</v>
      </c>
      <c r="N53" s="56" t="str">
        <f aca="false">IF(L53=0,"",IF(K53=0,"Wants / Gustos",INDEX(Budget!$D$7:$D$41,K53)))</f>
        <v>—</v>
      </c>
    </row>
    <row r="54" customFormat="false" ht="15" hidden="false" customHeight="false" outlineLevel="0" collapsed="false">
      <c r="B54" s="57" t="n">
        <v>46097</v>
      </c>
      <c r="C54" s="58" t="s">
        <v>116</v>
      </c>
      <c r="D54" s="58" t="s">
        <v>117</v>
      </c>
      <c r="E54" s="59" t="n">
        <v>300</v>
      </c>
      <c r="F54" s="58" t="s">
        <v>106</v>
      </c>
      <c r="G54" s="58"/>
      <c r="H54" s="60" t="str">
        <f aca="false">IF(OR(E54="",D54=""),"",IF(K54=0,"Expense / Gasto",INDEX(Budget!$C$7:$C$41,K54)))</f>
        <v>Expense / Gasto</v>
      </c>
      <c r="I54" s="60" t="str">
        <f aca="false">IF(AND(B54="",E54=""),"",IF(NOT(ISNUMBER(B54)),"⚠ ADD DATE / AGREGA FECHA",IF(E54="","⚠ ADD AMOUNT / AGREGA MONTO",IF(D54="","⚠ ADD CATEGORY / AGREGA CATEGORÍA",IF(K54=0,"● NEW CATEGORY? / ¿CATEGORÍA NUEVA?","✔ OK")))))</f>
        <v>✔ OK</v>
      </c>
      <c r="K54" s="56" t="n">
        <f aca="false">IF(D54="","",IFERROR(MATCH(D54,Budget!$B$7:$B$41,0),0))</f>
        <v>14</v>
      </c>
      <c r="L54" s="56" t="n">
        <f aca="false">IF(AND(ISNUMBER(B54),ISNUMBER(E54),D54&lt;&gt;""),YEAR(B54)*100+MONTH(B54),0)</f>
        <v>202603</v>
      </c>
      <c r="M54" s="56" t="n">
        <f aca="false">IF(L54=0,0,YEAR(B54))</f>
        <v>2026</v>
      </c>
      <c r="N54" s="56" t="str">
        <f aca="false">IF(L54=0,"",IF(K54=0,"Wants / Gustos",INDEX(Budget!$D$7:$D$41,K54)))</f>
        <v>Needs / Necesidades</v>
      </c>
    </row>
    <row r="55" customFormat="false" ht="15" hidden="false" customHeight="false" outlineLevel="0" collapsed="false">
      <c r="B55" s="57" t="n">
        <v>46099</v>
      </c>
      <c r="C55" s="58" t="s">
        <v>118</v>
      </c>
      <c r="D55" s="58" t="s">
        <v>119</v>
      </c>
      <c r="E55" s="59" t="n">
        <v>140</v>
      </c>
      <c r="F55" s="58" t="s">
        <v>102</v>
      </c>
      <c r="G55" s="58"/>
      <c r="H55" s="60" t="str">
        <f aca="false">IF(OR(E55="",D55=""),"",IF(K55=0,"Expense / Gasto",INDEX(Budget!$C$7:$C$41,K55)))</f>
        <v>Expense / Gasto</v>
      </c>
      <c r="I55" s="60" t="str">
        <f aca="false">IF(AND(B55="",E55=""),"",IF(NOT(ISNUMBER(B55)),"⚠ ADD DATE / AGREGA FECHA",IF(E55="","⚠ ADD AMOUNT / AGREGA MONTO",IF(D55="","⚠ ADD CATEGORY / AGREGA CATEGORÍA",IF(K55=0,"● NEW CATEGORY? / ¿CATEGORÍA NUEVA?","✔ OK")))))</f>
        <v>✔ OK</v>
      </c>
      <c r="K55" s="56" t="n">
        <f aca="false">IF(D55="","",IFERROR(MATCH(D55,Budget!$B$7:$B$41,0),0))</f>
        <v>12</v>
      </c>
      <c r="L55" s="56" t="n">
        <f aca="false">IF(AND(ISNUMBER(B55),ISNUMBER(E55),D55&lt;&gt;""),YEAR(B55)*100+MONTH(B55),0)</f>
        <v>202603</v>
      </c>
      <c r="M55" s="56" t="n">
        <f aca="false">IF(L55=0,0,YEAR(B55))</f>
        <v>2026</v>
      </c>
      <c r="N55" s="56" t="str">
        <f aca="false">IF(L55=0,"",IF(K55=0,"Wants / Gustos",INDEX(Budget!$D$7:$D$41,K55)))</f>
        <v>Needs / Necesidades</v>
      </c>
    </row>
    <row r="56" customFormat="false" ht="15" hidden="false" customHeight="false" outlineLevel="0" collapsed="false">
      <c r="B56" s="57" t="n">
        <v>46101</v>
      </c>
      <c r="C56" s="58" t="s">
        <v>120</v>
      </c>
      <c r="D56" s="58" t="s">
        <v>121</v>
      </c>
      <c r="E56" s="59" t="n">
        <v>250</v>
      </c>
      <c r="F56" s="58" t="s">
        <v>99</v>
      </c>
      <c r="G56" s="58"/>
      <c r="H56" s="60" t="str">
        <f aca="false">IF(OR(E56="",D56=""),"",IF(K56=0,"Expense / Gasto",INDEX(Budget!$C$7:$C$41,K56)))</f>
        <v>Expense / Gasto</v>
      </c>
      <c r="I56" s="60" t="str">
        <f aca="false">IF(AND(B56="",E56=""),"",IF(NOT(ISNUMBER(B56)),"⚠ ADD DATE / AGREGA FECHA",IF(E56="","⚠ ADD AMOUNT / AGREGA MONTO",IF(D56="","⚠ ADD CATEGORY / AGREGA CATEGORÍA",IF(K56=0,"● NEW CATEGORY? / ¿CATEGORÍA NUEVA?","✔ OK")))))</f>
        <v>✔ OK</v>
      </c>
      <c r="K56" s="56" t="n">
        <f aca="false">IF(D56="","",IFERROR(MATCH(D56,Budget!$B$7:$B$41,0),0))</f>
        <v>15</v>
      </c>
      <c r="L56" s="56" t="n">
        <f aca="false">IF(AND(ISNUMBER(B56),ISNUMBER(E56),D56&lt;&gt;""),YEAR(B56)*100+MONTH(B56),0)</f>
        <v>202603</v>
      </c>
      <c r="M56" s="56" t="n">
        <f aca="false">IF(L56=0,0,YEAR(B56))</f>
        <v>2026</v>
      </c>
      <c r="N56" s="56" t="str">
        <f aca="false">IF(L56=0,"",IF(K56=0,"Wants / Gustos",INDEX(Budget!$D$7:$D$41,K56)))</f>
        <v>Needs / Necesidades</v>
      </c>
    </row>
    <row r="57" customFormat="false" ht="15" hidden="false" customHeight="false" outlineLevel="0" collapsed="false">
      <c r="B57" s="57" t="n">
        <v>46102</v>
      </c>
      <c r="C57" s="58" t="s">
        <v>122</v>
      </c>
      <c r="D57" s="58" t="s">
        <v>105</v>
      </c>
      <c r="E57" s="59" t="n">
        <v>200.94</v>
      </c>
      <c r="F57" s="58" t="s">
        <v>106</v>
      </c>
      <c r="G57" s="58"/>
      <c r="H57" s="60" t="str">
        <f aca="false">IF(OR(E57="",D57=""),"",IF(K57=0,"Expense / Gasto",INDEX(Budget!$C$7:$C$41,K57)))</f>
        <v>Expense / Gasto</v>
      </c>
      <c r="I57" s="60" t="str">
        <f aca="false">IF(AND(B57="",E57=""),"",IF(NOT(ISNUMBER(B57)),"⚠ ADD DATE / AGREGA FECHA",IF(E57="","⚠ ADD AMOUNT / AGREGA MONTO",IF(D57="","⚠ ADD CATEGORY / AGREGA CATEGORÍA",IF(K57=0,"● NEW CATEGORY? / ¿CATEGORÍA NUEVA?","✔ OK")))))</f>
        <v>✔ OK</v>
      </c>
      <c r="K57" s="56" t="n">
        <f aca="false">IF(D57="","",IFERROR(MATCH(D57,Budget!$B$7:$B$41,0),0))</f>
        <v>8</v>
      </c>
      <c r="L57" s="56" t="n">
        <f aca="false">IF(AND(ISNUMBER(B57),ISNUMBER(E57),D57&lt;&gt;""),YEAR(B57)*100+MONTH(B57),0)</f>
        <v>202603</v>
      </c>
      <c r="M57" s="56" t="n">
        <f aca="false">IF(L57=0,0,YEAR(B57))</f>
        <v>2026</v>
      </c>
      <c r="N57" s="56" t="str">
        <f aca="false">IF(L57=0,"",IF(K57=0,"Wants / Gustos",INDEX(Budget!$D$7:$D$41,K57)))</f>
        <v>Needs / Necesidades</v>
      </c>
    </row>
    <row r="58" customFormat="false" ht="15" hidden="false" customHeight="false" outlineLevel="0" collapsed="false">
      <c r="B58" s="57" t="n">
        <v>46103</v>
      </c>
      <c r="C58" s="58" t="s">
        <v>129</v>
      </c>
      <c r="D58" s="58" t="s">
        <v>130</v>
      </c>
      <c r="E58" s="59" t="n">
        <v>450</v>
      </c>
      <c r="F58" s="58" t="s">
        <v>96</v>
      </c>
      <c r="G58" s="58"/>
      <c r="H58" s="60" t="str">
        <f aca="false">IF(OR(E58="",D58=""),"",IF(K58=0,"Expense / Gasto",INDEX(Budget!$C$7:$C$41,K58)))</f>
        <v>Income / Ingreso</v>
      </c>
      <c r="I58" s="60" t="str">
        <f aca="false">IF(AND(B58="",E58=""),"",IF(NOT(ISNUMBER(B58)),"⚠ ADD DATE / AGREGA FECHA",IF(E58="","⚠ ADD AMOUNT / AGREGA MONTO",IF(D58="","⚠ ADD CATEGORY / AGREGA CATEGORÍA",IF(K58=0,"● NEW CATEGORY? / ¿CATEGORÍA NUEVA?","✔ OK")))))</f>
        <v>✔ OK</v>
      </c>
      <c r="K58" s="56" t="n">
        <f aca="false">IF(D58="","",IFERROR(MATCH(D58,Budget!$B$7:$B$41,0),0))</f>
        <v>3</v>
      </c>
      <c r="L58" s="56" t="n">
        <f aca="false">IF(AND(ISNUMBER(B58),ISNUMBER(E58),D58&lt;&gt;""),YEAR(B58)*100+MONTH(B58),0)</f>
        <v>202603</v>
      </c>
      <c r="M58" s="56" t="n">
        <f aca="false">IF(L58=0,0,YEAR(B58))</f>
        <v>2026</v>
      </c>
      <c r="N58" s="56" t="str">
        <f aca="false">IF(L58=0,"",IF(K58=0,"Wants / Gustos",INDEX(Budget!$D$7:$D$41,K58)))</f>
        <v>—</v>
      </c>
    </row>
    <row r="59" customFormat="false" ht="15" hidden="false" customHeight="false" outlineLevel="0" collapsed="false">
      <c r="B59" s="57" t="n">
        <v>46105</v>
      </c>
      <c r="C59" s="58" t="s">
        <v>109</v>
      </c>
      <c r="D59" s="58" t="s">
        <v>110</v>
      </c>
      <c r="E59" s="59" t="n">
        <v>102.23</v>
      </c>
      <c r="F59" s="58" t="s">
        <v>102</v>
      </c>
      <c r="G59" s="58"/>
      <c r="H59" s="60" t="str">
        <f aca="false">IF(OR(E59="",D59=""),"",IF(K59=0,"Expense / Gasto",INDEX(Budget!$C$7:$C$41,K59)))</f>
        <v>Expense / Gasto</v>
      </c>
      <c r="I59" s="60" t="str">
        <f aca="false">IF(AND(B59="",E59=""),"",IF(NOT(ISNUMBER(B59)),"⚠ ADD DATE / AGREGA FECHA",IF(E59="","⚠ ADD AMOUNT / AGREGA MONTO",IF(D59="","⚠ ADD CATEGORY / AGREGA CATEGORÍA",IF(K59=0,"● NEW CATEGORY? / ¿CATEGORÍA NUEVA?","✔ OK")))))</f>
        <v>✔ OK</v>
      </c>
      <c r="K59" s="56" t="n">
        <f aca="false">IF(D59="","",IFERROR(MATCH(D59,Budget!$B$7:$B$41,0),0))</f>
        <v>10</v>
      </c>
      <c r="L59" s="56" t="n">
        <f aca="false">IF(AND(ISNUMBER(B59),ISNUMBER(E59),D59&lt;&gt;""),YEAR(B59)*100+MONTH(B59),0)</f>
        <v>202603</v>
      </c>
      <c r="M59" s="56" t="n">
        <f aca="false">IF(L59=0,0,YEAR(B59))</f>
        <v>2026</v>
      </c>
      <c r="N59" s="56" t="str">
        <f aca="false">IF(L59=0,"",IF(K59=0,"Wants / Gustos",INDEX(Budget!$D$7:$D$41,K59)))</f>
        <v>Needs / Necesidades</v>
      </c>
    </row>
    <row r="60" customFormat="false" ht="15" hidden="false" customHeight="false" outlineLevel="0" collapsed="false">
      <c r="B60" s="57" t="n">
        <v>46106</v>
      </c>
      <c r="C60" s="58" t="s">
        <v>123</v>
      </c>
      <c r="D60" s="58" t="s">
        <v>124</v>
      </c>
      <c r="E60" s="59" t="n">
        <v>575</v>
      </c>
      <c r="F60" s="58" t="s">
        <v>99</v>
      </c>
      <c r="G60" s="58"/>
      <c r="H60" s="60" t="str">
        <f aca="false">IF(OR(E60="",D60=""),"",IF(K60=0,"Expense / Gasto",INDEX(Budget!$C$7:$C$41,K60)))</f>
        <v>Expense / Gasto</v>
      </c>
      <c r="I60" s="60" t="str">
        <f aca="false">IF(AND(B60="",E60=""),"",IF(NOT(ISNUMBER(B60)),"⚠ ADD DATE / AGREGA FECHA",IF(E60="","⚠ ADD AMOUNT / AGREGA MONTO",IF(D60="","⚠ ADD CATEGORY / AGREGA CATEGORÍA",IF(K60=0,"● NEW CATEGORY? / ¿CATEGORÍA NUEVA?","✔ OK")))))</f>
        <v>✔ OK</v>
      </c>
      <c r="K60" s="56" t="n">
        <f aca="false">IF(D60="","",IFERROR(MATCH(D60,Budget!$B$7:$B$41,0),0))</f>
        <v>24</v>
      </c>
      <c r="L60" s="56" t="n">
        <f aca="false">IF(AND(ISNUMBER(B60),ISNUMBER(E60),D60&lt;&gt;""),YEAR(B60)*100+MONTH(B60),0)</f>
        <v>202603</v>
      </c>
      <c r="M60" s="56" t="n">
        <f aca="false">IF(L60=0,0,YEAR(B60))</f>
        <v>2026</v>
      </c>
      <c r="N60" s="56" t="str">
        <f aca="false">IF(L60=0,"",IF(K60=0,"Wants / Gustos",INDEX(Budget!$D$7:$D$41,K60)))</f>
        <v>Savings &amp; Debt / Ahorro y Deuda</v>
      </c>
    </row>
    <row r="61" customFormat="false" ht="15" hidden="false" customHeight="false" outlineLevel="0" collapsed="false">
      <c r="B61" s="57" t="n">
        <v>46107</v>
      </c>
      <c r="C61" s="58" t="s">
        <v>125</v>
      </c>
      <c r="D61" s="58" t="s">
        <v>126</v>
      </c>
      <c r="E61" s="59" t="n">
        <v>200</v>
      </c>
      <c r="F61" s="58" t="s">
        <v>99</v>
      </c>
      <c r="G61" s="58"/>
      <c r="H61" s="60" t="str">
        <f aca="false">IF(OR(E61="",D61=""),"",IF(K61=0,"Expense / Gasto",INDEX(Budget!$C$7:$C$41,K61)))</f>
        <v>Expense / Gasto</v>
      </c>
      <c r="I61" s="60" t="str">
        <f aca="false">IF(AND(B61="",E61=""),"",IF(NOT(ISNUMBER(B61)),"⚠ ADD DATE / AGREGA FECHA",IF(E61="","⚠ ADD AMOUNT / AGREGA MONTO",IF(D61="","⚠ ADD CATEGORY / AGREGA CATEGORÍA",IF(K61=0,"● NEW CATEGORY? / ¿CATEGORÍA NUEVA?","✔ OK")))))</f>
        <v>✔ OK</v>
      </c>
      <c r="K61" s="56" t="n">
        <f aca="false">IF(D61="","",IFERROR(MATCH(D61,Budget!$B$7:$B$41,0),0))</f>
        <v>25</v>
      </c>
      <c r="L61" s="56" t="n">
        <f aca="false">IF(AND(ISNUMBER(B61),ISNUMBER(E61),D61&lt;&gt;""),YEAR(B61)*100+MONTH(B61),0)</f>
        <v>202603</v>
      </c>
      <c r="M61" s="56" t="n">
        <f aca="false">IF(L61=0,0,YEAR(B61))</f>
        <v>2026</v>
      </c>
      <c r="N61" s="56" t="str">
        <f aca="false">IF(L61=0,"",IF(K61=0,"Wants / Gustos",INDEX(Budget!$D$7:$D$41,K61)))</f>
        <v>Savings &amp; Debt / Ahorro y Deuda</v>
      </c>
    </row>
    <row r="62" customFormat="false" ht="15" hidden="false" customHeight="false" outlineLevel="0" collapsed="false">
      <c r="B62" s="57" t="n">
        <v>46113</v>
      </c>
      <c r="C62" s="58" t="s">
        <v>94</v>
      </c>
      <c r="D62" s="58" t="s">
        <v>95</v>
      </c>
      <c r="E62" s="59" t="n">
        <v>1700</v>
      </c>
      <c r="F62" s="58" t="s">
        <v>96</v>
      </c>
      <c r="G62" s="58"/>
      <c r="H62" s="60" t="str">
        <f aca="false">IF(OR(E62="",D62=""),"",IF(K62=0,"Expense / Gasto",INDEX(Budget!$C$7:$C$41,K62)))</f>
        <v>Income / Ingreso</v>
      </c>
      <c r="I62" s="60" t="str">
        <f aca="false">IF(AND(B62="",E62=""),"",IF(NOT(ISNUMBER(B62)),"⚠ ADD DATE / AGREGA FECHA",IF(E62="","⚠ ADD AMOUNT / AGREGA MONTO",IF(D62="","⚠ ADD CATEGORY / AGREGA CATEGORÍA",IF(K62=0,"● NEW CATEGORY? / ¿CATEGORÍA NUEVA?","✔ OK")))))</f>
        <v>✔ OK</v>
      </c>
      <c r="K62" s="56" t="n">
        <f aca="false">IF(D62="","",IFERROR(MATCH(D62,Budget!$B$7:$B$41,0),0))</f>
        <v>1</v>
      </c>
      <c r="L62" s="56" t="n">
        <f aca="false">IF(AND(ISNUMBER(B62),ISNUMBER(E62),D62&lt;&gt;""),YEAR(B62)*100+MONTH(B62),0)</f>
        <v>202604</v>
      </c>
      <c r="M62" s="56" t="n">
        <f aca="false">IF(L62=0,0,YEAR(B62))</f>
        <v>2026</v>
      </c>
      <c r="N62" s="56" t="str">
        <f aca="false">IF(L62=0,"",IF(K62=0,"Wants / Gustos",INDEX(Budget!$D$7:$D$41,K62)))</f>
        <v>—</v>
      </c>
    </row>
    <row r="63" customFormat="false" ht="15" hidden="false" customHeight="false" outlineLevel="0" collapsed="false">
      <c r="B63" s="57" t="n">
        <v>46113</v>
      </c>
      <c r="C63" s="58" t="s">
        <v>97</v>
      </c>
      <c r="D63" s="58" t="s">
        <v>98</v>
      </c>
      <c r="E63" s="59" t="n">
        <v>1650</v>
      </c>
      <c r="F63" s="58" t="s">
        <v>99</v>
      </c>
      <c r="G63" s="58"/>
      <c r="H63" s="60" t="str">
        <f aca="false">IF(OR(E63="",D63=""),"",IF(K63=0,"Expense / Gasto",INDEX(Budget!$C$7:$C$41,K63)))</f>
        <v>Expense / Gasto</v>
      </c>
      <c r="I63" s="60" t="str">
        <f aca="false">IF(AND(B63="",E63=""),"",IF(NOT(ISNUMBER(B63)),"⚠ ADD DATE / AGREGA FECHA",IF(E63="","⚠ ADD AMOUNT / AGREGA MONTO",IF(D63="","⚠ ADD CATEGORY / AGREGA CATEGORÍA",IF(K63=0,"● NEW CATEGORY? / ¿CATEGORÍA NUEVA?","✔ OK")))))</f>
        <v>✔ OK</v>
      </c>
      <c r="K63" s="56" t="n">
        <f aca="false">IF(D63="","",IFERROR(MATCH(D63,Budget!$B$7:$B$41,0),0))</f>
        <v>6</v>
      </c>
      <c r="L63" s="56" t="n">
        <f aca="false">IF(AND(ISNUMBER(B63),ISNUMBER(E63),D63&lt;&gt;""),YEAR(B63)*100+MONTH(B63),0)</f>
        <v>202604</v>
      </c>
      <c r="M63" s="56" t="n">
        <f aca="false">IF(L63=0,0,YEAR(B63))</f>
        <v>2026</v>
      </c>
      <c r="N63" s="56" t="str">
        <f aca="false">IF(L63=0,"",IF(K63=0,"Wants / Gustos",INDEX(Budget!$D$7:$D$41,K63)))</f>
        <v>Needs / Necesidades</v>
      </c>
    </row>
    <row r="64" customFormat="false" ht="15" hidden="false" customHeight="false" outlineLevel="0" collapsed="false">
      <c r="B64" s="57" t="n">
        <v>46115</v>
      </c>
      <c r="C64" s="58" t="s">
        <v>100</v>
      </c>
      <c r="D64" s="58" t="s">
        <v>101</v>
      </c>
      <c r="E64" s="59" t="n">
        <v>28.98</v>
      </c>
      <c r="F64" s="58" t="s">
        <v>102</v>
      </c>
      <c r="G64" s="58"/>
      <c r="H64" s="60" t="str">
        <f aca="false">IF(OR(E64="",D64=""),"",IF(K64=0,"Expense / Gasto",INDEX(Budget!$C$7:$C$41,K64)))</f>
        <v>Expense / Gasto</v>
      </c>
      <c r="I64" s="60" t="str">
        <f aca="false">IF(AND(B64="",E64=""),"",IF(NOT(ISNUMBER(B64)),"⚠ ADD DATE / AGREGA FECHA",IF(E64="","⚠ ADD AMOUNT / AGREGA MONTO",IF(D64="","⚠ ADD CATEGORY / AGREGA CATEGORÍA",IF(K64=0,"● NEW CATEGORY? / ¿CATEGORÍA NUEVA?","✔ OK")))))</f>
        <v>✔ OK</v>
      </c>
      <c r="K64" s="56" t="n">
        <f aca="false">IF(D64="","",IFERROR(MATCH(D64,Budget!$B$7:$B$41,0),0))</f>
        <v>19</v>
      </c>
      <c r="L64" s="56" t="n">
        <f aca="false">IF(AND(ISNUMBER(B64),ISNUMBER(E64),D64&lt;&gt;""),YEAR(B64)*100+MONTH(B64),0)</f>
        <v>202604</v>
      </c>
      <c r="M64" s="56" t="n">
        <f aca="false">IF(L64=0,0,YEAR(B64))</f>
        <v>2026</v>
      </c>
      <c r="N64" s="56" t="str">
        <f aca="false">IF(L64=0,"",IF(K64=0,"Wants / Gustos",INDEX(Budget!$D$7:$D$41,K64)))</f>
        <v>Wants / Gustos</v>
      </c>
    </row>
    <row r="65" customFormat="false" ht="15" hidden="false" customHeight="false" outlineLevel="0" collapsed="false">
      <c r="B65" s="57" t="n">
        <v>46117</v>
      </c>
      <c r="C65" s="58" t="s">
        <v>94</v>
      </c>
      <c r="D65" s="58" t="s">
        <v>103</v>
      </c>
      <c r="E65" s="59" t="n">
        <v>2200</v>
      </c>
      <c r="F65" s="58" t="s">
        <v>96</v>
      </c>
      <c r="G65" s="58"/>
      <c r="H65" s="60" t="str">
        <f aca="false">IF(OR(E65="",D65=""),"",IF(K65=0,"Expense / Gasto",INDEX(Budget!$C$7:$C$41,K65)))</f>
        <v>Income / Ingreso</v>
      </c>
      <c r="I65" s="60" t="str">
        <f aca="false">IF(AND(B65="",E65=""),"",IF(NOT(ISNUMBER(B65)),"⚠ ADD DATE / AGREGA FECHA",IF(E65="","⚠ ADD AMOUNT / AGREGA MONTO",IF(D65="","⚠ ADD CATEGORY / AGREGA CATEGORÍA",IF(K65=0,"● NEW CATEGORY? / ¿CATEGORÍA NUEVA?","✔ OK")))))</f>
        <v>✔ OK</v>
      </c>
      <c r="K65" s="56" t="n">
        <f aca="false">IF(D65="","",IFERROR(MATCH(D65,Budget!$B$7:$B$41,0),0))</f>
        <v>2</v>
      </c>
      <c r="L65" s="56" t="n">
        <f aca="false">IF(AND(ISNUMBER(B65),ISNUMBER(E65),D65&lt;&gt;""),YEAR(B65)*100+MONTH(B65),0)</f>
        <v>202604</v>
      </c>
      <c r="M65" s="56" t="n">
        <f aca="false">IF(L65=0,0,YEAR(B65))</f>
        <v>2026</v>
      </c>
      <c r="N65" s="56" t="str">
        <f aca="false">IF(L65=0,"",IF(K65=0,"Wants / Gustos",INDEX(Budget!$D$7:$D$41,K65)))</f>
        <v>—</v>
      </c>
    </row>
    <row r="66" customFormat="false" ht="15" hidden="false" customHeight="false" outlineLevel="0" collapsed="false">
      <c r="B66" s="57" t="n">
        <v>46118</v>
      </c>
      <c r="C66" s="58" t="s">
        <v>104</v>
      </c>
      <c r="D66" s="58" t="s">
        <v>105</v>
      </c>
      <c r="E66" s="59" t="n">
        <v>159.33</v>
      </c>
      <c r="F66" s="58" t="s">
        <v>106</v>
      </c>
      <c r="G66" s="58"/>
      <c r="H66" s="60" t="str">
        <f aca="false">IF(OR(E66="",D66=""),"",IF(K66=0,"Expense / Gasto",INDEX(Budget!$C$7:$C$41,K66)))</f>
        <v>Expense / Gasto</v>
      </c>
      <c r="I66" s="60" t="str">
        <f aca="false">IF(AND(B66="",E66=""),"",IF(NOT(ISNUMBER(B66)),"⚠ ADD DATE / AGREGA FECHA",IF(E66="","⚠ ADD AMOUNT / AGREGA MONTO",IF(D66="","⚠ ADD CATEGORY / AGREGA CATEGORÍA",IF(K66=0,"● NEW CATEGORY? / ¿CATEGORÍA NUEVA?","✔ OK")))))</f>
        <v>✔ OK</v>
      </c>
      <c r="K66" s="56" t="n">
        <f aca="false">IF(D66="","",IFERROR(MATCH(D66,Budget!$B$7:$B$41,0),0))</f>
        <v>8</v>
      </c>
      <c r="L66" s="56" t="n">
        <f aca="false">IF(AND(ISNUMBER(B66),ISNUMBER(E66),D66&lt;&gt;""),YEAR(B66)*100+MONTH(B66),0)</f>
        <v>202604</v>
      </c>
      <c r="M66" s="56" t="n">
        <f aca="false">IF(L66=0,0,YEAR(B66))</f>
        <v>2026</v>
      </c>
      <c r="N66" s="56" t="str">
        <f aca="false">IF(L66=0,"",IF(K66=0,"Wants / Gustos",INDEX(Budget!$D$7:$D$41,K66)))</f>
        <v>Needs / Necesidades</v>
      </c>
    </row>
    <row r="67" customFormat="false" ht="15" hidden="false" customHeight="false" outlineLevel="0" collapsed="false">
      <c r="B67" s="57" t="n">
        <v>46120</v>
      </c>
      <c r="C67" s="58" t="s">
        <v>107</v>
      </c>
      <c r="D67" s="58" t="s">
        <v>108</v>
      </c>
      <c r="E67" s="59" t="n">
        <v>200.62</v>
      </c>
      <c r="F67" s="58" t="s">
        <v>106</v>
      </c>
      <c r="G67" s="58"/>
      <c r="H67" s="60" t="str">
        <f aca="false">IF(OR(E67="",D67=""),"",IF(K67=0,"Expense / Gasto",INDEX(Budget!$C$7:$C$41,K67)))</f>
        <v>Expense / Gasto</v>
      </c>
      <c r="I67" s="60" t="str">
        <f aca="false">IF(AND(B67="",E67=""),"",IF(NOT(ISNUMBER(B67)),"⚠ ADD DATE / AGREGA FECHA",IF(E67="","⚠ ADD AMOUNT / AGREGA MONTO",IF(D67="","⚠ ADD CATEGORY / AGREGA CATEGORÍA",IF(K67=0,"● NEW CATEGORY? / ¿CATEGORÍA NUEVA?","✔ OK")))))</f>
        <v>✔ OK</v>
      </c>
      <c r="K67" s="56" t="n">
        <f aca="false">IF(D67="","",IFERROR(MATCH(D67,Budget!$B$7:$B$41,0),0))</f>
        <v>7</v>
      </c>
      <c r="L67" s="56" t="n">
        <f aca="false">IF(AND(ISNUMBER(B67),ISNUMBER(E67),D67&lt;&gt;""),YEAR(B67)*100+MONTH(B67),0)</f>
        <v>202604</v>
      </c>
      <c r="M67" s="56" t="n">
        <f aca="false">IF(L67=0,0,YEAR(B67))</f>
        <v>2026</v>
      </c>
      <c r="N67" s="56" t="str">
        <f aca="false">IF(L67=0,"",IF(K67=0,"Wants / Gustos",INDEX(Budget!$D$7:$D$41,K67)))</f>
        <v>Needs / Necesidades</v>
      </c>
    </row>
    <row r="68" customFormat="false" ht="15" hidden="false" customHeight="false" outlineLevel="0" collapsed="false">
      <c r="B68" s="57" t="n">
        <v>46122</v>
      </c>
      <c r="C68" s="58" t="s">
        <v>109</v>
      </c>
      <c r="D68" s="58" t="s">
        <v>110</v>
      </c>
      <c r="E68" s="59" t="n">
        <v>83.71</v>
      </c>
      <c r="F68" s="58" t="s">
        <v>102</v>
      </c>
      <c r="G68" s="58"/>
      <c r="H68" s="60" t="str">
        <f aca="false">IF(OR(E68="",D68=""),"",IF(K68=0,"Expense / Gasto",INDEX(Budget!$C$7:$C$41,K68)))</f>
        <v>Expense / Gasto</v>
      </c>
      <c r="I68" s="60" t="str">
        <f aca="false">IF(AND(B68="",E68=""),"",IF(NOT(ISNUMBER(B68)),"⚠ ADD DATE / AGREGA FECHA",IF(E68="","⚠ ADD AMOUNT / AGREGA MONTO",IF(D68="","⚠ ADD CATEGORY / AGREGA CATEGORÍA",IF(K68=0,"● NEW CATEGORY? / ¿CATEGORÍA NUEVA?","✔ OK")))))</f>
        <v>✔ OK</v>
      </c>
      <c r="K68" s="56" t="n">
        <f aca="false">IF(D68="","",IFERROR(MATCH(D68,Budget!$B$7:$B$41,0),0))</f>
        <v>10</v>
      </c>
      <c r="L68" s="56" t="n">
        <f aca="false">IF(AND(ISNUMBER(B68),ISNUMBER(E68),D68&lt;&gt;""),YEAR(B68)*100+MONTH(B68),0)</f>
        <v>202604</v>
      </c>
      <c r="M68" s="56" t="n">
        <f aca="false">IF(L68=0,0,YEAR(B68))</f>
        <v>2026</v>
      </c>
      <c r="N68" s="56" t="str">
        <f aca="false">IF(L68=0,"",IF(K68=0,"Wants / Gustos",INDEX(Budget!$D$7:$D$41,K68)))</f>
        <v>Needs / Necesidades</v>
      </c>
    </row>
    <row r="69" customFormat="false" ht="15" hidden="false" customHeight="false" outlineLevel="0" collapsed="false">
      <c r="B69" s="57" t="n">
        <v>46124</v>
      </c>
      <c r="C69" s="58" t="s">
        <v>111</v>
      </c>
      <c r="D69" s="58" t="s">
        <v>112</v>
      </c>
      <c r="E69" s="59" t="n">
        <v>260</v>
      </c>
      <c r="F69" s="58" t="s">
        <v>106</v>
      </c>
      <c r="G69" s="58"/>
      <c r="H69" s="60" t="str">
        <f aca="false">IF(OR(E69="",D69=""),"",IF(K69=0,"Expense / Gasto",INDEX(Budget!$C$7:$C$41,K69)))</f>
        <v>Expense / Gasto</v>
      </c>
      <c r="I69" s="60" t="str">
        <f aca="false">IF(AND(B69="",E69=""),"",IF(NOT(ISNUMBER(B69)),"⚠ ADD DATE / AGREGA FECHA",IF(E69="","⚠ ADD AMOUNT / AGREGA MONTO",IF(D69="","⚠ ADD CATEGORY / AGREGA CATEGORÍA",IF(K69=0,"● NEW CATEGORY? / ¿CATEGORÍA NUEVA?","✔ OK")))))</f>
        <v>✔ OK</v>
      </c>
      <c r="K69" s="56" t="n">
        <f aca="false">IF(D69="","",IFERROR(MATCH(D69,Budget!$B$7:$B$41,0),0))</f>
        <v>11</v>
      </c>
      <c r="L69" s="56" t="n">
        <f aca="false">IF(AND(ISNUMBER(B69),ISNUMBER(E69),D69&lt;&gt;""),YEAR(B69)*100+MONTH(B69),0)</f>
        <v>202604</v>
      </c>
      <c r="M69" s="56" t="n">
        <f aca="false">IF(L69=0,0,YEAR(B69))</f>
        <v>2026</v>
      </c>
      <c r="N69" s="56" t="str">
        <f aca="false">IF(L69=0,"",IF(K69=0,"Wants / Gustos",INDEX(Budget!$D$7:$D$41,K69)))</f>
        <v>Needs / Necesidades</v>
      </c>
    </row>
    <row r="70" customFormat="false" ht="15" hidden="false" customHeight="false" outlineLevel="0" collapsed="false">
      <c r="B70" s="57" t="n">
        <v>46125</v>
      </c>
      <c r="C70" s="58" t="s">
        <v>113</v>
      </c>
      <c r="D70" s="58" t="s">
        <v>105</v>
      </c>
      <c r="E70" s="59" t="n">
        <v>236.58</v>
      </c>
      <c r="F70" s="58" t="s">
        <v>102</v>
      </c>
      <c r="G70" s="58"/>
      <c r="H70" s="60" t="str">
        <f aca="false">IF(OR(E70="",D70=""),"",IF(K70=0,"Expense / Gasto",INDEX(Budget!$C$7:$C$41,K70)))</f>
        <v>Expense / Gasto</v>
      </c>
      <c r="I70" s="60" t="str">
        <f aca="false">IF(AND(B70="",E70=""),"",IF(NOT(ISNUMBER(B70)),"⚠ ADD DATE / AGREGA FECHA",IF(E70="","⚠ ADD AMOUNT / AGREGA MONTO",IF(D70="","⚠ ADD CATEGORY / AGREGA CATEGORÍA",IF(K70=0,"● NEW CATEGORY? / ¿CATEGORÍA NUEVA?","✔ OK")))))</f>
        <v>✔ OK</v>
      </c>
      <c r="K70" s="56" t="n">
        <f aca="false">IF(D70="","",IFERROR(MATCH(D70,Budget!$B$7:$B$41,0),0))</f>
        <v>8</v>
      </c>
      <c r="L70" s="56" t="n">
        <f aca="false">IF(AND(ISNUMBER(B70),ISNUMBER(E70),D70&lt;&gt;""),YEAR(B70)*100+MONTH(B70),0)</f>
        <v>202604</v>
      </c>
      <c r="M70" s="56" t="n">
        <f aca="false">IF(L70=0,0,YEAR(B70))</f>
        <v>2026</v>
      </c>
      <c r="N70" s="56" t="str">
        <f aca="false">IF(L70=0,"",IF(K70=0,"Wants / Gustos",INDEX(Budget!$D$7:$D$41,K70)))</f>
        <v>Needs / Necesidades</v>
      </c>
    </row>
    <row r="71" customFormat="false" ht="15" hidden="false" customHeight="false" outlineLevel="0" collapsed="false">
      <c r="B71" s="57" t="n">
        <v>46126</v>
      </c>
      <c r="C71" s="58" t="s">
        <v>114</v>
      </c>
      <c r="D71" s="58" t="s">
        <v>115</v>
      </c>
      <c r="E71" s="59" t="n">
        <v>251.02</v>
      </c>
      <c r="F71" s="58" t="s">
        <v>102</v>
      </c>
      <c r="G71" s="58"/>
      <c r="H71" s="60" t="str">
        <f aca="false">IF(OR(E71="",D71=""),"",IF(K71=0,"Expense / Gasto",INDEX(Budget!$C$7:$C$41,K71)))</f>
        <v>Expense / Gasto</v>
      </c>
      <c r="I71" s="60" t="str">
        <f aca="false">IF(AND(B71="",E71=""),"",IF(NOT(ISNUMBER(B71)),"⚠ ADD DATE / AGREGA FECHA",IF(E71="","⚠ ADD AMOUNT / AGREGA MONTO",IF(D71="","⚠ ADD CATEGORY / AGREGA CATEGORÍA",IF(K71=0,"● NEW CATEGORY? / ¿CATEGORÍA NUEVA?","✔ OK")))))</f>
        <v>✔ OK</v>
      </c>
      <c r="K71" s="56" t="n">
        <f aca="false">IF(D71="","",IFERROR(MATCH(D71,Budget!$B$7:$B$41,0),0))</f>
        <v>16</v>
      </c>
      <c r="L71" s="56" t="n">
        <f aca="false">IF(AND(ISNUMBER(B71),ISNUMBER(E71),D71&lt;&gt;""),YEAR(B71)*100+MONTH(B71),0)</f>
        <v>202604</v>
      </c>
      <c r="M71" s="56" t="n">
        <f aca="false">IF(L71=0,0,YEAR(B71))</f>
        <v>2026</v>
      </c>
      <c r="N71" s="56" t="str">
        <f aca="false">IF(L71=0,"",IF(K71=0,"Wants / Gustos",INDEX(Budget!$D$7:$D$41,K71)))</f>
        <v>Wants / Gustos</v>
      </c>
    </row>
    <row r="72" customFormat="false" ht="15" hidden="false" customHeight="false" outlineLevel="0" collapsed="false">
      <c r="B72" s="57" t="n">
        <v>46127</v>
      </c>
      <c r="C72" s="58" t="s">
        <v>94</v>
      </c>
      <c r="D72" s="58" t="s">
        <v>95</v>
      </c>
      <c r="E72" s="59" t="n">
        <v>1700</v>
      </c>
      <c r="F72" s="58" t="s">
        <v>96</v>
      </c>
      <c r="G72" s="58"/>
      <c r="H72" s="60" t="str">
        <f aca="false">IF(OR(E72="",D72=""),"",IF(K72=0,"Expense / Gasto",INDEX(Budget!$C$7:$C$41,K72)))</f>
        <v>Income / Ingreso</v>
      </c>
      <c r="I72" s="60" t="str">
        <f aca="false">IF(AND(B72="",E72=""),"",IF(NOT(ISNUMBER(B72)),"⚠ ADD DATE / AGREGA FECHA",IF(E72="","⚠ ADD AMOUNT / AGREGA MONTO",IF(D72="","⚠ ADD CATEGORY / AGREGA CATEGORÍA",IF(K72=0,"● NEW CATEGORY? / ¿CATEGORÍA NUEVA?","✔ OK")))))</f>
        <v>✔ OK</v>
      </c>
      <c r="K72" s="56" t="n">
        <f aca="false">IF(D72="","",IFERROR(MATCH(D72,Budget!$B$7:$B$41,0),0))</f>
        <v>1</v>
      </c>
      <c r="L72" s="56" t="n">
        <f aca="false">IF(AND(ISNUMBER(B72),ISNUMBER(E72),D72&lt;&gt;""),YEAR(B72)*100+MONTH(B72),0)</f>
        <v>202604</v>
      </c>
      <c r="M72" s="56" t="n">
        <f aca="false">IF(L72=0,0,YEAR(B72))</f>
        <v>2026</v>
      </c>
      <c r="N72" s="56" t="str">
        <f aca="false">IF(L72=0,"",IF(K72=0,"Wants / Gustos",INDEX(Budget!$D$7:$D$41,K72)))</f>
        <v>—</v>
      </c>
    </row>
    <row r="73" customFormat="false" ht="15" hidden="false" customHeight="false" outlineLevel="0" collapsed="false">
      <c r="B73" s="57" t="n">
        <v>46128</v>
      </c>
      <c r="C73" s="58" t="s">
        <v>116</v>
      </c>
      <c r="D73" s="58" t="s">
        <v>117</v>
      </c>
      <c r="E73" s="59" t="n">
        <v>300</v>
      </c>
      <c r="F73" s="58" t="s">
        <v>106</v>
      </c>
      <c r="G73" s="58"/>
      <c r="H73" s="60" t="str">
        <f aca="false">IF(OR(E73="",D73=""),"",IF(K73=0,"Expense / Gasto",INDEX(Budget!$C$7:$C$41,K73)))</f>
        <v>Expense / Gasto</v>
      </c>
      <c r="I73" s="60" t="str">
        <f aca="false">IF(AND(B73="",E73=""),"",IF(NOT(ISNUMBER(B73)),"⚠ ADD DATE / AGREGA FECHA",IF(E73="","⚠ ADD AMOUNT / AGREGA MONTO",IF(D73="","⚠ ADD CATEGORY / AGREGA CATEGORÍA",IF(K73=0,"● NEW CATEGORY? / ¿CATEGORÍA NUEVA?","✔ OK")))))</f>
        <v>✔ OK</v>
      </c>
      <c r="K73" s="56" t="n">
        <f aca="false">IF(D73="","",IFERROR(MATCH(D73,Budget!$B$7:$B$41,0),0))</f>
        <v>14</v>
      </c>
      <c r="L73" s="56" t="n">
        <f aca="false">IF(AND(ISNUMBER(B73),ISNUMBER(E73),D73&lt;&gt;""),YEAR(B73)*100+MONTH(B73),0)</f>
        <v>202604</v>
      </c>
      <c r="M73" s="56" t="n">
        <f aca="false">IF(L73=0,0,YEAR(B73))</f>
        <v>2026</v>
      </c>
      <c r="N73" s="56" t="str">
        <f aca="false">IF(L73=0,"",IF(K73=0,"Wants / Gustos",INDEX(Budget!$D$7:$D$41,K73)))</f>
        <v>Needs / Necesidades</v>
      </c>
    </row>
    <row r="74" customFormat="false" ht="15" hidden="false" customHeight="false" outlineLevel="0" collapsed="false">
      <c r="B74" s="57" t="n">
        <v>46130</v>
      </c>
      <c r="C74" s="58" t="s">
        <v>118</v>
      </c>
      <c r="D74" s="58" t="s">
        <v>119</v>
      </c>
      <c r="E74" s="59" t="n">
        <v>140</v>
      </c>
      <c r="F74" s="58" t="s">
        <v>102</v>
      </c>
      <c r="G74" s="58"/>
      <c r="H74" s="60" t="str">
        <f aca="false">IF(OR(E74="",D74=""),"",IF(K74=0,"Expense / Gasto",INDEX(Budget!$C$7:$C$41,K74)))</f>
        <v>Expense / Gasto</v>
      </c>
      <c r="I74" s="60" t="str">
        <f aca="false">IF(AND(B74="",E74=""),"",IF(NOT(ISNUMBER(B74)),"⚠ ADD DATE / AGREGA FECHA",IF(E74="","⚠ ADD AMOUNT / AGREGA MONTO",IF(D74="","⚠ ADD CATEGORY / AGREGA CATEGORÍA",IF(K74=0,"● NEW CATEGORY? / ¿CATEGORÍA NUEVA?","✔ OK")))))</f>
        <v>✔ OK</v>
      </c>
      <c r="K74" s="56" t="n">
        <f aca="false">IF(D74="","",IFERROR(MATCH(D74,Budget!$B$7:$B$41,0),0))</f>
        <v>12</v>
      </c>
      <c r="L74" s="56" t="n">
        <f aca="false">IF(AND(ISNUMBER(B74),ISNUMBER(E74),D74&lt;&gt;""),YEAR(B74)*100+MONTH(B74),0)</f>
        <v>202604</v>
      </c>
      <c r="M74" s="56" t="n">
        <f aca="false">IF(L74=0,0,YEAR(B74))</f>
        <v>2026</v>
      </c>
      <c r="N74" s="56" t="str">
        <f aca="false">IF(L74=0,"",IF(K74=0,"Wants / Gustos",INDEX(Budget!$D$7:$D$41,K74)))</f>
        <v>Needs / Necesidades</v>
      </c>
    </row>
    <row r="75" customFormat="false" ht="15" hidden="false" customHeight="false" outlineLevel="0" collapsed="false">
      <c r="B75" s="57" t="n">
        <v>46131</v>
      </c>
      <c r="C75" s="58" t="s">
        <v>127</v>
      </c>
      <c r="D75" s="58" t="s">
        <v>128</v>
      </c>
      <c r="E75" s="59" t="n">
        <v>180.75</v>
      </c>
      <c r="F75" s="58" t="s">
        <v>102</v>
      </c>
      <c r="G75" s="58"/>
      <c r="H75" s="60" t="str">
        <f aca="false">IF(OR(E75="",D75=""),"",IF(K75=0,"Expense / Gasto",INDEX(Budget!$C$7:$C$41,K75)))</f>
        <v>Expense / Gasto</v>
      </c>
      <c r="I75" s="60" t="str">
        <f aca="false">IF(AND(B75="",E75=""),"",IF(NOT(ISNUMBER(B75)),"⚠ ADD DATE / AGREGA FECHA",IF(E75="","⚠ ADD AMOUNT / AGREGA MONTO",IF(D75="","⚠ ADD CATEGORY / AGREGA CATEGORÍA",IF(K75=0,"● NEW CATEGORY? / ¿CATEGORÍA NUEVA?","✔ OK")))))</f>
        <v>✔ OK</v>
      </c>
      <c r="K75" s="56" t="n">
        <f aca="false">IF(D75="","",IFERROR(MATCH(D75,Budget!$B$7:$B$41,0),0))</f>
        <v>18</v>
      </c>
      <c r="L75" s="56" t="n">
        <f aca="false">IF(AND(ISNUMBER(B75),ISNUMBER(E75),D75&lt;&gt;""),YEAR(B75)*100+MONTH(B75),0)</f>
        <v>202604</v>
      </c>
      <c r="M75" s="56" t="n">
        <f aca="false">IF(L75=0,0,YEAR(B75))</f>
        <v>2026</v>
      </c>
      <c r="N75" s="56" t="str">
        <f aca="false">IF(L75=0,"",IF(K75=0,"Wants / Gustos",INDEX(Budget!$D$7:$D$41,K75)))</f>
        <v>Wants / Gustos</v>
      </c>
    </row>
    <row r="76" customFormat="false" ht="15" hidden="false" customHeight="false" outlineLevel="0" collapsed="false">
      <c r="B76" s="57" t="n">
        <v>46132</v>
      </c>
      <c r="C76" s="58" t="s">
        <v>120</v>
      </c>
      <c r="D76" s="58" t="s">
        <v>121</v>
      </c>
      <c r="E76" s="59" t="n">
        <v>250</v>
      </c>
      <c r="F76" s="58" t="s">
        <v>99</v>
      </c>
      <c r="G76" s="58"/>
      <c r="H76" s="60" t="str">
        <f aca="false">IF(OR(E76="",D76=""),"",IF(K76=0,"Expense / Gasto",INDEX(Budget!$C$7:$C$41,K76)))</f>
        <v>Expense / Gasto</v>
      </c>
      <c r="I76" s="60" t="str">
        <f aca="false">IF(AND(B76="",E76=""),"",IF(NOT(ISNUMBER(B76)),"⚠ ADD DATE / AGREGA FECHA",IF(E76="","⚠ ADD AMOUNT / AGREGA MONTO",IF(D76="","⚠ ADD CATEGORY / AGREGA CATEGORÍA",IF(K76=0,"● NEW CATEGORY? / ¿CATEGORÍA NUEVA?","✔ OK")))))</f>
        <v>✔ OK</v>
      </c>
      <c r="K76" s="56" t="n">
        <f aca="false">IF(D76="","",IFERROR(MATCH(D76,Budget!$B$7:$B$41,0),0))</f>
        <v>15</v>
      </c>
      <c r="L76" s="56" t="n">
        <f aca="false">IF(AND(ISNUMBER(B76),ISNUMBER(E76),D76&lt;&gt;""),YEAR(B76)*100+MONTH(B76),0)</f>
        <v>202604</v>
      </c>
      <c r="M76" s="56" t="n">
        <f aca="false">IF(L76=0,0,YEAR(B76))</f>
        <v>2026</v>
      </c>
      <c r="N76" s="56" t="str">
        <f aca="false">IF(L76=0,"",IF(K76=0,"Wants / Gustos",INDEX(Budget!$D$7:$D$41,K76)))</f>
        <v>Needs / Necesidades</v>
      </c>
    </row>
    <row r="77" customFormat="false" ht="15" hidden="false" customHeight="false" outlineLevel="0" collapsed="false">
      <c r="B77" s="57" t="n">
        <v>46133</v>
      </c>
      <c r="C77" s="58" t="s">
        <v>122</v>
      </c>
      <c r="D77" s="58" t="s">
        <v>105</v>
      </c>
      <c r="E77" s="59" t="n">
        <v>153.66</v>
      </c>
      <c r="F77" s="58" t="s">
        <v>106</v>
      </c>
      <c r="G77" s="58"/>
      <c r="H77" s="60" t="str">
        <f aca="false">IF(OR(E77="",D77=""),"",IF(K77=0,"Expense / Gasto",INDEX(Budget!$C$7:$C$41,K77)))</f>
        <v>Expense / Gasto</v>
      </c>
      <c r="I77" s="60" t="str">
        <f aca="false">IF(AND(B77="",E77=""),"",IF(NOT(ISNUMBER(B77)),"⚠ ADD DATE / AGREGA FECHA",IF(E77="","⚠ ADD AMOUNT / AGREGA MONTO",IF(D77="","⚠ ADD CATEGORY / AGREGA CATEGORÍA",IF(K77=0,"● NEW CATEGORY? / ¿CATEGORÍA NUEVA?","✔ OK")))))</f>
        <v>✔ OK</v>
      </c>
      <c r="K77" s="56" t="n">
        <f aca="false">IF(D77="","",IFERROR(MATCH(D77,Budget!$B$7:$B$41,0),0))</f>
        <v>8</v>
      </c>
      <c r="L77" s="56" t="n">
        <f aca="false">IF(AND(ISNUMBER(B77),ISNUMBER(E77),D77&lt;&gt;""),YEAR(B77)*100+MONTH(B77),0)</f>
        <v>202604</v>
      </c>
      <c r="M77" s="56" t="n">
        <f aca="false">IF(L77=0,0,YEAR(B77))</f>
        <v>2026</v>
      </c>
      <c r="N77" s="56" t="str">
        <f aca="false">IF(L77=0,"",IF(K77=0,"Wants / Gustos",INDEX(Budget!$D$7:$D$41,K77)))</f>
        <v>Needs / Necesidades</v>
      </c>
    </row>
    <row r="78" customFormat="false" ht="15" hidden="false" customHeight="false" outlineLevel="0" collapsed="false">
      <c r="B78" s="57" t="n">
        <v>46136</v>
      </c>
      <c r="C78" s="58" t="s">
        <v>109</v>
      </c>
      <c r="D78" s="58" t="s">
        <v>110</v>
      </c>
      <c r="E78" s="59" t="n">
        <v>73.87</v>
      </c>
      <c r="F78" s="58" t="s">
        <v>102</v>
      </c>
      <c r="G78" s="58"/>
      <c r="H78" s="60" t="str">
        <f aca="false">IF(OR(E78="",D78=""),"",IF(K78=0,"Expense / Gasto",INDEX(Budget!$C$7:$C$41,K78)))</f>
        <v>Expense / Gasto</v>
      </c>
      <c r="I78" s="60" t="str">
        <f aca="false">IF(AND(B78="",E78=""),"",IF(NOT(ISNUMBER(B78)),"⚠ ADD DATE / AGREGA FECHA",IF(E78="","⚠ ADD AMOUNT / AGREGA MONTO",IF(D78="","⚠ ADD CATEGORY / AGREGA CATEGORÍA",IF(K78=0,"● NEW CATEGORY? / ¿CATEGORÍA NUEVA?","✔ OK")))))</f>
        <v>✔ OK</v>
      </c>
      <c r="K78" s="56" t="n">
        <f aca="false">IF(D78="","",IFERROR(MATCH(D78,Budget!$B$7:$B$41,0),0))</f>
        <v>10</v>
      </c>
      <c r="L78" s="56" t="n">
        <f aca="false">IF(AND(ISNUMBER(B78),ISNUMBER(E78),D78&lt;&gt;""),YEAR(B78)*100+MONTH(B78),0)</f>
        <v>202604</v>
      </c>
      <c r="M78" s="56" t="n">
        <f aca="false">IF(L78=0,0,YEAR(B78))</f>
        <v>2026</v>
      </c>
      <c r="N78" s="56" t="str">
        <f aca="false">IF(L78=0,"",IF(K78=0,"Wants / Gustos",INDEX(Budget!$D$7:$D$41,K78)))</f>
        <v>Needs / Necesidades</v>
      </c>
    </row>
    <row r="79" customFormat="false" ht="15" hidden="false" customHeight="false" outlineLevel="0" collapsed="false">
      <c r="B79" s="57" t="n">
        <v>46137</v>
      </c>
      <c r="C79" s="58" t="s">
        <v>123</v>
      </c>
      <c r="D79" s="58" t="s">
        <v>124</v>
      </c>
      <c r="E79" s="59" t="n">
        <v>575</v>
      </c>
      <c r="F79" s="58" t="s">
        <v>99</v>
      </c>
      <c r="G79" s="58"/>
      <c r="H79" s="60" t="str">
        <f aca="false">IF(OR(E79="",D79=""),"",IF(K79=0,"Expense / Gasto",INDEX(Budget!$C$7:$C$41,K79)))</f>
        <v>Expense / Gasto</v>
      </c>
      <c r="I79" s="60" t="str">
        <f aca="false">IF(AND(B79="",E79=""),"",IF(NOT(ISNUMBER(B79)),"⚠ ADD DATE / AGREGA FECHA",IF(E79="","⚠ ADD AMOUNT / AGREGA MONTO",IF(D79="","⚠ ADD CATEGORY / AGREGA CATEGORÍA",IF(K79=0,"● NEW CATEGORY? / ¿CATEGORÍA NUEVA?","✔ OK")))))</f>
        <v>✔ OK</v>
      </c>
      <c r="K79" s="56" t="n">
        <f aca="false">IF(D79="","",IFERROR(MATCH(D79,Budget!$B$7:$B$41,0),0))</f>
        <v>24</v>
      </c>
      <c r="L79" s="56" t="n">
        <f aca="false">IF(AND(ISNUMBER(B79),ISNUMBER(E79),D79&lt;&gt;""),YEAR(B79)*100+MONTH(B79),0)</f>
        <v>202604</v>
      </c>
      <c r="M79" s="56" t="n">
        <f aca="false">IF(L79=0,0,YEAR(B79))</f>
        <v>2026</v>
      </c>
      <c r="N79" s="56" t="str">
        <f aca="false">IF(L79=0,"",IF(K79=0,"Wants / Gustos",INDEX(Budget!$D$7:$D$41,K79)))</f>
        <v>Savings &amp; Debt / Ahorro y Deuda</v>
      </c>
    </row>
    <row r="80" customFormat="false" ht="15" hidden="false" customHeight="false" outlineLevel="0" collapsed="false">
      <c r="B80" s="57" t="n">
        <v>46138</v>
      </c>
      <c r="C80" s="58" t="s">
        <v>125</v>
      </c>
      <c r="D80" s="58" t="s">
        <v>126</v>
      </c>
      <c r="E80" s="59" t="n">
        <v>200</v>
      </c>
      <c r="F80" s="58" t="s">
        <v>99</v>
      </c>
      <c r="G80" s="58"/>
      <c r="H80" s="60" t="str">
        <f aca="false">IF(OR(E80="",D80=""),"",IF(K80=0,"Expense / Gasto",INDEX(Budget!$C$7:$C$41,K80)))</f>
        <v>Expense / Gasto</v>
      </c>
      <c r="I80" s="60" t="str">
        <f aca="false">IF(AND(B80="",E80=""),"",IF(NOT(ISNUMBER(B80)),"⚠ ADD DATE / AGREGA FECHA",IF(E80="","⚠ ADD AMOUNT / AGREGA MONTO",IF(D80="","⚠ ADD CATEGORY / AGREGA CATEGORÍA",IF(K80=0,"● NEW CATEGORY? / ¿CATEGORÍA NUEVA?","✔ OK")))))</f>
        <v>✔ OK</v>
      </c>
      <c r="K80" s="56" t="n">
        <f aca="false">IF(D80="","",IFERROR(MATCH(D80,Budget!$B$7:$B$41,0),0))</f>
        <v>25</v>
      </c>
      <c r="L80" s="56" t="n">
        <f aca="false">IF(AND(ISNUMBER(B80),ISNUMBER(E80),D80&lt;&gt;""),YEAR(B80)*100+MONTH(B80),0)</f>
        <v>202604</v>
      </c>
      <c r="M80" s="56" t="n">
        <f aca="false">IF(L80=0,0,YEAR(B80))</f>
        <v>2026</v>
      </c>
      <c r="N80" s="56" t="str">
        <f aca="false">IF(L80=0,"",IF(K80=0,"Wants / Gustos",INDEX(Budget!$D$7:$D$41,K80)))</f>
        <v>Savings &amp; Debt / Ahorro y Deuda</v>
      </c>
    </row>
    <row r="81" customFormat="false" ht="15" hidden="false" customHeight="false" outlineLevel="0" collapsed="false">
      <c r="B81" s="57" t="n">
        <v>46143</v>
      </c>
      <c r="C81" s="58" t="s">
        <v>94</v>
      </c>
      <c r="D81" s="58" t="s">
        <v>95</v>
      </c>
      <c r="E81" s="59" t="n">
        <v>1700</v>
      </c>
      <c r="F81" s="58" t="s">
        <v>96</v>
      </c>
      <c r="G81" s="58"/>
      <c r="H81" s="60" t="str">
        <f aca="false">IF(OR(E81="",D81=""),"",IF(K81=0,"Expense / Gasto",INDEX(Budget!$C$7:$C$41,K81)))</f>
        <v>Income / Ingreso</v>
      </c>
      <c r="I81" s="60" t="str">
        <f aca="false">IF(AND(B81="",E81=""),"",IF(NOT(ISNUMBER(B81)),"⚠ ADD DATE / AGREGA FECHA",IF(E81="","⚠ ADD AMOUNT / AGREGA MONTO",IF(D81="","⚠ ADD CATEGORY / AGREGA CATEGORÍA",IF(K81=0,"● NEW CATEGORY? / ¿CATEGORÍA NUEVA?","✔ OK")))))</f>
        <v>✔ OK</v>
      </c>
      <c r="K81" s="56" t="n">
        <f aca="false">IF(D81="","",IFERROR(MATCH(D81,Budget!$B$7:$B$41,0),0))</f>
        <v>1</v>
      </c>
      <c r="L81" s="56" t="n">
        <f aca="false">IF(AND(ISNUMBER(B81),ISNUMBER(E81),D81&lt;&gt;""),YEAR(B81)*100+MONTH(B81),0)</f>
        <v>202605</v>
      </c>
      <c r="M81" s="56" t="n">
        <f aca="false">IF(L81=0,0,YEAR(B81))</f>
        <v>2026</v>
      </c>
      <c r="N81" s="56" t="str">
        <f aca="false">IF(L81=0,"",IF(K81=0,"Wants / Gustos",INDEX(Budget!$D$7:$D$41,K81)))</f>
        <v>—</v>
      </c>
    </row>
    <row r="82" customFormat="false" ht="15" hidden="false" customHeight="false" outlineLevel="0" collapsed="false">
      <c r="B82" s="57" t="n">
        <v>46143</v>
      </c>
      <c r="C82" s="58" t="s">
        <v>97</v>
      </c>
      <c r="D82" s="58" t="s">
        <v>98</v>
      </c>
      <c r="E82" s="59" t="n">
        <v>1650</v>
      </c>
      <c r="F82" s="58" t="s">
        <v>99</v>
      </c>
      <c r="G82" s="58"/>
      <c r="H82" s="60" t="str">
        <f aca="false">IF(OR(E82="",D82=""),"",IF(K82=0,"Expense / Gasto",INDEX(Budget!$C$7:$C$41,K82)))</f>
        <v>Expense / Gasto</v>
      </c>
      <c r="I82" s="60" t="str">
        <f aca="false">IF(AND(B82="",E82=""),"",IF(NOT(ISNUMBER(B82)),"⚠ ADD DATE / AGREGA FECHA",IF(E82="","⚠ ADD AMOUNT / AGREGA MONTO",IF(D82="","⚠ ADD CATEGORY / AGREGA CATEGORÍA",IF(K82=0,"● NEW CATEGORY? / ¿CATEGORÍA NUEVA?","✔ OK")))))</f>
        <v>✔ OK</v>
      </c>
      <c r="K82" s="56" t="n">
        <f aca="false">IF(D82="","",IFERROR(MATCH(D82,Budget!$B$7:$B$41,0),0))</f>
        <v>6</v>
      </c>
      <c r="L82" s="56" t="n">
        <f aca="false">IF(AND(ISNUMBER(B82),ISNUMBER(E82),D82&lt;&gt;""),YEAR(B82)*100+MONTH(B82),0)</f>
        <v>202605</v>
      </c>
      <c r="M82" s="56" t="n">
        <f aca="false">IF(L82=0,0,YEAR(B82))</f>
        <v>2026</v>
      </c>
      <c r="N82" s="56" t="str">
        <f aca="false">IF(L82=0,"",IF(K82=0,"Wants / Gustos",INDEX(Budget!$D$7:$D$41,K82)))</f>
        <v>Needs / Necesidades</v>
      </c>
    </row>
    <row r="83" customFormat="false" ht="15" hidden="false" customHeight="false" outlineLevel="0" collapsed="false">
      <c r="B83" s="57" t="n">
        <v>46145</v>
      </c>
      <c r="C83" s="58" t="s">
        <v>100</v>
      </c>
      <c r="D83" s="58" t="s">
        <v>101</v>
      </c>
      <c r="E83" s="59" t="n">
        <v>28.98</v>
      </c>
      <c r="F83" s="58" t="s">
        <v>102</v>
      </c>
      <c r="G83" s="58"/>
      <c r="H83" s="60" t="str">
        <f aca="false">IF(OR(E83="",D83=""),"",IF(K83=0,"Expense / Gasto",INDEX(Budget!$C$7:$C$41,K83)))</f>
        <v>Expense / Gasto</v>
      </c>
      <c r="I83" s="60" t="str">
        <f aca="false">IF(AND(B83="",E83=""),"",IF(NOT(ISNUMBER(B83)),"⚠ ADD DATE / AGREGA FECHA",IF(E83="","⚠ ADD AMOUNT / AGREGA MONTO",IF(D83="","⚠ ADD CATEGORY / AGREGA CATEGORÍA",IF(K83=0,"● NEW CATEGORY? / ¿CATEGORÍA NUEVA?","✔ OK")))))</f>
        <v>✔ OK</v>
      </c>
      <c r="K83" s="56" t="n">
        <f aca="false">IF(D83="","",IFERROR(MATCH(D83,Budget!$B$7:$B$41,0),0))</f>
        <v>19</v>
      </c>
      <c r="L83" s="56" t="n">
        <f aca="false">IF(AND(ISNUMBER(B83),ISNUMBER(E83),D83&lt;&gt;""),YEAR(B83)*100+MONTH(B83),0)</f>
        <v>202605</v>
      </c>
      <c r="M83" s="56" t="n">
        <f aca="false">IF(L83=0,0,YEAR(B83))</f>
        <v>2026</v>
      </c>
      <c r="N83" s="56" t="str">
        <f aca="false">IF(L83=0,"",IF(K83=0,"Wants / Gustos",INDEX(Budget!$D$7:$D$41,K83)))</f>
        <v>Wants / Gustos</v>
      </c>
    </row>
    <row r="84" customFormat="false" ht="15" hidden="false" customHeight="false" outlineLevel="0" collapsed="false">
      <c r="B84" s="57" t="n">
        <v>46147</v>
      </c>
      <c r="C84" s="58" t="s">
        <v>94</v>
      </c>
      <c r="D84" s="58" t="s">
        <v>103</v>
      </c>
      <c r="E84" s="59" t="n">
        <v>2200</v>
      </c>
      <c r="F84" s="58" t="s">
        <v>96</v>
      </c>
      <c r="G84" s="58"/>
      <c r="H84" s="60" t="str">
        <f aca="false">IF(OR(E84="",D84=""),"",IF(K84=0,"Expense / Gasto",INDEX(Budget!$C$7:$C$41,K84)))</f>
        <v>Income / Ingreso</v>
      </c>
      <c r="I84" s="60" t="str">
        <f aca="false">IF(AND(B84="",E84=""),"",IF(NOT(ISNUMBER(B84)),"⚠ ADD DATE / AGREGA FECHA",IF(E84="","⚠ ADD AMOUNT / AGREGA MONTO",IF(D84="","⚠ ADD CATEGORY / AGREGA CATEGORÍA",IF(K84=0,"● NEW CATEGORY? / ¿CATEGORÍA NUEVA?","✔ OK")))))</f>
        <v>✔ OK</v>
      </c>
      <c r="K84" s="56" t="n">
        <f aca="false">IF(D84="","",IFERROR(MATCH(D84,Budget!$B$7:$B$41,0),0))</f>
        <v>2</v>
      </c>
      <c r="L84" s="56" t="n">
        <f aca="false">IF(AND(ISNUMBER(B84),ISNUMBER(E84),D84&lt;&gt;""),YEAR(B84)*100+MONTH(B84),0)</f>
        <v>202605</v>
      </c>
      <c r="M84" s="56" t="n">
        <f aca="false">IF(L84=0,0,YEAR(B84))</f>
        <v>2026</v>
      </c>
      <c r="N84" s="56" t="str">
        <f aca="false">IF(L84=0,"",IF(K84=0,"Wants / Gustos",INDEX(Budget!$D$7:$D$41,K84)))</f>
        <v>—</v>
      </c>
    </row>
    <row r="85" customFormat="false" ht="15" hidden="false" customHeight="false" outlineLevel="0" collapsed="false">
      <c r="B85" s="57" t="n">
        <v>46148</v>
      </c>
      <c r="C85" s="58" t="s">
        <v>104</v>
      </c>
      <c r="D85" s="58" t="s">
        <v>105</v>
      </c>
      <c r="E85" s="59" t="n">
        <v>193.78</v>
      </c>
      <c r="F85" s="58" t="s">
        <v>106</v>
      </c>
      <c r="G85" s="58"/>
      <c r="H85" s="60" t="str">
        <f aca="false">IF(OR(E85="",D85=""),"",IF(K85=0,"Expense / Gasto",INDEX(Budget!$C$7:$C$41,K85)))</f>
        <v>Expense / Gasto</v>
      </c>
      <c r="I85" s="60" t="str">
        <f aca="false">IF(AND(B85="",E85=""),"",IF(NOT(ISNUMBER(B85)),"⚠ ADD DATE / AGREGA FECHA",IF(E85="","⚠ ADD AMOUNT / AGREGA MONTO",IF(D85="","⚠ ADD CATEGORY / AGREGA CATEGORÍA",IF(K85=0,"● NEW CATEGORY? / ¿CATEGORÍA NUEVA?","✔ OK")))))</f>
        <v>✔ OK</v>
      </c>
      <c r="K85" s="56" t="n">
        <f aca="false">IF(D85="","",IFERROR(MATCH(D85,Budget!$B$7:$B$41,0),0))</f>
        <v>8</v>
      </c>
      <c r="L85" s="56" t="n">
        <f aca="false">IF(AND(ISNUMBER(B85),ISNUMBER(E85),D85&lt;&gt;""),YEAR(B85)*100+MONTH(B85),0)</f>
        <v>202605</v>
      </c>
      <c r="M85" s="56" t="n">
        <f aca="false">IF(L85=0,0,YEAR(B85))</f>
        <v>2026</v>
      </c>
      <c r="N85" s="56" t="str">
        <f aca="false">IF(L85=0,"",IF(K85=0,"Wants / Gustos",INDEX(Budget!$D$7:$D$41,K85)))</f>
        <v>Needs / Necesidades</v>
      </c>
    </row>
    <row r="86" customFormat="false" ht="15" hidden="false" customHeight="false" outlineLevel="0" collapsed="false">
      <c r="B86" s="57" t="n">
        <v>46150</v>
      </c>
      <c r="C86" s="58" t="s">
        <v>107</v>
      </c>
      <c r="D86" s="58" t="s">
        <v>108</v>
      </c>
      <c r="E86" s="59" t="n">
        <v>242.64</v>
      </c>
      <c r="F86" s="58" t="s">
        <v>106</v>
      </c>
      <c r="G86" s="58"/>
      <c r="H86" s="60" t="str">
        <f aca="false">IF(OR(E86="",D86=""),"",IF(K86=0,"Expense / Gasto",INDEX(Budget!$C$7:$C$41,K86)))</f>
        <v>Expense / Gasto</v>
      </c>
      <c r="I86" s="60" t="str">
        <f aca="false">IF(AND(B86="",E86=""),"",IF(NOT(ISNUMBER(B86)),"⚠ ADD DATE / AGREGA FECHA",IF(E86="","⚠ ADD AMOUNT / AGREGA MONTO",IF(D86="","⚠ ADD CATEGORY / AGREGA CATEGORÍA",IF(K86=0,"● NEW CATEGORY? / ¿CATEGORÍA NUEVA?","✔ OK")))))</f>
        <v>✔ OK</v>
      </c>
      <c r="K86" s="56" t="n">
        <f aca="false">IF(D86="","",IFERROR(MATCH(D86,Budget!$B$7:$B$41,0),0))</f>
        <v>7</v>
      </c>
      <c r="L86" s="56" t="n">
        <f aca="false">IF(AND(ISNUMBER(B86),ISNUMBER(E86),D86&lt;&gt;""),YEAR(B86)*100+MONTH(B86),0)</f>
        <v>202605</v>
      </c>
      <c r="M86" s="56" t="n">
        <f aca="false">IF(L86=0,0,YEAR(B86))</f>
        <v>2026</v>
      </c>
      <c r="N86" s="56" t="str">
        <f aca="false">IF(L86=0,"",IF(K86=0,"Wants / Gustos",INDEX(Budget!$D$7:$D$41,K86)))</f>
        <v>Needs / Necesidades</v>
      </c>
    </row>
    <row r="87" customFormat="false" ht="15" hidden="false" customHeight="false" outlineLevel="0" collapsed="false">
      <c r="B87" s="57" t="n">
        <v>46152</v>
      </c>
      <c r="C87" s="58" t="s">
        <v>109</v>
      </c>
      <c r="D87" s="58" t="s">
        <v>110</v>
      </c>
      <c r="E87" s="59" t="n">
        <v>95.14</v>
      </c>
      <c r="F87" s="58" t="s">
        <v>102</v>
      </c>
      <c r="G87" s="58"/>
      <c r="H87" s="60" t="str">
        <f aca="false">IF(OR(E87="",D87=""),"",IF(K87=0,"Expense / Gasto",INDEX(Budget!$C$7:$C$41,K87)))</f>
        <v>Expense / Gasto</v>
      </c>
      <c r="I87" s="60" t="str">
        <f aca="false">IF(AND(B87="",E87=""),"",IF(NOT(ISNUMBER(B87)),"⚠ ADD DATE / AGREGA FECHA",IF(E87="","⚠ ADD AMOUNT / AGREGA MONTO",IF(D87="","⚠ ADD CATEGORY / AGREGA CATEGORÍA",IF(K87=0,"● NEW CATEGORY? / ¿CATEGORÍA NUEVA?","✔ OK")))))</f>
        <v>✔ OK</v>
      </c>
      <c r="K87" s="56" t="n">
        <f aca="false">IF(D87="","",IFERROR(MATCH(D87,Budget!$B$7:$B$41,0),0))</f>
        <v>10</v>
      </c>
      <c r="L87" s="56" t="n">
        <f aca="false">IF(AND(ISNUMBER(B87),ISNUMBER(E87),D87&lt;&gt;""),YEAR(B87)*100+MONTH(B87),0)</f>
        <v>202605</v>
      </c>
      <c r="M87" s="56" t="n">
        <f aca="false">IF(L87=0,0,YEAR(B87))</f>
        <v>2026</v>
      </c>
      <c r="N87" s="56" t="str">
        <f aca="false">IF(L87=0,"",IF(K87=0,"Wants / Gustos",INDEX(Budget!$D$7:$D$41,K87)))</f>
        <v>Needs / Necesidades</v>
      </c>
    </row>
    <row r="88" customFormat="false" ht="15" hidden="false" customHeight="false" outlineLevel="0" collapsed="false">
      <c r="B88" s="57" t="n">
        <v>46154</v>
      </c>
      <c r="C88" s="58" t="s">
        <v>111</v>
      </c>
      <c r="D88" s="58" t="s">
        <v>112</v>
      </c>
      <c r="E88" s="59" t="n">
        <v>260</v>
      </c>
      <c r="F88" s="58" t="s">
        <v>106</v>
      </c>
      <c r="G88" s="58"/>
      <c r="H88" s="60" t="str">
        <f aca="false">IF(OR(E88="",D88=""),"",IF(K88=0,"Expense / Gasto",INDEX(Budget!$C$7:$C$41,K88)))</f>
        <v>Expense / Gasto</v>
      </c>
      <c r="I88" s="60" t="str">
        <f aca="false">IF(AND(B88="",E88=""),"",IF(NOT(ISNUMBER(B88)),"⚠ ADD DATE / AGREGA FECHA",IF(E88="","⚠ ADD AMOUNT / AGREGA MONTO",IF(D88="","⚠ ADD CATEGORY / AGREGA CATEGORÍA",IF(K88=0,"● NEW CATEGORY? / ¿CATEGORÍA NUEVA?","✔ OK")))))</f>
        <v>✔ OK</v>
      </c>
      <c r="K88" s="56" t="n">
        <f aca="false">IF(D88="","",IFERROR(MATCH(D88,Budget!$B$7:$B$41,0),0))</f>
        <v>11</v>
      </c>
      <c r="L88" s="56" t="n">
        <f aca="false">IF(AND(ISNUMBER(B88),ISNUMBER(E88),D88&lt;&gt;""),YEAR(B88)*100+MONTH(B88),0)</f>
        <v>202605</v>
      </c>
      <c r="M88" s="56" t="n">
        <f aca="false">IF(L88=0,0,YEAR(B88))</f>
        <v>2026</v>
      </c>
      <c r="N88" s="56" t="str">
        <f aca="false">IF(L88=0,"",IF(K88=0,"Wants / Gustos",INDEX(Budget!$D$7:$D$41,K88)))</f>
        <v>Needs / Necesidades</v>
      </c>
    </row>
    <row r="89" customFormat="false" ht="15" hidden="false" customHeight="false" outlineLevel="0" collapsed="false">
      <c r="B89" s="57" t="n">
        <v>46155</v>
      </c>
      <c r="C89" s="58" t="s">
        <v>113</v>
      </c>
      <c r="D89" s="58" t="s">
        <v>105</v>
      </c>
      <c r="E89" s="59" t="n">
        <v>202.9</v>
      </c>
      <c r="F89" s="58" t="s">
        <v>102</v>
      </c>
      <c r="G89" s="58"/>
      <c r="H89" s="60" t="str">
        <f aca="false">IF(OR(E89="",D89=""),"",IF(K89=0,"Expense / Gasto",INDEX(Budget!$C$7:$C$41,K89)))</f>
        <v>Expense / Gasto</v>
      </c>
      <c r="I89" s="60" t="str">
        <f aca="false">IF(AND(B89="",E89=""),"",IF(NOT(ISNUMBER(B89)),"⚠ ADD DATE / AGREGA FECHA",IF(E89="","⚠ ADD AMOUNT / AGREGA MONTO",IF(D89="","⚠ ADD CATEGORY / AGREGA CATEGORÍA",IF(K89=0,"● NEW CATEGORY? / ¿CATEGORÍA NUEVA?","✔ OK")))))</f>
        <v>✔ OK</v>
      </c>
      <c r="K89" s="56" t="n">
        <f aca="false">IF(D89="","",IFERROR(MATCH(D89,Budget!$B$7:$B$41,0),0))</f>
        <v>8</v>
      </c>
      <c r="L89" s="56" t="n">
        <f aca="false">IF(AND(ISNUMBER(B89),ISNUMBER(E89),D89&lt;&gt;""),YEAR(B89)*100+MONTH(B89),0)</f>
        <v>202605</v>
      </c>
      <c r="M89" s="56" t="n">
        <f aca="false">IF(L89=0,0,YEAR(B89))</f>
        <v>2026</v>
      </c>
      <c r="N89" s="56" t="str">
        <f aca="false">IF(L89=0,"",IF(K89=0,"Wants / Gustos",INDEX(Budget!$D$7:$D$41,K89)))</f>
        <v>Needs / Necesidades</v>
      </c>
    </row>
    <row r="90" customFormat="false" ht="15" hidden="false" customHeight="false" outlineLevel="0" collapsed="false">
      <c r="B90" s="57" t="n">
        <v>46156</v>
      </c>
      <c r="C90" s="58" t="s">
        <v>114</v>
      </c>
      <c r="D90" s="58" t="s">
        <v>115</v>
      </c>
      <c r="E90" s="59" t="n">
        <v>247.59</v>
      </c>
      <c r="F90" s="58" t="s">
        <v>102</v>
      </c>
      <c r="G90" s="58"/>
      <c r="H90" s="60" t="str">
        <f aca="false">IF(OR(E90="",D90=""),"",IF(K90=0,"Expense / Gasto",INDEX(Budget!$C$7:$C$41,K90)))</f>
        <v>Expense / Gasto</v>
      </c>
      <c r="I90" s="60" t="str">
        <f aca="false">IF(AND(B90="",E90=""),"",IF(NOT(ISNUMBER(B90)),"⚠ ADD DATE / AGREGA FECHA",IF(E90="","⚠ ADD AMOUNT / AGREGA MONTO",IF(D90="","⚠ ADD CATEGORY / AGREGA CATEGORÍA",IF(K90=0,"● NEW CATEGORY? / ¿CATEGORÍA NUEVA?","✔ OK")))))</f>
        <v>✔ OK</v>
      </c>
      <c r="K90" s="56" t="n">
        <f aca="false">IF(D90="","",IFERROR(MATCH(D90,Budget!$B$7:$B$41,0),0))</f>
        <v>16</v>
      </c>
      <c r="L90" s="56" t="n">
        <f aca="false">IF(AND(ISNUMBER(B90),ISNUMBER(E90),D90&lt;&gt;""),YEAR(B90)*100+MONTH(B90),0)</f>
        <v>202605</v>
      </c>
      <c r="M90" s="56" t="n">
        <f aca="false">IF(L90=0,0,YEAR(B90))</f>
        <v>2026</v>
      </c>
      <c r="N90" s="56" t="str">
        <f aca="false">IF(L90=0,"",IF(K90=0,"Wants / Gustos",INDEX(Budget!$D$7:$D$41,K90)))</f>
        <v>Wants / Gustos</v>
      </c>
    </row>
    <row r="91" customFormat="false" ht="15" hidden="false" customHeight="false" outlineLevel="0" collapsed="false">
      <c r="B91" s="57" t="n">
        <v>46157</v>
      </c>
      <c r="C91" s="58" t="s">
        <v>94</v>
      </c>
      <c r="D91" s="58" t="s">
        <v>95</v>
      </c>
      <c r="E91" s="59" t="n">
        <v>1700</v>
      </c>
      <c r="F91" s="58" t="s">
        <v>96</v>
      </c>
      <c r="G91" s="58"/>
      <c r="H91" s="60" t="str">
        <f aca="false">IF(OR(E91="",D91=""),"",IF(K91=0,"Expense / Gasto",INDEX(Budget!$C$7:$C$41,K91)))</f>
        <v>Income / Ingreso</v>
      </c>
      <c r="I91" s="60" t="str">
        <f aca="false">IF(AND(B91="",E91=""),"",IF(NOT(ISNUMBER(B91)),"⚠ ADD DATE / AGREGA FECHA",IF(E91="","⚠ ADD AMOUNT / AGREGA MONTO",IF(D91="","⚠ ADD CATEGORY / AGREGA CATEGORÍA",IF(K91=0,"● NEW CATEGORY? / ¿CATEGORÍA NUEVA?","✔ OK")))))</f>
        <v>✔ OK</v>
      </c>
      <c r="K91" s="56" t="n">
        <f aca="false">IF(D91="","",IFERROR(MATCH(D91,Budget!$B$7:$B$41,0),0))</f>
        <v>1</v>
      </c>
      <c r="L91" s="56" t="n">
        <f aca="false">IF(AND(ISNUMBER(B91),ISNUMBER(E91),D91&lt;&gt;""),YEAR(B91)*100+MONTH(B91),0)</f>
        <v>202605</v>
      </c>
      <c r="M91" s="56" t="n">
        <f aca="false">IF(L91=0,0,YEAR(B91))</f>
        <v>2026</v>
      </c>
      <c r="N91" s="56" t="str">
        <f aca="false">IF(L91=0,"",IF(K91=0,"Wants / Gustos",INDEX(Budget!$D$7:$D$41,K91)))</f>
        <v>—</v>
      </c>
    </row>
    <row r="92" customFormat="false" ht="15" hidden="false" customHeight="false" outlineLevel="0" collapsed="false">
      <c r="B92" s="57" t="n">
        <v>46158</v>
      </c>
      <c r="C92" s="58" t="s">
        <v>116</v>
      </c>
      <c r="D92" s="58" t="s">
        <v>117</v>
      </c>
      <c r="E92" s="59" t="n">
        <v>300</v>
      </c>
      <c r="F92" s="58" t="s">
        <v>106</v>
      </c>
      <c r="G92" s="58"/>
      <c r="H92" s="60" t="str">
        <f aca="false">IF(OR(E92="",D92=""),"",IF(K92=0,"Expense / Gasto",INDEX(Budget!$C$7:$C$41,K92)))</f>
        <v>Expense / Gasto</v>
      </c>
      <c r="I92" s="60" t="str">
        <f aca="false">IF(AND(B92="",E92=""),"",IF(NOT(ISNUMBER(B92)),"⚠ ADD DATE / AGREGA FECHA",IF(E92="","⚠ ADD AMOUNT / AGREGA MONTO",IF(D92="","⚠ ADD CATEGORY / AGREGA CATEGORÍA",IF(K92=0,"● NEW CATEGORY? / ¿CATEGORÍA NUEVA?","✔ OK")))))</f>
        <v>✔ OK</v>
      </c>
      <c r="K92" s="56" t="n">
        <f aca="false">IF(D92="","",IFERROR(MATCH(D92,Budget!$B$7:$B$41,0),0))</f>
        <v>14</v>
      </c>
      <c r="L92" s="56" t="n">
        <f aca="false">IF(AND(ISNUMBER(B92),ISNUMBER(E92),D92&lt;&gt;""),YEAR(B92)*100+MONTH(B92),0)</f>
        <v>202605</v>
      </c>
      <c r="M92" s="56" t="n">
        <f aca="false">IF(L92=0,0,YEAR(B92))</f>
        <v>2026</v>
      </c>
      <c r="N92" s="56" t="str">
        <f aca="false">IF(L92=0,"",IF(K92=0,"Wants / Gustos",INDEX(Budget!$D$7:$D$41,K92)))</f>
        <v>Needs / Necesidades</v>
      </c>
    </row>
    <row r="93" customFormat="false" ht="15" hidden="false" customHeight="false" outlineLevel="0" collapsed="false">
      <c r="B93" s="57" t="n">
        <v>46160</v>
      </c>
      <c r="C93" s="58" t="s">
        <v>118</v>
      </c>
      <c r="D93" s="58" t="s">
        <v>119</v>
      </c>
      <c r="E93" s="59" t="n">
        <v>140</v>
      </c>
      <c r="F93" s="58" t="s">
        <v>102</v>
      </c>
      <c r="G93" s="58"/>
      <c r="H93" s="60" t="str">
        <f aca="false">IF(OR(E93="",D93=""),"",IF(K93=0,"Expense / Gasto",INDEX(Budget!$C$7:$C$41,K93)))</f>
        <v>Expense / Gasto</v>
      </c>
      <c r="I93" s="60" t="str">
        <f aca="false">IF(AND(B93="",E93=""),"",IF(NOT(ISNUMBER(B93)),"⚠ ADD DATE / AGREGA FECHA",IF(E93="","⚠ ADD AMOUNT / AGREGA MONTO",IF(D93="","⚠ ADD CATEGORY / AGREGA CATEGORÍA",IF(K93=0,"● NEW CATEGORY? / ¿CATEGORÍA NUEVA?","✔ OK")))))</f>
        <v>✔ OK</v>
      </c>
      <c r="K93" s="56" t="n">
        <f aca="false">IF(D93="","",IFERROR(MATCH(D93,Budget!$B$7:$B$41,0),0))</f>
        <v>12</v>
      </c>
      <c r="L93" s="56" t="n">
        <f aca="false">IF(AND(ISNUMBER(B93),ISNUMBER(E93),D93&lt;&gt;""),YEAR(B93)*100+MONTH(B93),0)</f>
        <v>202605</v>
      </c>
      <c r="M93" s="56" t="n">
        <f aca="false">IF(L93=0,0,YEAR(B93))</f>
        <v>2026</v>
      </c>
      <c r="N93" s="56" t="str">
        <f aca="false">IF(L93=0,"",IF(K93=0,"Wants / Gustos",INDEX(Budget!$D$7:$D$41,K93)))</f>
        <v>Needs / Necesidades</v>
      </c>
    </row>
    <row r="94" customFormat="false" ht="15" hidden="false" customHeight="false" outlineLevel="0" collapsed="false">
      <c r="B94" s="57" t="n">
        <v>46162</v>
      </c>
      <c r="C94" s="58" t="s">
        <v>120</v>
      </c>
      <c r="D94" s="58" t="s">
        <v>121</v>
      </c>
      <c r="E94" s="59" t="n">
        <v>250</v>
      </c>
      <c r="F94" s="58" t="s">
        <v>99</v>
      </c>
      <c r="G94" s="58"/>
      <c r="H94" s="60" t="str">
        <f aca="false">IF(OR(E94="",D94=""),"",IF(K94=0,"Expense / Gasto",INDEX(Budget!$C$7:$C$41,K94)))</f>
        <v>Expense / Gasto</v>
      </c>
      <c r="I94" s="60" t="str">
        <f aca="false">IF(AND(B94="",E94=""),"",IF(NOT(ISNUMBER(B94)),"⚠ ADD DATE / AGREGA FECHA",IF(E94="","⚠ ADD AMOUNT / AGREGA MONTO",IF(D94="","⚠ ADD CATEGORY / AGREGA CATEGORÍA",IF(K94=0,"● NEW CATEGORY? / ¿CATEGORÍA NUEVA?","✔ OK")))))</f>
        <v>✔ OK</v>
      </c>
      <c r="K94" s="56" t="n">
        <f aca="false">IF(D94="","",IFERROR(MATCH(D94,Budget!$B$7:$B$41,0),0))</f>
        <v>15</v>
      </c>
      <c r="L94" s="56" t="n">
        <f aca="false">IF(AND(ISNUMBER(B94),ISNUMBER(E94),D94&lt;&gt;""),YEAR(B94)*100+MONTH(B94),0)</f>
        <v>202605</v>
      </c>
      <c r="M94" s="56" t="n">
        <f aca="false">IF(L94=0,0,YEAR(B94))</f>
        <v>2026</v>
      </c>
      <c r="N94" s="56" t="str">
        <f aca="false">IF(L94=0,"",IF(K94=0,"Wants / Gustos",INDEX(Budget!$D$7:$D$41,K94)))</f>
        <v>Needs / Necesidades</v>
      </c>
    </row>
    <row r="95" customFormat="false" ht="15" hidden="false" customHeight="false" outlineLevel="0" collapsed="false">
      <c r="B95" s="57" t="n">
        <v>46163</v>
      </c>
      <c r="C95" s="58" t="s">
        <v>122</v>
      </c>
      <c r="D95" s="58" t="s">
        <v>105</v>
      </c>
      <c r="E95" s="59" t="n">
        <v>217.31</v>
      </c>
      <c r="F95" s="58" t="s">
        <v>106</v>
      </c>
      <c r="G95" s="58"/>
      <c r="H95" s="60" t="str">
        <f aca="false">IF(OR(E95="",D95=""),"",IF(K95=0,"Expense / Gasto",INDEX(Budget!$C$7:$C$41,K95)))</f>
        <v>Expense / Gasto</v>
      </c>
      <c r="I95" s="60" t="str">
        <f aca="false">IF(AND(B95="",E95=""),"",IF(NOT(ISNUMBER(B95)),"⚠ ADD DATE / AGREGA FECHA",IF(E95="","⚠ ADD AMOUNT / AGREGA MONTO",IF(D95="","⚠ ADD CATEGORY / AGREGA CATEGORÍA",IF(K95=0,"● NEW CATEGORY? / ¿CATEGORÍA NUEVA?","✔ OK")))))</f>
        <v>✔ OK</v>
      </c>
      <c r="K95" s="56" t="n">
        <f aca="false">IF(D95="","",IFERROR(MATCH(D95,Budget!$B$7:$B$41,0),0))</f>
        <v>8</v>
      </c>
      <c r="L95" s="56" t="n">
        <f aca="false">IF(AND(ISNUMBER(B95),ISNUMBER(E95),D95&lt;&gt;""),YEAR(B95)*100+MONTH(B95),0)</f>
        <v>202605</v>
      </c>
      <c r="M95" s="56" t="n">
        <f aca="false">IF(L95=0,0,YEAR(B95))</f>
        <v>2026</v>
      </c>
      <c r="N95" s="56" t="str">
        <f aca="false">IF(L95=0,"",IF(K95=0,"Wants / Gustos",INDEX(Budget!$D$7:$D$41,K95)))</f>
        <v>Needs / Necesidades</v>
      </c>
    </row>
    <row r="96" customFormat="false" ht="15" hidden="false" customHeight="false" outlineLevel="0" collapsed="false">
      <c r="B96" s="57" t="n">
        <v>46166</v>
      </c>
      <c r="C96" s="58" t="s">
        <v>109</v>
      </c>
      <c r="D96" s="58" t="s">
        <v>110</v>
      </c>
      <c r="E96" s="59" t="n">
        <v>92.08</v>
      </c>
      <c r="F96" s="58" t="s">
        <v>102</v>
      </c>
      <c r="G96" s="58"/>
      <c r="H96" s="60" t="str">
        <f aca="false">IF(OR(E96="",D96=""),"",IF(K96=0,"Expense / Gasto",INDEX(Budget!$C$7:$C$41,K96)))</f>
        <v>Expense / Gasto</v>
      </c>
      <c r="I96" s="60" t="str">
        <f aca="false">IF(AND(B96="",E96=""),"",IF(NOT(ISNUMBER(B96)),"⚠ ADD DATE / AGREGA FECHA",IF(E96="","⚠ ADD AMOUNT / AGREGA MONTO",IF(D96="","⚠ ADD CATEGORY / AGREGA CATEGORÍA",IF(K96=0,"● NEW CATEGORY? / ¿CATEGORÍA NUEVA?","✔ OK")))))</f>
        <v>✔ OK</v>
      </c>
      <c r="K96" s="56" t="n">
        <f aca="false">IF(D96="","",IFERROR(MATCH(D96,Budget!$B$7:$B$41,0),0))</f>
        <v>10</v>
      </c>
      <c r="L96" s="56" t="n">
        <f aca="false">IF(AND(ISNUMBER(B96),ISNUMBER(E96),D96&lt;&gt;""),YEAR(B96)*100+MONTH(B96),0)</f>
        <v>202605</v>
      </c>
      <c r="M96" s="56" t="n">
        <f aca="false">IF(L96=0,0,YEAR(B96))</f>
        <v>2026</v>
      </c>
      <c r="N96" s="56" t="str">
        <f aca="false">IF(L96=0,"",IF(K96=0,"Wants / Gustos",INDEX(Budget!$D$7:$D$41,K96)))</f>
        <v>Needs / Necesidades</v>
      </c>
    </row>
    <row r="97" customFormat="false" ht="15" hidden="false" customHeight="false" outlineLevel="0" collapsed="false">
      <c r="B97" s="57" t="n">
        <v>46167</v>
      </c>
      <c r="C97" s="58" t="s">
        <v>123</v>
      </c>
      <c r="D97" s="58" t="s">
        <v>124</v>
      </c>
      <c r="E97" s="59" t="n">
        <v>575</v>
      </c>
      <c r="F97" s="58" t="s">
        <v>99</v>
      </c>
      <c r="G97" s="58"/>
      <c r="H97" s="60" t="str">
        <f aca="false">IF(OR(E97="",D97=""),"",IF(K97=0,"Expense / Gasto",INDEX(Budget!$C$7:$C$41,K97)))</f>
        <v>Expense / Gasto</v>
      </c>
      <c r="I97" s="60" t="str">
        <f aca="false">IF(AND(B97="",E97=""),"",IF(NOT(ISNUMBER(B97)),"⚠ ADD DATE / AGREGA FECHA",IF(E97="","⚠ ADD AMOUNT / AGREGA MONTO",IF(D97="","⚠ ADD CATEGORY / AGREGA CATEGORÍA",IF(K97=0,"● NEW CATEGORY? / ¿CATEGORÍA NUEVA?","✔ OK")))))</f>
        <v>✔ OK</v>
      </c>
      <c r="K97" s="56" t="n">
        <f aca="false">IF(D97="","",IFERROR(MATCH(D97,Budget!$B$7:$B$41,0),0))</f>
        <v>24</v>
      </c>
      <c r="L97" s="56" t="n">
        <f aca="false">IF(AND(ISNUMBER(B97),ISNUMBER(E97),D97&lt;&gt;""),YEAR(B97)*100+MONTH(B97),0)</f>
        <v>202605</v>
      </c>
      <c r="M97" s="56" t="n">
        <f aca="false">IF(L97=0,0,YEAR(B97))</f>
        <v>2026</v>
      </c>
      <c r="N97" s="56" t="str">
        <f aca="false">IF(L97=0,"",IF(K97=0,"Wants / Gustos",INDEX(Budget!$D$7:$D$41,K97)))</f>
        <v>Savings &amp; Debt / Ahorro y Deuda</v>
      </c>
    </row>
    <row r="98" customFormat="false" ht="15" hidden="false" customHeight="false" outlineLevel="0" collapsed="false">
      <c r="B98" s="57" t="n">
        <v>46168</v>
      </c>
      <c r="C98" s="58" t="s">
        <v>125</v>
      </c>
      <c r="D98" s="58" t="s">
        <v>126</v>
      </c>
      <c r="E98" s="59" t="n">
        <v>200</v>
      </c>
      <c r="F98" s="58" t="s">
        <v>99</v>
      </c>
      <c r="G98" s="58"/>
      <c r="H98" s="60" t="str">
        <f aca="false">IF(OR(E98="",D98=""),"",IF(K98=0,"Expense / Gasto",INDEX(Budget!$C$7:$C$41,K98)))</f>
        <v>Expense / Gasto</v>
      </c>
      <c r="I98" s="60" t="str">
        <f aca="false">IF(AND(B98="",E98=""),"",IF(NOT(ISNUMBER(B98)),"⚠ ADD DATE / AGREGA FECHA",IF(E98="","⚠ ADD AMOUNT / AGREGA MONTO",IF(D98="","⚠ ADD CATEGORY / AGREGA CATEGORÍA",IF(K98=0,"● NEW CATEGORY? / ¿CATEGORÍA NUEVA?","✔ OK")))))</f>
        <v>✔ OK</v>
      </c>
      <c r="K98" s="56" t="n">
        <f aca="false">IF(D98="","",IFERROR(MATCH(D98,Budget!$B$7:$B$41,0),0))</f>
        <v>25</v>
      </c>
      <c r="L98" s="56" t="n">
        <f aca="false">IF(AND(ISNUMBER(B98),ISNUMBER(E98),D98&lt;&gt;""),YEAR(B98)*100+MONTH(B98),0)</f>
        <v>202605</v>
      </c>
      <c r="M98" s="56" t="n">
        <f aca="false">IF(L98=0,0,YEAR(B98))</f>
        <v>2026</v>
      </c>
      <c r="N98" s="56" t="str">
        <f aca="false">IF(L98=0,"",IF(K98=0,"Wants / Gustos",INDEX(Budget!$D$7:$D$41,K98)))</f>
        <v>Savings &amp; Debt / Ahorro y Deuda</v>
      </c>
    </row>
    <row r="99" customFormat="false" ht="15" hidden="false" customHeight="false" outlineLevel="0" collapsed="false">
      <c r="B99" s="57" t="n">
        <v>46174</v>
      </c>
      <c r="C99" s="58" t="s">
        <v>94</v>
      </c>
      <c r="D99" s="58" t="s">
        <v>95</v>
      </c>
      <c r="E99" s="59" t="n">
        <v>1700</v>
      </c>
      <c r="F99" s="58" t="s">
        <v>96</v>
      </c>
      <c r="G99" s="58"/>
      <c r="H99" s="60" t="str">
        <f aca="false">IF(OR(E99="",D99=""),"",IF(K99=0,"Expense / Gasto",INDEX(Budget!$C$7:$C$41,K99)))</f>
        <v>Income / Ingreso</v>
      </c>
      <c r="I99" s="60" t="str">
        <f aca="false">IF(AND(B99="",E99=""),"",IF(NOT(ISNUMBER(B99)),"⚠ ADD DATE / AGREGA FECHA",IF(E99="","⚠ ADD AMOUNT / AGREGA MONTO",IF(D99="","⚠ ADD CATEGORY / AGREGA CATEGORÍA",IF(K99=0,"● NEW CATEGORY? / ¿CATEGORÍA NUEVA?","✔ OK")))))</f>
        <v>✔ OK</v>
      </c>
      <c r="K99" s="56" t="n">
        <f aca="false">IF(D99="","",IFERROR(MATCH(D99,Budget!$B$7:$B$41,0),0))</f>
        <v>1</v>
      </c>
      <c r="L99" s="56" t="n">
        <f aca="false">IF(AND(ISNUMBER(B99),ISNUMBER(E99),D99&lt;&gt;""),YEAR(B99)*100+MONTH(B99),0)</f>
        <v>202606</v>
      </c>
      <c r="M99" s="56" t="n">
        <f aca="false">IF(L99=0,0,YEAR(B99))</f>
        <v>2026</v>
      </c>
      <c r="N99" s="56" t="str">
        <f aca="false">IF(L99=0,"",IF(K99=0,"Wants / Gustos",INDEX(Budget!$D$7:$D$41,K99)))</f>
        <v>—</v>
      </c>
    </row>
    <row r="100" customFormat="false" ht="15" hidden="false" customHeight="false" outlineLevel="0" collapsed="false">
      <c r="B100" s="57" t="n">
        <v>46174</v>
      </c>
      <c r="C100" s="58" t="s">
        <v>97</v>
      </c>
      <c r="D100" s="58" t="s">
        <v>98</v>
      </c>
      <c r="E100" s="59" t="n">
        <v>1650</v>
      </c>
      <c r="F100" s="58" t="s">
        <v>99</v>
      </c>
      <c r="G100" s="58"/>
      <c r="H100" s="60" t="str">
        <f aca="false">IF(OR(E100="",D100=""),"",IF(K100=0,"Expense / Gasto",INDEX(Budget!$C$7:$C$41,K100)))</f>
        <v>Expense / Gasto</v>
      </c>
      <c r="I100" s="60" t="str">
        <f aca="false">IF(AND(B100="",E100=""),"",IF(NOT(ISNUMBER(B100)),"⚠ ADD DATE / AGREGA FECHA",IF(E100="","⚠ ADD AMOUNT / AGREGA MONTO",IF(D100="","⚠ ADD CATEGORY / AGREGA CATEGORÍA",IF(K100=0,"● NEW CATEGORY? / ¿CATEGORÍA NUEVA?","✔ OK")))))</f>
        <v>✔ OK</v>
      </c>
      <c r="K100" s="56" t="n">
        <f aca="false">IF(D100="","",IFERROR(MATCH(D100,Budget!$B$7:$B$41,0),0))</f>
        <v>6</v>
      </c>
      <c r="L100" s="56" t="n">
        <f aca="false">IF(AND(ISNUMBER(B100),ISNUMBER(E100),D100&lt;&gt;""),YEAR(B100)*100+MONTH(B100),0)</f>
        <v>202606</v>
      </c>
      <c r="M100" s="56" t="n">
        <f aca="false">IF(L100=0,0,YEAR(B100))</f>
        <v>2026</v>
      </c>
      <c r="N100" s="56" t="str">
        <f aca="false">IF(L100=0,"",IF(K100=0,"Wants / Gustos",INDEX(Budget!$D$7:$D$41,K100)))</f>
        <v>Needs / Necesidades</v>
      </c>
    </row>
    <row r="101" customFormat="false" ht="15" hidden="false" customHeight="false" outlineLevel="0" collapsed="false">
      <c r="B101" s="57" t="n">
        <v>46176</v>
      </c>
      <c r="C101" s="58" t="s">
        <v>100</v>
      </c>
      <c r="D101" s="58" t="s">
        <v>101</v>
      </c>
      <c r="E101" s="59" t="n">
        <v>28.98</v>
      </c>
      <c r="F101" s="58" t="s">
        <v>102</v>
      </c>
      <c r="G101" s="58"/>
      <c r="H101" s="60" t="str">
        <f aca="false">IF(OR(E101="",D101=""),"",IF(K101=0,"Expense / Gasto",INDEX(Budget!$C$7:$C$41,K101)))</f>
        <v>Expense / Gasto</v>
      </c>
      <c r="I101" s="60" t="str">
        <f aca="false">IF(AND(B101="",E101=""),"",IF(NOT(ISNUMBER(B101)),"⚠ ADD DATE / AGREGA FECHA",IF(E101="","⚠ ADD AMOUNT / AGREGA MONTO",IF(D101="","⚠ ADD CATEGORY / AGREGA CATEGORÍA",IF(K101=0,"● NEW CATEGORY? / ¿CATEGORÍA NUEVA?","✔ OK")))))</f>
        <v>✔ OK</v>
      </c>
      <c r="K101" s="56" t="n">
        <f aca="false">IF(D101="","",IFERROR(MATCH(D101,Budget!$B$7:$B$41,0),0))</f>
        <v>19</v>
      </c>
      <c r="L101" s="56" t="n">
        <f aca="false">IF(AND(ISNUMBER(B101),ISNUMBER(E101),D101&lt;&gt;""),YEAR(B101)*100+MONTH(B101),0)</f>
        <v>202606</v>
      </c>
      <c r="M101" s="56" t="n">
        <f aca="false">IF(L101=0,0,YEAR(B101))</f>
        <v>2026</v>
      </c>
      <c r="N101" s="56" t="str">
        <f aca="false">IF(L101=0,"",IF(K101=0,"Wants / Gustos",INDEX(Budget!$D$7:$D$41,K101)))</f>
        <v>Wants / Gustos</v>
      </c>
    </row>
    <row r="102" customFormat="false" ht="15" hidden="false" customHeight="false" outlineLevel="0" collapsed="false">
      <c r="B102" s="57" t="n">
        <v>46178</v>
      </c>
      <c r="C102" s="58" t="s">
        <v>94</v>
      </c>
      <c r="D102" s="58" t="s">
        <v>103</v>
      </c>
      <c r="E102" s="59" t="n">
        <v>2200</v>
      </c>
      <c r="F102" s="58" t="s">
        <v>96</v>
      </c>
      <c r="G102" s="58"/>
      <c r="H102" s="60" t="str">
        <f aca="false">IF(OR(E102="",D102=""),"",IF(K102=0,"Expense / Gasto",INDEX(Budget!$C$7:$C$41,K102)))</f>
        <v>Income / Ingreso</v>
      </c>
      <c r="I102" s="60" t="str">
        <f aca="false">IF(AND(B102="",E102=""),"",IF(NOT(ISNUMBER(B102)),"⚠ ADD DATE / AGREGA FECHA",IF(E102="","⚠ ADD AMOUNT / AGREGA MONTO",IF(D102="","⚠ ADD CATEGORY / AGREGA CATEGORÍA",IF(K102=0,"● NEW CATEGORY? / ¿CATEGORÍA NUEVA?","✔ OK")))))</f>
        <v>✔ OK</v>
      </c>
      <c r="K102" s="56" t="n">
        <f aca="false">IF(D102="","",IFERROR(MATCH(D102,Budget!$B$7:$B$41,0),0))</f>
        <v>2</v>
      </c>
      <c r="L102" s="56" t="n">
        <f aca="false">IF(AND(ISNUMBER(B102),ISNUMBER(E102),D102&lt;&gt;""),YEAR(B102)*100+MONTH(B102),0)</f>
        <v>202606</v>
      </c>
      <c r="M102" s="56" t="n">
        <f aca="false">IF(L102=0,0,YEAR(B102))</f>
        <v>2026</v>
      </c>
      <c r="N102" s="56" t="str">
        <f aca="false">IF(L102=0,"",IF(K102=0,"Wants / Gustos",INDEX(Budget!$D$7:$D$41,K102)))</f>
        <v>—</v>
      </c>
    </row>
    <row r="103" customFormat="false" ht="15" hidden="false" customHeight="false" outlineLevel="0" collapsed="false">
      <c r="B103" s="57" t="n">
        <v>46179</v>
      </c>
      <c r="C103" s="58" t="s">
        <v>104</v>
      </c>
      <c r="D103" s="58" t="s">
        <v>105</v>
      </c>
      <c r="E103" s="59" t="n">
        <v>201.7</v>
      </c>
      <c r="F103" s="58" t="s">
        <v>106</v>
      </c>
      <c r="G103" s="58"/>
      <c r="H103" s="60" t="str">
        <f aca="false">IF(OR(E103="",D103=""),"",IF(K103=0,"Expense / Gasto",INDEX(Budget!$C$7:$C$41,K103)))</f>
        <v>Expense / Gasto</v>
      </c>
      <c r="I103" s="60" t="str">
        <f aca="false">IF(AND(B103="",E103=""),"",IF(NOT(ISNUMBER(B103)),"⚠ ADD DATE / AGREGA FECHA",IF(E103="","⚠ ADD AMOUNT / AGREGA MONTO",IF(D103="","⚠ ADD CATEGORY / AGREGA CATEGORÍA",IF(K103=0,"● NEW CATEGORY? / ¿CATEGORÍA NUEVA?","✔ OK")))))</f>
        <v>✔ OK</v>
      </c>
      <c r="K103" s="56" t="n">
        <f aca="false">IF(D103="","",IFERROR(MATCH(D103,Budget!$B$7:$B$41,0),0))</f>
        <v>8</v>
      </c>
      <c r="L103" s="56" t="n">
        <f aca="false">IF(AND(ISNUMBER(B103),ISNUMBER(E103),D103&lt;&gt;""),YEAR(B103)*100+MONTH(B103),0)</f>
        <v>202606</v>
      </c>
      <c r="M103" s="56" t="n">
        <f aca="false">IF(L103=0,0,YEAR(B103))</f>
        <v>2026</v>
      </c>
      <c r="N103" s="56" t="str">
        <f aca="false">IF(L103=0,"",IF(K103=0,"Wants / Gustos",INDEX(Budget!$D$7:$D$41,K103)))</f>
        <v>Needs / Necesidades</v>
      </c>
    </row>
    <row r="104" customFormat="false" ht="15" hidden="false" customHeight="false" outlineLevel="0" collapsed="false">
      <c r="B104" s="57" t="n">
        <v>46181</v>
      </c>
      <c r="C104" s="58" t="s">
        <v>107</v>
      </c>
      <c r="D104" s="58" t="s">
        <v>108</v>
      </c>
      <c r="E104" s="59" t="n">
        <v>225.67</v>
      </c>
      <c r="F104" s="58" t="s">
        <v>106</v>
      </c>
      <c r="G104" s="58"/>
      <c r="H104" s="60" t="str">
        <f aca="false">IF(OR(E104="",D104=""),"",IF(K104=0,"Expense / Gasto",INDEX(Budget!$C$7:$C$41,K104)))</f>
        <v>Expense / Gasto</v>
      </c>
      <c r="I104" s="60" t="str">
        <f aca="false">IF(AND(B104="",E104=""),"",IF(NOT(ISNUMBER(B104)),"⚠ ADD DATE / AGREGA FECHA",IF(E104="","⚠ ADD AMOUNT / AGREGA MONTO",IF(D104="","⚠ ADD CATEGORY / AGREGA CATEGORÍA",IF(K104=0,"● NEW CATEGORY? / ¿CATEGORÍA NUEVA?","✔ OK")))))</f>
        <v>✔ OK</v>
      </c>
      <c r="K104" s="56" t="n">
        <f aca="false">IF(D104="","",IFERROR(MATCH(D104,Budget!$B$7:$B$41,0),0))</f>
        <v>7</v>
      </c>
      <c r="L104" s="56" t="n">
        <f aca="false">IF(AND(ISNUMBER(B104),ISNUMBER(E104),D104&lt;&gt;""),YEAR(B104)*100+MONTH(B104),0)</f>
        <v>202606</v>
      </c>
      <c r="M104" s="56" t="n">
        <f aca="false">IF(L104=0,0,YEAR(B104))</f>
        <v>2026</v>
      </c>
      <c r="N104" s="56" t="str">
        <f aca="false">IF(L104=0,"",IF(K104=0,"Wants / Gustos",INDEX(Budget!$D$7:$D$41,K104)))</f>
        <v>Needs / Necesidades</v>
      </c>
    </row>
    <row r="105" customFormat="false" ht="15" hidden="false" customHeight="false" outlineLevel="0" collapsed="false">
      <c r="B105" s="57" t="n">
        <v>46183</v>
      </c>
      <c r="C105" s="58" t="s">
        <v>109</v>
      </c>
      <c r="D105" s="58" t="s">
        <v>110</v>
      </c>
      <c r="E105" s="59" t="n">
        <v>81.83</v>
      </c>
      <c r="F105" s="58" t="s">
        <v>102</v>
      </c>
      <c r="G105" s="58"/>
      <c r="H105" s="60" t="str">
        <f aca="false">IF(OR(E105="",D105=""),"",IF(K105=0,"Expense / Gasto",INDEX(Budget!$C$7:$C$41,K105)))</f>
        <v>Expense / Gasto</v>
      </c>
      <c r="I105" s="60" t="str">
        <f aca="false">IF(AND(B105="",E105=""),"",IF(NOT(ISNUMBER(B105)),"⚠ ADD DATE / AGREGA FECHA",IF(E105="","⚠ ADD AMOUNT / AGREGA MONTO",IF(D105="","⚠ ADD CATEGORY / AGREGA CATEGORÍA",IF(K105=0,"● NEW CATEGORY? / ¿CATEGORÍA NUEVA?","✔ OK")))))</f>
        <v>✔ OK</v>
      </c>
      <c r="K105" s="56" t="n">
        <f aca="false">IF(D105="","",IFERROR(MATCH(D105,Budget!$B$7:$B$41,0),0))</f>
        <v>10</v>
      </c>
      <c r="L105" s="56" t="n">
        <f aca="false">IF(AND(ISNUMBER(B105),ISNUMBER(E105),D105&lt;&gt;""),YEAR(B105)*100+MONTH(B105),0)</f>
        <v>202606</v>
      </c>
      <c r="M105" s="56" t="n">
        <f aca="false">IF(L105=0,0,YEAR(B105))</f>
        <v>2026</v>
      </c>
      <c r="N105" s="56" t="str">
        <f aca="false">IF(L105=0,"",IF(K105=0,"Wants / Gustos",INDEX(Budget!$D$7:$D$41,K105)))</f>
        <v>Needs / Necesidades</v>
      </c>
    </row>
    <row r="106" customFormat="false" ht="15" hidden="false" customHeight="false" outlineLevel="0" collapsed="false">
      <c r="B106" s="57" t="n">
        <v>46185</v>
      </c>
      <c r="C106" s="58" t="s">
        <v>111</v>
      </c>
      <c r="D106" s="58" t="s">
        <v>112</v>
      </c>
      <c r="E106" s="59" t="n">
        <v>260</v>
      </c>
      <c r="F106" s="58" t="s">
        <v>106</v>
      </c>
      <c r="G106" s="58"/>
      <c r="H106" s="60" t="str">
        <f aca="false">IF(OR(E106="",D106=""),"",IF(K106=0,"Expense / Gasto",INDEX(Budget!$C$7:$C$41,K106)))</f>
        <v>Expense / Gasto</v>
      </c>
      <c r="I106" s="60" t="str">
        <f aca="false">IF(AND(B106="",E106=""),"",IF(NOT(ISNUMBER(B106)),"⚠ ADD DATE / AGREGA FECHA",IF(E106="","⚠ ADD AMOUNT / AGREGA MONTO",IF(D106="","⚠ ADD CATEGORY / AGREGA CATEGORÍA",IF(K106=0,"● NEW CATEGORY? / ¿CATEGORÍA NUEVA?","✔ OK")))))</f>
        <v>✔ OK</v>
      </c>
      <c r="K106" s="56" t="n">
        <f aca="false">IF(D106="","",IFERROR(MATCH(D106,Budget!$B$7:$B$41,0),0))</f>
        <v>11</v>
      </c>
      <c r="L106" s="56" t="n">
        <f aca="false">IF(AND(ISNUMBER(B106),ISNUMBER(E106),D106&lt;&gt;""),YEAR(B106)*100+MONTH(B106),0)</f>
        <v>202606</v>
      </c>
      <c r="M106" s="56" t="n">
        <f aca="false">IF(L106=0,0,YEAR(B106))</f>
        <v>2026</v>
      </c>
      <c r="N106" s="56" t="str">
        <f aca="false">IF(L106=0,"",IF(K106=0,"Wants / Gustos",INDEX(Budget!$D$7:$D$41,K106)))</f>
        <v>Needs / Necesidades</v>
      </c>
    </row>
    <row r="107" customFormat="false" ht="15" hidden="false" customHeight="false" outlineLevel="0" collapsed="false">
      <c r="B107" s="57" t="n">
        <v>46186</v>
      </c>
      <c r="C107" s="58" t="s">
        <v>113</v>
      </c>
      <c r="D107" s="58" t="s">
        <v>105</v>
      </c>
      <c r="E107" s="59" t="n">
        <v>206.19</v>
      </c>
      <c r="F107" s="58" t="s">
        <v>102</v>
      </c>
      <c r="G107" s="58"/>
      <c r="H107" s="60" t="str">
        <f aca="false">IF(OR(E107="",D107=""),"",IF(K107=0,"Expense / Gasto",INDEX(Budget!$C$7:$C$41,K107)))</f>
        <v>Expense / Gasto</v>
      </c>
      <c r="I107" s="60" t="str">
        <f aca="false">IF(AND(B107="",E107=""),"",IF(NOT(ISNUMBER(B107)),"⚠ ADD DATE / AGREGA FECHA",IF(E107="","⚠ ADD AMOUNT / AGREGA MONTO",IF(D107="","⚠ ADD CATEGORY / AGREGA CATEGORÍA",IF(K107=0,"● NEW CATEGORY? / ¿CATEGORÍA NUEVA?","✔ OK")))))</f>
        <v>✔ OK</v>
      </c>
      <c r="K107" s="56" t="n">
        <f aca="false">IF(D107="","",IFERROR(MATCH(D107,Budget!$B$7:$B$41,0),0))</f>
        <v>8</v>
      </c>
      <c r="L107" s="56" t="n">
        <f aca="false">IF(AND(ISNUMBER(B107),ISNUMBER(E107),D107&lt;&gt;""),YEAR(B107)*100+MONTH(B107),0)</f>
        <v>202606</v>
      </c>
      <c r="M107" s="56" t="n">
        <f aca="false">IF(L107=0,0,YEAR(B107))</f>
        <v>2026</v>
      </c>
      <c r="N107" s="56" t="str">
        <f aca="false">IF(L107=0,"",IF(K107=0,"Wants / Gustos",INDEX(Budget!$D$7:$D$41,K107)))</f>
        <v>Needs / Necesidades</v>
      </c>
    </row>
    <row r="108" customFormat="false" ht="15" hidden="false" customHeight="false" outlineLevel="0" collapsed="false">
      <c r="B108" s="57" t="n">
        <v>46187</v>
      </c>
      <c r="C108" s="58" t="s">
        <v>114</v>
      </c>
      <c r="D108" s="58" t="s">
        <v>115</v>
      </c>
      <c r="E108" s="59" t="n">
        <v>144.98</v>
      </c>
      <c r="F108" s="58" t="s">
        <v>102</v>
      </c>
      <c r="G108" s="58"/>
      <c r="H108" s="60" t="str">
        <f aca="false">IF(OR(E108="",D108=""),"",IF(K108=0,"Expense / Gasto",INDEX(Budget!$C$7:$C$41,K108)))</f>
        <v>Expense / Gasto</v>
      </c>
      <c r="I108" s="60" t="str">
        <f aca="false">IF(AND(B108="",E108=""),"",IF(NOT(ISNUMBER(B108)),"⚠ ADD DATE / AGREGA FECHA",IF(E108="","⚠ ADD AMOUNT / AGREGA MONTO",IF(D108="","⚠ ADD CATEGORY / AGREGA CATEGORÍA",IF(K108=0,"● NEW CATEGORY? / ¿CATEGORÍA NUEVA?","✔ OK")))))</f>
        <v>✔ OK</v>
      </c>
      <c r="K108" s="56" t="n">
        <f aca="false">IF(D108="","",IFERROR(MATCH(D108,Budget!$B$7:$B$41,0),0))</f>
        <v>16</v>
      </c>
      <c r="L108" s="56" t="n">
        <f aca="false">IF(AND(ISNUMBER(B108),ISNUMBER(E108),D108&lt;&gt;""),YEAR(B108)*100+MONTH(B108),0)</f>
        <v>202606</v>
      </c>
      <c r="M108" s="56" t="n">
        <f aca="false">IF(L108=0,0,YEAR(B108))</f>
        <v>2026</v>
      </c>
      <c r="N108" s="56" t="str">
        <f aca="false">IF(L108=0,"",IF(K108=0,"Wants / Gustos",INDEX(Budget!$D$7:$D$41,K108)))</f>
        <v>Wants / Gustos</v>
      </c>
    </row>
    <row r="109" customFormat="false" ht="15" hidden="false" customHeight="false" outlineLevel="0" collapsed="false">
      <c r="B109" s="57" t="n">
        <v>46188</v>
      </c>
      <c r="C109" s="58" t="s">
        <v>94</v>
      </c>
      <c r="D109" s="58" t="s">
        <v>95</v>
      </c>
      <c r="E109" s="59" t="n">
        <v>1700</v>
      </c>
      <c r="F109" s="58" t="s">
        <v>96</v>
      </c>
      <c r="G109" s="58"/>
      <c r="H109" s="60" t="str">
        <f aca="false">IF(OR(E109="",D109=""),"",IF(K109=0,"Expense / Gasto",INDEX(Budget!$C$7:$C$41,K109)))</f>
        <v>Income / Ingreso</v>
      </c>
      <c r="I109" s="60" t="str">
        <f aca="false">IF(AND(B109="",E109=""),"",IF(NOT(ISNUMBER(B109)),"⚠ ADD DATE / AGREGA FECHA",IF(E109="","⚠ ADD AMOUNT / AGREGA MONTO",IF(D109="","⚠ ADD CATEGORY / AGREGA CATEGORÍA",IF(K109=0,"● NEW CATEGORY? / ¿CATEGORÍA NUEVA?","✔ OK")))))</f>
        <v>✔ OK</v>
      </c>
      <c r="K109" s="56" t="n">
        <f aca="false">IF(D109="","",IFERROR(MATCH(D109,Budget!$B$7:$B$41,0),0))</f>
        <v>1</v>
      </c>
      <c r="L109" s="56" t="n">
        <f aca="false">IF(AND(ISNUMBER(B109),ISNUMBER(E109),D109&lt;&gt;""),YEAR(B109)*100+MONTH(B109),0)</f>
        <v>202606</v>
      </c>
      <c r="M109" s="56" t="n">
        <f aca="false">IF(L109=0,0,YEAR(B109))</f>
        <v>2026</v>
      </c>
      <c r="N109" s="56" t="str">
        <f aca="false">IF(L109=0,"",IF(K109=0,"Wants / Gustos",INDEX(Budget!$D$7:$D$41,K109)))</f>
        <v>—</v>
      </c>
    </row>
    <row r="110" customFormat="false" ht="15" hidden="false" customHeight="false" outlineLevel="0" collapsed="false">
      <c r="B110" s="57" t="n">
        <v>46189</v>
      </c>
      <c r="C110" s="58" t="s">
        <v>116</v>
      </c>
      <c r="D110" s="58" t="s">
        <v>117</v>
      </c>
      <c r="E110" s="59" t="n">
        <v>300</v>
      </c>
      <c r="F110" s="58" t="s">
        <v>106</v>
      </c>
      <c r="G110" s="58"/>
      <c r="H110" s="60" t="str">
        <f aca="false">IF(OR(E110="",D110=""),"",IF(K110=0,"Expense / Gasto",INDEX(Budget!$C$7:$C$41,K110)))</f>
        <v>Expense / Gasto</v>
      </c>
      <c r="I110" s="60" t="str">
        <f aca="false">IF(AND(B110="",E110=""),"",IF(NOT(ISNUMBER(B110)),"⚠ ADD DATE / AGREGA FECHA",IF(E110="","⚠ ADD AMOUNT / AGREGA MONTO",IF(D110="","⚠ ADD CATEGORY / AGREGA CATEGORÍA",IF(K110=0,"● NEW CATEGORY? / ¿CATEGORÍA NUEVA?","✔ OK")))))</f>
        <v>✔ OK</v>
      </c>
      <c r="K110" s="56" t="n">
        <f aca="false">IF(D110="","",IFERROR(MATCH(D110,Budget!$B$7:$B$41,0),0))</f>
        <v>14</v>
      </c>
      <c r="L110" s="56" t="n">
        <f aca="false">IF(AND(ISNUMBER(B110),ISNUMBER(E110),D110&lt;&gt;""),YEAR(B110)*100+MONTH(B110),0)</f>
        <v>202606</v>
      </c>
      <c r="M110" s="56" t="n">
        <f aca="false">IF(L110=0,0,YEAR(B110))</f>
        <v>2026</v>
      </c>
      <c r="N110" s="56" t="str">
        <f aca="false">IF(L110=0,"",IF(K110=0,"Wants / Gustos",INDEX(Budget!$D$7:$D$41,K110)))</f>
        <v>Needs / Necesidades</v>
      </c>
    </row>
    <row r="111" customFormat="false" ht="15" hidden="false" customHeight="false" outlineLevel="0" collapsed="false">
      <c r="B111" s="57" t="n">
        <v>46191</v>
      </c>
      <c r="C111" s="58" t="s">
        <v>118</v>
      </c>
      <c r="D111" s="58" t="s">
        <v>119</v>
      </c>
      <c r="E111" s="59" t="n">
        <v>140</v>
      </c>
      <c r="F111" s="58" t="s">
        <v>102</v>
      </c>
      <c r="G111" s="58"/>
      <c r="H111" s="60" t="str">
        <f aca="false">IF(OR(E111="",D111=""),"",IF(K111=0,"Expense / Gasto",INDEX(Budget!$C$7:$C$41,K111)))</f>
        <v>Expense / Gasto</v>
      </c>
      <c r="I111" s="60" t="str">
        <f aca="false">IF(AND(B111="",E111=""),"",IF(NOT(ISNUMBER(B111)),"⚠ ADD DATE / AGREGA FECHA",IF(E111="","⚠ ADD AMOUNT / AGREGA MONTO",IF(D111="","⚠ ADD CATEGORY / AGREGA CATEGORÍA",IF(K111=0,"● NEW CATEGORY? / ¿CATEGORÍA NUEVA?","✔ OK")))))</f>
        <v>✔ OK</v>
      </c>
      <c r="K111" s="56" t="n">
        <f aca="false">IF(D111="","",IFERROR(MATCH(D111,Budget!$B$7:$B$41,0),0))</f>
        <v>12</v>
      </c>
      <c r="L111" s="56" t="n">
        <f aca="false">IF(AND(ISNUMBER(B111),ISNUMBER(E111),D111&lt;&gt;""),YEAR(B111)*100+MONTH(B111),0)</f>
        <v>202606</v>
      </c>
      <c r="M111" s="56" t="n">
        <f aca="false">IF(L111=0,0,YEAR(B111))</f>
        <v>2026</v>
      </c>
      <c r="N111" s="56" t="str">
        <f aca="false">IF(L111=0,"",IF(K111=0,"Wants / Gustos",INDEX(Budget!$D$7:$D$41,K111)))</f>
        <v>Needs / Necesidades</v>
      </c>
    </row>
    <row r="112" customFormat="false" ht="15" hidden="false" customHeight="false" outlineLevel="0" collapsed="false">
      <c r="B112" s="57" t="n">
        <v>46192</v>
      </c>
      <c r="C112" s="58" t="s">
        <v>127</v>
      </c>
      <c r="D112" s="58" t="s">
        <v>128</v>
      </c>
      <c r="E112" s="59" t="n">
        <v>75.96</v>
      </c>
      <c r="F112" s="58" t="s">
        <v>102</v>
      </c>
      <c r="G112" s="58"/>
      <c r="H112" s="60" t="str">
        <f aca="false">IF(OR(E112="",D112=""),"",IF(K112=0,"Expense / Gasto",INDEX(Budget!$C$7:$C$41,K112)))</f>
        <v>Expense / Gasto</v>
      </c>
      <c r="I112" s="60" t="str">
        <f aca="false">IF(AND(B112="",E112=""),"",IF(NOT(ISNUMBER(B112)),"⚠ ADD DATE / AGREGA FECHA",IF(E112="","⚠ ADD AMOUNT / AGREGA MONTO",IF(D112="","⚠ ADD CATEGORY / AGREGA CATEGORÍA",IF(K112=0,"● NEW CATEGORY? / ¿CATEGORÍA NUEVA?","✔ OK")))))</f>
        <v>✔ OK</v>
      </c>
      <c r="K112" s="56" t="n">
        <f aca="false">IF(D112="","",IFERROR(MATCH(D112,Budget!$B$7:$B$41,0),0))</f>
        <v>18</v>
      </c>
      <c r="L112" s="56" t="n">
        <f aca="false">IF(AND(ISNUMBER(B112),ISNUMBER(E112),D112&lt;&gt;""),YEAR(B112)*100+MONTH(B112),0)</f>
        <v>202606</v>
      </c>
      <c r="M112" s="56" t="n">
        <f aca="false">IF(L112=0,0,YEAR(B112))</f>
        <v>2026</v>
      </c>
      <c r="N112" s="56" t="str">
        <f aca="false">IF(L112=0,"",IF(K112=0,"Wants / Gustos",INDEX(Budget!$D$7:$D$41,K112)))</f>
        <v>Wants / Gustos</v>
      </c>
    </row>
    <row r="113" customFormat="false" ht="15" hidden="false" customHeight="false" outlineLevel="0" collapsed="false">
      <c r="B113" s="57" t="n">
        <v>46193</v>
      </c>
      <c r="C113" s="58" t="s">
        <v>120</v>
      </c>
      <c r="D113" s="58" t="s">
        <v>121</v>
      </c>
      <c r="E113" s="59" t="n">
        <v>250</v>
      </c>
      <c r="F113" s="58" t="s">
        <v>99</v>
      </c>
      <c r="G113" s="58"/>
      <c r="H113" s="60" t="str">
        <f aca="false">IF(OR(E113="",D113=""),"",IF(K113=0,"Expense / Gasto",INDEX(Budget!$C$7:$C$41,K113)))</f>
        <v>Expense / Gasto</v>
      </c>
      <c r="I113" s="60" t="str">
        <f aca="false">IF(AND(B113="",E113=""),"",IF(NOT(ISNUMBER(B113)),"⚠ ADD DATE / AGREGA FECHA",IF(E113="","⚠ ADD AMOUNT / AGREGA MONTO",IF(D113="","⚠ ADD CATEGORY / AGREGA CATEGORÍA",IF(K113=0,"● NEW CATEGORY? / ¿CATEGORÍA NUEVA?","✔ OK")))))</f>
        <v>✔ OK</v>
      </c>
      <c r="K113" s="56" t="n">
        <f aca="false">IF(D113="","",IFERROR(MATCH(D113,Budget!$B$7:$B$41,0),0))</f>
        <v>15</v>
      </c>
      <c r="L113" s="56" t="n">
        <f aca="false">IF(AND(ISNUMBER(B113),ISNUMBER(E113),D113&lt;&gt;""),YEAR(B113)*100+MONTH(B113),0)</f>
        <v>202606</v>
      </c>
      <c r="M113" s="56" t="n">
        <f aca="false">IF(L113=0,0,YEAR(B113))</f>
        <v>2026</v>
      </c>
      <c r="N113" s="56" t="str">
        <f aca="false">IF(L113=0,"",IF(K113=0,"Wants / Gustos",INDEX(Budget!$D$7:$D$41,K113)))</f>
        <v>Needs / Necesidades</v>
      </c>
    </row>
    <row r="114" customFormat="false" ht="15" hidden="false" customHeight="false" outlineLevel="0" collapsed="false">
      <c r="B114" s="57" t="n">
        <v>46194</v>
      </c>
      <c r="C114" s="58" t="s">
        <v>122</v>
      </c>
      <c r="D114" s="58" t="s">
        <v>105</v>
      </c>
      <c r="E114" s="59" t="n">
        <v>190.46</v>
      </c>
      <c r="F114" s="58" t="s">
        <v>106</v>
      </c>
      <c r="G114" s="58"/>
      <c r="H114" s="60" t="str">
        <f aca="false">IF(OR(E114="",D114=""),"",IF(K114=0,"Expense / Gasto",INDEX(Budget!$C$7:$C$41,K114)))</f>
        <v>Expense / Gasto</v>
      </c>
      <c r="I114" s="60" t="str">
        <f aca="false">IF(AND(B114="",E114=""),"",IF(NOT(ISNUMBER(B114)),"⚠ ADD DATE / AGREGA FECHA",IF(E114="","⚠ ADD AMOUNT / AGREGA MONTO",IF(D114="","⚠ ADD CATEGORY / AGREGA CATEGORÍA",IF(K114=0,"● NEW CATEGORY? / ¿CATEGORÍA NUEVA?","✔ OK")))))</f>
        <v>✔ OK</v>
      </c>
      <c r="K114" s="56" t="n">
        <f aca="false">IF(D114="","",IFERROR(MATCH(D114,Budget!$B$7:$B$41,0),0))</f>
        <v>8</v>
      </c>
      <c r="L114" s="56" t="n">
        <f aca="false">IF(AND(ISNUMBER(B114),ISNUMBER(E114),D114&lt;&gt;""),YEAR(B114)*100+MONTH(B114),0)</f>
        <v>202606</v>
      </c>
      <c r="M114" s="56" t="n">
        <f aca="false">IF(L114=0,0,YEAR(B114))</f>
        <v>2026</v>
      </c>
      <c r="N114" s="56" t="str">
        <f aca="false">IF(L114=0,"",IF(K114=0,"Wants / Gustos",INDEX(Budget!$D$7:$D$41,K114)))</f>
        <v>Needs / Necesidades</v>
      </c>
    </row>
    <row r="115" customFormat="false" ht="15" hidden="false" customHeight="false" outlineLevel="0" collapsed="false">
      <c r="B115" s="57" t="n">
        <v>46195</v>
      </c>
      <c r="C115" s="58" t="s">
        <v>129</v>
      </c>
      <c r="D115" s="58" t="s">
        <v>130</v>
      </c>
      <c r="E115" s="59" t="n">
        <v>450</v>
      </c>
      <c r="F115" s="58" t="s">
        <v>96</v>
      </c>
      <c r="G115" s="58"/>
      <c r="H115" s="60" t="str">
        <f aca="false">IF(OR(E115="",D115=""),"",IF(K115=0,"Expense / Gasto",INDEX(Budget!$C$7:$C$41,K115)))</f>
        <v>Income / Ingreso</v>
      </c>
      <c r="I115" s="60" t="str">
        <f aca="false">IF(AND(B115="",E115=""),"",IF(NOT(ISNUMBER(B115)),"⚠ ADD DATE / AGREGA FECHA",IF(E115="","⚠ ADD AMOUNT / AGREGA MONTO",IF(D115="","⚠ ADD CATEGORY / AGREGA CATEGORÍA",IF(K115=0,"● NEW CATEGORY? / ¿CATEGORÍA NUEVA?","✔ OK")))))</f>
        <v>✔ OK</v>
      </c>
      <c r="K115" s="56" t="n">
        <f aca="false">IF(D115="","",IFERROR(MATCH(D115,Budget!$B$7:$B$41,0),0))</f>
        <v>3</v>
      </c>
      <c r="L115" s="56" t="n">
        <f aca="false">IF(AND(ISNUMBER(B115),ISNUMBER(E115),D115&lt;&gt;""),YEAR(B115)*100+MONTH(B115),0)</f>
        <v>202606</v>
      </c>
      <c r="M115" s="56" t="n">
        <f aca="false">IF(L115=0,0,YEAR(B115))</f>
        <v>2026</v>
      </c>
      <c r="N115" s="56" t="str">
        <f aca="false">IF(L115=0,"",IF(K115=0,"Wants / Gustos",INDEX(Budget!$D$7:$D$41,K115)))</f>
        <v>—</v>
      </c>
    </row>
    <row r="116" customFormat="false" ht="15" hidden="false" customHeight="false" outlineLevel="0" collapsed="false">
      <c r="B116" s="57" t="n">
        <v>46197</v>
      </c>
      <c r="C116" s="58" t="s">
        <v>109</v>
      </c>
      <c r="D116" s="58" t="s">
        <v>110</v>
      </c>
      <c r="E116" s="59" t="n">
        <v>79.12</v>
      </c>
      <c r="F116" s="58" t="s">
        <v>102</v>
      </c>
      <c r="G116" s="58"/>
      <c r="H116" s="60" t="str">
        <f aca="false">IF(OR(E116="",D116=""),"",IF(K116=0,"Expense / Gasto",INDEX(Budget!$C$7:$C$41,K116)))</f>
        <v>Expense / Gasto</v>
      </c>
      <c r="I116" s="60" t="str">
        <f aca="false">IF(AND(B116="",E116=""),"",IF(NOT(ISNUMBER(B116)),"⚠ ADD DATE / AGREGA FECHA",IF(E116="","⚠ ADD AMOUNT / AGREGA MONTO",IF(D116="","⚠ ADD CATEGORY / AGREGA CATEGORÍA",IF(K116=0,"● NEW CATEGORY? / ¿CATEGORÍA NUEVA?","✔ OK")))))</f>
        <v>✔ OK</v>
      </c>
      <c r="K116" s="56" t="n">
        <f aca="false">IF(D116="","",IFERROR(MATCH(D116,Budget!$B$7:$B$41,0),0))</f>
        <v>10</v>
      </c>
      <c r="L116" s="56" t="n">
        <f aca="false">IF(AND(ISNUMBER(B116),ISNUMBER(E116),D116&lt;&gt;""),YEAR(B116)*100+MONTH(B116),0)</f>
        <v>202606</v>
      </c>
      <c r="M116" s="56" t="n">
        <f aca="false">IF(L116=0,0,YEAR(B116))</f>
        <v>2026</v>
      </c>
      <c r="N116" s="56" t="str">
        <f aca="false">IF(L116=0,"",IF(K116=0,"Wants / Gustos",INDEX(Budget!$D$7:$D$41,K116)))</f>
        <v>Needs / Necesidades</v>
      </c>
    </row>
    <row r="117" customFormat="false" ht="15" hidden="false" customHeight="false" outlineLevel="0" collapsed="false">
      <c r="B117" s="57" t="n">
        <v>46198</v>
      </c>
      <c r="C117" s="58" t="s">
        <v>123</v>
      </c>
      <c r="D117" s="58" t="s">
        <v>124</v>
      </c>
      <c r="E117" s="59" t="n">
        <v>575</v>
      </c>
      <c r="F117" s="58" t="s">
        <v>99</v>
      </c>
      <c r="G117" s="58"/>
      <c r="H117" s="60" t="str">
        <f aca="false">IF(OR(E117="",D117=""),"",IF(K117=0,"Expense / Gasto",INDEX(Budget!$C$7:$C$41,K117)))</f>
        <v>Expense / Gasto</v>
      </c>
      <c r="I117" s="60" t="str">
        <f aca="false">IF(AND(B117="",E117=""),"",IF(NOT(ISNUMBER(B117)),"⚠ ADD DATE / AGREGA FECHA",IF(E117="","⚠ ADD AMOUNT / AGREGA MONTO",IF(D117="","⚠ ADD CATEGORY / AGREGA CATEGORÍA",IF(K117=0,"● NEW CATEGORY? / ¿CATEGORÍA NUEVA?","✔ OK")))))</f>
        <v>✔ OK</v>
      </c>
      <c r="K117" s="56" t="n">
        <f aca="false">IF(D117="","",IFERROR(MATCH(D117,Budget!$B$7:$B$41,0),0))</f>
        <v>24</v>
      </c>
      <c r="L117" s="56" t="n">
        <f aca="false">IF(AND(ISNUMBER(B117),ISNUMBER(E117),D117&lt;&gt;""),YEAR(B117)*100+MONTH(B117),0)</f>
        <v>202606</v>
      </c>
      <c r="M117" s="56" t="n">
        <f aca="false">IF(L117=0,0,YEAR(B117))</f>
        <v>2026</v>
      </c>
      <c r="N117" s="56" t="str">
        <f aca="false">IF(L117=0,"",IF(K117=0,"Wants / Gustos",INDEX(Budget!$D$7:$D$41,K117)))</f>
        <v>Savings &amp; Debt / Ahorro y Deuda</v>
      </c>
    </row>
    <row r="118" customFormat="false" ht="15" hidden="false" customHeight="false" outlineLevel="0" collapsed="false">
      <c r="B118" s="57" t="n">
        <v>46199</v>
      </c>
      <c r="C118" s="58" t="s">
        <v>125</v>
      </c>
      <c r="D118" s="58" t="s">
        <v>126</v>
      </c>
      <c r="E118" s="59" t="n">
        <v>200</v>
      </c>
      <c r="F118" s="58" t="s">
        <v>99</v>
      </c>
      <c r="G118" s="58"/>
      <c r="H118" s="60" t="str">
        <f aca="false">IF(OR(E118="",D118=""),"",IF(K118=0,"Expense / Gasto",INDEX(Budget!$C$7:$C$41,K118)))</f>
        <v>Expense / Gasto</v>
      </c>
      <c r="I118" s="60" t="str">
        <f aca="false">IF(AND(B118="",E118=""),"",IF(NOT(ISNUMBER(B118)),"⚠ ADD DATE / AGREGA FECHA",IF(E118="","⚠ ADD AMOUNT / AGREGA MONTO",IF(D118="","⚠ ADD CATEGORY / AGREGA CATEGORÍA",IF(K118=0,"● NEW CATEGORY? / ¿CATEGORÍA NUEVA?","✔ OK")))))</f>
        <v>✔ OK</v>
      </c>
      <c r="K118" s="56" t="n">
        <f aca="false">IF(D118="","",IFERROR(MATCH(D118,Budget!$B$7:$B$41,0),0))</f>
        <v>25</v>
      </c>
      <c r="L118" s="56" t="n">
        <f aca="false">IF(AND(ISNUMBER(B118),ISNUMBER(E118),D118&lt;&gt;""),YEAR(B118)*100+MONTH(B118),0)</f>
        <v>202606</v>
      </c>
      <c r="M118" s="56" t="n">
        <f aca="false">IF(L118=0,0,YEAR(B118))</f>
        <v>2026</v>
      </c>
      <c r="N118" s="56" t="str">
        <f aca="false">IF(L118=0,"",IF(K118=0,"Wants / Gustos",INDEX(Budget!$D$7:$D$41,K118)))</f>
        <v>Savings &amp; Debt / Ahorro y Deuda</v>
      </c>
    </row>
    <row r="119" customFormat="false" ht="15" hidden="false" customHeight="false" outlineLevel="0" collapsed="false">
      <c r="B119" s="57" t="n">
        <v>46204</v>
      </c>
      <c r="C119" s="58" t="s">
        <v>94</v>
      </c>
      <c r="D119" s="58" t="s">
        <v>95</v>
      </c>
      <c r="E119" s="59" t="n">
        <v>1700</v>
      </c>
      <c r="F119" s="58" t="s">
        <v>96</v>
      </c>
      <c r="G119" s="58"/>
      <c r="H119" s="60" t="str">
        <f aca="false">IF(OR(E119="",D119=""),"",IF(K119=0,"Expense / Gasto",INDEX(Budget!$C$7:$C$41,K119)))</f>
        <v>Income / Ingreso</v>
      </c>
      <c r="I119" s="60" t="str">
        <f aca="false">IF(AND(B119="",E119=""),"",IF(NOT(ISNUMBER(B119)),"⚠ ADD DATE / AGREGA FECHA",IF(E119="","⚠ ADD AMOUNT / AGREGA MONTO",IF(D119="","⚠ ADD CATEGORY / AGREGA CATEGORÍA",IF(K119=0,"● NEW CATEGORY? / ¿CATEGORÍA NUEVA?","✔ OK")))))</f>
        <v>✔ OK</v>
      </c>
      <c r="K119" s="56" t="n">
        <f aca="false">IF(D119="","",IFERROR(MATCH(D119,Budget!$B$7:$B$41,0),0))</f>
        <v>1</v>
      </c>
      <c r="L119" s="56" t="n">
        <f aca="false">IF(AND(ISNUMBER(B119),ISNUMBER(E119),D119&lt;&gt;""),YEAR(B119)*100+MONTH(B119),0)</f>
        <v>202607</v>
      </c>
      <c r="M119" s="56" t="n">
        <f aca="false">IF(L119=0,0,YEAR(B119))</f>
        <v>2026</v>
      </c>
      <c r="N119" s="56" t="str">
        <f aca="false">IF(L119=0,"",IF(K119=0,"Wants / Gustos",INDEX(Budget!$D$7:$D$41,K119)))</f>
        <v>—</v>
      </c>
    </row>
    <row r="120" customFormat="false" ht="15" hidden="false" customHeight="false" outlineLevel="0" collapsed="false">
      <c r="B120" s="57" t="n">
        <v>46204</v>
      </c>
      <c r="C120" s="58" t="s">
        <v>97</v>
      </c>
      <c r="D120" s="58" t="s">
        <v>98</v>
      </c>
      <c r="E120" s="59" t="n">
        <v>1650</v>
      </c>
      <c r="F120" s="58" t="s">
        <v>99</v>
      </c>
      <c r="G120" s="58"/>
      <c r="H120" s="60" t="str">
        <f aca="false">IF(OR(E120="",D120=""),"",IF(K120=0,"Expense / Gasto",INDEX(Budget!$C$7:$C$41,K120)))</f>
        <v>Expense / Gasto</v>
      </c>
      <c r="I120" s="60" t="str">
        <f aca="false">IF(AND(B120="",E120=""),"",IF(NOT(ISNUMBER(B120)),"⚠ ADD DATE / AGREGA FECHA",IF(E120="","⚠ ADD AMOUNT / AGREGA MONTO",IF(D120="","⚠ ADD CATEGORY / AGREGA CATEGORÍA",IF(K120=0,"● NEW CATEGORY? / ¿CATEGORÍA NUEVA?","✔ OK")))))</f>
        <v>✔ OK</v>
      </c>
      <c r="K120" s="56" t="n">
        <f aca="false">IF(D120="","",IFERROR(MATCH(D120,Budget!$B$7:$B$41,0),0))</f>
        <v>6</v>
      </c>
      <c r="L120" s="56" t="n">
        <f aca="false">IF(AND(ISNUMBER(B120),ISNUMBER(E120),D120&lt;&gt;""),YEAR(B120)*100+MONTH(B120),0)</f>
        <v>202607</v>
      </c>
      <c r="M120" s="56" t="n">
        <f aca="false">IF(L120=0,0,YEAR(B120))</f>
        <v>2026</v>
      </c>
      <c r="N120" s="56" t="str">
        <f aca="false">IF(L120=0,"",IF(K120=0,"Wants / Gustos",INDEX(Budget!$D$7:$D$41,K120)))</f>
        <v>Needs / Necesidades</v>
      </c>
    </row>
    <row r="121" customFormat="false" ht="15" hidden="false" customHeight="false" outlineLevel="0" collapsed="false">
      <c r="B121" s="57" t="n">
        <v>46206</v>
      </c>
      <c r="C121" s="58" t="s">
        <v>100</v>
      </c>
      <c r="D121" s="58" t="s">
        <v>101</v>
      </c>
      <c r="E121" s="59" t="n">
        <v>28.98</v>
      </c>
      <c r="F121" s="58" t="s">
        <v>102</v>
      </c>
      <c r="G121" s="58"/>
      <c r="H121" s="60" t="str">
        <f aca="false">IF(OR(E121="",D121=""),"",IF(K121=0,"Expense / Gasto",INDEX(Budget!$C$7:$C$41,K121)))</f>
        <v>Expense / Gasto</v>
      </c>
      <c r="I121" s="60" t="str">
        <f aca="false">IF(AND(B121="",E121=""),"",IF(NOT(ISNUMBER(B121)),"⚠ ADD DATE / AGREGA FECHA",IF(E121="","⚠ ADD AMOUNT / AGREGA MONTO",IF(D121="","⚠ ADD CATEGORY / AGREGA CATEGORÍA",IF(K121=0,"● NEW CATEGORY? / ¿CATEGORÍA NUEVA?","✔ OK")))))</f>
        <v>✔ OK</v>
      </c>
      <c r="K121" s="56" t="n">
        <f aca="false">IF(D121="","",IFERROR(MATCH(D121,Budget!$B$7:$B$41,0),0))</f>
        <v>19</v>
      </c>
      <c r="L121" s="56" t="n">
        <f aca="false">IF(AND(ISNUMBER(B121),ISNUMBER(E121),D121&lt;&gt;""),YEAR(B121)*100+MONTH(B121),0)</f>
        <v>202607</v>
      </c>
      <c r="M121" s="56" t="n">
        <f aca="false">IF(L121=0,0,YEAR(B121))</f>
        <v>2026</v>
      </c>
      <c r="N121" s="56" t="str">
        <f aca="false">IF(L121=0,"",IF(K121=0,"Wants / Gustos",INDEX(Budget!$D$7:$D$41,K121)))</f>
        <v>Wants / Gustos</v>
      </c>
    </row>
    <row r="122" customFormat="false" ht="15" hidden="false" customHeight="false" outlineLevel="0" collapsed="false">
      <c r="B122" s="57" t="n">
        <v>46207</v>
      </c>
      <c r="C122" s="58" t="s">
        <v>131</v>
      </c>
      <c r="D122" s="58" t="s">
        <v>132</v>
      </c>
      <c r="E122" s="59" t="n">
        <v>640</v>
      </c>
      <c r="F122" s="58" t="s">
        <v>102</v>
      </c>
      <c r="G122" s="58"/>
      <c r="H122" s="60" t="str">
        <f aca="false">IF(OR(E122="",D122=""),"",IF(K122=0,"Expense / Gasto",INDEX(Budget!$C$7:$C$41,K122)))</f>
        <v>Expense / Gasto</v>
      </c>
      <c r="I122" s="60" t="str">
        <f aca="false">IF(AND(B122="",E122=""),"",IF(NOT(ISNUMBER(B122)),"⚠ ADD DATE / AGREGA FECHA",IF(E122="","⚠ ADD AMOUNT / AGREGA MONTO",IF(D122="","⚠ ADD CATEGORY / AGREGA CATEGORÍA",IF(K122=0,"● NEW CATEGORY? / ¿CATEGORÍA NUEVA?","✔ OK")))))</f>
        <v>✔ OK</v>
      </c>
      <c r="K122" s="56" t="n">
        <f aca="false">IF(D122="","",IFERROR(MATCH(D122,Budget!$B$7:$B$41,0),0))</f>
        <v>22</v>
      </c>
      <c r="L122" s="56" t="n">
        <f aca="false">IF(AND(ISNUMBER(B122),ISNUMBER(E122),D122&lt;&gt;""),YEAR(B122)*100+MONTH(B122),0)</f>
        <v>202607</v>
      </c>
      <c r="M122" s="56" t="n">
        <f aca="false">IF(L122=0,0,YEAR(B122))</f>
        <v>2026</v>
      </c>
      <c r="N122" s="56" t="str">
        <f aca="false">IF(L122=0,"",IF(K122=0,"Wants / Gustos",INDEX(Budget!$D$7:$D$41,K122)))</f>
        <v>Wants / Gustos</v>
      </c>
    </row>
    <row r="123" customFormat="false" ht="15" hidden="false" customHeight="false" outlineLevel="0" collapsed="false">
      <c r="B123" s="57" t="n">
        <v>46208</v>
      </c>
      <c r="C123" s="58" t="s">
        <v>94</v>
      </c>
      <c r="D123" s="58" t="s">
        <v>103</v>
      </c>
      <c r="E123" s="59" t="n">
        <v>2200</v>
      </c>
      <c r="F123" s="58" t="s">
        <v>96</v>
      </c>
      <c r="G123" s="58"/>
      <c r="H123" s="60" t="str">
        <f aca="false">IF(OR(E123="",D123=""),"",IF(K123=0,"Expense / Gasto",INDEX(Budget!$C$7:$C$41,K123)))</f>
        <v>Income / Ingreso</v>
      </c>
      <c r="I123" s="60" t="str">
        <f aca="false">IF(AND(B123="",E123=""),"",IF(NOT(ISNUMBER(B123)),"⚠ ADD DATE / AGREGA FECHA",IF(E123="","⚠ ADD AMOUNT / AGREGA MONTO",IF(D123="","⚠ ADD CATEGORY / AGREGA CATEGORÍA",IF(K123=0,"● NEW CATEGORY? / ¿CATEGORÍA NUEVA?","✔ OK")))))</f>
        <v>✔ OK</v>
      </c>
      <c r="K123" s="56" t="n">
        <f aca="false">IF(D123="","",IFERROR(MATCH(D123,Budget!$B$7:$B$41,0),0))</f>
        <v>2</v>
      </c>
      <c r="L123" s="56" t="n">
        <f aca="false">IF(AND(ISNUMBER(B123),ISNUMBER(E123),D123&lt;&gt;""),YEAR(B123)*100+MONTH(B123),0)</f>
        <v>202607</v>
      </c>
      <c r="M123" s="56" t="n">
        <f aca="false">IF(L123=0,0,YEAR(B123))</f>
        <v>2026</v>
      </c>
      <c r="N123" s="56" t="str">
        <f aca="false">IF(L123=0,"",IF(K123=0,"Wants / Gustos",INDEX(Budget!$D$7:$D$41,K123)))</f>
        <v>—</v>
      </c>
    </row>
    <row r="124" customFormat="false" ht="15" hidden="false" customHeight="false" outlineLevel="0" collapsed="false">
      <c r="B124" s="57" t="n">
        <v>46209</v>
      </c>
      <c r="C124" s="58" t="s">
        <v>104</v>
      </c>
      <c r="D124" s="58" t="s">
        <v>105</v>
      </c>
      <c r="E124" s="59" t="n">
        <v>156.06</v>
      </c>
      <c r="F124" s="58" t="s">
        <v>106</v>
      </c>
      <c r="G124" s="58"/>
      <c r="H124" s="60" t="str">
        <f aca="false">IF(OR(E124="",D124=""),"",IF(K124=0,"Expense / Gasto",INDEX(Budget!$C$7:$C$41,K124)))</f>
        <v>Expense / Gasto</v>
      </c>
      <c r="I124" s="60" t="str">
        <f aca="false">IF(AND(B124="",E124=""),"",IF(NOT(ISNUMBER(B124)),"⚠ ADD DATE / AGREGA FECHA",IF(E124="","⚠ ADD AMOUNT / AGREGA MONTO",IF(D124="","⚠ ADD CATEGORY / AGREGA CATEGORÍA",IF(K124=0,"● NEW CATEGORY? / ¿CATEGORÍA NUEVA?","✔ OK")))))</f>
        <v>✔ OK</v>
      </c>
      <c r="K124" s="56" t="n">
        <f aca="false">IF(D124="","",IFERROR(MATCH(D124,Budget!$B$7:$B$41,0),0))</f>
        <v>8</v>
      </c>
      <c r="L124" s="56" t="n">
        <f aca="false">IF(AND(ISNUMBER(B124),ISNUMBER(E124),D124&lt;&gt;""),YEAR(B124)*100+MONTH(B124),0)</f>
        <v>202607</v>
      </c>
      <c r="M124" s="56" t="n">
        <f aca="false">IF(L124=0,0,YEAR(B124))</f>
        <v>2026</v>
      </c>
      <c r="N124" s="56" t="str">
        <f aca="false">IF(L124=0,"",IF(K124=0,"Wants / Gustos",INDEX(Budget!$D$7:$D$41,K124)))</f>
        <v>Needs / Necesidades</v>
      </c>
    </row>
    <row r="125" customFormat="false" ht="15" hidden="false" customHeight="false" outlineLevel="0" collapsed="false">
      <c r="B125" s="57" t="n">
        <v>46211</v>
      </c>
      <c r="C125" s="58" t="s">
        <v>107</v>
      </c>
      <c r="D125" s="58" t="s">
        <v>108</v>
      </c>
      <c r="E125" s="59" t="n">
        <v>190.95</v>
      </c>
      <c r="F125" s="58" t="s">
        <v>106</v>
      </c>
      <c r="G125" s="58"/>
      <c r="H125" s="60" t="str">
        <f aca="false">IF(OR(E125="",D125=""),"",IF(K125=0,"Expense / Gasto",INDEX(Budget!$C$7:$C$41,K125)))</f>
        <v>Expense / Gasto</v>
      </c>
      <c r="I125" s="60" t="str">
        <f aca="false">IF(AND(B125="",E125=""),"",IF(NOT(ISNUMBER(B125)),"⚠ ADD DATE / AGREGA FECHA",IF(E125="","⚠ ADD AMOUNT / AGREGA MONTO",IF(D125="","⚠ ADD CATEGORY / AGREGA CATEGORÍA",IF(K125=0,"● NEW CATEGORY? / ¿CATEGORÍA NUEVA?","✔ OK")))))</f>
        <v>✔ OK</v>
      </c>
      <c r="K125" s="56" t="n">
        <f aca="false">IF(D125="","",IFERROR(MATCH(D125,Budget!$B$7:$B$41,0),0))</f>
        <v>7</v>
      </c>
      <c r="L125" s="56" t="n">
        <f aca="false">IF(AND(ISNUMBER(B125),ISNUMBER(E125),D125&lt;&gt;""),YEAR(B125)*100+MONTH(B125),0)</f>
        <v>202607</v>
      </c>
      <c r="M125" s="56" t="n">
        <f aca="false">IF(L125=0,0,YEAR(B125))</f>
        <v>2026</v>
      </c>
      <c r="N125" s="56" t="str">
        <f aca="false">IF(L125=0,"",IF(K125=0,"Wants / Gustos",INDEX(Budget!$D$7:$D$41,K125)))</f>
        <v>Needs / Necesidades</v>
      </c>
    </row>
    <row r="126" customFormat="false" ht="15" hidden="false" customHeight="false" outlineLevel="0" collapsed="false">
      <c r="B126" s="57" t="n">
        <v>46213</v>
      </c>
      <c r="C126" s="58" t="s">
        <v>109</v>
      </c>
      <c r="D126" s="58" t="s">
        <v>110</v>
      </c>
      <c r="E126" s="59" t="n">
        <v>94.59</v>
      </c>
      <c r="F126" s="58" t="s">
        <v>102</v>
      </c>
      <c r="G126" s="58"/>
      <c r="H126" s="60" t="str">
        <f aca="false">IF(OR(E126="",D126=""),"",IF(K126=0,"Expense / Gasto",INDEX(Budget!$C$7:$C$41,K126)))</f>
        <v>Expense / Gasto</v>
      </c>
      <c r="I126" s="60" t="str">
        <f aca="false">IF(AND(B126="",E126=""),"",IF(NOT(ISNUMBER(B126)),"⚠ ADD DATE / AGREGA FECHA",IF(E126="","⚠ ADD AMOUNT / AGREGA MONTO",IF(D126="","⚠ ADD CATEGORY / AGREGA CATEGORÍA",IF(K126=0,"● NEW CATEGORY? / ¿CATEGORÍA NUEVA?","✔ OK")))))</f>
        <v>✔ OK</v>
      </c>
      <c r="K126" s="56" t="n">
        <f aca="false">IF(D126="","",IFERROR(MATCH(D126,Budget!$B$7:$B$41,0),0))</f>
        <v>10</v>
      </c>
      <c r="L126" s="56" t="n">
        <f aca="false">IF(AND(ISNUMBER(B126),ISNUMBER(E126),D126&lt;&gt;""),YEAR(B126)*100+MONTH(B126),0)</f>
        <v>202607</v>
      </c>
      <c r="M126" s="56" t="n">
        <f aca="false">IF(L126=0,0,YEAR(B126))</f>
        <v>2026</v>
      </c>
      <c r="N126" s="56" t="str">
        <f aca="false">IF(L126=0,"",IF(K126=0,"Wants / Gustos",INDEX(Budget!$D$7:$D$41,K126)))</f>
        <v>Needs / Necesidades</v>
      </c>
    </row>
    <row r="127" customFormat="false" ht="15" hidden="false" customHeight="false" outlineLevel="0" collapsed="false">
      <c r="B127" s="57" t="n">
        <v>46215</v>
      </c>
      <c r="C127" s="58" t="s">
        <v>111</v>
      </c>
      <c r="D127" s="58" t="s">
        <v>112</v>
      </c>
      <c r="E127" s="59" t="n">
        <v>260</v>
      </c>
      <c r="F127" s="58" t="s">
        <v>106</v>
      </c>
      <c r="G127" s="58"/>
      <c r="H127" s="60" t="str">
        <f aca="false">IF(OR(E127="",D127=""),"",IF(K127=0,"Expense / Gasto",INDEX(Budget!$C$7:$C$41,K127)))</f>
        <v>Expense / Gasto</v>
      </c>
      <c r="I127" s="60" t="str">
        <f aca="false">IF(AND(B127="",E127=""),"",IF(NOT(ISNUMBER(B127)),"⚠ ADD DATE / AGREGA FECHA",IF(E127="","⚠ ADD AMOUNT / AGREGA MONTO",IF(D127="","⚠ ADD CATEGORY / AGREGA CATEGORÍA",IF(K127=0,"● NEW CATEGORY? / ¿CATEGORÍA NUEVA?","✔ OK")))))</f>
        <v>✔ OK</v>
      </c>
      <c r="K127" s="56" t="n">
        <f aca="false">IF(D127="","",IFERROR(MATCH(D127,Budget!$B$7:$B$41,0),0))</f>
        <v>11</v>
      </c>
      <c r="L127" s="56" t="n">
        <f aca="false">IF(AND(ISNUMBER(B127),ISNUMBER(E127),D127&lt;&gt;""),YEAR(B127)*100+MONTH(B127),0)</f>
        <v>202607</v>
      </c>
      <c r="M127" s="56" t="n">
        <f aca="false">IF(L127=0,0,YEAR(B127))</f>
        <v>2026</v>
      </c>
      <c r="N127" s="56" t="str">
        <f aca="false">IF(L127=0,"",IF(K127=0,"Wants / Gustos",INDEX(Budget!$D$7:$D$41,K127)))</f>
        <v>Needs / Necesidades</v>
      </c>
    </row>
    <row r="128" customFormat="false" ht="15" hidden="false" customHeight="false" outlineLevel="0" collapsed="false">
      <c r="B128" s="57" t="n">
        <v>46216</v>
      </c>
      <c r="C128" s="58" t="s">
        <v>113</v>
      </c>
      <c r="D128" s="58" t="s">
        <v>105</v>
      </c>
      <c r="E128" s="59" t="n">
        <v>182.24</v>
      </c>
      <c r="F128" s="58" t="s">
        <v>102</v>
      </c>
      <c r="G128" s="58"/>
      <c r="H128" s="60" t="str">
        <f aca="false">IF(OR(E128="",D128=""),"",IF(K128=0,"Expense / Gasto",INDEX(Budget!$C$7:$C$41,K128)))</f>
        <v>Expense / Gasto</v>
      </c>
      <c r="I128" s="60" t="str">
        <f aca="false">IF(AND(B128="",E128=""),"",IF(NOT(ISNUMBER(B128)),"⚠ ADD DATE / AGREGA FECHA",IF(E128="","⚠ ADD AMOUNT / AGREGA MONTO",IF(D128="","⚠ ADD CATEGORY / AGREGA CATEGORÍA",IF(K128=0,"● NEW CATEGORY? / ¿CATEGORÍA NUEVA?","✔ OK")))))</f>
        <v>✔ OK</v>
      </c>
      <c r="K128" s="56" t="n">
        <f aca="false">IF(D128="","",IFERROR(MATCH(D128,Budget!$B$7:$B$41,0),0))</f>
        <v>8</v>
      </c>
      <c r="L128" s="56" t="n">
        <f aca="false">IF(AND(ISNUMBER(B128),ISNUMBER(E128),D128&lt;&gt;""),YEAR(B128)*100+MONTH(B128),0)</f>
        <v>202607</v>
      </c>
      <c r="M128" s="56" t="n">
        <f aca="false">IF(L128=0,0,YEAR(B128))</f>
        <v>2026</v>
      </c>
      <c r="N128" s="56" t="str">
        <f aca="false">IF(L128=0,"",IF(K128=0,"Wants / Gustos",INDEX(Budget!$D$7:$D$41,K128)))</f>
        <v>Needs / Necesidades</v>
      </c>
    </row>
    <row r="129" customFormat="false" ht="15" hidden="false" customHeight="false" outlineLevel="0" collapsed="false">
      <c r="B129" s="57" t="n">
        <v>46217</v>
      </c>
      <c r="C129" s="58" t="s">
        <v>114</v>
      </c>
      <c r="D129" s="58" t="s">
        <v>115</v>
      </c>
      <c r="E129" s="59" t="n">
        <v>129.81</v>
      </c>
      <c r="F129" s="58" t="s">
        <v>102</v>
      </c>
      <c r="G129" s="58"/>
      <c r="H129" s="60" t="str">
        <f aca="false">IF(OR(E129="",D129=""),"",IF(K129=0,"Expense / Gasto",INDEX(Budget!$C$7:$C$41,K129)))</f>
        <v>Expense / Gasto</v>
      </c>
      <c r="I129" s="60" t="str">
        <f aca="false">IF(AND(B129="",E129=""),"",IF(NOT(ISNUMBER(B129)),"⚠ ADD DATE / AGREGA FECHA",IF(E129="","⚠ ADD AMOUNT / AGREGA MONTO",IF(D129="","⚠ ADD CATEGORY / AGREGA CATEGORÍA",IF(K129=0,"● NEW CATEGORY? / ¿CATEGORÍA NUEVA?","✔ OK")))))</f>
        <v>✔ OK</v>
      </c>
      <c r="K129" s="56" t="n">
        <f aca="false">IF(D129="","",IFERROR(MATCH(D129,Budget!$B$7:$B$41,0),0))</f>
        <v>16</v>
      </c>
      <c r="L129" s="56" t="n">
        <f aca="false">IF(AND(ISNUMBER(B129),ISNUMBER(E129),D129&lt;&gt;""),YEAR(B129)*100+MONTH(B129),0)</f>
        <v>202607</v>
      </c>
      <c r="M129" s="56" t="n">
        <f aca="false">IF(L129=0,0,YEAR(B129))</f>
        <v>2026</v>
      </c>
      <c r="N129" s="56" t="str">
        <f aca="false">IF(L129=0,"",IF(K129=0,"Wants / Gustos",INDEX(Budget!$D$7:$D$41,K129)))</f>
        <v>Wants / Gustos</v>
      </c>
    </row>
    <row r="130" customFormat="false" ht="15" hidden="false" customHeight="false" outlineLevel="0" collapsed="false">
      <c r="B130" s="57" t="n">
        <v>46218</v>
      </c>
      <c r="C130" s="58" t="s">
        <v>94</v>
      </c>
      <c r="D130" s="58" t="s">
        <v>95</v>
      </c>
      <c r="E130" s="59" t="n">
        <v>1700</v>
      </c>
      <c r="F130" s="58" t="s">
        <v>96</v>
      </c>
      <c r="G130" s="58"/>
      <c r="H130" s="60" t="str">
        <f aca="false">IF(OR(E130="",D130=""),"",IF(K130=0,"Expense / Gasto",INDEX(Budget!$C$7:$C$41,K130)))</f>
        <v>Income / Ingreso</v>
      </c>
      <c r="I130" s="60" t="str">
        <f aca="false">IF(AND(B130="",E130=""),"",IF(NOT(ISNUMBER(B130)),"⚠ ADD DATE / AGREGA FECHA",IF(E130="","⚠ ADD AMOUNT / AGREGA MONTO",IF(D130="","⚠ ADD CATEGORY / AGREGA CATEGORÍA",IF(K130=0,"● NEW CATEGORY? / ¿CATEGORÍA NUEVA?","✔ OK")))))</f>
        <v>✔ OK</v>
      </c>
      <c r="K130" s="56" t="n">
        <f aca="false">IF(D130="","",IFERROR(MATCH(D130,Budget!$B$7:$B$41,0),0))</f>
        <v>1</v>
      </c>
      <c r="L130" s="56" t="n">
        <f aca="false">IF(AND(ISNUMBER(B130),ISNUMBER(E130),D130&lt;&gt;""),YEAR(B130)*100+MONTH(B130),0)</f>
        <v>202607</v>
      </c>
      <c r="M130" s="56" t="n">
        <f aca="false">IF(L130=0,0,YEAR(B130))</f>
        <v>2026</v>
      </c>
      <c r="N130" s="56" t="str">
        <f aca="false">IF(L130=0,"",IF(K130=0,"Wants / Gustos",INDEX(Budget!$D$7:$D$41,K130)))</f>
        <v>—</v>
      </c>
    </row>
    <row r="131" customFormat="false" ht="15" hidden="false" customHeight="false" outlineLevel="0" collapsed="false">
      <c r="B131" s="57" t="n">
        <v>46219</v>
      </c>
      <c r="C131" s="58" t="s">
        <v>116</v>
      </c>
      <c r="D131" s="58" t="s">
        <v>117</v>
      </c>
      <c r="E131" s="59" t="n">
        <v>300</v>
      </c>
      <c r="F131" s="58" t="s">
        <v>106</v>
      </c>
      <c r="G131" s="58"/>
      <c r="H131" s="60" t="str">
        <f aca="false">IF(OR(E131="",D131=""),"",IF(K131=0,"Expense / Gasto",INDEX(Budget!$C$7:$C$41,K131)))</f>
        <v>Expense / Gasto</v>
      </c>
      <c r="I131" s="60" t="str">
        <f aca="false">IF(AND(B131="",E131=""),"",IF(NOT(ISNUMBER(B131)),"⚠ ADD DATE / AGREGA FECHA",IF(E131="","⚠ ADD AMOUNT / AGREGA MONTO",IF(D131="","⚠ ADD CATEGORY / AGREGA CATEGORÍA",IF(K131=0,"● NEW CATEGORY? / ¿CATEGORÍA NUEVA?","✔ OK")))))</f>
        <v>✔ OK</v>
      </c>
      <c r="K131" s="56" t="n">
        <f aca="false">IF(D131="","",IFERROR(MATCH(D131,Budget!$B$7:$B$41,0),0))</f>
        <v>14</v>
      </c>
      <c r="L131" s="56" t="n">
        <f aca="false">IF(AND(ISNUMBER(B131),ISNUMBER(E131),D131&lt;&gt;""),YEAR(B131)*100+MONTH(B131),0)</f>
        <v>202607</v>
      </c>
      <c r="M131" s="56" t="n">
        <f aca="false">IF(L131=0,0,YEAR(B131))</f>
        <v>2026</v>
      </c>
      <c r="N131" s="56" t="str">
        <f aca="false">IF(L131=0,"",IF(K131=0,"Wants / Gustos",INDEX(Budget!$D$7:$D$41,K131)))</f>
        <v>Needs / Necesidades</v>
      </c>
    </row>
    <row r="132" customFormat="false" ht="15" hidden="false" customHeight="false" outlineLevel="0" collapsed="false">
      <c r="B132" s="57" t="n">
        <v>46221</v>
      </c>
      <c r="C132" s="58" t="s">
        <v>118</v>
      </c>
      <c r="D132" s="58" t="s">
        <v>119</v>
      </c>
      <c r="E132" s="59" t="n">
        <v>140</v>
      </c>
      <c r="F132" s="58" t="s">
        <v>102</v>
      </c>
      <c r="G132" s="58"/>
      <c r="H132" s="60" t="str">
        <f aca="false">IF(OR(E132="",D132=""),"",IF(K132=0,"Expense / Gasto",INDEX(Budget!$C$7:$C$41,K132)))</f>
        <v>Expense / Gasto</v>
      </c>
      <c r="I132" s="60" t="str">
        <f aca="false">IF(AND(B132="",E132=""),"",IF(NOT(ISNUMBER(B132)),"⚠ ADD DATE / AGREGA FECHA",IF(E132="","⚠ ADD AMOUNT / AGREGA MONTO",IF(D132="","⚠ ADD CATEGORY / AGREGA CATEGORÍA",IF(K132=0,"● NEW CATEGORY? / ¿CATEGORÍA NUEVA?","✔ OK")))))</f>
        <v>✔ OK</v>
      </c>
      <c r="K132" s="56" t="n">
        <f aca="false">IF(D132="","",IFERROR(MATCH(D132,Budget!$B$7:$B$41,0),0))</f>
        <v>12</v>
      </c>
      <c r="L132" s="56" t="n">
        <f aca="false">IF(AND(ISNUMBER(B132),ISNUMBER(E132),D132&lt;&gt;""),YEAR(B132)*100+MONTH(B132),0)</f>
        <v>202607</v>
      </c>
      <c r="M132" s="56" t="n">
        <f aca="false">IF(L132=0,0,YEAR(B132))</f>
        <v>2026</v>
      </c>
      <c r="N132" s="56" t="str">
        <f aca="false">IF(L132=0,"",IF(K132=0,"Wants / Gustos",INDEX(Budget!$D$7:$D$41,K132)))</f>
        <v>Needs / Necesidades</v>
      </c>
    </row>
    <row r="133" customFormat="false" ht="15" hidden="false" customHeight="false" outlineLevel="0" collapsed="false">
      <c r="B133" s="57" t="n">
        <v>46223</v>
      </c>
      <c r="C133" s="58" t="s">
        <v>120</v>
      </c>
      <c r="D133" s="58" t="s">
        <v>121</v>
      </c>
      <c r="E133" s="59" t="n">
        <v>250</v>
      </c>
      <c r="F133" s="58" t="s">
        <v>99</v>
      </c>
      <c r="G133" s="58"/>
      <c r="H133" s="60" t="str">
        <f aca="false">IF(OR(E133="",D133=""),"",IF(K133=0,"Expense / Gasto",INDEX(Budget!$C$7:$C$41,K133)))</f>
        <v>Expense / Gasto</v>
      </c>
      <c r="I133" s="60" t="str">
        <f aca="false">IF(AND(B133="",E133=""),"",IF(NOT(ISNUMBER(B133)),"⚠ ADD DATE / AGREGA FECHA",IF(E133="","⚠ ADD AMOUNT / AGREGA MONTO",IF(D133="","⚠ ADD CATEGORY / AGREGA CATEGORÍA",IF(K133=0,"● NEW CATEGORY? / ¿CATEGORÍA NUEVA?","✔ OK")))))</f>
        <v>✔ OK</v>
      </c>
      <c r="K133" s="56" t="n">
        <f aca="false">IF(D133="","",IFERROR(MATCH(D133,Budget!$B$7:$B$41,0),0))</f>
        <v>15</v>
      </c>
      <c r="L133" s="56" t="n">
        <f aca="false">IF(AND(ISNUMBER(B133),ISNUMBER(E133),D133&lt;&gt;""),YEAR(B133)*100+MONTH(B133),0)</f>
        <v>202607</v>
      </c>
      <c r="M133" s="56" t="n">
        <f aca="false">IF(L133=0,0,YEAR(B133))</f>
        <v>2026</v>
      </c>
      <c r="N133" s="56" t="str">
        <f aca="false">IF(L133=0,"",IF(K133=0,"Wants / Gustos",INDEX(Budget!$D$7:$D$41,K133)))</f>
        <v>Needs / Necesidades</v>
      </c>
    </row>
    <row r="134" customFormat="false" ht="15" hidden="false" customHeight="false" outlineLevel="0" collapsed="false">
      <c r="B134" s="57" t="n">
        <v>46224</v>
      </c>
      <c r="C134" s="58" t="s">
        <v>122</v>
      </c>
      <c r="D134" s="58" t="s">
        <v>105</v>
      </c>
      <c r="E134" s="59" t="n">
        <v>183.57</v>
      </c>
      <c r="F134" s="58" t="s">
        <v>106</v>
      </c>
      <c r="G134" s="58"/>
      <c r="H134" s="60" t="str">
        <f aca="false">IF(OR(E134="",D134=""),"",IF(K134=0,"Expense / Gasto",INDEX(Budget!$C$7:$C$41,K134)))</f>
        <v>Expense / Gasto</v>
      </c>
      <c r="I134" s="60" t="str">
        <f aca="false">IF(AND(B134="",E134=""),"",IF(NOT(ISNUMBER(B134)),"⚠ ADD DATE / AGREGA FECHA",IF(E134="","⚠ ADD AMOUNT / AGREGA MONTO",IF(D134="","⚠ ADD CATEGORY / AGREGA CATEGORÍA",IF(K134=0,"● NEW CATEGORY? / ¿CATEGORÍA NUEVA?","✔ OK")))))</f>
        <v>✔ OK</v>
      </c>
      <c r="K134" s="56" t="n">
        <f aca="false">IF(D134="","",IFERROR(MATCH(D134,Budget!$B$7:$B$41,0),0))</f>
        <v>8</v>
      </c>
      <c r="L134" s="56" t="n">
        <f aca="false">IF(AND(ISNUMBER(B134),ISNUMBER(E134),D134&lt;&gt;""),YEAR(B134)*100+MONTH(B134),0)</f>
        <v>202607</v>
      </c>
      <c r="M134" s="56" t="n">
        <f aca="false">IF(L134=0,0,YEAR(B134))</f>
        <v>2026</v>
      </c>
      <c r="N134" s="56" t="str">
        <f aca="false">IF(L134=0,"",IF(K134=0,"Wants / Gustos",INDEX(Budget!$D$7:$D$41,K134)))</f>
        <v>Needs / Necesidades</v>
      </c>
    </row>
    <row r="135" customFormat="false" ht="15" hidden="false" customHeight="false" outlineLevel="0" collapsed="false">
      <c r="B135" s="57" t="n">
        <v>46227</v>
      </c>
      <c r="C135" s="58" t="s">
        <v>109</v>
      </c>
      <c r="D135" s="58" t="s">
        <v>110</v>
      </c>
      <c r="E135" s="59" t="n">
        <v>84.81</v>
      </c>
      <c r="F135" s="58" t="s">
        <v>102</v>
      </c>
      <c r="G135" s="58"/>
      <c r="H135" s="60" t="str">
        <f aca="false">IF(OR(E135="",D135=""),"",IF(K135=0,"Expense / Gasto",INDEX(Budget!$C$7:$C$41,K135)))</f>
        <v>Expense / Gasto</v>
      </c>
      <c r="I135" s="60" t="str">
        <f aca="false">IF(AND(B135="",E135=""),"",IF(NOT(ISNUMBER(B135)),"⚠ ADD DATE / AGREGA FECHA",IF(E135="","⚠ ADD AMOUNT / AGREGA MONTO",IF(D135="","⚠ ADD CATEGORY / AGREGA CATEGORÍA",IF(K135=0,"● NEW CATEGORY? / ¿CATEGORÍA NUEVA?","✔ OK")))))</f>
        <v>✔ OK</v>
      </c>
      <c r="K135" s="56" t="n">
        <f aca="false">IF(D135="","",IFERROR(MATCH(D135,Budget!$B$7:$B$41,0),0))</f>
        <v>10</v>
      </c>
      <c r="L135" s="56" t="n">
        <f aca="false">IF(AND(ISNUMBER(B135),ISNUMBER(E135),D135&lt;&gt;""),YEAR(B135)*100+MONTH(B135),0)</f>
        <v>202607</v>
      </c>
      <c r="M135" s="56" t="n">
        <f aca="false">IF(L135=0,0,YEAR(B135))</f>
        <v>2026</v>
      </c>
      <c r="N135" s="56" t="str">
        <f aca="false">IF(L135=0,"",IF(K135=0,"Wants / Gustos",INDEX(Budget!$D$7:$D$41,K135)))</f>
        <v>Needs / Necesidades</v>
      </c>
    </row>
    <row r="136" customFormat="false" ht="15" hidden="false" customHeight="false" outlineLevel="0" collapsed="false">
      <c r="B136" s="57" t="n">
        <v>46228</v>
      </c>
      <c r="C136" s="58" t="s">
        <v>123</v>
      </c>
      <c r="D136" s="58" t="s">
        <v>124</v>
      </c>
      <c r="E136" s="59" t="n">
        <v>575</v>
      </c>
      <c r="F136" s="58" t="s">
        <v>99</v>
      </c>
      <c r="G136" s="58"/>
      <c r="H136" s="60" t="str">
        <f aca="false">IF(OR(E136="",D136=""),"",IF(K136=0,"Expense / Gasto",INDEX(Budget!$C$7:$C$41,K136)))</f>
        <v>Expense / Gasto</v>
      </c>
      <c r="I136" s="60" t="str">
        <f aca="false">IF(AND(B136="",E136=""),"",IF(NOT(ISNUMBER(B136)),"⚠ ADD DATE / AGREGA FECHA",IF(E136="","⚠ ADD AMOUNT / AGREGA MONTO",IF(D136="","⚠ ADD CATEGORY / AGREGA CATEGORÍA",IF(K136=0,"● NEW CATEGORY? / ¿CATEGORÍA NUEVA?","✔ OK")))))</f>
        <v>✔ OK</v>
      </c>
      <c r="K136" s="56" t="n">
        <f aca="false">IF(D136="","",IFERROR(MATCH(D136,Budget!$B$7:$B$41,0),0))</f>
        <v>24</v>
      </c>
      <c r="L136" s="56" t="n">
        <f aca="false">IF(AND(ISNUMBER(B136),ISNUMBER(E136),D136&lt;&gt;""),YEAR(B136)*100+MONTH(B136),0)</f>
        <v>202607</v>
      </c>
      <c r="M136" s="56" t="n">
        <f aca="false">IF(L136=0,0,YEAR(B136))</f>
        <v>2026</v>
      </c>
      <c r="N136" s="56" t="str">
        <f aca="false">IF(L136=0,"",IF(K136=0,"Wants / Gustos",INDEX(Budget!$D$7:$D$41,K136)))</f>
        <v>Savings &amp; Debt / Ahorro y Deuda</v>
      </c>
    </row>
    <row r="137" customFormat="false" ht="15" hidden="false" customHeight="false" outlineLevel="0" collapsed="false">
      <c r="B137" s="57" t="n">
        <v>46229</v>
      </c>
      <c r="C137" s="58" t="s">
        <v>125</v>
      </c>
      <c r="D137" s="58" t="s">
        <v>126</v>
      </c>
      <c r="E137" s="59" t="n">
        <v>200</v>
      </c>
      <c r="F137" s="58" t="s">
        <v>99</v>
      </c>
      <c r="G137" s="58"/>
      <c r="H137" s="60" t="str">
        <f aca="false">IF(OR(E137="",D137=""),"",IF(K137=0,"Expense / Gasto",INDEX(Budget!$C$7:$C$41,K137)))</f>
        <v>Expense / Gasto</v>
      </c>
      <c r="I137" s="60" t="str">
        <f aca="false">IF(AND(B137="",E137=""),"",IF(NOT(ISNUMBER(B137)),"⚠ ADD DATE / AGREGA FECHA",IF(E137="","⚠ ADD AMOUNT / AGREGA MONTO",IF(D137="","⚠ ADD CATEGORY / AGREGA CATEGORÍA",IF(K137=0,"● NEW CATEGORY? / ¿CATEGORÍA NUEVA?","✔ OK")))))</f>
        <v>✔ OK</v>
      </c>
      <c r="K137" s="56" t="n">
        <f aca="false">IF(D137="","",IFERROR(MATCH(D137,Budget!$B$7:$B$41,0),0))</f>
        <v>25</v>
      </c>
      <c r="L137" s="56" t="n">
        <f aca="false">IF(AND(ISNUMBER(B137),ISNUMBER(E137),D137&lt;&gt;""),YEAR(B137)*100+MONTH(B137),0)</f>
        <v>202607</v>
      </c>
      <c r="M137" s="56" t="n">
        <f aca="false">IF(L137=0,0,YEAR(B137))</f>
        <v>2026</v>
      </c>
      <c r="N137" s="56" t="str">
        <f aca="false">IF(L137=0,"",IF(K137=0,"Wants / Gustos",INDEX(Budget!$D$7:$D$41,K137)))</f>
        <v>Savings &amp; Debt / Ahorro y Deuda</v>
      </c>
    </row>
    <row r="138" customFormat="false" ht="15" hidden="false" customHeight="false" outlineLevel="0" collapsed="false">
      <c r="B138" s="57" t="n">
        <v>46235</v>
      </c>
      <c r="C138" s="58" t="s">
        <v>94</v>
      </c>
      <c r="D138" s="58" t="s">
        <v>95</v>
      </c>
      <c r="E138" s="59" t="n">
        <v>1700</v>
      </c>
      <c r="F138" s="58" t="s">
        <v>96</v>
      </c>
      <c r="G138" s="58"/>
      <c r="H138" s="60" t="str">
        <f aca="false">IF(OR(E138="",D138=""),"",IF(K138=0,"Expense / Gasto",INDEX(Budget!$C$7:$C$41,K138)))</f>
        <v>Income / Ingreso</v>
      </c>
      <c r="I138" s="60" t="str">
        <f aca="false">IF(AND(B138="",E138=""),"",IF(NOT(ISNUMBER(B138)),"⚠ ADD DATE / AGREGA FECHA",IF(E138="","⚠ ADD AMOUNT / AGREGA MONTO",IF(D138="","⚠ ADD CATEGORY / AGREGA CATEGORÍA",IF(K138=0,"● NEW CATEGORY? / ¿CATEGORÍA NUEVA?","✔ OK")))))</f>
        <v>✔ OK</v>
      </c>
      <c r="K138" s="56" t="n">
        <f aca="false">IF(D138="","",IFERROR(MATCH(D138,Budget!$B$7:$B$41,0),0))</f>
        <v>1</v>
      </c>
      <c r="L138" s="56" t="n">
        <f aca="false">IF(AND(ISNUMBER(B138),ISNUMBER(E138),D138&lt;&gt;""),YEAR(B138)*100+MONTH(B138),0)</f>
        <v>202608</v>
      </c>
      <c r="M138" s="56" t="n">
        <f aca="false">IF(L138=0,0,YEAR(B138))</f>
        <v>2026</v>
      </c>
      <c r="N138" s="56" t="str">
        <f aca="false">IF(L138=0,"",IF(K138=0,"Wants / Gustos",INDEX(Budget!$D$7:$D$41,K138)))</f>
        <v>—</v>
      </c>
    </row>
    <row r="139" customFormat="false" ht="15" hidden="false" customHeight="false" outlineLevel="0" collapsed="false">
      <c r="B139" s="57" t="n">
        <v>46235</v>
      </c>
      <c r="C139" s="58" t="s">
        <v>97</v>
      </c>
      <c r="D139" s="58" t="s">
        <v>98</v>
      </c>
      <c r="E139" s="59" t="n">
        <v>1650</v>
      </c>
      <c r="F139" s="58" t="s">
        <v>99</v>
      </c>
      <c r="G139" s="58"/>
      <c r="H139" s="60" t="str">
        <f aca="false">IF(OR(E139="",D139=""),"",IF(K139=0,"Expense / Gasto",INDEX(Budget!$C$7:$C$41,K139)))</f>
        <v>Expense / Gasto</v>
      </c>
      <c r="I139" s="60" t="str">
        <f aca="false">IF(AND(B139="",E139=""),"",IF(NOT(ISNUMBER(B139)),"⚠ ADD DATE / AGREGA FECHA",IF(E139="","⚠ ADD AMOUNT / AGREGA MONTO",IF(D139="","⚠ ADD CATEGORY / AGREGA CATEGORÍA",IF(K139=0,"● NEW CATEGORY? / ¿CATEGORÍA NUEVA?","✔ OK")))))</f>
        <v>✔ OK</v>
      </c>
      <c r="K139" s="56" t="n">
        <f aca="false">IF(D139="","",IFERROR(MATCH(D139,Budget!$B$7:$B$41,0),0))</f>
        <v>6</v>
      </c>
      <c r="L139" s="56" t="n">
        <f aca="false">IF(AND(ISNUMBER(B139),ISNUMBER(E139),D139&lt;&gt;""),YEAR(B139)*100+MONTH(B139),0)</f>
        <v>202608</v>
      </c>
      <c r="M139" s="56" t="n">
        <f aca="false">IF(L139=0,0,YEAR(B139))</f>
        <v>2026</v>
      </c>
      <c r="N139" s="56" t="str">
        <f aca="false">IF(L139=0,"",IF(K139=0,"Wants / Gustos",INDEX(Budget!$D$7:$D$41,K139)))</f>
        <v>Needs / Necesidades</v>
      </c>
    </row>
    <row r="140" customFormat="false" ht="15" hidden="false" customHeight="false" outlineLevel="0" collapsed="false">
      <c r="B140" s="57" t="n">
        <v>46237</v>
      </c>
      <c r="C140" s="58" t="s">
        <v>100</v>
      </c>
      <c r="D140" s="58" t="s">
        <v>101</v>
      </c>
      <c r="E140" s="59" t="n">
        <v>28.98</v>
      </c>
      <c r="F140" s="58" t="s">
        <v>102</v>
      </c>
      <c r="G140" s="58"/>
      <c r="H140" s="60" t="str">
        <f aca="false">IF(OR(E140="",D140=""),"",IF(K140=0,"Expense / Gasto",INDEX(Budget!$C$7:$C$41,K140)))</f>
        <v>Expense / Gasto</v>
      </c>
      <c r="I140" s="60" t="str">
        <f aca="false">IF(AND(B140="",E140=""),"",IF(NOT(ISNUMBER(B140)),"⚠ ADD DATE / AGREGA FECHA",IF(E140="","⚠ ADD AMOUNT / AGREGA MONTO",IF(D140="","⚠ ADD CATEGORY / AGREGA CATEGORÍA",IF(K140=0,"● NEW CATEGORY? / ¿CATEGORÍA NUEVA?","✔ OK")))))</f>
        <v>✔ OK</v>
      </c>
      <c r="K140" s="56" t="n">
        <f aca="false">IF(D140="","",IFERROR(MATCH(D140,Budget!$B$7:$B$41,0),0))</f>
        <v>19</v>
      </c>
      <c r="L140" s="56" t="n">
        <f aca="false">IF(AND(ISNUMBER(B140),ISNUMBER(E140),D140&lt;&gt;""),YEAR(B140)*100+MONTH(B140),0)</f>
        <v>202608</v>
      </c>
      <c r="M140" s="56" t="n">
        <f aca="false">IF(L140=0,0,YEAR(B140))</f>
        <v>2026</v>
      </c>
      <c r="N140" s="56" t="str">
        <f aca="false">IF(L140=0,"",IF(K140=0,"Wants / Gustos",INDEX(Budget!$D$7:$D$41,K140)))</f>
        <v>Wants / Gustos</v>
      </c>
    </row>
    <row r="141" customFormat="false" ht="15" hidden="false" customHeight="false" outlineLevel="0" collapsed="false">
      <c r="B141" s="57" t="n">
        <v>46239</v>
      </c>
      <c r="C141" s="58" t="s">
        <v>94</v>
      </c>
      <c r="D141" s="58" t="s">
        <v>103</v>
      </c>
      <c r="E141" s="59" t="n">
        <v>2200</v>
      </c>
      <c r="F141" s="58" t="s">
        <v>96</v>
      </c>
      <c r="G141" s="58"/>
      <c r="H141" s="60" t="str">
        <f aca="false">IF(OR(E141="",D141=""),"",IF(K141=0,"Expense / Gasto",INDEX(Budget!$C$7:$C$41,K141)))</f>
        <v>Income / Ingreso</v>
      </c>
      <c r="I141" s="60" t="str">
        <f aca="false">IF(AND(B141="",E141=""),"",IF(NOT(ISNUMBER(B141)),"⚠ ADD DATE / AGREGA FECHA",IF(E141="","⚠ ADD AMOUNT / AGREGA MONTO",IF(D141="","⚠ ADD CATEGORY / AGREGA CATEGORÍA",IF(K141=0,"● NEW CATEGORY? / ¿CATEGORÍA NUEVA?","✔ OK")))))</f>
        <v>✔ OK</v>
      </c>
      <c r="K141" s="56" t="n">
        <f aca="false">IF(D141="","",IFERROR(MATCH(D141,Budget!$B$7:$B$41,0),0))</f>
        <v>2</v>
      </c>
      <c r="L141" s="56" t="n">
        <f aca="false">IF(AND(ISNUMBER(B141),ISNUMBER(E141),D141&lt;&gt;""),YEAR(B141)*100+MONTH(B141),0)</f>
        <v>202608</v>
      </c>
      <c r="M141" s="56" t="n">
        <f aca="false">IF(L141=0,0,YEAR(B141))</f>
        <v>2026</v>
      </c>
      <c r="N141" s="56" t="str">
        <f aca="false">IF(L141=0,"",IF(K141=0,"Wants / Gustos",INDEX(Budget!$D$7:$D$41,K141)))</f>
        <v>—</v>
      </c>
    </row>
    <row r="142" customFormat="false" ht="15" hidden="false" customHeight="false" outlineLevel="0" collapsed="false">
      <c r="B142" s="57" t="n">
        <v>46240</v>
      </c>
      <c r="C142" s="58" t="s">
        <v>104</v>
      </c>
      <c r="D142" s="58" t="s">
        <v>105</v>
      </c>
      <c r="E142" s="59" t="n">
        <v>206.2</v>
      </c>
      <c r="F142" s="58" t="s">
        <v>106</v>
      </c>
      <c r="G142" s="58"/>
      <c r="H142" s="60" t="str">
        <f aca="false">IF(OR(E142="",D142=""),"",IF(K142=0,"Expense / Gasto",INDEX(Budget!$C$7:$C$41,K142)))</f>
        <v>Expense / Gasto</v>
      </c>
      <c r="I142" s="60" t="str">
        <f aca="false">IF(AND(B142="",E142=""),"",IF(NOT(ISNUMBER(B142)),"⚠ ADD DATE / AGREGA FECHA",IF(E142="","⚠ ADD AMOUNT / AGREGA MONTO",IF(D142="","⚠ ADD CATEGORY / AGREGA CATEGORÍA",IF(K142=0,"● NEW CATEGORY? / ¿CATEGORÍA NUEVA?","✔ OK")))))</f>
        <v>✔ OK</v>
      </c>
      <c r="K142" s="56" t="n">
        <f aca="false">IF(D142="","",IFERROR(MATCH(D142,Budget!$B$7:$B$41,0),0))</f>
        <v>8</v>
      </c>
      <c r="L142" s="56" t="n">
        <f aca="false">IF(AND(ISNUMBER(B142),ISNUMBER(E142),D142&lt;&gt;""),YEAR(B142)*100+MONTH(B142),0)</f>
        <v>202608</v>
      </c>
      <c r="M142" s="56" t="n">
        <f aca="false">IF(L142=0,0,YEAR(B142))</f>
        <v>2026</v>
      </c>
      <c r="N142" s="56" t="str">
        <f aca="false">IF(L142=0,"",IF(K142=0,"Wants / Gustos",INDEX(Budget!$D$7:$D$41,K142)))</f>
        <v>Needs / Necesidades</v>
      </c>
    </row>
    <row r="143" customFormat="false" ht="15" hidden="false" customHeight="false" outlineLevel="0" collapsed="false">
      <c r="B143" s="57" t="n">
        <v>46242</v>
      </c>
      <c r="C143" s="58" t="s">
        <v>107</v>
      </c>
      <c r="D143" s="58" t="s">
        <v>108</v>
      </c>
      <c r="E143" s="59" t="n">
        <v>194.03</v>
      </c>
      <c r="F143" s="58" t="s">
        <v>106</v>
      </c>
      <c r="G143" s="58"/>
      <c r="H143" s="60" t="str">
        <f aca="false">IF(OR(E143="",D143=""),"",IF(K143=0,"Expense / Gasto",INDEX(Budget!$C$7:$C$41,K143)))</f>
        <v>Expense / Gasto</v>
      </c>
      <c r="I143" s="60" t="str">
        <f aca="false">IF(AND(B143="",E143=""),"",IF(NOT(ISNUMBER(B143)),"⚠ ADD DATE / AGREGA FECHA",IF(E143="","⚠ ADD AMOUNT / AGREGA MONTO",IF(D143="","⚠ ADD CATEGORY / AGREGA CATEGORÍA",IF(K143=0,"● NEW CATEGORY? / ¿CATEGORÍA NUEVA?","✔ OK")))))</f>
        <v>✔ OK</v>
      </c>
      <c r="K143" s="56" t="n">
        <f aca="false">IF(D143="","",IFERROR(MATCH(D143,Budget!$B$7:$B$41,0),0))</f>
        <v>7</v>
      </c>
      <c r="L143" s="56" t="n">
        <f aca="false">IF(AND(ISNUMBER(B143),ISNUMBER(E143),D143&lt;&gt;""),YEAR(B143)*100+MONTH(B143),0)</f>
        <v>202608</v>
      </c>
      <c r="M143" s="56" t="n">
        <f aca="false">IF(L143=0,0,YEAR(B143))</f>
        <v>2026</v>
      </c>
      <c r="N143" s="56" t="str">
        <f aca="false">IF(L143=0,"",IF(K143=0,"Wants / Gustos",INDEX(Budget!$D$7:$D$41,K143)))</f>
        <v>Needs / Necesidades</v>
      </c>
    </row>
    <row r="144" customFormat="false" ht="15" hidden="false" customHeight="false" outlineLevel="0" collapsed="false">
      <c r="B144" s="57" t="n">
        <v>46244</v>
      </c>
      <c r="C144" s="58" t="s">
        <v>109</v>
      </c>
      <c r="D144" s="58" t="s">
        <v>110</v>
      </c>
      <c r="E144" s="59" t="n">
        <v>86.85</v>
      </c>
      <c r="F144" s="58" t="s">
        <v>102</v>
      </c>
      <c r="G144" s="58"/>
      <c r="H144" s="60" t="str">
        <f aca="false">IF(OR(E144="",D144=""),"",IF(K144=0,"Expense / Gasto",INDEX(Budget!$C$7:$C$41,K144)))</f>
        <v>Expense / Gasto</v>
      </c>
      <c r="I144" s="60" t="str">
        <f aca="false">IF(AND(B144="",E144=""),"",IF(NOT(ISNUMBER(B144)),"⚠ ADD DATE / AGREGA FECHA",IF(E144="","⚠ ADD AMOUNT / AGREGA MONTO",IF(D144="","⚠ ADD CATEGORY / AGREGA CATEGORÍA",IF(K144=0,"● NEW CATEGORY? / ¿CATEGORÍA NUEVA?","✔ OK")))))</f>
        <v>✔ OK</v>
      </c>
      <c r="K144" s="56" t="n">
        <f aca="false">IF(D144="","",IFERROR(MATCH(D144,Budget!$B$7:$B$41,0),0))</f>
        <v>10</v>
      </c>
      <c r="L144" s="56" t="n">
        <f aca="false">IF(AND(ISNUMBER(B144),ISNUMBER(E144),D144&lt;&gt;""),YEAR(B144)*100+MONTH(B144),0)</f>
        <v>202608</v>
      </c>
      <c r="M144" s="56" t="n">
        <f aca="false">IF(L144=0,0,YEAR(B144))</f>
        <v>2026</v>
      </c>
      <c r="N144" s="56" t="str">
        <f aca="false">IF(L144=0,"",IF(K144=0,"Wants / Gustos",INDEX(Budget!$D$7:$D$41,K144)))</f>
        <v>Needs / Necesidades</v>
      </c>
    </row>
    <row r="145" customFormat="false" ht="15" hidden="false" customHeight="false" outlineLevel="0" collapsed="false">
      <c r="B145" s="57" t="n">
        <v>46246</v>
      </c>
      <c r="C145" s="58" t="s">
        <v>111</v>
      </c>
      <c r="D145" s="58" t="s">
        <v>112</v>
      </c>
      <c r="E145" s="59" t="n">
        <v>260</v>
      </c>
      <c r="F145" s="58" t="s">
        <v>106</v>
      </c>
      <c r="G145" s="58"/>
      <c r="H145" s="60" t="str">
        <f aca="false">IF(OR(E145="",D145=""),"",IF(K145=0,"Expense / Gasto",INDEX(Budget!$C$7:$C$41,K145)))</f>
        <v>Expense / Gasto</v>
      </c>
      <c r="I145" s="60" t="str">
        <f aca="false">IF(AND(B145="",E145=""),"",IF(NOT(ISNUMBER(B145)),"⚠ ADD DATE / AGREGA FECHA",IF(E145="","⚠ ADD AMOUNT / AGREGA MONTO",IF(D145="","⚠ ADD CATEGORY / AGREGA CATEGORÍA",IF(K145=0,"● NEW CATEGORY? / ¿CATEGORÍA NUEVA?","✔ OK")))))</f>
        <v>✔ OK</v>
      </c>
      <c r="K145" s="56" t="n">
        <f aca="false">IF(D145="","",IFERROR(MATCH(D145,Budget!$B$7:$B$41,0),0))</f>
        <v>11</v>
      </c>
      <c r="L145" s="56" t="n">
        <f aca="false">IF(AND(ISNUMBER(B145),ISNUMBER(E145),D145&lt;&gt;""),YEAR(B145)*100+MONTH(B145),0)</f>
        <v>202608</v>
      </c>
      <c r="M145" s="56" t="n">
        <f aca="false">IF(L145=0,0,YEAR(B145))</f>
        <v>2026</v>
      </c>
      <c r="N145" s="56" t="str">
        <f aca="false">IF(L145=0,"",IF(K145=0,"Wants / Gustos",INDEX(Budget!$D$7:$D$41,K145)))</f>
        <v>Needs / Necesidades</v>
      </c>
    </row>
    <row r="146" customFormat="false" ht="15" hidden="false" customHeight="false" outlineLevel="0" collapsed="false">
      <c r="B146" s="57" t="n">
        <v>46247</v>
      </c>
      <c r="C146" s="58" t="s">
        <v>113</v>
      </c>
      <c r="D146" s="58" t="s">
        <v>105</v>
      </c>
      <c r="E146" s="59" t="n">
        <v>211.84</v>
      </c>
      <c r="F146" s="58" t="s">
        <v>102</v>
      </c>
      <c r="G146" s="58"/>
      <c r="H146" s="60" t="str">
        <f aca="false">IF(OR(E146="",D146=""),"",IF(K146=0,"Expense / Gasto",INDEX(Budget!$C$7:$C$41,K146)))</f>
        <v>Expense / Gasto</v>
      </c>
      <c r="I146" s="60" t="str">
        <f aca="false">IF(AND(B146="",E146=""),"",IF(NOT(ISNUMBER(B146)),"⚠ ADD DATE / AGREGA FECHA",IF(E146="","⚠ ADD AMOUNT / AGREGA MONTO",IF(D146="","⚠ ADD CATEGORY / AGREGA CATEGORÍA",IF(K146=0,"● NEW CATEGORY? / ¿CATEGORÍA NUEVA?","✔ OK")))))</f>
        <v>✔ OK</v>
      </c>
      <c r="K146" s="56" t="n">
        <f aca="false">IF(D146="","",IFERROR(MATCH(D146,Budget!$B$7:$B$41,0),0))</f>
        <v>8</v>
      </c>
      <c r="L146" s="56" t="n">
        <f aca="false">IF(AND(ISNUMBER(B146),ISNUMBER(E146),D146&lt;&gt;""),YEAR(B146)*100+MONTH(B146),0)</f>
        <v>202608</v>
      </c>
      <c r="M146" s="56" t="n">
        <f aca="false">IF(L146=0,0,YEAR(B146))</f>
        <v>2026</v>
      </c>
      <c r="N146" s="56" t="str">
        <f aca="false">IF(L146=0,"",IF(K146=0,"Wants / Gustos",INDEX(Budget!$D$7:$D$41,K146)))</f>
        <v>Needs / Necesidades</v>
      </c>
    </row>
    <row r="147" customFormat="false" ht="15" hidden="false" customHeight="false" outlineLevel="0" collapsed="false">
      <c r="B147" s="57" t="n">
        <v>46248</v>
      </c>
      <c r="C147" s="58" t="s">
        <v>114</v>
      </c>
      <c r="D147" s="58" t="s">
        <v>115</v>
      </c>
      <c r="E147" s="59" t="n">
        <v>121.05</v>
      </c>
      <c r="F147" s="58" t="s">
        <v>102</v>
      </c>
      <c r="G147" s="58"/>
      <c r="H147" s="60" t="str">
        <f aca="false">IF(OR(E147="",D147=""),"",IF(K147=0,"Expense / Gasto",INDEX(Budget!$C$7:$C$41,K147)))</f>
        <v>Expense / Gasto</v>
      </c>
      <c r="I147" s="60" t="str">
        <f aca="false">IF(AND(B147="",E147=""),"",IF(NOT(ISNUMBER(B147)),"⚠ ADD DATE / AGREGA FECHA",IF(E147="","⚠ ADD AMOUNT / AGREGA MONTO",IF(D147="","⚠ ADD CATEGORY / AGREGA CATEGORÍA",IF(K147=0,"● NEW CATEGORY? / ¿CATEGORÍA NUEVA?","✔ OK")))))</f>
        <v>✔ OK</v>
      </c>
      <c r="K147" s="56" t="n">
        <f aca="false">IF(D147="","",IFERROR(MATCH(D147,Budget!$B$7:$B$41,0),0))</f>
        <v>16</v>
      </c>
      <c r="L147" s="56" t="n">
        <f aca="false">IF(AND(ISNUMBER(B147),ISNUMBER(E147),D147&lt;&gt;""),YEAR(B147)*100+MONTH(B147),0)</f>
        <v>202608</v>
      </c>
      <c r="M147" s="56" t="n">
        <f aca="false">IF(L147=0,0,YEAR(B147))</f>
        <v>2026</v>
      </c>
      <c r="N147" s="56" t="str">
        <f aca="false">IF(L147=0,"",IF(K147=0,"Wants / Gustos",INDEX(Budget!$D$7:$D$41,K147)))</f>
        <v>Wants / Gustos</v>
      </c>
    </row>
    <row r="148" customFormat="false" ht="15" hidden="false" customHeight="false" outlineLevel="0" collapsed="false">
      <c r="B148" s="57" t="n">
        <v>46249</v>
      </c>
      <c r="C148" s="58" t="s">
        <v>94</v>
      </c>
      <c r="D148" s="58" t="s">
        <v>95</v>
      </c>
      <c r="E148" s="59" t="n">
        <v>1700</v>
      </c>
      <c r="F148" s="58" t="s">
        <v>96</v>
      </c>
      <c r="G148" s="58"/>
      <c r="H148" s="60" t="str">
        <f aca="false">IF(OR(E148="",D148=""),"",IF(K148=0,"Expense / Gasto",INDEX(Budget!$C$7:$C$41,K148)))</f>
        <v>Income / Ingreso</v>
      </c>
      <c r="I148" s="60" t="str">
        <f aca="false">IF(AND(B148="",E148=""),"",IF(NOT(ISNUMBER(B148)),"⚠ ADD DATE / AGREGA FECHA",IF(E148="","⚠ ADD AMOUNT / AGREGA MONTO",IF(D148="","⚠ ADD CATEGORY / AGREGA CATEGORÍA",IF(K148=0,"● NEW CATEGORY? / ¿CATEGORÍA NUEVA?","✔ OK")))))</f>
        <v>✔ OK</v>
      </c>
      <c r="K148" s="56" t="n">
        <f aca="false">IF(D148="","",IFERROR(MATCH(D148,Budget!$B$7:$B$41,0),0))</f>
        <v>1</v>
      </c>
      <c r="L148" s="56" t="n">
        <f aca="false">IF(AND(ISNUMBER(B148),ISNUMBER(E148),D148&lt;&gt;""),YEAR(B148)*100+MONTH(B148),0)</f>
        <v>202608</v>
      </c>
      <c r="M148" s="56" t="n">
        <f aca="false">IF(L148=0,0,YEAR(B148))</f>
        <v>2026</v>
      </c>
      <c r="N148" s="56" t="str">
        <f aca="false">IF(L148=0,"",IF(K148=0,"Wants / Gustos",INDEX(Budget!$D$7:$D$41,K148)))</f>
        <v>—</v>
      </c>
    </row>
    <row r="149" customFormat="false" ht="15" hidden="false" customHeight="false" outlineLevel="0" collapsed="false">
      <c r="B149" s="57" t="n">
        <v>46250</v>
      </c>
      <c r="C149" s="58" t="s">
        <v>116</v>
      </c>
      <c r="D149" s="58" t="s">
        <v>117</v>
      </c>
      <c r="E149" s="59" t="n">
        <v>300</v>
      </c>
      <c r="F149" s="58" t="s">
        <v>106</v>
      </c>
      <c r="G149" s="58"/>
      <c r="H149" s="60" t="str">
        <f aca="false">IF(OR(E149="",D149=""),"",IF(K149=0,"Expense / Gasto",INDEX(Budget!$C$7:$C$41,K149)))</f>
        <v>Expense / Gasto</v>
      </c>
      <c r="I149" s="60" t="str">
        <f aca="false">IF(AND(B149="",E149=""),"",IF(NOT(ISNUMBER(B149)),"⚠ ADD DATE / AGREGA FECHA",IF(E149="","⚠ ADD AMOUNT / AGREGA MONTO",IF(D149="","⚠ ADD CATEGORY / AGREGA CATEGORÍA",IF(K149=0,"● NEW CATEGORY? / ¿CATEGORÍA NUEVA?","✔ OK")))))</f>
        <v>✔ OK</v>
      </c>
      <c r="K149" s="56" t="n">
        <f aca="false">IF(D149="","",IFERROR(MATCH(D149,Budget!$B$7:$B$41,0),0))</f>
        <v>14</v>
      </c>
      <c r="L149" s="56" t="n">
        <f aca="false">IF(AND(ISNUMBER(B149),ISNUMBER(E149),D149&lt;&gt;""),YEAR(B149)*100+MONTH(B149),0)</f>
        <v>202608</v>
      </c>
      <c r="M149" s="56" t="n">
        <f aca="false">IF(L149=0,0,YEAR(B149))</f>
        <v>2026</v>
      </c>
      <c r="N149" s="56" t="str">
        <f aca="false">IF(L149=0,"",IF(K149=0,"Wants / Gustos",INDEX(Budget!$D$7:$D$41,K149)))</f>
        <v>Needs / Necesidades</v>
      </c>
    </row>
    <row r="150" customFormat="false" ht="15" hidden="false" customHeight="false" outlineLevel="0" collapsed="false">
      <c r="B150" s="57" t="n">
        <v>46252</v>
      </c>
      <c r="C150" s="58" t="s">
        <v>118</v>
      </c>
      <c r="D150" s="58" t="s">
        <v>119</v>
      </c>
      <c r="E150" s="59" t="n">
        <v>140</v>
      </c>
      <c r="F150" s="58" t="s">
        <v>102</v>
      </c>
      <c r="G150" s="58"/>
      <c r="H150" s="60" t="str">
        <f aca="false">IF(OR(E150="",D150=""),"",IF(K150=0,"Expense / Gasto",INDEX(Budget!$C$7:$C$41,K150)))</f>
        <v>Expense / Gasto</v>
      </c>
      <c r="I150" s="60" t="str">
        <f aca="false">IF(AND(B150="",E150=""),"",IF(NOT(ISNUMBER(B150)),"⚠ ADD DATE / AGREGA FECHA",IF(E150="","⚠ ADD AMOUNT / AGREGA MONTO",IF(D150="","⚠ ADD CATEGORY / AGREGA CATEGORÍA",IF(K150=0,"● NEW CATEGORY? / ¿CATEGORÍA NUEVA?","✔ OK")))))</f>
        <v>✔ OK</v>
      </c>
      <c r="K150" s="56" t="n">
        <f aca="false">IF(D150="","",IFERROR(MATCH(D150,Budget!$B$7:$B$41,0),0))</f>
        <v>12</v>
      </c>
      <c r="L150" s="56" t="n">
        <f aca="false">IF(AND(ISNUMBER(B150),ISNUMBER(E150),D150&lt;&gt;""),YEAR(B150)*100+MONTH(B150),0)</f>
        <v>202608</v>
      </c>
      <c r="M150" s="56" t="n">
        <f aca="false">IF(L150=0,0,YEAR(B150))</f>
        <v>2026</v>
      </c>
      <c r="N150" s="56" t="str">
        <f aca="false">IF(L150=0,"",IF(K150=0,"Wants / Gustos",INDEX(Budget!$D$7:$D$41,K150)))</f>
        <v>Needs / Necesidades</v>
      </c>
    </row>
    <row r="151" customFormat="false" ht="15" hidden="false" customHeight="false" outlineLevel="0" collapsed="false">
      <c r="B151" s="57" t="n">
        <v>46253</v>
      </c>
      <c r="C151" s="58" t="s">
        <v>127</v>
      </c>
      <c r="D151" s="58" t="s">
        <v>128</v>
      </c>
      <c r="E151" s="59" t="n">
        <v>135.89</v>
      </c>
      <c r="F151" s="58" t="s">
        <v>102</v>
      </c>
      <c r="G151" s="58"/>
      <c r="H151" s="60" t="str">
        <f aca="false">IF(OR(E151="",D151=""),"",IF(K151=0,"Expense / Gasto",INDEX(Budget!$C$7:$C$41,K151)))</f>
        <v>Expense / Gasto</v>
      </c>
      <c r="I151" s="60" t="str">
        <f aca="false">IF(AND(B151="",E151=""),"",IF(NOT(ISNUMBER(B151)),"⚠ ADD DATE / AGREGA FECHA",IF(E151="","⚠ ADD AMOUNT / AGREGA MONTO",IF(D151="","⚠ ADD CATEGORY / AGREGA CATEGORÍA",IF(K151=0,"● NEW CATEGORY? / ¿CATEGORÍA NUEVA?","✔ OK")))))</f>
        <v>✔ OK</v>
      </c>
      <c r="K151" s="56" t="n">
        <f aca="false">IF(D151="","",IFERROR(MATCH(D151,Budget!$B$7:$B$41,0),0))</f>
        <v>18</v>
      </c>
      <c r="L151" s="56" t="n">
        <f aca="false">IF(AND(ISNUMBER(B151),ISNUMBER(E151),D151&lt;&gt;""),YEAR(B151)*100+MONTH(B151),0)</f>
        <v>202608</v>
      </c>
      <c r="M151" s="56" t="n">
        <f aca="false">IF(L151=0,0,YEAR(B151))</f>
        <v>2026</v>
      </c>
      <c r="N151" s="56" t="str">
        <f aca="false">IF(L151=0,"",IF(K151=0,"Wants / Gustos",INDEX(Budget!$D$7:$D$41,K151)))</f>
        <v>Wants / Gustos</v>
      </c>
    </row>
    <row r="152" customFormat="false" ht="15" hidden="false" customHeight="false" outlineLevel="0" collapsed="false">
      <c r="B152" s="57" t="n">
        <v>46254</v>
      </c>
      <c r="C152" s="58" t="s">
        <v>120</v>
      </c>
      <c r="D152" s="58" t="s">
        <v>121</v>
      </c>
      <c r="E152" s="59" t="n">
        <v>250</v>
      </c>
      <c r="F152" s="58" t="s">
        <v>99</v>
      </c>
      <c r="G152" s="58"/>
      <c r="H152" s="60" t="str">
        <f aca="false">IF(OR(E152="",D152=""),"",IF(K152=0,"Expense / Gasto",INDEX(Budget!$C$7:$C$41,K152)))</f>
        <v>Expense / Gasto</v>
      </c>
      <c r="I152" s="60" t="str">
        <f aca="false">IF(AND(B152="",E152=""),"",IF(NOT(ISNUMBER(B152)),"⚠ ADD DATE / AGREGA FECHA",IF(E152="","⚠ ADD AMOUNT / AGREGA MONTO",IF(D152="","⚠ ADD CATEGORY / AGREGA CATEGORÍA",IF(K152=0,"● NEW CATEGORY? / ¿CATEGORÍA NUEVA?","✔ OK")))))</f>
        <v>✔ OK</v>
      </c>
      <c r="K152" s="56" t="n">
        <f aca="false">IF(D152="","",IFERROR(MATCH(D152,Budget!$B$7:$B$41,0),0))</f>
        <v>15</v>
      </c>
      <c r="L152" s="56" t="n">
        <f aca="false">IF(AND(ISNUMBER(B152),ISNUMBER(E152),D152&lt;&gt;""),YEAR(B152)*100+MONTH(B152),0)</f>
        <v>202608</v>
      </c>
      <c r="M152" s="56" t="n">
        <f aca="false">IF(L152=0,0,YEAR(B152))</f>
        <v>2026</v>
      </c>
      <c r="N152" s="56" t="str">
        <f aca="false">IF(L152=0,"",IF(K152=0,"Wants / Gustos",INDEX(Budget!$D$7:$D$41,K152)))</f>
        <v>Needs / Necesidades</v>
      </c>
    </row>
    <row r="153" customFormat="false" ht="15" hidden="false" customHeight="false" outlineLevel="0" collapsed="false">
      <c r="B153" s="57" t="n">
        <v>46255</v>
      </c>
      <c r="C153" s="58" t="s">
        <v>122</v>
      </c>
      <c r="D153" s="58" t="s">
        <v>105</v>
      </c>
      <c r="E153" s="59" t="n">
        <v>180.91</v>
      </c>
      <c r="F153" s="58" t="s">
        <v>106</v>
      </c>
      <c r="G153" s="58"/>
      <c r="H153" s="60" t="str">
        <f aca="false">IF(OR(E153="",D153=""),"",IF(K153=0,"Expense / Gasto",INDEX(Budget!$C$7:$C$41,K153)))</f>
        <v>Expense / Gasto</v>
      </c>
      <c r="I153" s="60" t="str">
        <f aca="false">IF(AND(B153="",E153=""),"",IF(NOT(ISNUMBER(B153)),"⚠ ADD DATE / AGREGA FECHA",IF(E153="","⚠ ADD AMOUNT / AGREGA MONTO",IF(D153="","⚠ ADD CATEGORY / AGREGA CATEGORÍA",IF(K153=0,"● NEW CATEGORY? / ¿CATEGORÍA NUEVA?","✔ OK")))))</f>
        <v>✔ OK</v>
      </c>
      <c r="K153" s="56" t="n">
        <f aca="false">IF(D153="","",IFERROR(MATCH(D153,Budget!$B$7:$B$41,0),0))</f>
        <v>8</v>
      </c>
      <c r="L153" s="56" t="n">
        <f aca="false">IF(AND(ISNUMBER(B153),ISNUMBER(E153),D153&lt;&gt;""),YEAR(B153)*100+MONTH(B153),0)</f>
        <v>202608</v>
      </c>
      <c r="M153" s="56" t="n">
        <f aca="false">IF(L153=0,0,YEAR(B153))</f>
        <v>2026</v>
      </c>
      <c r="N153" s="56" t="str">
        <f aca="false">IF(L153=0,"",IF(K153=0,"Wants / Gustos",INDEX(Budget!$D$7:$D$41,K153)))</f>
        <v>Needs / Necesidades</v>
      </c>
    </row>
    <row r="154" customFormat="false" ht="15" hidden="false" customHeight="false" outlineLevel="0" collapsed="false">
      <c r="B154" s="57" t="n">
        <v>46258</v>
      </c>
      <c r="C154" s="58" t="s">
        <v>109</v>
      </c>
      <c r="D154" s="58" t="s">
        <v>110</v>
      </c>
      <c r="E154" s="59" t="n">
        <v>99.17</v>
      </c>
      <c r="F154" s="58" t="s">
        <v>102</v>
      </c>
      <c r="G154" s="58"/>
      <c r="H154" s="60" t="str">
        <f aca="false">IF(OR(E154="",D154=""),"",IF(K154=0,"Expense / Gasto",INDEX(Budget!$C$7:$C$41,K154)))</f>
        <v>Expense / Gasto</v>
      </c>
      <c r="I154" s="60" t="str">
        <f aca="false">IF(AND(B154="",E154=""),"",IF(NOT(ISNUMBER(B154)),"⚠ ADD DATE / AGREGA FECHA",IF(E154="","⚠ ADD AMOUNT / AGREGA MONTO",IF(D154="","⚠ ADD CATEGORY / AGREGA CATEGORÍA",IF(K154=0,"● NEW CATEGORY? / ¿CATEGORÍA NUEVA?","✔ OK")))))</f>
        <v>✔ OK</v>
      </c>
      <c r="K154" s="56" t="n">
        <f aca="false">IF(D154="","",IFERROR(MATCH(D154,Budget!$B$7:$B$41,0),0))</f>
        <v>10</v>
      </c>
      <c r="L154" s="56" t="n">
        <f aca="false">IF(AND(ISNUMBER(B154),ISNUMBER(E154),D154&lt;&gt;""),YEAR(B154)*100+MONTH(B154),0)</f>
        <v>202608</v>
      </c>
      <c r="M154" s="56" t="n">
        <f aca="false">IF(L154=0,0,YEAR(B154))</f>
        <v>2026</v>
      </c>
      <c r="N154" s="56" t="str">
        <f aca="false">IF(L154=0,"",IF(K154=0,"Wants / Gustos",INDEX(Budget!$D$7:$D$41,K154)))</f>
        <v>Needs / Necesidades</v>
      </c>
    </row>
    <row r="155" customFormat="false" ht="15" hidden="false" customHeight="false" outlineLevel="0" collapsed="false">
      <c r="B155" s="57" t="n">
        <v>46259</v>
      </c>
      <c r="C155" s="58" t="s">
        <v>123</v>
      </c>
      <c r="D155" s="58" t="s">
        <v>124</v>
      </c>
      <c r="E155" s="59" t="n">
        <v>575</v>
      </c>
      <c r="F155" s="58" t="s">
        <v>99</v>
      </c>
      <c r="G155" s="58"/>
      <c r="H155" s="60" t="str">
        <f aca="false">IF(OR(E155="",D155=""),"",IF(K155=0,"Expense / Gasto",INDEX(Budget!$C$7:$C$41,K155)))</f>
        <v>Expense / Gasto</v>
      </c>
      <c r="I155" s="60" t="str">
        <f aca="false">IF(AND(B155="",E155=""),"",IF(NOT(ISNUMBER(B155)),"⚠ ADD DATE / AGREGA FECHA",IF(E155="","⚠ ADD AMOUNT / AGREGA MONTO",IF(D155="","⚠ ADD CATEGORY / AGREGA CATEGORÍA",IF(K155=0,"● NEW CATEGORY? / ¿CATEGORÍA NUEVA?","✔ OK")))))</f>
        <v>✔ OK</v>
      </c>
      <c r="K155" s="56" t="n">
        <f aca="false">IF(D155="","",IFERROR(MATCH(D155,Budget!$B$7:$B$41,0),0))</f>
        <v>24</v>
      </c>
      <c r="L155" s="56" t="n">
        <f aca="false">IF(AND(ISNUMBER(B155),ISNUMBER(E155),D155&lt;&gt;""),YEAR(B155)*100+MONTH(B155),0)</f>
        <v>202608</v>
      </c>
      <c r="M155" s="56" t="n">
        <f aca="false">IF(L155=0,0,YEAR(B155))</f>
        <v>2026</v>
      </c>
      <c r="N155" s="56" t="str">
        <f aca="false">IF(L155=0,"",IF(K155=0,"Wants / Gustos",INDEX(Budget!$D$7:$D$41,K155)))</f>
        <v>Savings &amp; Debt / Ahorro y Deuda</v>
      </c>
    </row>
    <row r="156" customFormat="false" ht="15" hidden="false" customHeight="false" outlineLevel="0" collapsed="false">
      <c r="B156" s="57" t="n">
        <v>46260</v>
      </c>
      <c r="C156" s="58" t="s">
        <v>125</v>
      </c>
      <c r="D156" s="58" t="s">
        <v>126</v>
      </c>
      <c r="E156" s="59" t="n">
        <v>200</v>
      </c>
      <c r="F156" s="58" t="s">
        <v>99</v>
      </c>
      <c r="G156" s="58"/>
      <c r="H156" s="60" t="str">
        <f aca="false">IF(OR(E156="",D156=""),"",IF(K156=0,"Expense / Gasto",INDEX(Budget!$C$7:$C$41,K156)))</f>
        <v>Expense / Gasto</v>
      </c>
      <c r="I156" s="60" t="str">
        <f aca="false">IF(AND(B156="",E156=""),"",IF(NOT(ISNUMBER(B156)),"⚠ ADD DATE / AGREGA FECHA",IF(E156="","⚠ ADD AMOUNT / AGREGA MONTO",IF(D156="","⚠ ADD CATEGORY / AGREGA CATEGORÍA",IF(K156=0,"● NEW CATEGORY? / ¿CATEGORÍA NUEVA?","✔ OK")))))</f>
        <v>✔ OK</v>
      </c>
      <c r="K156" s="56" t="n">
        <f aca="false">IF(D156="","",IFERROR(MATCH(D156,Budget!$B$7:$B$41,0),0))</f>
        <v>25</v>
      </c>
      <c r="L156" s="56" t="n">
        <f aca="false">IF(AND(ISNUMBER(B156),ISNUMBER(E156),D156&lt;&gt;""),YEAR(B156)*100+MONTH(B156),0)</f>
        <v>202608</v>
      </c>
      <c r="M156" s="56" t="n">
        <f aca="false">IF(L156=0,0,YEAR(B156))</f>
        <v>2026</v>
      </c>
      <c r="N156" s="56" t="str">
        <f aca="false">IF(L156=0,"",IF(K156=0,"Wants / Gustos",INDEX(Budget!$D$7:$D$41,K156)))</f>
        <v>Savings &amp; Debt / Ahorro y Deuda</v>
      </c>
    </row>
    <row r="157" customFormat="false" ht="15" hidden="false" customHeight="false" outlineLevel="0" collapsed="false">
      <c r="B157" s="57" t="n">
        <v>46266</v>
      </c>
      <c r="C157" s="58" t="s">
        <v>94</v>
      </c>
      <c r="D157" s="58" t="s">
        <v>95</v>
      </c>
      <c r="E157" s="59" t="n">
        <v>1700</v>
      </c>
      <c r="F157" s="58" t="s">
        <v>96</v>
      </c>
      <c r="G157" s="58"/>
      <c r="H157" s="60" t="str">
        <f aca="false">IF(OR(E157="",D157=""),"",IF(K157=0,"Expense / Gasto",INDEX(Budget!$C$7:$C$41,K157)))</f>
        <v>Income / Ingreso</v>
      </c>
      <c r="I157" s="60" t="str">
        <f aca="false">IF(AND(B157="",E157=""),"",IF(NOT(ISNUMBER(B157)),"⚠ ADD DATE / AGREGA FECHA",IF(E157="","⚠ ADD AMOUNT / AGREGA MONTO",IF(D157="","⚠ ADD CATEGORY / AGREGA CATEGORÍA",IF(K157=0,"● NEW CATEGORY? / ¿CATEGORÍA NUEVA?","✔ OK")))))</f>
        <v>✔ OK</v>
      </c>
      <c r="K157" s="56" t="n">
        <f aca="false">IF(D157="","",IFERROR(MATCH(D157,Budget!$B$7:$B$41,0),0))</f>
        <v>1</v>
      </c>
      <c r="L157" s="56" t="n">
        <f aca="false">IF(AND(ISNUMBER(B157),ISNUMBER(E157),D157&lt;&gt;""),YEAR(B157)*100+MONTH(B157),0)</f>
        <v>202609</v>
      </c>
      <c r="M157" s="56" t="n">
        <f aca="false">IF(L157=0,0,YEAR(B157))</f>
        <v>2026</v>
      </c>
      <c r="N157" s="56" t="str">
        <f aca="false">IF(L157=0,"",IF(K157=0,"Wants / Gustos",INDEX(Budget!$D$7:$D$41,K157)))</f>
        <v>—</v>
      </c>
    </row>
    <row r="158" customFormat="false" ht="15" hidden="false" customHeight="false" outlineLevel="0" collapsed="false">
      <c r="B158" s="57" t="n">
        <v>46266</v>
      </c>
      <c r="C158" s="58" t="s">
        <v>97</v>
      </c>
      <c r="D158" s="58" t="s">
        <v>98</v>
      </c>
      <c r="E158" s="59" t="n">
        <v>1650</v>
      </c>
      <c r="F158" s="58" t="s">
        <v>99</v>
      </c>
      <c r="G158" s="58"/>
      <c r="H158" s="60" t="str">
        <f aca="false">IF(OR(E158="",D158=""),"",IF(K158=0,"Expense / Gasto",INDEX(Budget!$C$7:$C$41,K158)))</f>
        <v>Expense / Gasto</v>
      </c>
      <c r="I158" s="60" t="str">
        <f aca="false">IF(AND(B158="",E158=""),"",IF(NOT(ISNUMBER(B158)),"⚠ ADD DATE / AGREGA FECHA",IF(E158="","⚠ ADD AMOUNT / AGREGA MONTO",IF(D158="","⚠ ADD CATEGORY / AGREGA CATEGORÍA",IF(K158=0,"● NEW CATEGORY? / ¿CATEGORÍA NUEVA?","✔ OK")))))</f>
        <v>✔ OK</v>
      </c>
      <c r="K158" s="56" t="n">
        <f aca="false">IF(D158="","",IFERROR(MATCH(D158,Budget!$B$7:$B$41,0),0))</f>
        <v>6</v>
      </c>
      <c r="L158" s="56" t="n">
        <f aca="false">IF(AND(ISNUMBER(B158),ISNUMBER(E158),D158&lt;&gt;""),YEAR(B158)*100+MONTH(B158),0)</f>
        <v>202609</v>
      </c>
      <c r="M158" s="56" t="n">
        <f aca="false">IF(L158=0,0,YEAR(B158))</f>
        <v>2026</v>
      </c>
      <c r="N158" s="56" t="str">
        <f aca="false">IF(L158=0,"",IF(K158=0,"Wants / Gustos",INDEX(Budget!$D$7:$D$41,K158)))</f>
        <v>Needs / Necesidades</v>
      </c>
    </row>
    <row r="159" customFormat="false" ht="15" hidden="false" customHeight="false" outlineLevel="0" collapsed="false">
      <c r="B159" s="57" t="n">
        <v>46268</v>
      </c>
      <c r="C159" s="58" t="s">
        <v>100</v>
      </c>
      <c r="D159" s="58" t="s">
        <v>101</v>
      </c>
      <c r="E159" s="59" t="n">
        <v>28.98</v>
      </c>
      <c r="F159" s="58" t="s">
        <v>102</v>
      </c>
      <c r="G159" s="58"/>
      <c r="H159" s="60" t="str">
        <f aca="false">IF(OR(E159="",D159=""),"",IF(K159=0,"Expense / Gasto",INDEX(Budget!$C$7:$C$41,K159)))</f>
        <v>Expense / Gasto</v>
      </c>
      <c r="I159" s="60" t="str">
        <f aca="false">IF(AND(B159="",E159=""),"",IF(NOT(ISNUMBER(B159)),"⚠ ADD DATE / AGREGA FECHA",IF(E159="","⚠ ADD AMOUNT / AGREGA MONTO",IF(D159="","⚠ ADD CATEGORY / AGREGA CATEGORÍA",IF(K159=0,"● NEW CATEGORY? / ¿CATEGORÍA NUEVA?","✔ OK")))))</f>
        <v>✔ OK</v>
      </c>
      <c r="K159" s="56" t="n">
        <f aca="false">IF(D159="","",IFERROR(MATCH(D159,Budget!$B$7:$B$41,0),0))</f>
        <v>19</v>
      </c>
      <c r="L159" s="56" t="n">
        <f aca="false">IF(AND(ISNUMBER(B159),ISNUMBER(E159),D159&lt;&gt;""),YEAR(B159)*100+MONTH(B159),0)</f>
        <v>202609</v>
      </c>
      <c r="M159" s="56" t="n">
        <f aca="false">IF(L159=0,0,YEAR(B159))</f>
        <v>2026</v>
      </c>
      <c r="N159" s="56" t="str">
        <f aca="false">IF(L159=0,"",IF(K159=0,"Wants / Gustos",INDEX(Budget!$D$7:$D$41,K159)))</f>
        <v>Wants / Gustos</v>
      </c>
    </row>
    <row r="160" customFormat="false" ht="15" hidden="false" customHeight="false" outlineLevel="0" collapsed="false">
      <c r="B160" s="57" t="n">
        <v>46270</v>
      </c>
      <c r="C160" s="58" t="s">
        <v>94</v>
      </c>
      <c r="D160" s="58" t="s">
        <v>103</v>
      </c>
      <c r="E160" s="59" t="n">
        <v>2200</v>
      </c>
      <c r="F160" s="58" t="s">
        <v>96</v>
      </c>
      <c r="G160" s="58"/>
      <c r="H160" s="60" t="str">
        <f aca="false">IF(OR(E160="",D160=""),"",IF(K160=0,"Expense / Gasto",INDEX(Budget!$C$7:$C$41,K160)))</f>
        <v>Income / Ingreso</v>
      </c>
      <c r="I160" s="60" t="str">
        <f aca="false">IF(AND(B160="",E160=""),"",IF(NOT(ISNUMBER(B160)),"⚠ ADD DATE / AGREGA FECHA",IF(E160="","⚠ ADD AMOUNT / AGREGA MONTO",IF(D160="","⚠ ADD CATEGORY / AGREGA CATEGORÍA",IF(K160=0,"● NEW CATEGORY? / ¿CATEGORÍA NUEVA?","✔ OK")))))</f>
        <v>✔ OK</v>
      </c>
      <c r="K160" s="56" t="n">
        <f aca="false">IF(D160="","",IFERROR(MATCH(D160,Budget!$B$7:$B$41,0),0))</f>
        <v>2</v>
      </c>
      <c r="L160" s="56" t="n">
        <f aca="false">IF(AND(ISNUMBER(B160),ISNUMBER(E160),D160&lt;&gt;""),YEAR(B160)*100+MONTH(B160),0)</f>
        <v>202609</v>
      </c>
      <c r="M160" s="56" t="n">
        <f aca="false">IF(L160=0,0,YEAR(B160))</f>
        <v>2026</v>
      </c>
      <c r="N160" s="56" t="str">
        <f aca="false">IF(L160=0,"",IF(K160=0,"Wants / Gustos",INDEX(Budget!$D$7:$D$41,K160)))</f>
        <v>—</v>
      </c>
    </row>
    <row r="161" customFormat="false" ht="15" hidden="false" customHeight="false" outlineLevel="0" collapsed="false">
      <c r="B161" s="57" t="n">
        <v>46271</v>
      </c>
      <c r="C161" s="58" t="s">
        <v>104</v>
      </c>
      <c r="D161" s="58" t="s">
        <v>105</v>
      </c>
      <c r="E161" s="59" t="n">
        <v>188.4</v>
      </c>
      <c r="F161" s="58" t="s">
        <v>106</v>
      </c>
      <c r="G161" s="58"/>
      <c r="H161" s="60" t="str">
        <f aca="false">IF(OR(E161="",D161=""),"",IF(K161=0,"Expense / Gasto",INDEX(Budget!$C$7:$C$41,K161)))</f>
        <v>Expense / Gasto</v>
      </c>
      <c r="I161" s="60" t="str">
        <f aca="false">IF(AND(B161="",E161=""),"",IF(NOT(ISNUMBER(B161)),"⚠ ADD DATE / AGREGA FECHA",IF(E161="","⚠ ADD AMOUNT / AGREGA MONTO",IF(D161="","⚠ ADD CATEGORY / AGREGA CATEGORÍA",IF(K161=0,"● NEW CATEGORY? / ¿CATEGORÍA NUEVA?","✔ OK")))))</f>
        <v>✔ OK</v>
      </c>
      <c r="K161" s="56" t="n">
        <f aca="false">IF(D161="","",IFERROR(MATCH(D161,Budget!$B$7:$B$41,0),0))</f>
        <v>8</v>
      </c>
      <c r="L161" s="56" t="n">
        <f aca="false">IF(AND(ISNUMBER(B161),ISNUMBER(E161),D161&lt;&gt;""),YEAR(B161)*100+MONTH(B161),0)</f>
        <v>202609</v>
      </c>
      <c r="M161" s="56" t="n">
        <f aca="false">IF(L161=0,0,YEAR(B161))</f>
        <v>2026</v>
      </c>
      <c r="N161" s="56" t="str">
        <f aca="false">IF(L161=0,"",IF(K161=0,"Wants / Gustos",INDEX(Budget!$D$7:$D$41,K161)))</f>
        <v>Needs / Necesidades</v>
      </c>
    </row>
    <row r="162" customFormat="false" ht="15" hidden="false" customHeight="false" outlineLevel="0" collapsed="false">
      <c r="B162" s="57" t="n">
        <v>46273</v>
      </c>
      <c r="C162" s="58" t="s">
        <v>107</v>
      </c>
      <c r="D162" s="58" t="s">
        <v>108</v>
      </c>
      <c r="E162" s="59" t="n">
        <v>259.06</v>
      </c>
      <c r="F162" s="58" t="s">
        <v>106</v>
      </c>
      <c r="G162" s="58"/>
      <c r="H162" s="60" t="str">
        <f aca="false">IF(OR(E162="",D162=""),"",IF(K162=0,"Expense / Gasto",INDEX(Budget!$C$7:$C$41,K162)))</f>
        <v>Expense / Gasto</v>
      </c>
      <c r="I162" s="60" t="str">
        <f aca="false">IF(AND(B162="",E162=""),"",IF(NOT(ISNUMBER(B162)),"⚠ ADD DATE / AGREGA FECHA",IF(E162="","⚠ ADD AMOUNT / AGREGA MONTO",IF(D162="","⚠ ADD CATEGORY / AGREGA CATEGORÍA",IF(K162=0,"● NEW CATEGORY? / ¿CATEGORÍA NUEVA?","✔ OK")))))</f>
        <v>✔ OK</v>
      </c>
      <c r="K162" s="56" t="n">
        <f aca="false">IF(D162="","",IFERROR(MATCH(D162,Budget!$B$7:$B$41,0),0))</f>
        <v>7</v>
      </c>
      <c r="L162" s="56" t="n">
        <f aca="false">IF(AND(ISNUMBER(B162),ISNUMBER(E162),D162&lt;&gt;""),YEAR(B162)*100+MONTH(B162),0)</f>
        <v>202609</v>
      </c>
      <c r="M162" s="56" t="n">
        <f aca="false">IF(L162=0,0,YEAR(B162))</f>
        <v>2026</v>
      </c>
      <c r="N162" s="56" t="str">
        <f aca="false">IF(L162=0,"",IF(K162=0,"Wants / Gustos",INDEX(Budget!$D$7:$D$41,K162)))</f>
        <v>Needs / Necesidades</v>
      </c>
    </row>
    <row r="163" customFormat="false" ht="15" hidden="false" customHeight="false" outlineLevel="0" collapsed="false">
      <c r="B163" s="57" t="n">
        <v>46275</v>
      </c>
      <c r="C163" s="58" t="s">
        <v>109</v>
      </c>
      <c r="D163" s="58" t="s">
        <v>110</v>
      </c>
      <c r="E163" s="59" t="n">
        <v>113.71</v>
      </c>
      <c r="F163" s="58" t="s">
        <v>102</v>
      </c>
      <c r="G163" s="58"/>
      <c r="H163" s="60" t="str">
        <f aca="false">IF(OR(E163="",D163=""),"",IF(K163=0,"Expense / Gasto",INDEX(Budget!$C$7:$C$41,K163)))</f>
        <v>Expense / Gasto</v>
      </c>
      <c r="I163" s="60" t="str">
        <f aca="false">IF(AND(B163="",E163=""),"",IF(NOT(ISNUMBER(B163)),"⚠ ADD DATE / AGREGA FECHA",IF(E163="","⚠ ADD AMOUNT / AGREGA MONTO",IF(D163="","⚠ ADD CATEGORY / AGREGA CATEGORÍA",IF(K163=0,"● NEW CATEGORY? / ¿CATEGORÍA NUEVA?","✔ OK")))))</f>
        <v>✔ OK</v>
      </c>
      <c r="K163" s="56" t="n">
        <f aca="false">IF(D163="","",IFERROR(MATCH(D163,Budget!$B$7:$B$41,0),0))</f>
        <v>10</v>
      </c>
      <c r="L163" s="56" t="n">
        <f aca="false">IF(AND(ISNUMBER(B163),ISNUMBER(E163),D163&lt;&gt;""),YEAR(B163)*100+MONTH(B163),0)</f>
        <v>202609</v>
      </c>
      <c r="M163" s="56" t="n">
        <f aca="false">IF(L163=0,0,YEAR(B163))</f>
        <v>2026</v>
      </c>
      <c r="N163" s="56" t="str">
        <f aca="false">IF(L163=0,"",IF(K163=0,"Wants / Gustos",INDEX(Budget!$D$7:$D$41,K163)))</f>
        <v>Needs / Necesidades</v>
      </c>
    </row>
    <row r="164" customFormat="false" ht="15" hidden="false" customHeight="false" outlineLevel="0" collapsed="false">
      <c r="B164" s="57" t="n">
        <v>46277</v>
      </c>
      <c r="C164" s="58" t="s">
        <v>111</v>
      </c>
      <c r="D164" s="58" t="s">
        <v>112</v>
      </c>
      <c r="E164" s="59" t="n">
        <v>260</v>
      </c>
      <c r="F164" s="58" t="s">
        <v>106</v>
      </c>
      <c r="G164" s="58"/>
      <c r="H164" s="60" t="str">
        <f aca="false">IF(OR(E164="",D164=""),"",IF(K164=0,"Expense / Gasto",INDEX(Budget!$C$7:$C$41,K164)))</f>
        <v>Expense / Gasto</v>
      </c>
      <c r="I164" s="60" t="str">
        <f aca="false">IF(AND(B164="",E164=""),"",IF(NOT(ISNUMBER(B164)),"⚠ ADD DATE / AGREGA FECHA",IF(E164="","⚠ ADD AMOUNT / AGREGA MONTO",IF(D164="","⚠ ADD CATEGORY / AGREGA CATEGORÍA",IF(K164=0,"● NEW CATEGORY? / ¿CATEGORÍA NUEVA?","✔ OK")))))</f>
        <v>✔ OK</v>
      </c>
      <c r="K164" s="56" t="n">
        <f aca="false">IF(D164="","",IFERROR(MATCH(D164,Budget!$B$7:$B$41,0),0))</f>
        <v>11</v>
      </c>
      <c r="L164" s="56" t="n">
        <f aca="false">IF(AND(ISNUMBER(B164),ISNUMBER(E164),D164&lt;&gt;""),YEAR(B164)*100+MONTH(B164),0)</f>
        <v>202609</v>
      </c>
      <c r="M164" s="56" t="n">
        <f aca="false">IF(L164=0,0,YEAR(B164))</f>
        <v>2026</v>
      </c>
      <c r="N164" s="56" t="str">
        <f aca="false">IF(L164=0,"",IF(K164=0,"Wants / Gustos",INDEX(Budget!$D$7:$D$41,K164)))</f>
        <v>Needs / Necesidades</v>
      </c>
    </row>
    <row r="165" customFormat="false" ht="15" hidden="false" customHeight="false" outlineLevel="0" collapsed="false">
      <c r="B165" s="57" t="n">
        <v>46278</v>
      </c>
      <c r="C165" s="58" t="s">
        <v>113</v>
      </c>
      <c r="D165" s="58" t="s">
        <v>105</v>
      </c>
      <c r="E165" s="59" t="n">
        <v>204.56</v>
      </c>
      <c r="F165" s="58" t="s">
        <v>102</v>
      </c>
      <c r="G165" s="58"/>
      <c r="H165" s="60" t="str">
        <f aca="false">IF(OR(E165="",D165=""),"",IF(K165=0,"Expense / Gasto",INDEX(Budget!$C$7:$C$41,K165)))</f>
        <v>Expense / Gasto</v>
      </c>
      <c r="I165" s="60" t="str">
        <f aca="false">IF(AND(B165="",E165=""),"",IF(NOT(ISNUMBER(B165)),"⚠ ADD DATE / AGREGA FECHA",IF(E165="","⚠ ADD AMOUNT / AGREGA MONTO",IF(D165="","⚠ ADD CATEGORY / AGREGA CATEGORÍA",IF(K165=0,"● NEW CATEGORY? / ¿CATEGORÍA NUEVA?","✔ OK")))))</f>
        <v>✔ OK</v>
      </c>
      <c r="K165" s="56" t="n">
        <f aca="false">IF(D165="","",IFERROR(MATCH(D165,Budget!$B$7:$B$41,0),0))</f>
        <v>8</v>
      </c>
      <c r="L165" s="56" t="n">
        <f aca="false">IF(AND(ISNUMBER(B165),ISNUMBER(E165),D165&lt;&gt;""),YEAR(B165)*100+MONTH(B165),0)</f>
        <v>202609</v>
      </c>
      <c r="M165" s="56" t="n">
        <f aca="false">IF(L165=0,0,YEAR(B165))</f>
        <v>2026</v>
      </c>
      <c r="N165" s="56" t="str">
        <f aca="false">IF(L165=0,"",IF(K165=0,"Wants / Gustos",INDEX(Budget!$D$7:$D$41,K165)))</f>
        <v>Needs / Necesidades</v>
      </c>
    </row>
    <row r="166" customFormat="false" ht="15" hidden="false" customHeight="false" outlineLevel="0" collapsed="false">
      <c r="B166" s="57" t="n">
        <v>46279</v>
      </c>
      <c r="C166" s="58" t="s">
        <v>114</v>
      </c>
      <c r="D166" s="58" t="s">
        <v>115</v>
      </c>
      <c r="E166" s="59" t="n">
        <v>133.52</v>
      </c>
      <c r="F166" s="58" t="s">
        <v>102</v>
      </c>
      <c r="G166" s="58"/>
      <c r="H166" s="60" t="str">
        <f aca="false">IF(OR(E166="",D166=""),"",IF(K166=0,"Expense / Gasto",INDEX(Budget!$C$7:$C$41,K166)))</f>
        <v>Expense / Gasto</v>
      </c>
      <c r="I166" s="60" t="str">
        <f aca="false">IF(AND(B166="",E166=""),"",IF(NOT(ISNUMBER(B166)),"⚠ ADD DATE / AGREGA FECHA",IF(E166="","⚠ ADD AMOUNT / AGREGA MONTO",IF(D166="","⚠ ADD CATEGORY / AGREGA CATEGORÍA",IF(K166=0,"● NEW CATEGORY? / ¿CATEGORÍA NUEVA?","✔ OK")))))</f>
        <v>✔ OK</v>
      </c>
      <c r="K166" s="56" t="n">
        <f aca="false">IF(D166="","",IFERROR(MATCH(D166,Budget!$B$7:$B$41,0),0))</f>
        <v>16</v>
      </c>
      <c r="L166" s="56" t="n">
        <f aca="false">IF(AND(ISNUMBER(B166),ISNUMBER(E166),D166&lt;&gt;""),YEAR(B166)*100+MONTH(B166),0)</f>
        <v>202609</v>
      </c>
      <c r="M166" s="56" t="n">
        <f aca="false">IF(L166=0,0,YEAR(B166))</f>
        <v>2026</v>
      </c>
      <c r="N166" s="56" t="str">
        <f aca="false">IF(L166=0,"",IF(K166=0,"Wants / Gustos",INDEX(Budget!$D$7:$D$41,K166)))</f>
        <v>Wants / Gustos</v>
      </c>
    </row>
    <row r="167" customFormat="false" ht="15" hidden="false" customHeight="false" outlineLevel="0" collapsed="false">
      <c r="B167" s="57" t="n">
        <v>46280</v>
      </c>
      <c r="C167" s="58" t="s">
        <v>94</v>
      </c>
      <c r="D167" s="58" t="s">
        <v>95</v>
      </c>
      <c r="E167" s="59" t="n">
        <v>1700</v>
      </c>
      <c r="F167" s="58" t="s">
        <v>96</v>
      </c>
      <c r="G167" s="58"/>
      <c r="H167" s="60" t="str">
        <f aca="false">IF(OR(E167="",D167=""),"",IF(K167=0,"Expense / Gasto",INDEX(Budget!$C$7:$C$41,K167)))</f>
        <v>Income / Ingreso</v>
      </c>
      <c r="I167" s="60" t="str">
        <f aca="false">IF(AND(B167="",E167=""),"",IF(NOT(ISNUMBER(B167)),"⚠ ADD DATE / AGREGA FECHA",IF(E167="","⚠ ADD AMOUNT / AGREGA MONTO",IF(D167="","⚠ ADD CATEGORY / AGREGA CATEGORÍA",IF(K167=0,"● NEW CATEGORY? / ¿CATEGORÍA NUEVA?","✔ OK")))))</f>
        <v>✔ OK</v>
      </c>
      <c r="K167" s="56" t="n">
        <f aca="false">IF(D167="","",IFERROR(MATCH(D167,Budget!$B$7:$B$41,0),0))</f>
        <v>1</v>
      </c>
      <c r="L167" s="56" t="n">
        <f aca="false">IF(AND(ISNUMBER(B167),ISNUMBER(E167),D167&lt;&gt;""),YEAR(B167)*100+MONTH(B167),0)</f>
        <v>202609</v>
      </c>
      <c r="M167" s="56" t="n">
        <f aca="false">IF(L167=0,0,YEAR(B167))</f>
        <v>2026</v>
      </c>
      <c r="N167" s="56" t="str">
        <f aca="false">IF(L167=0,"",IF(K167=0,"Wants / Gustos",INDEX(Budget!$D$7:$D$41,K167)))</f>
        <v>—</v>
      </c>
    </row>
    <row r="168" customFormat="false" ht="15" hidden="false" customHeight="false" outlineLevel="0" collapsed="false">
      <c r="B168" s="57" t="n">
        <v>46281</v>
      </c>
      <c r="C168" s="58" t="s">
        <v>116</v>
      </c>
      <c r="D168" s="58" t="s">
        <v>117</v>
      </c>
      <c r="E168" s="59" t="n">
        <v>300</v>
      </c>
      <c r="F168" s="58" t="s">
        <v>106</v>
      </c>
      <c r="G168" s="58"/>
      <c r="H168" s="60" t="str">
        <f aca="false">IF(OR(E168="",D168=""),"",IF(K168=0,"Expense / Gasto",INDEX(Budget!$C$7:$C$41,K168)))</f>
        <v>Expense / Gasto</v>
      </c>
      <c r="I168" s="60" t="str">
        <f aca="false">IF(AND(B168="",E168=""),"",IF(NOT(ISNUMBER(B168)),"⚠ ADD DATE / AGREGA FECHA",IF(E168="","⚠ ADD AMOUNT / AGREGA MONTO",IF(D168="","⚠ ADD CATEGORY / AGREGA CATEGORÍA",IF(K168=0,"● NEW CATEGORY? / ¿CATEGORÍA NUEVA?","✔ OK")))))</f>
        <v>✔ OK</v>
      </c>
      <c r="K168" s="56" t="n">
        <f aca="false">IF(D168="","",IFERROR(MATCH(D168,Budget!$B$7:$B$41,0),0))</f>
        <v>14</v>
      </c>
      <c r="L168" s="56" t="n">
        <f aca="false">IF(AND(ISNUMBER(B168),ISNUMBER(E168),D168&lt;&gt;""),YEAR(B168)*100+MONTH(B168),0)</f>
        <v>202609</v>
      </c>
      <c r="M168" s="56" t="n">
        <f aca="false">IF(L168=0,0,YEAR(B168))</f>
        <v>2026</v>
      </c>
      <c r="N168" s="56" t="str">
        <f aca="false">IF(L168=0,"",IF(K168=0,"Wants / Gustos",INDEX(Budget!$D$7:$D$41,K168)))</f>
        <v>Needs / Necesidades</v>
      </c>
    </row>
    <row r="169" customFormat="false" ht="15" hidden="false" customHeight="false" outlineLevel="0" collapsed="false">
      <c r="B169" s="57" t="n">
        <v>46283</v>
      </c>
      <c r="C169" s="58" t="s">
        <v>118</v>
      </c>
      <c r="D169" s="58" t="s">
        <v>119</v>
      </c>
      <c r="E169" s="59" t="n">
        <v>140</v>
      </c>
      <c r="F169" s="58" t="s">
        <v>102</v>
      </c>
      <c r="G169" s="58"/>
      <c r="H169" s="60" t="str">
        <f aca="false">IF(OR(E169="",D169=""),"",IF(K169=0,"Expense / Gasto",INDEX(Budget!$C$7:$C$41,K169)))</f>
        <v>Expense / Gasto</v>
      </c>
      <c r="I169" s="60" t="str">
        <f aca="false">IF(AND(B169="",E169=""),"",IF(NOT(ISNUMBER(B169)),"⚠ ADD DATE / AGREGA FECHA",IF(E169="","⚠ ADD AMOUNT / AGREGA MONTO",IF(D169="","⚠ ADD CATEGORY / AGREGA CATEGORÍA",IF(K169=0,"● NEW CATEGORY? / ¿CATEGORÍA NUEVA?","✔ OK")))))</f>
        <v>✔ OK</v>
      </c>
      <c r="K169" s="56" t="n">
        <f aca="false">IF(D169="","",IFERROR(MATCH(D169,Budget!$B$7:$B$41,0),0))</f>
        <v>12</v>
      </c>
      <c r="L169" s="56" t="n">
        <f aca="false">IF(AND(ISNUMBER(B169),ISNUMBER(E169),D169&lt;&gt;""),YEAR(B169)*100+MONTH(B169),0)</f>
        <v>202609</v>
      </c>
      <c r="M169" s="56" t="n">
        <f aca="false">IF(L169=0,0,YEAR(B169))</f>
        <v>2026</v>
      </c>
      <c r="N169" s="56" t="str">
        <f aca="false">IF(L169=0,"",IF(K169=0,"Wants / Gustos",INDEX(Budget!$D$7:$D$41,K169)))</f>
        <v>Needs / Necesidades</v>
      </c>
    </row>
    <row r="170" customFormat="false" ht="15" hidden="false" customHeight="false" outlineLevel="0" collapsed="false">
      <c r="B170" s="57" t="n">
        <v>46285</v>
      </c>
      <c r="C170" s="58" t="s">
        <v>120</v>
      </c>
      <c r="D170" s="58" t="s">
        <v>121</v>
      </c>
      <c r="E170" s="59" t="n">
        <v>250</v>
      </c>
      <c r="F170" s="58" t="s">
        <v>99</v>
      </c>
      <c r="G170" s="58"/>
      <c r="H170" s="60" t="str">
        <f aca="false">IF(OR(E170="",D170=""),"",IF(K170=0,"Expense / Gasto",INDEX(Budget!$C$7:$C$41,K170)))</f>
        <v>Expense / Gasto</v>
      </c>
      <c r="I170" s="60" t="str">
        <f aca="false">IF(AND(B170="",E170=""),"",IF(NOT(ISNUMBER(B170)),"⚠ ADD DATE / AGREGA FECHA",IF(E170="","⚠ ADD AMOUNT / AGREGA MONTO",IF(D170="","⚠ ADD CATEGORY / AGREGA CATEGORÍA",IF(K170=0,"● NEW CATEGORY? / ¿CATEGORÍA NUEVA?","✔ OK")))))</f>
        <v>✔ OK</v>
      </c>
      <c r="K170" s="56" t="n">
        <f aca="false">IF(D170="","",IFERROR(MATCH(D170,Budget!$B$7:$B$41,0),0))</f>
        <v>15</v>
      </c>
      <c r="L170" s="56" t="n">
        <f aca="false">IF(AND(ISNUMBER(B170),ISNUMBER(E170),D170&lt;&gt;""),YEAR(B170)*100+MONTH(B170),0)</f>
        <v>202609</v>
      </c>
      <c r="M170" s="56" t="n">
        <f aca="false">IF(L170=0,0,YEAR(B170))</f>
        <v>2026</v>
      </c>
      <c r="N170" s="56" t="str">
        <f aca="false">IF(L170=0,"",IF(K170=0,"Wants / Gustos",INDEX(Budget!$D$7:$D$41,K170)))</f>
        <v>Needs / Necesidades</v>
      </c>
    </row>
    <row r="171" customFormat="false" ht="15" hidden="false" customHeight="false" outlineLevel="0" collapsed="false">
      <c r="B171" s="57" t="n">
        <v>46286</v>
      </c>
      <c r="C171" s="58" t="s">
        <v>122</v>
      </c>
      <c r="D171" s="58" t="s">
        <v>105</v>
      </c>
      <c r="E171" s="59" t="n">
        <v>188.46</v>
      </c>
      <c r="F171" s="58" t="s">
        <v>106</v>
      </c>
      <c r="G171" s="58"/>
      <c r="H171" s="60" t="str">
        <f aca="false">IF(OR(E171="",D171=""),"",IF(K171=0,"Expense / Gasto",INDEX(Budget!$C$7:$C$41,K171)))</f>
        <v>Expense / Gasto</v>
      </c>
      <c r="I171" s="60" t="str">
        <f aca="false">IF(AND(B171="",E171=""),"",IF(NOT(ISNUMBER(B171)),"⚠ ADD DATE / AGREGA FECHA",IF(E171="","⚠ ADD AMOUNT / AGREGA MONTO",IF(D171="","⚠ ADD CATEGORY / AGREGA CATEGORÍA",IF(K171=0,"● NEW CATEGORY? / ¿CATEGORÍA NUEVA?","✔ OK")))))</f>
        <v>✔ OK</v>
      </c>
      <c r="K171" s="56" t="n">
        <f aca="false">IF(D171="","",IFERROR(MATCH(D171,Budget!$B$7:$B$41,0),0))</f>
        <v>8</v>
      </c>
      <c r="L171" s="56" t="n">
        <f aca="false">IF(AND(ISNUMBER(B171),ISNUMBER(E171),D171&lt;&gt;""),YEAR(B171)*100+MONTH(B171),0)</f>
        <v>202609</v>
      </c>
      <c r="M171" s="56" t="n">
        <f aca="false">IF(L171=0,0,YEAR(B171))</f>
        <v>2026</v>
      </c>
      <c r="N171" s="56" t="str">
        <f aca="false">IF(L171=0,"",IF(K171=0,"Wants / Gustos",INDEX(Budget!$D$7:$D$41,K171)))</f>
        <v>Needs / Necesidades</v>
      </c>
    </row>
    <row r="172" customFormat="false" ht="15" hidden="false" customHeight="false" outlineLevel="0" collapsed="false">
      <c r="B172" s="57" t="n">
        <v>46287</v>
      </c>
      <c r="C172" s="58" t="s">
        <v>129</v>
      </c>
      <c r="D172" s="58" t="s">
        <v>130</v>
      </c>
      <c r="E172" s="59" t="n">
        <v>450</v>
      </c>
      <c r="F172" s="58" t="s">
        <v>96</v>
      </c>
      <c r="G172" s="58"/>
      <c r="H172" s="60" t="str">
        <f aca="false">IF(OR(E172="",D172=""),"",IF(K172=0,"Expense / Gasto",INDEX(Budget!$C$7:$C$41,K172)))</f>
        <v>Income / Ingreso</v>
      </c>
      <c r="I172" s="60" t="str">
        <f aca="false">IF(AND(B172="",E172=""),"",IF(NOT(ISNUMBER(B172)),"⚠ ADD DATE / AGREGA FECHA",IF(E172="","⚠ ADD AMOUNT / AGREGA MONTO",IF(D172="","⚠ ADD CATEGORY / AGREGA CATEGORÍA",IF(K172=0,"● NEW CATEGORY? / ¿CATEGORÍA NUEVA?","✔ OK")))))</f>
        <v>✔ OK</v>
      </c>
      <c r="K172" s="56" t="n">
        <f aca="false">IF(D172="","",IFERROR(MATCH(D172,Budget!$B$7:$B$41,0),0))</f>
        <v>3</v>
      </c>
      <c r="L172" s="56" t="n">
        <f aca="false">IF(AND(ISNUMBER(B172),ISNUMBER(E172),D172&lt;&gt;""),YEAR(B172)*100+MONTH(B172),0)</f>
        <v>202609</v>
      </c>
      <c r="M172" s="56" t="n">
        <f aca="false">IF(L172=0,0,YEAR(B172))</f>
        <v>2026</v>
      </c>
      <c r="N172" s="56" t="str">
        <f aca="false">IF(L172=0,"",IF(K172=0,"Wants / Gustos",INDEX(Budget!$D$7:$D$41,K172)))</f>
        <v>—</v>
      </c>
    </row>
    <row r="173" customFormat="false" ht="15" hidden="false" customHeight="false" outlineLevel="0" collapsed="false">
      <c r="B173" s="57" t="n">
        <v>46289</v>
      </c>
      <c r="C173" s="58" t="s">
        <v>109</v>
      </c>
      <c r="D173" s="58" t="s">
        <v>110</v>
      </c>
      <c r="E173" s="59" t="n">
        <v>101.04</v>
      </c>
      <c r="F173" s="58" t="s">
        <v>102</v>
      </c>
      <c r="G173" s="58"/>
      <c r="H173" s="60" t="str">
        <f aca="false">IF(OR(E173="",D173=""),"",IF(K173=0,"Expense / Gasto",INDEX(Budget!$C$7:$C$41,K173)))</f>
        <v>Expense / Gasto</v>
      </c>
      <c r="I173" s="60" t="str">
        <f aca="false">IF(AND(B173="",E173=""),"",IF(NOT(ISNUMBER(B173)),"⚠ ADD DATE / AGREGA FECHA",IF(E173="","⚠ ADD AMOUNT / AGREGA MONTO",IF(D173="","⚠ ADD CATEGORY / AGREGA CATEGORÍA",IF(K173=0,"● NEW CATEGORY? / ¿CATEGORÍA NUEVA?","✔ OK")))))</f>
        <v>✔ OK</v>
      </c>
      <c r="K173" s="56" t="n">
        <f aca="false">IF(D173="","",IFERROR(MATCH(D173,Budget!$B$7:$B$41,0),0))</f>
        <v>10</v>
      </c>
      <c r="L173" s="56" t="n">
        <f aca="false">IF(AND(ISNUMBER(B173),ISNUMBER(E173),D173&lt;&gt;""),YEAR(B173)*100+MONTH(B173),0)</f>
        <v>202609</v>
      </c>
      <c r="M173" s="56" t="n">
        <f aca="false">IF(L173=0,0,YEAR(B173))</f>
        <v>2026</v>
      </c>
      <c r="N173" s="56" t="str">
        <f aca="false">IF(L173=0,"",IF(K173=0,"Wants / Gustos",INDEX(Budget!$D$7:$D$41,K173)))</f>
        <v>Needs / Necesidades</v>
      </c>
    </row>
    <row r="174" customFormat="false" ht="15" hidden="false" customHeight="false" outlineLevel="0" collapsed="false">
      <c r="B174" s="57" t="n">
        <v>46290</v>
      </c>
      <c r="C174" s="58" t="s">
        <v>123</v>
      </c>
      <c r="D174" s="58" t="s">
        <v>124</v>
      </c>
      <c r="E174" s="59" t="n">
        <v>575</v>
      </c>
      <c r="F174" s="58" t="s">
        <v>99</v>
      </c>
      <c r="G174" s="58"/>
      <c r="H174" s="60" t="str">
        <f aca="false">IF(OR(E174="",D174=""),"",IF(K174=0,"Expense / Gasto",INDEX(Budget!$C$7:$C$41,K174)))</f>
        <v>Expense / Gasto</v>
      </c>
      <c r="I174" s="60" t="str">
        <f aca="false">IF(AND(B174="",E174=""),"",IF(NOT(ISNUMBER(B174)),"⚠ ADD DATE / AGREGA FECHA",IF(E174="","⚠ ADD AMOUNT / AGREGA MONTO",IF(D174="","⚠ ADD CATEGORY / AGREGA CATEGORÍA",IF(K174=0,"● NEW CATEGORY? / ¿CATEGORÍA NUEVA?","✔ OK")))))</f>
        <v>✔ OK</v>
      </c>
      <c r="K174" s="56" t="n">
        <f aca="false">IF(D174="","",IFERROR(MATCH(D174,Budget!$B$7:$B$41,0),0))</f>
        <v>24</v>
      </c>
      <c r="L174" s="56" t="n">
        <f aca="false">IF(AND(ISNUMBER(B174),ISNUMBER(E174),D174&lt;&gt;""),YEAR(B174)*100+MONTH(B174),0)</f>
        <v>202609</v>
      </c>
      <c r="M174" s="56" t="n">
        <f aca="false">IF(L174=0,0,YEAR(B174))</f>
        <v>2026</v>
      </c>
      <c r="N174" s="56" t="str">
        <f aca="false">IF(L174=0,"",IF(K174=0,"Wants / Gustos",INDEX(Budget!$D$7:$D$41,K174)))</f>
        <v>Savings &amp; Debt / Ahorro y Deuda</v>
      </c>
    </row>
    <row r="175" customFormat="false" ht="15" hidden="false" customHeight="false" outlineLevel="0" collapsed="false">
      <c r="B175" s="57" t="n">
        <v>46291</v>
      </c>
      <c r="C175" s="58" t="s">
        <v>125</v>
      </c>
      <c r="D175" s="58" t="s">
        <v>126</v>
      </c>
      <c r="E175" s="59" t="n">
        <v>200</v>
      </c>
      <c r="F175" s="58" t="s">
        <v>99</v>
      </c>
      <c r="G175" s="58"/>
      <c r="H175" s="60" t="str">
        <f aca="false">IF(OR(E175="",D175=""),"",IF(K175=0,"Expense / Gasto",INDEX(Budget!$C$7:$C$41,K175)))</f>
        <v>Expense / Gasto</v>
      </c>
      <c r="I175" s="60" t="str">
        <f aca="false">IF(AND(B175="",E175=""),"",IF(NOT(ISNUMBER(B175)),"⚠ ADD DATE / AGREGA FECHA",IF(E175="","⚠ ADD AMOUNT / AGREGA MONTO",IF(D175="","⚠ ADD CATEGORY / AGREGA CATEGORÍA",IF(K175=0,"● NEW CATEGORY? / ¿CATEGORÍA NUEVA?","✔ OK")))))</f>
        <v>✔ OK</v>
      </c>
      <c r="K175" s="56" t="n">
        <f aca="false">IF(D175="","",IFERROR(MATCH(D175,Budget!$B$7:$B$41,0),0))</f>
        <v>25</v>
      </c>
      <c r="L175" s="56" t="n">
        <f aca="false">IF(AND(ISNUMBER(B175),ISNUMBER(E175),D175&lt;&gt;""),YEAR(B175)*100+MONTH(B175),0)</f>
        <v>202609</v>
      </c>
      <c r="M175" s="56" t="n">
        <f aca="false">IF(L175=0,0,YEAR(B175))</f>
        <v>2026</v>
      </c>
      <c r="N175" s="56" t="str">
        <f aca="false">IF(L175=0,"",IF(K175=0,"Wants / Gustos",INDEX(Budget!$D$7:$D$41,K175)))</f>
        <v>Savings &amp; Debt / Ahorro y Deuda</v>
      </c>
    </row>
    <row r="176" customFormat="false" ht="15" hidden="false" customHeight="false" outlineLevel="0" collapsed="false">
      <c r="B176" s="57"/>
      <c r="C176" s="58"/>
      <c r="D176" s="58"/>
      <c r="E176" s="59"/>
      <c r="F176" s="58"/>
      <c r="G176" s="58"/>
      <c r="H176" s="60" t="str">
        <f aca="false">IF(OR(E176="",D176=""),"",IF(K176=0,"Expense / Gasto",INDEX(Budget!$C$7:$C$41,K176)))</f>
        <v/>
      </c>
      <c r="I176" s="60" t="str">
        <f aca="false">IF(AND(B176="",E176=""),"",IF(NOT(ISNUMBER(B176)),"⚠ ADD DATE / AGREGA FECHA",IF(E176="","⚠ ADD AMOUNT / AGREGA MONTO",IF(D176="","⚠ ADD CATEGORY / AGREGA CATEGORÍA",IF(K176=0,"● NEW CATEGORY? / ¿CATEGORÍA NUEVA?","✔ OK")))))</f>
        <v/>
      </c>
      <c r="K176" s="56" t="str">
        <f aca="false">IF(D176="","",IFERROR(MATCH(D176,Budget!$B$7:$B$41,0),0))</f>
        <v/>
      </c>
      <c r="L176" s="56" t="n">
        <f aca="false">IF(AND(ISNUMBER(B176),ISNUMBER(E176),D176&lt;&gt;""),YEAR(B176)*100+MONTH(B176),0)</f>
        <v>0</v>
      </c>
      <c r="M176" s="56" t="n">
        <f aca="false">IF(L176=0,0,YEAR(B176))</f>
        <v>0</v>
      </c>
      <c r="N176" s="56" t="str">
        <f aca="false">IF(L176=0,"",IF(K176=0,"Wants / Gustos",INDEX(Budget!$D$7:$D$41,K176)))</f>
        <v/>
      </c>
    </row>
    <row r="177" customFormat="false" ht="15" hidden="false" customHeight="false" outlineLevel="0" collapsed="false">
      <c r="B177" s="57"/>
      <c r="C177" s="58"/>
      <c r="D177" s="58"/>
      <c r="E177" s="59"/>
      <c r="F177" s="58"/>
      <c r="G177" s="58"/>
      <c r="H177" s="60" t="str">
        <f aca="false">IF(OR(E177="",D177=""),"",IF(K177=0,"Expense / Gasto",INDEX(Budget!$C$7:$C$41,K177)))</f>
        <v/>
      </c>
      <c r="I177" s="60" t="str">
        <f aca="false">IF(AND(B177="",E177=""),"",IF(NOT(ISNUMBER(B177)),"⚠ ADD DATE / AGREGA FECHA",IF(E177="","⚠ ADD AMOUNT / AGREGA MONTO",IF(D177="","⚠ ADD CATEGORY / AGREGA CATEGORÍA",IF(K177=0,"● NEW CATEGORY? / ¿CATEGORÍA NUEVA?","✔ OK")))))</f>
        <v/>
      </c>
      <c r="K177" s="56" t="str">
        <f aca="false">IF(D177="","",IFERROR(MATCH(D177,Budget!$B$7:$B$41,0),0))</f>
        <v/>
      </c>
      <c r="L177" s="56" t="n">
        <f aca="false">IF(AND(ISNUMBER(B177),ISNUMBER(E177),D177&lt;&gt;""),YEAR(B177)*100+MONTH(B177),0)</f>
        <v>0</v>
      </c>
      <c r="M177" s="56" t="n">
        <f aca="false">IF(L177=0,0,YEAR(B177))</f>
        <v>0</v>
      </c>
      <c r="N177" s="56" t="str">
        <f aca="false">IF(L177=0,"",IF(K177=0,"Wants / Gustos",INDEX(Budget!$D$7:$D$41,K177)))</f>
        <v/>
      </c>
    </row>
    <row r="178" customFormat="false" ht="15" hidden="false" customHeight="false" outlineLevel="0" collapsed="false">
      <c r="B178" s="57"/>
      <c r="C178" s="58"/>
      <c r="D178" s="58"/>
      <c r="E178" s="59"/>
      <c r="F178" s="58"/>
      <c r="G178" s="58"/>
      <c r="H178" s="60" t="str">
        <f aca="false">IF(OR(E178="",D178=""),"",IF(K178=0,"Expense / Gasto",INDEX(Budget!$C$7:$C$41,K178)))</f>
        <v/>
      </c>
      <c r="I178" s="60" t="str">
        <f aca="false">IF(AND(B178="",E178=""),"",IF(NOT(ISNUMBER(B178)),"⚠ ADD DATE / AGREGA FECHA",IF(E178="","⚠ ADD AMOUNT / AGREGA MONTO",IF(D178="","⚠ ADD CATEGORY / AGREGA CATEGORÍA",IF(K178=0,"● NEW CATEGORY? / ¿CATEGORÍA NUEVA?","✔ OK")))))</f>
        <v/>
      </c>
      <c r="K178" s="56" t="str">
        <f aca="false">IF(D178="","",IFERROR(MATCH(D178,Budget!$B$7:$B$41,0),0))</f>
        <v/>
      </c>
      <c r="L178" s="56" t="n">
        <f aca="false">IF(AND(ISNUMBER(B178),ISNUMBER(E178),D178&lt;&gt;""),YEAR(B178)*100+MONTH(B178),0)</f>
        <v>0</v>
      </c>
      <c r="M178" s="56" t="n">
        <f aca="false">IF(L178=0,0,YEAR(B178))</f>
        <v>0</v>
      </c>
      <c r="N178" s="56" t="str">
        <f aca="false">IF(L178=0,"",IF(K178=0,"Wants / Gustos",INDEX(Budget!$D$7:$D$41,K178)))</f>
        <v/>
      </c>
    </row>
    <row r="179" customFormat="false" ht="15" hidden="false" customHeight="false" outlineLevel="0" collapsed="false">
      <c r="B179" s="57"/>
      <c r="C179" s="58"/>
      <c r="D179" s="58"/>
      <c r="E179" s="59"/>
      <c r="F179" s="58"/>
      <c r="G179" s="58"/>
      <c r="H179" s="60" t="str">
        <f aca="false">IF(OR(E179="",D179=""),"",IF(K179=0,"Expense / Gasto",INDEX(Budget!$C$7:$C$41,K179)))</f>
        <v/>
      </c>
      <c r="I179" s="60" t="str">
        <f aca="false">IF(AND(B179="",E179=""),"",IF(NOT(ISNUMBER(B179)),"⚠ ADD DATE / AGREGA FECHA",IF(E179="","⚠ ADD AMOUNT / AGREGA MONTO",IF(D179="","⚠ ADD CATEGORY / AGREGA CATEGORÍA",IF(K179=0,"● NEW CATEGORY? / ¿CATEGORÍA NUEVA?","✔ OK")))))</f>
        <v/>
      </c>
      <c r="K179" s="56" t="str">
        <f aca="false">IF(D179="","",IFERROR(MATCH(D179,Budget!$B$7:$B$41,0),0))</f>
        <v/>
      </c>
      <c r="L179" s="56" t="n">
        <f aca="false">IF(AND(ISNUMBER(B179),ISNUMBER(E179),D179&lt;&gt;""),YEAR(B179)*100+MONTH(B179),0)</f>
        <v>0</v>
      </c>
      <c r="M179" s="56" t="n">
        <f aca="false">IF(L179=0,0,YEAR(B179))</f>
        <v>0</v>
      </c>
      <c r="N179" s="56" t="str">
        <f aca="false">IF(L179=0,"",IF(K179=0,"Wants / Gustos",INDEX(Budget!$D$7:$D$41,K179)))</f>
        <v/>
      </c>
    </row>
    <row r="180" customFormat="false" ht="15" hidden="false" customHeight="false" outlineLevel="0" collapsed="false">
      <c r="B180" s="57"/>
      <c r="C180" s="58"/>
      <c r="D180" s="58"/>
      <c r="E180" s="59"/>
      <c r="F180" s="58"/>
      <c r="G180" s="58"/>
      <c r="H180" s="60" t="str">
        <f aca="false">IF(OR(E180="",D180=""),"",IF(K180=0,"Expense / Gasto",INDEX(Budget!$C$7:$C$41,K180)))</f>
        <v/>
      </c>
      <c r="I180" s="60" t="str">
        <f aca="false">IF(AND(B180="",E180=""),"",IF(NOT(ISNUMBER(B180)),"⚠ ADD DATE / AGREGA FECHA",IF(E180="","⚠ ADD AMOUNT / AGREGA MONTO",IF(D180="","⚠ ADD CATEGORY / AGREGA CATEGORÍA",IF(K180=0,"● NEW CATEGORY? / ¿CATEGORÍA NUEVA?","✔ OK")))))</f>
        <v/>
      </c>
      <c r="K180" s="56" t="str">
        <f aca="false">IF(D180="","",IFERROR(MATCH(D180,Budget!$B$7:$B$41,0),0))</f>
        <v/>
      </c>
      <c r="L180" s="56" t="n">
        <f aca="false">IF(AND(ISNUMBER(B180),ISNUMBER(E180),D180&lt;&gt;""),YEAR(B180)*100+MONTH(B180),0)</f>
        <v>0</v>
      </c>
      <c r="M180" s="56" t="n">
        <f aca="false">IF(L180=0,0,YEAR(B180))</f>
        <v>0</v>
      </c>
      <c r="N180" s="56" t="str">
        <f aca="false">IF(L180=0,"",IF(K180=0,"Wants / Gustos",INDEX(Budget!$D$7:$D$41,K180)))</f>
        <v/>
      </c>
    </row>
    <row r="181" customFormat="false" ht="15" hidden="false" customHeight="false" outlineLevel="0" collapsed="false">
      <c r="B181" s="57"/>
      <c r="C181" s="58"/>
      <c r="D181" s="58"/>
      <c r="E181" s="59"/>
      <c r="F181" s="58"/>
      <c r="G181" s="58"/>
      <c r="H181" s="60" t="str">
        <f aca="false">IF(OR(E181="",D181=""),"",IF(K181=0,"Expense / Gasto",INDEX(Budget!$C$7:$C$41,K181)))</f>
        <v/>
      </c>
      <c r="I181" s="60" t="str">
        <f aca="false">IF(AND(B181="",E181=""),"",IF(NOT(ISNUMBER(B181)),"⚠ ADD DATE / AGREGA FECHA",IF(E181="","⚠ ADD AMOUNT / AGREGA MONTO",IF(D181="","⚠ ADD CATEGORY / AGREGA CATEGORÍA",IF(K181=0,"● NEW CATEGORY? / ¿CATEGORÍA NUEVA?","✔ OK")))))</f>
        <v/>
      </c>
      <c r="K181" s="56" t="str">
        <f aca="false">IF(D181="","",IFERROR(MATCH(D181,Budget!$B$7:$B$41,0),0))</f>
        <v/>
      </c>
      <c r="L181" s="56" t="n">
        <f aca="false">IF(AND(ISNUMBER(B181),ISNUMBER(E181),D181&lt;&gt;""),YEAR(B181)*100+MONTH(B181),0)</f>
        <v>0</v>
      </c>
      <c r="M181" s="56" t="n">
        <f aca="false">IF(L181=0,0,YEAR(B181))</f>
        <v>0</v>
      </c>
      <c r="N181" s="56" t="str">
        <f aca="false">IF(L181=0,"",IF(K181=0,"Wants / Gustos",INDEX(Budget!$D$7:$D$41,K181)))</f>
        <v/>
      </c>
    </row>
    <row r="182" customFormat="false" ht="15" hidden="false" customHeight="false" outlineLevel="0" collapsed="false">
      <c r="B182" s="57"/>
      <c r="C182" s="58"/>
      <c r="D182" s="58"/>
      <c r="E182" s="59"/>
      <c r="F182" s="58"/>
      <c r="G182" s="58"/>
      <c r="H182" s="60" t="str">
        <f aca="false">IF(OR(E182="",D182=""),"",IF(K182=0,"Expense / Gasto",INDEX(Budget!$C$7:$C$41,K182)))</f>
        <v/>
      </c>
      <c r="I182" s="60" t="str">
        <f aca="false">IF(AND(B182="",E182=""),"",IF(NOT(ISNUMBER(B182)),"⚠ ADD DATE / AGREGA FECHA",IF(E182="","⚠ ADD AMOUNT / AGREGA MONTO",IF(D182="","⚠ ADD CATEGORY / AGREGA CATEGORÍA",IF(K182=0,"● NEW CATEGORY? / ¿CATEGORÍA NUEVA?","✔ OK")))))</f>
        <v/>
      </c>
      <c r="K182" s="56" t="str">
        <f aca="false">IF(D182="","",IFERROR(MATCH(D182,Budget!$B$7:$B$41,0),0))</f>
        <v/>
      </c>
      <c r="L182" s="56" t="n">
        <f aca="false">IF(AND(ISNUMBER(B182),ISNUMBER(E182),D182&lt;&gt;""),YEAR(B182)*100+MONTH(B182),0)</f>
        <v>0</v>
      </c>
      <c r="M182" s="56" t="n">
        <f aca="false">IF(L182=0,0,YEAR(B182))</f>
        <v>0</v>
      </c>
      <c r="N182" s="56" t="str">
        <f aca="false">IF(L182=0,"",IF(K182=0,"Wants / Gustos",INDEX(Budget!$D$7:$D$41,K182)))</f>
        <v/>
      </c>
    </row>
    <row r="183" customFormat="false" ht="15" hidden="false" customHeight="false" outlineLevel="0" collapsed="false">
      <c r="B183" s="57"/>
      <c r="C183" s="58"/>
      <c r="D183" s="58"/>
      <c r="E183" s="59"/>
      <c r="F183" s="58"/>
      <c r="G183" s="58"/>
      <c r="H183" s="60" t="str">
        <f aca="false">IF(OR(E183="",D183=""),"",IF(K183=0,"Expense / Gasto",INDEX(Budget!$C$7:$C$41,K183)))</f>
        <v/>
      </c>
      <c r="I183" s="60" t="str">
        <f aca="false">IF(AND(B183="",E183=""),"",IF(NOT(ISNUMBER(B183)),"⚠ ADD DATE / AGREGA FECHA",IF(E183="","⚠ ADD AMOUNT / AGREGA MONTO",IF(D183="","⚠ ADD CATEGORY / AGREGA CATEGORÍA",IF(K183=0,"● NEW CATEGORY? / ¿CATEGORÍA NUEVA?","✔ OK")))))</f>
        <v/>
      </c>
      <c r="K183" s="56" t="str">
        <f aca="false">IF(D183="","",IFERROR(MATCH(D183,Budget!$B$7:$B$41,0),0))</f>
        <v/>
      </c>
      <c r="L183" s="56" t="n">
        <f aca="false">IF(AND(ISNUMBER(B183),ISNUMBER(E183),D183&lt;&gt;""),YEAR(B183)*100+MONTH(B183),0)</f>
        <v>0</v>
      </c>
      <c r="M183" s="56" t="n">
        <f aca="false">IF(L183=0,0,YEAR(B183))</f>
        <v>0</v>
      </c>
      <c r="N183" s="56" t="str">
        <f aca="false">IF(L183=0,"",IF(K183=0,"Wants / Gustos",INDEX(Budget!$D$7:$D$41,K183)))</f>
        <v/>
      </c>
    </row>
    <row r="184" customFormat="false" ht="15" hidden="false" customHeight="false" outlineLevel="0" collapsed="false">
      <c r="B184" s="57"/>
      <c r="C184" s="58"/>
      <c r="D184" s="58"/>
      <c r="E184" s="59"/>
      <c r="F184" s="58"/>
      <c r="G184" s="58"/>
      <c r="H184" s="60" t="str">
        <f aca="false">IF(OR(E184="",D184=""),"",IF(K184=0,"Expense / Gasto",INDEX(Budget!$C$7:$C$41,K184)))</f>
        <v/>
      </c>
      <c r="I184" s="60" t="str">
        <f aca="false">IF(AND(B184="",E184=""),"",IF(NOT(ISNUMBER(B184)),"⚠ ADD DATE / AGREGA FECHA",IF(E184="","⚠ ADD AMOUNT / AGREGA MONTO",IF(D184="","⚠ ADD CATEGORY / AGREGA CATEGORÍA",IF(K184=0,"● NEW CATEGORY? / ¿CATEGORÍA NUEVA?","✔ OK")))))</f>
        <v/>
      </c>
      <c r="K184" s="56" t="str">
        <f aca="false">IF(D184="","",IFERROR(MATCH(D184,Budget!$B$7:$B$41,0),0))</f>
        <v/>
      </c>
      <c r="L184" s="56" t="n">
        <f aca="false">IF(AND(ISNUMBER(B184),ISNUMBER(E184),D184&lt;&gt;""),YEAR(B184)*100+MONTH(B184),0)</f>
        <v>0</v>
      </c>
      <c r="M184" s="56" t="n">
        <f aca="false">IF(L184=0,0,YEAR(B184))</f>
        <v>0</v>
      </c>
      <c r="N184" s="56" t="str">
        <f aca="false">IF(L184=0,"",IF(K184=0,"Wants / Gustos",INDEX(Budget!$D$7:$D$41,K184)))</f>
        <v/>
      </c>
    </row>
    <row r="185" customFormat="false" ht="15" hidden="false" customHeight="false" outlineLevel="0" collapsed="false">
      <c r="B185" s="57"/>
      <c r="C185" s="58"/>
      <c r="D185" s="58"/>
      <c r="E185" s="59"/>
      <c r="F185" s="58"/>
      <c r="G185" s="58"/>
      <c r="H185" s="60" t="str">
        <f aca="false">IF(OR(E185="",D185=""),"",IF(K185=0,"Expense / Gasto",INDEX(Budget!$C$7:$C$41,K185)))</f>
        <v/>
      </c>
      <c r="I185" s="60" t="str">
        <f aca="false">IF(AND(B185="",E185=""),"",IF(NOT(ISNUMBER(B185)),"⚠ ADD DATE / AGREGA FECHA",IF(E185="","⚠ ADD AMOUNT / AGREGA MONTO",IF(D185="","⚠ ADD CATEGORY / AGREGA CATEGORÍA",IF(K185=0,"● NEW CATEGORY? / ¿CATEGORÍA NUEVA?","✔ OK")))))</f>
        <v/>
      </c>
      <c r="K185" s="56" t="str">
        <f aca="false">IF(D185="","",IFERROR(MATCH(D185,Budget!$B$7:$B$41,0),0))</f>
        <v/>
      </c>
      <c r="L185" s="56" t="n">
        <f aca="false">IF(AND(ISNUMBER(B185),ISNUMBER(E185),D185&lt;&gt;""),YEAR(B185)*100+MONTH(B185),0)</f>
        <v>0</v>
      </c>
      <c r="M185" s="56" t="n">
        <f aca="false">IF(L185=0,0,YEAR(B185))</f>
        <v>0</v>
      </c>
      <c r="N185" s="56" t="str">
        <f aca="false">IF(L185=0,"",IF(K185=0,"Wants / Gustos",INDEX(Budget!$D$7:$D$41,K185)))</f>
        <v/>
      </c>
    </row>
    <row r="186" customFormat="false" ht="15" hidden="false" customHeight="false" outlineLevel="0" collapsed="false">
      <c r="B186" s="57"/>
      <c r="C186" s="58"/>
      <c r="D186" s="58"/>
      <c r="E186" s="59"/>
      <c r="F186" s="58"/>
      <c r="G186" s="58"/>
      <c r="H186" s="60" t="str">
        <f aca="false">IF(OR(E186="",D186=""),"",IF(K186=0,"Expense / Gasto",INDEX(Budget!$C$7:$C$41,K186)))</f>
        <v/>
      </c>
      <c r="I186" s="60" t="str">
        <f aca="false">IF(AND(B186="",E186=""),"",IF(NOT(ISNUMBER(B186)),"⚠ ADD DATE / AGREGA FECHA",IF(E186="","⚠ ADD AMOUNT / AGREGA MONTO",IF(D186="","⚠ ADD CATEGORY / AGREGA CATEGORÍA",IF(K186=0,"● NEW CATEGORY? / ¿CATEGORÍA NUEVA?","✔ OK")))))</f>
        <v/>
      </c>
      <c r="K186" s="56" t="str">
        <f aca="false">IF(D186="","",IFERROR(MATCH(D186,Budget!$B$7:$B$41,0),0))</f>
        <v/>
      </c>
      <c r="L186" s="56" t="n">
        <f aca="false">IF(AND(ISNUMBER(B186),ISNUMBER(E186),D186&lt;&gt;""),YEAR(B186)*100+MONTH(B186),0)</f>
        <v>0</v>
      </c>
      <c r="M186" s="56" t="n">
        <f aca="false">IF(L186=0,0,YEAR(B186))</f>
        <v>0</v>
      </c>
      <c r="N186" s="56" t="str">
        <f aca="false">IF(L186=0,"",IF(K186=0,"Wants / Gustos",INDEX(Budget!$D$7:$D$41,K186)))</f>
        <v/>
      </c>
    </row>
    <row r="187" customFormat="false" ht="15" hidden="false" customHeight="false" outlineLevel="0" collapsed="false">
      <c r="B187" s="57"/>
      <c r="C187" s="58"/>
      <c r="D187" s="58"/>
      <c r="E187" s="59"/>
      <c r="F187" s="58"/>
      <c r="G187" s="58"/>
      <c r="H187" s="60" t="str">
        <f aca="false">IF(OR(E187="",D187=""),"",IF(K187=0,"Expense / Gasto",INDEX(Budget!$C$7:$C$41,K187)))</f>
        <v/>
      </c>
      <c r="I187" s="60" t="str">
        <f aca="false">IF(AND(B187="",E187=""),"",IF(NOT(ISNUMBER(B187)),"⚠ ADD DATE / AGREGA FECHA",IF(E187="","⚠ ADD AMOUNT / AGREGA MONTO",IF(D187="","⚠ ADD CATEGORY / AGREGA CATEGORÍA",IF(K187=0,"● NEW CATEGORY? / ¿CATEGORÍA NUEVA?","✔ OK")))))</f>
        <v/>
      </c>
      <c r="K187" s="56" t="str">
        <f aca="false">IF(D187="","",IFERROR(MATCH(D187,Budget!$B$7:$B$41,0),0))</f>
        <v/>
      </c>
      <c r="L187" s="56" t="n">
        <f aca="false">IF(AND(ISNUMBER(B187),ISNUMBER(E187),D187&lt;&gt;""),YEAR(B187)*100+MONTH(B187),0)</f>
        <v>0</v>
      </c>
      <c r="M187" s="56" t="n">
        <f aca="false">IF(L187=0,0,YEAR(B187))</f>
        <v>0</v>
      </c>
      <c r="N187" s="56" t="str">
        <f aca="false">IF(L187=0,"",IF(K187=0,"Wants / Gustos",INDEX(Budget!$D$7:$D$41,K187)))</f>
        <v/>
      </c>
    </row>
    <row r="188" customFormat="false" ht="15" hidden="false" customHeight="false" outlineLevel="0" collapsed="false">
      <c r="B188" s="57"/>
      <c r="C188" s="58"/>
      <c r="D188" s="58"/>
      <c r="E188" s="59"/>
      <c r="F188" s="58"/>
      <c r="G188" s="58"/>
      <c r="H188" s="60" t="str">
        <f aca="false">IF(OR(E188="",D188=""),"",IF(K188=0,"Expense / Gasto",INDEX(Budget!$C$7:$C$41,K188)))</f>
        <v/>
      </c>
      <c r="I188" s="60" t="str">
        <f aca="false">IF(AND(B188="",E188=""),"",IF(NOT(ISNUMBER(B188)),"⚠ ADD DATE / AGREGA FECHA",IF(E188="","⚠ ADD AMOUNT / AGREGA MONTO",IF(D188="","⚠ ADD CATEGORY / AGREGA CATEGORÍA",IF(K188=0,"● NEW CATEGORY? / ¿CATEGORÍA NUEVA?","✔ OK")))))</f>
        <v/>
      </c>
      <c r="K188" s="56" t="str">
        <f aca="false">IF(D188="","",IFERROR(MATCH(D188,Budget!$B$7:$B$41,0),0))</f>
        <v/>
      </c>
      <c r="L188" s="56" t="n">
        <f aca="false">IF(AND(ISNUMBER(B188),ISNUMBER(E188),D188&lt;&gt;""),YEAR(B188)*100+MONTH(B188),0)</f>
        <v>0</v>
      </c>
      <c r="M188" s="56" t="n">
        <f aca="false">IF(L188=0,0,YEAR(B188))</f>
        <v>0</v>
      </c>
      <c r="N188" s="56" t="str">
        <f aca="false">IF(L188=0,"",IF(K188=0,"Wants / Gustos",INDEX(Budget!$D$7:$D$41,K188)))</f>
        <v/>
      </c>
    </row>
    <row r="189" customFormat="false" ht="15" hidden="false" customHeight="false" outlineLevel="0" collapsed="false">
      <c r="B189" s="57"/>
      <c r="C189" s="58"/>
      <c r="D189" s="58"/>
      <c r="E189" s="59"/>
      <c r="F189" s="58"/>
      <c r="G189" s="58"/>
      <c r="H189" s="60" t="str">
        <f aca="false">IF(OR(E189="",D189=""),"",IF(K189=0,"Expense / Gasto",INDEX(Budget!$C$7:$C$41,K189)))</f>
        <v/>
      </c>
      <c r="I189" s="60" t="str">
        <f aca="false">IF(AND(B189="",E189=""),"",IF(NOT(ISNUMBER(B189)),"⚠ ADD DATE / AGREGA FECHA",IF(E189="","⚠ ADD AMOUNT / AGREGA MONTO",IF(D189="","⚠ ADD CATEGORY / AGREGA CATEGORÍA",IF(K189=0,"● NEW CATEGORY? / ¿CATEGORÍA NUEVA?","✔ OK")))))</f>
        <v/>
      </c>
      <c r="K189" s="56" t="str">
        <f aca="false">IF(D189="","",IFERROR(MATCH(D189,Budget!$B$7:$B$41,0),0))</f>
        <v/>
      </c>
      <c r="L189" s="56" t="n">
        <f aca="false">IF(AND(ISNUMBER(B189),ISNUMBER(E189),D189&lt;&gt;""),YEAR(B189)*100+MONTH(B189),0)</f>
        <v>0</v>
      </c>
      <c r="M189" s="56" t="n">
        <f aca="false">IF(L189=0,0,YEAR(B189))</f>
        <v>0</v>
      </c>
      <c r="N189" s="56" t="str">
        <f aca="false">IF(L189=0,"",IF(K189=0,"Wants / Gustos",INDEX(Budget!$D$7:$D$41,K189)))</f>
        <v/>
      </c>
    </row>
    <row r="190" customFormat="false" ht="15" hidden="false" customHeight="false" outlineLevel="0" collapsed="false">
      <c r="B190" s="57"/>
      <c r="C190" s="58"/>
      <c r="D190" s="58"/>
      <c r="E190" s="59"/>
      <c r="F190" s="58"/>
      <c r="G190" s="58"/>
      <c r="H190" s="60" t="str">
        <f aca="false">IF(OR(E190="",D190=""),"",IF(K190=0,"Expense / Gasto",INDEX(Budget!$C$7:$C$41,K190)))</f>
        <v/>
      </c>
      <c r="I190" s="60" t="str">
        <f aca="false">IF(AND(B190="",E190=""),"",IF(NOT(ISNUMBER(B190)),"⚠ ADD DATE / AGREGA FECHA",IF(E190="","⚠ ADD AMOUNT / AGREGA MONTO",IF(D190="","⚠ ADD CATEGORY / AGREGA CATEGORÍA",IF(K190=0,"● NEW CATEGORY? / ¿CATEGORÍA NUEVA?","✔ OK")))))</f>
        <v/>
      </c>
      <c r="K190" s="56" t="str">
        <f aca="false">IF(D190="","",IFERROR(MATCH(D190,Budget!$B$7:$B$41,0),0))</f>
        <v/>
      </c>
      <c r="L190" s="56" t="n">
        <f aca="false">IF(AND(ISNUMBER(B190),ISNUMBER(E190),D190&lt;&gt;""),YEAR(B190)*100+MONTH(B190),0)</f>
        <v>0</v>
      </c>
      <c r="M190" s="56" t="n">
        <f aca="false">IF(L190=0,0,YEAR(B190))</f>
        <v>0</v>
      </c>
      <c r="N190" s="56" t="str">
        <f aca="false">IF(L190=0,"",IF(K190=0,"Wants / Gustos",INDEX(Budget!$D$7:$D$41,K190)))</f>
        <v/>
      </c>
    </row>
    <row r="191" customFormat="false" ht="15" hidden="false" customHeight="false" outlineLevel="0" collapsed="false">
      <c r="B191" s="57"/>
      <c r="C191" s="58"/>
      <c r="D191" s="58"/>
      <c r="E191" s="59"/>
      <c r="F191" s="58"/>
      <c r="G191" s="58"/>
      <c r="H191" s="60" t="str">
        <f aca="false">IF(OR(E191="",D191=""),"",IF(K191=0,"Expense / Gasto",INDEX(Budget!$C$7:$C$41,K191)))</f>
        <v/>
      </c>
      <c r="I191" s="60" t="str">
        <f aca="false">IF(AND(B191="",E191=""),"",IF(NOT(ISNUMBER(B191)),"⚠ ADD DATE / AGREGA FECHA",IF(E191="","⚠ ADD AMOUNT / AGREGA MONTO",IF(D191="","⚠ ADD CATEGORY / AGREGA CATEGORÍA",IF(K191=0,"● NEW CATEGORY? / ¿CATEGORÍA NUEVA?","✔ OK")))))</f>
        <v/>
      </c>
      <c r="K191" s="56" t="str">
        <f aca="false">IF(D191="","",IFERROR(MATCH(D191,Budget!$B$7:$B$41,0),0))</f>
        <v/>
      </c>
      <c r="L191" s="56" t="n">
        <f aca="false">IF(AND(ISNUMBER(B191),ISNUMBER(E191),D191&lt;&gt;""),YEAR(B191)*100+MONTH(B191),0)</f>
        <v>0</v>
      </c>
      <c r="M191" s="56" t="n">
        <f aca="false">IF(L191=0,0,YEAR(B191))</f>
        <v>0</v>
      </c>
      <c r="N191" s="56" t="str">
        <f aca="false">IF(L191=0,"",IF(K191=0,"Wants / Gustos",INDEX(Budget!$D$7:$D$41,K191)))</f>
        <v/>
      </c>
    </row>
    <row r="192" customFormat="false" ht="15" hidden="false" customHeight="false" outlineLevel="0" collapsed="false">
      <c r="B192" s="57"/>
      <c r="C192" s="58"/>
      <c r="D192" s="58"/>
      <c r="E192" s="59"/>
      <c r="F192" s="58"/>
      <c r="G192" s="58"/>
      <c r="H192" s="60" t="str">
        <f aca="false">IF(OR(E192="",D192=""),"",IF(K192=0,"Expense / Gasto",INDEX(Budget!$C$7:$C$41,K192)))</f>
        <v/>
      </c>
      <c r="I192" s="60" t="str">
        <f aca="false">IF(AND(B192="",E192=""),"",IF(NOT(ISNUMBER(B192)),"⚠ ADD DATE / AGREGA FECHA",IF(E192="","⚠ ADD AMOUNT / AGREGA MONTO",IF(D192="","⚠ ADD CATEGORY / AGREGA CATEGORÍA",IF(K192=0,"● NEW CATEGORY? / ¿CATEGORÍA NUEVA?","✔ OK")))))</f>
        <v/>
      </c>
      <c r="K192" s="56" t="str">
        <f aca="false">IF(D192="","",IFERROR(MATCH(D192,Budget!$B$7:$B$41,0),0))</f>
        <v/>
      </c>
      <c r="L192" s="56" t="n">
        <f aca="false">IF(AND(ISNUMBER(B192),ISNUMBER(E192),D192&lt;&gt;""),YEAR(B192)*100+MONTH(B192),0)</f>
        <v>0</v>
      </c>
      <c r="M192" s="56" t="n">
        <f aca="false">IF(L192=0,0,YEAR(B192))</f>
        <v>0</v>
      </c>
      <c r="N192" s="56" t="str">
        <f aca="false">IF(L192=0,"",IF(K192=0,"Wants / Gustos",INDEX(Budget!$D$7:$D$41,K192)))</f>
        <v/>
      </c>
    </row>
    <row r="193" customFormat="false" ht="15" hidden="false" customHeight="false" outlineLevel="0" collapsed="false">
      <c r="B193" s="57"/>
      <c r="C193" s="58"/>
      <c r="D193" s="58"/>
      <c r="E193" s="59"/>
      <c r="F193" s="58"/>
      <c r="G193" s="58"/>
      <c r="H193" s="60" t="str">
        <f aca="false">IF(OR(E193="",D193=""),"",IF(K193=0,"Expense / Gasto",INDEX(Budget!$C$7:$C$41,K193)))</f>
        <v/>
      </c>
      <c r="I193" s="60" t="str">
        <f aca="false">IF(AND(B193="",E193=""),"",IF(NOT(ISNUMBER(B193)),"⚠ ADD DATE / AGREGA FECHA",IF(E193="","⚠ ADD AMOUNT / AGREGA MONTO",IF(D193="","⚠ ADD CATEGORY / AGREGA CATEGORÍA",IF(K193=0,"● NEW CATEGORY? / ¿CATEGORÍA NUEVA?","✔ OK")))))</f>
        <v/>
      </c>
      <c r="K193" s="56" t="str">
        <f aca="false">IF(D193="","",IFERROR(MATCH(D193,Budget!$B$7:$B$41,0),0))</f>
        <v/>
      </c>
      <c r="L193" s="56" t="n">
        <f aca="false">IF(AND(ISNUMBER(B193),ISNUMBER(E193),D193&lt;&gt;""),YEAR(B193)*100+MONTH(B193),0)</f>
        <v>0</v>
      </c>
      <c r="M193" s="56" t="n">
        <f aca="false">IF(L193=0,0,YEAR(B193))</f>
        <v>0</v>
      </c>
      <c r="N193" s="56" t="str">
        <f aca="false">IF(L193=0,"",IF(K193=0,"Wants / Gustos",INDEX(Budget!$D$7:$D$41,K193)))</f>
        <v/>
      </c>
    </row>
    <row r="194" customFormat="false" ht="15" hidden="false" customHeight="false" outlineLevel="0" collapsed="false">
      <c r="B194" s="57"/>
      <c r="C194" s="58"/>
      <c r="D194" s="58"/>
      <c r="E194" s="59"/>
      <c r="F194" s="58"/>
      <c r="G194" s="58"/>
      <c r="H194" s="60" t="str">
        <f aca="false">IF(OR(E194="",D194=""),"",IF(K194=0,"Expense / Gasto",INDEX(Budget!$C$7:$C$41,K194)))</f>
        <v/>
      </c>
      <c r="I194" s="60" t="str">
        <f aca="false">IF(AND(B194="",E194=""),"",IF(NOT(ISNUMBER(B194)),"⚠ ADD DATE / AGREGA FECHA",IF(E194="","⚠ ADD AMOUNT / AGREGA MONTO",IF(D194="","⚠ ADD CATEGORY / AGREGA CATEGORÍA",IF(K194=0,"● NEW CATEGORY? / ¿CATEGORÍA NUEVA?","✔ OK")))))</f>
        <v/>
      </c>
      <c r="K194" s="56" t="str">
        <f aca="false">IF(D194="","",IFERROR(MATCH(D194,Budget!$B$7:$B$41,0),0))</f>
        <v/>
      </c>
      <c r="L194" s="56" t="n">
        <f aca="false">IF(AND(ISNUMBER(B194),ISNUMBER(E194),D194&lt;&gt;""),YEAR(B194)*100+MONTH(B194),0)</f>
        <v>0</v>
      </c>
      <c r="M194" s="56" t="n">
        <f aca="false">IF(L194=0,0,YEAR(B194))</f>
        <v>0</v>
      </c>
      <c r="N194" s="56" t="str">
        <f aca="false">IF(L194=0,"",IF(K194=0,"Wants / Gustos",INDEX(Budget!$D$7:$D$41,K194)))</f>
        <v/>
      </c>
    </row>
    <row r="195" customFormat="false" ht="15" hidden="false" customHeight="false" outlineLevel="0" collapsed="false">
      <c r="B195" s="57"/>
      <c r="C195" s="58"/>
      <c r="D195" s="58"/>
      <c r="E195" s="59"/>
      <c r="F195" s="58"/>
      <c r="G195" s="58"/>
      <c r="H195" s="60" t="str">
        <f aca="false">IF(OR(E195="",D195=""),"",IF(K195=0,"Expense / Gasto",INDEX(Budget!$C$7:$C$41,K195)))</f>
        <v/>
      </c>
      <c r="I195" s="60" t="str">
        <f aca="false">IF(AND(B195="",E195=""),"",IF(NOT(ISNUMBER(B195)),"⚠ ADD DATE / AGREGA FECHA",IF(E195="","⚠ ADD AMOUNT / AGREGA MONTO",IF(D195="","⚠ ADD CATEGORY / AGREGA CATEGORÍA",IF(K195=0,"● NEW CATEGORY? / ¿CATEGORÍA NUEVA?","✔ OK")))))</f>
        <v/>
      </c>
      <c r="K195" s="56" t="str">
        <f aca="false">IF(D195="","",IFERROR(MATCH(D195,Budget!$B$7:$B$41,0),0))</f>
        <v/>
      </c>
      <c r="L195" s="56" t="n">
        <f aca="false">IF(AND(ISNUMBER(B195),ISNUMBER(E195),D195&lt;&gt;""),YEAR(B195)*100+MONTH(B195),0)</f>
        <v>0</v>
      </c>
      <c r="M195" s="56" t="n">
        <f aca="false">IF(L195=0,0,YEAR(B195))</f>
        <v>0</v>
      </c>
      <c r="N195" s="56" t="str">
        <f aca="false">IF(L195=0,"",IF(K195=0,"Wants / Gustos",INDEX(Budget!$D$7:$D$41,K195)))</f>
        <v/>
      </c>
    </row>
    <row r="196" customFormat="false" ht="15" hidden="false" customHeight="false" outlineLevel="0" collapsed="false">
      <c r="B196" s="57"/>
      <c r="C196" s="58"/>
      <c r="D196" s="58"/>
      <c r="E196" s="59"/>
      <c r="F196" s="58"/>
      <c r="G196" s="58"/>
      <c r="H196" s="60" t="str">
        <f aca="false">IF(OR(E196="",D196=""),"",IF(K196=0,"Expense / Gasto",INDEX(Budget!$C$7:$C$41,K196)))</f>
        <v/>
      </c>
      <c r="I196" s="60" t="str">
        <f aca="false">IF(AND(B196="",E196=""),"",IF(NOT(ISNUMBER(B196)),"⚠ ADD DATE / AGREGA FECHA",IF(E196="","⚠ ADD AMOUNT / AGREGA MONTO",IF(D196="","⚠ ADD CATEGORY / AGREGA CATEGORÍA",IF(K196=0,"● NEW CATEGORY? / ¿CATEGORÍA NUEVA?","✔ OK")))))</f>
        <v/>
      </c>
      <c r="K196" s="56" t="str">
        <f aca="false">IF(D196="","",IFERROR(MATCH(D196,Budget!$B$7:$B$41,0),0))</f>
        <v/>
      </c>
      <c r="L196" s="56" t="n">
        <f aca="false">IF(AND(ISNUMBER(B196),ISNUMBER(E196),D196&lt;&gt;""),YEAR(B196)*100+MONTH(B196),0)</f>
        <v>0</v>
      </c>
      <c r="M196" s="56" t="n">
        <f aca="false">IF(L196=0,0,YEAR(B196))</f>
        <v>0</v>
      </c>
      <c r="N196" s="56" t="str">
        <f aca="false">IF(L196=0,"",IF(K196=0,"Wants / Gustos",INDEX(Budget!$D$7:$D$41,K196)))</f>
        <v/>
      </c>
    </row>
    <row r="197" customFormat="false" ht="15" hidden="false" customHeight="false" outlineLevel="0" collapsed="false">
      <c r="B197" s="57"/>
      <c r="C197" s="58"/>
      <c r="D197" s="58"/>
      <c r="E197" s="59"/>
      <c r="F197" s="58"/>
      <c r="G197" s="58"/>
      <c r="H197" s="60" t="str">
        <f aca="false">IF(OR(E197="",D197=""),"",IF(K197=0,"Expense / Gasto",INDEX(Budget!$C$7:$C$41,K197)))</f>
        <v/>
      </c>
      <c r="I197" s="60" t="str">
        <f aca="false">IF(AND(B197="",E197=""),"",IF(NOT(ISNUMBER(B197)),"⚠ ADD DATE / AGREGA FECHA",IF(E197="","⚠ ADD AMOUNT / AGREGA MONTO",IF(D197="","⚠ ADD CATEGORY / AGREGA CATEGORÍA",IF(K197=0,"● NEW CATEGORY? / ¿CATEGORÍA NUEVA?","✔ OK")))))</f>
        <v/>
      </c>
      <c r="K197" s="56" t="str">
        <f aca="false">IF(D197="","",IFERROR(MATCH(D197,Budget!$B$7:$B$41,0),0))</f>
        <v/>
      </c>
      <c r="L197" s="56" t="n">
        <f aca="false">IF(AND(ISNUMBER(B197),ISNUMBER(E197),D197&lt;&gt;""),YEAR(B197)*100+MONTH(B197),0)</f>
        <v>0</v>
      </c>
      <c r="M197" s="56" t="n">
        <f aca="false">IF(L197=0,0,YEAR(B197))</f>
        <v>0</v>
      </c>
      <c r="N197" s="56" t="str">
        <f aca="false">IF(L197=0,"",IF(K197=0,"Wants / Gustos",INDEX(Budget!$D$7:$D$41,K197)))</f>
        <v/>
      </c>
    </row>
    <row r="198" customFormat="false" ht="15" hidden="false" customHeight="false" outlineLevel="0" collapsed="false">
      <c r="B198" s="57"/>
      <c r="C198" s="58"/>
      <c r="D198" s="58"/>
      <c r="E198" s="59"/>
      <c r="F198" s="58"/>
      <c r="G198" s="58"/>
      <c r="H198" s="60" t="str">
        <f aca="false">IF(OR(E198="",D198=""),"",IF(K198=0,"Expense / Gasto",INDEX(Budget!$C$7:$C$41,K198)))</f>
        <v/>
      </c>
      <c r="I198" s="60" t="str">
        <f aca="false">IF(AND(B198="",E198=""),"",IF(NOT(ISNUMBER(B198)),"⚠ ADD DATE / AGREGA FECHA",IF(E198="","⚠ ADD AMOUNT / AGREGA MONTO",IF(D198="","⚠ ADD CATEGORY / AGREGA CATEGORÍA",IF(K198=0,"● NEW CATEGORY? / ¿CATEGORÍA NUEVA?","✔ OK")))))</f>
        <v/>
      </c>
      <c r="K198" s="56" t="str">
        <f aca="false">IF(D198="","",IFERROR(MATCH(D198,Budget!$B$7:$B$41,0),0))</f>
        <v/>
      </c>
      <c r="L198" s="56" t="n">
        <f aca="false">IF(AND(ISNUMBER(B198),ISNUMBER(E198),D198&lt;&gt;""),YEAR(B198)*100+MONTH(B198),0)</f>
        <v>0</v>
      </c>
      <c r="M198" s="56" t="n">
        <f aca="false">IF(L198=0,0,YEAR(B198))</f>
        <v>0</v>
      </c>
      <c r="N198" s="56" t="str">
        <f aca="false">IF(L198=0,"",IF(K198=0,"Wants / Gustos",INDEX(Budget!$D$7:$D$41,K198)))</f>
        <v/>
      </c>
    </row>
    <row r="199" customFormat="false" ht="15" hidden="false" customHeight="false" outlineLevel="0" collapsed="false">
      <c r="B199" s="57"/>
      <c r="C199" s="58"/>
      <c r="D199" s="58"/>
      <c r="E199" s="59"/>
      <c r="F199" s="58"/>
      <c r="G199" s="58"/>
      <c r="H199" s="60" t="str">
        <f aca="false">IF(OR(E199="",D199=""),"",IF(K199=0,"Expense / Gasto",INDEX(Budget!$C$7:$C$41,K199)))</f>
        <v/>
      </c>
      <c r="I199" s="60" t="str">
        <f aca="false">IF(AND(B199="",E199=""),"",IF(NOT(ISNUMBER(B199)),"⚠ ADD DATE / AGREGA FECHA",IF(E199="","⚠ ADD AMOUNT / AGREGA MONTO",IF(D199="","⚠ ADD CATEGORY / AGREGA CATEGORÍA",IF(K199=0,"● NEW CATEGORY? / ¿CATEGORÍA NUEVA?","✔ OK")))))</f>
        <v/>
      </c>
      <c r="K199" s="56" t="str">
        <f aca="false">IF(D199="","",IFERROR(MATCH(D199,Budget!$B$7:$B$41,0),0))</f>
        <v/>
      </c>
      <c r="L199" s="56" t="n">
        <f aca="false">IF(AND(ISNUMBER(B199),ISNUMBER(E199),D199&lt;&gt;""),YEAR(B199)*100+MONTH(B199),0)</f>
        <v>0</v>
      </c>
      <c r="M199" s="56" t="n">
        <f aca="false">IF(L199=0,0,YEAR(B199))</f>
        <v>0</v>
      </c>
      <c r="N199" s="56" t="str">
        <f aca="false">IF(L199=0,"",IF(K199=0,"Wants / Gustos",INDEX(Budget!$D$7:$D$41,K199)))</f>
        <v/>
      </c>
    </row>
    <row r="200" customFormat="false" ht="15" hidden="false" customHeight="false" outlineLevel="0" collapsed="false">
      <c r="B200" s="57"/>
      <c r="C200" s="58"/>
      <c r="D200" s="58"/>
      <c r="E200" s="59"/>
      <c r="F200" s="58"/>
      <c r="G200" s="58"/>
      <c r="H200" s="60" t="str">
        <f aca="false">IF(OR(E200="",D200=""),"",IF(K200=0,"Expense / Gasto",INDEX(Budget!$C$7:$C$41,K200)))</f>
        <v/>
      </c>
      <c r="I200" s="60" t="str">
        <f aca="false">IF(AND(B200="",E200=""),"",IF(NOT(ISNUMBER(B200)),"⚠ ADD DATE / AGREGA FECHA",IF(E200="","⚠ ADD AMOUNT / AGREGA MONTO",IF(D200="","⚠ ADD CATEGORY / AGREGA CATEGORÍA",IF(K200=0,"● NEW CATEGORY? / ¿CATEGORÍA NUEVA?","✔ OK")))))</f>
        <v/>
      </c>
      <c r="K200" s="56" t="str">
        <f aca="false">IF(D200="","",IFERROR(MATCH(D200,Budget!$B$7:$B$41,0),0))</f>
        <v/>
      </c>
      <c r="L200" s="56" t="n">
        <f aca="false">IF(AND(ISNUMBER(B200),ISNUMBER(E200),D200&lt;&gt;""),YEAR(B200)*100+MONTH(B200),0)</f>
        <v>0</v>
      </c>
      <c r="M200" s="56" t="n">
        <f aca="false">IF(L200=0,0,YEAR(B200))</f>
        <v>0</v>
      </c>
      <c r="N200" s="56" t="str">
        <f aca="false">IF(L200=0,"",IF(K200=0,"Wants / Gustos",INDEX(Budget!$D$7:$D$41,K200)))</f>
        <v/>
      </c>
    </row>
    <row r="201" customFormat="false" ht="15" hidden="false" customHeight="false" outlineLevel="0" collapsed="false">
      <c r="B201" s="57"/>
      <c r="C201" s="58"/>
      <c r="D201" s="58"/>
      <c r="E201" s="59"/>
      <c r="F201" s="58"/>
      <c r="G201" s="58"/>
      <c r="H201" s="60" t="str">
        <f aca="false">IF(OR(E201="",D201=""),"",IF(K201=0,"Expense / Gasto",INDEX(Budget!$C$7:$C$41,K201)))</f>
        <v/>
      </c>
      <c r="I201" s="60" t="str">
        <f aca="false">IF(AND(B201="",E201=""),"",IF(NOT(ISNUMBER(B201)),"⚠ ADD DATE / AGREGA FECHA",IF(E201="","⚠ ADD AMOUNT / AGREGA MONTO",IF(D201="","⚠ ADD CATEGORY / AGREGA CATEGORÍA",IF(K201=0,"● NEW CATEGORY? / ¿CATEGORÍA NUEVA?","✔ OK")))))</f>
        <v/>
      </c>
      <c r="K201" s="56" t="str">
        <f aca="false">IF(D201="","",IFERROR(MATCH(D201,Budget!$B$7:$B$41,0),0))</f>
        <v/>
      </c>
      <c r="L201" s="56" t="n">
        <f aca="false">IF(AND(ISNUMBER(B201),ISNUMBER(E201),D201&lt;&gt;""),YEAR(B201)*100+MONTH(B201),0)</f>
        <v>0</v>
      </c>
      <c r="M201" s="56" t="n">
        <f aca="false">IF(L201=0,0,YEAR(B201))</f>
        <v>0</v>
      </c>
      <c r="N201" s="56" t="str">
        <f aca="false">IF(L201=0,"",IF(K201=0,"Wants / Gustos",INDEX(Budget!$D$7:$D$41,K201)))</f>
        <v/>
      </c>
    </row>
    <row r="202" customFormat="false" ht="15" hidden="false" customHeight="false" outlineLevel="0" collapsed="false">
      <c r="B202" s="57"/>
      <c r="C202" s="58"/>
      <c r="D202" s="58"/>
      <c r="E202" s="59"/>
      <c r="F202" s="58"/>
      <c r="G202" s="58"/>
      <c r="H202" s="60" t="str">
        <f aca="false">IF(OR(E202="",D202=""),"",IF(K202=0,"Expense / Gasto",INDEX(Budget!$C$7:$C$41,K202)))</f>
        <v/>
      </c>
      <c r="I202" s="60" t="str">
        <f aca="false">IF(AND(B202="",E202=""),"",IF(NOT(ISNUMBER(B202)),"⚠ ADD DATE / AGREGA FECHA",IF(E202="","⚠ ADD AMOUNT / AGREGA MONTO",IF(D202="","⚠ ADD CATEGORY / AGREGA CATEGORÍA",IF(K202=0,"● NEW CATEGORY? / ¿CATEGORÍA NUEVA?","✔ OK")))))</f>
        <v/>
      </c>
      <c r="K202" s="56" t="str">
        <f aca="false">IF(D202="","",IFERROR(MATCH(D202,Budget!$B$7:$B$41,0),0))</f>
        <v/>
      </c>
      <c r="L202" s="56" t="n">
        <f aca="false">IF(AND(ISNUMBER(B202),ISNUMBER(E202),D202&lt;&gt;""),YEAR(B202)*100+MONTH(B202),0)</f>
        <v>0</v>
      </c>
      <c r="M202" s="56" t="n">
        <f aca="false">IF(L202=0,0,YEAR(B202))</f>
        <v>0</v>
      </c>
      <c r="N202" s="56" t="str">
        <f aca="false">IF(L202=0,"",IF(K202=0,"Wants / Gustos",INDEX(Budget!$D$7:$D$41,K202)))</f>
        <v/>
      </c>
    </row>
    <row r="203" customFormat="false" ht="15" hidden="false" customHeight="false" outlineLevel="0" collapsed="false">
      <c r="B203" s="57"/>
      <c r="C203" s="58"/>
      <c r="D203" s="58"/>
      <c r="E203" s="59"/>
      <c r="F203" s="58"/>
      <c r="G203" s="58"/>
      <c r="H203" s="60" t="str">
        <f aca="false">IF(OR(E203="",D203=""),"",IF(K203=0,"Expense / Gasto",INDEX(Budget!$C$7:$C$41,K203)))</f>
        <v/>
      </c>
      <c r="I203" s="60" t="str">
        <f aca="false">IF(AND(B203="",E203=""),"",IF(NOT(ISNUMBER(B203)),"⚠ ADD DATE / AGREGA FECHA",IF(E203="","⚠ ADD AMOUNT / AGREGA MONTO",IF(D203="","⚠ ADD CATEGORY / AGREGA CATEGORÍA",IF(K203=0,"● NEW CATEGORY? / ¿CATEGORÍA NUEVA?","✔ OK")))))</f>
        <v/>
      </c>
      <c r="K203" s="56" t="str">
        <f aca="false">IF(D203="","",IFERROR(MATCH(D203,Budget!$B$7:$B$41,0),0))</f>
        <v/>
      </c>
      <c r="L203" s="56" t="n">
        <f aca="false">IF(AND(ISNUMBER(B203),ISNUMBER(E203),D203&lt;&gt;""),YEAR(B203)*100+MONTH(B203),0)</f>
        <v>0</v>
      </c>
      <c r="M203" s="56" t="n">
        <f aca="false">IF(L203=0,0,YEAR(B203))</f>
        <v>0</v>
      </c>
      <c r="N203" s="56" t="str">
        <f aca="false">IF(L203=0,"",IF(K203=0,"Wants / Gustos",INDEX(Budget!$D$7:$D$41,K203)))</f>
        <v/>
      </c>
    </row>
    <row r="204" customFormat="false" ht="15" hidden="false" customHeight="false" outlineLevel="0" collapsed="false">
      <c r="B204" s="57"/>
      <c r="C204" s="58"/>
      <c r="D204" s="58"/>
      <c r="E204" s="59"/>
      <c r="F204" s="58"/>
      <c r="G204" s="58"/>
      <c r="H204" s="60" t="str">
        <f aca="false">IF(OR(E204="",D204=""),"",IF(K204=0,"Expense / Gasto",INDEX(Budget!$C$7:$C$41,K204)))</f>
        <v/>
      </c>
      <c r="I204" s="60" t="str">
        <f aca="false">IF(AND(B204="",E204=""),"",IF(NOT(ISNUMBER(B204)),"⚠ ADD DATE / AGREGA FECHA",IF(E204="","⚠ ADD AMOUNT / AGREGA MONTO",IF(D204="","⚠ ADD CATEGORY / AGREGA CATEGORÍA",IF(K204=0,"● NEW CATEGORY? / ¿CATEGORÍA NUEVA?","✔ OK")))))</f>
        <v/>
      </c>
      <c r="K204" s="56" t="str">
        <f aca="false">IF(D204="","",IFERROR(MATCH(D204,Budget!$B$7:$B$41,0),0))</f>
        <v/>
      </c>
      <c r="L204" s="56" t="n">
        <f aca="false">IF(AND(ISNUMBER(B204),ISNUMBER(E204),D204&lt;&gt;""),YEAR(B204)*100+MONTH(B204),0)</f>
        <v>0</v>
      </c>
      <c r="M204" s="56" t="n">
        <f aca="false">IF(L204=0,0,YEAR(B204))</f>
        <v>0</v>
      </c>
      <c r="N204" s="56" t="str">
        <f aca="false">IF(L204=0,"",IF(K204=0,"Wants / Gustos",INDEX(Budget!$D$7:$D$41,K204)))</f>
        <v/>
      </c>
    </row>
    <row r="205" customFormat="false" ht="15" hidden="false" customHeight="false" outlineLevel="0" collapsed="false">
      <c r="B205" s="57"/>
      <c r="C205" s="58"/>
      <c r="D205" s="58"/>
      <c r="E205" s="59"/>
      <c r="F205" s="58"/>
      <c r="G205" s="58"/>
      <c r="H205" s="60" t="str">
        <f aca="false">IF(OR(E205="",D205=""),"",IF(K205=0,"Expense / Gasto",INDEX(Budget!$C$7:$C$41,K205)))</f>
        <v/>
      </c>
      <c r="I205" s="60" t="str">
        <f aca="false">IF(AND(B205="",E205=""),"",IF(NOT(ISNUMBER(B205)),"⚠ ADD DATE / AGREGA FECHA",IF(E205="","⚠ ADD AMOUNT / AGREGA MONTO",IF(D205="","⚠ ADD CATEGORY / AGREGA CATEGORÍA",IF(K205=0,"● NEW CATEGORY? / ¿CATEGORÍA NUEVA?","✔ OK")))))</f>
        <v/>
      </c>
      <c r="K205" s="56" t="str">
        <f aca="false">IF(D205="","",IFERROR(MATCH(D205,Budget!$B$7:$B$41,0),0))</f>
        <v/>
      </c>
      <c r="L205" s="56" t="n">
        <f aca="false">IF(AND(ISNUMBER(B205),ISNUMBER(E205),D205&lt;&gt;""),YEAR(B205)*100+MONTH(B205),0)</f>
        <v>0</v>
      </c>
      <c r="M205" s="56" t="n">
        <f aca="false">IF(L205=0,0,YEAR(B205))</f>
        <v>0</v>
      </c>
      <c r="N205" s="56" t="str">
        <f aca="false">IF(L205=0,"",IF(K205=0,"Wants / Gustos",INDEX(Budget!$D$7:$D$41,K205)))</f>
        <v/>
      </c>
    </row>
    <row r="206" customFormat="false" ht="15" hidden="false" customHeight="false" outlineLevel="0" collapsed="false">
      <c r="B206" s="57"/>
      <c r="C206" s="58"/>
      <c r="D206" s="58"/>
      <c r="E206" s="59"/>
      <c r="F206" s="58"/>
      <c r="G206" s="58"/>
      <c r="H206" s="60" t="str">
        <f aca="false">IF(OR(E206="",D206=""),"",IF(K206=0,"Expense / Gasto",INDEX(Budget!$C$7:$C$41,K206)))</f>
        <v/>
      </c>
      <c r="I206" s="60" t="str">
        <f aca="false">IF(AND(B206="",E206=""),"",IF(NOT(ISNUMBER(B206)),"⚠ ADD DATE / AGREGA FECHA",IF(E206="","⚠ ADD AMOUNT / AGREGA MONTO",IF(D206="","⚠ ADD CATEGORY / AGREGA CATEGORÍA",IF(K206=0,"● NEW CATEGORY? / ¿CATEGORÍA NUEVA?","✔ OK")))))</f>
        <v/>
      </c>
      <c r="K206" s="56" t="str">
        <f aca="false">IF(D206="","",IFERROR(MATCH(D206,Budget!$B$7:$B$41,0),0))</f>
        <v/>
      </c>
      <c r="L206" s="56" t="n">
        <f aca="false">IF(AND(ISNUMBER(B206),ISNUMBER(E206),D206&lt;&gt;""),YEAR(B206)*100+MONTH(B206),0)</f>
        <v>0</v>
      </c>
      <c r="M206" s="56" t="n">
        <f aca="false">IF(L206=0,0,YEAR(B206))</f>
        <v>0</v>
      </c>
      <c r="N206" s="56" t="str">
        <f aca="false">IF(L206=0,"",IF(K206=0,"Wants / Gustos",INDEX(Budget!$D$7:$D$41,K206)))</f>
        <v/>
      </c>
    </row>
    <row r="207" customFormat="false" ht="15" hidden="false" customHeight="false" outlineLevel="0" collapsed="false">
      <c r="B207" s="57"/>
      <c r="C207" s="58"/>
      <c r="D207" s="58"/>
      <c r="E207" s="59"/>
      <c r="F207" s="58"/>
      <c r="G207" s="58"/>
      <c r="H207" s="60" t="str">
        <f aca="false">IF(OR(E207="",D207=""),"",IF(K207=0,"Expense / Gasto",INDEX(Budget!$C$7:$C$41,K207)))</f>
        <v/>
      </c>
      <c r="I207" s="60" t="str">
        <f aca="false">IF(AND(B207="",E207=""),"",IF(NOT(ISNUMBER(B207)),"⚠ ADD DATE / AGREGA FECHA",IF(E207="","⚠ ADD AMOUNT / AGREGA MONTO",IF(D207="","⚠ ADD CATEGORY / AGREGA CATEGORÍA",IF(K207=0,"● NEW CATEGORY? / ¿CATEGORÍA NUEVA?","✔ OK")))))</f>
        <v/>
      </c>
      <c r="K207" s="56" t="str">
        <f aca="false">IF(D207="","",IFERROR(MATCH(D207,Budget!$B$7:$B$41,0),0))</f>
        <v/>
      </c>
      <c r="L207" s="56" t="n">
        <f aca="false">IF(AND(ISNUMBER(B207),ISNUMBER(E207),D207&lt;&gt;""),YEAR(B207)*100+MONTH(B207),0)</f>
        <v>0</v>
      </c>
      <c r="M207" s="56" t="n">
        <f aca="false">IF(L207=0,0,YEAR(B207))</f>
        <v>0</v>
      </c>
      <c r="N207" s="56" t="str">
        <f aca="false">IF(L207=0,"",IF(K207=0,"Wants / Gustos",INDEX(Budget!$D$7:$D$41,K207)))</f>
        <v/>
      </c>
    </row>
    <row r="208" customFormat="false" ht="15" hidden="false" customHeight="false" outlineLevel="0" collapsed="false">
      <c r="B208" s="57"/>
      <c r="C208" s="58"/>
      <c r="D208" s="58"/>
      <c r="E208" s="59"/>
      <c r="F208" s="58"/>
      <c r="G208" s="58"/>
      <c r="H208" s="60" t="str">
        <f aca="false">IF(OR(E208="",D208=""),"",IF(K208=0,"Expense / Gasto",INDEX(Budget!$C$7:$C$41,K208)))</f>
        <v/>
      </c>
      <c r="I208" s="60" t="str">
        <f aca="false">IF(AND(B208="",E208=""),"",IF(NOT(ISNUMBER(B208)),"⚠ ADD DATE / AGREGA FECHA",IF(E208="","⚠ ADD AMOUNT / AGREGA MONTO",IF(D208="","⚠ ADD CATEGORY / AGREGA CATEGORÍA",IF(K208=0,"● NEW CATEGORY? / ¿CATEGORÍA NUEVA?","✔ OK")))))</f>
        <v/>
      </c>
      <c r="K208" s="56" t="str">
        <f aca="false">IF(D208="","",IFERROR(MATCH(D208,Budget!$B$7:$B$41,0),0))</f>
        <v/>
      </c>
      <c r="L208" s="56" t="n">
        <f aca="false">IF(AND(ISNUMBER(B208),ISNUMBER(E208),D208&lt;&gt;""),YEAR(B208)*100+MONTH(B208),0)</f>
        <v>0</v>
      </c>
      <c r="M208" s="56" t="n">
        <f aca="false">IF(L208=0,0,YEAR(B208))</f>
        <v>0</v>
      </c>
      <c r="N208" s="56" t="str">
        <f aca="false">IF(L208=0,"",IF(K208=0,"Wants / Gustos",INDEX(Budget!$D$7:$D$41,K208)))</f>
        <v/>
      </c>
    </row>
    <row r="209" customFormat="false" ht="15" hidden="false" customHeight="false" outlineLevel="0" collapsed="false">
      <c r="B209" s="57"/>
      <c r="C209" s="58"/>
      <c r="D209" s="58"/>
      <c r="E209" s="59"/>
      <c r="F209" s="58"/>
      <c r="G209" s="58"/>
      <c r="H209" s="60" t="str">
        <f aca="false">IF(OR(E209="",D209=""),"",IF(K209=0,"Expense / Gasto",INDEX(Budget!$C$7:$C$41,K209)))</f>
        <v/>
      </c>
      <c r="I209" s="60" t="str">
        <f aca="false">IF(AND(B209="",E209=""),"",IF(NOT(ISNUMBER(B209)),"⚠ ADD DATE / AGREGA FECHA",IF(E209="","⚠ ADD AMOUNT / AGREGA MONTO",IF(D209="","⚠ ADD CATEGORY / AGREGA CATEGORÍA",IF(K209=0,"● NEW CATEGORY? / ¿CATEGORÍA NUEVA?","✔ OK")))))</f>
        <v/>
      </c>
      <c r="K209" s="56" t="str">
        <f aca="false">IF(D209="","",IFERROR(MATCH(D209,Budget!$B$7:$B$41,0),0))</f>
        <v/>
      </c>
      <c r="L209" s="56" t="n">
        <f aca="false">IF(AND(ISNUMBER(B209),ISNUMBER(E209),D209&lt;&gt;""),YEAR(B209)*100+MONTH(B209),0)</f>
        <v>0</v>
      </c>
      <c r="M209" s="56" t="n">
        <f aca="false">IF(L209=0,0,YEAR(B209))</f>
        <v>0</v>
      </c>
      <c r="N209" s="56" t="str">
        <f aca="false">IF(L209=0,"",IF(K209=0,"Wants / Gustos",INDEX(Budget!$D$7:$D$41,K209)))</f>
        <v/>
      </c>
    </row>
    <row r="210" customFormat="false" ht="15" hidden="false" customHeight="false" outlineLevel="0" collapsed="false">
      <c r="B210" s="57"/>
      <c r="C210" s="58"/>
      <c r="D210" s="58"/>
      <c r="E210" s="59"/>
      <c r="F210" s="58"/>
      <c r="G210" s="58"/>
      <c r="H210" s="60" t="str">
        <f aca="false">IF(OR(E210="",D210=""),"",IF(K210=0,"Expense / Gasto",INDEX(Budget!$C$7:$C$41,K210)))</f>
        <v/>
      </c>
      <c r="I210" s="60" t="str">
        <f aca="false">IF(AND(B210="",E210=""),"",IF(NOT(ISNUMBER(B210)),"⚠ ADD DATE / AGREGA FECHA",IF(E210="","⚠ ADD AMOUNT / AGREGA MONTO",IF(D210="","⚠ ADD CATEGORY / AGREGA CATEGORÍA",IF(K210=0,"● NEW CATEGORY? / ¿CATEGORÍA NUEVA?","✔ OK")))))</f>
        <v/>
      </c>
      <c r="K210" s="56" t="str">
        <f aca="false">IF(D210="","",IFERROR(MATCH(D210,Budget!$B$7:$B$41,0),0))</f>
        <v/>
      </c>
      <c r="L210" s="56" t="n">
        <f aca="false">IF(AND(ISNUMBER(B210),ISNUMBER(E210),D210&lt;&gt;""),YEAR(B210)*100+MONTH(B210),0)</f>
        <v>0</v>
      </c>
      <c r="M210" s="56" t="n">
        <f aca="false">IF(L210=0,0,YEAR(B210))</f>
        <v>0</v>
      </c>
      <c r="N210" s="56" t="str">
        <f aca="false">IF(L210=0,"",IF(K210=0,"Wants / Gustos",INDEX(Budget!$D$7:$D$41,K210)))</f>
        <v/>
      </c>
    </row>
    <row r="211" customFormat="false" ht="15" hidden="false" customHeight="false" outlineLevel="0" collapsed="false">
      <c r="B211" s="57"/>
      <c r="C211" s="58"/>
      <c r="D211" s="58"/>
      <c r="E211" s="59"/>
      <c r="F211" s="58"/>
      <c r="G211" s="58"/>
      <c r="H211" s="60" t="str">
        <f aca="false">IF(OR(E211="",D211=""),"",IF(K211=0,"Expense / Gasto",INDEX(Budget!$C$7:$C$41,K211)))</f>
        <v/>
      </c>
      <c r="I211" s="60" t="str">
        <f aca="false">IF(AND(B211="",E211=""),"",IF(NOT(ISNUMBER(B211)),"⚠ ADD DATE / AGREGA FECHA",IF(E211="","⚠ ADD AMOUNT / AGREGA MONTO",IF(D211="","⚠ ADD CATEGORY / AGREGA CATEGORÍA",IF(K211=0,"● NEW CATEGORY? / ¿CATEGORÍA NUEVA?","✔ OK")))))</f>
        <v/>
      </c>
      <c r="K211" s="56" t="str">
        <f aca="false">IF(D211="","",IFERROR(MATCH(D211,Budget!$B$7:$B$41,0),0))</f>
        <v/>
      </c>
      <c r="L211" s="56" t="n">
        <f aca="false">IF(AND(ISNUMBER(B211),ISNUMBER(E211),D211&lt;&gt;""),YEAR(B211)*100+MONTH(B211),0)</f>
        <v>0</v>
      </c>
      <c r="M211" s="56" t="n">
        <f aca="false">IF(L211=0,0,YEAR(B211))</f>
        <v>0</v>
      </c>
      <c r="N211" s="56" t="str">
        <f aca="false">IF(L211=0,"",IF(K211=0,"Wants / Gustos",INDEX(Budget!$D$7:$D$41,K211)))</f>
        <v/>
      </c>
    </row>
    <row r="212" customFormat="false" ht="15" hidden="false" customHeight="false" outlineLevel="0" collapsed="false">
      <c r="B212" s="57"/>
      <c r="C212" s="58"/>
      <c r="D212" s="58"/>
      <c r="E212" s="59"/>
      <c r="F212" s="58"/>
      <c r="G212" s="58"/>
      <c r="H212" s="60" t="str">
        <f aca="false">IF(OR(E212="",D212=""),"",IF(K212=0,"Expense / Gasto",INDEX(Budget!$C$7:$C$41,K212)))</f>
        <v/>
      </c>
      <c r="I212" s="60" t="str">
        <f aca="false">IF(AND(B212="",E212=""),"",IF(NOT(ISNUMBER(B212)),"⚠ ADD DATE / AGREGA FECHA",IF(E212="","⚠ ADD AMOUNT / AGREGA MONTO",IF(D212="","⚠ ADD CATEGORY / AGREGA CATEGORÍA",IF(K212=0,"● NEW CATEGORY? / ¿CATEGORÍA NUEVA?","✔ OK")))))</f>
        <v/>
      </c>
      <c r="K212" s="56" t="str">
        <f aca="false">IF(D212="","",IFERROR(MATCH(D212,Budget!$B$7:$B$41,0),0))</f>
        <v/>
      </c>
      <c r="L212" s="56" t="n">
        <f aca="false">IF(AND(ISNUMBER(B212),ISNUMBER(E212),D212&lt;&gt;""),YEAR(B212)*100+MONTH(B212),0)</f>
        <v>0</v>
      </c>
      <c r="M212" s="56" t="n">
        <f aca="false">IF(L212=0,0,YEAR(B212))</f>
        <v>0</v>
      </c>
      <c r="N212" s="56" t="str">
        <f aca="false">IF(L212=0,"",IF(K212=0,"Wants / Gustos",INDEX(Budget!$D$7:$D$41,K212)))</f>
        <v/>
      </c>
    </row>
    <row r="213" customFormat="false" ht="15" hidden="false" customHeight="false" outlineLevel="0" collapsed="false">
      <c r="B213" s="57"/>
      <c r="C213" s="58"/>
      <c r="D213" s="58"/>
      <c r="E213" s="59"/>
      <c r="F213" s="58"/>
      <c r="G213" s="58"/>
      <c r="H213" s="60" t="str">
        <f aca="false">IF(OR(E213="",D213=""),"",IF(K213=0,"Expense / Gasto",INDEX(Budget!$C$7:$C$41,K213)))</f>
        <v/>
      </c>
      <c r="I213" s="60" t="str">
        <f aca="false">IF(AND(B213="",E213=""),"",IF(NOT(ISNUMBER(B213)),"⚠ ADD DATE / AGREGA FECHA",IF(E213="","⚠ ADD AMOUNT / AGREGA MONTO",IF(D213="","⚠ ADD CATEGORY / AGREGA CATEGORÍA",IF(K213=0,"● NEW CATEGORY? / ¿CATEGORÍA NUEVA?","✔ OK")))))</f>
        <v/>
      </c>
      <c r="K213" s="56" t="str">
        <f aca="false">IF(D213="","",IFERROR(MATCH(D213,Budget!$B$7:$B$41,0),0))</f>
        <v/>
      </c>
      <c r="L213" s="56" t="n">
        <f aca="false">IF(AND(ISNUMBER(B213),ISNUMBER(E213),D213&lt;&gt;""),YEAR(B213)*100+MONTH(B213),0)</f>
        <v>0</v>
      </c>
      <c r="M213" s="56" t="n">
        <f aca="false">IF(L213=0,0,YEAR(B213))</f>
        <v>0</v>
      </c>
      <c r="N213" s="56" t="str">
        <f aca="false">IF(L213=0,"",IF(K213=0,"Wants / Gustos",INDEX(Budget!$D$7:$D$41,K213)))</f>
        <v/>
      </c>
    </row>
    <row r="214" customFormat="false" ht="15" hidden="false" customHeight="false" outlineLevel="0" collapsed="false">
      <c r="B214" s="57"/>
      <c r="C214" s="58"/>
      <c r="D214" s="58"/>
      <c r="E214" s="59"/>
      <c r="F214" s="58"/>
      <c r="G214" s="58"/>
      <c r="H214" s="60" t="str">
        <f aca="false">IF(OR(E214="",D214=""),"",IF(K214=0,"Expense / Gasto",INDEX(Budget!$C$7:$C$41,K214)))</f>
        <v/>
      </c>
      <c r="I214" s="60" t="str">
        <f aca="false">IF(AND(B214="",E214=""),"",IF(NOT(ISNUMBER(B214)),"⚠ ADD DATE / AGREGA FECHA",IF(E214="","⚠ ADD AMOUNT / AGREGA MONTO",IF(D214="","⚠ ADD CATEGORY / AGREGA CATEGORÍA",IF(K214=0,"● NEW CATEGORY? / ¿CATEGORÍA NUEVA?","✔ OK")))))</f>
        <v/>
      </c>
      <c r="K214" s="56" t="str">
        <f aca="false">IF(D214="","",IFERROR(MATCH(D214,Budget!$B$7:$B$41,0),0))</f>
        <v/>
      </c>
      <c r="L214" s="56" t="n">
        <f aca="false">IF(AND(ISNUMBER(B214),ISNUMBER(E214),D214&lt;&gt;""),YEAR(B214)*100+MONTH(B214),0)</f>
        <v>0</v>
      </c>
      <c r="M214" s="56" t="n">
        <f aca="false">IF(L214=0,0,YEAR(B214))</f>
        <v>0</v>
      </c>
      <c r="N214" s="56" t="str">
        <f aca="false">IF(L214=0,"",IF(K214=0,"Wants / Gustos",INDEX(Budget!$D$7:$D$41,K214)))</f>
        <v/>
      </c>
    </row>
    <row r="215" customFormat="false" ht="15" hidden="false" customHeight="false" outlineLevel="0" collapsed="false">
      <c r="B215" s="57"/>
      <c r="C215" s="58"/>
      <c r="D215" s="58"/>
      <c r="E215" s="59"/>
      <c r="F215" s="58"/>
      <c r="G215" s="58"/>
      <c r="H215" s="60" t="str">
        <f aca="false">IF(OR(E215="",D215=""),"",IF(K215=0,"Expense / Gasto",INDEX(Budget!$C$7:$C$41,K215)))</f>
        <v/>
      </c>
      <c r="I215" s="60" t="str">
        <f aca="false">IF(AND(B215="",E215=""),"",IF(NOT(ISNUMBER(B215)),"⚠ ADD DATE / AGREGA FECHA",IF(E215="","⚠ ADD AMOUNT / AGREGA MONTO",IF(D215="","⚠ ADD CATEGORY / AGREGA CATEGORÍA",IF(K215=0,"● NEW CATEGORY? / ¿CATEGORÍA NUEVA?","✔ OK")))))</f>
        <v/>
      </c>
      <c r="K215" s="56" t="str">
        <f aca="false">IF(D215="","",IFERROR(MATCH(D215,Budget!$B$7:$B$41,0),0))</f>
        <v/>
      </c>
      <c r="L215" s="56" t="n">
        <f aca="false">IF(AND(ISNUMBER(B215),ISNUMBER(E215),D215&lt;&gt;""),YEAR(B215)*100+MONTH(B215),0)</f>
        <v>0</v>
      </c>
      <c r="M215" s="56" t="n">
        <f aca="false">IF(L215=0,0,YEAR(B215))</f>
        <v>0</v>
      </c>
      <c r="N215" s="56" t="str">
        <f aca="false">IF(L215=0,"",IF(K215=0,"Wants / Gustos",INDEX(Budget!$D$7:$D$41,K215)))</f>
        <v/>
      </c>
    </row>
    <row r="216" customFormat="false" ht="15" hidden="false" customHeight="false" outlineLevel="0" collapsed="false">
      <c r="B216" s="57"/>
      <c r="C216" s="58"/>
      <c r="D216" s="58"/>
      <c r="E216" s="59"/>
      <c r="F216" s="58"/>
      <c r="G216" s="58"/>
      <c r="H216" s="60" t="str">
        <f aca="false">IF(OR(E216="",D216=""),"",IF(K216=0,"Expense / Gasto",INDEX(Budget!$C$7:$C$41,K216)))</f>
        <v/>
      </c>
      <c r="I216" s="60" t="str">
        <f aca="false">IF(AND(B216="",E216=""),"",IF(NOT(ISNUMBER(B216)),"⚠ ADD DATE / AGREGA FECHA",IF(E216="","⚠ ADD AMOUNT / AGREGA MONTO",IF(D216="","⚠ ADD CATEGORY / AGREGA CATEGORÍA",IF(K216=0,"● NEW CATEGORY? / ¿CATEGORÍA NUEVA?","✔ OK")))))</f>
        <v/>
      </c>
      <c r="K216" s="56" t="str">
        <f aca="false">IF(D216="","",IFERROR(MATCH(D216,Budget!$B$7:$B$41,0),0))</f>
        <v/>
      </c>
      <c r="L216" s="56" t="n">
        <f aca="false">IF(AND(ISNUMBER(B216),ISNUMBER(E216),D216&lt;&gt;""),YEAR(B216)*100+MONTH(B216),0)</f>
        <v>0</v>
      </c>
      <c r="M216" s="56" t="n">
        <f aca="false">IF(L216=0,0,YEAR(B216))</f>
        <v>0</v>
      </c>
      <c r="N216" s="56" t="str">
        <f aca="false">IF(L216=0,"",IF(K216=0,"Wants / Gustos",INDEX(Budget!$D$7:$D$41,K216)))</f>
        <v/>
      </c>
    </row>
    <row r="217" customFormat="false" ht="15" hidden="false" customHeight="false" outlineLevel="0" collapsed="false">
      <c r="B217" s="57"/>
      <c r="C217" s="58"/>
      <c r="D217" s="58"/>
      <c r="E217" s="59"/>
      <c r="F217" s="58"/>
      <c r="G217" s="58"/>
      <c r="H217" s="60" t="str">
        <f aca="false">IF(OR(E217="",D217=""),"",IF(K217=0,"Expense / Gasto",INDEX(Budget!$C$7:$C$41,K217)))</f>
        <v/>
      </c>
      <c r="I217" s="60" t="str">
        <f aca="false">IF(AND(B217="",E217=""),"",IF(NOT(ISNUMBER(B217)),"⚠ ADD DATE / AGREGA FECHA",IF(E217="","⚠ ADD AMOUNT / AGREGA MONTO",IF(D217="","⚠ ADD CATEGORY / AGREGA CATEGORÍA",IF(K217=0,"● NEW CATEGORY? / ¿CATEGORÍA NUEVA?","✔ OK")))))</f>
        <v/>
      </c>
      <c r="K217" s="56" t="str">
        <f aca="false">IF(D217="","",IFERROR(MATCH(D217,Budget!$B$7:$B$41,0),0))</f>
        <v/>
      </c>
      <c r="L217" s="56" t="n">
        <f aca="false">IF(AND(ISNUMBER(B217),ISNUMBER(E217),D217&lt;&gt;""),YEAR(B217)*100+MONTH(B217),0)</f>
        <v>0</v>
      </c>
      <c r="M217" s="56" t="n">
        <f aca="false">IF(L217=0,0,YEAR(B217))</f>
        <v>0</v>
      </c>
      <c r="N217" s="56" t="str">
        <f aca="false">IF(L217=0,"",IF(K217=0,"Wants / Gustos",INDEX(Budget!$D$7:$D$41,K217)))</f>
        <v/>
      </c>
    </row>
    <row r="218" customFormat="false" ht="15" hidden="false" customHeight="false" outlineLevel="0" collapsed="false">
      <c r="B218" s="57"/>
      <c r="C218" s="58"/>
      <c r="D218" s="58"/>
      <c r="E218" s="59"/>
      <c r="F218" s="58"/>
      <c r="G218" s="58"/>
      <c r="H218" s="60" t="str">
        <f aca="false">IF(OR(E218="",D218=""),"",IF(K218=0,"Expense / Gasto",INDEX(Budget!$C$7:$C$41,K218)))</f>
        <v/>
      </c>
      <c r="I218" s="60" t="str">
        <f aca="false">IF(AND(B218="",E218=""),"",IF(NOT(ISNUMBER(B218)),"⚠ ADD DATE / AGREGA FECHA",IF(E218="","⚠ ADD AMOUNT / AGREGA MONTO",IF(D218="","⚠ ADD CATEGORY / AGREGA CATEGORÍA",IF(K218=0,"● NEW CATEGORY? / ¿CATEGORÍA NUEVA?","✔ OK")))))</f>
        <v/>
      </c>
      <c r="K218" s="56" t="str">
        <f aca="false">IF(D218="","",IFERROR(MATCH(D218,Budget!$B$7:$B$41,0),0))</f>
        <v/>
      </c>
      <c r="L218" s="56" t="n">
        <f aca="false">IF(AND(ISNUMBER(B218),ISNUMBER(E218),D218&lt;&gt;""),YEAR(B218)*100+MONTH(B218),0)</f>
        <v>0</v>
      </c>
      <c r="M218" s="56" t="n">
        <f aca="false">IF(L218=0,0,YEAR(B218))</f>
        <v>0</v>
      </c>
      <c r="N218" s="56" t="str">
        <f aca="false">IF(L218=0,"",IF(K218=0,"Wants / Gustos",INDEX(Budget!$D$7:$D$41,K218)))</f>
        <v/>
      </c>
    </row>
    <row r="219" customFormat="false" ht="15" hidden="false" customHeight="false" outlineLevel="0" collapsed="false">
      <c r="B219" s="57"/>
      <c r="C219" s="58"/>
      <c r="D219" s="58"/>
      <c r="E219" s="59"/>
      <c r="F219" s="58"/>
      <c r="G219" s="58"/>
      <c r="H219" s="60" t="str">
        <f aca="false">IF(OR(E219="",D219=""),"",IF(K219=0,"Expense / Gasto",INDEX(Budget!$C$7:$C$41,K219)))</f>
        <v/>
      </c>
      <c r="I219" s="60" t="str">
        <f aca="false">IF(AND(B219="",E219=""),"",IF(NOT(ISNUMBER(B219)),"⚠ ADD DATE / AGREGA FECHA",IF(E219="","⚠ ADD AMOUNT / AGREGA MONTO",IF(D219="","⚠ ADD CATEGORY / AGREGA CATEGORÍA",IF(K219=0,"● NEW CATEGORY? / ¿CATEGORÍA NUEVA?","✔ OK")))))</f>
        <v/>
      </c>
      <c r="K219" s="56" t="str">
        <f aca="false">IF(D219="","",IFERROR(MATCH(D219,Budget!$B$7:$B$41,0),0))</f>
        <v/>
      </c>
      <c r="L219" s="56" t="n">
        <f aca="false">IF(AND(ISNUMBER(B219),ISNUMBER(E219),D219&lt;&gt;""),YEAR(B219)*100+MONTH(B219),0)</f>
        <v>0</v>
      </c>
      <c r="M219" s="56" t="n">
        <f aca="false">IF(L219=0,0,YEAR(B219))</f>
        <v>0</v>
      </c>
      <c r="N219" s="56" t="str">
        <f aca="false">IF(L219=0,"",IF(K219=0,"Wants / Gustos",INDEX(Budget!$D$7:$D$41,K219)))</f>
        <v/>
      </c>
    </row>
    <row r="220" customFormat="false" ht="15" hidden="false" customHeight="false" outlineLevel="0" collapsed="false">
      <c r="B220" s="57"/>
      <c r="C220" s="58"/>
      <c r="D220" s="58"/>
      <c r="E220" s="59"/>
      <c r="F220" s="58"/>
      <c r="G220" s="58"/>
      <c r="H220" s="60" t="str">
        <f aca="false">IF(OR(E220="",D220=""),"",IF(K220=0,"Expense / Gasto",INDEX(Budget!$C$7:$C$41,K220)))</f>
        <v/>
      </c>
      <c r="I220" s="60" t="str">
        <f aca="false">IF(AND(B220="",E220=""),"",IF(NOT(ISNUMBER(B220)),"⚠ ADD DATE / AGREGA FECHA",IF(E220="","⚠ ADD AMOUNT / AGREGA MONTO",IF(D220="","⚠ ADD CATEGORY / AGREGA CATEGORÍA",IF(K220=0,"● NEW CATEGORY? / ¿CATEGORÍA NUEVA?","✔ OK")))))</f>
        <v/>
      </c>
      <c r="K220" s="56" t="str">
        <f aca="false">IF(D220="","",IFERROR(MATCH(D220,Budget!$B$7:$B$41,0),0))</f>
        <v/>
      </c>
      <c r="L220" s="56" t="n">
        <f aca="false">IF(AND(ISNUMBER(B220),ISNUMBER(E220),D220&lt;&gt;""),YEAR(B220)*100+MONTH(B220),0)</f>
        <v>0</v>
      </c>
      <c r="M220" s="56" t="n">
        <f aca="false">IF(L220=0,0,YEAR(B220))</f>
        <v>0</v>
      </c>
      <c r="N220" s="56" t="str">
        <f aca="false">IF(L220=0,"",IF(K220=0,"Wants / Gustos",INDEX(Budget!$D$7:$D$41,K220)))</f>
        <v/>
      </c>
    </row>
    <row r="221" customFormat="false" ht="15" hidden="false" customHeight="false" outlineLevel="0" collapsed="false">
      <c r="B221" s="57"/>
      <c r="C221" s="58"/>
      <c r="D221" s="58"/>
      <c r="E221" s="59"/>
      <c r="F221" s="58"/>
      <c r="G221" s="58"/>
      <c r="H221" s="60" t="str">
        <f aca="false">IF(OR(E221="",D221=""),"",IF(K221=0,"Expense / Gasto",INDEX(Budget!$C$7:$C$41,K221)))</f>
        <v/>
      </c>
      <c r="I221" s="60" t="str">
        <f aca="false">IF(AND(B221="",E221=""),"",IF(NOT(ISNUMBER(B221)),"⚠ ADD DATE / AGREGA FECHA",IF(E221="","⚠ ADD AMOUNT / AGREGA MONTO",IF(D221="","⚠ ADD CATEGORY / AGREGA CATEGORÍA",IF(K221=0,"● NEW CATEGORY? / ¿CATEGORÍA NUEVA?","✔ OK")))))</f>
        <v/>
      </c>
      <c r="K221" s="56" t="str">
        <f aca="false">IF(D221="","",IFERROR(MATCH(D221,Budget!$B$7:$B$41,0),0))</f>
        <v/>
      </c>
      <c r="L221" s="56" t="n">
        <f aca="false">IF(AND(ISNUMBER(B221),ISNUMBER(E221),D221&lt;&gt;""),YEAR(B221)*100+MONTH(B221),0)</f>
        <v>0</v>
      </c>
      <c r="M221" s="56" t="n">
        <f aca="false">IF(L221=0,0,YEAR(B221))</f>
        <v>0</v>
      </c>
      <c r="N221" s="56" t="str">
        <f aca="false">IF(L221=0,"",IF(K221=0,"Wants / Gustos",INDEX(Budget!$D$7:$D$41,K221)))</f>
        <v/>
      </c>
    </row>
    <row r="222" customFormat="false" ht="15" hidden="false" customHeight="false" outlineLevel="0" collapsed="false">
      <c r="B222" s="57"/>
      <c r="C222" s="58"/>
      <c r="D222" s="58"/>
      <c r="E222" s="59"/>
      <c r="F222" s="58"/>
      <c r="G222" s="58"/>
      <c r="H222" s="60" t="str">
        <f aca="false">IF(OR(E222="",D222=""),"",IF(K222=0,"Expense / Gasto",INDEX(Budget!$C$7:$C$41,K222)))</f>
        <v/>
      </c>
      <c r="I222" s="60" t="str">
        <f aca="false">IF(AND(B222="",E222=""),"",IF(NOT(ISNUMBER(B222)),"⚠ ADD DATE / AGREGA FECHA",IF(E222="","⚠ ADD AMOUNT / AGREGA MONTO",IF(D222="","⚠ ADD CATEGORY / AGREGA CATEGORÍA",IF(K222=0,"● NEW CATEGORY? / ¿CATEGORÍA NUEVA?","✔ OK")))))</f>
        <v/>
      </c>
      <c r="K222" s="56" t="str">
        <f aca="false">IF(D222="","",IFERROR(MATCH(D222,Budget!$B$7:$B$41,0),0))</f>
        <v/>
      </c>
      <c r="L222" s="56" t="n">
        <f aca="false">IF(AND(ISNUMBER(B222),ISNUMBER(E222),D222&lt;&gt;""),YEAR(B222)*100+MONTH(B222),0)</f>
        <v>0</v>
      </c>
      <c r="M222" s="56" t="n">
        <f aca="false">IF(L222=0,0,YEAR(B222))</f>
        <v>0</v>
      </c>
      <c r="N222" s="56" t="str">
        <f aca="false">IF(L222=0,"",IF(K222=0,"Wants / Gustos",INDEX(Budget!$D$7:$D$41,K222)))</f>
        <v/>
      </c>
    </row>
    <row r="223" customFormat="false" ht="15" hidden="false" customHeight="false" outlineLevel="0" collapsed="false">
      <c r="B223" s="57"/>
      <c r="C223" s="58"/>
      <c r="D223" s="58"/>
      <c r="E223" s="59"/>
      <c r="F223" s="58"/>
      <c r="G223" s="58"/>
      <c r="H223" s="60" t="str">
        <f aca="false">IF(OR(E223="",D223=""),"",IF(K223=0,"Expense / Gasto",INDEX(Budget!$C$7:$C$41,K223)))</f>
        <v/>
      </c>
      <c r="I223" s="60" t="str">
        <f aca="false">IF(AND(B223="",E223=""),"",IF(NOT(ISNUMBER(B223)),"⚠ ADD DATE / AGREGA FECHA",IF(E223="","⚠ ADD AMOUNT / AGREGA MONTO",IF(D223="","⚠ ADD CATEGORY / AGREGA CATEGORÍA",IF(K223=0,"● NEW CATEGORY? / ¿CATEGORÍA NUEVA?","✔ OK")))))</f>
        <v/>
      </c>
      <c r="K223" s="56" t="str">
        <f aca="false">IF(D223="","",IFERROR(MATCH(D223,Budget!$B$7:$B$41,0),0))</f>
        <v/>
      </c>
      <c r="L223" s="56" t="n">
        <f aca="false">IF(AND(ISNUMBER(B223),ISNUMBER(E223),D223&lt;&gt;""),YEAR(B223)*100+MONTH(B223),0)</f>
        <v>0</v>
      </c>
      <c r="M223" s="56" t="n">
        <f aca="false">IF(L223=0,0,YEAR(B223))</f>
        <v>0</v>
      </c>
      <c r="N223" s="56" t="str">
        <f aca="false">IF(L223=0,"",IF(K223=0,"Wants / Gustos",INDEX(Budget!$D$7:$D$41,K223)))</f>
        <v/>
      </c>
    </row>
    <row r="224" customFormat="false" ht="15" hidden="false" customHeight="false" outlineLevel="0" collapsed="false">
      <c r="B224" s="57"/>
      <c r="C224" s="58"/>
      <c r="D224" s="58"/>
      <c r="E224" s="59"/>
      <c r="F224" s="58"/>
      <c r="G224" s="58"/>
      <c r="H224" s="60" t="str">
        <f aca="false">IF(OR(E224="",D224=""),"",IF(K224=0,"Expense / Gasto",INDEX(Budget!$C$7:$C$41,K224)))</f>
        <v/>
      </c>
      <c r="I224" s="60" t="str">
        <f aca="false">IF(AND(B224="",E224=""),"",IF(NOT(ISNUMBER(B224)),"⚠ ADD DATE / AGREGA FECHA",IF(E224="","⚠ ADD AMOUNT / AGREGA MONTO",IF(D224="","⚠ ADD CATEGORY / AGREGA CATEGORÍA",IF(K224=0,"● NEW CATEGORY? / ¿CATEGORÍA NUEVA?","✔ OK")))))</f>
        <v/>
      </c>
      <c r="K224" s="56" t="str">
        <f aca="false">IF(D224="","",IFERROR(MATCH(D224,Budget!$B$7:$B$41,0),0))</f>
        <v/>
      </c>
      <c r="L224" s="56" t="n">
        <f aca="false">IF(AND(ISNUMBER(B224),ISNUMBER(E224),D224&lt;&gt;""),YEAR(B224)*100+MONTH(B224),0)</f>
        <v>0</v>
      </c>
      <c r="M224" s="56" t="n">
        <f aca="false">IF(L224=0,0,YEAR(B224))</f>
        <v>0</v>
      </c>
      <c r="N224" s="56" t="str">
        <f aca="false">IF(L224=0,"",IF(K224=0,"Wants / Gustos",INDEX(Budget!$D$7:$D$41,K224)))</f>
        <v/>
      </c>
    </row>
    <row r="225" customFormat="false" ht="15" hidden="false" customHeight="false" outlineLevel="0" collapsed="false">
      <c r="B225" s="57"/>
      <c r="C225" s="58"/>
      <c r="D225" s="58"/>
      <c r="E225" s="59"/>
      <c r="F225" s="58"/>
      <c r="G225" s="58"/>
      <c r="H225" s="60" t="str">
        <f aca="false">IF(OR(E225="",D225=""),"",IF(K225=0,"Expense / Gasto",INDEX(Budget!$C$7:$C$41,K225)))</f>
        <v/>
      </c>
      <c r="I225" s="60" t="str">
        <f aca="false">IF(AND(B225="",E225=""),"",IF(NOT(ISNUMBER(B225)),"⚠ ADD DATE / AGREGA FECHA",IF(E225="","⚠ ADD AMOUNT / AGREGA MONTO",IF(D225="","⚠ ADD CATEGORY / AGREGA CATEGORÍA",IF(K225=0,"● NEW CATEGORY? / ¿CATEGORÍA NUEVA?","✔ OK")))))</f>
        <v/>
      </c>
      <c r="K225" s="56" t="str">
        <f aca="false">IF(D225="","",IFERROR(MATCH(D225,Budget!$B$7:$B$41,0),0))</f>
        <v/>
      </c>
      <c r="L225" s="56" t="n">
        <f aca="false">IF(AND(ISNUMBER(B225),ISNUMBER(E225),D225&lt;&gt;""),YEAR(B225)*100+MONTH(B225),0)</f>
        <v>0</v>
      </c>
      <c r="M225" s="56" t="n">
        <f aca="false">IF(L225=0,0,YEAR(B225))</f>
        <v>0</v>
      </c>
      <c r="N225" s="56" t="str">
        <f aca="false">IF(L225=0,"",IF(K225=0,"Wants / Gustos",INDEX(Budget!$D$7:$D$41,K225)))</f>
        <v/>
      </c>
    </row>
    <row r="226" customFormat="false" ht="15" hidden="false" customHeight="false" outlineLevel="0" collapsed="false">
      <c r="B226" s="57"/>
      <c r="C226" s="58"/>
      <c r="D226" s="58"/>
      <c r="E226" s="59"/>
      <c r="F226" s="58"/>
      <c r="G226" s="58"/>
      <c r="H226" s="60" t="str">
        <f aca="false">IF(OR(E226="",D226=""),"",IF(K226=0,"Expense / Gasto",INDEX(Budget!$C$7:$C$41,K226)))</f>
        <v/>
      </c>
      <c r="I226" s="60" t="str">
        <f aca="false">IF(AND(B226="",E226=""),"",IF(NOT(ISNUMBER(B226)),"⚠ ADD DATE / AGREGA FECHA",IF(E226="","⚠ ADD AMOUNT / AGREGA MONTO",IF(D226="","⚠ ADD CATEGORY / AGREGA CATEGORÍA",IF(K226=0,"● NEW CATEGORY? / ¿CATEGORÍA NUEVA?","✔ OK")))))</f>
        <v/>
      </c>
      <c r="K226" s="56" t="str">
        <f aca="false">IF(D226="","",IFERROR(MATCH(D226,Budget!$B$7:$B$41,0),0))</f>
        <v/>
      </c>
      <c r="L226" s="56" t="n">
        <f aca="false">IF(AND(ISNUMBER(B226),ISNUMBER(E226),D226&lt;&gt;""),YEAR(B226)*100+MONTH(B226),0)</f>
        <v>0</v>
      </c>
      <c r="M226" s="56" t="n">
        <f aca="false">IF(L226=0,0,YEAR(B226))</f>
        <v>0</v>
      </c>
      <c r="N226" s="56" t="str">
        <f aca="false">IF(L226=0,"",IF(K226=0,"Wants / Gustos",INDEX(Budget!$D$7:$D$41,K226)))</f>
        <v/>
      </c>
    </row>
    <row r="227" customFormat="false" ht="15" hidden="false" customHeight="false" outlineLevel="0" collapsed="false">
      <c r="B227" s="57"/>
      <c r="C227" s="58"/>
      <c r="D227" s="58"/>
      <c r="E227" s="59"/>
      <c r="F227" s="58"/>
      <c r="G227" s="58"/>
      <c r="H227" s="60" t="str">
        <f aca="false">IF(OR(E227="",D227=""),"",IF(K227=0,"Expense / Gasto",INDEX(Budget!$C$7:$C$41,K227)))</f>
        <v/>
      </c>
      <c r="I227" s="60" t="str">
        <f aca="false">IF(AND(B227="",E227=""),"",IF(NOT(ISNUMBER(B227)),"⚠ ADD DATE / AGREGA FECHA",IF(E227="","⚠ ADD AMOUNT / AGREGA MONTO",IF(D227="","⚠ ADD CATEGORY / AGREGA CATEGORÍA",IF(K227=0,"● NEW CATEGORY? / ¿CATEGORÍA NUEVA?","✔ OK")))))</f>
        <v/>
      </c>
      <c r="K227" s="56" t="str">
        <f aca="false">IF(D227="","",IFERROR(MATCH(D227,Budget!$B$7:$B$41,0),0))</f>
        <v/>
      </c>
      <c r="L227" s="56" t="n">
        <f aca="false">IF(AND(ISNUMBER(B227),ISNUMBER(E227),D227&lt;&gt;""),YEAR(B227)*100+MONTH(B227),0)</f>
        <v>0</v>
      </c>
      <c r="M227" s="56" t="n">
        <f aca="false">IF(L227=0,0,YEAR(B227))</f>
        <v>0</v>
      </c>
      <c r="N227" s="56" t="str">
        <f aca="false">IF(L227=0,"",IF(K227=0,"Wants / Gustos",INDEX(Budget!$D$7:$D$41,K227)))</f>
        <v/>
      </c>
    </row>
    <row r="228" customFormat="false" ht="15" hidden="false" customHeight="false" outlineLevel="0" collapsed="false">
      <c r="B228" s="57"/>
      <c r="C228" s="58"/>
      <c r="D228" s="58"/>
      <c r="E228" s="59"/>
      <c r="F228" s="58"/>
      <c r="G228" s="58"/>
      <c r="H228" s="60" t="str">
        <f aca="false">IF(OR(E228="",D228=""),"",IF(K228=0,"Expense / Gasto",INDEX(Budget!$C$7:$C$41,K228)))</f>
        <v/>
      </c>
      <c r="I228" s="60" t="str">
        <f aca="false">IF(AND(B228="",E228=""),"",IF(NOT(ISNUMBER(B228)),"⚠ ADD DATE / AGREGA FECHA",IF(E228="","⚠ ADD AMOUNT / AGREGA MONTO",IF(D228="","⚠ ADD CATEGORY / AGREGA CATEGORÍA",IF(K228=0,"● NEW CATEGORY? / ¿CATEGORÍA NUEVA?","✔ OK")))))</f>
        <v/>
      </c>
      <c r="K228" s="56" t="str">
        <f aca="false">IF(D228="","",IFERROR(MATCH(D228,Budget!$B$7:$B$41,0),0))</f>
        <v/>
      </c>
      <c r="L228" s="56" t="n">
        <f aca="false">IF(AND(ISNUMBER(B228),ISNUMBER(E228),D228&lt;&gt;""),YEAR(B228)*100+MONTH(B228),0)</f>
        <v>0</v>
      </c>
      <c r="M228" s="56" t="n">
        <f aca="false">IF(L228=0,0,YEAR(B228))</f>
        <v>0</v>
      </c>
      <c r="N228" s="56" t="str">
        <f aca="false">IF(L228=0,"",IF(K228=0,"Wants / Gustos",INDEX(Budget!$D$7:$D$41,K228)))</f>
        <v/>
      </c>
    </row>
    <row r="229" customFormat="false" ht="15" hidden="false" customHeight="false" outlineLevel="0" collapsed="false">
      <c r="B229" s="57"/>
      <c r="C229" s="58"/>
      <c r="D229" s="58"/>
      <c r="E229" s="59"/>
      <c r="F229" s="58"/>
      <c r="G229" s="58"/>
      <c r="H229" s="60" t="str">
        <f aca="false">IF(OR(E229="",D229=""),"",IF(K229=0,"Expense / Gasto",INDEX(Budget!$C$7:$C$41,K229)))</f>
        <v/>
      </c>
      <c r="I229" s="60" t="str">
        <f aca="false">IF(AND(B229="",E229=""),"",IF(NOT(ISNUMBER(B229)),"⚠ ADD DATE / AGREGA FECHA",IF(E229="","⚠ ADD AMOUNT / AGREGA MONTO",IF(D229="","⚠ ADD CATEGORY / AGREGA CATEGORÍA",IF(K229=0,"● NEW CATEGORY? / ¿CATEGORÍA NUEVA?","✔ OK")))))</f>
        <v/>
      </c>
      <c r="K229" s="56" t="str">
        <f aca="false">IF(D229="","",IFERROR(MATCH(D229,Budget!$B$7:$B$41,0),0))</f>
        <v/>
      </c>
      <c r="L229" s="56" t="n">
        <f aca="false">IF(AND(ISNUMBER(B229),ISNUMBER(E229),D229&lt;&gt;""),YEAR(B229)*100+MONTH(B229),0)</f>
        <v>0</v>
      </c>
      <c r="M229" s="56" t="n">
        <f aca="false">IF(L229=0,0,YEAR(B229))</f>
        <v>0</v>
      </c>
      <c r="N229" s="56" t="str">
        <f aca="false">IF(L229=0,"",IF(K229=0,"Wants / Gustos",INDEX(Budget!$D$7:$D$41,K229)))</f>
        <v/>
      </c>
    </row>
    <row r="230" customFormat="false" ht="15" hidden="false" customHeight="false" outlineLevel="0" collapsed="false">
      <c r="B230" s="57"/>
      <c r="C230" s="58"/>
      <c r="D230" s="58"/>
      <c r="E230" s="59"/>
      <c r="F230" s="58"/>
      <c r="G230" s="58"/>
      <c r="H230" s="60" t="str">
        <f aca="false">IF(OR(E230="",D230=""),"",IF(K230=0,"Expense / Gasto",INDEX(Budget!$C$7:$C$41,K230)))</f>
        <v/>
      </c>
      <c r="I230" s="60" t="str">
        <f aca="false">IF(AND(B230="",E230=""),"",IF(NOT(ISNUMBER(B230)),"⚠ ADD DATE / AGREGA FECHA",IF(E230="","⚠ ADD AMOUNT / AGREGA MONTO",IF(D230="","⚠ ADD CATEGORY / AGREGA CATEGORÍA",IF(K230=0,"● NEW CATEGORY? / ¿CATEGORÍA NUEVA?","✔ OK")))))</f>
        <v/>
      </c>
      <c r="K230" s="56" t="str">
        <f aca="false">IF(D230="","",IFERROR(MATCH(D230,Budget!$B$7:$B$41,0),0))</f>
        <v/>
      </c>
      <c r="L230" s="56" t="n">
        <f aca="false">IF(AND(ISNUMBER(B230),ISNUMBER(E230),D230&lt;&gt;""),YEAR(B230)*100+MONTH(B230),0)</f>
        <v>0</v>
      </c>
      <c r="M230" s="56" t="n">
        <f aca="false">IF(L230=0,0,YEAR(B230))</f>
        <v>0</v>
      </c>
      <c r="N230" s="56" t="str">
        <f aca="false">IF(L230=0,"",IF(K230=0,"Wants / Gustos",INDEX(Budget!$D$7:$D$41,K230)))</f>
        <v/>
      </c>
    </row>
    <row r="231" customFormat="false" ht="15" hidden="false" customHeight="false" outlineLevel="0" collapsed="false">
      <c r="B231" s="57"/>
      <c r="C231" s="58"/>
      <c r="D231" s="58"/>
      <c r="E231" s="59"/>
      <c r="F231" s="58"/>
      <c r="G231" s="58"/>
      <c r="H231" s="60" t="str">
        <f aca="false">IF(OR(E231="",D231=""),"",IF(K231=0,"Expense / Gasto",INDEX(Budget!$C$7:$C$41,K231)))</f>
        <v/>
      </c>
      <c r="I231" s="60" t="str">
        <f aca="false">IF(AND(B231="",E231=""),"",IF(NOT(ISNUMBER(B231)),"⚠ ADD DATE / AGREGA FECHA",IF(E231="","⚠ ADD AMOUNT / AGREGA MONTO",IF(D231="","⚠ ADD CATEGORY / AGREGA CATEGORÍA",IF(K231=0,"● NEW CATEGORY? / ¿CATEGORÍA NUEVA?","✔ OK")))))</f>
        <v/>
      </c>
      <c r="K231" s="56" t="str">
        <f aca="false">IF(D231="","",IFERROR(MATCH(D231,Budget!$B$7:$B$41,0),0))</f>
        <v/>
      </c>
      <c r="L231" s="56" t="n">
        <f aca="false">IF(AND(ISNUMBER(B231),ISNUMBER(E231),D231&lt;&gt;""),YEAR(B231)*100+MONTH(B231),0)</f>
        <v>0</v>
      </c>
      <c r="M231" s="56" t="n">
        <f aca="false">IF(L231=0,0,YEAR(B231))</f>
        <v>0</v>
      </c>
      <c r="N231" s="56" t="str">
        <f aca="false">IF(L231=0,"",IF(K231=0,"Wants / Gustos",INDEX(Budget!$D$7:$D$41,K231)))</f>
        <v/>
      </c>
    </row>
    <row r="232" customFormat="false" ht="15" hidden="false" customHeight="false" outlineLevel="0" collapsed="false">
      <c r="B232" s="57"/>
      <c r="C232" s="58"/>
      <c r="D232" s="58"/>
      <c r="E232" s="59"/>
      <c r="F232" s="58"/>
      <c r="G232" s="58"/>
      <c r="H232" s="60" t="str">
        <f aca="false">IF(OR(E232="",D232=""),"",IF(K232=0,"Expense / Gasto",INDEX(Budget!$C$7:$C$41,K232)))</f>
        <v/>
      </c>
      <c r="I232" s="60" t="str">
        <f aca="false">IF(AND(B232="",E232=""),"",IF(NOT(ISNUMBER(B232)),"⚠ ADD DATE / AGREGA FECHA",IF(E232="","⚠ ADD AMOUNT / AGREGA MONTO",IF(D232="","⚠ ADD CATEGORY / AGREGA CATEGORÍA",IF(K232=0,"● NEW CATEGORY? / ¿CATEGORÍA NUEVA?","✔ OK")))))</f>
        <v/>
      </c>
      <c r="K232" s="56" t="str">
        <f aca="false">IF(D232="","",IFERROR(MATCH(D232,Budget!$B$7:$B$41,0),0))</f>
        <v/>
      </c>
      <c r="L232" s="56" t="n">
        <f aca="false">IF(AND(ISNUMBER(B232),ISNUMBER(E232),D232&lt;&gt;""),YEAR(B232)*100+MONTH(B232),0)</f>
        <v>0</v>
      </c>
      <c r="M232" s="56" t="n">
        <f aca="false">IF(L232=0,0,YEAR(B232))</f>
        <v>0</v>
      </c>
      <c r="N232" s="56" t="str">
        <f aca="false">IF(L232=0,"",IF(K232=0,"Wants / Gustos",INDEX(Budget!$D$7:$D$41,K232)))</f>
        <v/>
      </c>
    </row>
    <row r="233" customFormat="false" ht="15" hidden="false" customHeight="false" outlineLevel="0" collapsed="false">
      <c r="B233" s="57"/>
      <c r="C233" s="58"/>
      <c r="D233" s="58"/>
      <c r="E233" s="59"/>
      <c r="F233" s="58"/>
      <c r="G233" s="58"/>
      <c r="H233" s="60" t="str">
        <f aca="false">IF(OR(E233="",D233=""),"",IF(K233=0,"Expense / Gasto",INDEX(Budget!$C$7:$C$41,K233)))</f>
        <v/>
      </c>
      <c r="I233" s="60" t="str">
        <f aca="false">IF(AND(B233="",E233=""),"",IF(NOT(ISNUMBER(B233)),"⚠ ADD DATE / AGREGA FECHA",IF(E233="","⚠ ADD AMOUNT / AGREGA MONTO",IF(D233="","⚠ ADD CATEGORY / AGREGA CATEGORÍA",IF(K233=0,"● NEW CATEGORY? / ¿CATEGORÍA NUEVA?","✔ OK")))))</f>
        <v/>
      </c>
      <c r="K233" s="56" t="str">
        <f aca="false">IF(D233="","",IFERROR(MATCH(D233,Budget!$B$7:$B$41,0),0))</f>
        <v/>
      </c>
      <c r="L233" s="56" t="n">
        <f aca="false">IF(AND(ISNUMBER(B233),ISNUMBER(E233),D233&lt;&gt;""),YEAR(B233)*100+MONTH(B233),0)</f>
        <v>0</v>
      </c>
      <c r="M233" s="56" t="n">
        <f aca="false">IF(L233=0,0,YEAR(B233))</f>
        <v>0</v>
      </c>
      <c r="N233" s="56" t="str">
        <f aca="false">IF(L233=0,"",IF(K233=0,"Wants / Gustos",INDEX(Budget!$D$7:$D$41,K233)))</f>
        <v/>
      </c>
    </row>
    <row r="234" customFormat="false" ht="15" hidden="false" customHeight="false" outlineLevel="0" collapsed="false">
      <c r="B234" s="57"/>
      <c r="C234" s="58"/>
      <c r="D234" s="58"/>
      <c r="E234" s="59"/>
      <c r="F234" s="58"/>
      <c r="G234" s="58"/>
      <c r="H234" s="60" t="str">
        <f aca="false">IF(OR(E234="",D234=""),"",IF(K234=0,"Expense / Gasto",INDEX(Budget!$C$7:$C$41,K234)))</f>
        <v/>
      </c>
      <c r="I234" s="60" t="str">
        <f aca="false">IF(AND(B234="",E234=""),"",IF(NOT(ISNUMBER(B234)),"⚠ ADD DATE / AGREGA FECHA",IF(E234="","⚠ ADD AMOUNT / AGREGA MONTO",IF(D234="","⚠ ADD CATEGORY / AGREGA CATEGORÍA",IF(K234=0,"● NEW CATEGORY? / ¿CATEGORÍA NUEVA?","✔ OK")))))</f>
        <v/>
      </c>
      <c r="K234" s="56" t="str">
        <f aca="false">IF(D234="","",IFERROR(MATCH(D234,Budget!$B$7:$B$41,0),0))</f>
        <v/>
      </c>
      <c r="L234" s="56" t="n">
        <f aca="false">IF(AND(ISNUMBER(B234),ISNUMBER(E234),D234&lt;&gt;""),YEAR(B234)*100+MONTH(B234),0)</f>
        <v>0</v>
      </c>
      <c r="M234" s="56" t="n">
        <f aca="false">IF(L234=0,0,YEAR(B234))</f>
        <v>0</v>
      </c>
      <c r="N234" s="56" t="str">
        <f aca="false">IF(L234=0,"",IF(K234=0,"Wants / Gustos",INDEX(Budget!$D$7:$D$41,K234)))</f>
        <v/>
      </c>
    </row>
    <row r="235" customFormat="false" ht="15" hidden="false" customHeight="false" outlineLevel="0" collapsed="false">
      <c r="B235" s="57"/>
      <c r="C235" s="58"/>
      <c r="D235" s="58"/>
      <c r="E235" s="59"/>
      <c r="F235" s="58"/>
      <c r="G235" s="58"/>
      <c r="H235" s="60" t="str">
        <f aca="false">IF(OR(E235="",D235=""),"",IF(K235=0,"Expense / Gasto",INDEX(Budget!$C$7:$C$41,K235)))</f>
        <v/>
      </c>
      <c r="I235" s="60" t="str">
        <f aca="false">IF(AND(B235="",E235=""),"",IF(NOT(ISNUMBER(B235)),"⚠ ADD DATE / AGREGA FECHA",IF(E235="","⚠ ADD AMOUNT / AGREGA MONTO",IF(D235="","⚠ ADD CATEGORY / AGREGA CATEGORÍA",IF(K235=0,"● NEW CATEGORY? / ¿CATEGORÍA NUEVA?","✔ OK")))))</f>
        <v/>
      </c>
      <c r="K235" s="56" t="str">
        <f aca="false">IF(D235="","",IFERROR(MATCH(D235,Budget!$B$7:$B$41,0),0))</f>
        <v/>
      </c>
      <c r="L235" s="56" t="n">
        <f aca="false">IF(AND(ISNUMBER(B235),ISNUMBER(E235),D235&lt;&gt;""),YEAR(B235)*100+MONTH(B235),0)</f>
        <v>0</v>
      </c>
      <c r="M235" s="56" t="n">
        <f aca="false">IF(L235=0,0,YEAR(B235))</f>
        <v>0</v>
      </c>
      <c r="N235" s="56" t="str">
        <f aca="false">IF(L235=0,"",IF(K235=0,"Wants / Gustos",INDEX(Budget!$D$7:$D$41,K235)))</f>
        <v/>
      </c>
    </row>
    <row r="236" customFormat="false" ht="15" hidden="false" customHeight="false" outlineLevel="0" collapsed="false">
      <c r="B236" s="57"/>
      <c r="C236" s="58"/>
      <c r="D236" s="58"/>
      <c r="E236" s="59"/>
      <c r="F236" s="58"/>
      <c r="G236" s="58"/>
      <c r="H236" s="60" t="str">
        <f aca="false">IF(OR(E236="",D236=""),"",IF(K236=0,"Expense / Gasto",INDEX(Budget!$C$7:$C$41,K236)))</f>
        <v/>
      </c>
      <c r="I236" s="60" t="str">
        <f aca="false">IF(AND(B236="",E236=""),"",IF(NOT(ISNUMBER(B236)),"⚠ ADD DATE / AGREGA FECHA",IF(E236="","⚠ ADD AMOUNT / AGREGA MONTO",IF(D236="","⚠ ADD CATEGORY / AGREGA CATEGORÍA",IF(K236=0,"● NEW CATEGORY? / ¿CATEGORÍA NUEVA?","✔ OK")))))</f>
        <v/>
      </c>
      <c r="K236" s="56" t="str">
        <f aca="false">IF(D236="","",IFERROR(MATCH(D236,Budget!$B$7:$B$41,0),0))</f>
        <v/>
      </c>
      <c r="L236" s="56" t="n">
        <f aca="false">IF(AND(ISNUMBER(B236),ISNUMBER(E236),D236&lt;&gt;""),YEAR(B236)*100+MONTH(B236),0)</f>
        <v>0</v>
      </c>
      <c r="M236" s="56" t="n">
        <f aca="false">IF(L236=0,0,YEAR(B236))</f>
        <v>0</v>
      </c>
      <c r="N236" s="56" t="str">
        <f aca="false">IF(L236=0,"",IF(K236=0,"Wants / Gustos",INDEX(Budget!$D$7:$D$41,K236)))</f>
        <v/>
      </c>
    </row>
    <row r="237" customFormat="false" ht="15" hidden="false" customHeight="false" outlineLevel="0" collapsed="false">
      <c r="B237" s="57"/>
      <c r="C237" s="58"/>
      <c r="D237" s="58"/>
      <c r="E237" s="59"/>
      <c r="F237" s="58"/>
      <c r="G237" s="58"/>
      <c r="H237" s="60" t="str">
        <f aca="false">IF(OR(E237="",D237=""),"",IF(K237=0,"Expense / Gasto",INDEX(Budget!$C$7:$C$41,K237)))</f>
        <v/>
      </c>
      <c r="I237" s="60" t="str">
        <f aca="false">IF(AND(B237="",E237=""),"",IF(NOT(ISNUMBER(B237)),"⚠ ADD DATE / AGREGA FECHA",IF(E237="","⚠ ADD AMOUNT / AGREGA MONTO",IF(D237="","⚠ ADD CATEGORY / AGREGA CATEGORÍA",IF(K237=0,"● NEW CATEGORY? / ¿CATEGORÍA NUEVA?","✔ OK")))))</f>
        <v/>
      </c>
      <c r="K237" s="56" t="str">
        <f aca="false">IF(D237="","",IFERROR(MATCH(D237,Budget!$B$7:$B$41,0),0))</f>
        <v/>
      </c>
      <c r="L237" s="56" t="n">
        <f aca="false">IF(AND(ISNUMBER(B237),ISNUMBER(E237),D237&lt;&gt;""),YEAR(B237)*100+MONTH(B237),0)</f>
        <v>0</v>
      </c>
      <c r="M237" s="56" t="n">
        <f aca="false">IF(L237=0,0,YEAR(B237))</f>
        <v>0</v>
      </c>
      <c r="N237" s="56" t="str">
        <f aca="false">IF(L237=0,"",IF(K237=0,"Wants / Gustos",INDEX(Budget!$D$7:$D$41,K237)))</f>
        <v/>
      </c>
    </row>
    <row r="238" customFormat="false" ht="15" hidden="false" customHeight="false" outlineLevel="0" collapsed="false">
      <c r="B238" s="57"/>
      <c r="C238" s="58"/>
      <c r="D238" s="58"/>
      <c r="E238" s="59"/>
      <c r="F238" s="58"/>
      <c r="G238" s="58"/>
      <c r="H238" s="60" t="str">
        <f aca="false">IF(OR(E238="",D238=""),"",IF(K238=0,"Expense / Gasto",INDEX(Budget!$C$7:$C$41,K238)))</f>
        <v/>
      </c>
      <c r="I238" s="60" t="str">
        <f aca="false">IF(AND(B238="",E238=""),"",IF(NOT(ISNUMBER(B238)),"⚠ ADD DATE / AGREGA FECHA",IF(E238="","⚠ ADD AMOUNT / AGREGA MONTO",IF(D238="","⚠ ADD CATEGORY / AGREGA CATEGORÍA",IF(K238=0,"● NEW CATEGORY? / ¿CATEGORÍA NUEVA?","✔ OK")))))</f>
        <v/>
      </c>
      <c r="K238" s="56" t="str">
        <f aca="false">IF(D238="","",IFERROR(MATCH(D238,Budget!$B$7:$B$41,0),0))</f>
        <v/>
      </c>
      <c r="L238" s="56" t="n">
        <f aca="false">IF(AND(ISNUMBER(B238),ISNUMBER(E238),D238&lt;&gt;""),YEAR(B238)*100+MONTH(B238),0)</f>
        <v>0</v>
      </c>
      <c r="M238" s="56" t="n">
        <f aca="false">IF(L238=0,0,YEAR(B238))</f>
        <v>0</v>
      </c>
      <c r="N238" s="56" t="str">
        <f aca="false">IF(L238=0,"",IF(K238=0,"Wants / Gustos",INDEX(Budget!$D$7:$D$41,K238)))</f>
        <v/>
      </c>
    </row>
    <row r="239" customFormat="false" ht="15" hidden="false" customHeight="false" outlineLevel="0" collapsed="false">
      <c r="B239" s="57"/>
      <c r="C239" s="58"/>
      <c r="D239" s="58"/>
      <c r="E239" s="59"/>
      <c r="F239" s="58"/>
      <c r="G239" s="58"/>
      <c r="H239" s="60" t="str">
        <f aca="false">IF(OR(E239="",D239=""),"",IF(K239=0,"Expense / Gasto",INDEX(Budget!$C$7:$C$41,K239)))</f>
        <v/>
      </c>
      <c r="I239" s="60" t="str">
        <f aca="false">IF(AND(B239="",E239=""),"",IF(NOT(ISNUMBER(B239)),"⚠ ADD DATE / AGREGA FECHA",IF(E239="","⚠ ADD AMOUNT / AGREGA MONTO",IF(D239="","⚠ ADD CATEGORY / AGREGA CATEGORÍA",IF(K239=0,"● NEW CATEGORY? / ¿CATEGORÍA NUEVA?","✔ OK")))))</f>
        <v/>
      </c>
      <c r="K239" s="56" t="str">
        <f aca="false">IF(D239="","",IFERROR(MATCH(D239,Budget!$B$7:$B$41,0),0))</f>
        <v/>
      </c>
      <c r="L239" s="56" t="n">
        <f aca="false">IF(AND(ISNUMBER(B239),ISNUMBER(E239),D239&lt;&gt;""),YEAR(B239)*100+MONTH(B239),0)</f>
        <v>0</v>
      </c>
      <c r="M239" s="56" t="n">
        <f aca="false">IF(L239=0,0,YEAR(B239))</f>
        <v>0</v>
      </c>
      <c r="N239" s="56" t="str">
        <f aca="false">IF(L239=0,"",IF(K239=0,"Wants / Gustos",INDEX(Budget!$D$7:$D$41,K239)))</f>
        <v/>
      </c>
    </row>
    <row r="240" customFormat="false" ht="15" hidden="false" customHeight="false" outlineLevel="0" collapsed="false">
      <c r="B240" s="57"/>
      <c r="C240" s="58"/>
      <c r="D240" s="58"/>
      <c r="E240" s="59"/>
      <c r="F240" s="58"/>
      <c r="G240" s="58"/>
      <c r="H240" s="60" t="str">
        <f aca="false">IF(OR(E240="",D240=""),"",IF(K240=0,"Expense / Gasto",INDEX(Budget!$C$7:$C$41,K240)))</f>
        <v/>
      </c>
      <c r="I240" s="60" t="str">
        <f aca="false">IF(AND(B240="",E240=""),"",IF(NOT(ISNUMBER(B240)),"⚠ ADD DATE / AGREGA FECHA",IF(E240="","⚠ ADD AMOUNT / AGREGA MONTO",IF(D240="","⚠ ADD CATEGORY / AGREGA CATEGORÍA",IF(K240=0,"● NEW CATEGORY? / ¿CATEGORÍA NUEVA?","✔ OK")))))</f>
        <v/>
      </c>
      <c r="K240" s="56" t="str">
        <f aca="false">IF(D240="","",IFERROR(MATCH(D240,Budget!$B$7:$B$41,0),0))</f>
        <v/>
      </c>
      <c r="L240" s="56" t="n">
        <f aca="false">IF(AND(ISNUMBER(B240),ISNUMBER(E240),D240&lt;&gt;""),YEAR(B240)*100+MONTH(B240),0)</f>
        <v>0</v>
      </c>
      <c r="M240" s="56" t="n">
        <f aca="false">IF(L240=0,0,YEAR(B240))</f>
        <v>0</v>
      </c>
      <c r="N240" s="56" t="str">
        <f aca="false">IF(L240=0,"",IF(K240=0,"Wants / Gustos",INDEX(Budget!$D$7:$D$41,K240)))</f>
        <v/>
      </c>
    </row>
    <row r="241" customFormat="false" ht="15" hidden="false" customHeight="false" outlineLevel="0" collapsed="false">
      <c r="B241" s="57"/>
      <c r="C241" s="58"/>
      <c r="D241" s="58"/>
      <c r="E241" s="59"/>
      <c r="F241" s="58"/>
      <c r="G241" s="58"/>
      <c r="H241" s="60" t="str">
        <f aca="false">IF(OR(E241="",D241=""),"",IF(K241=0,"Expense / Gasto",INDEX(Budget!$C$7:$C$41,K241)))</f>
        <v/>
      </c>
      <c r="I241" s="60" t="str">
        <f aca="false">IF(AND(B241="",E241=""),"",IF(NOT(ISNUMBER(B241)),"⚠ ADD DATE / AGREGA FECHA",IF(E241="","⚠ ADD AMOUNT / AGREGA MONTO",IF(D241="","⚠ ADD CATEGORY / AGREGA CATEGORÍA",IF(K241=0,"● NEW CATEGORY? / ¿CATEGORÍA NUEVA?","✔ OK")))))</f>
        <v/>
      </c>
      <c r="K241" s="56" t="str">
        <f aca="false">IF(D241="","",IFERROR(MATCH(D241,Budget!$B$7:$B$41,0),0))</f>
        <v/>
      </c>
      <c r="L241" s="56" t="n">
        <f aca="false">IF(AND(ISNUMBER(B241),ISNUMBER(E241),D241&lt;&gt;""),YEAR(B241)*100+MONTH(B241),0)</f>
        <v>0</v>
      </c>
      <c r="M241" s="56" t="n">
        <f aca="false">IF(L241=0,0,YEAR(B241))</f>
        <v>0</v>
      </c>
      <c r="N241" s="56" t="str">
        <f aca="false">IF(L241=0,"",IF(K241=0,"Wants / Gustos",INDEX(Budget!$D$7:$D$41,K241)))</f>
        <v/>
      </c>
    </row>
    <row r="242" customFormat="false" ht="15" hidden="false" customHeight="false" outlineLevel="0" collapsed="false">
      <c r="B242" s="57"/>
      <c r="C242" s="58"/>
      <c r="D242" s="58"/>
      <c r="E242" s="59"/>
      <c r="F242" s="58"/>
      <c r="G242" s="58"/>
      <c r="H242" s="60" t="str">
        <f aca="false">IF(OR(E242="",D242=""),"",IF(K242=0,"Expense / Gasto",INDEX(Budget!$C$7:$C$41,K242)))</f>
        <v/>
      </c>
      <c r="I242" s="60" t="str">
        <f aca="false">IF(AND(B242="",E242=""),"",IF(NOT(ISNUMBER(B242)),"⚠ ADD DATE / AGREGA FECHA",IF(E242="","⚠ ADD AMOUNT / AGREGA MONTO",IF(D242="","⚠ ADD CATEGORY / AGREGA CATEGORÍA",IF(K242=0,"● NEW CATEGORY? / ¿CATEGORÍA NUEVA?","✔ OK")))))</f>
        <v/>
      </c>
      <c r="K242" s="56" t="str">
        <f aca="false">IF(D242="","",IFERROR(MATCH(D242,Budget!$B$7:$B$41,0),0))</f>
        <v/>
      </c>
      <c r="L242" s="56" t="n">
        <f aca="false">IF(AND(ISNUMBER(B242),ISNUMBER(E242),D242&lt;&gt;""),YEAR(B242)*100+MONTH(B242),0)</f>
        <v>0</v>
      </c>
      <c r="M242" s="56" t="n">
        <f aca="false">IF(L242=0,0,YEAR(B242))</f>
        <v>0</v>
      </c>
      <c r="N242" s="56" t="str">
        <f aca="false">IF(L242=0,"",IF(K242=0,"Wants / Gustos",INDEX(Budget!$D$7:$D$41,K242)))</f>
        <v/>
      </c>
    </row>
    <row r="243" customFormat="false" ht="15" hidden="false" customHeight="false" outlineLevel="0" collapsed="false">
      <c r="B243" s="57"/>
      <c r="C243" s="58"/>
      <c r="D243" s="58"/>
      <c r="E243" s="59"/>
      <c r="F243" s="58"/>
      <c r="G243" s="58"/>
      <c r="H243" s="60" t="str">
        <f aca="false">IF(OR(E243="",D243=""),"",IF(K243=0,"Expense / Gasto",INDEX(Budget!$C$7:$C$41,K243)))</f>
        <v/>
      </c>
      <c r="I243" s="60" t="str">
        <f aca="false">IF(AND(B243="",E243=""),"",IF(NOT(ISNUMBER(B243)),"⚠ ADD DATE / AGREGA FECHA",IF(E243="","⚠ ADD AMOUNT / AGREGA MONTO",IF(D243="","⚠ ADD CATEGORY / AGREGA CATEGORÍA",IF(K243=0,"● NEW CATEGORY? / ¿CATEGORÍA NUEVA?","✔ OK")))))</f>
        <v/>
      </c>
      <c r="K243" s="56" t="str">
        <f aca="false">IF(D243="","",IFERROR(MATCH(D243,Budget!$B$7:$B$41,0),0))</f>
        <v/>
      </c>
      <c r="L243" s="56" t="n">
        <f aca="false">IF(AND(ISNUMBER(B243),ISNUMBER(E243),D243&lt;&gt;""),YEAR(B243)*100+MONTH(B243),0)</f>
        <v>0</v>
      </c>
      <c r="M243" s="56" t="n">
        <f aca="false">IF(L243=0,0,YEAR(B243))</f>
        <v>0</v>
      </c>
      <c r="N243" s="56" t="str">
        <f aca="false">IF(L243=0,"",IF(K243=0,"Wants / Gustos",INDEX(Budget!$D$7:$D$41,K243)))</f>
        <v/>
      </c>
    </row>
    <row r="244" customFormat="false" ht="15" hidden="false" customHeight="false" outlineLevel="0" collapsed="false">
      <c r="B244" s="57"/>
      <c r="C244" s="58"/>
      <c r="D244" s="58"/>
      <c r="E244" s="59"/>
      <c r="F244" s="58"/>
      <c r="G244" s="58"/>
      <c r="H244" s="60" t="str">
        <f aca="false">IF(OR(E244="",D244=""),"",IF(K244=0,"Expense / Gasto",INDEX(Budget!$C$7:$C$41,K244)))</f>
        <v/>
      </c>
      <c r="I244" s="60" t="str">
        <f aca="false">IF(AND(B244="",E244=""),"",IF(NOT(ISNUMBER(B244)),"⚠ ADD DATE / AGREGA FECHA",IF(E244="","⚠ ADD AMOUNT / AGREGA MONTO",IF(D244="","⚠ ADD CATEGORY / AGREGA CATEGORÍA",IF(K244=0,"● NEW CATEGORY? / ¿CATEGORÍA NUEVA?","✔ OK")))))</f>
        <v/>
      </c>
      <c r="K244" s="56" t="str">
        <f aca="false">IF(D244="","",IFERROR(MATCH(D244,Budget!$B$7:$B$41,0),0))</f>
        <v/>
      </c>
      <c r="L244" s="56" t="n">
        <f aca="false">IF(AND(ISNUMBER(B244),ISNUMBER(E244),D244&lt;&gt;""),YEAR(B244)*100+MONTH(B244),0)</f>
        <v>0</v>
      </c>
      <c r="M244" s="56" t="n">
        <f aca="false">IF(L244=0,0,YEAR(B244))</f>
        <v>0</v>
      </c>
      <c r="N244" s="56" t="str">
        <f aca="false">IF(L244=0,"",IF(K244=0,"Wants / Gustos",INDEX(Budget!$D$7:$D$41,K244)))</f>
        <v/>
      </c>
    </row>
    <row r="245" customFormat="false" ht="15" hidden="false" customHeight="false" outlineLevel="0" collapsed="false">
      <c r="B245" s="57"/>
      <c r="C245" s="58"/>
      <c r="D245" s="58"/>
      <c r="E245" s="59"/>
      <c r="F245" s="58"/>
      <c r="G245" s="58"/>
      <c r="H245" s="60" t="str">
        <f aca="false">IF(OR(E245="",D245=""),"",IF(K245=0,"Expense / Gasto",INDEX(Budget!$C$7:$C$41,K245)))</f>
        <v/>
      </c>
      <c r="I245" s="60" t="str">
        <f aca="false">IF(AND(B245="",E245=""),"",IF(NOT(ISNUMBER(B245)),"⚠ ADD DATE / AGREGA FECHA",IF(E245="","⚠ ADD AMOUNT / AGREGA MONTO",IF(D245="","⚠ ADD CATEGORY / AGREGA CATEGORÍA",IF(K245=0,"● NEW CATEGORY? / ¿CATEGORÍA NUEVA?","✔ OK")))))</f>
        <v/>
      </c>
      <c r="K245" s="56" t="str">
        <f aca="false">IF(D245="","",IFERROR(MATCH(D245,Budget!$B$7:$B$41,0),0))</f>
        <v/>
      </c>
      <c r="L245" s="56" t="n">
        <f aca="false">IF(AND(ISNUMBER(B245),ISNUMBER(E245),D245&lt;&gt;""),YEAR(B245)*100+MONTH(B245),0)</f>
        <v>0</v>
      </c>
      <c r="M245" s="56" t="n">
        <f aca="false">IF(L245=0,0,YEAR(B245))</f>
        <v>0</v>
      </c>
      <c r="N245" s="56" t="str">
        <f aca="false">IF(L245=0,"",IF(K245=0,"Wants / Gustos",INDEX(Budget!$D$7:$D$41,K245)))</f>
        <v/>
      </c>
    </row>
    <row r="246" customFormat="false" ht="15" hidden="false" customHeight="false" outlineLevel="0" collapsed="false">
      <c r="B246" s="57"/>
      <c r="C246" s="58"/>
      <c r="D246" s="58"/>
      <c r="E246" s="59"/>
      <c r="F246" s="58"/>
      <c r="G246" s="58"/>
      <c r="H246" s="60" t="str">
        <f aca="false">IF(OR(E246="",D246=""),"",IF(K246=0,"Expense / Gasto",INDEX(Budget!$C$7:$C$41,K246)))</f>
        <v/>
      </c>
      <c r="I246" s="60" t="str">
        <f aca="false">IF(AND(B246="",E246=""),"",IF(NOT(ISNUMBER(B246)),"⚠ ADD DATE / AGREGA FECHA",IF(E246="","⚠ ADD AMOUNT / AGREGA MONTO",IF(D246="","⚠ ADD CATEGORY / AGREGA CATEGORÍA",IF(K246=0,"● NEW CATEGORY? / ¿CATEGORÍA NUEVA?","✔ OK")))))</f>
        <v/>
      </c>
      <c r="K246" s="56" t="str">
        <f aca="false">IF(D246="","",IFERROR(MATCH(D246,Budget!$B$7:$B$41,0),0))</f>
        <v/>
      </c>
      <c r="L246" s="56" t="n">
        <f aca="false">IF(AND(ISNUMBER(B246),ISNUMBER(E246),D246&lt;&gt;""),YEAR(B246)*100+MONTH(B246),0)</f>
        <v>0</v>
      </c>
      <c r="M246" s="56" t="n">
        <f aca="false">IF(L246=0,0,YEAR(B246))</f>
        <v>0</v>
      </c>
      <c r="N246" s="56" t="str">
        <f aca="false">IF(L246=0,"",IF(K246=0,"Wants / Gustos",INDEX(Budget!$D$7:$D$41,K246)))</f>
        <v/>
      </c>
    </row>
    <row r="247" customFormat="false" ht="15" hidden="false" customHeight="false" outlineLevel="0" collapsed="false">
      <c r="B247" s="57"/>
      <c r="C247" s="58"/>
      <c r="D247" s="58"/>
      <c r="E247" s="59"/>
      <c r="F247" s="58"/>
      <c r="G247" s="58"/>
      <c r="H247" s="60" t="str">
        <f aca="false">IF(OR(E247="",D247=""),"",IF(K247=0,"Expense / Gasto",INDEX(Budget!$C$7:$C$41,K247)))</f>
        <v/>
      </c>
      <c r="I247" s="60" t="str">
        <f aca="false">IF(AND(B247="",E247=""),"",IF(NOT(ISNUMBER(B247)),"⚠ ADD DATE / AGREGA FECHA",IF(E247="","⚠ ADD AMOUNT / AGREGA MONTO",IF(D247="","⚠ ADD CATEGORY / AGREGA CATEGORÍA",IF(K247=0,"● NEW CATEGORY? / ¿CATEGORÍA NUEVA?","✔ OK")))))</f>
        <v/>
      </c>
      <c r="K247" s="56" t="str">
        <f aca="false">IF(D247="","",IFERROR(MATCH(D247,Budget!$B$7:$B$41,0),0))</f>
        <v/>
      </c>
      <c r="L247" s="56" t="n">
        <f aca="false">IF(AND(ISNUMBER(B247),ISNUMBER(E247),D247&lt;&gt;""),YEAR(B247)*100+MONTH(B247),0)</f>
        <v>0</v>
      </c>
      <c r="M247" s="56" t="n">
        <f aca="false">IF(L247=0,0,YEAR(B247))</f>
        <v>0</v>
      </c>
      <c r="N247" s="56" t="str">
        <f aca="false">IF(L247=0,"",IF(K247=0,"Wants / Gustos",INDEX(Budget!$D$7:$D$41,K247)))</f>
        <v/>
      </c>
    </row>
    <row r="248" customFormat="false" ht="15" hidden="false" customHeight="false" outlineLevel="0" collapsed="false">
      <c r="B248" s="57"/>
      <c r="C248" s="58"/>
      <c r="D248" s="58"/>
      <c r="E248" s="59"/>
      <c r="F248" s="58"/>
      <c r="G248" s="58"/>
      <c r="H248" s="60" t="str">
        <f aca="false">IF(OR(E248="",D248=""),"",IF(K248=0,"Expense / Gasto",INDEX(Budget!$C$7:$C$41,K248)))</f>
        <v/>
      </c>
      <c r="I248" s="60" t="str">
        <f aca="false">IF(AND(B248="",E248=""),"",IF(NOT(ISNUMBER(B248)),"⚠ ADD DATE / AGREGA FECHA",IF(E248="","⚠ ADD AMOUNT / AGREGA MONTO",IF(D248="","⚠ ADD CATEGORY / AGREGA CATEGORÍA",IF(K248=0,"● NEW CATEGORY? / ¿CATEGORÍA NUEVA?","✔ OK")))))</f>
        <v/>
      </c>
      <c r="K248" s="56" t="str">
        <f aca="false">IF(D248="","",IFERROR(MATCH(D248,Budget!$B$7:$B$41,0),0))</f>
        <v/>
      </c>
      <c r="L248" s="56" t="n">
        <f aca="false">IF(AND(ISNUMBER(B248),ISNUMBER(E248),D248&lt;&gt;""),YEAR(B248)*100+MONTH(B248),0)</f>
        <v>0</v>
      </c>
      <c r="M248" s="56" t="n">
        <f aca="false">IF(L248=0,0,YEAR(B248))</f>
        <v>0</v>
      </c>
      <c r="N248" s="56" t="str">
        <f aca="false">IF(L248=0,"",IF(K248=0,"Wants / Gustos",INDEX(Budget!$D$7:$D$41,K248)))</f>
        <v/>
      </c>
    </row>
    <row r="249" customFormat="false" ht="15" hidden="false" customHeight="false" outlineLevel="0" collapsed="false">
      <c r="B249" s="57"/>
      <c r="C249" s="58"/>
      <c r="D249" s="58"/>
      <c r="E249" s="59"/>
      <c r="F249" s="58"/>
      <c r="G249" s="58"/>
      <c r="H249" s="60" t="str">
        <f aca="false">IF(OR(E249="",D249=""),"",IF(K249=0,"Expense / Gasto",INDEX(Budget!$C$7:$C$41,K249)))</f>
        <v/>
      </c>
      <c r="I249" s="60" t="str">
        <f aca="false">IF(AND(B249="",E249=""),"",IF(NOT(ISNUMBER(B249)),"⚠ ADD DATE / AGREGA FECHA",IF(E249="","⚠ ADD AMOUNT / AGREGA MONTO",IF(D249="","⚠ ADD CATEGORY / AGREGA CATEGORÍA",IF(K249=0,"● NEW CATEGORY? / ¿CATEGORÍA NUEVA?","✔ OK")))))</f>
        <v/>
      </c>
      <c r="K249" s="56" t="str">
        <f aca="false">IF(D249="","",IFERROR(MATCH(D249,Budget!$B$7:$B$41,0),0))</f>
        <v/>
      </c>
      <c r="L249" s="56" t="n">
        <f aca="false">IF(AND(ISNUMBER(B249),ISNUMBER(E249),D249&lt;&gt;""),YEAR(B249)*100+MONTH(B249),0)</f>
        <v>0</v>
      </c>
      <c r="M249" s="56" t="n">
        <f aca="false">IF(L249=0,0,YEAR(B249))</f>
        <v>0</v>
      </c>
      <c r="N249" s="56" t="str">
        <f aca="false">IF(L249=0,"",IF(K249=0,"Wants / Gustos",INDEX(Budget!$D$7:$D$41,K249)))</f>
        <v/>
      </c>
    </row>
    <row r="250" customFormat="false" ht="15" hidden="false" customHeight="false" outlineLevel="0" collapsed="false">
      <c r="B250" s="57"/>
      <c r="C250" s="58"/>
      <c r="D250" s="58"/>
      <c r="E250" s="59"/>
      <c r="F250" s="58"/>
      <c r="G250" s="58"/>
      <c r="H250" s="60" t="str">
        <f aca="false">IF(OR(E250="",D250=""),"",IF(K250=0,"Expense / Gasto",INDEX(Budget!$C$7:$C$41,K250)))</f>
        <v/>
      </c>
      <c r="I250" s="60" t="str">
        <f aca="false">IF(AND(B250="",E250=""),"",IF(NOT(ISNUMBER(B250)),"⚠ ADD DATE / AGREGA FECHA",IF(E250="","⚠ ADD AMOUNT / AGREGA MONTO",IF(D250="","⚠ ADD CATEGORY / AGREGA CATEGORÍA",IF(K250=0,"● NEW CATEGORY? / ¿CATEGORÍA NUEVA?","✔ OK")))))</f>
        <v/>
      </c>
      <c r="K250" s="56" t="str">
        <f aca="false">IF(D250="","",IFERROR(MATCH(D250,Budget!$B$7:$B$41,0),0))</f>
        <v/>
      </c>
      <c r="L250" s="56" t="n">
        <f aca="false">IF(AND(ISNUMBER(B250),ISNUMBER(E250),D250&lt;&gt;""),YEAR(B250)*100+MONTH(B250),0)</f>
        <v>0</v>
      </c>
      <c r="M250" s="56" t="n">
        <f aca="false">IF(L250=0,0,YEAR(B250))</f>
        <v>0</v>
      </c>
      <c r="N250" s="56" t="str">
        <f aca="false">IF(L250=0,"",IF(K250=0,"Wants / Gustos",INDEX(Budget!$D$7:$D$41,K250)))</f>
        <v/>
      </c>
    </row>
    <row r="251" customFormat="false" ht="15" hidden="false" customHeight="false" outlineLevel="0" collapsed="false">
      <c r="B251" s="57"/>
      <c r="C251" s="58"/>
      <c r="D251" s="58"/>
      <c r="E251" s="59"/>
      <c r="F251" s="58"/>
      <c r="G251" s="58"/>
      <c r="H251" s="60" t="str">
        <f aca="false">IF(OR(E251="",D251=""),"",IF(K251=0,"Expense / Gasto",INDEX(Budget!$C$7:$C$41,K251)))</f>
        <v/>
      </c>
      <c r="I251" s="60" t="str">
        <f aca="false">IF(AND(B251="",E251=""),"",IF(NOT(ISNUMBER(B251)),"⚠ ADD DATE / AGREGA FECHA",IF(E251="","⚠ ADD AMOUNT / AGREGA MONTO",IF(D251="","⚠ ADD CATEGORY / AGREGA CATEGORÍA",IF(K251=0,"● NEW CATEGORY? / ¿CATEGORÍA NUEVA?","✔ OK")))))</f>
        <v/>
      </c>
      <c r="K251" s="56" t="str">
        <f aca="false">IF(D251="","",IFERROR(MATCH(D251,Budget!$B$7:$B$41,0),0))</f>
        <v/>
      </c>
      <c r="L251" s="56" t="n">
        <f aca="false">IF(AND(ISNUMBER(B251),ISNUMBER(E251),D251&lt;&gt;""),YEAR(B251)*100+MONTH(B251),0)</f>
        <v>0</v>
      </c>
      <c r="M251" s="56" t="n">
        <f aca="false">IF(L251=0,0,YEAR(B251))</f>
        <v>0</v>
      </c>
      <c r="N251" s="56" t="str">
        <f aca="false">IF(L251=0,"",IF(K251=0,"Wants / Gustos",INDEX(Budget!$D$7:$D$41,K251)))</f>
        <v/>
      </c>
    </row>
    <row r="252" customFormat="false" ht="15" hidden="false" customHeight="false" outlineLevel="0" collapsed="false">
      <c r="B252" s="57"/>
      <c r="C252" s="58"/>
      <c r="D252" s="58"/>
      <c r="E252" s="59"/>
      <c r="F252" s="58"/>
      <c r="G252" s="58"/>
      <c r="H252" s="60" t="str">
        <f aca="false">IF(OR(E252="",D252=""),"",IF(K252=0,"Expense / Gasto",INDEX(Budget!$C$7:$C$41,K252)))</f>
        <v/>
      </c>
      <c r="I252" s="60" t="str">
        <f aca="false">IF(AND(B252="",E252=""),"",IF(NOT(ISNUMBER(B252)),"⚠ ADD DATE / AGREGA FECHA",IF(E252="","⚠ ADD AMOUNT / AGREGA MONTO",IF(D252="","⚠ ADD CATEGORY / AGREGA CATEGORÍA",IF(K252=0,"● NEW CATEGORY? / ¿CATEGORÍA NUEVA?","✔ OK")))))</f>
        <v/>
      </c>
      <c r="K252" s="56" t="str">
        <f aca="false">IF(D252="","",IFERROR(MATCH(D252,Budget!$B$7:$B$41,0),0))</f>
        <v/>
      </c>
      <c r="L252" s="56" t="n">
        <f aca="false">IF(AND(ISNUMBER(B252),ISNUMBER(E252),D252&lt;&gt;""),YEAR(B252)*100+MONTH(B252),0)</f>
        <v>0</v>
      </c>
      <c r="M252" s="56" t="n">
        <f aca="false">IF(L252=0,0,YEAR(B252))</f>
        <v>0</v>
      </c>
      <c r="N252" s="56" t="str">
        <f aca="false">IF(L252=0,"",IF(K252=0,"Wants / Gustos",INDEX(Budget!$D$7:$D$41,K252)))</f>
        <v/>
      </c>
    </row>
    <row r="253" customFormat="false" ht="15" hidden="false" customHeight="false" outlineLevel="0" collapsed="false">
      <c r="B253" s="57"/>
      <c r="C253" s="58"/>
      <c r="D253" s="58"/>
      <c r="E253" s="59"/>
      <c r="F253" s="58"/>
      <c r="G253" s="58"/>
      <c r="H253" s="60" t="str">
        <f aca="false">IF(OR(E253="",D253=""),"",IF(K253=0,"Expense / Gasto",INDEX(Budget!$C$7:$C$41,K253)))</f>
        <v/>
      </c>
      <c r="I253" s="60" t="str">
        <f aca="false">IF(AND(B253="",E253=""),"",IF(NOT(ISNUMBER(B253)),"⚠ ADD DATE / AGREGA FECHA",IF(E253="","⚠ ADD AMOUNT / AGREGA MONTO",IF(D253="","⚠ ADD CATEGORY / AGREGA CATEGORÍA",IF(K253=0,"● NEW CATEGORY? / ¿CATEGORÍA NUEVA?","✔ OK")))))</f>
        <v/>
      </c>
      <c r="K253" s="56" t="str">
        <f aca="false">IF(D253="","",IFERROR(MATCH(D253,Budget!$B$7:$B$41,0),0))</f>
        <v/>
      </c>
      <c r="L253" s="56" t="n">
        <f aca="false">IF(AND(ISNUMBER(B253),ISNUMBER(E253),D253&lt;&gt;""),YEAR(B253)*100+MONTH(B253),0)</f>
        <v>0</v>
      </c>
      <c r="M253" s="56" t="n">
        <f aca="false">IF(L253=0,0,YEAR(B253))</f>
        <v>0</v>
      </c>
      <c r="N253" s="56" t="str">
        <f aca="false">IF(L253=0,"",IF(K253=0,"Wants / Gustos",INDEX(Budget!$D$7:$D$41,K253)))</f>
        <v/>
      </c>
    </row>
    <row r="254" customFormat="false" ht="15" hidden="false" customHeight="false" outlineLevel="0" collapsed="false">
      <c r="B254" s="57"/>
      <c r="C254" s="58"/>
      <c r="D254" s="58"/>
      <c r="E254" s="59"/>
      <c r="F254" s="58"/>
      <c r="G254" s="58"/>
      <c r="H254" s="60" t="str">
        <f aca="false">IF(OR(E254="",D254=""),"",IF(K254=0,"Expense / Gasto",INDEX(Budget!$C$7:$C$41,K254)))</f>
        <v/>
      </c>
      <c r="I254" s="60" t="str">
        <f aca="false">IF(AND(B254="",E254=""),"",IF(NOT(ISNUMBER(B254)),"⚠ ADD DATE / AGREGA FECHA",IF(E254="","⚠ ADD AMOUNT / AGREGA MONTO",IF(D254="","⚠ ADD CATEGORY / AGREGA CATEGORÍA",IF(K254=0,"● NEW CATEGORY? / ¿CATEGORÍA NUEVA?","✔ OK")))))</f>
        <v/>
      </c>
      <c r="K254" s="56" t="str">
        <f aca="false">IF(D254="","",IFERROR(MATCH(D254,Budget!$B$7:$B$41,0),0))</f>
        <v/>
      </c>
      <c r="L254" s="56" t="n">
        <f aca="false">IF(AND(ISNUMBER(B254),ISNUMBER(E254),D254&lt;&gt;""),YEAR(B254)*100+MONTH(B254),0)</f>
        <v>0</v>
      </c>
      <c r="M254" s="56" t="n">
        <f aca="false">IF(L254=0,0,YEAR(B254))</f>
        <v>0</v>
      </c>
      <c r="N254" s="56" t="str">
        <f aca="false">IF(L254=0,"",IF(K254=0,"Wants / Gustos",INDEX(Budget!$D$7:$D$41,K254)))</f>
        <v/>
      </c>
    </row>
    <row r="255" customFormat="false" ht="15" hidden="false" customHeight="false" outlineLevel="0" collapsed="false">
      <c r="B255" s="57"/>
      <c r="C255" s="58"/>
      <c r="D255" s="58"/>
      <c r="E255" s="59"/>
      <c r="F255" s="58"/>
      <c r="G255" s="58"/>
      <c r="H255" s="60" t="str">
        <f aca="false">IF(OR(E255="",D255=""),"",IF(K255=0,"Expense / Gasto",INDEX(Budget!$C$7:$C$41,K255)))</f>
        <v/>
      </c>
      <c r="I255" s="60" t="str">
        <f aca="false">IF(AND(B255="",E255=""),"",IF(NOT(ISNUMBER(B255)),"⚠ ADD DATE / AGREGA FECHA",IF(E255="","⚠ ADD AMOUNT / AGREGA MONTO",IF(D255="","⚠ ADD CATEGORY / AGREGA CATEGORÍA",IF(K255=0,"● NEW CATEGORY? / ¿CATEGORÍA NUEVA?","✔ OK")))))</f>
        <v/>
      </c>
      <c r="K255" s="56" t="str">
        <f aca="false">IF(D255="","",IFERROR(MATCH(D255,Budget!$B$7:$B$41,0),0))</f>
        <v/>
      </c>
      <c r="L255" s="56" t="n">
        <f aca="false">IF(AND(ISNUMBER(B255),ISNUMBER(E255),D255&lt;&gt;""),YEAR(B255)*100+MONTH(B255),0)</f>
        <v>0</v>
      </c>
      <c r="M255" s="56" t="n">
        <f aca="false">IF(L255=0,0,YEAR(B255))</f>
        <v>0</v>
      </c>
      <c r="N255" s="56" t="str">
        <f aca="false">IF(L255=0,"",IF(K255=0,"Wants / Gustos",INDEX(Budget!$D$7:$D$41,K255)))</f>
        <v/>
      </c>
    </row>
    <row r="256" customFormat="false" ht="15" hidden="false" customHeight="false" outlineLevel="0" collapsed="false">
      <c r="B256" s="57"/>
      <c r="C256" s="58"/>
      <c r="D256" s="58"/>
      <c r="E256" s="59"/>
      <c r="F256" s="58"/>
      <c r="G256" s="58"/>
      <c r="H256" s="60" t="str">
        <f aca="false">IF(OR(E256="",D256=""),"",IF(K256=0,"Expense / Gasto",INDEX(Budget!$C$7:$C$41,K256)))</f>
        <v/>
      </c>
      <c r="I256" s="60" t="str">
        <f aca="false">IF(AND(B256="",E256=""),"",IF(NOT(ISNUMBER(B256)),"⚠ ADD DATE / AGREGA FECHA",IF(E256="","⚠ ADD AMOUNT / AGREGA MONTO",IF(D256="","⚠ ADD CATEGORY / AGREGA CATEGORÍA",IF(K256=0,"● NEW CATEGORY? / ¿CATEGORÍA NUEVA?","✔ OK")))))</f>
        <v/>
      </c>
      <c r="K256" s="56" t="str">
        <f aca="false">IF(D256="","",IFERROR(MATCH(D256,Budget!$B$7:$B$41,0),0))</f>
        <v/>
      </c>
      <c r="L256" s="56" t="n">
        <f aca="false">IF(AND(ISNUMBER(B256),ISNUMBER(E256),D256&lt;&gt;""),YEAR(B256)*100+MONTH(B256),0)</f>
        <v>0</v>
      </c>
      <c r="M256" s="56" t="n">
        <f aca="false">IF(L256=0,0,YEAR(B256))</f>
        <v>0</v>
      </c>
      <c r="N256" s="56" t="str">
        <f aca="false">IF(L256=0,"",IF(K256=0,"Wants / Gustos",INDEX(Budget!$D$7:$D$41,K256)))</f>
        <v/>
      </c>
    </row>
    <row r="257" customFormat="false" ht="15" hidden="false" customHeight="false" outlineLevel="0" collapsed="false">
      <c r="B257" s="57"/>
      <c r="C257" s="58"/>
      <c r="D257" s="58"/>
      <c r="E257" s="59"/>
      <c r="F257" s="58"/>
      <c r="G257" s="58"/>
      <c r="H257" s="60" t="str">
        <f aca="false">IF(OR(E257="",D257=""),"",IF(K257=0,"Expense / Gasto",INDEX(Budget!$C$7:$C$41,K257)))</f>
        <v/>
      </c>
      <c r="I257" s="60" t="str">
        <f aca="false">IF(AND(B257="",E257=""),"",IF(NOT(ISNUMBER(B257)),"⚠ ADD DATE / AGREGA FECHA",IF(E257="","⚠ ADD AMOUNT / AGREGA MONTO",IF(D257="","⚠ ADD CATEGORY / AGREGA CATEGORÍA",IF(K257=0,"● NEW CATEGORY? / ¿CATEGORÍA NUEVA?","✔ OK")))))</f>
        <v/>
      </c>
      <c r="K257" s="56" t="str">
        <f aca="false">IF(D257="","",IFERROR(MATCH(D257,Budget!$B$7:$B$41,0),0))</f>
        <v/>
      </c>
      <c r="L257" s="56" t="n">
        <f aca="false">IF(AND(ISNUMBER(B257),ISNUMBER(E257),D257&lt;&gt;""),YEAR(B257)*100+MONTH(B257),0)</f>
        <v>0</v>
      </c>
      <c r="M257" s="56" t="n">
        <f aca="false">IF(L257=0,0,YEAR(B257))</f>
        <v>0</v>
      </c>
      <c r="N257" s="56" t="str">
        <f aca="false">IF(L257=0,"",IF(K257=0,"Wants / Gustos",INDEX(Budget!$D$7:$D$41,K257)))</f>
        <v/>
      </c>
    </row>
    <row r="258" customFormat="false" ht="15" hidden="false" customHeight="false" outlineLevel="0" collapsed="false">
      <c r="B258" s="57"/>
      <c r="C258" s="58"/>
      <c r="D258" s="58"/>
      <c r="E258" s="59"/>
      <c r="F258" s="58"/>
      <c r="G258" s="58"/>
      <c r="H258" s="60" t="str">
        <f aca="false">IF(OR(E258="",D258=""),"",IF(K258=0,"Expense / Gasto",INDEX(Budget!$C$7:$C$41,K258)))</f>
        <v/>
      </c>
      <c r="I258" s="60" t="str">
        <f aca="false">IF(AND(B258="",E258=""),"",IF(NOT(ISNUMBER(B258)),"⚠ ADD DATE / AGREGA FECHA",IF(E258="","⚠ ADD AMOUNT / AGREGA MONTO",IF(D258="","⚠ ADD CATEGORY / AGREGA CATEGORÍA",IF(K258=0,"● NEW CATEGORY? / ¿CATEGORÍA NUEVA?","✔ OK")))))</f>
        <v/>
      </c>
      <c r="K258" s="56" t="str">
        <f aca="false">IF(D258="","",IFERROR(MATCH(D258,Budget!$B$7:$B$41,0),0))</f>
        <v/>
      </c>
      <c r="L258" s="56" t="n">
        <f aca="false">IF(AND(ISNUMBER(B258),ISNUMBER(E258),D258&lt;&gt;""),YEAR(B258)*100+MONTH(B258),0)</f>
        <v>0</v>
      </c>
      <c r="M258" s="56" t="n">
        <f aca="false">IF(L258=0,0,YEAR(B258))</f>
        <v>0</v>
      </c>
      <c r="N258" s="56" t="str">
        <f aca="false">IF(L258=0,"",IF(K258=0,"Wants / Gustos",INDEX(Budget!$D$7:$D$41,K258)))</f>
        <v/>
      </c>
    </row>
    <row r="259" customFormat="false" ht="15" hidden="false" customHeight="false" outlineLevel="0" collapsed="false">
      <c r="B259" s="57"/>
      <c r="C259" s="58"/>
      <c r="D259" s="58"/>
      <c r="E259" s="59"/>
      <c r="F259" s="58"/>
      <c r="G259" s="58"/>
      <c r="H259" s="60" t="str">
        <f aca="false">IF(OR(E259="",D259=""),"",IF(K259=0,"Expense / Gasto",INDEX(Budget!$C$7:$C$41,K259)))</f>
        <v/>
      </c>
      <c r="I259" s="60" t="str">
        <f aca="false">IF(AND(B259="",E259=""),"",IF(NOT(ISNUMBER(B259)),"⚠ ADD DATE / AGREGA FECHA",IF(E259="","⚠ ADD AMOUNT / AGREGA MONTO",IF(D259="","⚠ ADD CATEGORY / AGREGA CATEGORÍA",IF(K259=0,"● NEW CATEGORY? / ¿CATEGORÍA NUEVA?","✔ OK")))))</f>
        <v/>
      </c>
      <c r="K259" s="56" t="str">
        <f aca="false">IF(D259="","",IFERROR(MATCH(D259,Budget!$B$7:$B$41,0),0))</f>
        <v/>
      </c>
      <c r="L259" s="56" t="n">
        <f aca="false">IF(AND(ISNUMBER(B259),ISNUMBER(E259),D259&lt;&gt;""),YEAR(B259)*100+MONTH(B259),0)</f>
        <v>0</v>
      </c>
      <c r="M259" s="56" t="n">
        <f aca="false">IF(L259=0,0,YEAR(B259))</f>
        <v>0</v>
      </c>
      <c r="N259" s="56" t="str">
        <f aca="false">IF(L259=0,"",IF(K259=0,"Wants / Gustos",INDEX(Budget!$D$7:$D$41,K259)))</f>
        <v/>
      </c>
    </row>
    <row r="260" customFormat="false" ht="15" hidden="false" customHeight="false" outlineLevel="0" collapsed="false">
      <c r="B260" s="57"/>
      <c r="C260" s="58"/>
      <c r="D260" s="58"/>
      <c r="E260" s="59"/>
      <c r="F260" s="58"/>
      <c r="G260" s="58"/>
      <c r="H260" s="60" t="str">
        <f aca="false">IF(OR(E260="",D260=""),"",IF(K260=0,"Expense / Gasto",INDEX(Budget!$C$7:$C$41,K260)))</f>
        <v/>
      </c>
      <c r="I260" s="60" t="str">
        <f aca="false">IF(AND(B260="",E260=""),"",IF(NOT(ISNUMBER(B260)),"⚠ ADD DATE / AGREGA FECHA",IF(E260="","⚠ ADD AMOUNT / AGREGA MONTO",IF(D260="","⚠ ADD CATEGORY / AGREGA CATEGORÍA",IF(K260=0,"● NEW CATEGORY? / ¿CATEGORÍA NUEVA?","✔ OK")))))</f>
        <v/>
      </c>
      <c r="K260" s="56" t="str">
        <f aca="false">IF(D260="","",IFERROR(MATCH(D260,Budget!$B$7:$B$41,0),0))</f>
        <v/>
      </c>
      <c r="L260" s="56" t="n">
        <f aca="false">IF(AND(ISNUMBER(B260),ISNUMBER(E260),D260&lt;&gt;""),YEAR(B260)*100+MONTH(B260),0)</f>
        <v>0</v>
      </c>
      <c r="M260" s="56" t="n">
        <f aca="false">IF(L260=0,0,YEAR(B260))</f>
        <v>0</v>
      </c>
      <c r="N260" s="56" t="str">
        <f aca="false">IF(L260=0,"",IF(K260=0,"Wants / Gustos",INDEX(Budget!$D$7:$D$41,K260)))</f>
        <v/>
      </c>
    </row>
    <row r="261" customFormat="false" ht="15" hidden="false" customHeight="false" outlineLevel="0" collapsed="false">
      <c r="B261" s="57"/>
      <c r="C261" s="58"/>
      <c r="D261" s="58"/>
      <c r="E261" s="59"/>
      <c r="F261" s="58"/>
      <c r="G261" s="58"/>
      <c r="H261" s="60" t="str">
        <f aca="false">IF(OR(E261="",D261=""),"",IF(K261=0,"Expense / Gasto",INDEX(Budget!$C$7:$C$41,K261)))</f>
        <v/>
      </c>
      <c r="I261" s="60" t="str">
        <f aca="false">IF(AND(B261="",E261=""),"",IF(NOT(ISNUMBER(B261)),"⚠ ADD DATE / AGREGA FECHA",IF(E261="","⚠ ADD AMOUNT / AGREGA MONTO",IF(D261="","⚠ ADD CATEGORY / AGREGA CATEGORÍA",IF(K261=0,"● NEW CATEGORY? / ¿CATEGORÍA NUEVA?","✔ OK")))))</f>
        <v/>
      </c>
      <c r="K261" s="56" t="str">
        <f aca="false">IF(D261="","",IFERROR(MATCH(D261,Budget!$B$7:$B$41,0),0))</f>
        <v/>
      </c>
      <c r="L261" s="56" t="n">
        <f aca="false">IF(AND(ISNUMBER(B261),ISNUMBER(E261),D261&lt;&gt;""),YEAR(B261)*100+MONTH(B261),0)</f>
        <v>0</v>
      </c>
      <c r="M261" s="56" t="n">
        <f aca="false">IF(L261=0,0,YEAR(B261))</f>
        <v>0</v>
      </c>
      <c r="N261" s="56" t="str">
        <f aca="false">IF(L261=0,"",IF(K261=0,"Wants / Gustos",INDEX(Budget!$D$7:$D$41,K261)))</f>
        <v/>
      </c>
    </row>
    <row r="262" customFormat="false" ht="15" hidden="false" customHeight="false" outlineLevel="0" collapsed="false">
      <c r="B262" s="57"/>
      <c r="C262" s="58"/>
      <c r="D262" s="58"/>
      <c r="E262" s="59"/>
      <c r="F262" s="58"/>
      <c r="G262" s="58"/>
      <c r="H262" s="60" t="str">
        <f aca="false">IF(OR(E262="",D262=""),"",IF(K262=0,"Expense / Gasto",INDEX(Budget!$C$7:$C$41,K262)))</f>
        <v/>
      </c>
      <c r="I262" s="60" t="str">
        <f aca="false">IF(AND(B262="",E262=""),"",IF(NOT(ISNUMBER(B262)),"⚠ ADD DATE / AGREGA FECHA",IF(E262="","⚠ ADD AMOUNT / AGREGA MONTO",IF(D262="","⚠ ADD CATEGORY / AGREGA CATEGORÍA",IF(K262=0,"● NEW CATEGORY? / ¿CATEGORÍA NUEVA?","✔ OK")))))</f>
        <v/>
      </c>
      <c r="K262" s="56" t="str">
        <f aca="false">IF(D262="","",IFERROR(MATCH(D262,Budget!$B$7:$B$41,0),0))</f>
        <v/>
      </c>
      <c r="L262" s="56" t="n">
        <f aca="false">IF(AND(ISNUMBER(B262),ISNUMBER(E262),D262&lt;&gt;""),YEAR(B262)*100+MONTH(B262),0)</f>
        <v>0</v>
      </c>
      <c r="M262" s="56" t="n">
        <f aca="false">IF(L262=0,0,YEAR(B262))</f>
        <v>0</v>
      </c>
      <c r="N262" s="56" t="str">
        <f aca="false">IF(L262=0,"",IF(K262=0,"Wants / Gustos",INDEX(Budget!$D$7:$D$41,K262)))</f>
        <v/>
      </c>
    </row>
    <row r="263" customFormat="false" ht="15" hidden="false" customHeight="false" outlineLevel="0" collapsed="false">
      <c r="B263" s="57"/>
      <c r="C263" s="58"/>
      <c r="D263" s="58"/>
      <c r="E263" s="59"/>
      <c r="F263" s="58"/>
      <c r="G263" s="58"/>
      <c r="H263" s="60" t="str">
        <f aca="false">IF(OR(E263="",D263=""),"",IF(K263=0,"Expense / Gasto",INDEX(Budget!$C$7:$C$41,K263)))</f>
        <v/>
      </c>
      <c r="I263" s="60" t="str">
        <f aca="false">IF(AND(B263="",E263=""),"",IF(NOT(ISNUMBER(B263)),"⚠ ADD DATE / AGREGA FECHA",IF(E263="","⚠ ADD AMOUNT / AGREGA MONTO",IF(D263="","⚠ ADD CATEGORY / AGREGA CATEGORÍA",IF(K263=0,"● NEW CATEGORY? / ¿CATEGORÍA NUEVA?","✔ OK")))))</f>
        <v/>
      </c>
      <c r="K263" s="56" t="str">
        <f aca="false">IF(D263="","",IFERROR(MATCH(D263,Budget!$B$7:$B$41,0),0))</f>
        <v/>
      </c>
      <c r="L263" s="56" t="n">
        <f aca="false">IF(AND(ISNUMBER(B263),ISNUMBER(E263),D263&lt;&gt;""),YEAR(B263)*100+MONTH(B263),0)</f>
        <v>0</v>
      </c>
      <c r="M263" s="56" t="n">
        <f aca="false">IF(L263=0,0,YEAR(B263))</f>
        <v>0</v>
      </c>
      <c r="N263" s="56" t="str">
        <f aca="false">IF(L263=0,"",IF(K263=0,"Wants / Gustos",INDEX(Budget!$D$7:$D$41,K263)))</f>
        <v/>
      </c>
    </row>
    <row r="264" customFormat="false" ht="15" hidden="false" customHeight="false" outlineLevel="0" collapsed="false">
      <c r="B264" s="57"/>
      <c r="C264" s="58"/>
      <c r="D264" s="58"/>
      <c r="E264" s="59"/>
      <c r="F264" s="58"/>
      <c r="G264" s="58"/>
      <c r="H264" s="60" t="str">
        <f aca="false">IF(OR(E264="",D264=""),"",IF(K264=0,"Expense / Gasto",INDEX(Budget!$C$7:$C$41,K264)))</f>
        <v/>
      </c>
      <c r="I264" s="60" t="str">
        <f aca="false">IF(AND(B264="",E264=""),"",IF(NOT(ISNUMBER(B264)),"⚠ ADD DATE / AGREGA FECHA",IF(E264="","⚠ ADD AMOUNT / AGREGA MONTO",IF(D264="","⚠ ADD CATEGORY / AGREGA CATEGORÍA",IF(K264=0,"● NEW CATEGORY? / ¿CATEGORÍA NUEVA?","✔ OK")))))</f>
        <v/>
      </c>
      <c r="K264" s="56" t="str">
        <f aca="false">IF(D264="","",IFERROR(MATCH(D264,Budget!$B$7:$B$41,0),0))</f>
        <v/>
      </c>
      <c r="L264" s="56" t="n">
        <f aca="false">IF(AND(ISNUMBER(B264),ISNUMBER(E264),D264&lt;&gt;""),YEAR(B264)*100+MONTH(B264),0)</f>
        <v>0</v>
      </c>
      <c r="M264" s="56" t="n">
        <f aca="false">IF(L264=0,0,YEAR(B264))</f>
        <v>0</v>
      </c>
      <c r="N264" s="56" t="str">
        <f aca="false">IF(L264=0,"",IF(K264=0,"Wants / Gustos",INDEX(Budget!$D$7:$D$41,K264)))</f>
        <v/>
      </c>
    </row>
    <row r="265" customFormat="false" ht="15" hidden="false" customHeight="false" outlineLevel="0" collapsed="false">
      <c r="B265" s="57"/>
      <c r="C265" s="58"/>
      <c r="D265" s="58"/>
      <c r="E265" s="59"/>
      <c r="F265" s="58"/>
      <c r="G265" s="58"/>
      <c r="H265" s="60" t="str">
        <f aca="false">IF(OR(E265="",D265=""),"",IF(K265=0,"Expense / Gasto",INDEX(Budget!$C$7:$C$41,K265)))</f>
        <v/>
      </c>
      <c r="I265" s="60" t="str">
        <f aca="false">IF(AND(B265="",E265=""),"",IF(NOT(ISNUMBER(B265)),"⚠ ADD DATE / AGREGA FECHA",IF(E265="","⚠ ADD AMOUNT / AGREGA MONTO",IF(D265="","⚠ ADD CATEGORY / AGREGA CATEGORÍA",IF(K265=0,"● NEW CATEGORY? / ¿CATEGORÍA NUEVA?","✔ OK")))))</f>
        <v/>
      </c>
      <c r="K265" s="56" t="str">
        <f aca="false">IF(D265="","",IFERROR(MATCH(D265,Budget!$B$7:$B$41,0),0))</f>
        <v/>
      </c>
      <c r="L265" s="56" t="n">
        <f aca="false">IF(AND(ISNUMBER(B265),ISNUMBER(E265),D265&lt;&gt;""),YEAR(B265)*100+MONTH(B265),0)</f>
        <v>0</v>
      </c>
      <c r="M265" s="56" t="n">
        <f aca="false">IF(L265=0,0,YEAR(B265))</f>
        <v>0</v>
      </c>
      <c r="N265" s="56" t="str">
        <f aca="false">IF(L265=0,"",IF(K265=0,"Wants / Gustos",INDEX(Budget!$D$7:$D$41,K265)))</f>
        <v/>
      </c>
    </row>
    <row r="266" customFormat="false" ht="15" hidden="false" customHeight="false" outlineLevel="0" collapsed="false">
      <c r="B266" s="57"/>
      <c r="C266" s="58"/>
      <c r="D266" s="58"/>
      <c r="E266" s="59"/>
      <c r="F266" s="58"/>
      <c r="G266" s="58"/>
      <c r="H266" s="60" t="str">
        <f aca="false">IF(OR(E266="",D266=""),"",IF(K266=0,"Expense / Gasto",INDEX(Budget!$C$7:$C$41,K266)))</f>
        <v/>
      </c>
      <c r="I266" s="60" t="str">
        <f aca="false">IF(AND(B266="",E266=""),"",IF(NOT(ISNUMBER(B266)),"⚠ ADD DATE / AGREGA FECHA",IF(E266="","⚠ ADD AMOUNT / AGREGA MONTO",IF(D266="","⚠ ADD CATEGORY / AGREGA CATEGORÍA",IF(K266=0,"● NEW CATEGORY? / ¿CATEGORÍA NUEVA?","✔ OK")))))</f>
        <v/>
      </c>
      <c r="K266" s="56" t="str">
        <f aca="false">IF(D266="","",IFERROR(MATCH(D266,Budget!$B$7:$B$41,0),0))</f>
        <v/>
      </c>
      <c r="L266" s="56" t="n">
        <f aca="false">IF(AND(ISNUMBER(B266),ISNUMBER(E266),D266&lt;&gt;""),YEAR(B266)*100+MONTH(B266),0)</f>
        <v>0</v>
      </c>
      <c r="M266" s="56" t="n">
        <f aca="false">IF(L266=0,0,YEAR(B266))</f>
        <v>0</v>
      </c>
      <c r="N266" s="56" t="str">
        <f aca="false">IF(L266=0,"",IF(K266=0,"Wants / Gustos",INDEX(Budget!$D$7:$D$41,K266)))</f>
        <v/>
      </c>
    </row>
    <row r="267" customFormat="false" ht="15" hidden="false" customHeight="false" outlineLevel="0" collapsed="false">
      <c r="B267" s="57"/>
      <c r="C267" s="58"/>
      <c r="D267" s="58"/>
      <c r="E267" s="59"/>
      <c r="F267" s="58"/>
      <c r="G267" s="58"/>
      <c r="H267" s="60" t="str">
        <f aca="false">IF(OR(E267="",D267=""),"",IF(K267=0,"Expense / Gasto",INDEX(Budget!$C$7:$C$41,K267)))</f>
        <v/>
      </c>
      <c r="I267" s="60" t="str">
        <f aca="false">IF(AND(B267="",E267=""),"",IF(NOT(ISNUMBER(B267)),"⚠ ADD DATE / AGREGA FECHA",IF(E267="","⚠ ADD AMOUNT / AGREGA MONTO",IF(D267="","⚠ ADD CATEGORY / AGREGA CATEGORÍA",IF(K267=0,"● NEW CATEGORY? / ¿CATEGORÍA NUEVA?","✔ OK")))))</f>
        <v/>
      </c>
      <c r="K267" s="56" t="str">
        <f aca="false">IF(D267="","",IFERROR(MATCH(D267,Budget!$B$7:$B$41,0),0))</f>
        <v/>
      </c>
      <c r="L267" s="56" t="n">
        <f aca="false">IF(AND(ISNUMBER(B267),ISNUMBER(E267),D267&lt;&gt;""),YEAR(B267)*100+MONTH(B267),0)</f>
        <v>0</v>
      </c>
      <c r="M267" s="56" t="n">
        <f aca="false">IF(L267=0,0,YEAR(B267))</f>
        <v>0</v>
      </c>
      <c r="N267" s="56" t="str">
        <f aca="false">IF(L267=0,"",IF(K267=0,"Wants / Gustos",INDEX(Budget!$D$7:$D$41,K267)))</f>
        <v/>
      </c>
    </row>
    <row r="268" customFormat="false" ht="15" hidden="false" customHeight="false" outlineLevel="0" collapsed="false">
      <c r="B268" s="57"/>
      <c r="C268" s="58"/>
      <c r="D268" s="58"/>
      <c r="E268" s="59"/>
      <c r="F268" s="58"/>
      <c r="G268" s="58"/>
      <c r="H268" s="60" t="str">
        <f aca="false">IF(OR(E268="",D268=""),"",IF(K268=0,"Expense / Gasto",INDEX(Budget!$C$7:$C$41,K268)))</f>
        <v/>
      </c>
      <c r="I268" s="60" t="str">
        <f aca="false">IF(AND(B268="",E268=""),"",IF(NOT(ISNUMBER(B268)),"⚠ ADD DATE / AGREGA FECHA",IF(E268="","⚠ ADD AMOUNT / AGREGA MONTO",IF(D268="","⚠ ADD CATEGORY / AGREGA CATEGORÍA",IF(K268=0,"● NEW CATEGORY? / ¿CATEGORÍA NUEVA?","✔ OK")))))</f>
        <v/>
      </c>
      <c r="K268" s="56" t="str">
        <f aca="false">IF(D268="","",IFERROR(MATCH(D268,Budget!$B$7:$B$41,0),0))</f>
        <v/>
      </c>
      <c r="L268" s="56" t="n">
        <f aca="false">IF(AND(ISNUMBER(B268),ISNUMBER(E268),D268&lt;&gt;""),YEAR(B268)*100+MONTH(B268),0)</f>
        <v>0</v>
      </c>
      <c r="M268" s="56" t="n">
        <f aca="false">IF(L268=0,0,YEAR(B268))</f>
        <v>0</v>
      </c>
      <c r="N268" s="56" t="str">
        <f aca="false">IF(L268=0,"",IF(K268=0,"Wants / Gustos",INDEX(Budget!$D$7:$D$41,K268)))</f>
        <v/>
      </c>
    </row>
    <row r="269" customFormat="false" ht="15" hidden="false" customHeight="false" outlineLevel="0" collapsed="false">
      <c r="B269" s="57"/>
      <c r="C269" s="58"/>
      <c r="D269" s="58"/>
      <c r="E269" s="59"/>
      <c r="F269" s="58"/>
      <c r="G269" s="58"/>
      <c r="H269" s="60" t="str">
        <f aca="false">IF(OR(E269="",D269=""),"",IF(K269=0,"Expense / Gasto",INDEX(Budget!$C$7:$C$41,K269)))</f>
        <v/>
      </c>
      <c r="I269" s="60" t="str">
        <f aca="false">IF(AND(B269="",E269=""),"",IF(NOT(ISNUMBER(B269)),"⚠ ADD DATE / AGREGA FECHA",IF(E269="","⚠ ADD AMOUNT / AGREGA MONTO",IF(D269="","⚠ ADD CATEGORY / AGREGA CATEGORÍA",IF(K269=0,"● NEW CATEGORY? / ¿CATEGORÍA NUEVA?","✔ OK")))))</f>
        <v/>
      </c>
      <c r="K269" s="56" t="str">
        <f aca="false">IF(D269="","",IFERROR(MATCH(D269,Budget!$B$7:$B$41,0),0))</f>
        <v/>
      </c>
      <c r="L269" s="56" t="n">
        <f aca="false">IF(AND(ISNUMBER(B269),ISNUMBER(E269),D269&lt;&gt;""),YEAR(B269)*100+MONTH(B269),0)</f>
        <v>0</v>
      </c>
      <c r="M269" s="56" t="n">
        <f aca="false">IF(L269=0,0,YEAR(B269))</f>
        <v>0</v>
      </c>
      <c r="N269" s="56" t="str">
        <f aca="false">IF(L269=0,"",IF(K269=0,"Wants / Gustos",INDEX(Budget!$D$7:$D$41,K269)))</f>
        <v/>
      </c>
    </row>
    <row r="270" customFormat="false" ht="15" hidden="false" customHeight="false" outlineLevel="0" collapsed="false">
      <c r="B270" s="57"/>
      <c r="C270" s="58"/>
      <c r="D270" s="58"/>
      <c r="E270" s="59"/>
      <c r="F270" s="58"/>
      <c r="G270" s="58"/>
      <c r="H270" s="60" t="str">
        <f aca="false">IF(OR(E270="",D270=""),"",IF(K270=0,"Expense / Gasto",INDEX(Budget!$C$7:$C$41,K270)))</f>
        <v/>
      </c>
      <c r="I270" s="60" t="str">
        <f aca="false">IF(AND(B270="",E270=""),"",IF(NOT(ISNUMBER(B270)),"⚠ ADD DATE / AGREGA FECHA",IF(E270="","⚠ ADD AMOUNT / AGREGA MONTO",IF(D270="","⚠ ADD CATEGORY / AGREGA CATEGORÍA",IF(K270=0,"● NEW CATEGORY? / ¿CATEGORÍA NUEVA?","✔ OK")))))</f>
        <v/>
      </c>
      <c r="K270" s="56" t="str">
        <f aca="false">IF(D270="","",IFERROR(MATCH(D270,Budget!$B$7:$B$41,0),0))</f>
        <v/>
      </c>
      <c r="L270" s="56" t="n">
        <f aca="false">IF(AND(ISNUMBER(B270),ISNUMBER(E270),D270&lt;&gt;""),YEAR(B270)*100+MONTH(B270),0)</f>
        <v>0</v>
      </c>
      <c r="M270" s="56" t="n">
        <f aca="false">IF(L270=0,0,YEAR(B270))</f>
        <v>0</v>
      </c>
      <c r="N270" s="56" t="str">
        <f aca="false">IF(L270=0,"",IF(K270=0,"Wants / Gustos",INDEX(Budget!$D$7:$D$41,K270)))</f>
        <v/>
      </c>
    </row>
    <row r="271" customFormat="false" ht="15" hidden="false" customHeight="false" outlineLevel="0" collapsed="false">
      <c r="B271" s="57"/>
      <c r="C271" s="58"/>
      <c r="D271" s="58"/>
      <c r="E271" s="59"/>
      <c r="F271" s="58"/>
      <c r="G271" s="58"/>
      <c r="H271" s="60" t="str">
        <f aca="false">IF(OR(E271="",D271=""),"",IF(K271=0,"Expense / Gasto",INDEX(Budget!$C$7:$C$41,K271)))</f>
        <v/>
      </c>
      <c r="I271" s="60" t="str">
        <f aca="false">IF(AND(B271="",E271=""),"",IF(NOT(ISNUMBER(B271)),"⚠ ADD DATE / AGREGA FECHA",IF(E271="","⚠ ADD AMOUNT / AGREGA MONTO",IF(D271="","⚠ ADD CATEGORY / AGREGA CATEGORÍA",IF(K271=0,"● NEW CATEGORY? / ¿CATEGORÍA NUEVA?","✔ OK")))))</f>
        <v/>
      </c>
      <c r="K271" s="56" t="str">
        <f aca="false">IF(D271="","",IFERROR(MATCH(D271,Budget!$B$7:$B$41,0),0))</f>
        <v/>
      </c>
      <c r="L271" s="56" t="n">
        <f aca="false">IF(AND(ISNUMBER(B271),ISNUMBER(E271),D271&lt;&gt;""),YEAR(B271)*100+MONTH(B271),0)</f>
        <v>0</v>
      </c>
      <c r="M271" s="56" t="n">
        <f aca="false">IF(L271=0,0,YEAR(B271))</f>
        <v>0</v>
      </c>
      <c r="N271" s="56" t="str">
        <f aca="false">IF(L271=0,"",IF(K271=0,"Wants / Gustos",INDEX(Budget!$D$7:$D$41,K271)))</f>
        <v/>
      </c>
    </row>
    <row r="272" customFormat="false" ht="15" hidden="false" customHeight="false" outlineLevel="0" collapsed="false">
      <c r="B272" s="57"/>
      <c r="C272" s="58"/>
      <c r="D272" s="58"/>
      <c r="E272" s="59"/>
      <c r="F272" s="58"/>
      <c r="G272" s="58"/>
      <c r="H272" s="60" t="str">
        <f aca="false">IF(OR(E272="",D272=""),"",IF(K272=0,"Expense / Gasto",INDEX(Budget!$C$7:$C$41,K272)))</f>
        <v/>
      </c>
      <c r="I272" s="60" t="str">
        <f aca="false">IF(AND(B272="",E272=""),"",IF(NOT(ISNUMBER(B272)),"⚠ ADD DATE / AGREGA FECHA",IF(E272="","⚠ ADD AMOUNT / AGREGA MONTO",IF(D272="","⚠ ADD CATEGORY / AGREGA CATEGORÍA",IF(K272=0,"● NEW CATEGORY? / ¿CATEGORÍA NUEVA?","✔ OK")))))</f>
        <v/>
      </c>
      <c r="K272" s="56" t="str">
        <f aca="false">IF(D272="","",IFERROR(MATCH(D272,Budget!$B$7:$B$41,0),0))</f>
        <v/>
      </c>
      <c r="L272" s="56" t="n">
        <f aca="false">IF(AND(ISNUMBER(B272),ISNUMBER(E272),D272&lt;&gt;""),YEAR(B272)*100+MONTH(B272),0)</f>
        <v>0</v>
      </c>
      <c r="M272" s="56" t="n">
        <f aca="false">IF(L272=0,0,YEAR(B272))</f>
        <v>0</v>
      </c>
      <c r="N272" s="56" t="str">
        <f aca="false">IF(L272=0,"",IF(K272=0,"Wants / Gustos",INDEX(Budget!$D$7:$D$41,K272)))</f>
        <v/>
      </c>
    </row>
    <row r="273" customFormat="false" ht="15" hidden="false" customHeight="false" outlineLevel="0" collapsed="false">
      <c r="B273" s="57"/>
      <c r="C273" s="58"/>
      <c r="D273" s="58"/>
      <c r="E273" s="59"/>
      <c r="F273" s="58"/>
      <c r="G273" s="58"/>
      <c r="H273" s="60" t="str">
        <f aca="false">IF(OR(E273="",D273=""),"",IF(K273=0,"Expense / Gasto",INDEX(Budget!$C$7:$C$41,K273)))</f>
        <v/>
      </c>
      <c r="I273" s="60" t="str">
        <f aca="false">IF(AND(B273="",E273=""),"",IF(NOT(ISNUMBER(B273)),"⚠ ADD DATE / AGREGA FECHA",IF(E273="","⚠ ADD AMOUNT / AGREGA MONTO",IF(D273="","⚠ ADD CATEGORY / AGREGA CATEGORÍA",IF(K273=0,"● NEW CATEGORY? / ¿CATEGORÍA NUEVA?","✔ OK")))))</f>
        <v/>
      </c>
      <c r="K273" s="56" t="str">
        <f aca="false">IF(D273="","",IFERROR(MATCH(D273,Budget!$B$7:$B$41,0),0))</f>
        <v/>
      </c>
      <c r="L273" s="56" t="n">
        <f aca="false">IF(AND(ISNUMBER(B273),ISNUMBER(E273),D273&lt;&gt;""),YEAR(B273)*100+MONTH(B273),0)</f>
        <v>0</v>
      </c>
      <c r="M273" s="56" t="n">
        <f aca="false">IF(L273=0,0,YEAR(B273))</f>
        <v>0</v>
      </c>
      <c r="N273" s="56" t="str">
        <f aca="false">IF(L273=0,"",IF(K273=0,"Wants / Gustos",INDEX(Budget!$D$7:$D$41,K273)))</f>
        <v/>
      </c>
    </row>
    <row r="274" customFormat="false" ht="15" hidden="false" customHeight="false" outlineLevel="0" collapsed="false">
      <c r="B274" s="57"/>
      <c r="C274" s="58"/>
      <c r="D274" s="58"/>
      <c r="E274" s="59"/>
      <c r="F274" s="58"/>
      <c r="G274" s="58"/>
      <c r="H274" s="60" t="str">
        <f aca="false">IF(OR(E274="",D274=""),"",IF(K274=0,"Expense / Gasto",INDEX(Budget!$C$7:$C$41,K274)))</f>
        <v/>
      </c>
      <c r="I274" s="60" t="str">
        <f aca="false">IF(AND(B274="",E274=""),"",IF(NOT(ISNUMBER(B274)),"⚠ ADD DATE / AGREGA FECHA",IF(E274="","⚠ ADD AMOUNT / AGREGA MONTO",IF(D274="","⚠ ADD CATEGORY / AGREGA CATEGORÍA",IF(K274=0,"● NEW CATEGORY? / ¿CATEGORÍA NUEVA?","✔ OK")))))</f>
        <v/>
      </c>
      <c r="K274" s="56" t="str">
        <f aca="false">IF(D274="","",IFERROR(MATCH(D274,Budget!$B$7:$B$41,0),0))</f>
        <v/>
      </c>
      <c r="L274" s="56" t="n">
        <f aca="false">IF(AND(ISNUMBER(B274),ISNUMBER(E274),D274&lt;&gt;""),YEAR(B274)*100+MONTH(B274),0)</f>
        <v>0</v>
      </c>
      <c r="M274" s="56" t="n">
        <f aca="false">IF(L274=0,0,YEAR(B274))</f>
        <v>0</v>
      </c>
      <c r="N274" s="56" t="str">
        <f aca="false">IF(L274=0,"",IF(K274=0,"Wants / Gustos",INDEX(Budget!$D$7:$D$41,K274)))</f>
        <v/>
      </c>
    </row>
    <row r="275" customFormat="false" ht="15" hidden="false" customHeight="false" outlineLevel="0" collapsed="false">
      <c r="B275" s="57"/>
      <c r="C275" s="58"/>
      <c r="D275" s="58"/>
      <c r="E275" s="59"/>
      <c r="F275" s="58"/>
      <c r="G275" s="58"/>
      <c r="H275" s="60" t="str">
        <f aca="false">IF(OR(E275="",D275=""),"",IF(K275=0,"Expense / Gasto",INDEX(Budget!$C$7:$C$41,K275)))</f>
        <v/>
      </c>
      <c r="I275" s="60" t="str">
        <f aca="false">IF(AND(B275="",E275=""),"",IF(NOT(ISNUMBER(B275)),"⚠ ADD DATE / AGREGA FECHA",IF(E275="","⚠ ADD AMOUNT / AGREGA MONTO",IF(D275="","⚠ ADD CATEGORY / AGREGA CATEGORÍA",IF(K275=0,"● NEW CATEGORY? / ¿CATEGORÍA NUEVA?","✔ OK")))))</f>
        <v/>
      </c>
      <c r="K275" s="56" t="str">
        <f aca="false">IF(D275="","",IFERROR(MATCH(D275,Budget!$B$7:$B$41,0),0))</f>
        <v/>
      </c>
      <c r="L275" s="56" t="n">
        <f aca="false">IF(AND(ISNUMBER(B275),ISNUMBER(E275),D275&lt;&gt;""),YEAR(B275)*100+MONTH(B275),0)</f>
        <v>0</v>
      </c>
      <c r="M275" s="56" t="n">
        <f aca="false">IF(L275=0,0,YEAR(B275))</f>
        <v>0</v>
      </c>
      <c r="N275" s="56" t="str">
        <f aca="false">IF(L275=0,"",IF(K275=0,"Wants / Gustos",INDEX(Budget!$D$7:$D$41,K275)))</f>
        <v/>
      </c>
    </row>
    <row r="276" customFormat="false" ht="15" hidden="false" customHeight="false" outlineLevel="0" collapsed="false">
      <c r="B276" s="57"/>
      <c r="C276" s="58"/>
      <c r="D276" s="58"/>
      <c r="E276" s="59"/>
      <c r="F276" s="58"/>
      <c r="G276" s="58"/>
      <c r="H276" s="60" t="str">
        <f aca="false">IF(OR(E276="",D276=""),"",IF(K276=0,"Expense / Gasto",INDEX(Budget!$C$7:$C$41,K276)))</f>
        <v/>
      </c>
      <c r="I276" s="60" t="str">
        <f aca="false">IF(AND(B276="",E276=""),"",IF(NOT(ISNUMBER(B276)),"⚠ ADD DATE / AGREGA FECHA",IF(E276="","⚠ ADD AMOUNT / AGREGA MONTO",IF(D276="","⚠ ADD CATEGORY / AGREGA CATEGORÍA",IF(K276=0,"● NEW CATEGORY? / ¿CATEGORÍA NUEVA?","✔ OK")))))</f>
        <v/>
      </c>
      <c r="K276" s="56" t="str">
        <f aca="false">IF(D276="","",IFERROR(MATCH(D276,Budget!$B$7:$B$41,0),0))</f>
        <v/>
      </c>
      <c r="L276" s="56" t="n">
        <f aca="false">IF(AND(ISNUMBER(B276),ISNUMBER(E276),D276&lt;&gt;""),YEAR(B276)*100+MONTH(B276),0)</f>
        <v>0</v>
      </c>
      <c r="M276" s="56" t="n">
        <f aca="false">IF(L276=0,0,YEAR(B276))</f>
        <v>0</v>
      </c>
      <c r="N276" s="56" t="str">
        <f aca="false">IF(L276=0,"",IF(K276=0,"Wants / Gustos",INDEX(Budget!$D$7:$D$41,K276)))</f>
        <v/>
      </c>
    </row>
    <row r="277" customFormat="false" ht="15" hidden="false" customHeight="false" outlineLevel="0" collapsed="false">
      <c r="B277" s="57"/>
      <c r="C277" s="58"/>
      <c r="D277" s="58"/>
      <c r="E277" s="59"/>
      <c r="F277" s="58"/>
      <c r="G277" s="58"/>
      <c r="H277" s="60" t="str">
        <f aca="false">IF(OR(E277="",D277=""),"",IF(K277=0,"Expense / Gasto",INDEX(Budget!$C$7:$C$41,K277)))</f>
        <v/>
      </c>
      <c r="I277" s="60" t="str">
        <f aca="false">IF(AND(B277="",E277=""),"",IF(NOT(ISNUMBER(B277)),"⚠ ADD DATE / AGREGA FECHA",IF(E277="","⚠ ADD AMOUNT / AGREGA MONTO",IF(D277="","⚠ ADD CATEGORY / AGREGA CATEGORÍA",IF(K277=0,"● NEW CATEGORY? / ¿CATEGORÍA NUEVA?","✔ OK")))))</f>
        <v/>
      </c>
      <c r="K277" s="56" t="str">
        <f aca="false">IF(D277="","",IFERROR(MATCH(D277,Budget!$B$7:$B$41,0),0))</f>
        <v/>
      </c>
      <c r="L277" s="56" t="n">
        <f aca="false">IF(AND(ISNUMBER(B277),ISNUMBER(E277),D277&lt;&gt;""),YEAR(B277)*100+MONTH(B277),0)</f>
        <v>0</v>
      </c>
      <c r="M277" s="56" t="n">
        <f aca="false">IF(L277=0,0,YEAR(B277))</f>
        <v>0</v>
      </c>
      <c r="N277" s="56" t="str">
        <f aca="false">IF(L277=0,"",IF(K277=0,"Wants / Gustos",INDEX(Budget!$D$7:$D$41,K277)))</f>
        <v/>
      </c>
    </row>
    <row r="278" customFormat="false" ht="15" hidden="false" customHeight="false" outlineLevel="0" collapsed="false">
      <c r="B278" s="57"/>
      <c r="C278" s="58"/>
      <c r="D278" s="58"/>
      <c r="E278" s="59"/>
      <c r="F278" s="58"/>
      <c r="G278" s="58"/>
      <c r="H278" s="60" t="str">
        <f aca="false">IF(OR(E278="",D278=""),"",IF(K278=0,"Expense / Gasto",INDEX(Budget!$C$7:$C$41,K278)))</f>
        <v/>
      </c>
      <c r="I278" s="60" t="str">
        <f aca="false">IF(AND(B278="",E278=""),"",IF(NOT(ISNUMBER(B278)),"⚠ ADD DATE / AGREGA FECHA",IF(E278="","⚠ ADD AMOUNT / AGREGA MONTO",IF(D278="","⚠ ADD CATEGORY / AGREGA CATEGORÍA",IF(K278=0,"● NEW CATEGORY? / ¿CATEGORÍA NUEVA?","✔ OK")))))</f>
        <v/>
      </c>
      <c r="K278" s="56" t="str">
        <f aca="false">IF(D278="","",IFERROR(MATCH(D278,Budget!$B$7:$B$41,0),0))</f>
        <v/>
      </c>
      <c r="L278" s="56" t="n">
        <f aca="false">IF(AND(ISNUMBER(B278),ISNUMBER(E278),D278&lt;&gt;""),YEAR(B278)*100+MONTH(B278),0)</f>
        <v>0</v>
      </c>
      <c r="M278" s="56" t="n">
        <f aca="false">IF(L278=0,0,YEAR(B278))</f>
        <v>0</v>
      </c>
      <c r="N278" s="56" t="str">
        <f aca="false">IF(L278=0,"",IF(K278=0,"Wants / Gustos",INDEX(Budget!$D$7:$D$41,K278)))</f>
        <v/>
      </c>
    </row>
    <row r="279" customFormat="false" ht="15" hidden="false" customHeight="false" outlineLevel="0" collapsed="false">
      <c r="B279" s="57"/>
      <c r="C279" s="58"/>
      <c r="D279" s="58"/>
      <c r="E279" s="59"/>
      <c r="F279" s="58"/>
      <c r="G279" s="58"/>
      <c r="H279" s="60" t="str">
        <f aca="false">IF(OR(E279="",D279=""),"",IF(K279=0,"Expense / Gasto",INDEX(Budget!$C$7:$C$41,K279)))</f>
        <v/>
      </c>
      <c r="I279" s="60" t="str">
        <f aca="false">IF(AND(B279="",E279=""),"",IF(NOT(ISNUMBER(B279)),"⚠ ADD DATE / AGREGA FECHA",IF(E279="","⚠ ADD AMOUNT / AGREGA MONTO",IF(D279="","⚠ ADD CATEGORY / AGREGA CATEGORÍA",IF(K279=0,"● NEW CATEGORY? / ¿CATEGORÍA NUEVA?","✔ OK")))))</f>
        <v/>
      </c>
      <c r="K279" s="56" t="str">
        <f aca="false">IF(D279="","",IFERROR(MATCH(D279,Budget!$B$7:$B$41,0),0))</f>
        <v/>
      </c>
      <c r="L279" s="56" t="n">
        <f aca="false">IF(AND(ISNUMBER(B279),ISNUMBER(E279),D279&lt;&gt;""),YEAR(B279)*100+MONTH(B279),0)</f>
        <v>0</v>
      </c>
      <c r="M279" s="56" t="n">
        <f aca="false">IF(L279=0,0,YEAR(B279))</f>
        <v>0</v>
      </c>
      <c r="N279" s="56" t="str">
        <f aca="false">IF(L279=0,"",IF(K279=0,"Wants / Gustos",INDEX(Budget!$D$7:$D$41,K279)))</f>
        <v/>
      </c>
    </row>
    <row r="280" customFormat="false" ht="15" hidden="false" customHeight="false" outlineLevel="0" collapsed="false">
      <c r="B280" s="57"/>
      <c r="C280" s="58"/>
      <c r="D280" s="58"/>
      <c r="E280" s="59"/>
      <c r="F280" s="58"/>
      <c r="G280" s="58"/>
      <c r="H280" s="60" t="str">
        <f aca="false">IF(OR(E280="",D280=""),"",IF(K280=0,"Expense / Gasto",INDEX(Budget!$C$7:$C$41,K280)))</f>
        <v/>
      </c>
      <c r="I280" s="60" t="str">
        <f aca="false">IF(AND(B280="",E280=""),"",IF(NOT(ISNUMBER(B280)),"⚠ ADD DATE / AGREGA FECHA",IF(E280="","⚠ ADD AMOUNT / AGREGA MONTO",IF(D280="","⚠ ADD CATEGORY / AGREGA CATEGORÍA",IF(K280=0,"● NEW CATEGORY? / ¿CATEGORÍA NUEVA?","✔ OK")))))</f>
        <v/>
      </c>
      <c r="K280" s="56" t="str">
        <f aca="false">IF(D280="","",IFERROR(MATCH(D280,Budget!$B$7:$B$41,0),0))</f>
        <v/>
      </c>
      <c r="L280" s="56" t="n">
        <f aca="false">IF(AND(ISNUMBER(B280),ISNUMBER(E280),D280&lt;&gt;""),YEAR(B280)*100+MONTH(B280),0)</f>
        <v>0</v>
      </c>
      <c r="M280" s="56" t="n">
        <f aca="false">IF(L280=0,0,YEAR(B280))</f>
        <v>0</v>
      </c>
      <c r="N280" s="56" t="str">
        <f aca="false">IF(L280=0,"",IF(K280=0,"Wants / Gustos",INDEX(Budget!$D$7:$D$41,K280)))</f>
        <v/>
      </c>
    </row>
    <row r="281" customFormat="false" ht="15" hidden="false" customHeight="false" outlineLevel="0" collapsed="false">
      <c r="B281" s="57"/>
      <c r="C281" s="58"/>
      <c r="D281" s="58"/>
      <c r="E281" s="59"/>
      <c r="F281" s="58"/>
      <c r="G281" s="58"/>
      <c r="H281" s="60" t="str">
        <f aca="false">IF(OR(E281="",D281=""),"",IF(K281=0,"Expense / Gasto",INDEX(Budget!$C$7:$C$41,K281)))</f>
        <v/>
      </c>
      <c r="I281" s="60" t="str">
        <f aca="false">IF(AND(B281="",E281=""),"",IF(NOT(ISNUMBER(B281)),"⚠ ADD DATE / AGREGA FECHA",IF(E281="","⚠ ADD AMOUNT / AGREGA MONTO",IF(D281="","⚠ ADD CATEGORY / AGREGA CATEGORÍA",IF(K281=0,"● NEW CATEGORY? / ¿CATEGORÍA NUEVA?","✔ OK")))))</f>
        <v/>
      </c>
      <c r="K281" s="56" t="str">
        <f aca="false">IF(D281="","",IFERROR(MATCH(D281,Budget!$B$7:$B$41,0),0))</f>
        <v/>
      </c>
      <c r="L281" s="56" t="n">
        <f aca="false">IF(AND(ISNUMBER(B281),ISNUMBER(E281),D281&lt;&gt;""),YEAR(B281)*100+MONTH(B281),0)</f>
        <v>0</v>
      </c>
      <c r="M281" s="56" t="n">
        <f aca="false">IF(L281=0,0,YEAR(B281))</f>
        <v>0</v>
      </c>
      <c r="N281" s="56" t="str">
        <f aca="false">IF(L281=0,"",IF(K281=0,"Wants / Gustos",INDEX(Budget!$D$7:$D$41,K281)))</f>
        <v/>
      </c>
    </row>
    <row r="282" customFormat="false" ht="15" hidden="false" customHeight="false" outlineLevel="0" collapsed="false">
      <c r="B282" s="57"/>
      <c r="C282" s="58"/>
      <c r="D282" s="58"/>
      <c r="E282" s="59"/>
      <c r="F282" s="58"/>
      <c r="G282" s="58"/>
      <c r="H282" s="60" t="str">
        <f aca="false">IF(OR(E282="",D282=""),"",IF(K282=0,"Expense / Gasto",INDEX(Budget!$C$7:$C$41,K282)))</f>
        <v/>
      </c>
      <c r="I282" s="60" t="str">
        <f aca="false">IF(AND(B282="",E282=""),"",IF(NOT(ISNUMBER(B282)),"⚠ ADD DATE / AGREGA FECHA",IF(E282="","⚠ ADD AMOUNT / AGREGA MONTO",IF(D282="","⚠ ADD CATEGORY / AGREGA CATEGORÍA",IF(K282=0,"● NEW CATEGORY? / ¿CATEGORÍA NUEVA?","✔ OK")))))</f>
        <v/>
      </c>
      <c r="K282" s="56" t="str">
        <f aca="false">IF(D282="","",IFERROR(MATCH(D282,Budget!$B$7:$B$41,0),0))</f>
        <v/>
      </c>
      <c r="L282" s="56" t="n">
        <f aca="false">IF(AND(ISNUMBER(B282),ISNUMBER(E282),D282&lt;&gt;""),YEAR(B282)*100+MONTH(B282),0)</f>
        <v>0</v>
      </c>
      <c r="M282" s="56" t="n">
        <f aca="false">IF(L282=0,0,YEAR(B282))</f>
        <v>0</v>
      </c>
      <c r="N282" s="56" t="str">
        <f aca="false">IF(L282=0,"",IF(K282=0,"Wants / Gustos",INDEX(Budget!$D$7:$D$41,K282)))</f>
        <v/>
      </c>
    </row>
    <row r="283" customFormat="false" ht="15" hidden="false" customHeight="false" outlineLevel="0" collapsed="false">
      <c r="B283" s="57"/>
      <c r="C283" s="58"/>
      <c r="D283" s="58"/>
      <c r="E283" s="59"/>
      <c r="F283" s="58"/>
      <c r="G283" s="58"/>
      <c r="H283" s="60" t="str">
        <f aca="false">IF(OR(E283="",D283=""),"",IF(K283=0,"Expense / Gasto",INDEX(Budget!$C$7:$C$41,K283)))</f>
        <v/>
      </c>
      <c r="I283" s="60" t="str">
        <f aca="false">IF(AND(B283="",E283=""),"",IF(NOT(ISNUMBER(B283)),"⚠ ADD DATE / AGREGA FECHA",IF(E283="","⚠ ADD AMOUNT / AGREGA MONTO",IF(D283="","⚠ ADD CATEGORY / AGREGA CATEGORÍA",IF(K283=0,"● NEW CATEGORY? / ¿CATEGORÍA NUEVA?","✔ OK")))))</f>
        <v/>
      </c>
      <c r="K283" s="56" t="str">
        <f aca="false">IF(D283="","",IFERROR(MATCH(D283,Budget!$B$7:$B$41,0),0))</f>
        <v/>
      </c>
      <c r="L283" s="56" t="n">
        <f aca="false">IF(AND(ISNUMBER(B283),ISNUMBER(E283),D283&lt;&gt;""),YEAR(B283)*100+MONTH(B283),0)</f>
        <v>0</v>
      </c>
      <c r="M283" s="56" t="n">
        <f aca="false">IF(L283=0,0,YEAR(B283))</f>
        <v>0</v>
      </c>
      <c r="N283" s="56" t="str">
        <f aca="false">IF(L283=0,"",IF(K283=0,"Wants / Gustos",INDEX(Budget!$D$7:$D$41,K283)))</f>
        <v/>
      </c>
    </row>
    <row r="284" customFormat="false" ht="15" hidden="false" customHeight="false" outlineLevel="0" collapsed="false">
      <c r="B284" s="57"/>
      <c r="C284" s="58"/>
      <c r="D284" s="58"/>
      <c r="E284" s="59"/>
      <c r="F284" s="58"/>
      <c r="G284" s="58"/>
      <c r="H284" s="60" t="str">
        <f aca="false">IF(OR(E284="",D284=""),"",IF(K284=0,"Expense / Gasto",INDEX(Budget!$C$7:$C$41,K284)))</f>
        <v/>
      </c>
      <c r="I284" s="60" t="str">
        <f aca="false">IF(AND(B284="",E284=""),"",IF(NOT(ISNUMBER(B284)),"⚠ ADD DATE / AGREGA FECHA",IF(E284="","⚠ ADD AMOUNT / AGREGA MONTO",IF(D284="","⚠ ADD CATEGORY / AGREGA CATEGORÍA",IF(K284=0,"● NEW CATEGORY? / ¿CATEGORÍA NUEVA?","✔ OK")))))</f>
        <v/>
      </c>
      <c r="K284" s="56" t="str">
        <f aca="false">IF(D284="","",IFERROR(MATCH(D284,Budget!$B$7:$B$41,0),0))</f>
        <v/>
      </c>
      <c r="L284" s="56" t="n">
        <f aca="false">IF(AND(ISNUMBER(B284),ISNUMBER(E284),D284&lt;&gt;""),YEAR(B284)*100+MONTH(B284),0)</f>
        <v>0</v>
      </c>
      <c r="M284" s="56" t="n">
        <f aca="false">IF(L284=0,0,YEAR(B284))</f>
        <v>0</v>
      </c>
      <c r="N284" s="56" t="str">
        <f aca="false">IF(L284=0,"",IF(K284=0,"Wants / Gustos",INDEX(Budget!$D$7:$D$41,K284)))</f>
        <v/>
      </c>
    </row>
    <row r="285" customFormat="false" ht="15" hidden="false" customHeight="false" outlineLevel="0" collapsed="false">
      <c r="B285" s="57"/>
      <c r="C285" s="58"/>
      <c r="D285" s="58"/>
      <c r="E285" s="59"/>
      <c r="F285" s="58"/>
      <c r="G285" s="58"/>
      <c r="H285" s="60" t="str">
        <f aca="false">IF(OR(E285="",D285=""),"",IF(K285=0,"Expense / Gasto",INDEX(Budget!$C$7:$C$41,K285)))</f>
        <v/>
      </c>
      <c r="I285" s="60" t="str">
        <f aca="false">IF(AND(B285="",E285=""),"",IF(NOT(ISNUMBER(B285)),"⚠ ADD DATE / AGREGA FECHA",IF(E285="","⚠ ADD AMOUNT / AGREGA MONTO",IF(D285="","⚠ ADD CATEGORY / AGREGA CATEGORÍA",IF(K285=0,"● NEW CATEGORY? / ¿CATEGORÍA NUEVA?","✔ OK")))))</f>
        <v/>
      </c>
      <c r="K285" s="56" t="str">
        <f aca="false">IF(D285="","",IFERROR(MATCH(D285,Budget!$B$7:$B$41,0),0))</f>
        <v/>
      </c>
      <c r="L285" s="56" t="n">
        <f aca="false">IF(AND(ISNUMBER(B285),ISNUMBER(E285),D285&lt;&gt;""),YEAR(B285)*100+MONTH(B285),0)</f>
        <v>0</v>
      </c>
      <c r="M285" s="56" t="n">
        <f aca="false">IF(L285=0,0,YEAR(B285))</f>
        <v>0</v>
      </c>
      <c r="N285" s="56" t="str">
        <f aca="false">IF(L285=0,"",IF(K285=0,"Wants / Gustos",INDEX(Budget!$D$7:$D$41,K285)))</f>
        <v/>
      </c>
    </row>
    <row r="286" customFormat="false" ht="15" hidden="false" customHeight="false" outlineLevel="0" collapsed="false">
      <c r="B286" s="57"/>
      <c r="C286" s="58"/>
      <c r="D286" s="58"/>
      <c r="E286" s="59"/>
      <c r="F286" s="58"/>
      <c r="G286" s="58"/>
      <c r="H286" s="60" t="str">
        <f aca="false">IF(OR(E286="",D286=""),"",IF(K286=0,"Expense / Gasto",INDEX(Budget!$C$7:$C$41,K286)))</f>
        <v/>
      </c>
      <c r="I286" s="60" t="str">
        <f aca="false">IF(AND(B286="",E286=""),"",IF(NOT(ISNUMBER(B286)),"⚠ ADD DATE / AGREGA FECHA",IF(E286="","⚠ ADD AMOUNT / AGREGA MONTO",IF(D286="","⚠ ADD CATEGORY / AGREGA CATEGORÍA",IF(K286=0,"● NEW CATEGORY? / ¿CATEGORÍA NUEVA?","✔ OK")))))</f>
        <v/>
      </c>
      <c r="K286" s="56" t="str">
        <f aca="false">IF(D286="","",IFERROR(MATCH(D286,Budget!$B$7:$B$41,0),0))</f>
        <v/>
      </c>
      <c r="L286" s="56" t="n">
        <f aca="false">IF(AND(ISNUMBER(B286),ISNUMBER(E286),D286&lt;&gt;""),YEAR(B286)*100+MONTH(B286),0)</f>
        <v>0</v>
      </c>
      <c r="M286" s="56" t="n">
        <f aca="false">IF(L286=0,0,YEAR(B286))</f>
        <v>0</v>
      </c>
      <c r="N286" s="56" t="str">
        <f aca="false">IF(L286=0,"",IF(K286=0,"Wants / Gustos",INDEX(Budget!$D$7:$D$41,K286)))</f>
        <v/>
      </c>
    </row>
    <row r="287" customFormat="false" ht="15" hidden="false" customHeight="false" outlineLevel="0" collapsed="false">
      <c r="B287" s="57"/>
      <c r="C287" s="58"/>
      <c r="D287" s="58"/>
      <c r="E287" s="59"/>
      <c r="F287" s="58"/>
      <c r="G287" s="58"/>
      <c r="H287" s="60" t="str">
        <f aca="false">IF(OR(E287="",D287=""),"",IF(K287=0,"Expense / Gasto",INDEX(Budget!$C$7:$C$41,K287)))</f>
        <v/>
      </c>
      <c r="I287" s="60" t="str">
        <f aca="false">IF(AND(B287="",E287=""),"",IF(NOT(ISNUMBER(B287)),"⚠ ADD DATE / AGREGA FECHA",IF(E287="","⚠ ADD AMOUNT / AGREGA MONTO",IF(D287="","⚠ ADD CATEGORY / AGREGA CATEGORÍA",IF(K287=0,"● NEW CATEGORY? / ¿CATEGORÍA NUEVA?","✔ OK")))))</f>
        <v/>
      </c>
      <c r="K287" s="56" t="str">
        <f aca="false">IF(D287="","",IFERROR(MATCH(D287,Budget!$B$7:$B$41,0),0))</f>
        <v/>
      </c>
      <c r="L287" s="56" t="n">
        <f aca="false">IF(AND(ISNUMBER(B287),ISNUMBER(E287),D287&lt;&gt;""),YEAR(B287)*100+MONTH(B287),0)</f>
        <v>0</v>
      </c>
      <c r="M287" s="56" t="n">
        <f aca="false">IF(L287=0,0,YEAR(B287))</f>
        <v>0</v>
      </c>
      <c r="N287" s="56" t="str">
        <f aca="false">IF(L287=0,"",IF(K287=0,"Wants / Gustos",INDEX(Budget!$D$7:$D$41,K287)))</f>
        <v/>
      </c>
    </row>
    <row r="288" customFormat="false" ht="15" hidden="false" customHeight="false" outlineLevel="0" collapsed="false">
      <c r="B288" s="57"/>
      <c r="C288" s="58"/>
      <c r="D288" s="58"/>
      <c r="E288" s="59"/>
      <c r="F288" s="58"/>
      <c r="G288" s="58"/>
      <c r="H288" s="60" t="str">
        <f aca="false">IF(OR(E288="",D288=""),"",IF(K288=0,"Expense / Gasto",INDEX(Budget!$C$7:$C$41,K288)))</f>
        <v/>
      </c>
      <c r="I288" s="60" t="str">
        <f aca="false">IF(AND(B288="",E288=""),"",IF(NOT(ISNUMBER(B288)),"⚠ ADD DATE / AGREGA FECHA",IF(E288="","⚠ ADD AMOUNT / AGREGA MONTO",IF(D288="","⚠ ADD CATEGORY / AGREGA CATEGORÍA",IF(K288=0,"● NEW CATEGORY? / ¿CATEGORÍA NUEVA?","✔ OK")))))</f>
        <v/>
      </c>
      <c r="K288" s="56" t="str">
        <f aca="false">IF(D288="","",IFERROR(MATCH(D288,Budget!$B$7:$B$41,0),0))</f>
        <v/>
      </c>
      <c r="L288" s="56" t="n">
        <f aca="false">IF(AND(ISNUMBER(B288),ISNUMBER(E288),D288&lt;&gt;""),YEAR(B288)*100+MONTH(B288),0)</f>
        <v>0</v>
      </c>
      <c r="M288" s="56" t="n">
        <f aca="false">IF(L288=0,0,YEAR(B288))</f>
        <v>0</v>
      </c>
      <c r="N288" s="56" t="str">
        <f aca="false">IF(L288=0,"",IF(K288=0,"Wants / Gustos",INDEX(Budget!$D$7:$D$41,K288)))</f>
        <v/>
      </c>
    </row>
    <row r="289" customFormat="false" ht="15" hidden="false" customHeight="false" outlineLevel="0" collapsed="false">
      <c r="B289" s="57"/>
      <c r="C289" s="58"/>
      <c r="D289" s="58"/>
      <c r="E289" s="59"/>
      <c r="F289" s="58"/>
      <c r="G289" s="58"/>
      <c r="H289" s="60" t="str">
        <f aca="false">IF(OR(E289="",D289=""),"",IF(K289=0,"Expense / Gasto",INDEX(Budget!$C$7:$C$41,K289)))</f>
        <v/>
      </c>
      <c r="I289" s="60" t="str">
        <f aca="false">IF(AND(B289="",E289=""),"",IF(NOT(ISNUMBER(B289)),"⚠ ADD DATE / AGREGA FECHA",IF(E289="","⚠ ADD AMOUNT / AGREGA MONTO",IF(D289="","⚠ ADD CATEGORY / AGREGA CATEGORÍA",IF(K289=0,"● NEW CATEGORY? / ¿CATEGORÍA NUEVA?","✔ OK")))))</f>
        <v/>
      </c>
      <c r="K289" s="56" t="str">
        <f aca="false">IF(D289="","",IFERROR(MATCH(D289,Budget!$B$7:$B$41,0),0))</f>
        <v/>
      </c>
      <c r="L289" s="56" t="n">
        <f aca="false">IF(AND(ISNUMBER(B289),ISNUMBER(E289),D289&lt;&gt;""),YEAR(B289)*100+MONTH(B289),0)</f>
        <v>0</v>
      </c>
      <c r="M289" s="56" t="n">
        <f aca="false">IF(L289=0,0,YEAR(B289))</f>
        <v>0</v>
      </c>
      <c r="N289" s="56" t="str">
        <f aca="false">IF(L289=0,"",IF(K289=0,"Wants / Gustos",INDEX(Budget!$D$7:$D$41,K289)))</f>
        <v/>
      </c>
    </row>
    <row r="290" customFormat="false" ht="15" hidden="false" customHeight="false" outlineLevel="0" collapsed="false">
      <c r="B290" s="57"/>
      <c r="C290" s="58"/>
      <c r="D290" s="58"/>
      <c r="E290" s="59"/>
      <c r="F290" s="58"/>
      <c r="G290" s="58"/>
      <c r="H290" s="60" t="str">
        <f aca="false">IF(OR(E290="",D290=""),"",IF(K290=0,"Expense / Gasto",INDEX(Budget!$C$7:$C$41,K290)))</f>
        <v/>
      </c>
      <c r="I290" s="60" t="str">
        <f aca="false">IF(AND(B290="",E290=""),"",IF(NOT(ISNUMBER(B290)),"⚠ ADD DATE / AGREGA FECHA",IF(E290="","⚠ ADD AMOUNT / AGREGA MONTO",IF(D290="","⚠ ADD CATEGORY / AGREGA CATEGORÍA",IF(K290=0,"● NEW CATEGORY? / ¿CATEGORÍA NUEVA?","✔ OK")))))</f>
        <v/>
      </c>
      <c r="K290" s="56" t="str">
        <f aca="false">IF(D290="","",IFERROR(MATCH(D290,Budget!$B$7:$B$41,0),0))</f>
        <v/>
      </c>
      <c r="L290" s="56" t="n">
        <f aca="false">IF(AND(ISNUMBER(B290),ISNUMBER(E290),D290&lt;&gt;""),YEAR(B290)*100+MONTH(B290),0)</f>
        <v>0</v>
      </c>
      <c r="M290" s="56" t="n">
        <f aca="false">IF(L290=0,0,YEAR(B290))</f>
        <v>0</v>
      </c>
      <c r="N290" s="56" t="str">
        <f aca="false">IF(L290=0,"",IF(K290=0,"Wants / Gustos",INDEX(Budget!$D$7:$D$41,K290)))</f>
        <v/>
      </c>
    </row>
    <row r="291" customFormat="false" ht="15" hidden="false" customHeight="false" outlineLevel="0" collapsed="false">
      <c r="B291" s="57"/>
      <c r="C291" s="58"/>
      <c r="D291" s="58"/>
      <c r="E291" s="59"/>
      <c r="F291" s="58"/>
      <c r="G291" s="58"/>
      <c r="H291" s="60" t="str">
        <f aca="false">IF(OR(E291="",D291=""),"",IF(K291=0,"Expense / Gasto",INDEX(Budget!$C$7:$C$41,K291)))</f>
        <v/>
      </c>
      <c r="I291" s="60" t="str">
        <f aca="false">IF(AND(B291="",E291=""),"",IF(NOT(ISNUMBER(B291)),"⚠ ADD DATE / AGREGA FECHA",IF(E291="","⚠ ADD AMOUNT / AGREGA MONTO",IF(D291="","⚠ ADD CATEGORY / AGREGA CATEGORÍA",IF(K291=0,"● NEW CATEGORY? / ¿CATEGORÍA NUEVA?","✔ OK")))))</f>
        <v/>
      </c>
      <c r="K291" s="56" t="str">
        <f aca="false">IF(D291="","",IFERROR(MATCH(D291,Budget!$B$7:$B$41,0),0))</f>
        <v/>
      </c>
      <c r="L291" s="56" t="n">
        <f aca="false">IF(AND(ISNUMBER(B291),ISNUMBER(E291),D291&lt;&gt;""),YEAR(B291)*100+MONTH(B291),0)</f>
        <v>0</v>
      </c>
      <c r="M291" s="56" t="n">
        <f aca="false">IF(L291=0,0,YEAR(B291))</f>
        <v>0</v>
      </c>
      <c r="N291" s="56" t="str">
        <f aca="false">IF(L291=0,"",IF(K291=0,"Wants / Gustos",INDEX(Budget!$D$7:$D$41,K291)))</f>
        <v/>
      </c>
    </row>
    <row r="292" customFormat="false" ht="15" hidden="false" customHeight="false" outlineLevel="0" collapsed="false">
      <c r="B292" s="57"/>
      <c r="C292" s="58"/>
      <c r="D292" s="58"/>
      <c r="E292" s="59"/>
      <c r="F292" s="58"/>
      <c r="G292" s="58"/>
      <c r="H292" s="60" t="str">
        <f aca="false">IF(OR(E292="",D292=""),"",IF(K292=0,"Expense / Gasto",INDEX(Budget!$C$7:$C$41,K292)))</f>
        <v/>
      </c>
      <c r="I292" s="60" t="str">
        <f aca="false">IF(AND(B292="",E292=""),"",IF(NOT(ISNUMBER(B292)),"⚠ ADD DATE / AGREGA FECHA",IF(E292="","⚠ ADD AMOUNT / AGREGA MONTO",IF(D292="","⚠ ADD CATEGORY / AGREGA CATEGORÍA",IF(K292=0,"● NEW CATEGORY? / ¿CATEGORÍA NUEVA?","✔ OK")))))</f>
        <v/>
      </c>
      <c r="K292" s="56" t="str">
        <f aca="false">IF(D292="","",IFERROR(MATCH(D292,Budget!$B$7:$B$41,0),0))</f>
        <v/>
      </c>
      <c r="L292" s="56" t="n">
        <f aca="false">IF(AND(ISNUMBER(B292),ISNUMBER(E292),D292&lt;&gt;""),YEAR(B292)*100+MONTH(B292),0)</f>
        <v>0</v>
      </c>
      <c r="M292" s="56" t="n">
        <f aca="false">IF(L292=0,0,YEAR(B292))</f>
        <v>0</v>
      </c>
      <c r="N292" s="56" t="str">
        <f aca="false">IF(L292=0,"",IF(K292=0,"Wants / Gustos",INDEX(Budget!$D$7:$D$41,K292)))</f>
        <v/>
      </c>
    </row>
    <row r="293" customFormat="false" ht="15" hidden="false" customHeight="false" outlineLevel="0" collapsed="false">
      <c r="B293" s="57"/>
      <c r="C293" s="58"/>
      <c r="D293" s="58"/>
      <c r="E293" s="59"/>
      <c r="F293" s="58"/>
      <c r="G293" s="58"/>
      <c r="H293" s="60" t="str">
        <f aca="false">IF(OR(E293="",D293=""),"",IF(K293=0,"Expense / Gasto",INDEX(Budget!$C$7:$C$41,K293)))</f>
        <v/>
      </c>
      <c r="I293" s="60" t="str">
        <f aca="false">IF(AND(B293="",E293=""),"",IF(NOT(ISNUMBER(B293)),"⚠ ADD DATE / AGREGA FECHA",IF(E293="","⚠ ADD AMOUNT / AGREGA MONTO",IF(D293="","⚠ ADD CATEGORY / AGREGA CATEGORÍA",IF(K293=0,"● NEW CATEGORY? / ¿CATEGORÍA NUEVA?","✔ OK")))))</f>
        <v/>
      </c>
      <c r="K293" s="56" t="str">
        <f aca="false">IF(D293="","",IFERROR(MATCH(D293,Budget!$B$7:$B$41,0),0))</f>
        <v/>
      </c>
      <c r="L293" s="56" t="n">
        <f aca="false">IF(AND(ISNUMBER(B293),ISNUMBER(E293),D293&lt;&gt;""),YEAR(B293)*100+MONTH(B293),0)</f>
        <v>0</v>
      </c>
      <c r="M293" s="56" t="n">
        <f aca="false">IF(L293=0,0,YEAR(B293))</f>
        <v>0</v>
      </c>
      <c r="N293" s="56" t="str">
        <f aca="false">IF(L293=0,"",IF(K293=0,"Wants / Gustos",INDEX(Budget!$D$7:$D$41,K293)))</f>
        <v/>
      </c>
    </row>
    <row r="294" customFormat="false" ht="15" hidden="false" customHeight="false" outlineLevel="0" collapsed="false">
      <c r="B294" s="57"/>
      <c r="C294" s="58"/>
      <c r="D294" s="58"/>
      <c r="E294" s="59"/>
      <c r="F294" s="58"/>
      <c r="G294" s="58"/>
      <c r="H294" s="60" t="str">
        <f aca="false">IF(OR(E294="",D294=""),"",IF(K294=0,"Expense / Gasto",INDEX(Budget!$C$7:$C$41,K294)))</f>
        <v/>
      </c>
      <c r="I294" s="60" t="str">
        <f aca="false">IF(AND(B294="",E294=""),"",IF(NOT(ISNUMBER(B294)),"⚠ ADD DATE / AGREGA FECHA",IF(E294="","⚠ ADD AMOUNT / AGREGA MONTO",IF(D294="","⚠ ADD CATEGORY / AGREGA CATEGORÍA",IF(K294=0,"● NEW CATEGORY? / ¿CATEGORÍA NUEVA?","✔ OK")))))</f>
        <v/>
      </c>
      <c r="K294" s="56" t="str">
        <f aca="false">IF(D294="","",IFERROR(MATCH(D294,Budget!$B$7:$B$41,0),0))</f>
        <v/>
      </c>
      <c r="L294" s="56" t="n">
        <f aca="false">IF(AND(ISNUMBER(B294),ISNUMBER(E294),D294&lt;&gt;""),YEAR(B294)*100+MONTH(B294),0)</f>
        <v>0</v>
      </c>
      <c r="M294" s="56" t="n">
        <f aca="false">IF(L294=0,0,YEAR(B294))</f>
        <v>0</v>
      </c>
      <c r="N294" s="56" t="str">
        <f aca="false">IF(L294=0,"",IF(K294=0,"Wants / Gustos",INDEX(Budget!$D$7:$D$41,K294)))</f>
        <v/>
      </c>
    </row>
    <row r="295" customFormat="false" ht="15" hidden="false" customHeight="false" outlineLevel="0" collapsed="false">
      <c r="B295" s="57"/>
      <c r="C295" s="58"/>
      <c r="D295" s="58"/>
      <c r="E295" s="59"/>
      <c r="F295" s="58"/>
      <c r="G295" s="58"/>
      <c r="H295" s="60" t="str">
        <f aca="false">IF(OR(E295="",D295=""),"",IF(K295=0,"Expense / Gasto",INDEX(Budget!$C$7:$C$41,K295)))</f>
        <v/>
      </c>
      <c r="I295" s="60" t="str">
        <f aca="false">IF(AND(B295="",E295=""),"",IF(NOT(ISNUMBER(B295)),"⚠ ADD DATE / AGREGA FECHA",IF(E295="","⚠ ADD AMOUNT / AGREGA MONTO",IF(D295="","⚠ ADD CATEGORY / AGREGA CATEGORÍA",IF(K295=0,"● NEW CATEGORY? / ¿CATEGORÍA NUEVA?","✔ OK")))))</f>
        <v/>
      </c>
      <c r="K295" s="56" t="str">
        <f aca="false">IF(D295="","",IFERROR(MATCH(D295,Budget!$B$7:$B$41,0),0))</f>
        <v/>
      </c>
      <c r="L295" s="56" t="n">
        <f aca="false">IF(AND(ISNUMBER(B295),ISNUMBER(E295),D295&lt;&gt;""),YEAR(B295)*100+MONTH(B295),0)</f>
        <v>0</v>
      </c>
      <c r="M295" s="56" t="n">
        <f aca="false">IF(L295=0,0,YEAR(B295))</f>
        <v>0</v>
      </c>
      <c r="N295" s="56" t="str">
        <f aca="false">IF(L295=0,"",IF(K295=0,"Wants / Gustos",INDEX(Budget!$D$7:$D$41,K295)))</f>
        <v/>
      </c>
    </row>
    <row r="296" customFormat="false" ht="15" hidden="false" customHeight="false" outlineLevel="0" collapsed="false">
      <c r="B296" s="57"/>
      <c r="C296" s="58"/>
      <c r="D296" s="58"/>
      <c r="E296" s="59"/>
      <c r="F296" s="58"/>
      <c r="G296" s="58"/>
      <c r="H296" s="60" t="str">
        <f aca="false">IF(OR(E296="",D296=""),"",IF(K296=0,"Expense / Gasto",INDEX(Budget!$C$7:$C$41,K296)))</f>
        <v/>
      </c>
      <c r="I296" s="60" t="str">
        <f aca="false">IF(AND(B296="",E296=""),"",IF(NOT(ISNUMBER(B296)),"⚠ ADD DATE / AGREGA FECHA",IF(E296="","⚠ ADD AMOUNT / AGREGA MONTO",IF(D296="","⚠ ADD CATEGORY / AGREGA CATEGORÍA",IF(K296=0,"● NEW CATEGORY? / ¿CATEGORÍA NUEVA?","✔ OK")))))</f>
        <v/>
      </c>
      <c r="K296" s="56" t="str">
        <f aca="false">IF(D296="","",IFERROR(MATCH(D296,Budget!$B$7:$B$41,0),0))</f>
        <v/>
      </c>
      <c r="L296" s="56" t="n">
        <f aca="false">IF(AND(ISNUMBER(B296),ISNUMBER(E296),D296&lt;&gt;""),YEAR(B296)*100+MONTH(B296),0)</f>
        <v>0</v>
      </c>
      <c r="M296" s="56" t="n">
        <f aca="false">IF(L296=0,0,YEAR(B296))</f>
        <v>0</v>
      </c>
      <c r="N296" s="56" t="str">
        <f aca="false">IF(L296=0,"",IF(K296=0,"Wants / Gustos",INDEX(Budget!$D$7:$D$41,K296)))</f>
        <v/>
      </c>
    </row>
    <row r="297" customFormat="false" ht="15" hidden="false" customHeight="false" outlineLevel="0" collapsed="false">
      <c r="B297" s="57"/>
      <c r="C297" s="58"/>
      <c r="D297" s="58"/>
      <c r="E297" s="59"/>
      <c r="F297" s="58"/>
      <c r="G297" s="58"/>
      <c r="H297" s="60" t="str">
        <f aca="false">IF(OR(E297="",D297=""),"",IF(K297=0,"Expense / Gasto",INDEX(Budget!$C$7:$C$41,K297)))</f>
        <v/>
      </c>
      <c r="I297" s="60" t="str">
        <f aca="false">IF(AND(B297="",E297=""),"",IF(NOT(ISNUMBER(B297)),"⚠ ADD DATE / AGREGA FECHA",IF(E297="","⚠ ADD AMOUNT / AGREGA MONTO",IF(D297="","⚠ ADD CATEGORY / AGREGA CATEGORÍA",IF(K297=0,"● NEW CATEGORY? / ¿CATEGORÍA NUEVA?","✔ OK")))))</f>
        <v/>
      </c>
      <c r="K297" s="56" t="str">
        <f aca="false">IF(D297="","",IFERROR(MATCH(D297,Budget!$B$7:$B$41,0),0))</f>
        <v/>
      </c>
      <c r="L297" s="56" t="n">
        <f aca="false">IF(AND(ISNUMBER(B297),ISNUMBER(E297),D297&lt;&gt;""),YEAR(B297)*100+MONTH(B297),0)</f>
        <v>0</v>
      </c>
      <c r="M297" s="56" t="n">
        <f aca="false">IF(L297=0,0,YEAR(B297))</f>
        <v>0</v>
      </c>
      <c r="N297" s="56" t="str">
        <f aca="false">IF(L297=0,"",IF(K297=0,"Wants / Gustos",INDEX(Budget!$D$7:$D$41,K297)))</f>
        <v/>
      </c>
    </row>
    <row r="298" customFormat="false" ht="15" hidden="false" customHeight="false" outlineLevel="0" collapsed="false">
      <c r="B298" s="57"/>
      <c r="C298" s="58"/>
      <c r="D298" s="58"/>
      <c r="E298" s="59"/>
      <c r="F298" s="58"/>
      <c r="G298" s="58"/>
      <c r="H298" s="60" t="str">
        <f aca="false">IF(OR(E298="",D298=""),"",IF(K298=0,"Expense / Gasto",INDEX(Budget!$C$7:$C$41,K298)))</f>
        <v/>
      </c>
      <c r="I298" s="60" t="str">
        <f aca="false">IF(AND(B298="",E298=""),"",IF(NOT(ISNUMBER(B298)),"⚠ ADD DATE / AGREGA FECHA",IF(E298="","⚠ ADD AMOUNT / AGREGA MONTO",IF(D298="","⚠ ADD CATEGORY / AGREGA CATEGORÍA",IF(K298=0,"● NEW CATEGORY? / ¿CATEGORÍA NUEVA?","✔ OK")))))</f>
        <v/>
      </c>
      <c r="K298" s="56" t="str">
        <f aca="false">IF(D298="","",IFERROR(MATCH(D298,Budget!$B$7:$B$41,0),0))</f>
        <v/>
      </c>
      <c r="L298" s="56" t="n">
        <f aca="false">IF(AND(ISNUMBER(B298),ISNUMBER(E298),D298&lt;&gt;""),YEAR(B298)*100+MONTH(B298),0)</f>
        <v>0</v>
      </c>
      <c r="M298" s="56" t="n">
        <f aca="false">IF(L298=0,0,YEAR(B298))</f>
        <v>0</v>
      </c>
      <c r="N298" s="56" t="str">
        <f aca="false">IF(L298=0,"",IF(K298=0,"Wants / Gustos",INDEX(Budget!$D$7:$D$41,K298)))</f>
        <v/>
      </c>
    </row>
    <row r="299" customFormat="false" ht="15" hidden="false" customHeight="false" outlineLevel="0" collapsed="false">
      <c r="B299" s="57"/>
      <c r="C299" s="58"/>
      <c r="D299" s="58"/>
      <c r="E299" s="59"/>
      <c r="F299" s="58"/>
      <c r="G299" s="58"/>
      <c r="H299" s="60" t="str">
        <f aca="false">IF(OR(E299="",D299=""),"",IF(K299=0,"Expense / Gasto",INDEX(Budget!$C$7:$C$41,K299)))</f>
        <v/>
      </c>
      <c r="I299" s="60" t="str">
        <f aca="false">IF(AND(B299="",E299=""),"",IF(NOT(ISNUMBER(B299)),"⚠ ADD DATE / AGREGA FECHA",IF(E299="","⚠ ADD AMOUNT / AGREGA MONTO",IF(D299="","⚠ ADD CATEGORY / AGREGA CATEGORÍA",IF(K299=0,"● NEW CATEGORY? / ¿CATEGORÍA NUEVA?","✔ OK")))))</f>
        <v/>
      </c>
      <c r="K299" s="56" t="str">
        <f aca="false">IF(D299="","",IFERROR(MATCH(D299,Budget!$B$7:$B$41,0),0))</f>
        <v/>
      </c>
      <c r="L299" s="56" t="n">
        <f aca="false">IF(AND(ISNUMBER(B299),ISNUMBER(E299),D299&lt;&gt;""),YEAR(B299)*100+MONTH(B299),0)</f>
        <v>0</v>
      </c>
      <c r="M299" s="56" t="n">
        <f aca="false">IF(L299=0,0,YEAR(B299))</f>
        <v>0</v>
      </c>
      <c r="N299" s="56" t="str">
        <f aca="false">IF(L299=0,"",IF(K299=0,"Wants / Gustos",INDEX(Budget!$D$7:$D$41,K299)))</f>
        <v/>
      </c>
    </row>
    <row r="300" customFormat="false" ht="15" hidden="false" customHeight="false" outlineLevel="0" collapsed="false">
      <c r="B300" s="57"/>
      <c r="C300" s="58"/>
      <c r="D300" s="58"/>
      <c r="E300" s="59"/>
      <c r="F300" s="58"/>
      <c r="G300" s="58"/>
      <c r="H300" s="60" t="str">
        <f aca="false">IF(OR(E300="",D300=""),"",IF(K300=0,"Expense / Gasto",INDEX(Budget!$C$7:$C$41,K300)))</f>
        <v/>
      </c>
      <c r="I300" s="60" t="str">
        <f aca="false">IF(AND(B300="",E300=""),"",IF(NOT(ISNUMBER(B300)),"⚠ ADD DATE / AGREGA FECHA",IF(E300="","⚠ ADD AMOUNT / AGREGA MONTO",IF(D300="","⚠ ADD CATEGORY / AGREGA CATEGORÍA",IF(K300=0,"● NEW CATEGORY? / ¿CATEGORÍA NUEVA?","✔ OK")))))</f>
        <v/>
      </c>
      <c r="K300" s="56" t="str">
        <f aca="false">IF(D300="","",IFERROR(MATCH(D300,Budget!$B$7:$B$41,0),0))</f>
        <v/>
      </c>
      <c r="L300" s="56" t="n">
        <f aca="false">IF(AND(ISNUMBER(B300),ISNUMBER(E300),D300&lt;&gt;""),YEAR(B300)*100+MONTH(B300),0)</f>
        <v>0</v>
      </c>
      <c r="M300" s="56" t="n">
        <f aca="false">IF(L300=0,0,YEAR(B300))</f>
        <v>0</v>
      </c>
      <c r="N300" s="56" t="str">
        <f aca="false">IF(L300=0,"",IF(K300=0,"Wants / Gustos",INDEX(Budget!$D$7:$D$41,K300)))</f>
        <v/>
      </c>
    </row>
    <row r="301" customFormat="false" ht="15" hidden="false" customHeight="false" outlineLevel="0" collapsed="false">
      <c r="B301" s="57"/>
      <c r="C301" s="58"/>
      <c r="D301" s="58"/>
      <c r="E301" s="59"/>
      <c r="F301" s="58"/>
      <c r="G301" s="58"/>
      <c r="H301" s="60" t="str">
        <f aca="false">IF(OR(E301="",D301=""),"",IF(K301=0,"Expense / Gasto",INDEX(Budget!$C$7:$C$41,K301)))</f>
        <v/>
      </c>
      <c r="I301" s="60" t="str">
        <f aca="false">IF(AND(B301="",E301=""),"",IF(NOT(ISNUMBER(B301)),"⚠ ADD DATE / AGREGA FECHA",IF(E301="","⚠ ADD AMOUNT / AGREGA MONTO",IF(D301="","⚠ ADD CATEGORY / AGREGA CATEGORÍA",IF(K301=0,"● NEW CATEGORY? / ¿CATEGORÍA NUEVA?","✔ OK")))))</f>
        <v/>
      </c>
      <c r="K301" s="56" t="str">
        <f aca="false">IF(D301="","",IFERROR(MATCH(D301,Budget!$B$7:$B$41,0),0))</f>
        <v/>
      </c>
      <c r="L301" s="56" t="n">
        <f aca="false">IF(AND(ISNUMBER(B301),ISNUMBER(E301),D301&lt;&gt;""),YEAR(B301)*100+MONTH(B301),0)</f>
        <v>0</v>
      </c>
      <c r="M301" s="56" t="n">
        <f aca="false">IF(L301=0,0,YEAR(B301))</f>
        <v>0</v>
      </c>
      <c r="N301" s="56" t="str">
        <f aca="false">IF(L301=0,"",IF(K301=0,"Wants / Gustos",INDEX(Budget!$D$7:$D$41,K301)))</f>
        <v/>
      </c>
    </row>
    <row r="302" customFormat="false" ht="15" hidden="false" customHeight="false" outlineLevel="0" collapsed="false">
      <c r="B302" s="57"/>
      <c r="C302" s="58"/>
      <c r="D302" s="58"/>
      <c r="E302" s="59"/>
      <c r="F302" s="58"/>
      <c r="G302" s="58"/>
      <c r="H302" s="60" t="str">
        <f aca="false">IF(OR(E302="",D302=""),"",IF(K302=0,"Expense / Gasto",INDEX(Budget!$C$7:$C$41,K302)))</f>
        <v/>
      </c>
      <c r="I302" s="60" t="str">
        <f aca="false">IF(AND(B302="",E302=""),"",IF(NOT(ISNUMBER(B302)),"⚠ ADD DATE / AGREGA FECHA",IF(E302="","⚠ ADD AMOUNT / AGREGA MONTO",IF(D302="","⚠ ADD CATEGORY / AGREGA CATEGORÍA",IF(K302=0,"● NEW CATEGORY? / ¿CATEGORÍA NUEVA?","✔ OK")))))</f>
        <v/>
      </c>
      <c r="K302" s="56" t="str">
        <f aca="false">IF(D302="","",IFERROR(MATCH(D302,Budget!$B$7:$B$41,0),0))</f>
        <v/>
      </c>
      <c r="L302" s="56" t="n">
        <f aca="false">IF(AND(ISNUMBER(B302),ISNUMBER(E302),D302&lt;&gt;""),YEAR(B302)*100+MONTH(B302),0)</f>
        <v>0</v>
      </c>
      <c r="M302" s="56" t="n">
        <f aca="false">IF(L302=0,0,YEAR(B302))</f>
        <v>0</v>
      </c>
      <c r="N302" s="56" t="str">
        <f aca="false">IF(L302=0,"",IF(K302=0,"Wants / Gustos",INDEX(Budget!$D$7:$D$41,K302)))</f>
        <v/>
      </c>
    </row>
    <row r="303" customFormat="false" ht="15" hidden="false" customHeight="false" outlineLevel="0" collapsed="false">
      <c r="B303" s="57"/>
      <c r="C303" s="58"/>
      <c r="D303" s="58"/>
      <c r="E303" s="59"/>
      <c r="F303" s="58"/>
      <c r="G303" s="58"/>
      <c r="H303" s="60" t="str">
        <f aca="false">IF(OR(E303="",D303=""),"",IF(K303=0,"Expense / Gasto",INDEX(Budget!$C$7:$C$41,K303)))</f>
        <v/>
      </c>
      <c r="I303" s="60" t="str">
        <f aca="false">IF(AND(B303="",E303=""),"",IF(NOT(ISNUMBER(B303)),"⚠ ADD DATE / AGREGA FECHA",IF(E303="","⚠ ADD AMOUNT / AGREGA MONTO",IF(D303="","⚠ ADD CATEGORY / AGREGA CATEGORÍA",IF(K303=0,"● NEW CATEGORY? / ¿CATEGORÍA NUEVA?","✔ OK")))))</f>
        <v/>
      </c>
      <c r="K303" s="56" t="str">
        <f aca="false">IF(D303="","",IFERROR(MATCH(D303,Budget!$B$7:$B$41,0),0))</f>
        <v/>
      </c>
      <c r="L303" s="56" t="n">
        <f aca="false">IF(AND(ISNUMBER(B303),ISNUMBER(E303),D303&lt;&gt;""),YEAR(B303)*100+MONTH(B303),0)</f>
        <v>0</v>
      </c>
      <c r="M303" s="56" t="n">
        <f aca="false">IF(L303=0,0,YEAR(B303))</f>
        <v>0</v>
      </c>
      <c r="N303" s="56" t="str">
        <f aca="false">IF(L303=0,"",IF(K303=0,"Wants / Gustos",INDEX(Budget!$D$7:$D$41,K303)))</f>
        <v/>
      </c>
    </row>
    <row r="304" customFormat="false" ht="15" hidden="false" customHeight="false" outlineLevel="0" collapsed="false">
      <c r="B304" s="57"/>
      <c r="C304" s="58"/>
      <c r="D304" s="58"/>
      <c r="E304" s="59"/>
      <c r="F304" s="58"/>
      <c r="G304" s="58"/>
      <c r="H304" s="60" t="str">
        <f aca="false">IF(OR(E304="",D304=""),"",IF(K304=0,"Expense / Gasto",INDEX(Budget!$C$7:$C$41,K304)))</f>
        <v/>
      </c>
      <c r="I304" s="60" t="str">
        <f aca="false">IF(AND(B304="",E304=""),"",IF(NOT(ISNUMBER(B304)),"⚠ ADD DATE / AGREGA FECHA",IF(E304="","⚠ ADD AMOUNT / AGREGA MONTO",IF(D304="","⚠ ADD CATEGORY / AGREGA CATEGORÍA",IF(K304=0,"● NEW CATEGORY? / ¿CATEGORÍA NUEVA?","✔ OK")))))</f>
        <v/>
      </c>
      <c r="K304" s="56" t="str">
        <f aca="false">IF(D304="","",IFERROR(MATCH(D304,Budget!$B$7:$B$41,0),0))</f>
        <v/>
      </c>
      <c r="L304" s="56" t="n">
        <f aca="false">IF(AND(ISNUMBER(B304),ISNUMBER(E304),D304&lt;&gt;""),YEAR(B304)*100+MONTH(B304),0)</f>
        <v>0</v>
      </c>
      <c r="M304" s="56" t="n">
        <f aca="false">IF(L304=0,0,YEAR(B304))</f>
        <v>0</v>
      </c>
      <c r="N304" s="56" t="str">
        <f aca="false">IF(L304=0,"",IF(K304=0,"Wants / Gustos",INDEX(Budget!$D$7:$D$41,K304)))</f>
        <v/>
      </c>
    </row>
    <row r="305" customFormat="false" ht="15" hidden="false" customHeight="false" outlineLevel="0" collapsed="false">
      <c r="B305" s="57"/>
      <c r="C305" s="58"/>
      <c r="D305" s="58"/>
      <c r="E305" s="59"/>
      <c r="F305" s="58"/>
      <c r="G305" s="58"/>
      <c r="H305" s="60" t="str">
        <f aca="false">IF(OR(E305="",D305=""),"",IF(K305=0,"Expense / Gasto",INDEX(Budget!$C$7:$C$41,K305)))</f>
        <v/>
      </c>
      <c r="I305" s="60" t="str">
        <f aca="false">IF(AND(B305="",E305=""),"",IF(NOT(ISNUMBER(B305)),"⚠ ADD DATE / AGREGA FECHA",IF(E305="","⚠ ADD AMOUNT / AGREGA MONTO",IF(D305="","⚠ ADD CATEGORY / AGREGA CATEGORÍA",IF(K305=0,"● NEW CATEGORY? / ¿CATEGORÍA NUEVA?","✔ OK")))))</f>
        <v/>
      </c>
      <c r="K305" s="56" t="str">
        <f aca="false">IF(D305="","",IFERROR(MATCH(D305,Budget!$B$7:$B$41,0),0))</f>
        <v/>
      </c>
      <c r="L305" s="56" t="n">
        <f aca="false">IF(AND(ISNUMBER(B305),ISNUMBER(E305),D305&lt;&gt;""),YEAR(B305)*100+MONTH(B305),0)</f>
        <v>0</v>
      </c>
      <c r="M305" s="56" t="n">
        <f aca="false">IF(L305=0,0,YEAR(B305))</f>
        <v>0</v>
      </c>
      <c r="N305" s="56" t="str">
        <f aca="false">IF(L305=0,"",IF(K305=0,"Wants / Gustos",INDEX(Budget!$D$7:$D$41,K305)))</f>
        <v/>
      </c>
    </row>
    <row r="306" customFormat="false" ht="15" hidden="false" customHeight="false" outlineLevel="0" collapsed="false">
      <c r="B306" s="57"/>
      <c r="C306" s="58"/>
      <c r="D306" s="58"/>
      <c r="E306" s="59"/>
      <c r="F306" s="58"/>
      <c r="G306" s="58"/>
      <c r="H306" s="60" t="str">
        <f aca="false">IF(OR(E306="",D306=""),"",IF(K306=0,"Expense / Gasto",INDEX(Budget!$C$7:$C$41,K306)))</f>
        <v/>
      </c>
      <c r="I306" s="60" t="str">
        <f aca="false">IF(AND(B306="",E306=""),"",IF(NOT(ISNUMBER(B306)),"⚠ ADD DATE / AGREGA FECHA",IF(E306="","⚠ ADD AMOUNT / AGREGA MONTO",IF(D306="","⚠ ADD CATEGORY / AGREGA CATEGORÍA",IF(K306=0,"● NEW CATEGORY? / ¿CATEGORÍA NUEVA?","✔ OK")))))</f>
        <v/>
      </c>
      <c r="K306" s="56" t="str">
        <f aca="false">IF(D306="","",IFERROR(MATCH(D306,Budget!$B$7:$B$41,0),0))</f>
        <v/>
      </c>
      <c r="L306" s="56" t="n">
        <f aca="false">IF(AND(ISNUMBER(B306),ISNUMBER(E306),D306&lt;&gt;""),YEAR(B306)*100+MONTH(B306),0)</f>
        <v>0</v>
      </c>
      <c r="M306" s="56" t="n">
        <f aca="false">IF(L306=0,0,YEAR(B306))</f>
        <v>0</v>
      </c>
      <c r="N306" s="56" t="str">
        <f aca="false">IF(L306=0,"",IF(K306=0,"Wants / Gustos",INDEX(Budget!$D$7:$D$41,K306)))</f>
        <v/>
      </c>
    </row>
    <row r="307" customFormat="false" ht="15" hidden="false" customHeight="false" outlineLevel="0" collapsed="false">
      <c r="B307" s="57"/>
      <c r="C307" s="58"/>
      <c r="D307" s="58"/>
      <c r="E307" s="59"/>
      <c r="F307" s="58"/>
      <c r="G307" s="58"/>
      <c r="H307" s="60" t="str">
        <f aca="false">IF(OR(E307="",D307=""),"",IF(K307=0,"Expense / Gasto",INDEX(Budget!$C$7:$C$41,K307)))</f>
        <v/>
      </c>
      <c r="I307" s="60" t="str">
        <f aca="false">IF(AND(B307="",E307=""),"",IF(NOT(ISNUMBER(B307)),"⚠ ADD DATE / AGREGA FECHA",IF(E307="","⚠ ADD AMOUNT / AGREGA MONTO",IF(D307="","⚠ ADD CATEGORY / AGREGA CATEGORÍA",IF(K307=0,"● NEW CATEGORY? / ¿CATEGORÍA NUEVA?","✔ OK")))))</f>
        <v/>
      </c>
      <c r="K307" s="56" t="str">
        <f aca="false">IF(D307="","",IFERROR(MATCH(D307,Budget!$B$7:$B$41,0),0))</f>
        <v/>
      </c>
      <c r="L307" s="56" t="n">
        <f aca="false">IF(AND(ISNUMBER(B307),ISNUMBER(E307),D307&lt;&gt;""),YEAR(B307)*100+MONTH(B307),0)</f>
        <v>0</v>
      </c>
      <c r="M307" s="56" t="n">
        <f aca="false">IF(L307=0,0,YEAR(B307))</f>
        <v>0</v>
      </c>
      <c r="N307" s="56" t="str">
        <f aca="false">IF(L307=0,"",IF(K307=0,"Wants / Gustos",INDEX(Budget!$D$7:$D$41,K307)))</f>
        <v/>
      </c>
    </row>
    <row r="308" customFormat="false" ht="15" hidden="false" customHeight="false" outlineLevel="0" collapsed="false">
      <c r="B308" s="57"/>
      <c r="C308" s="58"/>
      <c r="D308" s="58"/>
      <c r="E308" s="59"/>
      <c r="F308" s="58"/>
      <c r="G308" s="58"/>
      <c r="H308" s="60" t="str">
        <f aca="false">IF(OR(E308="",D308=""),"",IF(K308=0,"Expense / Gasto",INDEX(Budget!$C$7:$C$41,K308)))</f>
        <v/>
      </c>
      <c r="I308" s="60" t="str">
        <f aca="false">IF(AND(B308="",E308=""),"",IF(NOT(ISNUMBER(B308)),"⚠ ADD DATE / AGREGA FECHA",IF(E308="","⚠ ADD AMOUNT / AGREGA MONTO",IF(D308="","⚠ ADD CATEGORY / AGREGA CATEGORÍA",IF(K308=0,"● NEW CATEGORY? / ¿CATEGORÍA NUEVA?","✔ OK")))))</f>
        <v/>
      </c>
      <c r="K308" s="56" t="str">
        <f aca="false">IF(D308="","",IFERROR(MATCH(D308,Budget!$B$7:$B$41,0),0))</f>
        <v/>
      </c>
      <c r="L308" s="56" t="n">
        <f aca="false">IF(AND(ISNUMBER(B308),ISNUMBER(E308),D308&lt;&gt;""),YEAR(B308)*100+MONTH(B308),0)</f>
        <v>0</v>
      </c>
      <c r="M308" s="56" t="n">
        <f aca="false">IF(L308=0,0,YEAR(B308))</f>
        <v>0</v>
      </c>
      <c r="N308" s="56" t="str">
        <f aca="false">IF(L308=0,"",IF(K308=0,"Wants / Gustos",INDEX(Budget!$D$7:$D$41,K308)))</f>
        <v/>
      </c>
    </row>
    <row r="309" customFormat="false" ht="15" hidden="false" customHeight="false" outlineLevel="0" collapsed="false">
      <c r="B309" s="57"/>
      <c r="C309" s="58"/>
      <c r="D309" s="58"/>
      <c r="E309" s="59"/>
      <c r="F309" s="58"/>
      <c r="G309" s="58"/>
      <c r="H309" s="60" t="str">
        <f aca="false">IF(OR(E309="",D309=""),"",IF(K309=0,"Expense / Gasto",INDEX(Budget!$C$7:$C$41,K309)))</f>
        <v/>
      </c>
      <c r="I309" s="60" t="str">
        <f aca="false">IF(AND(B309="",E309=""),"",IF(NOT(ISNUMBER(B309)),"⚠ ADD DATE / AGREGA FECHA",IF(E309="","⚠ ADD AMOUNT / AGREGA MONTO",IF(D309="","⚠ ADD CATEGORY / AGREGA CATEGORÍA",IF(K309=0,"● NEW CATEGORY? / ¿CATEGORÍA NUEVA?","✔ OK")))))</f>
        <v/>
      </c>
      <c r="K309" s="56" t="str">
        <f aca="false">IF(D309="","",IFERROR(MATCH(D309,Budget!$B$7:$B$41,0),0))</f>
        <v/>
      </c>
      <c r="L309" s="56" t="n">
        <f aca="false">IF(AND(ISNUMBER(B309),ISNUMBER(E309),D309&lt;&gt;""),YEAR(B309)*100+MONTH(B309),0)</f>
        <v>0</v>
      </c>
      <c r="M309" s="56" t="n">
        <f aca="false">IF(L309=0,0,YEAR(B309))</f>
        <v>0</v>
      </c>
      <c r="N309" s="56" t="str">
        <f aca="false">IF(L309=0,"",IF(K309=0,"Wants / Gustos",INDEX(Budget!$D$7:$D$41,K309)))</f>
        <v/>
      </c>
    </row>
    <row r="310" customFormat="false" ht="15" hidden="false" customHeight="false" outlineLevel="0" collapsed="false">
      <c r="B310" s="57"/>
      <c r="C310" s="58"/>
      <c r="D310" s="58"/>
      <c r="E310" s="59"/>
      <c r="F310" s="58"/>
      <c r="G310" s="58"/>
      <c r="H310" s="60" t="str">
        <f aca="false">IF(OR(E310="",D310=""),"",IF(K310=0,"Expense / Gasto",INDEX(Budget!$C$7:$C$41,K310)))</f>
        <v/>
      </c>
      <c r="I310" s="60" t="str">
        <f aca="false">IF(AND(B310="",E310=""),"",IF(NOT(ISNUMBER(B310)),"⚠ ADD DATE / AGREGA FECHA",IF(E310="","⚠ ADD AMOUNT / AGREGA MONTO",IF(D310="","⚠ ADD CATEGORY / AGREGA CATEGORÍA",IF(K310=0,"● NEW CATEGORY? / ¿CATEGORÍA NUEVA?","✔ OK")))))</f>
        <v/>
      </c>
      <c r="K310" s="56" t="str">
        <f aca="false">IF(D310="","",IFERROR(MATCH(D310,Budget!$B$7:$B$41,0),0))</f>
        <v/>
      </c>
      <c r="L310" s="56" t="n">
        <f aca="false">IF(AND(ISNUMBER(B310),ISNUMBER(E310),D310&lt;&gt;""),YEAR(B310)*100+MONTH(B310),0)</f>
        <v>0</v>
      </c>
      <c r="M310" s="56" t="n">
        <f aca="false">IF(L310=0,0,YEAR(B310))</f>
        <v>0</v>
      </c>
      <c r="N310" s="56" t="str">
        <f aca="false">IF(L310=0,"",IF(K310=0,"Wants / Gustos",INDEX(Budget!$D$7:$D$41,K310)))</f>
        <v/>
      </c>
    </row>
    <row r="311" customFormat="false" ht="15" hidden="false" customHeight="false" outlineLevel="0" collapsed="false">
      <c r="B311" s="57"/>
      <c r="C311" s="58"/>
      <c r="D311" s="58"/>
      <c r="E311" s="59"/>
      <c r="F311" s="58"/>
      <c r="G311" s="58"/>
      <c r="H311" s="60" t="str">
        <f aca="false">IF(OR(E311="",D311=""),"",IF(K311=0,"Expense / Gasto",INDEX(Budget!$C$7:$C$41,K311)))</f>
        <v/>
      </c>
      <c r="I311" s="60" t="str">
        <f aca="false">IF(AND(B311="",E311=""),"",IF(NOT(ISNUMBER(B311)),"⚠ ADD DATE / AGREGA FECHA",IF(E311="","⚠ ADD AMOUNT / AGREGA MONTO",IF(D311="","⚠ ADD CATEGORY / AGREGA CATEGORÍA",IF(K311=0,"● NEW CATEGORY? / ¿CATEGORÍA NUEVA?","✔ OK")))))</f>
        <v/>
      </c>
      <c r="K311" s="56" t="str">
        <f aca="false">IF(D311="","",IFERROR(MATCH(D311,Budget!$B$7:$B$41,0),0))</f>
        <v/>
      </c>
      <c r="L311" s="56" t="n">
        <f aca="false">IF(AND(ISNUMBER(B311),ISNUMBER(E311),D311&lt;&gt;""),YEAR(B311)*100+MONTH(B311),0)</f>
        <v>0</v>
      </c>
      <c r="M311" s="56" t="n">
        <f aca="false">IF(L311=0,0,YEAR(B311))</f>
        <v>0</v>
      </c>
      <c r="N311" s="56" t="str">
        <f aca="false">IF(L311=0,"",IF(K311=0,"Wants / Gustos",INDEX(Budget!$D$7:$D$41,K311)))</f>
        <v/>
      </c>
    </row>
    <row r="312" customFormat="false" ht="15" hidden="false" customHeight="false" outlineLevel="0" collapsed="false">
      <c r="B312" s="57"/>
      <c r="C312" s="58"/>
      <c r="D312" s="58"/>
      <c r="E312" s="59"/>
      <c r="F312" s="58"/>
      <c r="G312" s="58"/>
      <c r="H312" s="60" t="str">
        <f aca="false">IF(OR(E312="",D312=""),"",IF(K312=0,"Expense / Gasto",INDEX(Budget!$C$7:$C$41,K312)))</f>
        <v/>
      </c>
      <c r="I312" s="60" t="str">
        <f aca="false">IF(AND(B312="",E312=""),"",IF(NOT(ISNUMBER(B312)),"⚠ ADD DATE / AGREGA FECHA",IF(E312="","⚠ ADD AMOUNT / AGREGA MONTO",IF(D312="","⚠ ADD CATEGORY / AGREGA CATEGORÍA",IF(K312=0,"● NEW CATEGORY? / ¿CATEGORÍA NUEVA?","✔ OK")))))</f>
        <v/>
      </c>
      <c r="K312" s="56" t="str">
        <f aca="false">IF(D312="","",IFERROR(MATCH(D312,Budget!$B$7:$B$41,0),0))</f>
        <v/>
      </c>
      <c r="L312" s="56" t="n">
        <f aca="false">IF(AND(ISNUMBER(B312),ISNUMBER(E312),D312&lt;&gt;""),YEAR(B312)*100+MONTH(B312),0)</f>
        <v>0</v>
      </c>
      <c r="M312" s="56" t="n">
        <f aca="false">IF(L312=0,0,YEAR(B312))</f>
        <v>0</v>
      </c>
      <c r="N312" s="56" t="str">
        <f aca="false">IF(L312=0,"",IF(K312=0,"Wants / Gustos",INDEX(Budget!$D$7:$D$41,K312)))</f>
        <v/>
      </c>
    </row>
    <row r="313" customFormat="false" ht="15" hidden="false" customHeight="false" outlineLevel="0" collapsed="false">
      <c r="B313" s="57"/>
      <c r="C313" s="58"/>
      <c r="D313" s="58"/>
      <c r="E313" s="59"/>
      <c r="F313" s="58"/>
      <c r="G313" s="58"/>
      <c r="H313" s="60" t="str">
        <f aca="false">IF(OR(E313="",D313=""),"",IF(K313=0,"Expense / Gasto",INDEX(Budget!$C$7:$C$41,K313)))</f>
        <v/>
      </c>
      <c r="I313" s="60" t="str">
        <f aca="false">IF(AND(B313="",E313=""),"",IF(NOT(ISNUMBER(B313)),"⚠ ADD DATE / AGREGA FECHA",IF(E313="","⚠ ADD AMOUNT / AGREGA MONTO",IF(D313="","⚠ ADD CATEGORY / AGREGA CATEGORÍA",IF(K313=0,"● NEW CATEGORY? / ¿CATEGORÍA NUEVA?","✔ OK")))))</f>
        <v/>
      </c>
      <c r="K313" s="56" t="str">
        <f aca="false">IF(D313="","",IFERROR(MATCH(D313,Budget!$B$7:$B$41,0),0))</f>
        <v/>
      </c>
      <c r="L313" s="56" t="n">
        <f aca="false">IF(AND(ISNUMBER(B313),ISNUMBER(E313),D313&lt;&gt;""),YEAR(B313)*100+MONTH(B313),0)</f>
        <v>0</v>
      </c>
      <c r="M313" s="56" t="n">
        <f aca="false">IF(L313=0,0,YEAR(B313))</f>
        <v>0</v>
      </c>
      <c r="N313" s="56" t="str">
        <f aca="false">IF(L313=0,"",IF(K313=0,"Wants / Gustos",INDEX(Budget!$D$7:$D$41,K313)))</f>
        <v/>
      </c>
    </row>
    <row r="314" customFormat="false" ht="15" hidden="false" customHeight="false" outlineLevel="0" collapsed="false">
      <c r="B314" s="57"/>
      <c r="C314" s="58"/>
      <c r="D314" s="58"/>
      <c r="E314" s="59"/>
      <c r="F314" s="58"/>
      <c r="G314" s="58"/>
      <c r="H314" s="60" t="str">
        <f aca="false">IF(OR(E314="",D314=""),"",IF(K314=0,"Expense / Gasto",INDEX(Budget!$C$7:$C$41,K314)))</f>
        <v/>
      </c>
      <c r="I314" s="60" t="str">
        <f aca="false">IF(AND(B314="",E314=""),"",IF(NOT(ISNUMBER(B314)),"⚠ ADD DATE / AGREGA FECHA",IF(E314="","⚠ ADD AMOUNT / AGREGA MONTO",IF(D314="","⚠ ADD CATEGORY / AGREGA CATEGORÍA",IF(K314=0,"● NEW CATEGORY? / ¿CATEGORÍA NUEVA?","✔ OK")))))</f>
        <v/>
      </c>
      <c r="K314" s="56" t="str">
        <f aca="false">IF(D314="","",IFERROR(MATCH(D314,Budget!$B$7:$B$41,0),0))</f>
        <v/>
      </c>
      <c r="L314" s="56" t="n">
        <f aca="false">IF(AND(ISNUMBER(B314),ISNUMBER(E314),D314&lt;&gt;""),YEAR(B314)*100+MONTH(B314),0)</f>
        <v>0</v>
      </c>
      <c r="M314" s="56" t="n">
        <f aca="false">IF(L314=0,0,YEAR(B314))</f>
        <v>0</v>
      </c>
      <c r="N314" s="56" t="str">
        <f aca="false">IF(L314=0,"",IF(K314=0,"Wants / Gustos",INDEX(Budget!$D$7:$D$41,K314)))</f>
        <v/>
      </c>
    </row>
    <row r="315" customFormat="false" ht="15" hidden="false" customHeight="false" outlineLevel="0" collapsed="false">
      <c r="B315" s="57"/>
      <c r="C315" s="58"/>
      <c r="D315" s="58"/>
      <c r="E315" s="59"/>
      <c r="F315" s="58"/>
      <c r="G315" s="58"/>
      <c r="H315" s="60" t="str">
        <f aca="false">IF(OR(E315="",D315=""),"",IF(K315=0,"Expense / Gasto",INDEX(Budget!$C$7:$C$41,K315)))</f>
        <v/>
      </c>
      <c r="I315" s="60" t="str">
        <f aca="false">IF(AND(B315="",E315=""),"",IF(NOT(ISNUMBER(B315)),"⚠ ADD DATE / AGREGA FECHA",IF(E315="","⚠ ADD AMOUNT / AGREGA MONTO",IF(D315="","⚠ ADD CATEGORY / AGREGA CATEGORÍA",IF(K315=0,"● NEW CATEGORY? / ¿CATEGORÍA NUEVA?","✔ OK")))))</f>
        <v/>
      </c>
      <c r="K315" s="56" t="str">
        <f aca="false">IF(D315="","",IFERROR(MATCH(D315,Budget!$B$7:$B$41,0),0))</f>
        <v/>
      </c>
      <c r="L315" s="56" t="n">
        <f aca="false">IF(AND(ISNUMBER(B315),ISNUMBER(E315),D315&lt;&gt;""),YEAR(B315)*100+MONTH(B315),0)</f>
        <v>0</v>
      </c>
      <c r="M315" s="56" t="n">
        <f aca="false">IF(L315=0,0,YEAR(B315))</f>
        <v>0</v>
      </c>
      <c r="N315" s="56" t="str">
        <f aca="false">IF(L315=0,"",IF(K315=0,"Wants / Gustos",INDEX(Budget!$D$7:$D$41,K315)))</f>
        <v/>
      </c>
    </row>
    <row r="316" customFormat="false" ht="15" hidden="false" customHeight="false" outlineLevel="0" collapsed="false">
      <c r="B316" s="57"/>
      <c r="C316" s="58"/>
      <c r="D316" s="58"/>
      <c r="E316" s="59"/>
      <c r="F316" s="58"/>
      <c r="G316" s="58"/>
      <c r="H316" s="60" t="str">
        <f aca="false">IF(OR(E316="",D316=""),"",IF(K316=0,"Expense / Gasto",INDEX(Budget!$C$7:$C$41,K316)))</f>
        <v/>
      </c>
      <c r="I316" s="60" t="str">
        <f aca="false">IF(AND(B316="",E316=""),"",IF(NOT(ISNUMBER(B316)),"⚠ ADD DATE / AGREGA FECHA",IF(E316="","⚠ ADD AMOUNT / AGREGA MONTO",IF(D316="","⚠ ADD CATEGORY / AGREGA CATEGORÍA",IF(K316=0,"● NEW CATEGORY? / ¿CATEGORÍA NUEVA?","✔ OK")))))</f>
        <v/>
      </c>
      <c r="K316" s="56" t="str">
        <f aca="false">IF(D316="","",IFERROR(MATCH(D316,Budget!$B$7:$B$41,0),0))</f>
        <v/>
      </c>
      <c r="L316" s="56" t="n">
        <f aca="false">IF(AND(ISNUMBER(B316),ISNUMBER(E316),D316&lt;&gt;""),YEAR(B316)*100+MONTH(B316),0)</f>
        <v>0</v>
      </c>
      <c r="M316" s="56" t="n">
        <f aca="false">IF(L316=0,0,YEAR(B316))</f>
        <v>0</v>
      </c>
      <c r="N316" s="56" t="str">
        <f aca="false">IF(L316=0,"",IF(K316=0,"Wants / Gustos",INDEX(Budget!$D$7:$D$41,K316)))</f>
        <v/>
      </c>
    </row>
    <row r="317" customFormat="false" ht="15" hidden="false" customHeight="false" outlineLevel="0" collapsed="false">
      <c r="B317" s="57"/>
      <c r="C317" s="58"/>
      <c r="D317" s="58"/>
      <c r="E317" s="59"/>
      <c r="F317" s="58"/>
      <c r="G317" s="58"/>
      <c r="H317" s="60" t="str">
        <f aca="false">IF(OR(E317="",D317=""),"",IF(K317=0,"Expense / Gasto",INDEX(Budget!$C$7:$C$41,K317)))</f>
        <v/>
      </c>
      <c r="I317" s="60" t="str">
        <f aca="false">IF(AND(B317="",E317=""),"",IF(NOT(ISNUMBER(B317)),"⚠ ADD DATE / AGREGA FECHA",IF(E317="","⚠ ADD AMOUNT / AGREGA MONTO",IF(D317="","⚠ ADD CATEGORY / AGREGA CATEGORÍA",IF(K317=0,"● NEW CATEGORY? / ¿CATEGORÍA NUEVA?","✔ OK")))))</f>
        <v/>
      </c>
      <c r="K317" s="56" t="str">
        <f aca="false">IF(D317="","",IFERROR(MATCH(D317,Budget!$B$7:$B$41,0),0))</f>
        <v/>
      </c>
      <c r="L317" s="56" t="n">
        <f aca="false">IF(AND(ISNUMBER(B317),ISNUMBER(E317),D317&lt;&gt;""),YEAR(B317)*100+MONTH(B317),0)</f>
        <v>0</v>
      </c>
      <c r="M317" s="56" t="n">
        <f aca="false">IF(L317=0,0,YEAR(B317))</f>
        <v>0</v>
      </c>
      <c r="N317" s="56" t="str">
        <f aca="false">IF(L317=0,"",IF(K317=0,"Wants / Gustos",INDEX(Budget!$D$7:$D$41,K317)))</f>
        <v/>
      </c>
    </row>
    <row r="318" customFormat="false" ht="15" hidden="false" customHeight="false" outlineLevel="0" collapsed="false">
      <c r="B318" s="57"/>
      <c r="C318" s="58"/>
      <c r="D318" s="58"/>
      <c r="E318" s="59"/>
      <c r="F318" s="58"/>
      <c r="G318" s="58"/>
      <c r="H318" s="60" t="str">
        <f aca="false">IF(OR(E318="",D318=""),"",IF(K318=0,"Expense / Gasto",INDEX(Budget!$C$7:$C$41,K318)))</f>
        <v/>
      </c>
      <c r="I318" s="60" t="str">
        <f aca="false">IF(AND(B318="",E318=""),"",IF(NOT(ISNUMBER(B318)),"⚠ ADD DATE / AGREGA FECHA",IF(E318="","⚠ ADD AMOUNT / AGREGA MONTO",IF(D318="","⚠ ADD CATEGORY / AGREGA CATEGORÍA",IF(K318=0,"● NEW CATEGORY? / ¿CATEGORÍA NUEVA?","✔ OK")))))</f>
        <v/>
      </c>
      <c r="K318" s="56" t="str">
        <f aca="false">IF(D318="","",IFERROR(MATCH(D318,Budget!$B$7:$B$41,0),0))</f>
        <v/>
      </c>
      <c r="L318" s="56" t="n">
        <f aca="false">IF(AND(ISNUMBER(B318),ISNUMBER(E318),D318&lt;&gt;""),YEAR(B318)*100+MONTH(B318),0)</f>
        <v>0</v>
      </c>
      <c r="M318" s="56" t="n">
        <f aca="false">IF(L318=0,0,YEAR(B318))</f>
        <v>0</v>
      </c>
      <c r="N318" s="56" t="str">
        <f aca="false">IF(L318=0,"",IF(K318=0,"Wants / Gustos",INDEX(Budget!$D$7:$D$41,K318)))</f>
        <v/>
      </c>
    </row>
    <row r="319" customFormat="false" ht="15" hidden="false" customHeight="false" outlineLevel="0" collapsed="false">
      <c r="B319" s="57"/>
      <c r="C319" s="58"/>
      <c r="D319" s="58"/>
      <c r="E319" s="59"/>
      <c r="F319" s="58"/>
      <c r="G319" s="58"/>
      <c r="H319" s="60" t="str">
        <f aca="false">IF(OR(E319="",D319=""),"",IF(K319=0,"Expense / Gasto",INDEX(Budget!$C$7:$C$41,K319)))</f>
        <v/>
      </c>
      <c r="I319" s="60" t="str">
        <f aca="false">IF(AND(B319="",E319=""),"",IF(NOT(ISNUMBER(B319)),"⚠ ADD DATE / AGREGA FECHA",IF(E319="","⚠ ADD AMOUNT / AGREGA MONTO",IF(D319="","⚠ ADD CATEGORY / AGREGA CATEGORÍA",IF(K319=0,"● NEW CATEGORY? / ¿CATEGORÍA NUEVA?","✔ OK")))))</f>
        <v/>
      </c>
      <c r="K319" s="56" t="str">
        <f aca="false">IF(D319="","",IFERROR(MATCH(D319,Budget!$B$7:$B$41,0),0))</f>
        <v/>
      </c>
      <c r="L319" s="56" t="n">
        <f aca="false">IF(AND(ISNUMBER(B319),ISNUMBER(E319),D319&lt;&gt;""),YEAR(B319)*100+MONTH(B319),0)</f>
        <v>0</v>
      </c>
      <c r="M319" s="56" t="n">
        <f aca="false">IF(L319=0,0,YEAR(B319))</f>
        <v>0</v>
      </c>
      <c r="N319" s="56" t="str">
        <f aca="false">IF(L319=0,"",IF(K319=0,"Wants / Gustos",INDEX(Budget!$D$7:$D$41,K319)))</f>
        <v/>
      </c>
    </row>
    <row r="320" customFormat="false" ht="15" hidden="false" customHeight="false" outlineLevel="0" collapsed="false">
      <c r="B320" s="57"/>
      <c r="C320" s="58"/>
      <c r="D320" s="58"/>
      <c r="E320" s="59"/>
      <c r="F320" s="58"/>
      <c r="G320" s="58"/>
      <c r="H320" s="60" t="str">
        <f aca="false">IF(OR(E320="",D320=""),"",IF(K320=0,"Expense / Gasto",INDEX(Budget!$C$7:$C$41,K320)))</f>
        <v/>
      </c>
      <c r="I320" s="60" t="str">
        <f aca="false">IF(AND(B320="",E320=""),"",IF(NOT(ISNUMBER(B320)),"⚠ ADD DATE / AGREGA FECHA",IF(E320="","⚠ ADD AMOUNT / AGREGA MONTO",IF(D320="","⚠ ADD CATEGORY / AGREGA CATEGORÍA",IF(K320=0,"● NEW CATEGORY? / ¿CATEGORÍA NUEVA?","✔ OK")))))</f>
        <v/>
      </c>
      <c r="K320" s="56" t="str">
        <f aca="false">IF(D320="","",IFERROR(MATCH(D320,Budget!$B$7:$B$41,0),0))</f>
        <v/>
      </c>
      <c r="L320" s="56" t="n">
        <f aca="false">IF(AND(ISNUMBER(B320),ISNUMBER(E320),D320&lt;&gt;""),YEAR(B320)*100+MONTH(B320),0)</f>
        <v>0</v>
      </c>
      <c r="M320" s="56" t="n">
        <f aca="false">IF(L320=0,0,YEAR(B320))</f>
        <v>0</v>
      </c>
      <c r="N320" s="56" t="str">
        <f aca="false">IF(L320=0,"",IF(K320=0,"Wants / Gustos",INDEX(Budget!$D$7:$D$41,K320)))</f>
        <v/>
      </c>
    </row>
    <row r="321" customFormat="false" ht="15" hidden="false" customHeight="false" outlineLevel="0" collapsed="false">
      <c r="B321" s="57"/>
      <c r="C321" s="58"/>
      <c r="D321" s="58"/>
      <c r="E321" s="59"/>
      <c r="F321" s="58"/>
      <c r="G321" s="58"/>
      <c r="H321" s="60" t="str">
        <f aca="false">IF(OR(E321="",D321=""),"",IF(K321=0,"Expense / Gasto",INDEX(Budget!$C$7:$C$41,K321)))</f>
        <v/>
      </c>
      <c r="I321" s="60" t="str">
        <f aca="false">IF(AND(B321="",E321=""),"",IF(NOT(ISNUMBER(B321)),"⚠ ADD DATE / AGREGA FECHA",IF(E321="","⚠ ADD AMOUNT / AGREGA MONTO",IF(D321="","⚠ ADD CATEGORY / AGREGA CATEGORÍA",IF(K321=0,"● NEW CATEGORY? / ¿CATEGORÍA NUEVA?","✔ OK")))))</f>
        <v/>
      </c>
      <c r="K321" s="56" t="str">
        <f aca="false">IF(D321="","",IFERROR(MATCH(D321,Budget!$B$7:$B$41,0),0))</f>
        <v/>
      </c>
      <c r="L321" s="56" t="n">
        <f aca="false">IF(AND(ISNUMBER(B321),ISNUMBER(E321),D321&lt;&gt;""),YEAR(B321)*100+MONTH(B321),0)</f>
        <v>0</v>
      </c>
      <c r="M321" s="56" t="n">
        <f aca="false">IF(L321=0,0,YEAR(B321))</f>
        <v>0</v>
      </c>
      <c r="N321" s="56" t="str">
        <f aca="false">IF(L321=0,"",IF(K321=0,"Wants / Gustos",INDEX(Budget!$D$7:$D$41,K321)))</f>
        <v/>
      </c>
    </row>
    <row r="322" customFormat="false" ht="15" hidden="false" customHeight="false" outlineLevel="0" collapsed="false">
      <c r="B322" s="57"/>
      <c r="C322" s="58"/>
      <c r="D322" s="58"/>
      <c r="E322" s="59"/>
      <c r="F322" s="58"/>
      <c r="G322" s="58"/>
      <c r="H322" s="60" t="str">
        <f aca="false">IF(OR(E322="",D322=""),"",IF(K322=0,"Expense / Gasto",INDEX(Budget!$C$7:$C$41,K322)))</f>
        <v/>
      </c>
      <c r="I322" s="60" t="str">
        <f aca="false">IF(AND(B322="",E322=""),"",IF(NOT(ISNUMBER(B322)),"⚠ ADD DATE / AGREGA FECHA",IF(E322="","⚠ ADD AMOUNT / AGREGA MONTO",IF(D322="","⚠ ADD CATEGORY / AGREGA CATEGORÍA",IF(K322=0,"● NEW CATEGORY? / ¿CATEGORÍA NUEVA?","✔ OK")))))</f>
        <v/>
      </c>
      <c r="K322" s="56" t="str">
        <f aca="false">IF(D322="","",IFERROR(MATCH(D322,Budget!$B$7:$B$41,0),0))</f>
        <v/>
      </c>
      <c r="L322" s="56" t="n">
        <f aca="false">IF(AND(ISNUMBER(B322),ISNUMBER(E322),D322&lt;&gt;""),YEAR(B322)*100+MONTH(B322),0)</f>
        <v>0</v>
      </c>
      <c r="M322" s="56" t="n">
        <f aca="false">IF(L322=0,0,YEAR(B322))</f>
        <v>0</v>
      </c>
      <c r="N322" s="56" t="str">
        <f aca="false">IF(L322=0,"",IF(K322=0,"Wants / Gustos",INDEX(Budget!$D$7:$D$41,K322)))</f>
        <v/>
      </c>
    </row>
    <row r="323" customFormat="false" ht="15" hidden="false" customHeight="false" outlineLevel="0" collapsed="false">
      <c r="B323" s="57"/>
      <c r="C323" s="58"/>
      <c r="D323" s="58"/>
      <c r="E323" s="59"/>
      <c r="F323" s="58"/>
      <c r="G323" s="58"/>
      <c r="H323" s="60" t="str">
        <f aca="false">IF(OR(E323="",D323=""),"",IF(K323=0,"Expense / Gasto",INDEX(Budget!$C$7:$C$41,K323)))</f>
        <v/>
      </c>
      <c r="I323" s="60" t="str">
        <f aca="false">IF(AND(B323="",E323=""),"",IF(NOT(ISNUMBER(B323)),"⚠ ADD DATE / AGREGA FECHA",IF(E323="","⚠ ADD AMOUNT / AGREGA MONTO",IF(D323="","⚠ ADD CATEGORY / AGREGA CATEGORÍA",IF(K323=0,"● NEW CATEGORY? / ¿CATEGORÍA NUEVA?","✔ OK")))))</f>
        <v/>
      </c>
      <c r="K323" s="56" t="str">
        <f aca="false">IF(D323="","",IFERROR(MATCH(D323,Budget!$B$7:$B$41,0),0))</f>
        <v/>
      </c>
      <c r="L323" s="56" t="n">
        <f aca="false">IF(AND(ISNUMBER(B323),ISNUMBER(E323),D323&lt;&gt;""),YEAR(B323)*100+MONTH(B323),0)</f>
        <v>0</v>
      </c>
      <c r="M323" s="56" t="n">
        <f aca="false">IF(L323=0,0,YEAR(B323))</f>
        <v>0</v>
      </c>
      <c r="N323" s="56" t="str">
        <f aca="false">IF(L323=0,"",IF(K323=0,"Wants / Gustos",INDEX(Budget!$D$7:$D$41,K323)))</f>
        <v/>
      </c>
    </row>
    <row r="324" customFormat="false" ht="15" hidden="false" customHeight="false" outlineLevel="0" collapsed="false">
      <c r="B324" s="57"/>
      <c r="C324" s="58"/>
      <c r="D324" s="58"/>
      <c r="E324" s="59"/>
      <c r="F324" s="58"/>
      <c r="G324" s="58"/>
      <c r="H324" s="60" t="str">
        <f aca="false">IF(OR(E324="",D324=""),"",IF(K324=0,"Expense / Gasto",INDEX(Budget!$C$7:$C$41,K324)))</f>
        <v/>
      </c>
      <c r="I324" s="60" t="str">
        <f aca="false">IF(AND(B324="",E324=""),"",IF(NOT(ISNUMBER(B324)),"⚠ ADD DATE / AGREGA FECHA",IF(E324="","⚠ ADD AMOUNT / AGREGA MONTO",IF(D324="","⚠ ADD CATEGORY / AGREGA CATEGORÍA",IF(K324=0,"● NEW CATEGORY? / ¿CATEGORÍA NUEVA?","✔ OK")))))</f>
        <v/>
      </c>
      <c r="K324" s="56" t="str">
        <f aca="false">IF(D324="","",IFERROR(MATCH(D324,Budget!$B$7:$B$41,0),0))</f>
        <v/>
      </c>
      <c r="L324" s="56" t="n">
        <f aca="false">IF(AND(ISNUMBER(B324),ISNUMBER(E324),D324&lt;&gt;""),YEAR(B324)*100+MONTH(B324),0)</f>
        <v>0</v>
      </c>
      <c r="M324" s="56" t="n">
        <f aca="false">IF(L324=0,0,YEAR(B324))</f>
        <v>0</v>
      </c>
      <c r="N324" s="56" t="str">
        <f aca="false">IF(L324=0,"",IF(K324=0,"Wants / Gustos",INDEX(Budget!$D$7:$D$41,K324)))</f>
        <v/>
      </c>
    </row>
    <row r="325" customFormat="false" ht="15" hidden="false" customHeight="false" outlineLevel="0" collapsed="false">
      <c r="B325" s="57"/>
      <c r="C325" s="58"/>
      <c r="D325" s="58"/>
      <c r="E325" s="59"/>
      <c r="F325" s="58"/>
      <c r="G325" s="58"/>
      <c r="H325" s="60" t="str">
        <f aca="false">IF(OR(E325="",D325=""),"",IF(K325=0,"Expense / Gasto",INDEX(Budget!$C$7:$C$41,K325)))</f>
        <v/>
      </c>
      <c r="I325" s="60" t="str">
        <f aca="false">IF(AND(B325="",E325=""),"",IF(NOT(ISNUMBER(B325)),"⚠ ADD DATE / AGREGA FECHA",IF(E325="","⚠ ADD AMOUNT / AGREGA MONTO",IF(D325="","⚠ ADD CATEGORY / AGREGA CATEGORÍA",IF(K325=0,"● NEW CATEGORY? / ¿CATEGORÍA NUEVA?","✔ OK")))))</f>
        <v/>
      </c>
      <c r="K325" s="56" t="str">
        <f aca="false">IF(D325="","",IFERROR(MATCH(D325,Budget!$B$7:$B$41,0),0))</f>
        <v/>
      </c>
      <c r="L325" s="56" t="n">
        <f aca="false">IF(AND(ISNUMBER(B325),ISNUMBER(E325),D325&lt;&gt;""),YEAR(B325)*100+MONTH(B325),0)</f>
        <v>0</v>
      </c>
      <c r="M325" s="56" t="n">
        <f aca="false">IF(L325=0,0,YEAR(B325))</f>
        <v>0</v>
      </c>
      <c r="N325" s="56" t="str">
        <f aca="false">IF(L325=0,"",IF(K325=0,"Wants / Gustos",INDEX(Budget!$D$7:$D$41,K325)))</f>
        <v/>
      </c>
    </row>
    <row r="326" customFormat="false" ht="15" hidden="false" customHeight="false" outlineLevel="0" collapsed="false">
      <c r="B326" s="57"/>
      <c r="C326" s="58"/>
      <c r="D326" s="58"/>
      <c r="E326" s="59"/>
      <c r="F326" s="58"/>
      <c r="G326" s="58"/>
      <c r="H326" s="60" t="str">
        <f aca="false">IF(OR(E326="",D326=""),"",IF(K326=0,"Expense / Gasto",INDEX(Budget!$C$7:$C$41,K326)))</f>
        <v/>
      </c>
      <c r="I326" s="60" t="str">
        <f aca="false">IF(AND(B326="",E326=""),"",IF(NOT(ISNUMBER(B326)),"⚠ ADD DATE / AGREGA FECHA",IF(E326="","⚠ ADD AMOUNT / AGREGA MONTO",IF(D326="","⚠ ADD CATEGORY / AGREGA CATEGORÍA",IF(K326=0,"● NEW CATEGORY? / ¿CATEGORÍA NUEVA?","✔ OK")))))</f>
        <v/>
      </c>
      <c r="K326" s="56" t="str">
        <f aca="false">IF(D326="","",IFERROR(MATCH(D326,Budget!$B$7:$B$41,0),0))</f>
        <v/>
      </c>
      <c r="L326" s="56" t="n">
        <f aca="false">IF(AND(ISNUMBER(B326),ISNUMBER(E326),D326&lt;&gt;""),YEAR(B326)*100+MONTH(B326),0)</f>
        <v>0</v>
      </c>
      <c r="M326" s="56" t="n">
        <f aca="false">IF(L326=0,0,YEAR(B326))</f>
        <v>0</v>
      </c>
      <c r="N326" s="56" t="str">
        <f aca="false">IF(L326=0,"",IF(K326=0,"Wants / Gustos",INDEX(Budget!$D$7:$D$41,K326)))</f>
        <v/>
      </c>
    </row>
    <row r="327" customFormat="false" ht="15" hidden="false" customHeight="false" outlineLevel="0" collapsed="false">
      <c r="B327" s="57"/>
      <c r="C327" s="58"/>
      <c r="D327" s="58"/>
      <c r="E327" s="59"/>
      <c r="F327" s="58"/>
      <c r="G327" s="58"/>
      <c r="H327" s="60" t="str">
        <f aca="false">IF(OR(E327="",D327=""),"",IF(K327=0,"Expense / Gasto",INDEX(Budget!$C$7:$C$41,K327)))</f>
        <v/>
      </c>
      <c r="I327" s="60" t="str">
        <f aca="false">IF(AND(B327="",E327=""),"",IF(NOT(ISNUMBER(B327)),"⚠ ADD DATE / AGREGA FECHA",IF(E327="","⚠ ADD AMOUNT / AGREGA MONTO",IF(D327="","⚠ ADD CATEGORY / AGREGA CATEGORÍA",IF(K327=0,"● NEW CATEGORY? / ¿CATEGORÍA NUEVA?","✔ OK")))))</f>
        <v/>
      </c>
      <c r="K327" s="56" t="str">
        <f aca="false">IF(D327="","",IFERROR(MATCH(D327,Budget!$B$7:$B$41,0),0))</f>
        <v/>
      </c>
      <c r="L327" s="56" t="n">
        <f aca="false">IF(AND(ISNUMBER(B327),ISNUMBER(E327),D327&lt;&gt;""),YEAR(B327)*100+MONTH(B327),0)</f>
        <v>0</v>
      </c>
      <c r="M327" s="56" t="n">
        <f aca="false">IF(L327=0,0,YEAR(B327))</f>
        <v>0</v>
      </c>
      <c r="N327" s="56" t="str">
        <f aca="false">IF(L327=0,"",IF(K327=0,"Wants / Gustos",INDEX(Budget!$D$7:$D$41,K327)))</f>
        <v/>
      </c>
    </row>
    <row r="328" customFormat="false" ht="15" hidden="false" customHeight="false" outlineLevel="0" collapsed="false">
      <c r="B328" s="57"/>
      <c r="C328" s="58"/>
      <c r="D328" s="58"/>
      <c r="E328" s="59"/>
      <c r="F328" s="58"/>
      <c r="G328" s="58"/>
      <c r="H328" s="60" t="str">
        <f aca="false">IF(OR(E328="",D328=""),"",IF(K328=0,"Expense / Gasto",INDEX(Budget!$C$7:$C$41,K328)))</f>
        <v/>
      </c>
      <c r="I328" s="60" t="str">
        <f aca="false">IF(AND(B328="",E328=""),"",IF(NOT(ISNUMBER(B328)),"⚠ ADD DATE / AGREGA FECHA",IF(E328="","⚠ ADD AMOUNT / AGREGA MONTO",IF(D328="","⚠ ADD CATEGORY / AGREGA CATEGORÍA",IF(K328=0,"● NEW CATEGORY? / ¿CATEGORÍA NUEVA?","✔ OK")))))</f>
        <v/>
      </c>
      <c r="K328" s="56" t="str">
        <f aca="false">IF(D328="","",IFERROR(MATCH(D328,Budget!$B$7:$B$41,0),0))</f>
        <v/>
      </c>
      <c r="L328" s="56" t="n">
        <f aca="false">IF(AND(ISNUMBER(B328),ISNUMBER(E328),D328&lt;&gt;""),YEAR(B328)*100+MONTH(B328),0)</f>
        <v>0</v>
      </c>
      <c r="M328" s="56" t="n">
        <f aca="false">IF(L328=0,0,YEAR(B328))</f>
        <v>0</v>
      </c>
      <c r="N328" s="56" t="str">
        <f aca="false">IF(L328=0,"",IF(K328=0,"Wants / Gustos",INDEX(Budget!$D$7:$D$41,K328)))</f>
        <v/>
      </c>
    </row>
    <row r="329" customFormat="false" ht="15" hidden="false" customHeight="false" outlineLevel="0" collapsed="false">
      <c r="B329" s="57"/>
      <c r="C329" s="58"/>
      <c r="D329" s="58"/>
      <c r="E329" s="59"/>
      <c r="F329" s="58"/>
      <c r="G329" s="58"/>
      <c r="H329" s="60" t="str">
        <f aca="false">IF(OR(E329="",D329=""),"",IF(K329=0,"Expense / Gasto",INDEX(Budget!$C$7:$C$41,K329)))</f>
        <v/>
      </c>
      <c r="I329" s="60" t="str">
        <f aca="false">IF(AND(B329="",E329=""),"",IF(NOT(ISNUMBER(B329)),"⚠ ADD DATE / AGREGA FECHA",IF(E329="","⚠ ADD AMOUNT / AGREGA MONTO",IF(D329="","⚠ ADD CATEGORY / AGREGA CATEGORÍA",IF(K329=0,"● NEW CATEGORY? / ¿CATEGORÍA NUEVA?","✔ OK")))))</f>
        <v/>
      </c>
      <c r="K329" s="56" t="str">
        <f aca="false">IF(D329="","",IFERROR(MATCH(D329,Budget!$B$7:$B$41,0),0))</f>
        <v/>
      </c>
      <c r="L329" s="56" t="n">
        <f aca="false">IF(AND(ISNUMBER(B329),ISNUMBER(E329),D329&lt;&gt;""),YEAR(B329)*100+MONTH(B329),0)</f>
        <v>0</v>
      </c>
      <c r="M329" s="56" t="n">
        <f aca="false">IF(L329=0,0,YEAR(B329))</f>
        <v>0</v>
      </c>
      <c r="N329" s="56" t="str">
        <f aca="false">IF(L329=0,"",IF(K329=0,"Wants / Gustos",INDEX(Budget!$D$7:$D$41,K329)))</f>
        <v/>
      </c>
    </row>
    <row r="330" customFormat="false" ht="15" hidden="false" customHeight="false" outlineLevel="0" collapsed="false">
      <c r="B330" s="57"/>
      <c r="C330" s="58"/>
      <c r="D330" s="58"/>
      <c r="E330" s="59"/>
      <c r="F330" s="58"/>
      <c r="G330" s="58"/>
      <c r="H330" s="60" t="str">
        <f aca="false">IF(OR(E330="",D330=""),"",IF(K330=0,"Expense / Gasto",INDEX(Budget!$C$7:$C$41,K330)))</f>
        <v/>
      </c>
      <c r="I330" s="60" t="str">
        <f aca="false">IF(AND(B330="",E330=""),"",IF(NOT(ISNUMBER(B330)),"⚠ ADD DATE / AGREGA FECHA",IF(E330="","⚠ ADD AMOUNT / AGREGA MONTO",IF(D330="","⚠ ADD CATEGORY / AGREGA CATEGORÍA",IF(K330=0,"● NEW CATEGORY? / ¿CATEGORÍA NUEVA?","✔ OK")))))</f>
        <v/>
      </c>
      <c r="K330" s="56" t="str">
        <f aca="false">IF(D330="","",IFERROR(MATCH(D330,Budget!$B$7:$B$41,0),0))</f>
        <v/>
      </c>
      <c r="L330" s="56" t="n">
        <f aca="false">IF(AND(ISNUMBER(B330),ISNUMBER(E330),D330&lt;&gt;""),YEAR(B330)*100+MONTH(B330),0)</f>
        <v>0</v>
      </c>
      <c r="M330" s="56" t="n">
        <f aca="false">IF(L330=0,0,YEAR(B330))</f>
        <v>0</v>
      </c>
      <c r="N330" s="56" t="str">
        <f aca="false">IF(L330=0,"",IF(K330=0,"Wants / Gustos",INDEX(Budget!$D$7:$D$41,K330)))</f>
        <v/>
      </c>
    </row>
    <row r="331" customFormat="false" ht="15" hidden="false" customHeight="false" outlineLevel="0" collapsed="false">
      <c r="B331" s="57"/>
      <c r="C331" s="58"/>
      <c r="D331" s="58"/>
      <c r="E331" s="59"/>
      <c r="F331" s="58"/>
      <c r="G331" s="58"/>
      <c r="H331" s="60" t="str">
        <f aca="false">IF(OR(E331="",D331=""),"",IF(K331=0,"Expense / Gasto",INDEX(Budget!$C$7:$C$41,K331)))</f>
        <v/>
      </c>
      <c r="I331" s="60" t="str">
        <f aca="false">IF(AND(B331="",E331=""),"",IF(NOT(ISNUMBER(B331)),"⚠ ADD DATE / AGREGA FECHA",IF(E331="","⚠ ADD AMOUNT / AGREGA MONTO",IF(D331="","⚠ ADD CATEGORY / AGREGA CATEGORÍA",IF(K331=0,"● NEW CATEGORY? / ¿CATEGORÍA NUEVA?","✔ OK")))))</f>
        <v/>
      </c>
      <c r="K331" s="56" t="str">
        <f aca="false">IF(D331="","",IFERROR(MATCH(D331,Budget!$B$7:$B$41,0),0))</f>
        <v/>
      </c>
      <c r="L331" s="56" t="n">
        <f aca="false">IF(AND(ISNUMBER(B331),ISNUMBER(E331),D331&lt;&gt;""),YEAR(B331)*100+MONTH(B331),0)</f>
        <v>0</v>
      </c>
      <c r="M331" s="56" t="n">
        <f aca="false">IF(L331=0,0,YEAR(B331))</f>
        <v>0</v>
      </c>
      <c r="N331" s="56" t="str">
        <f aca="false">IF(L331=0,"",IF(K331=0,"Wants / Gustos",INDEX(Budget!$D$7:$D$41,K331)))</f>
        <v/>
      </c>
    </row>
    <row r="332" customFormat="false" ht="15" hidden="false" customHeight="false" outlineLevel="0" collapsed="false">
      <c r="B332" s="57"/>
      <c r="C332" s="58"/>
      <c r="D332" s="58"/>
      <c r="E332" s="59"/>
      <c r="F332" s="58"/>
      <c r="G332" s="58"/>
      <c r="H332" s="60" t="str">
        <f aca="false">IF(OR(E332="",D332=""),"",IF(K332=0,"Expense / Gasto",INDEX(Budget!$C$7:$C$41,K332)))</f>
        <v/>
      </c>
      <c r="I332" s="60" t="str">
        <f aca="false">IF(AND(B332="",E332=""),"",IF(NOT(ISNUMBER(B332)),"⚠ ADD DATE / AGREGA FECHA",IF(E332="","⚠ ADD AMOUNT / AGREGA MONTO",IF(D332="","⚠ ADD CATEGORY / AGREGA CATEGORÍA",IF(K332=0,"● NEW CATEGORY? / ¿CATEGORÍA NUEVA?","✔ OK")))))</f>
        <v/>
      </c>
      <c r="K332" s="56" t="str">
        <f aca="false">IF(D332="","",IFERROR(MATCH(D332,Budget!$B$7:$B$41,0),0))</f>
        <v/>
      </c>
      <c r="L332" s="56" t="n">
        <f aca="false">IF(AND(ISNUMBER(B332),ISNUMBER(E332),D332&lt;&gt;""),YEAR(B332)*100+MONTH(B332),0)</f>
        <v>0</v>
      </c>
      <c r="M332" s="56" t="n">
        <f aca="false">IF(L332=0,0,YEAR(B332))</f>
        <v>0</v>
      </c>
      <c r="N332" s="56" t="str">
        <f aca="false">IF(L332=0,"",IF(K332=0,"Wants / Gustos",INDEX(Budget!$D$7:$D$41,K332)))</f>
        <v/>
      </c>
    </row>
    <row r="333" customFormat="false" ht="15" hidden="false" customHeight="false" outlineLevel="0" collapsed="false">
      <c r="B333" s="57"/>
      <c r="C333" s="58"/>
      <c r="D333" s="58"/>
      <c r="E333" s="59"/>
      <c r="F333" s="58"/>
      <c r="G333" s="58"/>
      <c r="H333" s="60" t="str">
        <f aca="false">IF(OR(E333="",D333=""),"",IF(K333=0,"Expense / Gasto",INDEX(Budget!$C$7:$C$41,K333)))</f>
        <v/>
      </c>
      <c r="I333" s="60" t="str">
        <f aca="false">IF(AND(B333="",E333=""),"",IF(NOT(ISNUMBER(B333)),"⚠ ADD DATE / AGREGA FECHA",IF(E333="","⚠ ADD AMOUNT / AGREGA MONTO",IF(D333="","⚠ ADD CATEGORY / AGREGA CATEGORÍA",IF(K333=0,"● NEW CATEGORY? / ¿CATEGORÍA NUEVA?","✔ OK")))))</f>
        <v/>
      </c>
      <c r="K333" s="56" t="str">
        <f aca="false">IF(D333="","",IFERROR(MATCH(D333,Budget!$B$7:$B$41,0),0))</f>
        <v/>
      </c>
      <c r="L333" s="56" t="n">
        <f aca="false">IF(AND(ISNUMBER(B333),ISNUMBER(E333),D333&lt;&gt;""),YEAR(B333)*100+MONTH(B333),0)</f>
        <v>0</v>
      </c>
      <c r="M333" s="56" t="n">
        <f aca="false">IF(L333=0,0,YEAR(B333))</f>
        <v>0</v>
      </c>
      <c r="N333" s="56" t="str">
        <f aca="false">IF(L333=0,"",IF(K333=0,"Wants / Gustos",INDEX(Budget!$D$7:$D$41,K333)))</f>
        <v/>
      </c>
    </row>
    <row r="334" customFormat="false" ht="15" hidden="false" customHeight="false" outlineLevel="0" collapsed="false">
      <c r="B334" s="57"/>
      <c r="C334" s="58"/>
      <c r="D334" s="58"/>
      <c r="E334" s="59"/>
      <c r="F334" s="58"/>
      <c r="G334" s="58"/>
      <c r="H334" s="60" t="str">
        <f aca="false">IF(OR(E334="",D334=""),"",IF(K334=0,"Expense / Gasto",INDEX(Budget!$C$7:$C$41,K334)))</f>
        <v/>
      </c>
      <c r="I334" s="60" t="str">
        <f aca="false">IF(AND(B334="",E334=""),"",IF(NOT(ISNUMBER(B334)),"⚠ ADD DATE / AGREGA FECHA",IF(E334="","⚠ ADD AMOUNT / AGREGA MONTO",IF(D334="","⚠ ADD CATEGORY / AGREGA CATEGORÍA",IF(K334=0,"● NEW CATEGORY? / ¿CATEGORÍA NUEVA?","✔ OK")))))</f>
        <v/>
      </c>
      <c r="K334" s="56" t="str">
        <f aca="false">IF(D334="","",IFERROR(MATCH(D334,Budget!$B$7:$B$41,0),0))</f>
        <v/>
      </c>
      <c r="L334" s="56" t="n">
        <f aca="false">IF(AND(ISNUMBER(B334),ISNUMBER(E334),D334&lt;&gt;""),YEAR(B334)*100+MONTH(B334),0)</f>
        <v>0</v>
      </c>
      <c r="M334" s="56" t="n">
        <f aca="false">IF(L334=0,0,YEAR(B334))</f>
        <v>0</v>
      </c>
      <c r="N334" s="56" t="str">
        <f aca="false">IF(L334=0,"",IF(K334=0,"Wants / Gustos",INDEX(Budget!$D$7:$D$41,K334)))</f>
        <v/>
      </c>
    </row>
    <row r="335" customFormat="false" ht="15" hidden="false" customHeight="false" outlineLevel="0" collapsed="false">
      <c r="B335" s="57"/>
      <c r="C335" s="58"/>
      <c r="D335" s="58"/>
      <c r="E335" s="59"/>
      <c r="F335" s="58"/>
      <c r="G335" s="58"/>
      <c r="H335" s="60" t="str">
        <f aca="false">IF(OR(E335="",D335=""),"",IF(K335=0,"Expense / Gasto",INDEX(Budget!$C$7:$C$41,K335)))</f>
        <v/>
      </c>
      <c r="I335" s="60" t="str">
        <f aca="false">IF(AND(B335="",E335=""),"",IF(NOT(ISNUMBER(B335)),"⚠ ADD DATE / AGREGA FECHA",IF(E335="","⚠ ADD AMOUNT / AGREGA MONTO",IF(D335="","⚠ ADD CATEGORY / AGREGA CATEGORÍA",IF(K335=0,"● NEW CATEGORY? / ¿CATEGORÍA NUEVA?","✔ OK")))))</f>
        <v/>
      </c>
      <c r="K335" s="56" t="str">
        <f aca="false">IF(D335="","",IFERROR(MATCH(D335,Budget!$B$7:$B$41,0),0))</f>
        <v/>
      </c>
      <c r="L335" s="56" t="n">
        <f aca="false">IF(AND(ISNUMBER(B335),ISNUMBER(E335),D335&lt;&gt;""),YEAR(B335)*100+MONTH(B335),0)</f>
        <v>0</v>
      </c>
      <c r="M335" s="56" t="n">
        <f aca="false">IF(L335=0,0,YEAR(B335))</f>
        <v>0</v>
      </c>
      <c r="N335" s="56" t="str">
        <f aca="false">IF(L335=0,"",IF(K335=0,"Wants / Gustos",INDEX(Budget!$D$7:$D$41,K335)))</f>
        <v/>
      </c>
    </row>
    <row r="336" customFormat="false" ht="15" hidden="false" customHeight="false" outlineLevel="0" collapsed="false">
      <c r="B336" s="57"/>
      <c r="C336" s="58"/>
      <c r="D336" s="58"/>
      <c r="E336" s="59"/>
      <c r="F336" s="58"/>
      <c r="G336" s="58"/>
      <c r="H336" s="60" t="str">
        <f aca="false">IF(OR(E336="",D336=""),"",IF(K336=0,"Expense / Gasto",INDEX(Budget!$C$7:$C$41,K336)))</f>
        <v/>
      </c>
      <c r="I336" s="60" t="str">
        <f aca="false">IF(AND(B336="",E336=""),"",IF(NOT(ISNUMBER(B336)),"⚠ ADD DATE / AGREGA FECHA",IF(E336="","⚠ ADD AMOUNT / AGREGA MONTO",IF(D336="","⚠ ADD CATEGORY / AGREGA CATEGORÍA",IF(K336=0,"● NEW CATEGORY? / ¿CATEGORÍA NUEVA?","✔ OK")))))</f>
        <v/>
      </c>
      <c r="K336" s="56" t="str">
        <f aca="false">IF(D336="","",IFERROR(MATCH(D336,Budget!$B$7:$B$41,0),0))</f>
        <v/>
      </c>
      <c r="L336" s="56" t="n">
        <f aca="false">IF(AND(ISNUMBER(B336),ISNUMBER(E336),D336&lt;&gt;""),YEAR(B336)*100+MONTH(B336),0)</f>
        <v>0</v>
      </c>
      <c r="M336" s="56" t="n">
        <f aca="false">IF(L336=0,0,YEAR(B336))</f>
        <v>0</v>
      </c>
      <c r="N336" s="56" t="str">
        <f aca="false">IF(L336=0,"",IF(K336=0,"Wants / Gustos",INDEX(Budget!$D$7:$D$41,K336)))</f>
        <v/>
      </c>
    </row>
    <row r="337" customFormat="false" ht="15" hidden="false" customHeight="false" outlineLevel="0" collapsed="false">
      <c r="B337" s="57"/>
      <c r="C337" s="58"/>
      <c r="D337" s="58"/>
      <c r="E337" s="59"/>
      <c r="F337" s="58"/>
      <c r="G337" s="58"/>
      <c r="H337" s="60" t="str">
        <f aca="false">IF(OR(E337="",D337=""),"",IF(K337=0,"Expense / Gasto",INDEX(Budget!$C$7:$C$41,K337)))</f>
        <v/>
      </c>
      <c r="I337" s="60" t="str">
        <f aca="false">IF(AND(B337="",E337=""),"",IF(NOT(ISNUMBER(B337)),"⚠ ADD DATE / AGREGA FECHA",IF(E337="","⚠ ADD AMOUNT / AGREGA MONTO",IF(D337="","⚠ ADD CATEGORY / AGREGA CATEGORÍA",IF(K337=0,"● NEW CATEGORY? / ¿CATEGORÍA NUEVA?","✔ OK")))))</f>
        <v/>
      </c>
      <c r="K337" s="56" t="str">
        <f aca="false">IF(D337="","",IFERROR(MATCH(D337,Budget!$B$7:$B$41,0),0))</f>
        <v/>
      </c>
      <c r="L337" s="56" t="n">
        <f aca="false">IF(AND(ISNUMBER(B337),ISNUMBER(E337),D337&lt;&gt;""),YEAR(B337)*100+MONTH(B337),0)</f>
        <v>0</v>
      </c>
      <c r="M337" s="56" t="n">
        <f aca="false">IF(L337=0,0,YEAR(B337))</f>
        <v>0</v>
      </c>
      <c r="N337" s="56" t="str">
        <f aca="false">IF(L337=0,"",IF(K337=0,"Wants / Gustos",INDEX(Budget!$D$7:$D$41,K337)))</f>
        <v/>
      </c>
    </row>
    <row r="338" customFormat="false" ht="15" hidden="false" customHeight="false" outlineLevel="0" collapsed="false">
      <c r="B338" s="57"/>
      <c r="C338" s="58"/>
      <c r="D338" s="58"/>
      <c r="E338" s="59"/>
      <c r="F338" s="58"/>
      <c r="G338" s="58"/>
      <c r="H338" s="60" t="str">
        <f aca="false">IF(OR(E338="",D338=""),"",IF(K338=0,"Expense / Gasto",INDEX(Budget!$C$7:$C$41,K338)))</f>
        <v/>
      </c>
      <c r="I338" s="60" t="str">
        <f aca="false">IF(AND(B338="",E338=""),"",IF(NOT(ISNUMBER(B338)),"⚠ ADD DATE / AGREGA FECHA",IF(E338="","⚠ ADD AMOUNT / AGREGA MONTO",IF(D338="","⚠ ADD CATEGORY / AGREGA CATEGORÍA",IF(K338=0,"● NEW CATEGORY? / ¿CATEGORÍA NUEVA?","✔ OK")))))</f>
        <v/>
      </c>
      <c r="K338" s="56" t="str">
        <f aca="false">IF(D338="","",IFERROR(MATCH(D338,Budget!$B$7:$B$41,0),0))</f>
        <v/>
      </c>
      <c r="L338" s="56" t="n">
        <f aca="false">IF(AND(ISNUMBER(B338),ISNUMBER(E338),D338&lt;&gt;""),YEAR(B338)*100+MONTH(B338),0)</f>
        <v>0</v>
      </c>
      <c r="M338" s="56" t="n">
        <f aca="false">IF(L338=0,0,YEAR(B338))</f>
        <v>0</v>
      </c>
      <c r="N338" s="56" t="str">
        <f aca="false">IF(L338=0,"",IF(K338=0,"Wants / Gustos",INDEX(Budget!$D$7:$D$41,K338)))</f>
        <v/>
      </c>
    </row>
    <row r="339" customFormat="false" ht="15" hidden="false" customHeight="false" outlineLevel="0" collapsed="false">
      <c r="B339" s="57"/>
      <c r="C339" s="58"/>
      <c r="D339" s="58"/>
      <c r="E339" s="59"/>
      <c r="F339" s="58"/>
      <c r="G339" s="58"/>
      <c r="H339" s="60" t="str">
        <f aca="false">IF(OR(E339="",D339=""),"",IF(K339=0,"Expense / Gasto",INDEX(Budget!$C$7:$C$41,K339)))</f>
        <v/>
      </c>
      <c r="I339" s="60" t="str">
        <f aca="false">IF(AND(B339="",E339=""),"",IF(NOT(ISNUMBER(B339)),"⚠ ADD DATE / AGREGA FECHA",IF(E339="","⚠ ADD AMOUNT / AGREGA MONTO",IF(D339="","⚠ ADD CATEGORY / AGREGA CATEGORÍA",IF(K339=0,"● NEW CATEGORY? / ¿CATEGORÍA NUEVA?","✔ OK")))))</f>
        <v/>
      </c>
      <c r="K339" s="56" t="str">
        <f aca="false">IF(D339="","",IFERROR(MATCH(D339,Budget!$B$7:$B$41,0),0))</f>
        <v/>
      </c>
      <c r="L339" s="56" t="n">
        <f aca="false">IF(AND(ISNUMBER(B339),ISNUMBER(E339),D339&lt;&gt;""),YEAR(B339)*100+MONTH(B339),0)</f>
        <v>0</v>
      </c>
      <c r="M339" s="56" t="n">
        <f aca="false">IF(L339=0,0,YEAR(B339))</f>
        <v>0</v>
      </c>
      <c r="N339" s="56" t="str">
        <f aca="false">IF(L339=0,"",IF(K339=0,"Wants / Gustos",INDEX(Budget!$D$7:$D$41,K339)))</f>
        <v/>
      </c>
    </row>
    <row r="340" customFormat="false" ht="15" hidden="false" customHeight="false" outlineLevel="0" collapsed="false">
      <c r="B340" s="57"/>
      <c r="C340" s="58"/>
      <c r="D340" s="58"/>
      <c r="E340" s="59"/>
      <c r="F340" s="58"/>
      <c r="G340" s="58"/>
      <c r="H340" s="60" t="str">
        <f aca="false">IF(OR(E340="",D340=""),"",IF(K340=0,"Expense / Gasto",INDEX(Budget!$C$7:$C$41,K340)))</f>
        <v/>
      </c>
      <c r="I340" s="60" t="str">
        <f aca="false">IF(AND(B340="",E340=""),"",IF(NOT(ISNUMBER(B340)),"⚠ ADD DATE / AGREGA FECHA",IF(E340="","⚠ ADD AMOUNT / AGREGA MONTO",IF(D340="","⚠ ADD CATEGORY / AGREGA CATEGORÍA",IF(K340=0,"● NEW CATEGORY? / ¿CATEGORÍA NUEVA?","✔ OK")))))</f>
        <v/>
      </c>
      <c r="K340" s="56" t="str">
        <f aca="false">IF(D340="","",IFERROR(MATCH(D340,Budget!$B$7:$B$41,0),0))</f>
        <v/>
      </c>
      <c r="L340" s="56" t="n">
        <f aca="false">IF(AND(ISNUMBER(B340),ISNUMBER(E340),D340&lt;&gt;""),YEAR(B340)*100+MONTH(B340),0)</f>
        <v>0</v>
      </c>
      <c r="M340" s="56" t="n">
        <f aca="false">IF(L340=0,0,YEAR(B340))</f>
        <v>0</v>
      </c>
      <c r="N340" s="56" t="str">
        <f aca="false">IF(L340=0,"",IF(K340=0,"Wants / Gustos",INDEX(Budget!$D$7:$D$41,K340)))</f>
        <v/>
      </c>
    </row>
    <row r="341" customFormat="false" ht="15" hidden="false" customHeight="false" outlineLevel="0" collapsed="false">
      <c r="B341" s="57"/>
      <c r="C341" s="58"/>
      <c r="D341" s="58"/>
      <c r="E341" s="59"/>
      <c r="F341" s="58"/>
      <c r="G341" s="58"/>
      <c r="H341" s="60" t="str">
        <f aca="false">IF(OR(E341="",D341=""),"",IF(K341=0,"Expense / Gasto",INDEX(Budget!$C$7:$C$41,K341)))</f>
        <v/>
      </c>
      <c r="I341" s="60" t="str">
        <f aca="false">IF(AND(B341="",E341=""),"",IF(NOT(ISNUMBER(B341)),"⚠ ADD DATE / AGREGA FECHA",IF(E341="","⚠ ADD AMOUNT / AGREGA MONTO",IF(D341="","⚠ ADD CATEGORY / AGREGA CATEGORÍA",IF(K341=0,"● NEW CATEGORY? / ¿CATEGORÍA NUEVA?","✔ OK")))))</f>
        <v/>
      </c>
      <c r="K341" s="56" t="str">
        <f aca="false">IF(D341="","",IFERROR(MATCH(D341,Budget!$B$7:$B$41,0),0))</f>
        <v/>
      </c>
      <c r="L341" s="56" t="n">
        <f aca="false">IF(AND(ISNUMBER(B341),ISNUMBER(E341),D341&lt;&gt;""),YEAR(B341)*100+MONTH(B341),0)</f>
        <v>0</v>
      </c>
      <c r="M341" s="56" t="n">
        <f aca="false">IF(L341=0,0,YEAR(B341))</f>
        <v>0</v>
      </c>
      <c r="N341" s="56" t="str">
        <f aca="false">IF(L341=0,"",IF(K341=0,"Wants / Gustos",INDEX(Budget!$D$7:$D$41,K341)))</f>
        <v/>
      </c>
    </row>
    <row r="342" customFormat="false" ht="15" hidden="false" customHeight="false" outlineLevel="0" collapsed="false">
      <c r="B342" s="57"/>
      <c r="C342" s="58"/>
      <c r="D342" s="58"/>
      <c r="E342" s="59"/>
      <c r="F342" s="58"/>
      <c r="G342" s="58"/>
      <c r="H342" s="60" t="str">
        <f aca="false">IF(OR(E342="",D342=""),"",IF(K342=0,"Expense / Gasto",INDEX(Budget!$C$7:$C$41,K342)))</f>
        <v/>
      </c>
      <c r="I342" s="60" t="str">
        <f aca="false">IF(AND(B342="",E342=""),"",IF(NOT(ISNUMBER(B342)),"⚠ ADD DATE / AGREGA FECHA",IF(E342="","⚠ ADD AMOUNT / AGREGA MONTO",IF(D342="","⚠ ADD CATEGORY / AGREGA CATEGORÍA",IF(K342=0,"● NEW CATEGORY? / ¿CATEGORÍA NUEVA?","✔ OK")))))</f>
        <v/>
      </c>
      <c r="K342" s="56" t="str">
        <f aca="false">IF(D342="","",IFERROR(MATCH(D342,Budget!$B$7:$B$41,0),0))</f>
        <v/>
      </c>
      <c r="L342" s="56" t="n">
        <f aca="false">IF(AND(ISNUMBER(B342),ISNUMBER(E342),D342&lt;&gt;""),YEAR(B342)*100+MONTH(B342),0)</f>
        <v>0</v>
      </c>
      <c r="M342" s="56" t="n">
        <f aca="false">IF(L342=0,0,YEAR(B342))</f>
        <v>0</v>
      </c>
      <c r="N342" s="56" t="str">
        <f aca="false">IF(L342=0,"",IF(K342=0,"Wants / Gustos",INDEX(Budget!$D$7:$D$41,K342)))</f>
        <v/>
      </c>
    </row>
    <row r="343" customFormat="false" ht="15" hidden="false" customHeight="false" outlineLevel="0" collapsed="false">
      <c r="B343" s="57"/>
      <c r="C343" s="58"/>
      <c r="D343" s="58"/>
      <c r="E343" s="59"/>
      <c r="F343" s="58"/>
      <c r="G343" s="58"/>
      <c r="H343" s="60" t="str">
        <f aca="false">IF(OR(E343="",D343=""),"",IF(K343=0,"Expense / Gasto",INDEX(Budget!$C$7:$C$41,K343)))</f>
        <v/>
      </c>
      <c r="I343" s="60" t="str">
        <f aca="false">IF(AND(B343="",E343=""),"",IF(NOT(ISNUMBER(B343)),"⚠ ADD DATE / AGREGA FECHA",IF(E343="","⚠ ADD AMOUNT / AGREGA MONTO",IF(D343="","⚠ ADD CATEGORY / AGREGA CATEGORÍA",IF(K343=0,"● NEW CATEGORY? / ¿CATEGORÍA NUEVA?","✔ OK")))))</f>
        <v/>
      </c>
      <c r="K343" s="56" t="str">
        <f aca="false">IF(D343="","",IFERROR(MATCH(D343,Budget!$B$7:$B$41,0),0))</f>
        <v/>
      </c>
      <c r="L343" s="56" t="n">
        <f aca="false">IF(AND(ISNUMBER(B343),ISNUMBER(E343),D343&lt;&gt;""),YEAR(B343)*100+MONTH(B343),0)</f>
        <v>0</v>
      </c>
      <c r="M343" s="56" t="n">
        <f aca="false">IF(L343=0,0,YEAR(B343))</f>
        <v>0</v>
      </c>
      <c r="N343" s="56" t="str">
        <f aca="false">IF(L343=0,"",IF(K343=0,"Wants / Gustos",INDEX(Budget!$D$7:$D$41,K343)))</f>
        <v/>
      </c>
    </row>
    <row r="344" customFormat="false" ht="15" hidden="false" customHeight="false" outlineLevel="0" collapsed="false">
      <c r="B344" s="57"/>
      <c r="C344" s="58"/>
      <c r="D344" s="58"/>
      <c r="E344" s="59"/>
      <c r="F344" s="58"/>
      <c r="G344" s="58"/>
      <c r="H344" s="60" t="str">
        <f aca="false">IF(OR(E344="",D344=""),"",IF(K344=0,"Expense / Gasto",INDEX(Budget!$C$7:$C$41,K344)))</f>
        <v/>
      </c>
      <c r="I344" s="60" t="str">
        <f aca="false">IF(AND(B344="",E344=""),"",IF(NOT(ISNUMBER(B344)),"⚠ ADD DATE / AGREGA FECHA",IF(E344="","⚠ ADD AMOUNT / AGREGA MONTO",IF(D344="","⚠ ADD CATEGORY / AGREGA CATEGORÍA",IF(K344=0,"● NEW CATEGORY? / ¿CATEGORÍA NUEVA?","✔ OK")))))</f>
        <v/>
      </c>
      <c r="K344" s="56" t="str">
        <f aca="false">IF(D344="","",IFERROR(MATCH(D344,Budget!$B$7:$B$41,0),0))</f>
        <v/>
      </c>
      <c r="L344" s="56" t="n">
        <f aca="false">IF(AND(ISNUMBER(B344),ISNUMBER(E344),D344&lt;&gt;""),YEAR(B344)*100+MONTH(B344),0)</f>
        <v>0</v>
      </c>
      <c r="M344" s="56" t="n">
        <f aca="false">IF(L344=0,0,YEAR(B344))</f>
        <v>0</v>
      </c>
      <c r="N344" s="56" t="str">
        <f aca="false">IF(L344=0,"",IF(K344=0,"Wants / Gustos",INDEX(Budget!$D$7:$D$41,K344)))</f>
        <v/>
      </c>
    </row>
    <row r="345" customFormat="false" ht="15" hidden="false" customHeight="false" outlineLevel="0" collapsed="false">
      <c r="B345" s="57"/>
      <c r="C345" s="58"/>
      <c r="D345" s="58"/>
      <c r="E345" s="59"/>
      <c r="F345" s="58"/>
      <c r="G345" s="58"/>
      <c r="H345" s="60" t="str">
        <f aca="false">IF(OR(E345="",D345=""),"",IF(K345=0,"Expense / Gasto",INDEX(Budget!$C$7:$C$41,K345)))</f>
        <v/>
      </c>
      <c r="I345" s="60" t="str">
        <f aca="false">IF(AND(B345="",E345=""),"",IF(NOT(ISNUMBER(B345)),"⚠ ADD DATE / AGREGA FECHA",IF(E345="","⚠ ADD AMOUNT / AGREGA MONTO",IF(D345="","⚠ ADD CATEGORY / AGREGA CATEGORÍA",IF(K345=0,"● NEW CATEGORY? / ¿CATEGORÍA NUEVA?","✔ OK")))))</f>
        <v/>
      </c>
      <c r="K345" s="56" t="str">
        <f aca="false">IF(D345="","",IFERROR(MATCH(D345,Budget!$B$7:$B$41,0),0))</f>
        <v/>
      </c>
      <c r="L345" s="56" t="n">
        <f aca="false">IF(AND(ISNUMBER(B345),ISNUMBER(E345),D345&lt;&gt;""),YEAR(B345)*100+MONTH(B345),0)</f>
        <v>0</v>
      </c>
      <c r="M345" s="56" t="n">
        <f aca="false">IF(L345=0,0,YEAR(B345))</f>
        <v>0</v>
      </c>
      <c r="N345" s="56" t="str">
        <f aca="false">IF(L345=0,"",IF(K345=0,"Wants / Gustos",INDEX(Budget!$D$7:$D$41,K345)))</f>
        <v/>
      </c>
    </row>
    <row r="346" customFormat="false" ht="15" hidden="false" customHeight="false" outlineLevel="0" collapsed="false">
      <c r="B346" s="57"/>
      <c r="C346" s="58"/>
      <c r="D346" s="58"/>
      <c r="E346" s="59"/>
      <c r="F346" s="58"/>
      <c r="G346" s="58"/>
      <c r="H346" s="60" t="str">
        <f aca="false">IF(OR(E346="",D346=""),"",IF(K346=0,"Expense / Gasto",INDEX(Budget!$C$7:$C$41,K346)))</f>
        <v/>
      </c>
      <c r="I346" s="60" t="str">
        <f aca="false">IF(AND(B346="",E346=""),"",IF(NOT(ISNUMBER(B346)),"⚠ ADD DATE / AGREGA FECHA",IF(E346="","⚠ ADD AMOUNT / AGREGA MONTO",IF(D346="","⚠ ADD CATEGORY / AGREGA CATEGORÍA",IF(K346=0,"● NEW CATEGORY? / ¿CATEGORÍA NUEVA?","✔ OK")))))</f>
        <v/>
      </c>
      <c r="K346" s="56" t="str">
        <f aca="false">IF(D346="","",IFERROR(MATCH(D346,Budget!$B$7:$B$41,0),0))</f>
        <v/>
      </c>
      <c r="L346" s="56" t="n">
        <f aca="false">IF(AND(ISNUMBER(B346),ISNUMBER(E346),D346&lt;&gt;""),YEAR(B346)*100+MONTH(B346),0)</f>
        <v>0</v>
      </c>
      <c r="M346" s="56" t="n">
        <f aca="false">IF(L346=0,0,YEAR(B346))</f>
        <v>0</v>
      </c>
      <c r="N346" s="56" t="str">
        <f aca="false">IF(L346=0,"",IF(K346=0,"Wants / Gustos",INDEX(Budget!$D$7:$D$41,K346)))</f>
        <v/>
      </c>
    </row>
    <row r="347" customFormat="false" ht="15" hidden="false" customHeight="false" outlineLevel="0" collapsed="false">
      <c r="B347" s="57"/>
      <c r="C347" s="58"/>
      <c r="D347" s="58"/>
      <c r="E347" s="59"/>
      <c r="F347" s="58"/>
      <c r="G347" s="58"/>
      <c r="H347" s="60" t="str">
        <f aca="false">IF(OR(E347="",D347=""),"",IF(K347=0,"Expense / Gasto",INDEX(Budget!$C$7:$C$41,K347)))</f>
        <v/>
      </c>
      <c r="I347" s="60" t="str">
        <f aca="false">IF(AND(B347="",E347=""),"",IF(NOT(ISNUMBER(B347)),"⚠ ADD DATE / AGREGA FECHA",IF(E347="","⚠ ADD AMOUNT / AGREGA MONTO",IF(D347="","⚠ ADD CATEGORY / AGREGA CATEGORÍA",IF(K347=0,"● NEW CATEGORY? / ¿CATEGORÍA NUEVA?","✔ OK")))))</f>
        <v/>
      </c>
      <c r="K347" s="56" t="str">
        <f aca="false">IF(D347="","",IFERROR(MATCH(D347,Budget!$B$7:$B$41,0),0))</f>
        <v/>
      </c>
      <c r="L347" s="56" t="n">
        <f aca="false">IF(AND(ISNUMBER(B347),ISNUMBER(E347),D347&lt;&gt;""),YEAR(B347)*100+MONTH(B347),0)</f>
        <v>0</v>
      </c>
      <c r="M347" s="56" t="n">
        <f aca="false">IF(L347=0,0,YEAR(B347))</f>
        <v>0</v>
      </c>
      <c r="N347" s="56" t="str">
        <f aca="false">IF(L347=0,"",IF(K347=0,"Wants / Gustos",INDEX(Budget!$D$7:$D$41,K347)))</f>
        <v/>
      </c>
    </row>
    <row r="348" customFormat="false" ht="15" hidden="false" customHeight="false" outlineLevel="0" collapsed="false">
      <c r="B348" s="57"/>
      <c r="C348" s="58"/>
      <c r="D348" s="58"/>
      <c r="E348" s="59"/>
      <c r="F348" s="58"/>
      <c r="G348" s="58"/>
      <c r="H348" s="60" t="str">
        <f aca="false">IF(OR(E348="",D348=""),"",IF(K348=0,"Expense / Gasto",INDEX(Budget!$C$7:$C$41,K348)))</f>
        <v/>
      </c>
      <c r="I348" s="60" t="str">
        <f aca="false">IF(AND(B348="",E348=""),"",IF(NOT(ISNUMBER(B348)),"⚠ ADD DATE / AGREGA FECHA",IF(E348="","⚠ ADD AMOUNT / AGREGA MONTO",IF(D348="","⚠ ADD CATEGORY / AGREGA CATEGORÍA",IF(K348=0,"● NEW CATEGORY? / ¿CATEGORÍA NUEVA?","✔ OK")))))</f>
        <v/>
      </c>
      <c r="K348" s="56" t="str">
        <f aca="false">IF(D348="","",IFERROR(MATCH(D348,Budget!$B$7:$B$41,0),0))</f>
        <v/>
      </c>
      <c r="L348" s="56" t="n">
        <f aca="false">IF(AND(ISNUMBER(B348),ISNUMBER(E348),D348&lt;&gt;""),YEAR(B348)*100+MONTH(B348),0)</f>
        <v>0</v>
      </c>
      <c r="M348" s="56" t="n">
        <f aca="false">IF(L348=0,0,YEAR(B348))</f>
        <v>0</v>
      </c>
      <c r="N348" s="56" t="str">
        <f aca="false">IF(L348=0,"",IF(K348=0,"Wants / Gustos",INDEX(Budget!$D$7:$D$41,K348)))</f>
        <v/>
      </c>
    </row>
    <row r="349" customFormat="false" ht="15" hidden="false" customHeight="false" outlineLevel="0" collapsed="false">
      <c r="B349" s="57"/>
      <c r="C349" s="58"/>
      <c r="D349" s="58"/>
      <c r="E349" s="59"/>
      <c r="F349" s="58"/>
      <c r="G349" s="58"/>
      <c r="H349" s="60" t="str">
        <f aca="false">IF(OR(E349="",D349=""),"",IF(K349=0,"Expense / Gasto",INDEX(Budget!$C$7:$C$41,K349)))</f>
        <v/>
      </c>
      <c r="I349" s="60" t="str">
        <f aca="false">IF(AND(B349="",E349=""),"",IF(NOT(ISNUMBER(B349)),"⚠ ADD DATE / AGREGA FECHA",IF(E349="","⚠ ADD AMOUNT / AGREGA MONTO",IF(D349="","⚠ ADD CATEGORY / AGREGA CATEGORÍA",IF(K349=0,"● NEW CATEGORY? / ¿CATEGORÍA NUEVA?","✔ OK")))))</f>
        <v/>
      </c>
      <c r="K349" s="56" t="str">
        <f aca="false">IF(D349="","",IFERROR(MATCH(D349,Budget!$B$7:$B$41,0),0))</f>
        <v/>
      </c>
      <c r="L349" s="56" t="n">
        <f aca="false">IF(AND(ISNUMBER(B349),ISNUMBER(E349),D349&lt;&gt;""),YEAR(B349)*100+MONTH(B349),0)</f>
        <v>0</v>
      </c>
      <c r="M349" s="56" t="n">
        <f aca="false">IF(L349=0,0,YEAR(B349))</f>
        <v>0</v>
      </c>
      <c r="N349" s="56" t="str">
        <f aca="false">IF(L349=0,"",IF(K349=0,"Wants / Gustos",INDEX(Budget!$D$7:$D$41,K349)))</f>
        <v/>
      </c>
    </row>
    <row r="350" customFormat="false" ht="15" hidden="false" customHeight="false" outlineLevel="0" collapsed="false">
      <c r="B350" s="57"/>
      <c r="C350" s="58"/>
      <c r="D350" s="58"/>
      <c r="E350" s="59"/>
      <c r="F350" s="58"/>
      <c r="G350" s="58"/>
      <c r="H350" s="60" t="str">
        <f aca="false">IF(OR(E350="",D350=""),"",IF(K350=0,"Expense / Gasto",INDEX(Budget!$C$7:$C$41,K350)))</f>
        <v/>
      </c>
      <c r="I350" s="60" t="str">
        <f aca="false">IF(AND(B350="",E350=""),"",IF(NOT(ISNUMBER(B350)),"⚠ ADD DATE / AGREGA FECHA",IF(E350="","⚠ ADD AMOUNT / AGREGA MONTO",IF(D350="","⚠ ADD CATEGORY / AGREGA CATEGORÍA",IF(K350=0,"● NEW CATEGORY? / ¿CATEGORÍA NUEVA?","✔ OK")))))</f>
        <v/>
      </c>
      <c r="K350" s="56" t="str">
        <f aca="false">IF(D350="","",IFERROR(MATCH(D350,Budget!$B$7:$B$41,0),0))</f>
        <v/>
      </c>
      <c r="L350" s="56" t="n">
        <f aca="false">IF(AND(ISNUMBER(B350),ISNUMBER(E350),D350&lt;&gt;""),YEAR(B350)*100+MONTH(B350),0)</f>
        <v>0</v>
      </c>
      <c r="M350" s="56" t="n">
        <f aca="false">IF(L350=0,0,YEAR(B350))</f>
        <v>0</v>
      </c>
      <c r="N350" s="56" t="str">
        <f aca="false">IF(L350=0,"",IF(K350=0,"Wants / Gustos",INDEX(Budget!$D$7:$D$41,K350)))</f>
        <v/>
      </c>
    </row>
    <row r="351" customFormat="false" ht="15" hidden="false" customHeight="false" outlineLevel="0" collapsed="false">
      <c r="B351" s="57"/>
      <c r="C351" s="58"/>
      <c r="D351" s="58"/>
      <c r="E351" s="59"/>
      <c r="F351" s="58"/>
      <c r="G351" s="58"/>
      <c r="H351" s="60" t="str">
        <f aca="false">IF(OR(E351="",D351=""),"",IF(K351=0,"Expense / Gasto",INDEX(Budget!$C$7:$C$41,K351)))</f>
        <v/>
      </c>
      <c r="I351" s="60" t="str">
        <f aca="false">IF(AND(B351="",E351=""),"",IF(NOT(ISNUMBER(B351)),"⚠ ADD DATE / AGREGA FECHA",IF(E351="","⚠ ADD AMOUNT / AGREGA MONTO",IF(D351="","⚠ ADD CATEGORY / AGREGA CATEGORÍA",IF(K351=0,"● NEW CATEGORY? / ¿CATEGORÍA NUEVA?","✔ OK")))))</f>
        <v/>
      </c>
      <c r="K351" s="56" t="str">
        <f aca="false">IF(D351="","",IFERROR(MATCH(D351,Budget!$B$7:$B$41,0),0))</f>
        <v/>
      </c>
      <c r="L351" s="56" t="n">
        <f aca="false">IF(AND(ISNUMBER(B351),ISNUMBER(E351),D351&lt;&gt;""),YEAR(B351)*100+MONTH(B351),0)</f>
        <v>0</v>
      </c>
      <c r="M351" s="56" t="n">
        <f aca="false">IF(L351=0,0,YEAR(B351))</f>
        <v>0</v>
      </c>
      <c r="N351" s="56" t="str">
        <f aca="false">IF(L351=0,"",IF(K351=0,"Wants / Gustos",INDEX(Budget!$D$7:$D$41,K351)))</f>
        <v/>
      </c>
    </row>
    <row r="352" customFormat="false" ht="15" hidden="false" customHeight="false" outlineLevel="0" collapsed="false">
      <c r="B352" s="57"/>
      <c r="C352" s="58"/>
      <c r="D352" s="58"/>
      <c r="E352" s="59"/>
      <c r="F352" s="58"/>
      <c r="G352" s="58"/>
      <c r="H352" s="60" t="str">
        <f aca="false">IF(OR(E352="",D352=""),"",IF(K352=0,"Expense / Gasto",INDEX(Budget!$C$7:$C$41,K352)))</f>
        <v/>
      </c>
      <c r="I352" s="60" t="str">
        <f aca="false">IF(AND(B352="",E352=""),"",IF(NOT(ISNUMBER(B352)),"⚠ ADD DATE / AGREGA FECHA",IF(E352="","⚠ ADD AMOUNT / AGREGA MONTO",IF(D352="","⚠ ADD CATEGORY / AGREGA CATEGORÍA",IF(K352=0,"● NEW CATEGORY? / ¿CATEGORÍA NUEVA?","✔ OK")))))</f>
        <v/>
      </c>
      <c r="K352" s="56" t="str">
        <f aca="false">IF(D352="","",IFERROR(MATCH(D352,Budget!$B$7:$B$41,0),0))</f>
        <v/>
      </c>
      <c r="L352" s="56" t="n">
        <f aca="false">IF(AND(ISNUMBER(B352),ISNUMBER(E352),D352&lt;&gt;""),YEAR(B352)*100+MONTH(B352),0)</f>
        <v>0</v>
      </c>
      <c r="M352" s="56" t="n">
        <f aca="false">IF(L352=0,0,YEAR(B352))</f>
        <v>0</v>
      </c>
      <c r="N352" s="56" t="str">
        <f aca="false">IF(L352=0,"",IF(K352=0,"Wants / Gustos",INDEX(Budget!$D$7:$D$41,K352)))</f>
        <v/>
      </c>
    </row>
    <row r="353" customFormat="false" ht="15" hidden="false" customHeight="false" outlineLevel="0" collapsed="false">
      <c r="B353" s="57"/>
      <c r="C353" s="58"/>
      <c r="D353" s="58"/>
      <c r="E353" s="59"/>
      <c r="F353" s="58"/>
      <c r="G353" s="58"/>
      <c r="H353" s="60" t="str">
        <f aca="false">IF(OR(E353="",D353=""),"",IF(K353=0,"Expense / Gasto",INDEX(Budget!$C$7:$C$41,K353)))</f>
        <v/>
      </c>
      <c r="I353" s="60" t="str">
        <f aca="false">IF(AND(B353="",E353=""),"",IF(NOT(ISNUMBER(B353)),"⚠ ADD DATE / AGREGA FECHA",IF(E353="","⚠ ADD AMOUNT / AGREGA MONTO",IF(D353="","⚠ ADD CATEGORY / AGREGA CATEGORÍA",IF(K353=0,"● NEW CATEGORY? / ¿CATEGORÍA NUEVA?","✔ OK")))))</f>
        <v/>
      </c>
      <c r="K353" s="56" t="str">
        <f aca="false">IF(D353="","",IFERROR(MATCH(D353,Budget!$B$7:$B$41,0),0))</f>
        <v/>
      </c>
      <c r="L353" s="56" t="n">
        <f aca="false">IF(AND(ISNUMBER(B353),ISNUMBER(E353),D353&lt;&gt;""),YEAR(B353)*100+MONTH(B353),0)</f>
        <v>0</v>
      </c>
      <c r="M353" s="56" t="n">
        <f aca="false">IF(L353=0,0,YEAR(B353))</f>
        <v>0</v>
      </c>
      <c r="N353" s="56" t="str">
        <f aca="false">IF(L353=0,"",IF(K353=0,"Wants / Gustos",INDEX(Budget!$D$7:$D$41,K353)))</f>
        <v/>
      </c>
    </row>
    <row r="354" customFormat="false" ht="15" hidden="false" customHeight="false" outlineLevel="0" collapsed="false">
      <c r="B354" s="57"/>
      <c r="C354" s="58"/>
      <c r="D354" s="58"/>
      <c r="E354" s="59"/>
      <c r="F354" s="58"/>
      <c r="G354" s="58"/>
      <c r="H354" s="60" t="str">
        <f aca="false">IF(OR(E354="",D354=""),"",IF(K354=0,"Expense / Gasto",INDEX(Budget!$C$7:$C$41,K354)))</f>
        <v/>
      </c>
      <c r="I354" s="60" t="str">
        <f aca="false">IF(AND(B354="",E354=""),"",IF(NOT(ISNUMBER(B354)),"⚠ ADD DATE / AGREGA FECHA",IF(E354="","⚠ ADD AMOUNT / AGREGA MONTO",IF(D354="","⚠ ADD CATEGORY / AGREGA CATEGORÍA",IF(K354=0,"● NEW CATEGORY? / ¿CATEGORÍA NUEVA?","✔ OK")))))</f>
        <v/>
      </c>
      <c r="K354" s="56" t="str">
        <f aca="false">IF(D354="","",IFERROR(MATCH(D354,Budget!$B$7:$B$41,0),0))</f>
        <v/>
      </c>
      <c r="L354" s="56" t="n">
        <f aca="false">IF(AND(ISNUMBER(B354),ISNUMBER(E354),D354&lt;&gt;""),YEAR(B354)*100+MONTH(B354),0)</f>
        <v>0</v>
      </c>
      <c r="M354" s="56" t="n">
        <f aca="false">IF(L354=0,0,YEAR(B354))</f>
        <v>0</v>
      </c>
      <c r="N354" s="56" t="str">
        <f aca="false">IF(L354=0,"",IF(K354=0,"Wants / Gustos",INDEX(Budget!$D$7:$D$41,K354)))</f>
        <v/>
      </c>
    </row>
    <row r="355" customFormat="false" ht="15" hidden="false" customHeight="false" outlineLevel="0" collapsed="false">
      <c r="B355" s="57"/>
      <c r="C355" s="58"/>
      <c r="D355" s="58"/>
      <c r="E355" s="59"/>
      <c r="F355" s="58"/>
      <c r="G355" s="58"/>
      <c r="H355" s="60" t="str">
        <f aca="false">IF(OR(E355="",D355=""),"",IF(K355=0,"Expense / Gasto",INDEX(Budget!$C$7:$C$41,K355)))</f>
        <v/>
      </c>
      <c r="I355" s="60" t="str">
        <f aca="false">IF(AND(B355="",E355=""),"",IF(NOT(ISNUMBER(B355)),"⚠ ADD DATE / AGREGA FECHA",IF(E355="","⚠ ADD AMOUNT / AGREGA MONTO",IF(D355="","⚠ ADD CATEGORY / AGREGA CATEGORÍA",IF(K355=0,"● NEW CATEGORY? / ¿CATEGORÍA NUEVA?","✔ OK")))))</f>
        <v/>
      </c>
      <c r="K355" s="56" t="str">
        <f aca="false">IF(D355="","",IFERROR(MATCH(D355,Budget!$B$7:$B$41,0),0))</f>
        <v/>
      </c>
      <c r="L355" s="56" t="n">
        <f aca="false">IF(AND(ISNUMBER(B355),ISNUMBER(E355),D355&lt;&gt;""),YEAR(B355)*100+MONTH(B355),0)</f>
        <v>0</v>
      </c>
      <c r="M355" s="56" t="n">
        <f aca="false">IF(L355=0,0,YEAR(B355))</f>
        <v>0</v>
      </c>
      <c r="N355" s="56" t="str">
        <f aca="false">IF(L355=0,"",IF(K355=0,"Wants / Gustos",INDEX(Budget!$D$7:$D$41,K355)))</f>
        <v/>
      </c>
    </row>
    <row r="356" customFormat="false" ht="15" hidden="false" customHeight="false" outlineLevel="0" collapsed="false">
      <c r="B356" s="57"/>
      <c r="C356" s="58"/>
      <c r="D356" s="58"/>
      <c r="E356" s="59"/>
      <c r="F356" s="58"/>
      <c r="G356" s="58"/>
      <c r="H356" s="60" t="str">
        <f aca="false">IF(OR(E356="",D356=""),"",IF(K356=0,"Expense / Gasto",INDEX(Budget!$C$7:$C$41,K356)))</f>
        <v/>
      </c>
      <c r="I356" s="60" t="str">
        <f aca="false">IF(AND(B356="",E356=""),"",IF(NOT(ISNUMBER(B356)),"⚠ ADD DATE / AGREGA FECHA",IF(E356="","⚠ ADD AMOUNT / AGREGA MONTO",IF(D356="","⚠ ADD CATEGORY / AGREGA CATEGORÍA",IF(K356=0,"● NEW CATEGORY? / ¿CATEGORÍA NUEVA?","✔ OK")))))</f>
        <v/>
      </c>
      <c r="K356" s="56" t="str">
        <f aca="false">IF(D356="","",IFERROR(MATCH(D356,Budget!$B$7:$B$41,0),0))</f>
        <v/>
      </c>
      <c r="L356" s="56" t="n">
        <f aca="false">IF(AND(ISNUMBER(B356),ISNUMBER(E356),D356&lt;&gt;""),YEAR(B356)*100+MONTH(B356),0)</f>
        <v>0</v>
      </c>
      <c r="M356" s="56" t="n">
        <f aca="false">IF(L356=0,0,YEAR(B356))</f>
        <v>0</v>
      </c>
      <c r="N356" s="56" t="str">
        <f aca="false">IF(L356=0,"",IF(K356=0,"Wants / Gustos",INDEX(Budget!$D$7:$D$41,K356)))</f>
        <v/>
      </c>
    </row>
    <row r="357" customFormat="false" ht="15" hidden="false" customHeight="false" outlineLevel="0" collapsed="false">
      <c r="B357" s="57"/>
      <c r="C357" s="58"/>
      <c r="D357" s="58"/>
      <c r="E357" s="59"/>
      <c r="F357" s="58"/>
      <c r="G357" s="58"/>
      <c r="H357" s="60" t="str">
        <f aca="false">IF(OR(E357="",D357=""),"",IF(K357=0,"Expense / Gasto",INDEX(Budget!$C$7:$C$41,K357)))</f>
        <v/>
      </c>
      <c r="I357" s="60" t="str">
        <f aca="false">IF(AND(B357="",E357=""),"",IF(NOT(ISNUMBER(B357)),"⚠ ADD DATE / AGREGA FECHA",IF(E357="","⚠ ADD AMOUNT / AGREGA MONTO",IF(D357="","⚠ ADD CATEGORY / AGREGA CATEGORÍA",IF(K357=0,"● NEW CATEGORY? / ¿CATEGORÍA NUEVA?","✔ OK")))))</f>
        <v/>
      </c>
      <c r="K357" s="56" t="str">
        <f aca="false">IF(D357="","",IFERROR(MATCH(D357,Budget!$B$7:$B$41,0),0))</f>
        <v/>
      </c>
      <c r="L357" s="56" t="n">
        <f aca="false">IF(AND(ISNUMBER(B357),ISNUMBER(E357),D357&lt;&gt;""),YEAR(B357)*100+MONTH(B357),0)</f>
        <v>0</v>
      </c>
      <c r="M357" s="56" t="n">
        <f aca="false">IF(L357=0,0,YEAR(B357))</f>
        <v>0</v>
      </c>
      <c r="N357" s="56" t="str">
        <f aca="false">IF(L357=0,"",IF(K357=0,"Wants / Gustos",INDEX(Budget!$D$7:$D$41,K357)))</f>
        <v/>
      </c>
    </row>
    <row r="358" customFormat="false" ht="15" hidden="false" customHeight="false" outlineLevel="0" collapsed="false">
      <c r="B358" s="57"/>
      <c r="C358" s="58"/>
      <c r="D358" s="58"/>
      <c r="E358" s="59"/>
      <c r="F358" s="58"/>
      <c r="G358" s="58"/>
      <c r="H358" s="60" t="str">
        <f aca="false">IF(OR(E358="",D358=""),"",IF(K358=0,"Expense / Gasto",INDEX(Budget!$C$7:$C$41,K358)))</f>
        <v/>
      </c>
      <c r="I358" s="60" t="str">
        <f aca="false">IF(AND(B358="",E358=""),"",IF(NOT(ISNUMBER(B358)),"⚠ ADD DATE / AGREGA FECHA",IF(E358="","⚠ ADD AMOUNT / AGREGA MONTO",IF(D358="","⚠ ADD CATEGORY / AGREGA CATEGORÍA",IF(K358=0,"● NEW CATEGORY? / ¿CATEGORÍA NUEVA?","✔ OK")))))</f>
        <v/>
      </c>
      <c r="K358" s="56" t="str">
        <f aca="false">IF(D358="","",IFERROR(MATCH(D358,Budget!$B$7:$B$41,0),0))</f>
        <v/>
      </c>
      <c r="L358" s="56" t="n">
        <f aca="false">IF(AND(ISNUMBER(B358),ISNUMBER(E358),D358&lt;&gt;""),YEAR(B358)*100+MONTH(B358),0)</f>
        <v>0</v>
      </c>
      <c r="M358" s="56" t="n">
        <f aca="false">IF(L358=0,0,YEAR(B358))</f>
        <v>0</v>
      </c>
      <c r="N358" s="56" t="str">
        <f aca="false">IF(L358=0,"",IF(K358=0,"Wants / Gustos",INDEX(Budget!$D$7:$D$41,K358)))</f>
        <v/>
      </c>
    </row>
    <row r="359" customFormat="false" ht="15" hidden="false" customHeight="false" outlineLevel="0" collapsed="false">
      <c r="B359" s="57"/>
      <c r="C359" s="58"/>
      <c r="D359" s="58"/>
      <c r="E359" s="59"/>
      <c r="F359" s="58"/>
      <c r="G359" s="58"/>
      <c r="H359" s="60" t="str">
        <f aca="false">IF(OR(E359="",D359=""),"",IF(K359=0,"Expense / Gasto",INDEX(Budget!$C$7:$C$41,K359)))</f>
        <v/>
      </c>
      <c r="I359" s="60" t="str">
        <f aca="false">IF(AND(B359="",E359=""),"",IF(NOT(ISNUMBER(B359)),"⚠ ADD DATE / AGREGA FECHA",IF(E359="","⚠ ADD AMOUNT / AGREGA MONTO",IF(D359="","⚠ ADD CATEGORY / AGREGA CATEGORÍA",IF(K359=0,"● NEW CATEGORY? / ¿CATEGORÍA NUEVA?","✔ OK")))))</f>
        <v/>
      </c>
      <c r="K359" s="56" t="str">
        <f aca="false">IF(D359="","",IFERROR(MATCH(D359,Budget!$B$7:$B$41,0),0))</f>
        <v/>
      </c>
      <c r="L359" s="56" t="n">
        <f aca="false">IF(AND(ISNUMBER(B359),ISNUMBER(E359),D359&lt;&gt;""),YEAR(B359)*100+MONTH(B359),0)</f>
        <v>0</v>
      </c>
      <c r="M359" s="56" t="n">
        <f aca="false">IF(L359=0,0,YEAR(B359))</f>
        <v>0</v>
      </c>
      <c r="N359" s="56" t="str">
        <f aca="false">IF(L359=0,"",IF(K359=0,"Wants / Gustos",INDEX(Budget!$D$7:$D$41,K359)))</f>
        <v/>
      </c>
    </row>
    <row r="360" customFormat="false" ht="15" hidden="false" customHeight="false" outlineLevel="0" collapsed="false">
      <c r="B360" s="57"/>
      <c r="C360" s="58"/>
      <c r="D360" s="58"/>
      <c r="E360" s="59"/>
      <c r="F360" s="58"/>
      <c r="G360" s="58"/>
      <c r="H360" s="60" t="str">
        <f aca="false">IF(OR(E360="",D360=""),"",IF(K360=0,"Expense / Gasto",INDEX(Budget!$C$7:$C$41,K360)))</f>
        <v/>
      </c>
      <c r="I360" s="60" t="str">
        <f aca="false">IF(AND(B360="",E360=""),"",IF(NOT(ISNUMBER(B360)),"⚠ ADD DATE / AGREGA FECHA",IF(E360="","⚠ ADD AMOUNT / AGREGA MONTO",IF(D360="","⚠ ADD CATEGORY / AGREGA CATEGORÍA",IF(K360=0,"● NEW CATEGORY? / ¿CATEGORÍA NUEVA?","✔ OK")))))</f>
        <v/>
      </c>
      <c r="K360" s="56" t="str">
        <f aca="false">IF(D360="","",IFERROR(MATCH(D360,Budget!$B$7:$B$41,0),0))</f>
        <v/>
      </c>
      <c r="L360" s="56" t="n">
        <f aca="false">IF(AND(ISNUMBER(B360),ISNUMBER(E360),D360&lt;&gt;""),YEAR(B360)*100+MONTH(B360),0)</f>
        <v>0</v>
      </c>
      <c r="M360" s="56" t="n">
        <f aca="false">IF(L360=0,0,YEAR(B360))</f>
        <v>0</v>
      </c>
      <c r="N360" s="56" t="str">
        <f aca="false">IF(L360=0,"",IF(K360=0,"Wants / Gustos",INDEX(Budget!$D$7:$D$41,K360)))</f>
        <v/>
      </c>
    </row>
    <row r="361" customFormat="false" ht="15" hidden="false" customHeight="false" outlineLevel="0" collapsed="false">
      <c r="B361" s="57"/>
      <c r="C361" s="58"/>
      <c r="D361" s="58"/>
      <c r="E361" s="59"/>
      <c r="F361" s="58"/>
      <c r="G361" s="58"/>
      <c r="H361" s="60" t="str">
        <f aca="false">IF(OR(E361="",D361=""),"",IF(K361=0,"Expense / Gasto",INDEX(Budget!$C$7:$C$41,K361)))</f>
        <v/>
      </c>
      <c r="I361" s="60" t="str">
        <f aca="false">IF(AND(B361="",E361=""),"",IF(NOT(ISNUMBER(B361)),"⚠ ADD DATE / AGREGA FECHA",IF(E361="","⚠ ADD AMOUNT / AGREGA MONTO",IF(D361="","⚠ ADD CATEGORY / AGREGA CATEGORÍA",IF(K361=0,"● NEW CATEGORY? / ¿CATEGORÍA NUEVA?","✔ OK")))))</f>
        <v/>
      </c>
      <c r="K361" s="56" t="str">
        <f aca="false">IF(D361="","",IFERROR(MATCH(D361,Budget!$B$7:$B$41,0),0))</f>
        <v/>
      </c>
      <c r="L361" s="56" t="n">
        <f aca="false">IF(AND(ISNUMBER(B361),ISNUMBER(E361),D361&lt;&gt;""),YEAR(B361)*100+MONTH(B361),0)</f>
        <v>0</v>
      </c>
      <c r="M361" s="56" t="n">
        <f aca="false">IF(L361=0,0,YEAR(B361))</f>
        <v>0</v>
      </c>
      <c r="N361" s="56" t="str">
        <f aca="false">IF(L361=0,"",IF(K361=0,"Wants / Gustos",INDEX(Budget!$D$7:$D$41,K361)))</f>
        <v/>
      </c>
    </row>
    <row r="362" customFormat="false" ht="15" hidden="false" customHeight="false" outlineLevel="0" collapsed="false">
      <c r="B362" s="57"/>
      <c r="C362" s="58"/>
      <c r="D362" s="58"/>
      <c r="E362" s="59"/>
      <c r="F362" s="58"/>
      <c r="G362" s="58"/>
      <c r="H362" s="60" t="str">
        <f aca="false">IF(OR(E362="",D362=""),"",IF(K362=0,"Expense / Gasto",INDEX(Budget!$C$7:$C$41,K362)))</f>
        <v/>
      </c>
      <c r="I362" s="60" t="str">
        <f aca="false">IF(AND(B362="",E362=""),"",IF(NOT(ISNUMBER(B362)),"⚠ ADD DATE / AGREGA FECHA",IF(E362="","⚠ ADD AMOUNT / AGREGA MONTO",IF(D362="","⚠ ADD CATEGORY / AGREGA CATEGORÍA",IF(K362=0,"● NEW CATEGORY? / ¿CATEGORÍA NUEVA?","✔ OK")))))</f>
        <v/>
      </c>
      <c r="K362" s="56" t="str">
        <f aca="false">IF(D362="","",IFERROR(MATCH(D362,Budget!$B$7:$B$41,0),0))</f>
        <v/>
      </c>
      <c r="L362" s="56" t="n">
        <f aca="false">IF(AND(ISNUMBER(B362),ISNUMBER(E362),D362&lt;&gt;""),YEAR(B362)*100+MONTH(B362),0)</f>
        <v>0</v>
      </c>
      <c r="M362" s="56" t="n">
        <f aca="false">IF(L362=0,0,YEAR(B362))</f>
        <v>0</v>
      </c>
      <c r="N362" s="56" t="str">
        <f aca="false">IF(L362=0,"",IF(K362=0,"Wants / Gustos",INDEX(Budget!$D$7:$D$41,K362)))</f>
        <v/>
      </c>
    </row>
    <row r="363" customFormat="false" ht="15" hidden="false" customHeight="false" outlineLevel="0" collapsed="false">
      <c r="B363" s="57"/>
      <c r="C363" s="58"/>
      <c r="D363" s="58"/>
      <c r="E363" s="59"/>
      <c r="F363" s="58"/>
      <c r="G363" s="58"/>
      <c r="H363" s="60" t="str">
        <f aca="false">IF(OR(E363="",D363=""),"",IF(K363=0,"Expense / Gasto",INDEX(Budget!$C$7:$C$41,K363)))</f>
        <v/>
      </c>
      <c r="I363" s="60" t="str">
        <f aca="false">IF(AND(B363="",E363=""),"",IF(NOT(ISNUMBER(B363)),"⚠ ADD DATE / AGREGA FECHA",IF(E363="","⚠ ADD AMOUNT / AGREGA MONTO",IF(D363="","⚠ ADD CATEGORY / AGREGA CATEGORÍA",IF(K363=0,"● NEW CATEGORY? / ¿CATEGORÍA NUEVA?","✔ OK")))))</f>
        <v/>
      </c>
      <c r="K363" s="56" t="str">
        <f aca="false">IF(D363="","",IFERROR(MATCH(D363,Budget!$B$7:$B$41,0),0))</f>
        <v/>
      </c>
      <c r="L363" s="56" t="n">
        <f aca="false">IF(AND(ISNUMBER(B363),ISNUMBER(E363),D363&lt;&gt;""),YEAR(B363)*100+MONTH(B363),0)</f>
        <v>0</v>
      </c>
      <c r="M363" s="56" t="n">
        <f aca="false">IF(L363=0,0,YEAR(B363))</f>
        <v>0</v>
      </c>
      <c r="N363" s="56" t="str">
        <f aca="false">IF(L363=0,"",IF(K363=0,"Wants / Gustos",INDEX(Budget!$D$7:$D$41,K363)))</f>
        <v/>
      </c>
    </row>
    <row r="364" customFormat="false" ht="15" hidden="false" customHeight="false" outlineLevel="0" collapsed="false">
      <c r="B364" s="57"/>
      <c r="C364" s="58"/>
      <c r="D364" s="58"/>
      <c r="E364" s="59"/>
      <c r="F364" s="58"/>
      <c r="G364" s="58"/>
      <c r="H364" s="60" t="str">
        <f aca="false">IF(OR(E364="",D364=""),"",IF(K364=0,"Expense / Gasto",INDEX(Budget!$C$7:$C$41,K364)))</f>
        <v/>
      </c>
      <c r="I364" s="60" t="str">
        <f aca="false">IF(AND(B364="",E364=""),"",IF(NOT(ISNUMBER(B364)),"⚠ ADD DATE / AGREGA FECHA",IF(E364="","⚠ ADD AMOUNT / AGREGA MONTO",IF(D364="","⚠ ADD CATEGORY / AGREGA CATEGORÍA",IF(K364=0,"● NEW CATEGORY? / ¿CATEGORÍA NUEVA?","✔ OK")))))</f>
        <v/>
      </c>
      <c r="K364" s="56" t="str">
        <f aca="false">IF(D364="","",IFERROR(MATCH(D364,Budget!$B$7:$B$41,0),0))</f>
        <v/>
      </c>
      <c r="L364" s="56" t="n">
        <f aca="false">IF(AND(ISNUMBER(B364),ISNUMBER(E364),D364&lt;&gt;""),YEAR(B364)*100+MONTH(B364),0)</f>
        <v>0</v>
      </c>
      <c r="M364" s="56" t="n">
        <f aca="false">IF(L364=0,0,YEAR(B364))</f>
        <v>0</v>
      </c>
      <c r="N364" s="56" t="str">
        <f aca="false">IF(L364=0,"",IF(K364=0,"Wants / Gustos",INDEX(Budget!$D$7:$D$41,K364)))</f>
        <v/>
      </c>
    </row>
    <row r="365" customFormat="false" ht="15" hidden="false" customHeight="false" outlineLevel="0" collapsed="false">
      <c r="B365" s="57"/>
      <c r="C365" s="58"/>
      <c r="D365" s="58"/>
      <c r="E365" s="59"/>
      <c r="F365" s="58"/>
      <c r="G365" s="58"/>
      <c r="H365" s="60" t="str">
        <f aca="false">IF(OR(E365="",D365=""),"",IF(K365=0,"Expense / Gasto",INDEX(Budget!$C$7:$C$41,K365)))</f>
        <v/>
      </c>
      <c r="I365" s="60" t="str">
        <f aca="false">IF(AND(B365="",E365=""),"",IF(NOT(ISNUMBER(B365)),"⚠ ADD DATE / AGREGA FECHA",IF(E365="","⚠ ADD AMOUNT / AGREGA MONTO",IF(D365="","⚠ ADD CATEGORY / AGREGA CATEGORÍA",IF(K365=0,"● NEW CATEGORY? / ¿CATEGORÍA NUEVA?","✔ OK")))))</f>
        <v/>
      </c>
      <c r="K365" s="56" t="str">
        <f aca="false">IF(D365="","",IFERROR(MATCH(D365,Budget!$B$7:$B$41,0),0))</f>
        <v/>
      </c>
      <c r="L365" s="56" t="n">
        <f aca="false">IF(AND(ISNUMBER(B365),ISNUMBER(E365),D365&lt;&gt;""),YEAR(B365)*100+MONTH(B365),0)</f>
        <v>0</v>
      </c>
      <c r="M365" s="56" t="n">
        <f aca="false">IF(L365=0,0,YEAR(B365))</f>
        <v>0</v>
      </c>
      <c r="N365" s="56" t="str">
        <f aca="false">IF(L365=0,"",IF(K365=0,"Wants / Gustos",INDEX(Budget!$D$7:$D$41,K365)))</f>
        <v/>
      </c>
    </row>
    <row r="366" customFormat="false" ht="15" hidden="false" customHeight="false" outlineLevel="0" collapsed="false">
      <c r="B366" s="57"/>
      <c r="C366" s="58"/>
      <c r="D366" s="58"/>
      <c r="E366" s="59"/>
      <c r="F366" s="58"/>
      <c r="G366" s="58"/>
      <c r="H366" s="60" t="str">
        <f aca="false">IF(OR(E366="",D366=""),"",IF(K366=0,"Expense / Gasto",INDEX(Budget!$C$7:$C$41,K366)))</f>
        <v/>
      </c>
      <c r="I366" s="60" t="str">
        <f aca="false">IF(AND(B366="",E366=""),"",IF(NOT(ISNUMBER(B366)),"⚠ ADD DATE / AGREGA FECHA",IF(E366="","⚠ ADD AMOUNT / AGREGA MONTO",IF(D366="","⚠ ADD CATEGORY / AGREGA CATEGORÍA",IF(K366=0,"● NEW CATEGORY? / ¿CATEGORÍA NUEVA?","✔ OK")))))</f>
        <v/>
      </c>
      <c r="K366" s="56" t="str">
        <f aca="false">IF(D366="","",IFERROR(MATCH(D366,Budget!$B$7:$B$41,0),0))</f>
        <v/>
      </c>
      <c r="L366" s="56" t="n">
        <f aca="false">IF(AND(ISNUMBER(B366),ISNUMBER(E366),D366&lt;&gt;""),YEAR(B366)*100+MONTH(B366),0)</f>
        <v>0</v>
      </c>
      <c r="M366" s="56" t="n">
        <f aca="false">IF(L366=0,0,YEAR(B366))</f>
        <v>0</v>
      </c>
      <c r="N366" s="56" t="str">
        <f aca="false">IF(L366=0,"",IF(K366=0,"Wants / Gustos",INDEX(Budget!$D$7:$D$41,K366)))</f>
        <v/>
      </c>
    </row>
    <row r="367" customFormat="false" ht="15" hidden="false" customHeight="false" outlineLevel="0" collapsed="false">
      <c r="B367" s="57"/>
      <c r="C367" s="58"/>
      <c r="D367" s="58"/>
      <c r="E367" s="59"/>
      <c r="F367" s="58"/>
      <c r="G367" s="58"/>
      <c r="H367" s="60" t="str">
        <f aca="false">IF(OR(E367="",D367=""),"",IF(K367=0,"Expense / Gasto",INDEX(Budget!$C$7:$C$41,K367)))</f>
        <v/>
      </c>
      <c r="I367" s="60" t="str">
        <f aca="false">IF(AND(B367="",E367=""),"",IF(NOT(ISNUMBER(B367)),"⚠ ADD DATE / AGREGA FECHA",IF(E367="","⚠ ADD AMOUNT / AGREGA MONTO",IF(D367="","⚠ ADD CATEGORY / AGREGA CATEGORÍA",IF(K367=0,"● NEW CATEGORY? / ¿CATEGORÍA NUEVA?","✔ OK")))))</f>
        <v/>
      </c>
      <c r="K367" s="56" t="str">
        <f aca="false">IF(D367="","",IFERROR(MATCH(D367,Budget!$B$7:$B$41,0),0))</f>
        <v/>
      </c>
      <c r="L367" s="56" t="n">
        <f aca="false">IF(AND(ISNUMBER(B367),ISNUMBER(E367),D367&lt;&gt;""),YEAR(B367)*100+MONTH(B367),0)</f>
        <v>0</v>
      </c>
      <c r="M367" s="56" t="n">
        <f aca="false">IF(L367=0,0,YEAR(B367))</f>
        <v>0</v>
      </c>
      <c r="N367" s="56" t="str">
        <f aca="false">IF(L367=0,"",IF(K367=0,"Wants / Gustos",INDEX(Budget!$D$7:$D$41,K367)))</f>
        <v/>
      </c>
    </row>
    <row r="368" customFormat="false" ht="15" hidden="false" customHeight="false" outlineLevel="0" collapsed="false">
      <c r="B368" s="57"/>
      <c r="C368" s="58"/>
      <c r="D368" s="58"/>
      <c r="E368" s="59"/>
      <c r="F368" s="58"/>
      <c r="G368" s="58"/>
      <c r="H368" s="60" t="str">
        <f aca="false">IF(OR(E368="",D368=""),"",IF(K368=0,"Expense / Gasto",INDEX(Budget!$C$7:$C$41,K368)))</f>
        <v/>
      </c>
      <c r="I368" s="60" t="str">
        <f aca="false">IF(AND(B368="",E368=""),"",IF(NOT(ISNUMBER(B368)),"⚠ ADD DATE / AGREGA FECHA",IF(E368="","⚠ ADD AMOUNT / AGREGA MONTO",IF(D368="","⚠ ADD CATEGORY / AGREGA CATEGORÍA",IF(K368=0,"● NEW CATEGORY? / ¿CATEGORÍA NUEVA?","✔ OK")))))</f>
        <v/>
      </c>
      <c r="K368" s="56" t="str">
        <f aca="false">IF(D368="","",IFERROR(MATCH(D368,Budget!$B$7:$B$41,0),0))</f>
        <v/>
      </c>
      <c r="L368" s="56" t="n">
        <f aca="false">IF(AND(ISNUMBER(B368),ISNUMBER(E368),D368&lt;&gt;""),YEAR(B368)*100+MONTH(B368),0)</f>
        <v>0</v>
      </c>
      <c r="M368" s="56" t="n">
        <f aca="false">IF(L368=0,0,YEAR(B368))</f>
        <v>0</v>
      </c>
      <c r="N368" s="56" t="str">
        <f aca="false">IF(L368=0,"",IF(K368=0,"Wants / Gustos",INDEX(Budget!$D$7:$D$41,K368)))</f>
        <v/>
      </c>
    </row>
    <row r="369" customFormat="false" ht="15" hidden="false" customHeight="false" outlineLevel="0" collapsed="false">
      <c r="B369" s="57"/>
      <c r="C369" s="58"/>
      <c r="D369" s="58"/>
      <c r="E369" s="59"/>
      <c r="F369" s="58"/>
      <c r="G369" s="58"/>
      <c r="H369" s="60" t="str">
        <f aca="false">IF(OR(E369="",D369=""),"",IF(K369=0,"Expense / Gasto",INDEX(Budget!$C$7:$C$41,K369)))</f>
        <v/>
      </c>
      <c r="I369" s="60" t="str">
        <f aca="false">IF(AND(B369="",E369=""),"",IF(NOT(ISNUMBER(B369)),"⚠ ADD DATE / AGREGA FECHA",IF(E369="","⚠ ADD AMOUNT / AGREGA MONTO",IF(D369="","⚠ ADD CATEGORY / AGREGA CATEGORÍA",IF(K369=0,"● NEW CATEGORY? / ¿CATEGORÍA NUEVA?","✔ OK")))))</f>
        <v/>
      </c>
      <c r="K369" s="56" t="str">
        <f aca="false">IF(D369="","",IFERROR(MATCH(D369,Budget!$B$7:$B$41,0),0))</f>
        <v/>
      </c>
      <c r="L369" s="56" t="n">
        <f aca="false">IF(AND(ISNUMBER(B369),ISNUMBER(E369),D369&lt;&gt;""),YEAR(B369)*100+MONTH(B369),0)</f>
        <v>0</v>
      </c>
      <c r="M369" s="56" t="n">
        <f aca="false">IF(L369=0,0,YEAR(B369))</f>
        <v>0</v>
      </c>
      <c r="N369" s="56" t="str">
        <f aca="false">IF(L369=0,"",IF(K369=0,"Wants / Gustos",INDEX(Budget!$D$7:$D$41,K369)))</f>
        <v/>
      </c>
    </row>
    <row r="370" customFormat="false" ht="15" hidden="false" customHeight="false" outlineLevel="0" collapsed="false">
      <c r="B370" s="57"/>
      <c r="C370" s="58"/>
      <c r="D370" s="58"/>
      <c r="E370" s="59"/>
      <c r="F370" s="58"/>
      <c r="G370" s="58"/>
      <c r="H370" s="60" t="str">
        <f aca="false">IF(OR(E370="",D370=""),"",IF(K370=0,"Expense / Gasto",INDEX(Budget!$C$7:$C$41,K370)))</f>
        <v/>
      </c>
      <c r="I370" s="60" t="str">
        <f aca="false">IF(AND(B370="",E370=""),"",IF(NOT(ISNUMBER(B370)),"⚠ ADD DATE / AGREGA FECHA",IF(E370="","⚠ ADD AMOUNT / AGREGA MONTO",IF(D370="","⚠ ADD CATEGORY / AGREGA CATEGORÍA",IF(K370=0,"● NEW CATEGORY? / ¿CATEGORÍA NUEVA?","✔ OK")))))</f>
        <v/>
      </c>
      <c r="K370" s="56" t="str">
        <f aca="false">IF(D370="","",IFERROR(MATCH(D370,Budget!$B$7:$B$41,0),0))</f>
        <v/>
      </c>
      <c r="L370" s="56" t="n">
        <f aca="false">IF(AND(ISNUMBER(B370),ISNUMBER(E370),D370&lt;&gt;""),YEAR(B370)*100+MONTH(B370),0)</f>
        <v>0</v>
      </c>
      <c r="M370" s="56" t="n">
        <f aca="false">IF(L370=0,0,YEAR(B370))</f>
        <v>0</v>
      </c>
      <c r="N370" s="56" t="str">
        <f aca="false">IF(L370=0,"",IF(K370=0,"Wants / Gustos",INDEX(Budget!$D$7:$D$41,K370)))</f>
        <v/>
      </c>
    </row>
    <row r="371" customFormat="false" ht="15" hidden="false" customHeight="false" outlineLevel="0" collapsed="false">
      <c r="B371" s="57"/>
      <c r="C371" s="58"/>
      <c r="D371" s="58"/>
      <c r="E371" s="59"/>
      <c r="F371" s="58"/>
      <c r="G371" s="58"/>
      <c r="H371" s="60" t="str">
        <f aca="false">IF(OR(E371="",D371=""),"",IF(K371=0,"Expense / Gasto",INDEX(Budget!$C$7:$C$41,K371)))</f>
        <v/>
      </c>
      <c r="I371" s="60" t="str">
        <f aca="false">IF(AND(B371="",E371=""),"",IF(NOT(ISNUMBER(B371)),"⚠ ADD DATE / AGREGA FECHA",IF(E371="","⚠ ADD AMOUNT / AGREGA MONTO",IF(D371="","⚠ ADD CATEGORY / AGREGA CATEGORÍA",IF(K371=0,"● NEW CATEGORY? / ¿CATEGORÍA NUEVA?","✔ OK")))))</f>
        <v/>
      </c>
      <c r="K371" s="56" t="str">
        <f aca="false">IF(D371="","",IFERROR(MATCH(D371,Budget!$B$7:$B$41,0),0))</f>
        <v/>
      </c>
      <c r="L371" s="56" t="n">
        <f aca="false">IF(AND(ISNUMBER(B371),ISNUMBER(E371),D371&lt;&gt;""),YEAR(B371)*100+MONTH(B371),0)</f>
        <v>0</v>
      </c>
      <c r="M371" s="56" t="n">
        <f aca="false">IF(L371=0,0,YEAR(B371))</f>
        <v>0</v>
      </c>
      <c r="N371" s="56" t="str">
        <f aca="false">IF(L371=0,"",IF(K371=0,"Wants / Gustos",INDEX(Budget!$D$7:$D$41,K371)))</f>
        <v/>
      </c>
    </row>
    <row r="372" customFormat="false" ht="15" hidden="false" customHeight="false" outlineLevel="0" collapsed="false">
      <c r="B372" s="57"/>
      <c r="C372" s="58"/>
      <c r="D372" s="58"/>
      <c r="E372" s="59"/>
      <c r="F372" s="58"/>
      <c r="G372" s="58"/>
      <c r="H372" s="60" t="str">
        <f aca="false">IF(OR(E372="",D372=""),"",IF(K372=0,"Expense / Gasto",INDEX(Budget!$C$7:$C$41,K372)))</f>
        <v/>
      </c>
      <c r="I372" s="60" t="str">
        <f aca="false">IF(AND(B372="",E372=""),"",IF(NOT(ISNUMBER(B372)),"⚠ ADD DATE / AGREGA FECHA",IF(E372="","⚠ ADD AMOUNT / AGREGA MONTO",IF(D372="","⚠ ADD CATEGORY / AGREGA CATEGORÍA",IF(K372=0,"● NEW CATEGORY? / ¿CATEGORÍA NUEVA?","✔ OK")))))</f>
        <v/>
      </c>
      <c r="K372" s="56" t="str">
        <f aca="false">IF(D372="","",IFERROR(MATCH(D372,Budget!$B$7:$B$41,0),0))</f>
        <v/>
      </c>
      <c r="L372" s="56" t="n">
        <f aca="false">IF(AND(ISNUMBER(B372),ISNUMBER(E372),D372&lt;&gt;""),YEAR(B372)*100+MONTH(B372),0)</f>
        <v>0</v>
      </c>
      <c r="M372" s="56" t="n">
        <f aca="false">IF(L372=0,0,YEAR(B372))</f>
        <v>0</v>
      </c>
      <c r="N372" s="56" t="str">
        <f aca="false">IF(L372=0,"",IF(K372=0,"Wants / Gustos",INDEX(Budget!$D$7:$D$41,K372)))</f>
        <v/>
      </c>
    </row>
    <row r="373" customFormat="false" ht="15" hidden="false" customHeight="false" outlineLevel="0" collapsed="false">
      <c r="B373" s="57"/>
      <c r="C373" s="58"/>
      <c r="D373" s="58"/>
      <c r="E373" s="59"/>
      <c r="F373" s="58"/>
      <c r="G373" s="58"/>
      <c r="H373" s="60" t="str">
        <f aca="false">IF(OR(E373="",D373=""),"",IF(K373=0,"Expense / Gasto",INDEX(Budget!$C$7:$C$41,K373)))</f>
        <v/>
      </c>
      <c r="I373" s="60" t="str">
        <f aca="false">IF(AND(B373="",E373=""),"",IF(NOT(ISNUMBER(B373)),"⚠ ADD DATE / AGREGA FECHA",IF(E373="","⚠ ADD AMOUNT / AGREGA MONTO",IF(D373="","⚠ ADD CATEGORY / AGREGA CATEGORÍA",IF(K373=0,"● NEW CATEGORY? / ¿CATEGORÍA NUEVA?","✔ OK")))))</f>
        <v/>
      </c>
      <c r="K373" s="56" t="str">
        <f aca="false">IF(D373="","",IFERROR(MATCH(D373,Budget!$B$7:$B$41,0),0))</f>
        <v/>
      </c>
      <c r="L373" s="56" t="n">
        <f aca="false">IF(AND(ISNUMBER(B373),ISNUMBER(E373),D373&lt;&gt;""),YEAR(B373)*100+MONTH(B373),0)</f>
        <v>0</v>
      </c>
      <c r="M373" s="56" t="n">
        <f aca="false">IF(L373=0,0,YEAR(B373))</f>
        <v>0</v>
      </c>
      <c r="N373" s="56" t="str">
        <f aca="false">IF(L373=0,"",IF(K373=0,"Wants / Gustos",INDEX(Budget!$D$7:$D$41,K373)))</f>
        <v/>
      </c>
    </row>
    <row r="374" customFormat="false" ht="15" hidden="false" customHeight="false" outlineLevel="0" collapsed="false">
      <c r="B374" s="57"/>
      <c r="C374" s="58"/>
      <c r="D374" s="58"/>
      <c r="E374" s="59"/>
      <c r="F374" s="58"/>
      <c r="G374" s="58"/>
      <c r="H374" s="60" t="str">
        <f aca="false">IF(OR(E374="",D374=""),"",IF(K374=0,"Expense / Gasto",INDEX(Budget!$C$7:$C$41,K374)))</f>
        <v/>
      </c>
      <c r="I374" s="60" t="str">
        <f aca="false">IF(AND(B374="",E374=""),"",IF(NOT(ISNUMBER(B374)),"⚠ ADD DATE / AGREGA FECHA",IF(E374="","⚠ ADD AMOUNT / AGREGA MONTO",IF(D374="","⚠ ADD CATEGORY / AGREGA CATEGORÍA",IF(K374=0,"● NEW CATEGORY? / ¿CATEGORÍA NUEVA?","✔ OK")))))</f>
        <v/>
      </c>
      <c r="K374" s="56" t="str">
        <f aca="false">IF(D374="","",IFERROR(MATCH(D374,Budget!$B$7:$B$41,0),0))</f>
        <v/>
      </c>
      <c r="L374" s="56" t="n">
        <f aca="false">IF(AND(ISNUMBER(B374),ISNUMBER(E374),D374&lt;&gt;""),YEAR(B374)*100+MONTH(B374),0)</f>
        <v>0</v>
      </c>
      <c r="M374" s="56" t="n">
        <f aca="false">IF(L374=0,0,YEAR(B374))</f>
        <v>0</v>
      </c>
      <c r="N374" s="56" t="str">
        <f aca="false">IF(L374=0,"",IF(K374=0,"Wants / Gustos",INDEX(Budget!$D$7:$D$41,K374)))</f>
        <v/>
      </c>
    </row>
    <row r="375" customFormat="false" ht="15" hidden="false" customHeight="false" outlineLevel="0" collapsed="false">
      <c r="B375" s="57"/>
      <c r="C375" s="58"/>
      <c r="D375" s="58"/>
      <c r="E375" s="59"/>
      <c r="F375" s="58"/>
      <c r="G375" s="58"/>
      <c r="H375" s="60" t="str">
        <f aca="false">IF(OR(E375="",D375=""),"",IF(K375=0,"Expense / Gasto",INDEX(Budget!$C$7:$C$41,K375)))</f>
        <v/>
      </c>
      <c r="I375" s="60" t="str">
        <f aca="false">IF(AND(B375="",E375=""),"",IF(NOT(ISNUMBER(B375)),"⚠ ADD DATE / AGREGA FECHA",IF(E375="","⚠ ADD AMOUNT / AGREGA MONTO",IF(D375="","⚠ ADD CATEGORY / AGREGA CATEGORÍA",IF(K375=0,"● NEW CATEGORY? / ¿CATEGORÍA NUEVA?","✔ OK")))))</f>
        <v/>
      </c>
      <c r="K375" s="56" t="str">
        <f aca="false">IF(D375="","",IFERROR(MATCH(D375,Budget!$B$7:$B$41,0),0))</f>
        <v/>
      </c>
      <c r="L375" s="56" t="n">
        <f aca="false">IF(AND(ISNUMBER(B375),ISNUMBER(E375),D375&lt;&gt;""),YEAR(B375)*100+MONTH(B375),0)</f>
        <v>0</v>
      </c>
      <c r="M375" s="56" t="n">
        <f aca="false">IF(L375=0,0,YEAR(B375))</f>
        <v>0</v>
      </c>
      <c r="N375" s="56" t="str">
        <f aca="false">IF(L375=0,"",IF(K375=0,"Wants / Gustos",INDEX(Budget!$D$7:$D$41,K375)))</f>
        <v/>
      </c>
    </row>
    <row r="376" customFormat="false" ht="15" hidden="false" customHeight="false" outlineLevel="0" collapsed="false">
      <c r="B376" s="57"/>
      <c r="C376" s="58"/>
      <c r="D376" s="58"/>
      <c r="E376" s="59"/>
      <c r="F376" s="58"/>
      <c r="G376" s="58"/>
      <c r="H376" s="60" t="str">
        <f aca="false">IF(OR(E376="",D376=""),"",IF(K376=0,"Expense / Gasto",INDEX(Budget!$C$7:$C$41,K376)))</f>
        <v/>
      </c>
      <c r="I376" s="60" t="str">
        <f aca="false">IF(AND(B376="",E376=""),"",IF(NOT(ISNUMBER(B376)),"⚠ ADD DATE / AGREGA FECHA",IF(E376="","⚠ ADD AMOUNT / AGREGA MONTO",IF(D376="","⚠ ADD CATEGORY / AGREGA CATEGORÍA",IF(K376=0,"● NEW CATEGORY? / ¿CATEGORÍA NUEVA?","✔ OK")))))</f>
        <v/>
      </c>
      <c r="K376" s="56" t="str">
        <f aca="false">IF(D376="","",IFERROR(MATCH(D376,Budget!$B$7:$B$41,0),0))</f>
        <v/>
      </c>
      <c r="L376" s="56" t="n">
        <f aca="false">IF(AND(ISNUMBER(B376),ISNUMBER(E376),D376&lt;&gt;""),YEAR(B376)*100+MONTH(B376),0)</f>
        <v>0</v>
      </c>
      <c r="M376" s="56" t="n">
        <f aca="false">IF(L376=0,0,YEAR(B376))</f>
        <v>0</v>
      </c>
      <c r="N376" s="56" t="str">
        <f aca="false">IF(L376=0,"",IF(K376=0,"Wants / Gustos",INDEX(Budget!$D$7:$D$41,K376)))</f>
        <v/>
      </c>
    </row>
    <row r="377" customFormat="false" ht="15" hidden="false" customHeight="false" outlineLevel="0" collapsed="false">
      <c r="B377" s="57"/>
      <c r="C377" s="58"/>
      <c r="D377" s="58"/>
      <c r="E377" s="59"/>
      <c r="F377" s="58"/>
      <c r="G377" s="58"/>
      <c r="H377" s="60" t="str">
        <f aca="false">IF(OR(E377="",D377=""),"",IF(K377=0,"Expense / Gasto",INDEX(Budget!$C$7:$C$41,K377)))</f>
        <v/>
      </c>
      <c r="I377" s="60" t="str">
        <f aca="false">IF(AND(B377="",E377=""),"",IF(NOT(ISNUMBER(B377)),"⚠ ADD DATE / AGREGA FECHA",IF(E377="","⚠ ADD AMOUNT / AGREGA MONTO",IF(D377="","⚠ ADD CATEGORY / AGREGA CATEGORÍA",IF(K377=0,"● NEW CATEGORY? / ¿CATEGORÍA NUEVA?","✔ OK")))))</f>
        <v/>
      </c>
      <c r="K377" s="56" t="str">
        <f aca="false">IF(D377="","",IFERROR(MATCH(D377,Budget!$B$7:$B$41,0),0))</f>
        <v/>
      </c>
      <c r="L377" s="56" t="n">
        <f aca="false">IF(AND(ISNUMBER(B377),ISNUMBER(E377),D377&lt;&gt;""),YEAR(B377)*100+MONTH(B377),0)</f>
        <v>0</v>
      </c>
      <c r="M377" s="56" t="n">
        <f aca="false">IF(L377=0,0,YEAR(B377))</f>
        <v>0</v>
      </c>
      <c r="N377" s="56" t="str">
        <f aca="false">IF(L377=0,"",IF(K377=0,"Wants / Gustos",INDEX(Budget!$D$7:$D$41,K377)))</f>
        <v/>
      </c>
    </row>
    <row r="378" customFormat="false" ht="15" hidden="false" customHeight="false" outlineLevel="0" collapsed="false">
      <c r="B378" s="57"/>
      <c r="C378" s="58"/>
      <c r="D378" s="58"/>
      <c r="E378" s="59"/>
      <c r="F378" s="58"/>
      <c r="G378" s="58"/>
      <c r="H378" s="60" t="str">
        <f aca="false">IF(OR(E378="",D378=""),"",IF(K378=0,"Expense / Gasto",INDEX(Budget!$C$7:$C$41,K378)))</f>
        <v/>
      </c>
      <c r="I378" s="60" t="str">
        <f aca="false">IF(AND(B378="",E378=""),"",IF(NOT(ISNUMBER(B378)),"⚠ ADD DATE / AGREGA FECHA",IF(E378="","⚠ ADD AMOUNT / AGREGA MONTO",IF(D378="","⚠ ADD CATEGORY / AGREGA CATEGORÍA",IF(K378=0,"● NEW CATEGORY? / ¿CATEGORÍA NUEVA?","✔ OK")))))</f>
        <v/>
      </c>
      <c r="K378" s="56" t="str">
        <f aca="false">IF(D378="","",IFERROR(MATCH(D378,Budget!$B$7:$B$41,0),0))</f>
        <v/>
      </c>
      <c r="L378" s="56" t="n">
        <f aca="false">IF(AND(ISNUMBER(B378),ISNUMBER(E378),D378&lt;&gt;""),YEAR(B378)*100+MONTH(B378),0)</f>
        <v>0</v>
      </c>
      <c r="M378" s="56" t="n">
        <f aca="false">IF(L378=0,0,YEAR(B378))</f>
        <v>0</v>
      </c>
      <c r="N378" s="56" t="str">
        <f aca="false">IF(L378=0,"",IF(K378=0,"Wants / Gustos",INDEX(Budget!$D$7:$D$41,K378)))</f>
        <v/>
      </c>
    </row>
    <row r="379" customFormat="false" ht="15" hidden="false" customHeight="false" outlineLevel="0" collapsed="false">
      <c r="B379" s="57"/>
      <c r="C379" s="58"/>
      <c r="D379" s="58"/>
      <c r="E379" s="59"/>
      <c r="F379" s="58"/>
      <c r="G379" s="58"/>
      <c r="H379" s="60" t="str">
        <f aca="false">IF(OR(E379="",D379=""),"",IF(K379=0,"Expense / Gasto",INDEX(Budget!$C$7:$C$41,K379)))</f>
        <v/>
      </c>
      <c r="I379" s="60" t="str">
        <f aca="false">IF(AND(B379="",E379=""),"",IF(NOT(ISNUMBER(B379)),"⚠ ADD DATE / AGREGA FECHA",IF(E379="","⚠ ADD AMOUNT / AGREGA MONTO",IF(D379="","⚠ ADD CATEGORY / AGREGA CATEGORÍA",IF(K379=0,"● NEW CATEGORY? / ¿CATEGORÍA NUEVA?","✔ OK")))))</f>
        <v/>
      </c>
      <c r="K379" s="56" t="str">
        <f aca="false">IF(D379="","",IFERROR(MATCH(D379,Budget!$B$7:$B$41,0),0))</f>
        <v/>
      </c>
      <c r="L379" s="56" t="n">
        <f aca="false">IF(AND(ISNUMBER(B379),ISNUMBER(E379),D379&lt;&gt;""),YEAR(B379)*100+MONTH(B379),0)</f>
        <v>0</v>
      </c>
      <c r="M379" s="56" t="n">
        <f aca="false">IF(L379=0,0,YEAR(B379))</f>
        <v>0</v>
      </c>
      <c r="N379" s="56" t="str">
        <f aca="false">IF(L379=0,"",IF(K379=0,"Wants / Gustos",INDEX(Budget!$D$7:$D$41,K379)))</f>
        <v/>
      </c>
    </row>
    <row r="380" customFormat="false" ht="15" hidden="false" customHeight="false" outlineLevel="0" collapsed="false">
      <c r="B380" s="57"/>
      <c r="C380" s="58"/>
      <c r="D380" s="58"/>
      <c r="E380" s="59"/>
      <c r="F380" s="58"/>
      <c r="G380" s="58"/>
      <c r="H380" s="60" t="str">
        <f aca="false">IF(OR(E380="",D380=""),"",IF(K380=0,"Expense / Gasto",INDEX(Budget!$C$7:$C$41,K380)))</f>
        <v/>
      </c>
      <c r="I380" s="60" t="str">
        <f aca="false">IF(AND(B380="",E380=""),"",IF(NOT(ISNUMBER(B380)),"⚠ ADD DATE / AGREGA FECHA",IF(E380="","⚠ ADD AMOUNT / AGREGA MONTO",IF(D380="","⚠ ADD CATEGORY / AGREGA CATEGORÍA",IF(K380=0,"● NEW CATEGORY? / ¿CATEGORÍA NUEVA?","✔ OK")))))</f>
        <v/>
      </c>
      <c r="K380" s="56" t="str">
        <f aca="false">IF(D380="","",IFERROR(MATCH(D380,Budget!$B$7:$B$41,0),0))</f>
        <v/>
      </c>
      <c r="L380" s="56" t="n">
        <f aca="false">IF(AND(ISNUMBER(B380),ISNUMBER(E380),D380&lt;&gt;""),YEAR(B380)*100+MONTH(B380),0)</f>
        <v>0</v>
      </c>
      <c r="M380" s="56" t="n">
        <f aca="false">IF(L380=0,0,YEAR(B380))</f>
        <v>0</v>
      </c>
      <c r="N380" s="56" t="str">
        <f aca="false">IF(L380=0,"",IF(K380=0,"Wants / Gustos",INDEX(Budget!$D$7:$D$41,K380)))</f>
        <v/>
      </c>
    </row>
    <row r="381" customFormat="false" ht="15" hidden="false" customHeight="false" outlineLevel="0" collapsed="false">
      <c r="B381" s="57"/>
      <c r="C381" s="58"/>
      <c r="D381" s="58"/>
      <c r="E381" s="59"/>
      <c r="F381" s="58"/>
      <c r="G381" s="58"/>
      <c r="H381" s="60" t="str">
        <f aca="false">IF(OR(E381="",D381=""),"",IF(K381=0,"Expense / Gasto",INDEX(Budget!$C$7:$C$41,K381)))</f>
        <v/>
      </c>
      <c r="I381" s="60" t="str">
        <f aca="false">IF(AND(B381="",E381=""),"",IF(NOT(ISNUMBER(B381)),"⚠ ADD DATE / AGREGA FECHA",IF(E381="","⚠ ADD AMOUNT / AGREGA MONTO",IF(D381="","⚠ ADD CATEGORY / AGREGA CATEGORÍA",IF(K381=0,"● NEW CATEGORY? / ¿CATEGORÍA NUEVA?","✔ OK")))))</f>
        <v/>
      </c>
      <c r="K381" s="56" t="str">
        <f aca="false">IF(D381="","",IFERROR(MATCH(D381,Budget!$B$7:$B$41,0),0))</f>
        <v/>
      </c>
      <c r="L381" s="56" t="n">
        <f aca="false">IF(AND(ISNUMBER(B381),ISNUMBER(E381),D381&lt;&gt;""),YEAR(B381)*100+MONTH(B381),0)</f>
        <v>0</v>
      </c>
      <c r="M381" s="56" t="n">
        <f aca="false">IF(L381=0,0,YEAR(B381))</f>
        <v>0</v>
      </c>
      <c r="N381" s="56" t="str">
        <f aca="false">IF(L381=0,"",IF(K381=0,"Wants / Gustos",INDEX(Budget!$D$7:$D$41,K381)))</f>
        <v/>
      </c>
    </row>
    <row r="382" customFormat="false" ht="15" hidden="false" customHeight="false" outlineLevel="0" collapsed="false">
      <c r="B382" s="57"/>
      <c r="C382" s="58"/>
      <c r="D382" s="58"/>
      <c r="E382" s="59"/>
      <c r="F382" s="58"/>
      <c r="G382" s="58"/>
      <c r="H382" s="60" t="str">
        <f aca="false">IF(OR(E382="",D382=""),"",IF(K382=0,"Expense / Gasto",INDEX(Budget!$C$7:$C$41,K382)))</f>
        <v/>
      </c>
      <c r="I382" s="60" t="str">
        <f aca="false">IF(AND(B382="",E382=""),"",IF(NOT(ISNUMBER(B382)),"⚠ ADD DATE / AGREGA FECHA",IF(E382="","⚠ ADD AMOUNT / AGREGA MONTO",IF(D382="","⚠ ADD CATEGORY / AGREGA CATEGORÍA",IF(K382=0,"● NEW CATEGORY? / ¿CATEGORÍA NUEVA?","✔ OK")))))</f>
        <v/>
      </c>
      <c r="K382" s="56" t="str">
        <f aca="false">IF(D382="","",IFERROR(MATCH(D382,Budget!$B$7:$B$41,0),0))</f>
        <v/>
      </c>
      <c r="L382" s="56" t="n">
        <f aca="false">IF(AND(ISNUMBER(B382),ISNUMBER(E382),D382&lt;&gt;""),YEAR(B382)*100+MONTH(B382),0)</f>
        <v>0</v>
      </c>
      <c r="M382" s="56" t="n">
        <f aca="false">IF(L382=0,0,YEAR(B382))</f>
        <v>0</v>
      </c>
      <c r="N382" s="56" t="str">
        <f aca="false">IF(L382=0,"",IF(K382=0,"Wants / Gustos",INDEX(Budget!$D$7:$D$41,K382)))</f>
        <v/>
      </c>
    </row>
    <row r="383" customFormat="false" ht="15" hidden="false" customHeight="false" outlineLevel="0" collapsed="false">
      <c r="B383" s="57"/>
      <c r="C383" s="58"/>
      <c r="D383" s="58"/>
      <c r="E383" s="59"/>
      <c r="F383" s="58"/>
      <c r="G383" s="58"/>
      <c r="H383" s="60" t="str">
        <f aca="false">IF(OR(E383="",D383=""),"",IF(K383=0,"Expense / Gasto",INDEX(Budget!$C$7:$C$41,K383)))</f>
        <v/>
      </c>
      <c r="I383" s="60" t="str">
        <f aca="false">IF(AND(B383="",E383=""),"",IF(NOT(ISNUMBER(B383)),"⚠ ADD DATE / AGREGA FECHA",IF(E383="","⚠ ADD AMOUNT / AGREGA MONTO",IF(D383="","⚠ ADD CATEGORY / AGREGA CATEGORÍA",IF(K383=0,"● NEW CATEGORY? / ¿CATEGORÍA NUEVA?","✔ OK")))))</f>
        <v/>
      </c>
      <c r="K383" s="56" t="str">
        <f aca="false">IF(D383="","",IFERROR(MATCH(D383,Budget!$B$7:$B$41,0),0))</f>
        <v/>
      </c>
      <c r="L383" s="56" t="n">
        <f aca="false">IF(AND(ISNUMBER(B383),ISNUMBER(E383),D383&lt;&gt;""),YEAR(B383)*100+MONTH(B383),0)</f>
        <v>0</v>
      </c>
      <c r="M383" s="56" t="n">
        <f aca="false">IF(L383=0,0,YEAR(B383))</f>
        <v>0</v>
      </c>
      <c r="N383" s="56" t="str">
        <f aca="false">IF(L383=0,"",IF(K383=0,"Wants / Gustos",INDEX(Budget!$D$7:$D$41,K383)))</f>
        <v/>
      </c>
    </row>
    <row r="384" customFormat="false" ht="15" hidden="false" customHeight="false" outlineLevel="0" collapsed="false">
      <c r="B384" s="57"/>
      <c r="C384" s="58"/>
      <c r="D384" s="58"/>
      <c r="E384" s="59"/>
      <c r="F384" s="58"/>
      <c r="G384" s="58"/>
      <c r="H384" s="60" t="str">
        <f aca="false">IF(OR(E384="",D384=""),"",IF(K384=0,"Expense / Gasto",INDEX(Budget!$C$7:$C$41,K384)))</f>
        <v/>
      </c>
      <c r="I384" s="60" t="str">
        <f aca="false">IF(AND(B384="",E384=""),"",IF(NOT(ISNUMBER(B384)),"⚠ ADD DATE / AGREGA FECHA",IF(E384="","⚠ ADD AMOUNT / AGREGA MONTO",IF(D384="","⚠ ADD CATEGORY / AGREGA CATEGORÍA",IF(K384=0,"● NEW CATEGORY? / ¿CATEGORÍA NUEVA?","✔ OK")))))</f>
        <v/>
      </c>
      <c r="K384" s="56" t="str">
        <f aca="false">IF(D384="","",IFERROR(MATCH(D384,Budget!$B$7:$B$41,0),0))</f>
        <v/>
      </c>
      <c r="L384" s="56" t="n">
        <f aca="false">IF(AND(ISNUMBER(B384),ISNUMBER(E384),D384&lt;&gt;""),YEAR(B384)*100+MONTH(B384),0)</f>
        <v>0</v>
      </c>
      <c r="M384" s="56" t="n">
        <f aca="false">IF(L384=0,0,YEAR(B384))</f>
        <v>0</v>
      </c>
      <c r="N384" s="56" t="str">
        <f aca="false">IF(L384=0,"",IF(K384=0,"Wants / Gustos",INDEX(Budget!$D$7:$D$41,K384)))</f>
        <v/>
      </c>
    </row>
    <row r="385" customFormat="false" ht="15" hidden="false" customHeight="false" outlineLevel="0" collapsed="false">
      <c r="B385" s="57"/>
      <c r="C385" s="58"/>
      <c r="D385" s="58"/>
      <c r="E385" s="59"/>
      <c r="F385" s="58"/>
      <c r="G385" s="58"/>
      <c r="H385" s="60" t="str">
        <f aca="false">IF(OR(E385="",D385=""),"",IF(K385=0,"Expense / Gasto",INDEX(Budget!$C$7:$C$41,K385)))</f>
        <v/>
      </c>
      <c r="I385" s="60" t="str">
        <f aca="false">IF(AND(B385="",E385=""),"",IF(NOT(ISNUMBER(B385)),"⚠ ADD DATE / AGREGA FECHA",IF(E385="","⚠ ADD AMOUNT / AGREGA MONTO",IF(D385="","⚠ ADD CATEGORY / AGREGA CATEGORÍA",IF(K385=0,"● NEW CATEGORY? / ¿CATEGORÍA NUEVA?","✔ OK")))))</f>
        <v/>
      </c>
      <c r="K385" s="56" t="str">
        <f aca="false">IF(D385="","",IFERROR(MATCH(D385,Budget!$B$7:$B$41,0),0))</f>
        <v/>
      </c>
      <c r="L385" s="56" t="n">
        <f aca="false">IF(AND(ISNUMBER(B385),ISNUMBER(E385),D385&lt;&gt;""),YEAR(B385)*100+MONTH(B385),0)</f>
        <v>0</v>
      </c>
      <c r="M385" s="56" t="n">
        <f aca="false">IF(L385=0,0,YEAR(B385))</f>
        <v>0</v>
      </c>
      <c r="N385" s="56" t="str">
        <f aca="false">IF(L385=0,"",IF(K385=0,"Wants / Gustos",INDEX(Budget!$D$7:$D$41,K385)))</f>
        <v/>
      </c>
    </row>
    <row r="386" customFormat="false" ht="15" hidden="false" customHeight="false" outlineLevel="0" collapsed="false">
      <c r="B386" s="57"/>
      <c r="C386" s="58"/>
      <c r="D386" s="58"/>
      <c r="E386" s="59"/>
      <c r="F386" s="58"/>
      <c r="G386" s="58"/>
      <c r="H386" s="60" t="str">
        <f aca="false">IF(OR(E386="",D386=""),"",IF(K386=0,"Expense / Gasto",INDEX(Budget!$C$7:$C$41,K386)))</f>
        <v/>
      </c>
      <c r="I386" s="60" t="str">
        <f aca="false">IF(AND(B386="",E386=""),"",IF(NOT(ISNUMBER(B386)),"⚠ ADD DATE / AGREGA FECHA",IF(E386="","⚠ ADD AMOUNT / AGREGA MONTO",IF(D386="","⚠ ADD CATEGORY / AGREGA CATEGORÍA",IF(K386=0,"● NEW CATEGORY? / ¿CATEGORÍA NUEVA?","✔ OK")))))</f>
        <v/>
      </c>
      <c r="K386" s="56" t="str">
        <f aca="false">IF(D386="","",IFERROR(MATCH(D386,Budget!$B$7:$B$41,0),0))</f>
        <v/>
      </c>
      <c r="L386" s="56" t="n">
        <f aca="false">IF(AND(ISNUMBER(B386),ISNUMBER(E386),D386&lt;&gt;""),YEAR(B386)*100+MONTH(B386),0)</f>
        <v>0</v>
      </c>
      <c r="M386" s="56" t="n">
        <f aca="false">IF(L386=0,0,YEAR(B386))</f>
        <v>0</v>
      </c>
      <c r="N386" s="56" t="str">
        <f aca="false">IF(L386=0,"",IF(K386=0,"Wants / Gustos",INDEX(Budget!$D$7:$D$41,K386)))</f>
        <v/>
      </c>
    </row>
    <row r="387" customFormat="false" ht="15" hidden="false" customHeight="false" outlineLevel="0" collapsed="false">
      <c r="B387" s="57"/>
      <c r="C387" s="58"/>
      <c r="D387" s="58"/>
      <c r="E387" s="59"/>
      <c r="F387" s="58"/>
      <c r="G387" s="58"/>
      <c r="H387" s="60" t="str">
        <f aca="false">IF(OR(E387="",D387=""),"",IF(K387=0,"Expense / Gasto",INDEX(Budget!$C$7:$C$41,K387)))</f>
        <v/>
      </c>
      <c r="I387" s="60" t="str">
        <f aca="false">IF(AND(B387="",E387=""),"",IF(NOT(ISNUMBER(B387)),"⚠ ADD DATE / AGREGA FECHA",IF(E387="","⚠ ADD AMOUNT / AGREGA MONTO",IF(D387="","⚠ ADD CATEGORY / AGREGA CATEGORÍA",IF(K387=0,"● NEW CATEGORY? / ¿CATEGORÍA NUEVA?","✔ OK")))))</f>
        <v/>
      </c>
      <c r="K387" s="56" t="str">
        <f aca="false">IF(D387="","",IFERROR(MATCH(D387,Budget!$B$7:$B$41,0),0))</f>
        <v/>
      </c>
      <c r="L387" s="56" t="n">
        <f aca="false">IF(AND(ISNUMBER(B387),ISNUMBER(E387),D387&lt;&gt;""),YEAR(B387)*100+MONTH(B387),0)</f>
        <v>0</v>
      </c>
      <c r="M387" s="56" t="n">
        <f aca="false">IF(L387=0,0,YEAR(B387))</f>
        <v>0</v>
      </c>
      <c r="N387" s="56" t="str">
        <f aca="false">IF(L387=0,"",IF(K387=0,"Wants / Gustos",INDEX(Budget!$D$7:$D$41,K387)))</f>
        <v/>
      </c>
    </row>
    <row r="388" customFormat="false" ht="15" hidden="false" customHeight="false" outlineLevel="0" collapsed="false">
      <c r="B388" s="57"/>
      <c r="C388" s="58"/>
      <c r="D388" s="58"/>
      <c r="E388" s="59"/>
      <c r="F388" s="58"/>
      <c r="G388" s="58"/>
      <c r="H388" s="60" t="str">
        <f aca="false">IF(OR(E388="",D388=""),"",IF(K388=0,"Expense / Gasto",INDEX(Budget!$C$7:$C$41,K388)))</f>
        <v/>
      </c>
      <c r="I388" s="60" t="str">
        <f aca="false">IF(AND(B388="",E388=""),"",IF(NOT(ISNUMBER(B388)),"⚠ ADD DATE / AGREGA FECHA",IF(E388="","⚠ ADD AMOUNT / AGREGA MONTO",IF(D388="","⚠ ADD CATEGORY / AGREGA CATEGORÍA",IF(K388=0,"● NEW CATEGORY? / ¿CATEGORÍA NUEVA?","✔ OK")))))</f>
        <v/>
      </c>
      <c r="K388" s="56" t="str">
        <f aca="false">IF(D388="","",IFERROR(MATCH(D388,Budget!$B$7:$B$41,0),0))</f>
        <v/>
      </c>
      <c r="L388" s="56" t="n">
        <f aca="false">IF(AND(ISNUMBER(B388),ISNUMBER(E388),D388&lt;&gt;""),YEAR(B388)*100+MONTH(B388),0)</f>
        <v>0</v>
      </c>
      <c r="M388" s="56" t="n">
        <f aca="false">IF(L388=0,0,YEAR(B388))</f>
        <v>0</v>
      </c>
      <c r="N388" s="56" t="str">
        <f aca="false">IF(L388=0,"",IF(K388=0,"Wants / Gustos",INDEX(Budget!$D$7:$D$41,K388)))</f>
        <v/>
      </c>
    </row>
    <row r="389" customFormat="false" ht="15" hidden="false" customHeight="false" outlineLevel="0" collapsed="false">
      <c r="B389" s="57"/>
      <c r="C389" s="58"/>
      <c r="D389" s="58"/>
      <c r="E389" s="59"/>
      <c r="F389" s="58"/>
      <c r="G389" s="58"/>
      <c r="H389" s="60" t="str">
        <f aca="false">IF(OR(E389="",D389=""),"",IF(K389=0,"Expense / Gasto",INDEX(Budget!$C$7:$C$41,K389)))</f>
        <v/>
      </c>
      <c r="I389" s="60" t="str">
        <f aca="false">IF(AND(B389="",E389=""),"",IF(NOT(ISNUMBER(B389)),"⚠ ADD DATE / AGREGA FECHA",IF(E389="","⚠ ADD AMOUNT / AGREGA MONTO",IF(D389="","⚠ ADD CATEGORY / AGREGA CATEGORÍA",IF(K389=0,"● NEW CATEGORY? / ¿CATEGORÍA NUEVA?","✔ OK")))))</f>
        <v/>
      </c>
      <c r="K389" s="56" t="str">
        <f aca="false">IF(D389="","",IFERROR(MATCH(D389,Budget!$B$7:$B$41,0),0))</f>
        <v/>
      </c>
      <c r="L389" s="56" t="n">
        <f aca="false">IF(AND(ISNUMBER(B389),ISNUMBER(E389),D389&lt;&gt;""),YEAR(B389)*100+MONTH(B389),0)</f>
        <v>0</v>
      </c>
      <c r="M389" s="56" t="n">
        <f aca="false">IF(L389=0,0,YEAR(B389))</f>
        <v>0</v>
      </c>
      <c r="N389" s="56" t="str">
        <f aca="false">IF(L389=0,"",IF(K389=0,"Wants / Gustos",INDEX(Budget!$D$7:$D$41,K389)))</f>
        <v/>
      </c>
    </row>
    <row r="390" customFormat="false" ht="15" hidden="false" customHeight="false" outlineLevel="0" collapsed="false">
      <c r="B390" s="57"/>
      <c r="C390" s="58"/>
      <c r="D390" s="58"/>
      <c r="E390" s="59"/>
      <c r="F390" s="58"/>
      <c r="G390" s="58"/>
      <c r="H390" s="60" t="str">
        <f aca="false">IF(OR(E390="",D390=""),"",IF(K390=0,"Expense / Gasto",INDEX(Budget!$C$7:$C$41,K390)))</f>
        <v/>
      </c>
      <c r="I390" s="60" t="str">
        <f aca="false">IF(AND(B390="",E390=""),"",IF(NOT(ISNUMBER(B390)),"⚠ ADD DATE / AGREGA FECHA",IF(E390="","⚠ ADD AMOUNT / AGREGA MONTO",IF(D390="","⚠ ADD CATEGORY / AGREGA CATEGORÍA",IF(K390=0,"● NEW CATEGORY? / ¿CATEGORÍA NUEVA?","✔ OK")))))</f>
        <v/>
      </c>
      <c r="K390" s="56" t="str">
        <f aca="false">IF(D390="","",IFERROR(MATCH(D390,Budget!$B$7:$B$41,0),0))</f>
        <v/>
      </c>
      <c r="L390" s="56" t="n">
        <f aca="false">IF(AND(ISNUMBER(B390),ISNUMBER(E390),D390&lt;&gt;""),YEAR(B390)*100+MONTH(B390),0)</f>
        <v>0</v>
      </c>
      <c r="M390" s="56" t="n">
        <f aca="false">IF(L390=0,0,YEAR(B390))</f>
        <v>0</v>
      </c>
      <c r="N390" s="56" t="str">
        <f aca="false">IF(L390=0,"",IF(K390=0,"Wants / Gustos",INDEX(Budget!$D$7:$D$41,K390)))</f>
        <v/>
      </c>
    </row>
    <row r="391" customFormat="false" ht="15" hidden="false" customHeight="false" outlineLevel="0" collapsed="false">
      <c r="B391" s="57"/>
      <c r="C391" s="58"/>
      <c r="D391" s="58"/>
      <c r="E391" s="59"/>
      <c r="F391" s="58"/>
      <c r="G391" s="58"/>
      <c r="H391" s="60" t="str">
        <f aca="false">IF(OR(E391="",D391=""),"",IF(K391=0,"Expense / Gasto",INDEX(Budget!$C$7:$C$41,K391)))</f>
        <v/>
      </c>
      <c r="I391" s="60" t="str">
        <f aca="false">IF(AND(B391="",E391=""),"",IF(NOT(ISNUMBER(B391)),"⚠ ADD DATE / AGREGA FECHA",IF(E391="","⚠ ADD AMOUNT / AGREGA MONTO",IF(D391="","⚠ ADD CATEGORY / AGREGA CATEGORÍA",IF(K391=0,"● NEW CATEGORY? / ¿CATEGORÍA NUEVA?","✔ OK")))))</f>
        <v/>
      </c>
      <c r="K391" s="56" t="str">
        <f aca="false">IF(D391="","",IFERROR(MATCH(D391,Budget!$B$7:$B$41,0),0))</f>
        <v/>
      </c>
      <c r="L391" s="56" t="n">
        <f aca="false">IF(AND(ISNUMBER(B391),ISNUMBER(E391),D391&lt;&gt;""),YEAR(B391)*100+MONTH(B391),0)</f>
        <v>0</v>
      </c>
      <c r="M391" s="56" t="n">
        <f aca="false">IF(L391=0,0,YEAR(B391))</f>
        <v>0</v>
      </c>
      <c r="N391" s="56" t="str">
        <f aca="false">IF(L391=0,"",IF(K391=0,"Wants / Gustos",INDEX(Budget!$D$7:$D$41,K391)))</f>
        <v/>
      </c>
    </row>
    <row r="392" customFormat="false" ht="15" hidden="false" customHeight="false" outlineLevel="0" collapsed="false">
      <c r="B392" s="57"/>
      <c r="C392" s="58"/>
      <c r="D392" s="58"/>
      <c r="E392" s="59"/>
      <c r="F392" s="58"/>
      <c r="G392" s="58"/>
      <c r="H392" s="60" t="str">
        <f aca="false">IF(OR(E392="",D392=""),"",IF(K392=0,"Expense / Gasto",INDEX(Budget!$C$7:$C$41,K392)))</f>
        <v/>
      </c>
      <c r="I392" s="60" t="str">
        <f aca="false">IF(AND(B392="",E392=""),"",IF(NOT(ISNUMBER(B392)),"⚠ ADD DATE / AGREGA FECHA",IF(E392="","⚠ ADD AMOUNT / AGREGA MONTO",IF(D392="","⚠ ADD CATEGORY / AGREGA CATEGORÍA",IF(K392=0,"● NEW CATEGORY? / ¿CATEGORÍA NUEVA?","✔ OK")))))</f>
        <v/>
      </c>
      <c r="K392" s="56" t="str">
        <f aca="false">IF(D392="","",IFERROR(MATCH(D392,Budget!$B$7:$B$41,0),0))</f>
        <v/>
      </c>
      <c r="L392" s="56" t="n">
        <f aca="false">IF(AND(ISNUMBER(B392),ISNUMBER(E392),D392&lt;&gt;""),YEAR(B392)*100+MONTH(B392),0)</f>
        <v>0</v>
      </c>
      <c r="M392" s="56" t="n">
        <f aca="false">IF(L392=0,0,YEAR(B392))</f>
        <v>0</v>
      </c>
      <c r="N392" s="56" t="str">
        <f aca="false">IF(L392=0,"",IF(K392=0,"Wants / Gustos",INDEX(Budget!$D$7:$D$41,K392)))</f>
        <v/>
      </c>
    </row>
    <row r="393" customFormat="false" ht="15" hidden="false" customHeight="false" outlineLevel="0" collapsed="false">
      <c r="B393" s="57"/>
      <c r="C393" s="58"/>
      <c r="D393" s="58"/>
      <c r="E393" s="59"/>
      <c r="F393" s="58"/>
      <c r="G393" s="58"/>
      <c r="H393" s="60" t="str">
        <f aca="false">IF(OR(E393="",D393=""),"",IF(K393=0,"Expense / Gasto",INDEX(Budget!$C$7:$C$41,K393)))</f>
        <v/>
      </c>
      <c r="I393" s="60" t="str">
        <f aca="false">IF(AND(B393="",E393=""),"",IF(NOT(ISNUMBER(B393)),"⚠ ADD DATE / AGREGA FECHA",IF(E393="","⚠ ADD AMOUNT / AGREGA MONTO",IF(D393="","⚠ ADD CATEGORY / AGREGA CATEGORÍA",IF(K393=0,"● NEW CATEGORY? / ¿CATEGORÍA NUEVA?","✔ OK")))))</f>
        <v/>
      </c>
      <c r="K393" s="56" t="str">
        <f aca="false">IF(D393="","",IFERROR(MATCH(D393,Budget!$B$7:$B$41,0),0))</f>
        <v/>
      </c>
      <c r="L393" s="56" t="n">
        <f aca="false">IF(AND(ISNUMBER(B393),ISNUMBER(E393),D393&lt;&gt;""),YEAR(B393)*100+MONTH(B393),0)</f>
        <v>0</v>
      </c>
      <c r="M393" s="56" t="n">
        <f aca="false">IF(L393=0,0,YEAR(B393))</f>
        <v>0</v>
      </c>
      <c r="N393" s="56" t="str">
        <f aca="false">IF(L393=0,"",IF(K393=0,"Wants / Gustos",INDEX(Budget!$D$7:$D$41,K393)))</f>
        <v/>
      </c>
    </row>
    <row r="394" customFormat="false" ht="15" hidden="false" customHeight="false" outlineLevel="0" collapsed="false">
      <c r="B394" s="57"/>
      <c r="C394" s="58"/>
      <c r="D394" s="58"/>
      <c r="E394" s="59"/>
      <c r="F394" s="58"/>
      <c r="G394" s="58"/>
      <c r="H394" s="60" t="str">
        <f aca="false">IF(OR(E394="",D394=""),"",IF(K394=0,"Expense / Gasto",INDEX(Budget!$C$7:$C$41,K394)))</f>
        <v/>
      </c>
      <c r="I394" s="60" t="str">
        <f aca="false">IF(AND(B394="",E394=""),"",IF(NOT(ISNUMBER(B394)),"⚠ ADD DATE / AGREGA FECHA",IF(E394="","⚠ ADD AMOUNT / AGREGA MONTO",IF(D394="","⚠ ADD CATEGORY / AGREGA CATEGORÍA",IF(K394=0,"● NEW CATEGORY? / ¿CATEGORÍA NUEVA?","✔ OK")))))</f>
        <v/>
      </c>
      <c r="K394" s="56" t="str">
        <f aca="false">IF(D394="","",IFERROR(MATCH(D394,Budget!$B$7:$B$41,0),0))</f>
        <v/>
      </c>
      <c r="L394" s="56" t="n">
        <f aca="false">IF(AND(ISNUMBER(B394),ISNUMBER(E394),D394&lt;&gt;""),YEAR(B394)*100+MONTH(B394),0)</f>
        <v>0</v>
      </c>
      <c r="M394" s="56" t="n">
        <f aca="false">IF(L394=0,0,YEAR(B394))</f>
        <v>0</v>
      </c>
      <c r="N394" s="56" t="str">
        <f aca="false">IF(L394=0,"",IF(K394=0,"Wants / Gustos",INDEX(Budget!$D$7:$D$41,K394)))</f>
        <v/>
      </c>
    </row>
    <row r="395" customFormat="false" ht="15" hidden="false" customHeight="false" outlineLevel="0" collapsed="false">
      <c r="B395" s="57"/>
      <c r="C395" s="58"/>
      <c r="D395" s="58"/>
      <c r="E395" s="59"/>
      <c r="F395" s="58"/>
      <c r="G395" s="58"/>
      <c r="H395" s="60" t="str">
        <f aca="false">IF(OR(E395="",D395=""),"",IF(K395=0,"Expense / Gasto",INDEX(Budget!$C$7:$C$41,K395)))</f>
        <v/>
      </c>
      <c r="I395" s="60" t="str">
        <f aca="false">IF(AND(B395="",E395=""),"",IF(NOT(ISNUMBER(B395)),"⚠ ADD DATE / AGREGA FECHA",IF(E395="","⚠ ADD AMOUNT / AGREGA MONTO",IF(D395="","⚠ ADD CATEGORY / AGREGA CATEGORÍA",IF(K395=0,"● NEW CATEGORY? / ¿CATEGORÍA NUEVA?","✔ OK")))))</f>
        <v/>
      </c>
      <c r="K395" s="56" t="str">
        <f aca="false">IF(D395="","",IFERROR(MATCH(D395,Budget!$B$7:$B$41,0),0))</f>
        <v/>
      </c>
      <c r="L395" s="56" t="n">
        <f aca="false">IF(AND(ISNUMBER(B395),ISNUMBER(E395),D395&lt;&gt;""),YEAR(B395)*100+MONTH(B395),0)</f>
        <v>0</v>
      </c>
      <c r="M395" s="56" t="n">
        <f aca="false">IF(L395=0,0,YEAR(B395))</f>
        <v>0</v>
      </c>
      <c r="N395" s="56" t="str">
        <f aca="false">IF(L395=0,"",IF(K395=0,"Wants / Gustos",INDEX(Budget!$D$7:$D$41,K395)))</f>
        <v/>
      </c>
    </row>
    <row r="396" customFormat="false" ht="15" hidden="false" customHeight="false" outlineLevel="0" collapsed="false">
      <c r="B396" s="57"/>
      <c r="C396" s="58"/>
      <c r="D396" s="58"/>
      <c r="E396" s="59"/>
      <c r="F396" s="58"/>
      <c r="G396" s="58"/>
      <c r="H396" s="60" t="str">
        <f aca="false">IF(OR(E396="",D396=""),"",IF(K396=0,"Expense / Gasto",INDEX(Budget!$C$7:$C$41,K396)))</f>
        <v/>
      </c>
      <c r="I396" s="60" t="str">
        <f aca="false">IF(AND(B396="",E396=""),"",IF(NOT(ISNUMBER(B396)),"⚠ ADD DATE / AGREGA FECHA",IF(E396="","⚠ ADD AMOUNT / AGREGA MONTO",IF(D396="","⚠ ADD CATEGORY / AGREGA CATEGORÍA",IF(K396=0,"● NEW CATEGORY? / ¿CATEGORÍA NUEVA?","✔ OK")))))</f>
        <v/>
      </c>
      <c r="K396" s="56" t="str">
        <f aca="false">IF(D396="","",IFERROR(MATCH(D396,Budget!$B$7:$B$41,0),0))</f>
        <v/>
      </c>
      <c r="L396" s="56" t="n">
        <f aca="false">IF(AND(ISNUMBER(B396),ISNUMBER(E396),D396&lt;&gt;""),YEAR(B396)*100+MONTH(B396),0)</f>
        <v>0</v>
      </c>
      <c r="M396" s="56" t="n">
        <f aca="false">IF(L396=0,0,YEAR(B396))</f>
        <v>0</v>
      </c>
      <c r="N396" s="56" t="str">
        <f aca="false">IF(L396=0,"",IF(K396=0,"Wants / Gustos",INDEX(Budget!$D$7:$D$41,K396)))</f>
        <v/>
      </c>
    </row>
    <row r="397" customFormat="false" ht="15" hidden="false" customHeight="false" outlineLevel="0" collapsed="false">
      <c r="B397" s="57"/>
      <c r="C397" s="58"/>
      <c r="D397" s="58"/>
      <c r="E397" s="59"/>
      <c r="F397" s="58"/>
      <c r="G397" s="58"/>
      <c r="H397" s="60" t="str">
        <f aca="false">IF(OR(E397="",D397=""),"",IF(K397=0,"Expense / Gasto",INDEX(Budget!$C$7:$C$41,K397)))</f>
        <v/>
      </c>
      <c r="I397" s="60" t="str">
        <f aca="false">IF(AND(B397="",E397=""),"",IF(NOT(ISNUMBER(B397)),"⚠ ADD DATE / AGREGA FECHA",IF(E397="","⚠ ADD AMOUNT / AGREGA MONTO",IF(D397="","⚠ ADD CATEGORY / AGREGA CATEGORÍA",IF(K397=0,"● NEW CATEGORY? / ¿CATEGORÍA NUEVA?","✔ OK")))))</f>
        <v/>
      </c>
      <c r="K397" s="56" t="str">
        <f aca="false">IF(D397="","",IFERROR(MATCH(D397,Budget!$B$7:$B$41,0),0))</f>
        <v/>
      </c>
      <c r="L397" s="56" t="n">
        <f aca="false">IF(AND(ISNUMBER(B397),ISNUMBER(E397),D397&lt;&gt;""),YEAR(B397)*100+MONTH(B397),0)</f>
        <v>0</v>
      </c>
      <c r="M397" s="56" t="n">
        <f aca="false">IF(L397=0,0,YEAR(B397))</f>
        <v>0</v>
      </c>
      <c r="N397" s="56" t="str">
        <f aca="false">IF(L397=0,"",IF(K397=0,"Wants / Gustos",INDEX(Budget!$D$7:$D$41,K397)))</f>
        <v/>
      </c>
    </row>
    <row r="398" customFormat="false" ht="15" hidden="false" customHeight="false" outlineLevel="0" collapsed="false">
      <c r="B398" s="57"/>
      <c r="C398" s="58"/>
      <c r="D398" s="58"/>
      <c r="E398" s="59"/>
      <c r="F398" s="58"/>
      <c r="G398" s="58"/>
      <c r="H398" s="60" t="str">
        <f aca="false">IF(OR(E398="",D398=""),"",IF(K398=0,"Expense / Gasto",INDEX(Budget!$C$7:$C$41,K398)))</f>
        <v/>
      </c>
      <c r="I398" s="60" t="str">
        <f aca="false">IF(AND(B398="",E398=""),"",IF(NOT(ISNUMBER(B398)),"⚠ ADD DATE / AGREGA FECHA",IF(E398="","⚠ ADD AMOUNT / AGREGA MONTO",IF(D398="","⚠ ADD CATEGORY / AGREGA CATEGORÍA",IF(K398=0,"● NEW CATEGORY? / ¿CATEGORÍA NUEVA?","✔ OK")))))</f>
        <v/>
      </c>
      <c r="K398" s="56" t="str">
        <f aca="false">IF(D398="","",IFERROR(MATCH(D398,Budget!$B$7:$B$41,0),0))</f>
        <v/>
      </c>
      <c r="L398" s="56" t="n">
        <f aca="false">IF(AND(ISNUMBER(B398),ISNUMBER(E398),D398&lt;&gt;""),YEAR(B398)*100+MONTH(B398),0)</f>
        <v>0</v>
      </c>
      <c r="M398" s="56" t="n">
        <f aca="false">IF(L398=0,0,YEAR(B398))</f>
        <v>0</v>
      </c>
      <c r="N398" s="56" t="str">
        <f aca="false">IF(L398=0,"",IF(K398=0,"Wants / Gustos",INDEX(Budget!$D$7:$D$41,K398)))</f>
        <v/>
      </c>
    </row>
    <row r="399" customFormat="false" ht="15" hidden="false" customHeight="false" outlineLevel="0" collapsed="false">
      <c r="B399" s="57"/>
      <c r="C399" s="58"/>
      <c r="D399" s="58"/>
      <c r="E399" s="59"/>
      <c r="F399" s="58"/>
      <c r="G399" s="58"/>
      <c r="H399" s="60" t="str">
        <f aca="false">IF(OR(E399="",D399=""),"",IF(K399=0,"Expense / Gasto",INDEX(Budget!$C$7:$C$41,K399)))</f>
        <v/>
      </c>
      <c r="I399" s="60" t="str">
        <f aca="false">IF(AND(B399="",E399=""),"",IF(NOT(ISNUMBER(B399)),"⚠ ADD DATE / AGREGA FECHA",IF(E399="","⚠ ADD AMOUNT / AGREGA MONTO",IF(D399="","⚠ ADD CATEGORY / AGREGA CATEGORÍA",IF(K399=0,"● NEW CATEGORY? / ¿CATEGORÍA NUEVA?","✔ OK")))))</f>
        <v/>
      </c>
      <c r="K399" s="56" t="str">
        <f aca="false">IF(D399="","",IFERROR(MATCH(D399,Budget!$B$7:$B$41,0),0))</f>
        <v/>
      </c>
      <c r="L399" s="56" t="n">
        <f aca="false">IF(AND(ISNUMBER(B399),ISNUMBER(E399),D399&lt;&gt;""),YEAR(B399)*100+MONTH(B399),0)</f>
        <v>0</v>
      </c>
      <c r="M399" s="56" t="n">
        <f aca="false">IF(L399=0,0,YEAR(B399))</f>
        <v>0</v>
      </c>
      <c r="N399" s="56" t="str">
        <f aca="false">IF(L399=0,"",IF(K399=0,"Wants / Gustos",INDEX(Budget!$D$7:$D$41,K399)))</f>
        <v/>
      </c>
    </row>
    <row r="400" customFormat="false" ht="15" hidden="false" customHeight="false" outlineLevel="0" collapsed="false">
      <c r="B400" s="57"/>
      <c r="C400" s="58"/>
      <c r="D400" s="58"/>
      <c r="E400" s="59"/>
      <c r="F400" s="58"/>
      <c r="G400" s="58"/>
      <c r="H400" s="60" t="str">
        <f aca="false">IF(OR(E400="",D400=""),"",IF(K400=0,"Expense / Gasto",INDEX(Budget!$C$7:$C$41,K400)))</f>
        <v/>
      </c>
      <c r="I400" s="60" t="str">
        <f aca="false">IF(AND(B400="",E400=""),"",IF(NOT(ISNUMBER(B400)),"⚠ ADD DATE / AGREGA FECHA",IF(E400="","⚠ ADD AMOUNT / AGREGA MONTO",IF(D400="","⚠ ADD CATEGORY / AGREGA CATEGORÍA",IF(K400=0,"● NEW CATEGORY? / ¿CATEGORÍA NUEVA?","✔ OK")))))</f>
        <v/>
      </c>
      <c r="K400" s="56" t="str">
        <f aca="false">IF(D400="","",IFERROR(MATCH(D400,Budget!$B$7:$B$41,0),0))</f>
        <v/>
      </c>
      <c r="L400" s="56" t="n">
        <f aca="false">IF(AND(ISNUMBER(B400),ISNUMBER(E400),D400&lt;&gt;""),YEAR(B400)*100+MONTH(B400),0)</f>
        <v>0</v>
      </c>
      <c r="M400" s="56" t="n">
        <f aca="false">IF(L400=0,0,YEAR(B400))</f>
        <v>0</v>
      </c>
      <c r="N400" s="56" t="str">
        <f aca="false">IF(L400=0,"",IF(K400=0,"Wants / Gustos",INDEX(Budget!$D$7:$D$41,K400)))</f>
        <v/>
      </c>
    </row>
    <row r="401" customFormat="false" ht="15" hidden="false" customHeight="false" outlineLevel="0" collapsed="false">
      <c r="B401" s="57"/>
      <c r="C401" s="58"/>
      <c r="D401" s="58"/>
      <c r="E401" s="59"/>
      <c r="F401" s="58"/>
      <c r="G401" s="58"/>
      <c r="H401" s="60" t="str">
        <f aca="false">IF(OR(E401="",D401=""),"",IF(K401=0,"Expense / Gasto",INDEX(Budget!$C$7:$C$41,K401)))</f>
        <v/>
      </c>
      <c r="I401" s="60" t="str">
        <f aca="false">IF(AND(B401="",E401=""),"",IF(NOT(ISNUMBER(B401)),"⚠ ADD DATE / AGREGA FECHA",IF(E401="","⚠ ADD AMOUNT / AGREGA MONTO",IF(D401="","⚠ ADD CATEGORY / AGREGA CATEGORÍA",IF(K401=0,"● NEW CATEGORY? / ¿CATEGORÍA NUEVA?","✔ OK")))))</f>
        <v/>
      </c>
      <c r="K401" s="56" t="str">
        <f aca="false">IF(D401="","",IFERROR(MATCH(D401,Budget!$B$7:$B$41,0),0))</f>
        <v/>
      </c>
      <c r="L401" s="56" t="n">
        <f aca="false">IF(AND(ISNUMBER(B401),ISNUMBER(E401),D401&lt;&gt;""),YEAR(B401)*100+MONTH(B401),0)</f>
        <v>0</v>
      </c>
      <c r="M401" s="56" t="n">
        <f aca="false">IF(L401=0,0,YEAR(B401))</f>
        <v>0</v>
      </c>
      <c r="N401" s="56" t="str">
        <f aca="false">IF(L401=0,"",IF(K401=0,"Wants / Gustos",INDEX(Budget!$D$7:$D$41,K401)))</f>
        <v/>
      </c>
    </row>
    <row r="402" customFormat="false" ht="15" hidden="false" customHeight="false" outlineLevel="0" collapsed="false">
      <c r="B402" s="57"/>
      <c r="C402" s="58"/>
      <c r="D402" s="58"/>
      <c r="E402" s="59"/>
      <c r="F402" s="58"/>
      <c r="G402" s="58"/>
      <c r="H402" s="60" t="str">
        <f aca="false">IF(OR(E402="",D402=""),"",IF(K402=0,"Expense / Gasto",INDEX(Budget!$C$7:$C$41,K402)))</f>
        <v/>
      </c>
      <c r="I402" s="60" t="str">
        <f aca="false">IF(AND(B402="",E402=""),"",IF(NOT(ISNUMBER(B402)),"⚠ ADD DATE / AGREGA FECHA",IF(E402="","⚠ ADD AMOUNT / AGREGA MONTO",IF(D402="","⚠ ADD CATEGORY / AGREGA CATEGORÍA",IF(K402=0,"● NEW CATEGORY? / ¿CATEGORÍA NUEVA?","✔ OK")))))</f>
        <v/>
      </c>
      <c r="K402" s="56" t="str">
        <f aca="false">IF(D402="","",IFERROR(MATCH(D402,Budget!$B$7:$B$41,0),0))</f>
        <v/>
      </c>
      <c r="L402" s="56" t="n">
        <f aca="false">IF(AND(ISNUMBER(B402),ISNUMBER(E402),D402&lt;&gt;""),YEAR(B402)*100+MONTH(B402),0)</f>
        <v>0</v>
      </c>
      <c r="M402" s="56" t="n">
        <f aca="false">IF(L402=0,0,YEAR(B402))</f>
        <v>0</v>
      </c>
      <c r="N402" s="56" t="str">
        <f aca="false">IF(L402=0,"",IF(K402=0,"Wants / Gustos",INDEX(Budget!$D$7:$D$41,K402)))</f>
        <v/>
      </c>
    </row>
    <row r="403" customFormat="false" ht="15" hidden="false" customHeight="false" outlineLevel="0" collapsed="false">
      <c r="B403" s="57"/>
      <c r="C403" s="58"/>
      <c r="D403" s="58"/>
      <c r="E403" s="59"/>
      <c r="F403" s="58"/>
      <c r="G403" s="58"/>
      <c r="H403" s="60" t="str">
        <f aca="false">IF(OR(E403="",D403=""),"",IF(K403=0,"Expense / Gasto",INDEX(Budget!$C$7:$C$41,K403)))</f>
        <v/>
      </c>
      <c r="I403" s="60" t="str">
        <f aca="false">IF(AND(B403="",E403=""),"",IF(NOT(ISNUMBER(B403)),"⚠ ADD DATE / AGREGA FECHA",IF(E403="","⚠ ADD AMOUNT / AGREGA MONTO",IF(D403="","⚠ ADD CATEGORY / AGREGA CATEGORÍA",IF(K403=0,"● NEW CATEGORY? / ¿CATEGORÍA NUEVA?","✔ OK")))))</f>
        <v/>
      </c>
      <c r="K403" s="56" t="str">
        <f aca="false">IF(D403="","",IFERROR(MATCH(D403,Budget!$B$7:$B$41,0),0))</f>
        <v/>
      </c>
      <c r="L403" s="56" t="n">
        <f aca="false">IF(AND(ISNUMBER(B403),ISNUMBER(E403),D403&lt;&gt;""),YEAR(B403)*100+MONTH(B403),0)</f>
        <v>0</v>
      </c>
      <c r="M403" s="56" t="n">
        <f aca="false">IF(L403=0,0,YEAR(B403))</f>
        <v>0</v>
      </c>
      <c r="N403" s="56" t="str">
        <f aca="false">IF(L403=0,"",IF(K403=0,"Wants / Gustos",INDEX(Budget!$D$7:$D$41,K403)))</f>
        <v/>
      </c>
    </row>
    <row r="404" customFormat="false" ht="15" hidden="false" customHeight="false" outlineLevel="0" collapsed="false">
      <c r="B404" s="57"/>
      <c r="C404" s="58"/>
      <c r="D404" s="58"/>
      <c r="E404" s="59"/>
      <c r="F404" s="58"/>
      <c r="G404" s="58"/>
      <c r="H404" s="60" t="str">
        <f aca="false">IF(OR(E404="",D404=""),"",IF(K404=0,"Expense / Gasto",INDEX(Budget!$C$7:$C$41,K404)))</f>
        <v/>
      </c>
      <c r="I404" s="60" t="str">
        <f aca="false">IF(AND(B404="",E404=""),"",IF(NOT(ISNUMBER(B404)),"⚠ ADD DATE / AGREGA FECHA",IF(E404="","⚠ ADD AMOUNT / AGREGA MONTO",IF(D404="","⚠ ADD CATEGORY / AGREGA CATEGORÍA",IF(K404=0,"● NEW CATEGORY? / ¿CATEGORÍA NUEVA?","✔ OK")))))</f>
        <v/>
      </c>
      <c r="K404" s="56" t="str">
        <f aca="false">IF(D404="","",IFERROR(MATCH(D404,Budget!$B$7:$B$41,0),0))</f>
        <v/>
      </c>
      <c r="L404" s="56" t="n">
        <f aca="false">IF(AND(ISNUMBER(B404),ISNUMBER(E404),D404&lt;&gt;""),YEAR(B404)*100+MONTH(B404),0)</f>
        <v>0</v>
      </c>
      <c r="M404" s="56" t="n">
        <f aca="false">IF(L404=0,0,YEAR(B404))</f>
        <v>0</v>
      </c>
      <c r="N404" s="56" t="str">
        <f aca="false">IF(L404=0,"",IF(K404=0,"Wants / Gustos",INDEX(Budget!$D$7:$D$41,K404)))</f>
        <v/>
      </c>
    </row>
    <row r="405" customFormat="false" ht="15" hidden="false" customHeight="false" outlineLevel="0" collapsed="false">
      <c r="B405" s="57"/>
      <c r="C405" s="58"/>
      <c r="D405" s="58"/>
      <c r="E405" s="59"/>
      <c r="F405" s="58"/>
      <c r="G405" s="58"/>
      <c r="H405" s="60" t="str">
        <f aca="false">IF(OR(E405="",D405=""),"",IF(K405=0,"Expense / Gasto",INDEX(Budget!$C$7:$C$41,K405)))</f>
        <v/>
      </c>
      <c r="I405" s="60" t="str">
        <f aca="false">IF(AND(B405="",E405=""),"",IF(NOT(ISNUMBER(B405)),"⚠ ADD DATE / AGREGA FECHA",IF(E405="","⚠ ADD AMOUNT / AGREGA MONTO",IF(D405="","⚠ ADD CATEGORY / AGREGA CATEGORÍA",IF(K405=0,"● NEW CATEGORY? / ¿CATEGORÍA NUEVA?","✔ OK")))))</f>
        <v/>
      </c>
      <c r="K405" s="56" t="str">
        <f aca="false">IF(D405="","",IFERROR(MATCH(D405,Budget!$B$7:$B$41,0),0))</f>
        <v/>
      </c>
      <c r="L405" s="56" t="n">
        <f aca="false">IF(AND(ISNUMBER(B405),ISNUMBER(E405),D405&lt;&gt;""),YEAR(B405)*100+MONTH(B405),0)</f>
        <v>0</v>
      </c>
      <c r="M405" s="56" t="n">
        <f aca="false">IF(L405=0,0,YEAR(B405))</f>
        <v>0</v>
      </c>
      <c r="N405" s="56" t="str">
        <f aca="false">IF(L405=0,"",IF(K405=0,"Wants / Gustos",INDEX(Budget!$D$7:$D$41,K405)))</f>
        <v/>
      </c>
    </row>
    <row r="406" customFormat="false" ht="15" hidden="false" customHeight="false" outlineLevel="0" collapsed="false">
      <c r="B406" s="57"/>
      <c r="C406" s="58"/>
      <c r="D406" s="58"/>
      <c r="E406" s="59"/>
      <c r="F406" s="58"/>
      <c r="G406" s="58"/>
      <c r="H406" s="60" t="str">
        <f aca="false">IF(OR(E406="",D406=""),"",IF(K406=0,"Expense / Gasto",INDEX(Budget!$C$7:$C$41,K406)))</f>
        <v/>
      </c>
      <c r="I406" s="60" t="str">
        <f aca="false">IF(AND(B406="",E406=""),"",IF(NOT(ISNUMBER(B406)),"⚠ ADD DATE / AGREGA FECHA",IF(E406="","⚠ ADD AMOUNT / AGREGA MONTO",IF(D406="","⚠ ADD CATEGORY / AGREGA CATEGORÍA",IF(K406=0,"● NEW CATEGORY? / ¿CATEGORÍA NUEVA?","✔ OK")))))</f>
        <v/>
      </c>
      <c r="K406" s="56" t="str">
        <f aca="false">IF(D406="","",IFERROR(MATCH(D406,Budget!$B$7:$B$41,0),0))</f>
        <v/>
      </c>
      <c r="L406" s="56" t="n">
        <f aca="false">IF(AND(ISNUMBER(B406),ISNUMBER(E406),D406&lt;&gt;""),YEAR(B406)*100+MONTH(B406),0)</f>
        <v>0</v>
      </c>
      <c r="M406" s="56" t="n">
        <f aca="false">IF(L406=0,0,YEAR(B406))</f>
        <v>0</v>
      </c>
      <c r="N406" s="56" t="str">
        <f aca="false">IF(L406=0,"",IF(K406=0,"Wants / Gustos",INDEX(Budget!$D$7:$D$41,K406)))</f>
        <v/>
      </c>
    </row>
    <row r="407" customFormat="false" ht="15" hidden="false" customHeight="false" outlineLevel="0" collapsed="false">
      <c r="B407" s="57"/>
      <c r="C407" s="58"/>
      <c r="D407" s="58"/>
      <c r="E407" s="59"/>
      <c r="F407" s="58"/>
      <c r="G407" s="58"/>
      <c r="H407" s="60" t="str">
        <f aca="false">IF(OR(E407="",D407=""),"",IF(K407=0,"Expense / Gasto",INDEX(Budget!$C$7:$C$41,K407)))</f>
        <v/>
      </c>
      <c r="I407" s="60" t="str">
        <f aca="false">IF(AND(B407="",E407=""),"",IF(NOT(ISNUMBER(B407)),"⚠ ADD DATE / AGREGA FECHA",IF(E407="","⚠ ADD AMOUNT / AGREGA MONTO",IF(D407="","⚠ ADD CATEGORY / AGREGA CATEGORÍA",IF(K407=0,"● NEW CATEGORY? / ¿CATEGORÍA NUEVA?","✔ OK")))))</f>
        <v/>
      </c>
      <c r="K407" s="56" t="str">
        <f aca="false">IF(D407="","",IFERROR(MATCH(D407,Budget!$B$7:$B$41,0),0))</f>
        <v/>
      </c>
      <c r="L407" s="56" t="n">
        <f aca="false">IF(AND(ISNUMBER(B407),ISNUMBER(E407),D407&lt;&gt;""),YEAR(B407)*100+MONTH(B407),0)</f>
        <v>0</v>
      </c>
      <c r="M407" s="56" t="n">
        <f aca="false">IF(L407=0,0,YEAR(B407))</f>
        <v>0</v>
      </c>
      <c r="N407" s="56" t="str">
        <f aca="false">IF(L407=0,"",IF(K407=0,"Wants / Gustos",INDEX(Budget!$D$7:$D$41,K407)))</f>
        <v/>
      </c>
    </row>
    <row r="408" customFormat="false" ht="15" hidden="false" customHeight="false" outlineLevel="0" collapsed="false">
      <c r="B408" s="57"/>
      <c r="C408" s="58"/>
      <c r="D408" s="58"/>
      <c r="E408" s="59"/>
      <c r="F408" s="58"/>
      <c r="G408" s="58"/>
      <c r="H408" s="60" t="str">
        <f aca="false">IF(OR(E408="",D408=""),"",IF(K408=0,"Expense / Gasto",INDEX(Budget!$C$7:$C$41,K408)))</f>
        <v/>
      </c>
      <c r="I408" s="60" t="str">
        <f aca="false">IF(AND(B408="",E408=""),"",IF(NOT(ISNUMBER(B408)),"⚠ ADD DATE / AGREGA FECHA",IF(E408="","⚠ ADD AMOUNT / AGREGA MONTO",IF(D408="","⚠ ADD CATEGORY / AGREGA CATEGORÍA",IF(K408=0,"● NEW CATEGORY? / ¿CATEGORÍA NUEVA?","✔ OK")))))</f>
        <v/>
      </c>
      <c r="K408" s="56" t="str">
        <f aca="false">IF(D408="","",IFERROR(MATCH(D408,Budget!$B$7:$B$41,0),0))</f>
        <v/>
      </c>
      <c r="L408" s="56" t="n">
        <f aca="false">IF(AND(ISNUMBER(B408),ISNUMBER(E408),D408&lt;&gt;""),YEAR(B408)*100+MONTH(B408),0)</f>
        <v>0</v>
      </c>
      <c r="M408" s="56" t="n">
        <f aca="false">IF(L408=0,0,YEAR(B408))</f>
        <v>0</v>
      </c>
      <c r="N408" s="56" t="str">
        <f aca="false">IF(L408=0,"",IF(K408=0,"Wants / Gustos",INDEX(Budget!$D$7:$D$41,K408)))</f>
        <v/>
      </c>
    </row>
    <row r="409" customFormat="false" ht="15" hidden="false" customHeight="false" outlineLevel="0" collapsed="false">
      <c r="B409" s="57"/>
      <c r="C409" s="58"/>
      <c r="D409" s="58"/>
      <c r="E409" s="59"/>
      <c r="F409" s="58"/>
      <c r="G409" s="58"/>
      <c r="H409" s="60" t="str">
        <f aca="false">IF(OR(E409="",D409=""),"",IF(K409=0,"Expense / Gasto",INDEX(Budget!$C$7:$C$41,K409)))</f>
        <v/>
      </c>
      <c r="I409" s="60" t="str">
        <f aca="false">IF(AND(B409="",E409=""),"",IF(NOT(ISNUMBER(B409)),"⚠ ADD DATE / AGREGA FECHA",IF(E409="","⚠ ADD AMOUNT / AGREGA MONTO",IF(D409="","⚠ ADD CATEGORY / AGREGA CATEGORÍA",IF(K409=0,"● NEW CATEGORY? / ¿CATEGORÍA NUEVA?","✔ OK")))))</f>
        <v/>
      </c>
      <c r="K409" s="56" t="str">
        <f aca="false">IF(D409="","",IFERROR(MATCH(D409,Budget!$B$7:$B$41,0),0))</f>
        <v/>
      </c>
      <c r="L409" s="56" t="n">
        <f aca="false">IF(AND(ISNUMBER(B409),ISNUMBER(E409),D409&lt;&gt;""),YEAR(B409)*100+MONTH(B409),0)</f>
        <v>0</v>
      </c>
      <c r="M409" s="56" t="n">
        <f aca="false">IF(L409=0,0,YEAR(B409))</f>
        <v>0</v>
      </c>
      <c r="N409" s="56" t="str">
        <f aca="false">IF(L409=0,"",IF(K409=0,"Wants / Gustos",INDEX(Budget!$D$7:$D$41,K409)))</f>
        <v/>
      </c>
    </row>
    <row r="410" customFormat="false" ht="15" hidden="false" customHeight="false" outlineLevel="0" collapsed="false">
      <c r="B410" s="57"/>
      <c r="C410" s="58"/>
      <c r="D410" s="58"/>
      <c r="E410" s="59"/>
      <c r="F410" s="58"/>
      <c r="G410" s="58"/>
      <c r="H410" s="60" t="str">
        <f aca="false">IF(OR(E410="",D410=""),"",IF(K410=0,"Expense / Gasto",INDEX(Budget!$C$7:$C$41,K410)))</f>
        <v/>
      </c>
      <c r="I410" s="60" t="str">
        <f aca="false">IF(AND(B410="",E410=""),"",IF(NOT(ISNUMBER(B410)),"⚠ ADD DATE / AGREGA FECHA",IF(E410="","⚠ ADD AMOUNT / AGREGA MONTO",IF(D410="","⚠ ADD CATEGORY / AGREGA CATEGORÍA",IF(K410=0,"● NEW CATEGORY? / ¿CATEGORÍA NUEVA?","✔ OK")))))</f>
        <v/>
      </c>
      <c r="K410" s="56" t="str">
        <f aca="false">IF(D410="","",IFERROR(MATCH(D410,Budget!$B$7:$B$41,0),0))</f>
        <v/>
      </c>
      <c r="L410" s="56" t="n">
        <f aca="false">IF(AND(ISNUMBER(B410),ISNUMBER(E410),D410&lt;&gt;""),YEAR(B410)*100+MONTH(B410),0)</f>
        <v>0</v>
      </c>
      <c r="M410" s="56" t="n">
        <f aca="false">IF(L410=0,0,YEAR(B410))</f>
        <v>0</v>
      </c>
      <c r="N410" s="56" t="str">
        <f aca="false">IF(L410=0,"",IF(K410=0,"Wants / Gustos",INDEX(Budget!$D$7:$D$41,K410)))</f>
        <v/>
      </c>
    </row>
    <row r="411" customFormat="false" ht="15" hidden="false" customHeight="false" outlineLevel="0" collapsed="false">
      <c r="B411" s="57"/>
      <c r="C411" s="58"/>
      <c r="D411" s="58"/>
      <c r="E411" s="59"/>
      <c r="F411" s="58"/>
      <c r="G411" s="58"/>
      <c r="H411" s="60" t="str">
        <f aca="false">IF(OR(E411="",D411=""),"",IF(K411=0,"Expense / Gasto",INDEX(Budget!$C$7:$C$41,K411)))</f>
        <v/>
      </c>
      <c r="I411" s="60" t="str">
        <f aca="false">IF(AND(B411="",E411=""),"",IF(NOT(ISNUMBER(B411)),"⚠ ADD DATE / AGREGA FECHA",IF(E411="","⚠ ADD AMOUNT / AGREGA MONTO",IF(D411="","⚠ ADD CATEGORY / AGREGA CATEGORÍA",IF(K411=0,"● NEW CATEGORY? / ¿CATEGORÍA NUEVA?","✔ OK")))))</f>
        <v/>
      </c>
      <c r="K411" s="56" t="str">
        <f aca="false">IF(D411="","",IFERROR(MATCH(D411,Budget!$B$7:$B$41,0),0))</f>
        <v/>
      </c>
      <c r="L411" s="56" t="n">
        <f aca="false">IF(AND(ISNUMBER(B411),ISNUMBER(E411),D411&lt;&gt;""),YEAR(B411)*100+MONTH(B411),0)</f>
        <v>0</v>
      </c>
      <c r="M411" s="56" t="n">
        <f aca="false">IF(L411=0,0,YEAR(B411))</f>
        <v>0</v>
      </c>
      <c r="N411" s="56" t="str">
        <f aca="false">IF(L411=0,"",IF(K411=0,"Wants / Gustos",INDEX(Budget!$D$7:$D$41,K411)))</f>
        <v/>
      </c>
    </row>
    <row r="412" customFormat="false" ht="15" hidden="false" customHeight="false" outlineLevel="0" collapsed="false">
      <c r="B412" s="57"/>
      <c r="C412" s="58"/>
      <c r="D412" s="58"/>
      <c r="E412" s="59"/>
      <c r="F412" s="58"/>
      <c r="G412" s="58"/>
      <c r="H412" s="60" t="str">
        <f aca="false">IF(OR(E412="",D412=""),"",IF(K412=0,"Expense / Gasto",INDEX(Budget!$C$7:$C$41,K412)))</f>
        <v/>
      </c>
      <c r="I412" s="60" t="str">
        <f aca="false">IF(AND(B412="",E412=""),"",IF(NOT(ISNUMBER(B412)),"⚠ ADD DATE / AGREGA FECHA",IF(E412="","⚠ ADD AMOUNT / AGREGA MONTO",IF(D412="","⚠ ADD CATEGORY / AGREGA CATEGORÍA",IF(K412=0,"● NEW CATEGORY? / ¿CATEGORÍA NUEVA?","✔ OK")))))</f>
        <v/>
      </c>
      <c r="K412" s="56" t="str">
        <f aca="false">IF(D412="","",IFERROR(MATCH(D412,Budget!$B$7:$B$41,0),0))</f>
        <v/>
      </c>
      <c r="L412" s="56" t="n">
        <f aca="false">IF(AND(ISNUMBER(B412),ISNUMBER(E412),D412&lt;&gt;""),YEAR(B412)*100+MONTH(B412),0)</f>
        <v>0</v>
      </c>
      <c r="M412" s="56" t="n">
        <f aca="false">IF(L412=0,0,YEAR(B412))</f>
        <v>0</v>
      </c>
      <c r="N412" s="56" t="str">
        <f aca="false">IF(L412=0,"",IF(K412=0,"Wants / Gustos",INDEX(Budget!$D$7:$D$41,K412)))</f>
        <v/>
      </c>
    </row>
    <row r="413" customFormat="false" ht="15" hidden="false" customHeight="false" outlineLevel="0" collapsed="false">
      <c r="B413" s="57"/>
      <c r="C413" s="58"/>
      <c r="D413" s="58"/>
      <c r="E413" s="59"/>
      <c r="F413" s="58"/>
      <c r="G413" s="58"/>
      <c r="H413" s="60" t="str">
        <f aca="false">IF(OR(E413="",D413=""),"",IF(K413=0,"Expense / Gasto",INDEX(Budget!$C$7:$C$41,K413)))</f>
        <v/>
      </c>
      <c r="I413" s="60" t="str">
        <f aca="false">IF(AND(B413="",E413=""),"",IF(NOT(ISNUMBER(B413)),"⚠ ADD DATE / AGREGA FECHA",IF(E413="","⚠ ADD AMOUNT / AGREGA MONTO",IF(D413="","⚠ ADD CATEGORY / AGREGA CATEGORÍA",IF(K413=0,"● NEW CATEGORY? / ¿CATEGORÍA NUEVA?","✔ OK")))))</f>
        <v/>
      </c>
      <c r="K413" s="56" t="str">
        <f aca="false">IF(D413="","",IFERROR(MATCH(D413,Budget!$B$7:$B$41,0),0))</f>
        <v/>
      </c>
      <c r="L413" s="56" t="n">
        <f aca="false">IF(AND(ISNUMBER(B413),ISNUMBER(E413),D413&lt;&gt;""),YEAR(B413)*100+MONTH(B413),0)</f>
        <v>0</v>
      </c>
      <c r="M413" s="56" t="n">
        <f aca="false">IF(L413=0,0,YEAR(B413))</f>
        <v>0</v>
      </c>
      <c r="N413" s="56" t="str">
        <f aca="false">IF(L413=0,"",IF(K413=0,"Wants / Gustos",INDEX(Budget!$D$7:$D$41,K413)))</f>
        <v/>
      </c>
    </row>
    <row r="414" customFormat="false" ht="15" hidden="false" customHeight="false" outlineLevel="0" collapsed="false">
      <c r="B414" s="57"/>
      <c r="C414" s="58"/>
      <c r="D414" s="58"/>
      <c r="E414" s="59"/>
      <c r="F414" s="58"/>
      <c r="G414" s="58"/>
      <c r="H414" s="60" t="str">
        <f aca="false">IF(OR(E414="",D414=""),"",IF(K414=0,"Expense / Gasto",INDEX(Budget!$C$7:$C$41,K414)))</f>
        <v/>
      </c>
      <c r="I414" s="60" t="str">
        <f aca="false">IF(AND(B414="",E414=""),"",IF(NOT(ISNUMBER(B414)),"⚠ ADD DATE / AGREGA FECHA",IF(E414="","⚠ ADD AMOUNT / AGREGA MONTO",IF(D414="","⚠ ADD CATEGORY / AGREGA CATEGORÍA",IF(K414=0,"● NEW CATEGORY? / ¿CATEGORÍA NUEVA?","✔ OK")))))</f>
        <v/>
      </c>
      <c r="K414" s="56" t="str">
        <f aca="false">IF(D414="","",IFERROR(MATCH(D414,Budget!$B$7:$B$41,0),0))</f>
        <v/>
      </c>
      <c r="L414" s="56" t="n">
        <f aca="false">IF(AND(ISNUMBER(B414),ISNUMBER(E414),D414&lt;&gt;""),YEAR(B414)*100+MONTH(B414),0)</f>
        <v>0</v>
      </c>
      <c r="M414" s="56" t="n">
        <f aca="false">IF(L414=0,0,YEAR(B414))</f>
        <v>0</v>
      </c>
      <c r="N414" s="56" t="str">
        <f aca="false">IF(L414=0,"",IF(K414=0,"Wants / Gustos",INDEX(Budget!$D$7:$D$41,K414)))</f>
        <v/>
      </c>
    </row>
    <row r="415" customFormat="false" ht="15" hidden="false" customHeight="false" outlineLevel="0" collapsed="false">
      <c r="B415" s="57"/>
      <c r="C415" s="58"/>
      <c r="D415" s="58"/>
      <c r="E415" s="59"/>
      <c r="F415" s="58"/>
      <c r="G415" s="58"/>
      <c r="H415" s="60" t="str">
        <f aca="false">IF(OR(E415="",D415=""),"",IF(K415=0,"Expense / Gasto",INDEX(Budget!$C$7:$C$41,K415)))</f>
        <v/>
      </c>
      <c r="I415" s="60" t="str">
        <f aca="false">IF(AND(B415="",E415=""),"",IF(NOT(ISNUMBER(B415)),"⚠ ADD DATE / AGREGA FECHA",IF(E415="","⚠ ADD AMOUNT / AGREGA MONTO",IF(D415="","⚠ ADD CATEGORY / AGREGA CATEGORÍA",IF(K415=0,"● NEW CATEGORY? / ¿CATEGORÍA NUEVA?","✔ OK")))))</f>
        <v/>
      </c>
      <c r="K415" s="56" t="str">
        <f aca="false">IF(D415="","",IFERROR(MATCH(D415,Budget!$B$7:$B$41,0),0))</f>
        <v/>
      </c>
      <c r="L415" s="56" t="n">
        <f aca="false">IF(AND(ISNUMBER(B415),ISNUMBER(E415),D415&lt;&gt;""),YEAR(B415)*100+MONTH(B415),0)</f>
        <v>0</v>
      </c>
      <c r="M415" s="56" t="n">
        <f aca="false">IF(L415=0,0,YEAR(B415))</f>
        <v>0</v>
      </c>
      <c r="N415" s="56" t="str">
        <f aca="false">IF(L415=0,"",IF(K415=0,"Wants / Gustos",INDEX(Budget!$D$7:$D$41,K415)))</f>
        <v/>
      </c>
    </row>
    <row r="416" customFormat="false" ht="15" hidden="false" customHeight="false" outlineLevel="0" collapsed="false">
      <c r="B416" s="57"/>
      <c r="C416" s="58"/>
      <c r="D416" s="58"/>
      <c r="E416" s="59"/>
      <c r="F416" s="58"/>
      <c r="G416" s="58"/>
      <c r="H416" s="60" t="str">
        <f aca="false">IF(OR(E416="",D416=""),"",IF(K416=0,"Expense / Gasto",INDEX(Budget!$C$7:$C$41,K416)))</f>
        <v/>
      </c>
      <c r="I416" s="60" t="str">
        <f aca="false">IF(AND(B416="",E416=""),"",IF(NOT(ISNUMBER(B416)),"⚠ ADD DATE / AGREGA FECHA",IF(E416="","⚠ ADD AMOUNT / AGREGA MONTO",IF(D416="","⚠ ADD CATEGORY / AGREGA CATEGORÍA",IF(K416=0,"● NEW CATEGORY? / ¿CATEGORÍA NUEVA?","✔ OK")))))</f>
        <v/>
      </c>
      <c r="K416" s="56" t="str">
        <f aca="false">IF(D416="","",IFERROR(MATCH(D416,Budget!$B$7:$B$41,0),0))</f>
        <v/>
      </c>
      <c r="L416" s="56" t="n">
        <f aca="false">IF(AND(ISNUMBER(B416),ISNUMBER(E416),D416&lt;&gt;""),YEAR(B416)*100+MONTH(B416),0)</f>
        <v>0</v>
      </c>
      <c r="M416" s="56" t="n">
        <f aca="false">IF(L416=0,0,YEAR(B416))</f>
        <v>0</v>
      </c>
      <c r="N416" s="56" t="str">
        <f aca="false">IF(L416=0,"",IF(K416=0,"Wants / Gustos",INDEX(Budget!$D$7:$D$41,K416)))</f>
        <v/>
      </c>
    </row>
    <row r="417" customFormat="false" ht="15" hidden="false" customHeight="false" outlineLevel="0" collapsed="false">
      <c r="B417" s="57"/>
      <c r="C417" s="58"/>
      <c r="D417" s="58"/>
      <c r="E417" s="59"/>
      <c r="F417" s="58"/>
      <c r="G417" s="58"/>
      <c r="H417" s="60" t="str">
        <f aca="false">IF(OR(E417="",D417=""),"",IF(K417=0,"Expense / Gasto",INDEX(Budget!$C$7:$C$41,K417)))</f>
        <v/>
      </c>
      <c r="I417" s="60" t="str">
        <f aca="false">IF(AND(B417="",E417=""),"",IF(NOT(ISNUMBER(B417)),"⚠ ADD DATE / AGREGA FECHA",IF(E417="","⚠ ADD AMOUNT / AGREGA MONTO",IF(D417="","⚠ ADD CATEGORY / AGREGA CATEGORÍA",IF(K417=0,"● NEW CATEGORY? / ¿CATEGORÍA NUEVA?","✔ OK")))))</f>
        <v/>
      </c>
      <c r="K417" s="56" t="str">
        <f aca="false">IF(D417="","",IFERROR(MATCH(D417,Budget!$B$7:$B$41,0),0))</f>
        <v/>
      </c>
      <c r="L417" s="56" t="n">
        <f aca="false">IF(AND(ISNUMBER(B417),ISNUMBER(E417),D417&lt;&gt;""),YEAR(B417)*100+MONTH(B417),0)</f>
        <v>0</v>
      </c>
      <c r="M417" s="56" t="n">
        <f aca="false">IF(L417=0,0,YEAR(B417))</f>
        <v>0</v>
      </c>
      <c r="N417" s="56" t="str">
        <f aca="false">IF(L417=0,"",IF(K417=0,"Wants / Gustos",INDEX(Budget!$D$7:$D$41,K417)))</f>
        <v/>
      </c>
    </row>
    <row r="418" customFormat="false" ht="15" hidden="false" customHeight="false" outlineLevel="0" collapsed="false">
      <c r="B418" s="57"/>
      <c r="C418" s="58"/>
      <c r="D418" s="58"/>
      <c r="E418" s="59"/>
      <c r="F418" s="58"/>
      <c r="G418" s="58"/>
      <c r="H418" s="60" t="str">
        <f aca="false">IF(OR(E418="",D418=""),"",IF(K418=0,"Expense / Gasto",INDEX(Budget!$C$7:$C$41,K418)))</f>
        <v/>
      </c>
      <c r="I418" s="60" t="str">
        <f aca="false">IF(AND(B418="",E418=""),"",IF(NOT(ISNUMBER(B418)),"⚠ ADD DATE / AGREGA FECHA",IF(E418="","⚠ ADD AMOUNT / AGREGA MONTO",IF(D418="","⚠ ADD CATEGORY / AGREGA CATEGORÍA",IF(K418=0,"● NEW CATEGORY? / ¿CATEGORÍA NUEVA?","✔ OK")))))</f>
        <v/>
      </c>
      <c r="K418" s="56" t="str">
        <f aca="false">IF(D418="","",IFERROR(MATCH(D418,Budget!$B$7:$B$41,0),0))</f>
        <v/>
      </c>
      <c r="L418" s="56" t="n">
        <f aca="false">IF(AND(ISNUMBER(B418),ISNUMBER(E418),D418&lt;&gt;""),YEAR(B418)*100+MONTH(B418),0)</f>
        <v>0</v>
      </c>
      <c r="M418" s="56" t="n">
        <f aca="false">IF(L418=0,0,YEAR(B418))</f>
        <v>0</v>
      </c>
      <c r="N418" s="56" t="str">
        <f aca="false">IF(L418=0,"",IF(K418=0,"Wants / Gustos",INDEX(Budget!$D$7:$D$41,K418)))</f>
        <v/>
      </c>
    </row>
    <row r="419" customFormat="false" ht="15" hidden="false" customHeight="false" outlineLevel="0" collapsed="false">
      <c r="B419" s="57"/>
      <c r="C419" s="58"/>
      <c r="D419" s="58"/>
      <c r="E419" s="59"/>
      <c r="F419" s="58"/>
      <c r="G419" s="58"/>
      <c r="H419" s="60" t="str">
        <f aca="false">IF(OR(E419="",D419=""),"",IF(K419=0,"Expense / Gasto",INDEX(Budget!$C$7:$C$41,K419)))</f>
        <v/>
      </c>
      <c r="I419" s="60" t="str">
        <f aca="false">IF(AND(B419="",E419=""),"",IF(NOT(ISNUMBER(B419)),"⚠ ADD DATE / AGREGA FECHA",IF(E419="","⚠ ADD AMOUNT / AGREGA MONTO",IF(D419="","⚠ ADD CATEGORY / AGREGA CATEGORÍA",IF(K419=0,"● NEW CATEGORY? / ¿CATEGORÍA NUEVA?","✔ OK")))))</f>
        <v/>
      </c>
      <c r="K419" s="56" t="str">
        <f aca="false">IF(D419="","",IFERROR(MATCH(D419,Budget!$B$7:$B$41,0),0))</f>
        <v/>
      </c>
      <c r="L419" s="56" t="n">
        <f aca="false">IF(AND(ISNUMBER(B419),ISNUMBER(E419),D419&lt;&gt;""),YEAR(B419)*100+MONTH(B419),0)</f>
        <v>0</v>
      </c>
      <c r="M419" s="56" t="n">
        <f aca="false">IF(L419=0,0,YEAR(B419))</f>
        <v>0</v>
      </c>
      <c r="N419" s="56" t="str">
        <f aca="false">IF(L419=0,"",IF(K419=0,"Wants / Gustos",INDEX(Budget!$D$7:$D$41,K419)))</f>
        <v/>
      </c>
    </row>
    <row r="420" customFormat="false" ht="15" hidden="false" customHeight="false" outlineLevel="0" collapsed="false">
      <c r="B420" s="57"/>
      <c r="C420" s="58"/>
      <c r="D420" s="58"/>
      <c r="E420" s="59"/>
      <c r="F420" s="58"/>
      <c r="G420" s="58"/>
      <c r="H420" s="60" t="str">
        <f aca="false">IF(OR(E420="",D420=""),"",IF(K420=0,"Expense / Gasto",INDEX(Budget!$C$7:$C$41,K420)))</f>
        <v/>
      </c>
      <c r="I420" s="60" t="str">
        <f aca="false">IF(AND(B420="",E420=""),"",IF(NOT(ISNUMBER(B420)),"⚠ ADD DATE / AGREGA FECHA",IF(E420="","⚠ ADD AMOUNT / AGREGA MONTO",IF(D420="","⚠ ADD CATEGORY / AGREGA CATEGORÍA",IF(K420=0,"● NEW CATEGORY? / ¿CATEGORÍA NUEVA?","✔ OK")))))</f>
        <v/>
      </c>
      <c r="K420" s="56" t="str">
        <f aca="false">IF(D420="","",IFERROR(MATCH(D420,Budget!$B$7:$B$41,0),0))</f>
        <v/>
      </c>
      <c r="L420" s="56" t="n">
        <f aca="false">IF(AND(ISNUMBER(B420),ISNUMBER(E420),D420&lt;&gt;""),YEAR(B420)*100+MONTH(B420),0)</f>
        <v>0</v>
      </c>
      <c r="M420" s="56" t="n">
        <f aca="false">IF(L420=0,0,YEAR(B420))</f>
        <v>0</v>
      </c>
      <c r="N420" s="56" t="str">
        <f aca="false">IF(L420=0,"",IF(K420=0,"Wants / Gustos",INDEX(Budget!$D$7:$D$41,K420)))</f>
        <v/>
      </c>
    </row>
    <row r="421" customFormat="false" ht="15" hidden="false" customHeight="false" outlineLevel="0" collapsed="false">
      <c r="B421" s="57"/>
      <c r="C421" s="58"/>
      <c r="D421" s="58"/>
      <c r="E421" s="59"/>
      <c r="F421" s="58"/>
      <c r="G421" s="58"/>
      <c r="H421" s="60" t="str">
        <f aca="false">IF(OR(E421="",D421=""),"",IF(K421=0,"Expense / Gasto",INDEX(Budget!$C$7:$C$41,K421)))</f>
        <v/>
      </c>
      <c r="I421" s="60" t="str">
        <f aca="false">IF(AND(B421="",E421=""),"",IF(NOT(ISNUMBER(B421)),"⚠ ADD DATE / AGREGA FECHA",IF(E421="","⚠ ADD AMOUNT / AGREGA MONTO",IF(D421="","⚠ ADD CATEGORY / AGREGA CATEGORÍA",IF(K421=0,"● NEW CATEGORY? / ¿CATEGORÍA NUEVA?","✔ OK")))))</f>
        <v/>
      </c>
      <c r="K421" s="56" t="str">
        <f aca="false">IF(D421="","",IFERROR(MATCH(D421,Budget!$B$7:$B$41,0),0))</f>
        <v/>
      </c>
      <c r="L421" s="56" t="n">
        <f aca="false">IF(AND(ISNUMBER(B421),ISNUMBER(E421),D421&lt;&gt;""),YEAR(B421)*100+MONTH(B421),0)</f>
        <v>0</v>
      </c>
      <c r="M421" s="56" t="n">
        <f aca="false">IF(L421=0,0,YEAR(B421))</f>
        <v>0</v>
      </c>
      <c r="N421" s="56" t="str">
        <f aca="false">IF(L421=0,"",IF(K421=0,"Wants / Gustos",INDEX(Budget!$D$7:$D$41,K421)))</f>
        <v/>
      </c>
    </row>
    <row r="422" customFormat="false" ht="15" hidden="false" customHeight="false" outlineLevel="0" collapsed="false">
      <c r="B422" s="57"/>
      <c r="C422" s="58"/>
      <c r="D422" s="58"/>
      <c r="E422" s="59"/>
      <c r="F422" s="58"/>
      <c r="G422" s="58"/>
      <c r="H422" s="60" t="str">
        <f aca="false">IF(OR(E422="",D422=""),"",IF(K422=0,"Expense / Gasto",INDEX(Budget!$C$7:$C$41,K422)))</f>
        <v/>
      </c>
      <c r="I422" s="60" t="str">
        <f aca="false">IF(AND(B422="",E422=""),"",IF(NOT(ISNUMBER(B422)),"⚠ ADD DATE / AGREGA FECHA",IF(E422="","⚠ ADD AMOUNT / AGREGA MONTO",IF(D422="","⚠ ADD CATEGORY / AGREGA CATEGORÍA",IF(K422=0,"● NEW CATEGORY? / ¿CATEGORÍA NUEVA?","✔ OK")))))</f>
        <v/>
      </c>
      <c r="K422" s="56" t="str">
        <f aca="false">IF(D422="","",IFERROR(MATCH(D422,Budget!$B$7:$B$41,0),0))</f>
        <v/>
      </c>
      <c r="L422" s="56" t="n">
        <f aca="false">IF(AND(ISNUMBER(B422),ISNUMBER(E422),D422&lt;&gt;""),YEAR(B422)*100+MONTH(B422),0)</f>
        <v>0</v>
      </c>
      <c r="M422" s="56" t="n">
        <f aca="false">IF(L422=0,0,YEAR(B422))</f>
        <v>0</v>
      </c>
      <c r="N422" s="56" t="str">
        <f aca="false">IF(L422=0,"",IF(K422=0,"Wants / Gustos",INDEX(Budget!$D$7:$D$41,K422)))</f>
        <v/>
      </c>
    </row>
    <row r="423" customFormat="false" ht="15" hidden="false" customHeight="false" outlineLevel="0" collapsed="false">
      <c r="B423" s="57"/>
      <c r="C423" s="58"/>
      <c r="D423" s="58"/>
      <c r="E423" s="59"/>
      <c r="F423" s="58"/>
      <c r="G423" s="58"/>
      <c r="H423" s="60" t="str">
        <f aca="false">IF(OR(E423="",D423=""),"",IF(K423=0,"Expense / Gasto",INDEX(Budget!$C$7:$C$41,K423)))</f>
        <v/>
      </c>
      <c r="I423" s="60" t="str">
        <f aca="false">IF(AND(B423="",E423=""),"",IF(NOT(ISNUMBER(B423)),"⚠ ADD DATE / AGREGA FECHA",IF(E423="","⚠ ADD AMOUNT / AGREGA MONTO",IF(D423="","⚠ ADD CATEGORY / AGREGA CATEGORÍA",IF(K423=0,"● NEW CATEGORY? / ¿CATEGORÍA NUEVA?","✔ OK")))))</f>
        <v/>
      </c>
      <c r="K423" s="56" t="str">
        <f aca="false">IF(D423="","",IFERROR(MATCH(D423,Budget!$B$7:$B$41,0),0))</f>
        <v/>
      </c>
      <c r="L423" s="56" t="n">
        <f aca="false">IF(AND(ISNUMBER(B423),ISNUMBER(E423),D423&lt;&gt;""),YEAR(B423)*100+MONTH(B423),0)</f>
        <v>0</v>
      </c>
      <c r="M423" s="56" t="n">
        <f aca="false">IF(L423=0,0,YEAR(B423))</f>
        <v>0</v>
      </c>
      <c r="N423" s="56" t="str">
        <f aca="false">IF(L423=0,"",IF(K423=0,"Wants / Gustos",INDEX(Budget!$D$7:$D$41,K423)))</f>
        <v/>
      </c>
    </row>
    <row r="424" customFormat="false" ht="15" hidden="false" customHeight="false" outlineLevel="0" collapsed="false">
      <c r="B424" s="57"/>
      <c r="C424" s="58"/>
      <c r="D424" s="58"/>
      <c r="E424" s="59"/>
      <c r="F424" s="58"/>
      <c r="G424" s="58"/>
      <c r="H424" s="60" t="str">
        <f aca="false">IF(OR(E424="",D424=""),"",IF(K424=0,"Expense / Gasto",INDEX(Budget!$C$7:$C$41,K424)))</f>
        <v/>
      </c>
      <c r="I424" s="60" t="str">
        <f aca="false">IF(AND(B424="",E424=""),"",IF(NOT(ISNUMBER(B424)),"⚠ ADD DATE / AGREGA FECHA",IF(E424="","⚠ ADD AMOUNT / AGREGA MONTO",IF(D424="","⚠ ADD CATEGORY / AGREGA CATEGORÍA",IF(K424=0,"● NEW CATEGORY? / ¿CATEGORÍA NUEVA?","✔ OK")))))</f>
        <v/>
      </c>
      <c r="K424" s="56" t="str">
        <f aca="false">IF(D424="","",IFERROR(MATCH(D424,Budget!$B$7:$B$41,0),0))</f>
        <v/>
      </c>
      <c r="L424" s="56" t="n">
        <f aca="false">IF(AND(ISNUMBER(B424),ISNUMBER(E424),D424&lt;&gt;""),YEAR(B424)*100+MONTH(B424),0)</f>
        <v>0</v>
      </c>
      <c r="M424" s="56" t="n">
        <f aca="false">IF(L424=0,0,YEAR(B424))</f>
        <v>0</v>
      </c>
      <c r="N424" s="56" t="str">
        <f aca="false">IF(L424=0,"",IF(K424=0,"Wants / Gustos",INDEX(Budget!$D$7:$D$41,K424)))</f>
        <v/>
      </c>
    </row>
    <row r="425" customFormat="false" ht="15" hidden="false" customHeight="false" outlineLevel="0" collapsed="false">
      <c r="B425" s="57"/>
      <c r="C425" s="58"/>
      <c r="D425" s="58"/>
      <c r="E425" s="59"/>
      <c r="F425" s="58"/>
      <c r="G425" s="58"/>
      <c r="H425" s="60" t="str">
        <f aca="false">IF(OR(E425="",D425=""),"",IF(K425=0,"Expense / Gasto",INDEX(Budget!$C$7:$C$41,K425)))</f>
        <v/>
      </c>
      <c r="I425" s="60" t="str">
        <f aca="false">IF(AND(B425="",E425=""),"",IF(NOT(ISNUMBER(B425)),"⚠ ADD DATE / AGREGA FECHA",IF(E425="","⚠ ADD AMOUNT / AGREGA MONTO",IF(D425="","⚠ ADD CATEGORY / AGREGA CATEGORÍA",IF(K425=0,"● NEW CATEGORY? / ¿CATEGORÍA NUEVA?","✔ OK")))))</f>
        <v/>
      </c>
      <c r="K425" s="56" t="str">
        <f aca="false">IF(D425="","",IFERROR(MATCH(D425,Budget!$B$7:$B$41,0),0))</f>
        <v/>
      </c>
      <c r="L425" s="56" t="n">
        <f aca="false">IF(AND(ISNUMBER(B425),ISNUMBER(E425),D425&lt;&gt;""),YEAR(B425)*100+MONTH(B425),0)</f>
        <v>0</v>
      </c>
      <c r="M425" s="56" t="n">
        <f aca="false">IF(L425=0,0,YEAR(B425))</f>
        <v>0</v>
      </c>
      <c r="N425" s="56" t="str">
        <f aca="false">IF(L425=0,"",IF(K425=0,"Wants / Gustos",INDEX(Budget!$D$7:$D$41,K425)))</f>
        <v/>
      </c>
    </row>
    <row r="426" customFormat="false" ht="15" hidden="false" customHeight="false" outlineLevel="0" collapsed="false">
      <c r="B426" s="57"/>
      <c r="C426" s="58"/>
      <c r="D426" s="58"/>
      <c r="E426" s="59"/>
      <c r="F426" s="58"/>
      <c r="G426" s="58"/>
      <c r="H426" s="60" t="str">
        <f aca="false">IF(OR(E426="",D426=""),"",IF(K426=0,"Expense / Gasto",INDEX(Budget!$C$7:$C$41,K426)))</f>
        <v/>
      </c>
      <c r="I426" s="60" t="str">
        <f aca="false">IF(AND(B426="",E426=""),"",IF(NOT(ISNUMBER(B426)),"⚠ ADD DATE / AGREGA FECHA",IF(E426="","⚠ ADD AMOUNT / AGREGA MONTO",IF(D426="","⚠ ADD CATEGORY / AGREGA CATEGORÍA",IF(K426=0,"● NEW CATEGORY? / ¿CATEGORÍA NUEVA?","✔ OK")))))</f>
        <v/>
      </c>
      <c r="K426" s="56" t="str">
        <f aca="false">IF(D426="","",IFERROR(MATCH(D426,Budget!$B$7:$B$41,0),0))</f>
        <v/>
      </c>
      <c r="L426" s="56" t="n">
        <f aca="false">IF(AND(ISNUMBER(B426),ISNUMBER(E426),D426&lt;&gt;""),YEAR(B426)*100+MONTH(B426),0)</f>
        <v>0</v>
      </c>
      <c r="M426" s="56" t="n">
        <f aca="false">IF(L426=0,0,YEAR(B426))</f>
        <v>0</v>
      </c>
      <c r="N426" s="56" t="str">
        <f aca="false">IF(L426=0,"",IF(K426=0,"Wants / Gustos",INDEX(Budget!$D$7:$D$41,K426)))</f>
        <v/>
      </c>
    </row>
    <row r="427" customFormat="false" ht="15" hidden="false" customHeight="false" outlineLevel="0" collapsed="false">
      <c r="B427" s="57"/>
      <c r="C427" s="58"/>
      <c r="D427" s="58"/>
      <c r="E427" s="59"/>
      <c r="F427" s="58"/>
      <c r="G427" s="58"/>
      <c r="H427" s="60" t="str">
        <f aca="false">IF(OR(E427="",D427=""),"",IF(K427=0,"Expense / Gasto",INDEX(Budget!$C$7:$C$41,K427)))</f>
        <v/>
      </c>
      <c r="I427" s="60" t="str">
        <f aca="false">IF(AND(B427="",E427=""),"",IF(NOT(ISNUMBER(B427)),"⚠ ADD DATE / AGREGA FECHA",IF(E427="","⚠ ADD AMOUNT / AGREGA MONTO",IF(D427="","⚠ ADD CATEGORY / AGREGA CATEGORÍA",IF(K427=0,"● NEW CATEGORY? / ¿CATEGORÍA NUEVA?","✔ OK")))))</f>
        <v/>
      </c>
      <c r="K427" s="56" t="str">
        <f aca="false">IF(D427="","",IFERROR(MATCH(D427,Budget!$B$7:$B$41,0),0))</f>
        <v/>
      </c>
      <c r="L427" s="56" t="n">
        <f aca="false">IF(AND(ISNUMBER(B427),ISNUMBER(E427),D427&lt;&gt;""),YEAR(B427)*100+MONTH(B427),0)</f>
        <v>0</v>
      </c>
      <c r="M427" s="56" t="n">
        <f aca="false">IF(L427=0,0,YEAR(B427))</f>
        <v>0</v>
      </c>
      <c r="N427" s="56" t="str">
        <f aca="false">IF(L427=0,"",IF(K427=0,"Wants / Gustos",INDEX(Budget!$D$7:$D$41,K427)))</f>
        <v/>
      </c>
    </row>
    <row r="428" customFormat="false" ht="15" hidden="false" customHeight="false" outlineLevel="0" collapsed="false">
      <c r="B428" s="57"/>
      <c r="C428" s="58"/>
      <c r="D428" s="58"/>
      <c r="E428" s="59"/>
      <c r="F428" s="58"/>
      <c r="G428" s="58"/>
      <c r="H428" s="60" t="str">
        <f aca="false">IF(OR(E428="",D428=""),"",IF(K428=0,"Expense / Gasto",INDEX(Budget!$C$7:$C$41,K428)))</f>
        <v/>
      </c>
      <c r="I428" s="60" t="str">
        <f aca="false">IF(AND(B428="",E428=""),"",IF(NOT(ISNUMBER(B428)),"⚠ ADD DATE / AGREGA FECHA",IF(E428="","⚠ ADD AMOUNT / AGREGA MONTO",IF(D428="","⚠ ADD CATEGORY / AGREGA CATEGORÍA",IF(K428=0,"● NEW CATEGORY? / ¿CATEGORÍA NUEVA?","✔ OK")))))</f>
        <v/>
      </c>
      <c r="K428" s="56" t="str">
        <f aca="false">IF(D428="","",IFERROR(MATCH(D428,Budget!$B$7:$B$41,0),0))</f>
        <v/>
      </c>
      <c r="L428" s="56" t="n">
        <f aca="false">IF(AND(ISNUMBER(B428),ISNUMBER(E428),D428&lt;&gt;""),YEAR(B428)*100+MONTH(B428),0)</f>
        <v>0</v>
      </c>
      <c r="M428" s="56" t="n">
        <f aca="false">IF(L428=0,0,YEAR(B428))</f>
        <v>0</v>
      </c>
      <c r="N428" s="56" t="str">
        <f aca="false">IF(L428=0,"",IF(K428=0,"Wants / Gustos",INDEX(Budget!$D$7:$D$41,K428)))</f>
        <v/>
      </c>
    </row>
    <row r="429" customFormat="false" ht="15" hidden="false" customHeight="false" outlineLevel="0" collapsed="false">
      <c r="B429" s="57"/>
      <c r="C429" s="58"/>
      <c r="D429" s="58"/>
      <c r="E429" s="59"/>
      <c r="F429" s="58"/>
      <c r="G429" s="58"/>
      <c r="H429" s="60" t="str">
        <f aca="false">IF(OR(E429="",D429=""),"",IF(K429=0,"Expense / Gasto",INDEX(Budget!$C$7:$C$41,K429)))</f>
        <v/>
      </c>
      <c r="I429" s="60" t="str">
        <f aca="false">IF(AND(B429="",E429=""),"",IF(NOT(ISNUMBER(B429)),"⚠ ADD DATE / AGREGA FECHA",IF(E429="","⚠ ADD AMOUNT / AGREGA MONTO",IF(D429="","⚠ ADD CATEGORY / AGREGA CATEGORÍA",IF(K429=0,"● NEW CATEGORY? / ¿CATEGORÍA NUEVA?","✔ OK")))))</f>
        <v/>
      </c>
      <c r="K429" s="56" t="str">
        <f aca="false">IF(D429="","",IFERROR(MATCH(D429,Budget!$B$7:$B$41,0),0))</f>
        <v/>
      </c>
      <c r="L429" s="56" t="n">
        <f aca="false">IF(AND(ISNUMBER(B429),ISNUMBER(E429),D429&lt;&gt;""),YEAR(B429)*100+MONTH(B429),0)</f>
        <v>0</v>
      </c>
      <c r="M429" s="56" t="n">
        <f aca="false">IF(L429=0,0,YEAR(B429))</f>
        <v>0</v>
      </c>
      <c r="N429" s="56" t="str">
        <f aca="false">IF(L429=0,"",IF(K429=0,"Wants / Gustos",INDEX(Budget!$D$7:$D$41,K429)))</f>
        <v/>
      </c>
    </row>
    <row r="430" customFormat="false" ht="15" hidden="false" customHeight="false" outlineLevel="0" collapsed="false">
      <c r="B430" s="57"/>
      <c r="C430" s="58"/>
      <c r="D430" s="58"/>
      <c r="E430" s="59"/>
      <c r="F430" s="58"/>
      <c r="G430" s="58"/>
      <c r="H430" s="60" t="str">
        <f aca="false">IF(OR(E430="",D430=""),"",IF(K430=0,"Expense / Gasto",INDEX(Budget!$C$7:$C$41,K430)))</f>
        <v/>
      </c>
      <c r="I430" s="60" t="str">
        <f aca="false">IF(AND(B430="",E430=""),"",IF(NOT(ISNUMBER(B430)),"⚠ ADD DATE / AGREGA FECHA",IF(E430="","⚠ ADD AMOUNT / AGREGA MONTO",IF(D430="","⚠ ADD CATEGORY / AGREGA CATEGORÍA",IF(K430=0,"● NEW CATEGORY? / ¿CATEGORÍA NUEVA?","✔ OK")))))</f>
        <v/>
      </c>
      <c r="K430" s="56" t="str">
        <f aca="false">IF(D430="","",IFERROR(MATCH(D430,Budget!$B$7:$B$41,0),0))</f>
        <v/>
      </c>
      <c r="L430" s="56" t="n">
        <f aca="false">IF(AND(ISNUMBER(B430),ISNUMBER(E430),D430&lt;&gt;""),YEAR(B430)*100+MONTH(B430),0)</f>
        <v>0</v>
      </c>
      <c r="M430" s="56" t="n">
        <f aca="false">IF(L430=0,0,YEAR(B430))</f>
        <v>0</v>
      </c>
      <c r="N430" s="56" t="str">
        <f aca="false">IF(L430=0,"",IF(K430=0,"Wants / Gustos",INDEX(Budget!$D$7:$D$41,K430)))</f>
        <v/>
      </c>
    </row>
    <row r="431" customFormat="false" ht="15" hidden="false" customHeight="false" outlineLevel="0" collapsed="false">
      <c r="B431" s="57"/>
      <c r="C431" s="58"/>
      <c r="D431" s="58"/>
      <c r="E431" s="59"/>
      <c r="F431" s="58"/>
      <c r="G431" s="58"/>
      <c r="H431" s="60" t="str">
        <f aca="false">IF(OR(E431="",D431=""),"",IF(K431=0,"Expense / Gasto",INDEX(Budget!$C$7:$C$41,K431)))</f>
        <v/>
      </c>
      <c r="I431" s="60" t="str">
        <f aca="false">IF(AND(B431="",E431=""),"",IF(NOT(ISNUMBER(B431)),"⚠ ADD DATE / AGREGA FECHA",IF(E431="","⚠ ADD AMOUNT / AGREGA MONTO",IF(D431="","⚠ ADD CATEGORY / AGREGA CATEGORÍA",IF(K431=0,"● NEW CATEGORY? / ¿CATEGORÍA NUEVA?","✔ OK")))))</f>
        <v/>
      </c>
      <c r="K431" s="56" t="str">
        <f aca="false">IF(D431="","",IFERROR(MATCH(D431,Budget!$B$7:$B$41,0),0))</f>
        <v/>
      </c>
      <c r="L431" s="56" t="n">
        <f aca="false">IF(AND(ISNUMBER(B431),ISNUMBER(E431),D431&lt;&gt;""),YEAR(B431)*100+MONTH(B431),0)</f>
        <v>0</v>
      </c>
      <c r="M431" s="56" t="n">
        <f aca="false">IF(L431=0,0,YEAR(B431))</f>
        <v>0</v>
      </c>
      <c r="N431" s="56" t="str">
        <f aca="false">IF(L431=0,"",IF(K431=0,"Wants / Gustos",INDEX(Budget!$D$7:$D$41,K431)))</f>
        <v/>
      </c>
    </row>
    <row r="432" customFormat="false" ht="15" hidden="false" customHeight="false" outlineLevel="0" collapsed="false">
      <c r="B432" s="57"/>
      <c r="C432" s="58"/>
      <c r="D432" s="58"/>
      <c r="E432" s="59"/>
      <c r="F432" s="58"/>
      <c r="G432" s="58"/>
      <c r="H432" s="60" t="str">
        <f aca="false">IF(OR(E432="",D432=""),"",IF(K432=0,"Expense / Gasto",INDEX(Budget!$C$7:$C$41,K432)))</f>
        <v/>
      </c>
      <c r="I432" s="60" t="str">
        <f aca="false">IF(AND(B432="",E432=""),"",IF(NOT(ISNUMBER(B432)),"⚠ ADD DATE / AGREGA FECHA",IF(E432="","⚠ ADD AMOUNT / AGREGA MONTO",IF(D432="","⚠ ADD CATEGORY / AGREGA CATEGORÍA",IF(K432=0,"● NEW CATEGORY? / ¿CATEGORÍA NUEVA?","✔ OK")))))</f>
        <v/>
      </c>
      <c r="K432" s="56" t="str">
        <f aca="false">IF(D432="","",IFERROR(MATCH(D432,Budget!$B$7:$B$41,0),0))</f>
        <v/>
      </c>
      <c r="L432" s="56" t="n">
        <f aca="false">IF(AND(ISNUMBER(B432),ISNUMBER(E432),D432&lt;&gt;""),YEAR(B432)*100+MONTH(B432),0)</f>
        <v>0</v>
      </c>
      <c r="M432" s="56" t="n">
        <f aca="false">IF(L432=0,0,YEAR(B432))</f>
        <v>0</v>
      </c>
      <c r="N432" s="56" t="str">
        <f aca="false">IF(L432=0,"",IF(K432=0,"Wants / Gustos",INDEX(Budget!$D$7:$D$41,K432)))</f>
        <v/>
      </c>
    </row>
    <row r="433" customFormat="false" ht="15" hidden="false" customHeight="false" outlineLevel="0" collapsed="false">
      <c r="B433" s="57"/>
      <c r="C433" s="58"/>
      <c r="D433" s="58"/>
      <c r="E433" s="59"/>
      <c r="F433" s="58"/>
      <c r="G433" s="58"/>
      <c r="H433" s="60" t="str">
        <f aca="false">IF(OR(E433="",D433=""),"",IF(K433=0,"Expense / Gasto",INDEX(Budget!$C$7:$C$41,K433)))</f>
        <v/>
      </c>
      <c r="I433" s="60" t="str">
        <f aca="false">IF(AND(B433="",E433=""),"",IF(NOT(ISNUMBER(B433)),"⚠ ADD DATE / AGREGA FECHA",IF(E433="","⚠ ADD AMOUNT / AGREGA MONTO",IF(D433="","⚠ ADD CATEGORY / AGREGA CATEGORÍA",IF(K433=0,"● NEW CATEGORY? / ¿CATEGORÍA NUEVA?","✔ OK")))))</f>
        <v/>
      </c>
      <c r="K433" s="56" t="str">
        <f aca="false">IF(D433="","",IFERROR(MATCH(D433,Budget!$B$7:$B$41,0),0))</f>
        <v/>
      </c>
      <c r="L433" s="56" t="n">
        <f aca="false">IF(AND(ISNUMBER(B433),ISNUMBER(E433),D433&lt;&gt;""),YEAR(B433)*100+MONTH(B433),0)</f>
        <v>0</v>
      </c>
      <c r="M433" s="56" t="n">
        <f aca="false">IF(L433=0,0,YEAR(B433))</f>
        <v>0</v>
      </c>
      <c r="N433" s="56" t="str">
        <f aca="false">IF(L433=0,"",IF(K433=0,"Wants / Gustos",INDEX(Budget!$D$7:$D$41,K433)))</f>
        <v/>
      </c>
    </row>
    <row r="434" customFormat="false" ht="15" hidden="false" customHeight="false" outlineLevel="0" collapsed="false">
      <c r="B434" s="57"/>
      <c r="C434" s="58"/>
      <c r="D434" s="58"/>
      <c r="E434" s="59"/>
      <c r="F434" s="58"/>
      <c r="G434" s="58"/>
      <c r="H434" s="60" t="str">
        <f aca="false">IF(OR(E434="",D434=""),"",IF(K434=0,"Expense / Gasto",INDEX(Budget!$C$7:$C$41,K434)))</f>
        <v/>
      </c>
      <c r="I434" s="60" t="str">
        <f aca="false">IF(AND(B434="",E434=""),"",IF(NOT(ISNUMBER(B434)),"⚠ ADD DATE / AGREGA FECHA",IF(E434="","⚠ ADD AMOUNT / AGREGA MONTO",IF(D434="","⚠ ADD CATEGORY / AGREGA CATEGORÍA",IF(K434=0,"● NEW CATEGORY? / ¿CATEGORÍA NUEVA?","✔ OK")))))</f>
        <v/>
      </c>
      <c r="K434" s="56" t="str">
        <f aca="false">IF(D434="","",IFERROR(MATCH(D434,Budget!$B$7:$B$41,0),0))</f>
        <v/>
      </c>
      <c r="L434" s="56" t="n">
        <f aca="false">IF(AND(ISNUMBER(B434),ISNUMBER(E434),D434&lt;&gt;""),YEAR(B434)*100+MONTH(B434),0)</f>
        <v>0</v>
      </c>
      <c r="M434" s="56" t="n">
        <f aca="false">IF(L434=0,0,YEAR(B434))</f>
        <v>0</v>
      </c>
      <c r="N434" s="56" t="str">
        <f aca="false">IF(L434=0,"",IF(K434=0,"Wants / Gustos",INDEX(Budget!$D$7:$D$41,K434)))</f>
        <v/>
      </c>
    </row>
    <row r="435" customFormat="false" ht="15" hidden="false" customHeight="false" outlineLevel="0" collapsed="false">
      <c r="B435" s="57"/>
      <c r="C435" s="58"/>
      <c r="D435" s="58"/>
      <c r="E435" s="59"/>
      <c r="F435" s="58"/>
      <c r="G435" s="58"/>
      <c r="H435" s="60" t="str">
        <f aca="false">IF(OR(E435="",D435=""),"",IF(K435=0,"Expense / Gasto",INDEX(Budget!$C$7:$C$41,K435)))</f>
        <v/>
      </c>
      <c r="I435" s="60" t="str">
        <f aca="false">IF(AND(B435="",E435=""),"",IF(NOT(ISNUMBER(B435)),"⚠ ADD DATE / AGREGA FECHA",IF(E435="","⚠ ADD AMOUNT / AGREGA MONTO",IF(D435="","⚠ ADD CATEGORY / AGREGA CATEGORÍA",IF(K435=0,"● NEW CATEGORY? / ¿CATEGORÍA NUEVA?","✔ OK")))))</f>
        <v/>
      </c>
      <c r="K435" s="56" t="str">
        <f aca="false">IF(D435="","",IFERROR(MATCH(D435,Budget!$B$7:$B$41,0),0))</f>
        <v/>
      </c>
      <c r="L435" s="56" t="n">
        <f aca="false">IF(AND(ISNUMBER(B435),ISNUMBER(E435),D435&lt;&gt;""),YEAR(B435)*100+MONTH(B435),0)</f>
        <v>0</v>
      </c>
      <c r="M435" s="56" t="n">
        <f aca="false">IF(L435=0,0,YEAR(B435))</f>
        <v>0</v>
      </c>
      <c r="N435" s="56" t="str">
        <f aca="false">IF(L435=0,"",IF(K435=0,"Wants / Gustos",INDEX(Budget!$D$7:$D$41,K435)))</f>
        <v/>
      </c>
    </row>
    <row r="436" customFormat="false" ht="15" hidden="false" customHeight="false" outlineLevel="0" collapsed="false">
      <c r="B436" s="57"/>
      <c r="C436" s="58"/>
      <c r="D436" s="58"/>
      <c r="E436" s="59"/>
      <c r="F436" s="58"/>
      <c r="G436" s="58"/>
      <c r="H436" s="60" t="str">
        <f aca="false">IF(OR(E436="",D436=""),"",IF(K436=0,"Expense / Gasto",INDEX(Budget!$C$7:$C$41,K436)))</f>
        <v/>
      </c>
      <c r="I436" s="60" t="str">
        <f aca="false">IF(AND(B436="",E436=""),"",IF(NOT(ISNUMBER(B436)),"⚠ ADD DATE / AGREGA FECHA",IF(E436="","⚠ ADD AMOUNT / AGREGA MONTO",IF(D436="","⚠ ADD CATEGORY / AGREGA CATEGORÍA",IF(K436=0,"● NEW CATEGORY? / ¿CATEGORÍA NUEVA?","✔ OK")))))</f>
        <v/>
      </c>
      <c r="K436" s="56" t="str">
        <f aca="false">IF(D436="","",IFERROR(MATCH(D436,Budget!$B$7:$B$41,0),0))</f>
        <v/>
      </c>
      <c r="L436" s="56" t="n">
        <f aca="false">IF(AND(ISNUMBER(B436),ISNUMBER(E436),D436&lt;&gt;""),YEAR(B436)*100+MONTH(B436),0)</f>
        <v>0</v>
      </c>
      <c r="M436" s="56" t="n">
        <f aca="false">IF(L436=0,0,YEAR(B436))</f>
        <v>0</v>
      </c>
      <c r="N436" s="56" t="str">
        <f aca="false">IF(L436=0,"",IF(K436=0,"Wants / Gustos",INDEX(Budget!$D$7:$D$41,K436)))</f>
        <v/>
      </c>
    </row>
    <row r="437" customFormat="false" ht="15" hidden="false" customHeight="false" outlineLevel="0" collapsed="false">
      <c r="B437" s="57"/>
      <c r="C437" s="58"/>
      <c r="D437" s="58"/>
      <c r="E437" s="59"/>
      <c r="F437" s="58"/>
      <c r="G437" s="58"/>
      <c r="H437" s="60" t="str">
        <f aca="false">IF(OR(E437="",D437=""),"",IF(K437=0,"Expense / Gasto",INDEX(Budget!$C$7:$C$41,K437)))</f>
        <v/>
      </c>
      <c r="I437" s="60" t="str">
        <f aca="false">IF(AND(B437="",E437=""),"",IF(NOT(ISNUMBER(B437)),"⚠ ADD DATE / AGREGA FECHA",IF(E437="","⚠ ADD AMOUNT / AGREGA MONTO",IF(D437="","⚠ ADD CATEGORY / AGREGA CATEGORÍA",IF(K437=0,"● NEW CATEGORY? / ¿CATEGORÍA NUEVA?","✔ OK")))))</f>
        <v/>
      </c>
      <c r="K437" s="56" t="str">
        <f aca="false">IF(D437="","",IFERROR(MATCH(D437,Budget!$B$7:$B$41,0),0))</f>
        <v/>
      </c>
      <c r="L437" s="56" t="n">
        <f aca="false">IF(AND(ISNUMBER(B437),ISNUMBER(E437),D437&lt;&gt;""),YEAR(B437)*100+MONTH(B437),0)</f>
        <v>0</v>
      </c>
      <c r="M437" s="56" t="n">
        <f aca="false">IF(L437=0,0,YEAR(B437))</f>
        <v>0</v>
      </c>
      <c r="N437" s="56" t="str">
        <f aca="false">IF(L437=0,"",IF(K437=0,"Wants / Gustos",INDEX(Budget!$D$7:$D$41,K437)))</f>
        <v/>
      </c>
    </row>
    <row r="438" customFormat="false" ht="15" hidden="false" customHeight="false" outlineLevel="0" collapsed="false">
      <c r="B438" s="57"/>
      <c r="C438" s="58"/>
      <c r="D438" s="58"/>
      <c r="E438" s="59"/>
      <c r="F438" s="58"/>
      <c r="G438" s="58"/>
      <c r="H438" s="60" t="str">
        <f aca="false">IF(OR(E438="",D438=""),"",IF(K438=0,"Expense / Gasto",INDEX(Budget!$C$7:$C$41,K438)))</f>
        <v/>
      </c>
      <c r="I438" s="60" t="str">
        <f aca="false">IF(AND(B438="",E438=""),"",IF(NOT(ISNUMBER(B438)),"⚠ ADD DATE / AGREGA FECHA",IF(E438="","⚠ ADD AMOUNT / AGREGA MONTO",IF(D438="","⚠ ADD CATEGORY / AGREGA CATEGORÍA",IF(K438=0,"● NEW CATEGORY? / ¿CATEGORÍA NUEVA?","✔ OK")))))</f>
        <v/>
      </c>
      <c r="K438" s="56" t="str">
        <f aca="false">IF(D438="","",IFERROR(MATCH(D438,Budget!$B$7:$B$41,0),0))</f>
        <v/>
      </c>
      <c r="L438" s="56" t="n">
        <f aca="false">IF(AND(ISNUMBER(B438),ISNUMBER(E438),D438&lt;&gt;""),YEAR(B438)*100+MONTH(B438),0)</f>
        <v>0</v>
      </c>
      <c r="M438" s="56" t="n">
        <f aca="false">IF(L438=0,0,YEAR(B438))</f>
        <v>0</v>
      </c>
      <c r="N438" s="56" t="str">
        <f aca="false">IF(L438=0,"",IF(K438=0,"Wants / Gustos",INDEX(Budget!$D$7:$D$41,K438)))</f>
        <v/>
      </c>
    </row>
    <row r="439" customFormat="false" ht="15" hidden="false" customHeight="false" outlineLevel="0" collapsed="false">
      <c r="B439" s="57"/>
      <c r="C439" s="58"/>
      <c r="D439" s="58"/>
      <c r="E439" s="59"/>
      <c r="F439" s="58"/>
      <c r="G439" s="58"/>
      <c r="H439" s="60" t="str">
        <f aca="false">IF(OR(E439="",D439=""),"",IF(K439=0,"Expense / Gasto",INDEX(Budget!$C$7:$C$41,K439)))</f>
        <v/>
      </c>
      <c r="I439" s="60" t="str">
        <f aca="false">IF(AND(B439="",E439=""),"",IF(NOT(ISNUMBER(B439)),"⚠ ADD DATE / AGREGA FECHA",IF(E439="","⚠ ADD AMOUNT / AGREGA MONTO",IF(D439="","⚠ ADD CATEGORY / AGREGA CATEGORÍA",IF(K439=0,"● NEW CATEGORY? / ¿CATEGORÍA NUEVA?","✔ OK")))))</f>
        <v/>
      </c>
      <c r="K439" s="56" t="str">
        <f aca="false">IF(D439="","",IFERROR(MATCH(D439,Budget!$B$7:$B$41,0),0))</f>
        <v/>
      </c>
      <c r="L439" s="56" t="n">
        <f aca="false">IF(AND(ISNUMBER(B439),ISNUMBER(E439),D439&lt;&gt;""),YEAR(B439)*100+MONTH(B439),0)</f>
        <v>0</v>
      </c>
      <c r="M439" s="56" t="n">
        <f aca="false">IF(L439=0,0,YEAR(B439))</f>
        <v>0</v>
      </c>
      <c r="N439" s="56" t="str">
        <f aca="false">IF(L439=0,"",IF(K439=0,"Wants / Gustos",INDEX(Budget!$D$7:$D$41,K439)))</f>
        <v/>
      </c>
    </row>
    <row r="440" customFormat="false" ht="15" hidden="false" customHeight="false" outlineLevel="0" collapsed="false">
      <c r="B440" s="57"/>
      <c r="C440" s="58"/>
      <c r="D440" s="58"/>
      <c r="E440" s="59"/>
      <c r="F440" s="58"/>
      <c r="G440" s="58"/>
      <c r="H440" s="60" t="str">
        <f aca="false">IF(OR(E440="",D440=""),"",IF(K440=0,"Expense / Gasto",INDEX(Budget!$C$7:$C$41,K440)))</f>
        <v/>
      </c>
      <c r="I440" s="60" t="str">
        <f aca="false">IF(AND(B440="",E440=""),"",IF(NOT(ISNUMBER(B440)),"⚠ ADD DATE / AGREGA FECHA",IF(E440="","⚠ ADD AMOUNT / AGREGA MONTO",IF(D440="","⚠ ADD CATEGORY / AGREGA CATEGORÍA",IF(K440=0,"● NEW CATEGORY? / ¿CATEGORÍA NUEVA?","✔ OK")))))</f>
        <v/>
      </c>
      <c r="K440" s="56" t="str">
        <f aca="false">IF(D440="","",IFERROR(MATCH(D440,Budget!$B$7:$B$41,0),0))</f>
        <v/>
      </c>
      <c r="L440" s="56" t="n">
        <f aca="false">IF(AND(ISNUMBER(B440),ISNUMBER(E440),D440&lt;&gt;""),YEAR(B440)*100+MONTH(B440),0)</f>
        <v>0</v>
      </c>
      <c r="M440" s="56" t="n">
        <f aca="false">IF(L440=0,0,YEAR(B440))</f>
        <v>0</v>
      </c>
      <c r="N440" s="56" t="str">
        <f aca="false">IF(L440=0,"",IF(K440=0,"Wants / Gustos",INDEX(Budget!$D$7:$D$41,K440)))</f>
        <v/>
      </c>
    </row>
    <row r="441" customFormat="false" ht="15" hidden="false" customHeight="false" outlineLevel="0" collapsed="false">
      <c r="B441" s="57"/>
      <c r="C441" s="58"/>
      <c r="D441" s="58"/>
      <c r="E441" s="59"/>
      <c r="F441" s="58"/>
      <c r="G441" s="58"/>
      <c r="H441" s="60" t="str">
        <f aca="false">IF(OR(E441="",D441=""),"",IF(K441=0,"Expense / Gasto",INDEX(Budget!$C$7:$C$41,K441)))</f>
        <v/>
      </c>
      <c r="I441" s="60" t="str">
        <f aca="false">IF(AND(B441="",E441=""),"",IF(NOT(ISNUMBER(B441)),"⚠ ADD DATE / AGREGA FECHA",IF(E441="","⚠ ADD AMOUNT / AGREGA MONTO",IF(D441="","⚠ ADD CATEGORY / AGREGA CATEGORÍA",IF(K441=0,"● NEW CATEGORY? / ¿CATEGORÍA NUEVA?","✔ OK")))))</f>
        <v/>
      </c>
      <c r="K441" s="56" t="str">
        <f aca="false">IF(D441="","",IFERROR(MATCH(D441,Budget!$B$7:$B$41,0),0))</f>
        <v/>
      </c>
      <c r="L441" s="56" t="n">
        <f aca="false">IF(AND(ISNUMBER(B441),ISNUMBER(E441),D441&lt;&gt;""),YEAR(B441)*100+MONTH(B441),0)</f>
        <v>0</v>
      </c>
      <c r="M441" s="56" t="n">
        <f aca="false">IF(L441=0,0,YEAR(B441))</f>
        <v>0</v>
      </c>
      <c r="N441" s="56" t="str">
        <f aca="false">IF(L441=0,"",IF(K441=0,"Wants / Gustos",INDEX(Budget!$D$7:$D$41,K441)))</f>
        <v/>
      </c>
    </row>
    <row r="442" customFormat="false" ht="15" hidden="false" customHeight="false" outlineLevel="0" collapsed="false">
      <c r="B442" s="57"/>
      <c r="C442" s="58"/>
      <c r="D442" s="58"/>
      <c r="E442" s="59"/>
      <c r="F442" s="58"/>
      <c r="G442" s="58"/>
      <c r="H442" s="60" t="str">
        <f aca="false">IF(OR(E442="",D442=""),"",IF(K442=0,"Expense / Gasto",INDEX(Budget!$C$7:$C$41,K442)))</f>
        <v/>
      </c>
      <c r="I442" s="60" t="str">
        <f aca="false">IF(AND(B442="",E442=""),"",IF(NOT(ISNUMBER(B442)),"⚠ ADD DATE / AGREGA FECHA",IF(E442="","⚠ ADD AMOUNT / AGREGA MONTO",IF(D442="","⚠ ADD CATEGORY / AGREGA CATEGORÍA",IF(K442=0,"● NEW CATEGORY? / ¿CATEGORÍA NUEVA?","✔ OK")))))</f>
        <v/>
      </c>
      <c r="K442" s="56" t="str">
        <f aca="false">IF(D442="","",IFERROR(MATCH(D442,Budget!$B$7:$B$41,0),0))</f>
        <v/>
      </c>
      <c r="L442" s="56" t="n">
        <f aca="false">IF(AND(ISNUMBER(B442),ISNUMBER(E442),D442&lt;&gt;""),YEAR(B442)*100+MONTH(B442),0)</f>
        <v>0</v>
      </c>
      <c r="M442" s="56" t="n">
        <f aca="false">IF(L442=0,0,YEAR(B442))</f>
        <v>0</v>
      </c>
      <c r="N442" s="56" t="str">
        <f aca="false">IF(L442=0,"",IF(K442=0,"Wants / Gustos",INDEX(Budget!$D$7:$D$41,K442)))</f>
        <v/>
      </c>
    </row>
    <row r="443" customFormat="false" ht="15" hidden="false" customHeight="false" outlineLevel="0" collapsed="false">
      <c r="B443" s="57"/>
      <c r="C443" s="58"/>
      <c r="D443" s="58"/>
      <c r="E443" s="59"/>
      <c r="F443" s="58"/>
      <c r="G443" s="58"/>
      <c r="H443" s="60" t="str">
        <f aca="false">IF(OR(E443="",D443=""),"",IF(K443=0,"Expense / Gasto",INDEX(Budget!$C$7:$C$41,K443)))</f>
        <v/>
      </c>
      <c r="I443" s="60" t="str">
        <f aca="false">IF(AND(B443="",E443=""),"",IF(NOT(ISNUMBER(B443)),"⚠ ADD DATE / AGREGA FECHA",IF(E443="","⚠ ADD AMOUNT / AGREGA MONTO",IF(D443="","⚠ ADD CATEGORY / AGREGA CATEGORÍA",IF(K443=0,"● NEW CATEGORY? / ¿CATEGORÍA NUEVA?","✔ OK")))))</f>
        <v/>
      </c>
      <c r="K443" s="56" t="str">
        <f aca="false">IF(D443="","",IFERROR(MATCH(D443,Budget!$B$7:$B$41,0),0))</f>
        <v/>
      </c>
      <c r="L443" s="56" t="n">
        <f aca="false">IF(AND(ISNUMBER(B443),ISNUMBER(E443),D443&lt;&gt;""),YEAR(B443)*100+MONTH(B443),0)</f>
        <v>0</v>
      </c>
      <c r="M443" s="56" t="n">
        <f aca="false">IF(L443=0,0,YEAR(B443))</f>
        <v>0</v>
      </c>
      <c r="N443" s="56" t="str">
        <f aca="false">IF(L443=0,"",IF(K443=0,"Wants / Gustos",INDEX(Budget!$D$7:$D$41,K443)))</f>
        <v/>
      </c>
    </row>
    <row r="444" customFormat="false" ht="15" hidden="false" customHeight="false" outlineLevel="0" collapsed="false">
      <c r="B444" s="57"/>
      <c r="C444" s="58"/>
      <c r="D444" s="58"/>
      <c r="E444" s="59"/>
      <c r="F444" s="58"/>
      <c r="G444" s="58"/>
      <c r="H444" s="60" t="str">
        <f aca="false">IF(OR(E444="",D444=""),"",IF(K444=0,"Expense / Gasto",INDEX(Budget!$C$7:$C$41,K444)))</f>
        <v/>
      </c>
      <c r="I444" s="60" t="str">
        <f aca="false">IF(AND(B444="",E444=""),"",IF(NOT(ISNUMBER(B444)),"⚠ ADD DATE / AGREGA FECHA",IF(E444="","⚠ ADD AMOUNT / AGREGA MONTO",IF(D444="","⚠ ADD CATEGORY / AGREGA CATEGORÍA",IF(K444=0,"● NEW CATEGORY? / ¿CATEGORÍA NUEVA?","✔ OK")))))</f>
        <v/>
      </c>
      <c r="K444" s="56" t="str">
        <f aca="false">IF(D444="","",IFERROR(MATCH(D444,Budget!$B$7:$B$41,0),0))</f>
        <v/>
      </c>
      <c r="L444" s="56" t="n">
        <f aca="false">IF(AND(ISNUMBER(B444),ISNUMBER(E444),D444&lt;&gt;""),YEAR(B444)*100+MONTH(B444),0)</f>
        <v>0</v>
      </c>
      <c r="M444" s="56" t="n">
        <f aca="false">IF(L444=0,0,YEAR(B444))</f>
        <v>0</v>
      </c>
      <c r="N444" s="56" t="str">
        <f aca="false">IF(L444=0,"",IF(K444=0,"Wants / Gustos",INDEX(Budget!$D$7:$D$41,K444)))</f>
        <v/>
      </c>
    </row>
    <row r="445" customFormat="false" ht="15" hidden="false" customHeight="false" outlineLevel="0" collapsed="false">
      <c r="B445" s="57"/>
      <c r="C445" s="58"/>
      <c r="D445" s="58"/>
      <c r="E445" s="59"/>
      <c r="F445" s="58"/>
      <c r="G445" s="58"/>
      <c r="H445" s="60" t="str">
        <f aca="false">IF(OR(E445="",D445=""),"",IF(K445=0,"Expense / Gasto",INDEX(Budget!$C$7:$C$41,K445)))</f>
        <v/>
      </c>
      <c r="I445" s="60" t="str">
        <f aca="false">IF(AND(B445="",E445=""),"",IF(NOT(ISNUMBER(B445)),"⚠ ADD DATE / AGREGA FECHA",IF(E445="","⚠ ADD AMOUNT / AGREGA MONTO",IF(D445="","⚠ ADD CATEGORY / AGREGA CATEGORÍA",IF(K445=0,"● NEW CATEGORY? / ¿CATEGORÍA NUEVA?","✔ OK")))))</f>
        <v/>
      </c>
      <c r="K445" s="56" t="str">
        <f aca="false">IF(D445="","",IFERROR(MATCH(D445,Budget!$B$7:$B$41,0),0))</f>
        <v/>
      </c>
      <c r="L445" s="56" t="n">
        <f aca="false">IF(AND(ISNUMBER(B445),ISNUMBER(E445),D445&lt;&gt;""),YEAR(B445)*100+MONTH(B445),0)</f>
        <v>0</v>
      </c>
      <c r="M445" s="56" t="n">
        <f aca="false">IF(L445=0,0,YEAR(B445))</f>
        <v>0</v>
      </c>
      <c r="N445" s="56" t="str">
        <f aca="false">IF(L445=0,"",IF(K445=0,"Wants / Gustos",INDEX(Budget!$D$7:$D$41,K445)))</f>
        <v/>
      </c>
    </row>
    <row r="446" customFormat="false" ht="15" hidden="false" customHeight="false" outlineLevel="0" collapsed="false">
      <c r="B446" s="57"/>
      <c r="C446" s="58"/>
      <c r="D446" s="58"/>
      <c r="E446" s="59"/>
      <c r="F446" s="58"/>
      <c r="G446" s="58"/>
      <c r="H446" s="60" t="str">
        <f aca="false">IF(OR(E446="",D446=""),"",IF(K446=0,"Expense / Gasto",INDEX(Budget!$C$7:$C$41,K446)))</f>
        <v/>
      </c>
      <c r="I446" s="60" t="str">
        <f aca="false">IF(AND(B446="",E446=""),"",IF(NOT(ISNUMBER(B446)),"⚠ ADD DATE / AGREGA FECHA",IF(E446="","⚠ ADD AMOUNT / AGREGA MONTO",IF(D446="","⚠ ADD CATEGORY / AGREGA CATEGORÍA",IF(K446=0,"● NEW CATEGORY? / ¿CATEGORÍA NUEVA?","✔ OK")))))</f>
        <v/>
      </c>
      <c r="K446" s="56" t="str">
        <f aca="false">IF(D446="","",IFERROR(MATCH(D446,Budget!$B$7:$B$41,0),0))</f>
        <v/>
      </c>
      <c r="L446" s="56" t="n">
        <f aca="false">IF(AND(ISNUMBER(B446),ISNUMBER(E446),D446&lt;&gt;""),YEAR(B446)*100+MONTH(B446),0)</f>
        <v>0</v>
      </c>
      <c r="M446" s="56" t="n">
        <f aca="false">IF(L446=0,0,YEAR(B446))</f>
        <v>0</v>
      </c>
      <c r="N446" s="56" t="str">
        <f aca="false">IF(L446=0,"",IF(K446=0,"Wants / Gustos",INDEX(Budget!$D$7:$D$41,K446)))</f>
        <v/>
      </c>
    </row>
    <row r="447" customFormat="false" ht="15" hidden="false" customHeight="false" outlineLevel="0" collapsed="false">
      <c r="B447" s="57"/>
      <c r="C447" s="58"/>
      <c r="D447" s="58"/>
      <c r="E447" s="59"/>
      <c r="F447" s="58"/>
      <c r="G447" s="58"/>
      <c r="H447" s="60" t="str">
        <f aca="false">IF(OR(E447="",D447=""),"",IF(K447=0,"Expense / Gasto",INDEX(Budget!$C$7:$C$41,K447)))</f>
        <v/>
      </c>
      <c r="I447" s="60" t="str">
        <f aca="false">IF(AND(B447="",E447=""),"",IF(NOT(ISNUMBER(B447)),"⚠ ADD DATE / AGREGA FECHA",IF(E447="","⚠ ADD AMOUNT / AGREGA MONTO",IF(D447="","⚠ ADD CATEGORY / AGREGA CATEGORÍA",IF(K447=0,"● NEW CATEGORY? / ¿CATEGORÍA NUEVA?","✔ OK")))))</f>
        <v/>
      </c>
      <c r="K447" s="56" t="str">
        <f aca="false">IF(D447="","",IFERROR(MATCH(D447,Budget!$B$7:$B$41,0),0))</f>
        <v/>
      </c>
      <c r="L447" s="56" t="n">
        <f aca="false">IF(AND(ISNUMBER(B447),ISNUMBER(E447),D447&lt;&gt;""),YEAR(B447)*100+MONTH(B447),0)</f>
        <v>0</v>
      </c>
      <c r="M447" s="56" t="n">
        <f aca="false">IF(L447=0,0,YEAR(B447))</f>
        <v>0</v>
      </c>
      <c r="N447" s="56" t="str">
        <f aca="false">IF(L447=0,"",IF(K447=0,"Wants / Gustos",INDEX(Budget!$D$7:$D$41,K447)))</f>
        <v/>
      </c>
    </row>
    <row r="448" customFormat="false" ht="15" hidden="false" customHeight="false" outlineLevel="0" collapsed="false">
      <c r="B448" s="57"/>
      <c r="C448" s="58"/>
      <c r="D448" s="58"/>
      <c r="E448" s="59"/>
      <c r="F448" s="58"/>
      <c r="G448" s="58"/>
      <c r="H448" s="60" t="str">
        <f aca="false">IF(OR(E448="",D448=""),"",IF(K448=0,"Expense / Gasto",INDEX(Budget!$C$7:$C$41,K448)))</f>
        <v/>
      </c>
      <c r="I448" s="60" t="str">
        <f aca="false">IF(AND(B448="",E448=""),"",IF(NOT(ISNUMBER(B448)),"⚠ ADD DATE / AGREGA FECHA",IF(E448="","⚠ ADD AMOUNT / AGREGA MONTO",IF(D448="","⚠ ADD CATEGORY / AGREGA CATEGORÍA",IF(K448=0,"● NEW CATEGORY? / ¿CATEGORÍA NUEVA?","✔ OK")))))</f>
        <v/>
      </c>
      <c r="K448" s="56" t="str">
        <f aca="false">IF(D448="","",IFERROR(MATCH(D448,Budget!$B$7:$B$41,0),0))</f>
        <v/>
      </c>
      <c r="L448" s="56" t="n">
        <f aca="false">IF(AND(ISNUMBER(B448),ISNUMBER(E448),D448&lt;&gt;""),YEAR(B448)*100+MONTH(B448),0)</f>
        <v>0</v>
      </c>
      <c r="M448" s="56" t="n">
        <f aca="false">IF(L448=0,0,YEAR(B448))</f>
        <v>0</v>
      </c>
      <c r="N448" s="56" t="str">
        <f aca="false">IF(L448=0,"",IF(K448=0,"Wants / Gustos",INDEX(Budget!$D$7:$D$41,K448)))</f>
        <v/>
      </c>
    </row>
    <row r="449" customFormat="false" ht="15" hidden="false" customHeight="false" outlineLevel="0" collapsed="false">
      <c r="B449" s="57"/>
      <c r="C449" s="58"/>
      <c r="D449" s="58"/>
      <c r="E449" s="59"/>
      <c r="F449" s="58"/>
      <c r="G449" s="58"/>
      <c r="H449" s="60" t="str">
        <f aca="false">IF(OR(E449="",D449=""),"",IF(K449=0,"Expense / Gasto",INDEX(Budget!$C$7:$C$41,K449)))</f>
        <v/>
      </c>
      <c r="I449" s="60" t="str">
        <f aca="false">IF(AND(B449="",E449=""),"",IF(NOT(ISNUMBER(B449)),"⚠ ADD DATE / AGREGA FECHA",IF(E449="","⚠ ADD AMOUNT / AGREGA MONTO",IF(D449="","⚠ ADD CATEGORY / AGREGA CATEGORÍA",IF(K449=0,"● NEW CATEGORY? / ¿CATEGORÍA NUEVA?","✔ OK")))))</f>
        <v/>
      </c>
      <c r="K449" s="56" t="str">
        <f aca="false">IF(D449="","",IFERROR(MATCH(D449,Budget!$B$7:$B$41,0),0))</f>
        <v/>
      </c>
      <c r="L449" s="56" t="n">
        <f aca="false">IF(AND(ISNUMBER(B449),ISNUMBER(E449),D449&lt;&gt;""),YEAR(B449)*100+MONTH(B449),0)</f>
        <v>0</v>
      </c>
      <c r="M449" s="56" t="n">
        <f aca="false">IF(L449=0,0,YEAR(B449))</f>
        <v>0</v>
      </c>
      <c r="N449" s="56" t="str">
        <f aca="false">IF(L449=0,"",IF(K449=0,"Wants / Gustos",INDEX(Budget!$D$7:$D$41,K449)))</f>
        <v/>
      </c>
    </row>
    <row r="450" customFormat="false" ht="15" hidden="false" customHeight="false" outlineLevel="0" collapsed="false">
      <c r="B450" s="57"/>
      <c r="C450" s="58"/>
      <c r="D450" s="58"/>
      <c r="E450" s="59"/>
      <c r="F450" s="58"/>
      <c r="G450" s="58"/>
      <c r="H450" s="60" t="str">
        <f aca="false">IF(OR(E450="",D450=""),"",IF(K450=0,"Expense / Gasto",INDEX(Budget!$C$7:$C$41,K450)))</f>
        <v/>
      </c>
      <c r="I450" s="60" t="str">
        <f aca="false">IF(AND(B450="",E450=""),"",IF(NOT(ISNUMBER(B450)),"⚠ ADD DATE / AGREGA FECHA",IF(E450="","⚠ ADD AMOUNT / AGREGA MONTO",IF(D450="","⚠ ADD CATEGORY / AGREGA CATEGORÍA",IF(K450=0,"● NEW CATEGORY? / ¿CATEGORÍA NUEVA?","✔ OK")))))</f>
        <v/>
      </c>
      <c r="K450" s="56" t="str">
        <f aca="false">IF(D450="","",IFERROR(MATCH(D450,Budget!$B$7:$B$41,0),0))</f>
        <v/>
      </c>
      <c r="L450" s="56" t="n">
        <f aca="false">IF(AND(ISNUMBER(B450),ISNUMBER(E450),D450&lt;&gt;""),YEAR(B450)*100+MONTH(B450),0)</f>
        <v>0</v>
      </c>
      <c r="M450" s="56" t="n">
        <f aca="false">IF(L450=0,0,YEAR(B450))</f>
        <v>0</v>
      </c>
      <c r="N450" s="56" t="str">
        <f aca="false">IF(L450=0,"",IF(K450=0,"Wants / Gustos",INDEX(Budget!$D$7:$D$41,K450)))</f>
        <v/>
      </c>
    </row>
    <row r="451" customFormat="false" ht="15" hidden="false" customHeight="false" outlineLevel="0" collapsed="false">
      <c r="B451" s="57"/>
      <c r="C451" s="58"/>
      <c r="D451" s="58"/>
      <c r="E451" s="59"/>
      <c r="F451" s="58"/>
      <c r="G451" s="58"/>
      <c r="H451" s="60" t="str">
        <f aca="false">IF(OR(E451="",D451=""),"",IF(K451=0,"Expense / Gasto",INDEX(Budget!$C$7:$C$41,K451)))</f>
        <v/>
      </c>
      <c r="I451" s="60" t="str">
        <f aca="false">IF(AND(B451="",E451=""),"",IF(NOT(ISNUMBER(B451)),"⚠ ADD DATE / AGREGA FECHA",IF(E451="","⚠ ADD AMOUNT / AGREGA MONTO",IF(D451="","⚠ ADD CATEGORY / AGREGA CATEGORÍA",IF(K451=0,"● NEW CATEGORY? / ¿CATEGORÍA NUEVA?","✔ OK")))))</f>
        <v/>
      </c>
      <c r="K451" s="56" t="str">
        <f aca="false">IF(D451="","",IFERROR(MATCH(D451,Budget!$B$7:$B$41,0),0))</f>
        <v/>
      </c>
      <c r="L451" s="56" t="n">
        <f aca="false">IF(AND(ISNUMBER(B451),ISNUMBER(E451),D451&lt;&gt;""),YEAR(B451)*100+MONTH(B451),0)</f>
        <v>0</v>
      </c>
      <c r="M451" s="56" t="n">
        <f aca="false">IF(L451=0,0,YEAR(B451))</f>
        <v>0</v>
      </c>
      <c r="N451" s="56" t="str">
        <f aca="false">IF(L451=0,"",IF(K451=0,"Wants / Gustos",INDEX(Budget!$D$7:$D$41,K451)))</f>
        <v/>
      </c>
    </row>
    <row r="452" customFormat="false" ht="15" hidden="false" customHeight="false" outlineLevel="0" collapsed="false">
      <c r="B452" s="57"/>
      <c r="C452" s="58"/>
      <c r="D452" s="58"/>
      <c r="E452" s="59"/>
      <c r="F452" s="58"/>
      <c r="G452" s="58"/>
      <c r="H452" s="60" t="str">
        <f aca="false">IF(OR(E452="",D452=""),"",IF(K452=0,"Expense / Gasto",INDEX(Budget!$C$7:$C$41,K452)))</f>
        <v/>
      </c>
      <c r="I452" s="60" t="str">
        <f aca="false">IF(AND(B452="",E452=""),"",IF(NOT(ISNUMBER(B452)),"⚠ ADD DATE / AGREGA FECHA",IF(E452="","⚠ ADD AMOUNT / AGREGA MONTO",IF(D452="","⚠ ADD CATEGORY / AGREGA CATEGORÍA",IF(K452=0,"● NEW CATEGORY? / ¿CATEGORÍA NUEVA?","✔ OK")))))</f>
        <v/>
      </c>
      <c r="K452" s="56" t="str">
        <f aca="false">IF(D452="","",IFERROR(MATCH(D452,Budget!$B$7:$B$41,0),0))</f>
        <v/>
      </c>
      <c r="L452" s="56" t="n">
        <f aca="false">IF(AND(ISNUMBER(B452),ISNUMBER(E452),D452&lt;&gt;""),YEAR(B452)*100+MONTH(B452),0)</f>
        <v>0</v>
      </c>
      <c r="M452" s="56" t="n">
        <f aca="false">IF(L452=0,0,YEAR(B452))</f>
        <v>0</v>
      </c>
      <c r="N452" s="56" t="str">
        <f aca="false">IF(L452=0,"",IF(K452=0,"Wants / Gustos",INDEX(Budget!$D$7:$D$41,K452)))</f>
        <v/>
      </c>
    </row>
    <row r="453" customFormat="false" ht="15" hidden="false" customHeight="false" outlineLevel="0" collapsed="false">
      <c r="B453" s="57"/>
      <c r="C453" s="58"/>
      <c r="D453" s="58"/>
      <c r="E453" s="59"/>
      <c r="F453" s="58"/>
      <c r="G453" s="58"/>
      <c r="H453" s="60" t="str">
        <f aca="false">IF(OR(E453="",D453=""),"",IF(K453=0,"Expense / Gasto",INDEX(Budget!$C$7:$C$41,K453)))</f>
        <v/>
      </c>
      <c r="I453" s="60" t="str">
        <f aca="false">IF(AND(B453="",E453=""),"",IF(NOT(ISNUMBER(B453)),"⚠ ADD DATE / AGREGA FECHA",IF(E453="","⚠ ADD AMOUNT / AGREGA MONTO",IF(D453="","⚠ ADD CATEGORY / AGREGA CATEGORÍA",IF(K453=0,"● NEW CATEGORY? / ¿CATEGORÍA NUEVA?","✔ OK")))))</f>
        <v/>
      </c>
      <c r="K453" s="56" t="str">
        <f aca="false">IF(D453="","",IFERROR(MATCH(D453,Budget!$B$7:$B$41,0),0))</f>
        <v/>
      </c>
      <c r="L453" s="56" t="n">
        <f aca="false">IF(AND(ISNUMBER(B453),ISNUMBER(E453),D453&lt;&gt;""),YEAR(B453)*100+MONTH(B453),0)</f>
        <v>0</v>
      </c>
      <c r="M453" s="56" t="n">
        <f aca="false">IF(L453=0,0,YEAR(B453))</f>
        <v>0</v>
      </c>
      <c r="N453" s="56" t="str">
        <f aca="false">IF(L453=0,"",IF(K453=0,"Wants / Gustos",INDEX(Budget!$D$7:$D$41,K453)))</f>
        <v/>
      </c>
    </row>
    <row r="454" customFormat="false" ht="15" hidden="false" customHeight="false" outlineLevel="0" collapsed="false">
      <c r="B454" s="57"/>
      <c r="C454" s="58"/>
      <c r="D454" s="58"/>
      <c r="E454" s="59"/>
      <c r="F454" s="58"/>
      <c r="G454" s="58"/>
      <c r="H454" s="60" t="str">
        <f aca="false">IF(OR(E454="",D454=""),"",IF(K454=0,"Expense / Gasto",INDEX(Budget!$C$7:$C$41,K454)))</f>
        <v/>
      </c>
      <c r="I454" s="60" t="str">
        <f aca="false">IF(AND(B454="",E454=""),"",IF(NOT(ISNUMBER(B454)),"⚠ ADD DATE / AGREGA FECHA",IF(E454="","⚠ ADD AMOUNT / AGREGA MONTO",IF(D454="","⚠ ADD CATEGORY / AGREGA CATEGORÍA",IF(K454=0,"● NEW CATEGORY? / ¿CATEGORÍA NUEVA?","✔ OK")))))</f>
        <v/>
      </c>
      <c r="K454" s="56" t="str">
        <f aca="false">IF(D454="","",IFERROR(MATCH(D454,Budget!$B$7:$B$41,0),0))</f>
        <v/>
      </c>
      <c r="L454" s="56" t="n">
        <f aca="false">IF(AND(ISNUMBER(B454),ISNUMBER(E454),D454&lt;&gt;""),YEAR(B454)*100+MONTH(B454),0)</f>
        <v>0</v>
      </c>
      <c r="M454" s="56" t="n">
        <f aca="false">IF(L454=0,0,YEAR(B454))</f>
        <v>0</v>
      </c>
      <c r="N454" s="56" t="str">
        <f aca="false">IF(L454=0,"",IF(K454=0,"Wants / Gustos",INDEX(Budget!$D$7:$D$41,K454)))</f>
        <v/>
      </c>
    </row>
    <row r="455" customFormat="false" ht="15" hidden="false" customHeight="false" outlineLevel="0" collapsed="false">
      <c r="B455" s="57"/>
      <c r="C455" s="58"/>
      <c r="D455" s="58"/>
      <c r="E455" s="59"/>
      <c r="F455" s="58"/>
      <c r="G455" s="58"/>
      <c r="H455" s="60" t="str">
        <f aca="false">IF(OR(E455="",D455=""),"",IF(K455=0,"Expense / Gasto",INDEX(Budget!$C$7:$C$41,K455)))</f>
        <v/>
      </c>
      <c r="I455" s="60" t="str">
        <f aca="false">IF(AND(B455="",E455=""),"",IF(NOT(ISNUMBER(B455)),"⚠ ADD DATE / AGREGA FECHA",IF(E455="","⚠ ADD AMOUNT / AGREGA MONTO",IF(D455="","⚠ ADD CATEGORY / AGREGA CATEGORÍA",IF(K455=0,"● NEW CATEGORY? / ¿CATEGORÍA NUEVA?","✔ OK")))))</f>
        <v/>
      </c>
      <c r="K455" s="56" t="str">
        <f aca="false">IF(D455="","",IFERROR(MATCH(D455,Budget!$B$7:$B$41,0),0))</f>
        <v/>
      </c>
      <c r="L455" s="56" t="n">
        <f aca="false">IF(AND(ISNUMBER(B455),ISNUMBER(E455),D455&lt;&gt;""),YEAR(B455)*100+MONTH(B455),0)</f>
        <v>0</v>
      </c>
      <c r="M455" s="56" t="n">
        <f aca="false">IF(L455=0,0,YEAR(B455))</f>
        <v>0</v>
      </c>
      <c r="N455" s="56" t="str">
        <f aca="false">IF(L455=0,"",IF(K455=0,"Wants / Gustos",INDEX(Budget!$D$7:$D$41,K455)))</f>
        <v/>
      </c>
    </row>
    <row r="456" customFormat="false" ht="15" hidden="false" customHeight="false" outlineLevel="0" collapsed="false">
      <c r="B456" s="57"/>
      <c r="C456" s="58"/>
      <c r="D456" s="58"/>
      <c r="E456" s="59"/>
      <c r="F456" s="58"/>
      <c r="G456" s="58"/>
      <c r="H456" s="60" t="str">
        <f aca="false">IF(OR(E456="",D456=""),"",IF(K456=0,"Expense / Gasto",INDEX(Budget!$C$7:$C$41,K456)))</f>
        <v/>
      </c>
      <c r="I456" s="60" t="str">
        <f aca="false">IF(AND(B456="",E456=""),"",IF(NOT(ISNUMBER(B456)),"⚠ ADD DATE / AGREGA FECHA",IF(E456="","⚠ ADD AMOUNT / AGREGA MONTO",IF(D456="","⚠ ADD CATEGORY / AGREGA CATEGORÍA",IF(K456=0,"● NEW CATEGORY? / ¿CATEGORÍA NUEVA?","✔ OK")))))</f>
        <v/>
      </c>
      <c r="K456" s="56" t="str">
        <f aca="false">IF(D456="","",IFERROR(MATCH(D456,Budget!$B$7:$B$41,0),0))</f>
        <v/>
      </c>
      <c r="L456" s="56" t="n">
        <f aca="false">IF(AND(ISNUMBER(B456),ISNUMBER(E456),D456&lt;&gt;""),YEAR(B456)*100+MONTH(B456),0)</f>
        <v>0</v>
      </c>
      <c r="M456" s="56" t="n">
        <f aca="false">IF(L456=0,0,YEAR(B456))</f>
        <v>0</v>
      </c>
      <c r="N456" s="56" t="str">
        <f aca="false">IF(L456=0,"",IF(K456=0,"Wants / Gustos",INDEX(Budget!$D$7:$D$41,K456)))</f>
        <v/>
      </c>
    </row>
    <row r="457" customFormat="false" ht="15" hidden="false" customHeight="false" outlineLevel="0" collapsed="false">
      <c r="B457" s="57"/>
      <c r="C457" s="58"/>
      <c r="D457" s="58"/>
      <c r="E457" s="59"/>
      <c r="F457" s="58"/>
      <c r="G457" s="58"/>
      <c r="H457" s="60" t="str">
        <f aca="false">IF(OR(E457="",D457=""),"",IF(K457=0,"Expense / Gasto",INDEX(Budget!$C$7:$C$41,K457)))</f>
        <v/>
      </c>
      <c r="I457" s="60" t="str">
        <f aca="false">IF(AND(B457="",E457=""),"",IF(NOT(ISNUMBER(B457)),"⚠ ADD DATE / AGREGA FECHA",IF(E457="","⚠ ADD AMOUNT / AGREGA MONTO",IF(D457="","⚠ ADD CATEGORY / AGREGA CATEGORÍA",IF(K457=0,"● NEW CATEGORY? / ¿CATEGORÍA NUEVA?","✔ OK")))))</f>
        <v/>
      </c>
      <c r="K457" s="56" t="str">
        <f aca="false">IF(D457="","",IFERROR(MATCH(D457,Budget!$B$7:$B$41,0),0))</f>
        <v/>
      </c>
      <c r="L457" s="56" t="n">
        <f aca="false">IF(AND(ISNUMBER(B457),ISNUMBER(E457),D457&lt;&gt;""),YEAR(B457)*100+MONTH(B457),0)</f>
        <v>0</v>
      </c>
      <c r="M457" s="56" t="n">
        <f aca="false">IF(L457=0,0,YEAR(B457))</f>
        <v>0</v>
      </c>
      <c r="N457" s="56" t="str">
        <f aca="false">IF(L457=0,"",IF(K457=0,"Wants / Gustos",INDEX(Budget!$D$7:$D$41,K457)))</f>
        <v/>
      </c>
    </row>
    <row r="458" customFormat="false" ht="15" hidden="false" customHeight="false" outlineLevel="0" collapsed="false">
      <c r="B458" s="57"/>
      <c r="C458" s="58"/>
      <c r="D458" s="58"/>
      <c r="E458" s="59"/>
      <c r="F458" s="58"/>
      <c r="G458" s="58"/>
      <c r="H458" s="60" t="str">
        <f aca="false">IF(OR(E458="",D458=""),"",IF(K458=0,"Expense / Gasto",INDEX(Budget!$C$7:$C$41,K458)))</f>
        <v/>
      </c>
      <c r="I458" s="60" t="str">
        <f aca="false">IF(AND(B458="",E458=""),"",IF(NOT(ISNUMBER(B458)),"⚠ ADD DATE / AGREGA FECHA",IF(E458="","⚠ ADD AMOUNT / AGREGA MONTO",IF(D458="","⚠ ADD CATEGORY / AGREGA CATEGORÍA",IF(K458=0,"● NEW CATEGORY? / ¿CATEGORÍA NUEVA?","✔ OK")))))</f>
        <v/>
      </c>
      <c r="K458" s="56" t="str">
        <f aca="false">IF(D458="","",IFERROR(MATCH(D458,Budget!$B$7:$B$41,0),0))</f>
        <v/>
      </c>
      <c r="L458" s="56" t="n">
        <f aca="false">IF(AND(ISNUMBER(B458),ISNUMBER(E458),D458&lt;&gt;""),YEAR(B458)*100+MONTH(B458),0)</f>
        <v>0</v>
      </c>
      <c r="M458" s="56" t="n">
        <f aca="false">IF(L458=0,0,YEAR(B458))</f>
        <v>0</v>
      </c>
      <c r="N458" s="56" t="str">
        <f aca="false">IF(L458=0,"",IF(K458=0,"Wants / Gustos",INDEX(Budget!$D$7:$D$41,K458)))</f>
        <v/>
      </c>
    </row>
    <row r="459" customFormat="false" ht="15" hidden="false" customHeight="false" outlineLevel="0" collapsed="false">
      <c r="B459" s="57"/>
      <c r="C459" s="58"/>
      <c r="D459" s="58"/>
      <c r="E459" s="59"/>
      <c r="F459" s="58"/>
      <c r="G459" s="58"/>
      <c r="H459" s="60" t="str">
        <f aca="false">IF(OR(E459="",D459=""),"",IF(K459=0,"Expense / Gasto",INDEX(Budget!$C$7:$C$41,K459)))</f>
        <v/>
      </c>
      <c r="I459" s="60" t="str">
        <f aca="false">IF(AND(B459="",E459=""),"",IF(NOT(ISNUMBER(B459)),"⚠ ADD DATE / AGREGA FECHA",IF(E459="","⚠ ADD AMOUNT / AGREGA MONTO",IF(D459="","⚠ ADD CATEGORY / AGREGA CATEGORÍA",IF(K459=0,"● NEW CATEGORY? / ¿CATEGORÍA NUEVA?","✔ OK")))))</f>
        <v/>
      </c>
      <c r="K459" s="56" t="str">
        <f aca="false">IF(D459="","",IFERROR(MATCH(D459,Budget!$B$7:$B$41,0),0))</f>
        <v/>
      </c>
      <c r="L459" s="56" t="n">
        <f aca="false">IF(AND(ISNUMBER(B459),ISNUMBER(E459),D459&lt;&gt;""),YEAR(B459)*100+MONTH(B459),0)</f>
        <v>0</v>
      </c>
      <c r="M459" s="56" t="n">
        <f aca="false">IF(L459=0,0,YEAR(B459))</f>
        <v>0</v>
      </c>
      <c r="N459" s="56" t="str">
        <f aca="false">IF(L459=0,"",IF(K459=0,"Wants / Gustos",INDEX(Budget!$D$7:$D$41,K459)))</f>
        <v/>
      </c>
    </row>
    <row r="460" customFormat="false" ht="15" hidden="false" customHeight="false" outlineLevel="0" collapsed="false">
      <c r="B460" s="57"/>
      <c r="C460" s="58"/>
      <c r="D460" s="58"/>
      <c r="E460" s="59"/>
      <c r="F460" s="58"/>
      <c r="G460" s="58"/>
      <c r="H460" s="60" t="str">
        <f aca="false">IF(OR(E460="",D460=""),"",IF(K460=0,"Expense / Gasto",INDEX(Budget!$C$7:$C$41,K460)))</f>
        <v/>
      </c>
      <c r="I460" s="60" t="str">
        <f aca="false">IF(AND(B460="",E460=""),"",IF(NOT(ISNUMBER(B460)),"⚠ ADD DATE / AGREGA FECHA",IF(E460="","⚠ ADD AMOUNT / AGREGA MONTO",IF(D460="","⚠ ADD CATEGORY / AGREGA CATEGORÍA",IF(K460=0,"● NEW CATEGORY? / ¿CATEGORÍA NUEVA?","✔ OK")))))</f>
        <v/>
      </c>
      <c r="K460" s="56" t="str">
        <f aca="false">IF(D460="","",IFERROR(MATCH(D460,Budget!$B$7:$B$41,0),0))</f>
        <v/>
      </c>
      <c r="L460" s="56" t="n">
        <f aca="false">IF(AND(ISNUMBER(B460),ISNUMBER(E460),D460&lt;&gt;""),YEAR(B460)*100+MONTH(B460),0)</f>
        <v>0</v>
      </c>
      <c r="M460" s="56" t="n">
        <f aca="false">IF(L460=0,0,YEAR(B460))</f>
        <v>0</v>
      </c>
      <c r="N460" s="56" t="str">
        <f aca="false">IF(L460=0,"",IF(K460=0,"Wants / Gustos",INDEX(Budget!$D$7:$D$41,K460)))</f>
        <v/>
      </c>
    </row>
    <row r="461" customFormat="false" ht="15" hidden="false" customHeight="false" outlineLevel="0" collapsed="false">
      <c r="B461" s="57"/>
      <c r="C461" s="58"/>
      <c r="D461" s="58"/>
      <c r="E461" s="59"/>
      <c r="F461" s="58"/>
      <c r="G461" s="58"/>
      <c r="H461" s="60" t="str">
        <f aca="false">IF(OR(E461="",D461=""),"",IF(K461=0,"Expense / Gasto",INDEX(Budget!$C$7:$C$41,K461)))</f>
        <v/>
      </c>
      <c r="I461" s="60" t="str">
        <f aca="false">IF(AND(B461="",E461=""),"",IF(NOT(ISNUMBER(B461)),"⚠ ADD DATE / AGREGA FECHA",IF(E461="","⚠ ADD AMOUNT / AGREGA MONTO",IF(D461="","⚠ ADD CATEGORY / AGREGA CATEGORÍA",IF(K461=0,"● NEW CATEGORY? / ¿CATEGORÍA NUEVA?","✔ OK")))))</f>
        <v/>
      </c>
      <c r="K461" s="56" t="str">
        <f aca="false">IF(D461="","",IFERROR(MATCH(D461,Budget!$B$7:$B$41,0),0))</f>
        <v/>
      </c>
      <c r="L461" s="56" t="n">
        <f aca="false">IF(AND(ISNUMBER(B461),ISNUMBER(E461),D461&lt;&gt;""),YEAR(B461)*100+MONTH(B461),0)</f>
        <v>0</v>
      </c>
      <c r="M461" s="56" t="n">
        <f aca="false">IF(L461=0,0,YEAR(B461))</f>
        <v>0</v>
      </c>
      <c r="N461" s="56" t="str">
        <f aca="false">IF(L461=0,"",IF(K461=0,"Wants / Gustos",INDEX(Budget!$D$7:$D$41,K461)))</f>
        <v/>
      </c>
    </row>
    <row r="462" customFormat="false" ht="15" hidden="false" customHeight="false" outlineLevel="0" collapsed="false">
      <c r="B462" s="57"/>
      <c r="C462" s="58"/>
      <c r="D462" s="58"/>
      <c r="E462" s="59"/>
      <c r="F462" s="58"/>
      <c r="G462" s="58"/>
      <c r="H462" s="60" t="str">
        <f aca="false">IF(OR(E462="",D462=""),"",IF(K462=0,"Expense / Gasto",INDEX(Budget!$C$7:$C$41,K462)))</f>
        <v/>
      </c>
      <c r="I462" s="60" t="str">
        <f aca="false">IF(AND(B462="",E462=""),"",IF(NOT(ISNUMBER(B462)),"⚠ ADD DATE / AGREGA FECHA",IF(E462="","⚠ ADD AMOUNT / AGREGA MONTO",IF(D462="","⚠ ADD CATEGORY / AGREGA CATEGORÍA",IF(K462=0,"● NEW CATEGORY? / ¿CATEGORÍA NUEVA?","✔ OK")))))</f>
        <v/>
      </c>
      <c r="K462" s="56" t="str">
        <f aca="false">IF(D462="","",IFERROR(MATCH(D462,Budget!$B$7:$B$41,0),0))</f>
        <v/>
      </c>
      <c r="L462" s="56" t="n">
        <f aca="false">IF(AND(ISNUMBER(B462),ISNUMBER(E462),D462&lt;&gt;""),YEAR(B462)*100+MONTH(B462),0)</f>
        <v>0</v>
      </c>
      <c r="M462" s="56" t="n">
        <f aca="false">IF(L462=0,0,YEAR(B462))</f>
        <v>0</v>
      </c>
      <c r="N462" s="56" t="str">
        <f aca="false">IF(L462=0,"",IF(K462=0,"Wants / Gustos",INDEX(Budget!$D$7:$D$41,K462)))</f>
        <v/>
      </c>
    </row>
    <row r="463" customFormat="false" ht="15" hidden="false" customHeight="false" outlineLevel="0" collapsed="false">
      <c r="B463" s="57"/>
      <c r="C463" s="58"/>
      <c r="D463" s="58"/>
      <c r="E463" s="59"/>
      <c r="F463" s="58"/>
      <c r="G463" s="58"/>
      <c r="H463" s="60" t="str">
        <f aca="false">IF(OR(E463="",D463=""),"",IF(K463=0,"Expense / Gasto",INDEX(Budget!$C$7:$C$41,K463)))</f>
        <v/>
      </c>
      <c r="I463" s="60" t="str">
        <f aca="false">IF(AND(B463="",E463=""),"",IF(NOT(ISNUMBER(B463)),"⚠ ADD DATE / AGREGA FECHA",IF(E463="","⚠ ADD AMOUNT / AGREGA MONTO",IF(D463="","⚠ ADD CATEGORY / AGREGA CATEGORÍA",IF(K463=0,"● NEW CATEGORY? / ¿CATEGORÍA NUEVA?","✔ OK")))))</f>
        <v/>
      </c>
      <c r="K463" s="56" t="str">
        <f aca="false">IF(D463="","",IFERROR(MATCH(D463,Budget!$B$7:$B$41,0),0))</f>
        <v/>
      </c>
      <c r="L463" s="56" t="n">
        <f aca="false">IF(AND(ISNUMBER(B463),ISNUMBER(E463),D463&lt;&gt;""),YEAR(B463)*100+MONTH(B463),0)</f>
        <v>0</v>
      </c>
      <c r="M463" s="56" t="n">
        <f aca="false">IF(L463=0,0,YEAR(B463))</f>
        <v>0</v>
      </c>
      <c r="N463" s="56" t="str">
        <f aca="false">IF(L463=0,"",IF(K463=0,"Wants / Gustos",INDEX(Budget!$D$7:$D$41,K463)))</f>
        <v/>
      </c>
    </row>
    <row r="464" customFormat="false" ht="15" hidden="false" customHeight="false" outlineLevel="0" collapsed="false">
      <c r="B464" s="57"/>
      <c r="C464" s="58"/>
      <c r="D464" s="58"/>
      <c r="E464" s="59"/>
      <c r="F464" s="58"/>
      <c r="G464" s="58"/>
      <c r="H464" s="60" t="str">
        <f aca="false">IF(OR(E464="",D464=""),"",IF(K464=0,"Expense / Gasto",INDEX(Budget!$C$7:$C$41,K464)))</f>
        <v/>
      </c>
      <c r="I464" s="60" t="str">
        <f aca="false">IF(AND(B464="",E464=""),"",IF(NOT(ISNUMBER(B464)),"⚠ ADD DATE / AGREGA FECHA",IF(E464="","⚠ ADD AMOUNT / AGREGA MONTO",IF(D464="","⚠ ADD CATEGORY / AGREGA CATEGORÍA",IF(K464=0,"● NEW CATEGORY? / ¿CATEGORÍA NUEVA?","✔ OK")))))</f>
        <v/>
      </c>
      <c r="K464" s="56" t="str">
        <f aca="false">IF(D464="","",IFERROR(MATCH(D464,Budget!$B$7:$B$41,0),0))</f>
        <v/>
      </c>
      <c r="L464" s="56" t="n">
        <f aca="false">IF(AND(ISNUMBER(B464),ISNUMBER(E464),D464&lt;&gt;""),YEAR(B464)*100+MONTH(B464),0)</f>
        <v>0</v>
      </c>
      <c r="M464" s="56" t="n">
        <f aca="false">IF(L464=0,0,YEAR(B464))</f>
        <v>0</v>
      </c>
      <c r="N464" s="56" t="str">
        <f aca="false">IF(L464=0,"",IF(K464=0,"Wants / Gustos",INDEX(Budget!$D$7:$D$41,K464)))</f>
        <v/>
      </c>
    </row>
    <row r="465" customFormat="false" ht="15" hidden="false" customHeight="false" outlineLevel="0" collapsed="false">
      <c r="B465" s="57"/>
      <c r="C465" s="58"/>
      <c r="D465" s="58"/>
      <c r="E465" s="59"/>
      <c r="F465" s="58"/>
      <c r="G465" s="58"/>
      <c r="H465" s="60" t="str">
        <f aca="false">IF(OR(E465="",D465=""),"",IF(K465=0,"Expense / Gasto",INDEX(Budget!$C$7:$C$41,K465)))</f>
        <v/>
      </c>
      <c r="I465" s="60" t="str">
        <f aca="false">IF(AND(B465="",E465=""),"",IF(NOT(ISNUMBER(B465)),"⚠ ADD DATE / AGREGA FECHA",IF(E465="","⚠ ADD AMOUNT / AGREGA MONTO",IF(D465="","⚠ ADD CATEGORY / AGREGA CATEGORÍA",IF(K465=0,"● NEW CATEGORY? / ¿CATEGORÍA NUEVA?","✔ OK")))))</f>
        <v/>
      </c>
      <c r="K465" s="56" t="str">
        <f aca="false">IF(D465="","",IFERROR(MATCH(D465,Budget!$B$7:$B$41,0),0))</f>
        <v/>
      </c>
      <c r="L465" s="56" t="n">
        <f aca="false">IF(AND(ISNUMBER(B465),ISNUMBER(E465),D465&lt;&gt;""),YEAR(B465)*100+MONTH(B465),0)</f>
        <v>0</v>
      </c>
      <c r="M465" s="56" t="n">
        <f aca="false">IF(L465=0,0,YEAR(B465))</f>
        <v>0</v>
      </c>
      <c r="N465" s="56" t="str">
        <f aca="false">IF(L465=0,"",IF(K465=0,"Wants / Gustos",INDEX(Budget!$D$7:$D$41,K465)))</f>
        <v/>
      </c>
    </row>
    <row r="466" customFormat="false" ht="15" hidden="false" customHeight="false" outlineLevel="0" collapsed="false">
      <c r="B466" s="57"/>
      <c r="C466" s="58"/>
      <c r="D466" s="58"/>
      <c r="E466" s="59"/>
      <c r="F466" s="58"/>
      <c r="G466" s="58"/>
      <c r="H466" s="60" t="str">
        <f aca="false">IF(OR(E466="",D466=""),"",IF(K466=0,"Expense / Gasto",INDEX(Budget!$C$7:$C$41,K466)))</f>
        <v/>
      </c>
      <c r="I466" s="60" t="str">
        <f aca="false">IF(AND(B466="",E466=""),"",IF(NOT(ISNUMBER(B466)),"⚠ ADD DATE / AGREGA FECHA",IF(E466="","⚠ ADD AMOUNT / AGREGA MONTO",IF(D466="","⚠ ADD CATEGORY / AGREGA CATEGORÍA",IF(K466=0,"● NEW CATEGORY? / ¿CATEGORÍA NUEVA?","✔ OK")))))</f>
        <v/>
      </c>
      <c r="K466" s="56" t="str">
        <f aca="false">IF(D466="","",IFERROR(MATCH(D466,Budget!$B$7:$B$41,0),0))</f>
        <v/>
      </c>
      <c r="L466" s="56" t="n">
        <f aca="false">IF(AND(ISNUMBER(B466),ISNUMBER(E466),D466&lt;&gt;""),YEAR(B466)*100+MONTH(B466),0)</f>
        <v>0</v>
      </c>
      <c r="M466" s="56" t="n">
        <f aca="false">IF(L466=0,0,YEAR(B466))</f>
        <v>0</v>
      </c>
      <c r="N466" s="56" t="str">
        <f aca="false">IF(L466=0,"",IF(K466=0,"Wants / Gustos",INDEX(Budget!$D$7:$D$41,K466)))</f>
        <v/>
      </c>
    </row>
    <row r="467" customFormat="false" ht="15" hidden="false" customHeight="false" outlineLevel="0" collapsed="false">
      <c r="B467" s="57"/>
      <c r="C467" s="58"/>
      <c r="D467" s="58"/>
      <c r="E467" s="59"/>
      <c r="F467" s="58"/>
      <c r="G467" s="58"/>
      <c r="H467" s="60" t="str">
        <f aca="false">IF(OR(E467="",D467=""),"",IF(K467=0,"Expense / Gasto",INDEX(Budget!$C$7:$C$41,K467)))</f>
        <v/>
      </c>
      <c r="I467" s="60" t="str">
        <f aca="false">IF(AND(B467="",E467=""),"",IF(NOT(ISNUMBER(B467)),"⚠ ADD DATE / AGREGA FECHA",IF(E467="","⚠ ADD AMOUNT / AGREGA MONTO",IF(D467="","⚠ ADD CATEGORY / AGREGA CATEGORÍA",IF(K467=0,"● NEW CATEGORY? / ¿CATEGORÍA NUEVA?","✔ OK")))))</f>
        <v/>
      </c>
      <c r="K467" s="56" t="str">
        <f aca="false">IF(D467="","",IFERROR(MATCH(D467,Budget!$B$7:$B$41,0),0))</f>
        <v/>
      </c>
      <c r="L467" s="56" t="n">
        <f aca="false">IF(AND(ISNUMBER(B467),ISNUMBER(E467),D467&lt;&gt;""),YEAR(B467)*100+MONTH(B467),0)</f>
        <v>0</v>
      </c>
      <c r="M467" s="56" t="n">
        <f aca="false">IF(L467=0,0,YEAR(B467))</f>
        <v>0</v>
      </c>
      <c r="N467" s="56" t="str">
        <f aca="false">IF(L467=0,"",IF(K467=0,"Wants / Gustos",INDEX(Budget!$D$7:$D$41,K467)))</f>
        <v/>
      </c>
    </row>
    <row r="468" customFormat="false" ht="15" hidden="false" customHeight="false" outlineLevel="0" collapsed="false">
      <c r="B468" s="57"/>
      <c r="C468" s="58"/>
      <c r="D468" s="58"/>
      <c r="E468" s="59"/>
      <c r="F468" s="58"/>
      <c r="G468" s="58"/>
      <c r="H468" s="60" t="str">
        <f aca="false">IF(OR(E468="",D468=""),"",IF(K468=0,"Expense / Gasto",INDEX(Budget!$C$7:$C$41,K468)))</f>
        <v/>
      </c>
      <c r="I468" s="60" t="str">
        <f aca="false">IF(AND(B468="",E468=""),"",IF(NOT(ISNUMBER(B468)),"⚠ ADD DATE / AGREGA FECHA",IF(E468="","⚠ ADD AMOUNT / AGREGA MONTO",IF(D468="","⚠ ADD CATEGORY / AGREGA CATEGORÍA",IF(K468=0,"● NEW CATEGORY? / ¿CATEGORÍA NUEVA?","✔ OK")))))</f>
        <v/>
      </c>
      <c r="K468" s="56" t="str">
        <f aca="false">IF(D468="","",IFERROR(MATCH(D468,Budget!$B$7:$B$41,0),0))</f>
        <v/>
      </c>
      <c r="L468" s="56" t="n">
        <f aca="false">IF(AND(ISNUMBER(B468),ISNUMBER(E468),D468&lt;&gt;""),YEAR(B468)*100+MONTH(B468),0)</f>
        <v>0</v>
      </c>
      <c r="M468" s="56" t="n">
        <f aca="false">IF(L468=0,0,YEAR(B468))</f>
        <v>0</v>
      </c>
      <c r="N468" s="56" t="str">
        <f aca="false">IF(L468=0,"",IF(K468=0,"Wants / Gustos",INDEX(Budget!$D$7:$D$41,K468)))</f>
        <v/>
      </c>
    </row>
    <row r="469" customFormat="false" ht="15" hidden="false" customHeight="false" outlineLevel="0" collapsed="false">
      <c r="B469" s="57"/>
      <c r="C469" s="58"/>
      <c r="D469" s="58"/>
      <c r="E469" s="59"/>
      <c r="F469" s="58"/>
      <c r="G469" s="58"/>
      <c r="H469" s="60" t="str">
        <f aca="false">IF(OR(E469="",D469=""),"",IF(K469=0,"Expense / Gasto",INDEX(Budget!$C$7:$C$41,K469)))</f>
        <v/>
      </c>
      <c r="I469" s="60" t="str">
        <f aca="false">IF(AND(B469="",E469=""),"",IF(NOT(ISNUMBER(B469)),"⚠ ADD DATE / AGREGA FECHA",IF(E469="","⚠ ADD AMOUNT / AGREGA MONTO",IF(D469="","⚠ ADD CATEGORY / AGREGA CATEGORÍA",IF(K469=0,"● NEW CATEGORY? / ¿CATEGORÍA NUEVA?","✔ OK")))))</f>
        <v/>
      </c>
      <c r="K469" s="56" t="str">
        <f aca="false">IF(D469="","",IFERROR(MATCH(D469,Budget!$B$7:$B$41,0),0))</f>
        <v/>
      </c>
      <c r="L469" s="56" t="n">
        <f aca="false">IF(AND(ISNUMBER(B469),ISNUMBER(E469),D469&lt;&gt;""),YEAR(B469)*100+MONTH(B469),0)</f>
        <v>0</v>
      </c>
      <c r="M469" s="56" t="n">
        <f aca="false">IF(L469=0,0,YEAR(B469))</f>
        <v>0</v>
      </c>
      <c r="N469" s="56" t="str">
        <f aca="false">IF(L469=0,"",IF(K469=0,"Wants / Gustos",INDEX(Budget!$D$7:$D$41,K469)))</f>
        <v/>
      </c>
    </row>
    <row r="470" customFormat="false" ht="15" hidden="false" customHeight="false" outlineLevel="0" collapsed="false">
      <c r="B470" s="57"/>
      <c r="C470" s="58"/>
      <c r="D470" s="58"/>
      <c r="E470" s="59"/>
      <c r="F470" s="58"/>
      <c r="G470" s="58"/>
      <c r="H470" s="60" t="str">
        <f aca="false">IF(OR(E470="",D470=""),"",IF(K470=0,"Expense / Gasto",INDEX(Budget!$C$7:$C$41,K470)))</f>
        <v/>
      </c>
      <c r="I470" s="60" t="str">
        <f aca="false">IF(AND(B470="",E470=""),"",IF(NOT(ISNUMBER(B470)),"⚠ ADD DATE / AGREGA FECHA",IF(E470="","⚠ ADD AMOUNT / AGREGA MONTO",IF(D470="","⚠ ADD CATEGORY / AGREGA CATEGORÍA",IF(K470=0,"● NEW CATEGORY? / ¿CATEGORÍA NUEVA?","✔ OK")))))</f>
        <v/>
      </c>
      <c r="K470" s="56" t="str">
        <f aca="false">IF(D470="","",IFERROR(MATCH(D470,Budget!$B$7:$B$41,0),0))</f>
        <v/>
      </c>
      <c r="L470" s="56" t="n">
        <f aca="false">IF(AND(ISNUMBER(B470),ISNUMBER(E470),D470&lt;&gt;""),YEAR(B470)*100+MONTH(B470),0)</f>
        <v>0</v>
      </c>
      <c r="M470" s="56" t="n">
        <f aca="false">IF(L470=0,0,YEAR(B470))</f>
        <v>0</v>
      </c>
      <c r="N470" s="56" t="str">
        <f aca="false">IF(L470=0,"",IF(K470=0,"Wants / Gustos",INDEX(Budget!$D$7:$D$41,K470)))</f>
        <v/>
      </c>
    </row>
    <row r="471" customFormat="false" ht="15" hidden="false" customHeight="false" outlineLevel="0" collapsed="false">
      <c r="B471" s="57"/>
      <c r="C471" s="58"/>
      <c r="D471" s="58"/>
      <c r="E471" s="59"/>
      <c r="F471" s="58"/>
      <c r="G471" s="58"/>
      <c r="H471" s="60" t="str">
        <f aca="false">IF(OR(E471="",D471=""),"",IF(K471=0,"Expense / Gasto",INDEX(Budget!$C$7:$C$41,K471)))</f>
        <v/>
      </c>
      <c r="I471" s="60" t="str">
        <f aca="false">IF(AND(B471="",E471=""),"",IF(NOT(ISNUMBER(B471)),"⚠ ADD DATE / AGREGA FECHA",IF(E471="","⚠ ADD AMOUNT / AGREGA MONTO",IF(D471="","⚠ ADD CATEGORY / AGREGA CATEGORÍA",IF(K471=0,"● NEW CATEGORY? / ¿CATEGORÍA NUEVA?","✔ OK")))))</f>
        <v/>
      </c>
      <c r="K471" s="56" t="str">
        <f aca="false">IF(D471="","",IFERROR(MATCH(D471,Budget!$B$7:$B$41,0),0))</f>
        <v/>
      </c>
      <c r="L471" s="56" t="n">
        <f aca="false">IF(AND(ISNUMBER(B471),ISNUMBER(E471),D471&lt;&gt;""),YEAR(B471)*100+MONTH(B471),0)</f>
        <v>0</v>
      </c>
      <c r="M471" s="56" t="n">
        <f aca="false">IF(L471=0,0,YEAR(B471))</f>
        <v>0</v>
      </c>
      <c r="N471" s="56" t="str">
        <f aca="false">IF(L471=0,"",IF(K471=0,"Wants / Gustos",INDEX(Budget!$D$7:$D$41,K471)))</f>
        <v/>
      </c>
    </row>
    <row r="472" customFormat="false" ht="15" hidden="false" customHeight="false" outlineLevel="0" collapsed="false">
      <c r="B472" s="57"/>
      <c r="C472" s="58"/>
      <c r="D472" s="58"/>
      <c r="E472" s="59"/>
      <c r="F472" s="58"/>
      <c r="G472" s="58"/>
      <c r="H472" s="60" t="str">
        <f aca="false">IF(OR(E472="",D472=""),"",IF(K472=0,"Expense / Gasto",INDEX(Budget!$C$7:$C$41,K472)))</f>
        <v/>
      </c>
      <c r="I472" s="60" t="str">
        <f aca="false">IF(AND(B472="",E472=""),"",IF(NOT(ISNUMBER(B472)),"⚠ ADD DATE / AGREGA FECHA",IF(E472="","⚠ ADD AMOUNT / AGREGA MONTO",IF(D472="","⚠ ADD CATEGORY / AGREGA CATEGORÍA",IF(K472=0,"● NEW CATEGORY? / ¿CATEGORÍA NUEVA?","✔ OK")))))</f>
        <v/>
      </c>
      <c r="K472" s="56" t="str">
        <f aca="false">IF(D472="","",IFERROR(MATCH(D472,Budget!$B$7:$B$41,0),0))</f>
        <v/>
      </c>
      <c r="L472" s="56" t="n">
        <f aca="false">IF(AND(ISNUMBER(B472),ISNUMBER(E472),D472&lt;&gt;""),YEAR(B472)*100+MONTH(B472),0)</f>
        <v>0</v>
      </c>
      <c r="M472" s="56" t="n">
        <f aca="false">IF(L472=0,0,YEAR(B472))</f>
        <v>0</v>
      </c>
      <c r="N472" s="56" t="str">
        <f aca="false">IF(L472=0,"",IF(K472=0,"Wants / Gustos",INDEX(Budget!$D$7:$D$41,K472)))</f>
        <v/>
      </c>
    </row>
    <row r="473" customFormat="false" ht="15" hidden="false" customHeight="false" outlineLevel="0" collapsed="false">
      <c r="B473" s="57"/>
      <c r="C473" s="58"/>
      <c r="D473" s="58"/>
      <c r="E473" s="59"/>
      <c r="F473" s="58"/>
      <c r="G473" s="58"/>
      <c r="H473" s="60" t="str">
        <f aca="false">IF(OR(E473="",D473=""),"",IF(K473=0,"Expense / Gasto",INDEX(Budget!$C$7:$C$41,K473)))</f>
        <v/>
      </c>
      <c r="I473" s="60" t="str">
        <f aca="false">IF(AND(B473="",E473=""),"",IF(NOT(ISNUMBER(B473)),"⚠ ADD DATE / AGREGA FECHA",IF(E473="","⚠ ADD AMOUNT / AGREGA MONTO",IF(D473="","⚠ ADD CATEGORY / AGREGA CATEGORÍA",IF(K473=0,"● NEW CATEGORY? / ¿CATEGORÍA NUEVA?","✔ OK")))))</f>
        <v/>
      </c>
      <c r="K473" s="56" t="str">
        <f aca="false">IF(D473="","",IFERROR(MATCH(D473,Budget!$B$7:$B$41,0),0))</f>
        <v/>
      </c>
      <c r="L473" s="56" t="n">
        <f aca="false">IF(AND(ISNUMBER(B473),ISNUMBER(E473),D473&lt;&gt;""),YEAR(B473)*100+MONTH(B473),0)</f>
        <v>0</v>
      </c>
      <c r="M473" s="56" t="n">
        <f aca="false">IF(L473=0,0,YEAR(B473))</f>
        <v>0</v>
      </c>
      <c r="N473" s="56" t="str">
        <f aca="false">IF(L473=0,"",IF(K473=0,"Wants / Gustos",INDEX(Budget!$D$7:$D$41,K473)))</f>
        <v/>
      </c>
    </row>
    <row r="474" customFormat="false" ht="15" hidden="false" customHeight="false" outlineLevel="0" collapsed="false">
      <c r="B474" s="57"/>
      <c r="C474" s="58"/>
      <c r="D474" s="58"/>
      <c r="E474" s="59"/>
      <c r="F474" s="58"/>
      <c r="G474" s="58"/>
      <c r="H474" s="60" t="str">
        <f aca="false">IF(OR(E474="",D474=""),"",IF(K474=0,"Expense / Gasto",INDEX(Budget!$C$7:$C$41,K474)))</f>
        <v/>
      </c>
      <c r="I474" s="60" t="str">
        <f aca="false">IF(AND(B474="",E474=""),"",IF(NOT(ISNUMBER(B474)),"⚠ ADD DATE / AGREGA FECHA",IF(E474="","⚠ ADD AMOUNT / AGREGA MONTO",IF(D474="","⚠ ADD CATEGORY / AGREGA CATEGORÍA",IF(K474=0,"● NEW CATEGORY? / ¿CATEGORÍA NUEVA?","✔ OK")))))</f>
        <v/>
      </c>
      <c r="K474" s="56" t="str">
        <f aca="false">IF(D474="","",IFERROR(MATCH(D474,Budget!$B$7:$B$41,0),0))</f>
        <v/>
      </c>
      <c r="L474" s="56" t="n">
        <f aca="false">IF(AND(ISNUMBER(B474),ISNUMBER(E474),D474&lt;&gt;""),YEAR(B474)*100+MONTH(B474),0)</f>
        <v>0</v>
      </c>
      <c r="M474" s="56" t="n">
        <f aca="false">IF(L474=0,0,YEAR(B474))</f>
        <v>0</v>
      </c>
      <c r="N474" s="56" t="str">
        <f aca="false">IF(L474=0,"",IF(K474=0,"Wants / Gustos",INDEX(Budget!$D$7:$D$41,K474)))</f>
        <v/>
      </c>
    </row>
    <row r="475" customFormat="false" ht="15" hidden="false" customHeight="false" outlineLevel="0" collapsed="false">
      <c r="B475" s="57"/>
      <c r="C475" s="58"/>
      <c r="D475" s="58"/>
      <c r="E475" s="59"/>
      <c r="F475" s="58"/>
      <c r="G475" s="58"/>
      <c r="H475" s="60" t="str">
        <f aca="false">IF(OR(E475="",D475=""),"",IF(K475=0,"Expense / Gasto",INDEX(Budget!$C$7:$C$41,K475)))</f>
        <v/>
      </c>
      <c r="I475" s="60" t="str">
        <f aca="false">IF(AND(B475="",E475=""),"",IF(NOT(ISNUMBER(B475)),"⚠ ADD DATE / AGREGA FECHA",IF(E475="","⚠ ADD AMOUNT / AGREGA MONTO",IF(D475="","⚠ ADD CATEGORY / AGREGA CATEGORÍA",IF(K475=0,"● NEW CATEGORY? / ¿CATEGORÍA NUEVA?","✔ OK")))))</f>
        <v/>
      </c>
      <c r="K475" s="56" t="str">
        <f aca="false">IF(D475="","",IFERROR(MATCH(D475,Budget!$B$7:$B$41,0),0))</f>
        <v/>
      </c>
      <c r="L475" s="56" t="n">
        <f aca="false">IF(AND(ISNUMBER(B475),ISNUMBER(E475),D475&lt;&gt;""),YEAR(B475)*100+MONTH(B475),0)</f>
        <v>0</v>
      </c>
      <c r="M475" s="56" t="n">
        <f aca="false">IF(L475=0,0,YEAR(B475))</f>
        <v>0</v>
      </c>
      <c r="N475" s="56" t="str">
        <f aca="false">IF(L475=0,"",IF(K475=0,"Wants / Gustos",INDEX(Budget!$D$7:$D$41,K475)))</f>
        <v/>
      </c>
    </row>
    <row r="476" customFormat="false" ht="15" hidden="false" customHeight="false" outlineLevel="0" collapsed="false">
      <c r="B476" s="57"/>
      <c r="C476" s="58"/>
      <c r="D476" s="58"/>
      <c r="E476" s="59"/>
      <c r="F476" s="58"/>
      <c r="G476" s="58"/>
      <c r="H476" s="60" t="str">
        <f aca="false">IF(OR(E476="",D476=""),"",IF(K476=0,"Expense / Gasto",INDEX(Budget!$C$7:$C$41,K476)))</f>
        <v/>
      </c>
      <c r="I476" s="60" t="str">
        <f aca="false">IF(AND(B476="",E476=""),"",IF(NOT(ISNUMBER(B476)),"⚠ ADD DATE / AGREGA FECHA",IF(E476="","⚠ ADD AMOUNT / AGREGA MONTO",IF(D476="","⚠ ADD CATEGORY / AGREGA CATEGORÍA",IF(K476=0,"● NEW CATEGORY? / ¿CATEGORÍA NUEVA?","✔ OK")))))</f>
        <v/>
      </c>
      <c r="K476" s="56" t="str">
        <f aca="false">IF(D476="","",IFERROR(MATCH(D476,Budget!$B$7:$B$41,0),0))</f>
        <v/>
      </c>
      <c r="L476" s="56" t="n">
        <f aca="false">IF(AND(ISNUMBER(B476),ISNUMBER(E476),D476&lt;&gt;""),YEAR(B476)*100+MONTH(B476),0)</f>
        <v>0</v>
      </c>
      <c r="M476" s="56" t="n">
        <f aca="false">IF(L476=0,0,YEAR(B476))</f>
        <v>0</v>
      </c>
      <c r="N476" s="56" t="str">
        <f aca="false">IF(L476=0,"",IF(K476=0,"Wants / Gustos",INDEX(Budget!$D$7:$D$41,K476)))</f>
        <v/>
      </c>
    </row>
    <row r="477" customFormat="false" ht="15" hidden="false" customHeight="false" outlineLevel="0" collapsed="false">
      <c r="B477" s="57"/>
      <c r="C477" s="58"/>
      <c r="D477" s="58"/>
      <c r="E477" s="59"/>
      <c r="F477" s="58"/>
      <c r="G477" s="58"/>
      <c r="H477" s="60" t="str">
        <f aca="false">IF(OR(E477="",D477=""),"",IF(K477=0,"Expense / Gasto",INDEX(Budget!$C$7:$C$41,K477)))</f>
        <v/>
      </c>
      <c r="I477" s="60" t="str">
        <f aca="false">IF(AND(B477="",E477=""),"",IF(NOT(ISNUMBER(B477)),"⚠ ADD DATE / AGREGA FECHA",IF(E477="","⚠ ADD AMOUNT / AGREGA MONTO",IF(D477="","⚠ ADD CATEGORY / AGREGA CATEGORÍA",IF(K477=0,"● NEW CATEGORY? / ¿CATEGORÍA NUEVA?","✔ OK")))))</f>
        <v/>
      </c>
      <c r="K477" s="56" t="str">
        <f aca="false">IF(D477="","",IFERROR(MATCH(D477,Budget!$B$7:$B$41,0),0))</f>
        <v/>
      </c>
      <c r="L477" s="56" t="n">
        <f aca="false">IF(AND(ISNUMBER(B477),ISNUMBER(E477),D477&lt;&gt;""),YEAR(B477)*100+MONTH(B477),0)</f>
        <v>0</v>
      </c>
      <c r="M477" s="56" t="n">
        <f aca="false">IF(L477=0,0,YEAR(B477))</f>
        <v>0</v>
      </c>
      <c r="N477" s="56" t="str">
        <f aca="false">IF(L477=0,"",IF(K477=0,"Wants / Gustos",INDEX(Budget!$D$7:$D$41,K477)))</f>
        <v/>
      </c>
    </row>
    <row r="478" customFormat="false" ht="15" hidden="false" customHeight="false" outlineLevel="0" collapsed="false">
      <c r="B478" s="57"/>
      <c r="C478" s="58"/>
      <c r="D478" s="58"/>
      <c r="E478" s="59"/>
      <c r="F478" s="58"/>
      <c r="G478" s="58"/>
      <c r="H478" s="60" t="str">
        <f aca="false">IF(OR(E478="",D478=""),"",IF(K478=0,"Expense / Gasto",INDEX(Budget!$C$7:$C$41,K478)))</f>
        <v/>
      </c>
      <c r="I478" s="60" t="str">
        <f aca="false">IF(AND(B478="",E478=""),"",IF(NOT(ISNUMBER(B478)),"⚠ ADD DATE / AGREGA FECHA",IF(E478="","⚠ ADD AMOUNT / AGREGA MONTO",IF(D478="","⚠ ADD CATEGORY / AGREGA CATEGORÍA",IF(K478=0,"● NEW CATEGORY? / ¿CATEGORÍA NUEVA?","✔ OK")))))</f>
        <v/>
      </c>
      <c r="K478" s="56" t="str">
        <f aca="false">IF(D478="","",IFERROR(MATCH(D478,Budget!$B$7:$B$41,0),0))</f>
        <v/>
      </c>
      <c r="L478" s="56" t="n">
        <f aca="false">IF(AND(ISNUMBER(B478),ISNUMBER(E478),D478&lt;&gt;""),YEAR(B478)*100+MONTH(B478),0)</f>
        <v>0</v>
      </c>
      <c r="M478" s="56" t="n">
        <f aca="false">IF(L478=0,0,YEAR(B478))</f>
        <v>0</v>
      </c>
      <c r="N478" s="56" t="str">
        <f aca="false">IF(L478=0,"",IF(K478=0,"Wants / Gustos",INDEX(Budget!$D$7:$D$41,K478)))</f>
        <v/>
      </c>
    </row>
    <row r="479" customFormat="false" ht="15" hidden="false" customHeight="false" outlineLevel="0" collapsed="false">
      <c r="B479" s="57"/>
      <c r="C479" s="58"/>
      <c r="D479" s="58"/>
      <c r="E479" s="59"/>
      <c r="F479" s="58"/>
      <c r="G479" s="58"/>
      <c r="H479" s="60" t="str">
        <f aca="false">IF(OR(E479="",D479=""),"",IF(K479=0,"Expense / Gasto",INDEX(Budget!$C$7:$C$41,K479)))</f>
        <v/>
      </c>
      <c r="I479" s="60" t="str">
        <f aca="false">IF(AND(B479="",E479=""),"",IF(NOT(ISNUMBER(B479)),"⚠ ADD DATE / AGREGA FECHA",IF(E479="","⚠ ADD AMOUNT / AGREGA MONTO",IF(D479="","⚠ ADD CATEGORY / AGREGA CATEGORÍA",IF(K479=0,"● NEW CATEGORY? / ¿CATEGORÍA NUEVA?","✔ OK")))))</f>
        <v/>
      </c>
      <c r="K479" s="56" t="str">
        <f aca="false">IF(D479="","",IFERROR(MATCH(D479,Budget!$B$7:$B$41,0),0))</f>
        <v/>
      </c>
      <c r="L479" s="56" t="n">
        <f aca="false">IF(AND(ISNUMBER(B479),ISNUMBER(E479),D479&lt;&gt;""),YEAR(B479)*100+MONTH(B479),0)</f>
        <v>0</v>
      </c>
      <c r="M479" s="56" t="n">
        <f aca="false">IF(L479=0,0,YEAR(B479))</f>
        <v>0</v>
      </c>
      <c r="N479" s="56" t="str">
        <f aca="false">IF(L479=0,"",IF(K479=0,"Wants / Gustos",INDEX(Budget!$D$7:$D$41,K479)))</f>
        <v/>
      </c>
    </row>
    <row r="480" customFormat="false" ht="15" hidden="false" customHeight="false" outlineLevel="0" collapsed="false">
      <c r="B480" s="57"/>
      <c r="C480" s="58"/>
      <c r="D480" s="58"/>
      <c r="E480" s="59"/>
      <c r="F480" s="58"/>
      <c r="G480" s="58"/>
      <c r="H480" s="60" t="str">
        <f aca="false">IF(OR(E480="",D480=""),"",IF(K480=0,"Expense / Gasto",INDEX(Budget!$C$7:$C$41,K480)))</f>
        <v/>
      </c>
      <c r="I480" s="60" t="str">
        <f aca="false">IF(AND(B480="",E480=""),"",IF(NOT(ISNUMBER(B480)),"⚠ ADD DATE / AGREGA FECHA",IF(E480="","⚠ ADD AMOUNT / AGREGA MONTO",IF(D480="","⚠ ADD CATEGORY / AGREGA CATEGORÍA",IF(K480=0,"● NEW CATEGORY? / ¿CATEGORÍA NUEVA?","✔ OK")))))</f>
        <v/>
      </c>
      <c r="K480" s="56" t="str">
        <f aca="false">IF(D480="","",IFERROR(MATCH(D480,Budget!$B$7:$B$41,0),0))</f>
        <v/>
      </c>
      <c r="L480" s="56" t="n">
        <f aca="false">IF(AND(ISNUMBER(B480),ISNUMBER(E480),D480&lt;&gt;""),YEAR(B480)*100+MONTH(B480),0)</f>
        <v>0</v>
      </c>
      <c r="M480" s="56" t="n">
        <f aca="false">IF(L480=0,0,YEAR(B480))</f>
        <v>0</v>
      </c>
      <c r="N480" s="56" t="str">
        <f aca="false">IF(L480=0,"",IF(K480=0,"Wants / Gustos",INDEX(Budget!$D$7:$D$41,K480)))</f>
        <v/>
      </c>
    </row>
    <row r="481" customFormat="false" ht="15" hidden="false" customHeight="false" outlineLevel="0" collapsed="false">
      <c r="B481" s="57"/>
      <c r="C481" s="58"/>
      <c r="D481" s="58"/>
      <c r="E481" s="59"/>
      <c r="F481" s="58"/>
      <c r="G481" s="58"/>
      <c r="H481" s="60" t="str">
        <f aca="false">IF(OR(E481="",D481=""),"",IF(K481=0,"Expense / Gasto",INDEX(Budget!$C$7:$C$41,K481)))</f>
        <v/>
      </c>
      <c r="I481" s="60" t="str">
        <f aca="false">IF(AND(B481="",E481=""),"",IF(NOT(ISNUMBER(B481)),"⚠ ADD DATE / AGREGA FECHA",IF(E481="","⚠ ADD AMOUNT / AGREGA MONTO",IF(D481="","⚠ ADD CATEGORY / AGREGA CATEGORÍA",IF(K481=0,"● NEW CATEGORY? / ¿CATEGORÍA NUEVA?","✔ OK")))))</f>
        <v/>
      </c>
      <c r="K481" s="56" t="str">
        <f aca="false">IF(D481="","",IFERROR(MATCH(D481,Budget!$B$7:$B$41,0),0))</f>
        <v/>
      </c>
      <c r="L481" s="56" t="n">
        <f aca="false">IF(AND(ISNUMBER(B481),ISNUMBER(E481),D481&lt;&gt;""),YEAR(B481)*100+MONTH(B481),0)</f>
        <v>0</v>
      </c>
      <c r="M481" s="56" t="n">
        <f aca="false">IF(L481=0,0,YEAR(B481))</f>
        <v>0</v>
      </c>
      <c r="N481" s="56" t="str">
        <f aca="false">IF(L481=0,"",IF(K481=0,"Wants / Gustos",INDEX(Budget!$D$7:$D$41,K481)))</f>
        <v/>
      </c>
    </row>
    <row r="482" customFormat="false" ht="15" hidden="false" customHeight="false" outlineLevel="0" collapsed="false">
      <c r="B482" s="57"/>
      <c r="C482" s="58"/>
      <c r="D482" s="58"/>
      <c r="E482" s="59"/>
      <c r="F482" s="58"/>
      <c r="G482" s="58"/>
      <c r="H482" s="60" t="str">
        <f aca="false">IF(OR(E482="",D482=""),"",IF(K482=0,"Expense / Gasto",INDEX(Budget!$C$7:$C$41,K482)))</f>
        <v/>
      </c>
      <c r="I482" s="60" t="str">
        <f aca="false">IF(AND(B482="",E482=""),"",IF(NOT(ISNUMBER(B482)),"⚠ ADD DATE / AGREGA FECHA",IF(E482="","⚠ ADD AMOUNT / AGREGA MONTO",IF(D482="","⚠ ADD CATEGORY / AGREGA CATEGORÍA",IF(K482=0,"● NEW CATEGORY? / ¿CATEGORÍA NUEVA?","✔ OK")))))</f>
        <v/>
      </c>
      <c r="K482" s="56" t="str">
        <f aca="false">IF(D482="","",IFERROR(MATCH(D482,Budget!$B$7:$B$41,0),0))</f>
        <v/>
      </c>
      <c r="L482" s="56" t="n">
        <f aca="false">IF(AND(ISNUMBER(B482),ISNUMBER(E482),D482&lt;&gt;""),YEAR(B482)*100+MONTH(B482),0)</f>
        <v>0</v>
      </c>
      <c r="M482" s="56" t="n">
        <f aca="false">IF(L482=0,0,YEAR(B482))</f>
        <v>0</v>
      </c>
      <c r="N482" s="56" t="str">
        <f aca="false">IF(L482=0,"",IF(K482=0,"Wants / Gustos",INDEX(Budget!$D$7:$D$41,K482)))</f>
        <v/>
      </c>
    </row>
    <row r="483" customFormat="false" ht="15" hidden="false" customHeight="false" outlineLevel="0" collapsed="false">
      <c r="B483" s="57"/>
      <c r="C483" s="58"/>
      <c r="D483" s="58"/>
      <c r="E483" s="59"/>
      <c r="F483" s="58"/>
      <c r="G483" s="58"/>
      <c r="H483" s="60" t="str">
        <f aca="false">IF(OR(E483="",D483=""),"",IF(K483=0,"Expense / Gasto",INDEX(Budget!$C$7:$C$41,K483)))</f>
        <v/>
      </c>
      <c r="I483" s="60" t="str">
        <f aca="false">IF(AND(B483="",E483=""),"",IF(NOT(ISNUMBER(B483)),"⚠ ADD DATE / AGREGA FECHA",IF(E483="","⚠ ADD AMOUNT / AGREGA MONTO",IF(D483="","⚠ ADD CATEGORY / AGREGA CATEGORÍA",IF(K483=0,"● NEW CATEGORY? / ¿CATEGORÍA NUEVA?","✔ OK")))))</f>
        <v/>
      </c>
      <c r="K483" s="56" t="str">
        <f aca="false">IF(D483="","",IFERROR(MATCH(D483,Budget!$B$7:$B$41,0),0))</f>
        <v/>
      </c>
      <c r="L483" s="56" t="n">
        <f aca="false">IF(AND(ISNUMBER(B483),ISNUMBER(E483),D483&lt;&gt;""),YEAR(B483)*100+MONTH(B483),0)</f>
        <v>0</v>
      </c>
      <c r="M483" s="56" t="n">
        <f aca="false">IF(L483=0,0,YEAR(B483))</f>
        <v>0</v>
      </c>
      <c r="N483" s="56" t="str">
        <f aca="false">IF(L483=0,"",IF(K483=0,"Wants / Gustos",INDEX(Budget!$D$7:$D$41,K483)))</f>
        <v/>
      </c>
    </row>
    <row r="484" customFormat="false" ht="15" hidden="false" customHeight="false" outlineLevel="0" collapsed="false">
      <c r="B484" s="57"/>
      <c r="C484" s="58"/>
      <c r="D484" s="58"/>
      <c r="E484" s="59"/>
      <c r="F484" s="58"/>
      <c r="G484" s="58"/>
      <c r="H484" s="60" t="str">
        <f aca="false">IF(OR(E484="",D484=""),"",IF(K484=0,"Expense / Gasto",INDEX(Budget!$C$7:$C$41,K484)))</f>
        <v/>
      </c>
      <c r="I484" s="60" t="str">
        <f aca="false">IF(AND(B484="",E484=""),"",IF(NOT(ISNUMBER(B484)),"⚠ ADD DATE / AGREGA FECHA",IF(E484="","⚠ ADD AMOUNT / AGREGA MONTO",IF(D484="","⚠ ADD CATEGORY / AGREGA CATEGORÍA",IF(K484=0,"● NEW CATEGORY? / ¿CATEGORÍA NUEVA?","✔ OK")))))</f>
        <v/>
      </c>
      <c r="K484" s="56" t="str">
        <f aca="false">IF(D484="","",IFERROR(MATCH(D484,Budget!$B$7:$B$41,0),0))</f>
        <v/>
      </c>
      <c r="L484" s="56" t="n">
        <f aca="false">IF(AND(ISNUMBER(B484),ISNUMBER(E484),D484&lt;&gt;""),YEAR(B484)*100+MONTH(B484),0)</f>
        <v>0</v>
      </c>
      <c r="M484" s="56" t="n">
        <f aca="false">IF(L484=0,0,YEAR(B484))</f>
        <v>0</v>
      </c>
      <c r="N484" s="56" t="str">
        <f aca="false">IF(L484=0,"",IF(K484=0,"Wants / Gustos",INDEX(Budget!$D$7:$D$41,K484)))</f>
        <v/>
      </c>
    </row>
    <row r="485" customFormat="false" ht="15" hidden="false" customHeight="false" outlineLevel="0" collapsed="false">
      <c r="B485" s="57"/>
      <c r="C485" s="58"/>
      <c r="D485" s="58"/>
      <c r="E485" s="59"/>
      <c r="F485" s="58"/>
      <c r="G485" s="58"/>
      <c r="H485" s="60" t="str">
        <f aca="false">IF(OR(E485="",D485=""),"",IF(K485=0,"Expense / Gasto",INDEX(Budget!$C$7:$C$41,K485)))</f>
        <v/>
      </c>
      <c r="I485" s="60" t="str">
        <f aca="false">IF(AND(B485="",E485=""),"",IF(NOT(ISNUMBER(B485)),"⚠ ADD DATE / AGREGA FECHA",IF(E485="","⚠ ADD AMOUNT / AGREGA MONTO",IF(D485="","⚠ ADD CATEGORY / AGREGA CATEGORÍA",IF(K485=0,"● NEW CATEGORY? / ¿CATEGORÍA NUEVA?","✔ OK")))))</f>
        <v/>
      </c>
      <c r="K485" s="56" t="str">
        <f aca="false">IF(D485="","",IFERROR(MATCH(D485,Budget!$B$7:$B$41,0),0))</f>
        <v/>
      </c>
      <c r="L485" s="56" t="n">
        <f aca="false">IF(AND(ISNUMBER(B485),ISNUMBER(E485),D485&lt;&gt;""),YEAR(B485)*100+MONTH(B485),0)</f>
        <v>0</v>
      </c>
      <c r="M485" s="56" t="n">
        <f aca="false">IF(L485=0,0,YEAR(B485))</f>
        <v>0</v>
      </c>
      <c r="N485" s="56" t="str">
        <f aca="false">IF(L485=0,"",IF(K485=0,"Wants / Gustos",INDEX(Budget!$D$7:$D$41,K485)))</f>
        <v/>
      </c>
    </row>
    <row r="486" customFormat="false" ht="15" hidden="false" customHeight="false" outlineLevel="0" collapsed="false">
      <c r="B486" s="57"/>
      <c r="C486" s="58"/>
      <c r="D486" s="58"/>
      <c r="E486" s="59"/>
      <c r="F486" s="58"/>
      <c r="G486" s="58"/>
      <c r="H486" s="60" t="str">
        <f aca="false">IF(OR(E486="",D486=""),"",IF(K486=0,"Expense / Gasto",INDEX(Budget!$C$7:$C$41,K486)))</f>
        <v/>
      </c>
      <c r="I486" s="60" t="str">
        <f aca="false">IF(AND(B486="",E486=""),"",IF(NOT(ISNUMBER(B486)),"⚠ ADD DATE / AGREGA FECHA",IF(E486="","⚠ ADD AMOUNT / AGREGA MONTO",IF(D486="","⚠ ADD CATEGORY / AGREGA CATEGORÍA",IF(K486=0,"● NEW CATEGORY? / ¿CATEGORÍA NUEVA?","✔ OK")))))</f>
        <v/>
      </c>
      <c r="K486" s="56" t="str">
        <f aca="false">IF(D486="","",IFERROR(MATCH(D486,Budget!$B$7:$B$41,0),0))</f>
        <v/>
      </c>
      <c r="L486" s="56" t="n">
        <f aca="false">IF(AND(ISNUMBER(B486),ISNUMBER(E486),D486&lt;&gt;""),YEAR(B486)*100+MONTH(B486),0)</f>
        <v>0</v>
      </c>
      <c r="M486" s="56" t="n">
        <f aca="false">IF(L486=0,0,YEAR(B486))</f>
        <v>0</v>
      </c>
      <c r="N486" s="56" t="str">
        <f aca="false">IF(L486=0,"",IF(K486=0,"Wants / Gustos",INDEX(Budget!$D$7:$D$41,K486)))</f>
        <v/>
      </c>
    </row>
    <row r="487" customFormat="false" ht="15" hidden="false" customHeight="false" outlineLevel="0" collapsed="false">
      <c r="B487" s="57"/>
      <c r="C487" s="58"/>
      <c r="D487" s="58"/>
      <c r="E487" s="59"/>
      <c r="F487" s="58"/>
      <c r="G487" s="58"/>
      <c r="H487" s="60" t="str">
        <f aca="false">IF(OR(E487="",D487=""),"",IF(K487=0,"Expense / Gasto",INDEX(Budget!$C$7:$C$41,K487)))</f>
        <v/>
      </c>
      <c r="I487" s="60" t="str">
        <f aca="false">IF(AND(B487="",E487=""),"",IF(NOT(ISNUMBER(B487)),"⚠ ADD DATE / AGREGA FECHA",IF(E487="","⚠ ADD AMOUNT / AGREGA MONTO",IF(D487="","⚠ ADD CATEGORY / AGREGA CATEGORÍA",IF(K487=0,"● NEW CATEGORY? / ¿CATEGORÍA NUEVA?","✔ OK")))))</f>
        <v/>
      </c>
      <c r="K487" s="56" t="str">
        <f aca="false">IF(D487="","",IFERROR(MATCH(D487,Budget!$B$7:$B$41,0),0))</f>
        <v/>
      </c>
      <c r="L487" s="56" t="n">
        <f aca="false">IF(AND(ISNUMBER(B487),ISNUMBER(E487),D487&lt;&gt;""),YEAR(B487)*100+MONTH(B487),0)</f>
        <v>0</v>
      </c>
      <c r="M487" s="56" t="n">
        <f aca="false">IF(L487=0,0,YEAR(B487))</f>
        <v>0</v>
      </c>
      <c r="N487" s="56" t="str">
        <f aca="false">IF(L487=0,"",IF(K487=0,"Wants / Gustos",INDEX(Budget!$D$7:$D$41,K487)))</f>
        <v/>
      </c>
    </row>
    <row r="488" customFormat="false" ht="15" hidden="false" customHeight="false" outlineLevel="0" collapsed="false">
      <c r="B488" s="57"/>
      <c r="C488" s="58"/>
      <c r="D488" s="58"/>
      <c r="E488" s="59"/>
      <c r="F488" s="58"/>
      <c r="G488" s="58"/>
      <c r="H488" s="60" t="str">
        <f aca="false">IF(OR(E488="",D488=""),"",IF(K488=0,"Expense / Gasto",INDEX(Budget!$C$7:$C$41,K488)))</f>
        <v/>
      </c>
      <c r="I488" s="60" t="str">
        <f aca="false">IF(AND(B488="",E488=""),"",IF(NOT(ISNUMBER(B488)),"⚠ ADD DATE / AGREGA FECHA",IF(E488="","⚠ ADD AMOUNT / AGREGA MONTO",IF(D488="","⚠ ADD CATEGORY / AGREGA CATEGORÍA",IF(K488=0,"● NEW CATEGORY? / ¿CATEGORÍA NUEVA?","✔ OK")))))</f>
        <v/>
      </c>
      <c r="K488" s="56" t="str">
        <f aca="false">IF(D488="","",IFERROR(MATCH(D488,Budget!$B$7:$B$41,0),0))</f>
        <v/>
      </c>
      <c r="L488" s="56" t="n">
        <f aca="false">IF(AND(ISNUMBER(B488),ISNUMBER(E488),D488&lt;&gt;""),YEAR(B488)*100+MONTH(B488),0)</f>
        <v>0</v>
      </c>
      <c r="M488" s="56" t="n">
        <f aca="false">IF(L488=0,0,YEAR(B488))</f>
        <v>0</v>
      </c>
      <c r="N488" s="56" t="str">
        <f aca="false">IF(L488=0,"",IF(K488=0,"Wants / Gustos",INDEX(Budget!$D$7:$D$41,K488)))</f>
        <v/>
      </c>
    </row>
    <row r="489" customFormat="false" ht="15" hidden="false" customHeight="false" outlineLevel="0" collapsed="false">
      <c r="B489" s="57"/>
      <c r="C489" s="58"/>
      <c r="D489" s="58"/>
      <c r="E489" s="59"/>
      <c r="F489" s="58"/>
      <c r="G489" s="58"/>
      <c r="H489" s="60" t="str">
        <f aca="false">IF(OR(E489="",D489=""),"",IF(K489=0,"Expense / Gasto",INDEX(Budget!$C$7:$C$41,K489)))</f>
        <v/>
      </c>
      <c r="I489" s="60" t="str">
        <f aca="false">IF(AND(B489="",E489=""),"",IF(NOT(ISNUMBER(B489)),"⚠ ADD DATE / AGREGA FECHA",IF(E489="","⚠ ADD AMOUNT / AGREGA MONTO",IF(D489="","⚠ ADD CATEGORY / AGREGA CATEGORÍA",IF(K489=0,"● NEW CATEGORY? / ¿CATEGORÍA NUEVA?","✔ OK")))))</f>
        <v/>
      </c>
      <c r="K489" s="56" t="str">
        <f aca="false">IF(D489="","",IFERROR(MATCH(D489,Budget!$B$7:$B$41,0),0))</f>
        <v/>
      </c>
      <c r="L489" s="56" t="n">
        <f aca="false">IF(AND(ISNUMBER(B489),ISNUMBER(E489),D489&lt;&gt;""),YEAR(B489)*100+MONTH(B489),0)</f>
        <v>0</v>
      </c>
      <c r="M489" s="56" t="n">
        <f aca="false">IF(L489=0,0,YEAR(B489))</f>
        <v>0</v>
      </c>
      <c r="N489" s="56" t="str">
        <f aca="false">IF(L489=0,"",IF(K489=0,"Wants / Gustos",INDEX(Budget!$D$7:$D$41,K489)))</f>
        <v/>
      </c>
    </row>
    <row r="490" customFormat="false" ht="15" hidden="false" customHeight="false" outlineLevel="0" collapsed="false">
      <c r="B490" s="57"/>
      <c r="C490" s="58"/>
      <c r="D490" s="58"/>
      <c r="E490" s="59"/>
      <c r="F490" s="58"/>
      <c r="G490" s="58"/>
      <c r="H490" s="60" t="str">
        <f aca="false">IF(OR(E490="",D490=""),"",IF(K490=0,"Expense / Gasto",INDEX(Budget!$C$7:$C$41,K490)))</f>
        <v/>
      </c>
      <c r="I490" s="60" t="str">
        <f aca="false">IF(AND(B490="",E490=""),"",IF(NOT(ISNUMBER(B490)),"⚠ ADD DATE / AGREGA FECHA",IF(E490="","⚠ ADD AMOUNT / AGREGA MONTO",IF(D490="","⚠ ADD CATEGORY / AGREGA CATEGORÍA",IF(K490=0,"● NEW CATEGORY? / ¿CATEGORÍA NUEVA?","✔ OK")))))</f>
        <v/>
      </c>
      <c r="K490" s="56" t="str">
        <f aca="false">IF(D490="","",IFERROR(MATCH(D490,Budget!$B$7:$B$41,0),0))</f>
        <v/>
      </c>
      <c r="L490" s="56" t="n">
        <f aca="false">IF(AND(ISNUMBER(B490),ISNUMBER(E490),D490&lt;&gt;""),YEAR(B490)*100+MONTH(B490),0)</f>
        <v>0</v>
      </c>
      <c r="M490" s="56" t="n">
        <f aca="false">IF(L490=0,0,YEAR(B490))</f>
        <v>0</v>
      </c>
      <c r="N490" s="56" t="str">
        <f aca="false">IF(L490=0,"",IF(K490=0,"Wants / Gustos",INDEX(Budget!$D$7:$D$41,K490)))</f>
        <v/>
      </c>
    </row>
    <row r="491" customFormat="false" ht="15" hidden="false" customHeight="false" outlineLevel="0" collapsed="false">
      <c r="B491" s="57"/>
      <c r="C491" s="58"/>
      <c r="D491" s="58"/>
      <c r="E491" s="59"/>
      <c r="F491" s="58"/>
      <c r="G491" s="58"/>
      <c r="H491" s="60" t="str">
        <f aca="false">IF(OR(E491="",D491=""),"",IF(K491=0,"Expense / Gasto",INDEX(Budget!$C$7:$C$41,K491)))</f>
        <v/>
      </c>
      <c r="I491" s="60" t="str">
        <f aca="false">IF(AND(B491="",E491=""),"",IF(NOT(ISNUMBER(B491)),"⚠ ADD DATE / AGREGA FECHA",IF(E491="","⚠ ADD AMOUNT / AGREGA MONTO",IF(D491="","⚠ ADD CATEGORY / AGREGA CATEGORÍA",IF(K491=0,"● NEW CATEGORY? / ¿CATEGORÍA NUEVA?","✔ OK")))))</f>
        <v/>
      </c>
      <c r="K491" s="56" t="str">
        <f aca="false">IF(D491="","",IFERROR(MATCH(D491,Budget!$B$7:$B$41,0),0))</f>
        <v/>
      </c>
      <c r="L491" s="56" t="n">
        <f aca="false">IF(AND(ISNUMBER(B491),ISNUMBER(E491),D491&lt;&gt;""),YEAR(B491)*100+MONTH(B491),0)</f>
        <v>0</v>
      </c>
      <c r="M491" s="56" t="n">
        <f aca="false">IF(L491=0,0,YEAR(B491))</f>
        <v>0</v>
      </c>
      <c r="N491" s="56" t="str">
        <f aca="false">IF(L491=0,"",IF(K491=0,"Wants / Gustos",INDEX(Budget!$D$7:$D$41,K491)))</f>
        <v/>
      </c>
    </row>
    <row r="492" customFormat="false" ht="15" hidden="false" customHeight="false" outlineLevel="0" collapsed="false">
      <c r="B492" s="57"/>
      <c r="C492" s="58"/>
      <c r="D492" s="58"/>
      <c r="E492" s="59"/>
      <c r="F492" s="58"/>
      <c r="G492" s="58"/>
      <c r="H492" s="60" t="str">
        <f aca="false">IF(OR(E492="",D492=""),"",IF(K492=0,"Expense / Gasto",INDEX(Budget!$C$7:$C$41,K492)))</f>
        <v/>
      </c>
      <c r="I492" s="60" t="str">
        <f aca="false">IF(AND(B492="",E492=""),"",IF(NOT(ISNUMBER(B492)),"⚠ ADD DATE / AGREGA FECHA",IF(E492="","⚠ ADD AMOUNT / AGREGA MONTO",IF(D492="","⚠ ADD CATEGORY / AGREGA CATEGORÍA",IF(K492=0,"● NEW CATEGORY? / ¿CATEGORÍA NUEVA?","✔ OK")))))</f>
        <v/>
      </c>
      <c r="K492" s="56" t="str">
        <f aca="false">IF(D492="","",IFERROR(MATCH(D492,Budget!$B$7:$B$41,0),0))</f>
        <v/>
      </c>
      <c r="L492" s="56" t="n">
        <f aca="false">IF(AND(ISNUMBER(B492),ISNUMBER(E492),D492&lt;&gt;""),YEAR(B492)*100+MONTH(B492),0)</f>
        <v>0</v>
      </c>
      <c r="M492" s="56" t="n">
        <f aca="false">IF(L492=0,0,YEAR(B492))</f>
        <v>0</v>
      </c>
      <c r="N492" s="56" t="str">
        <f aca="false">IF(L492=0,"",IF(K492=0,"Wants / Gustos",INDEX(Budget!$D$7:$D$41,K492)))</f>
        <v/>
      </c>
    </row>
    <row r="493" customFormat="false" ht="15" hidden="false" customHeight="false" outlineLevel="0" collapsed="false">
      <c r="B493" s="57"/>
      <c r="C493" s="58"/>
      <c r="D493" s="58"/>
      <c r="E493" s="59"/>
      <c r="F493" s="58"/>
      <c r="G493" s="58"/>
      <c r="H493" s="60" t="str">
        <f aca="false">IF(OR(E493="",D493=""),"",IF(K493=0,"Expense / Gasto",INDEX(Budget!$C$7:$C$41,K493)))</f>
        <v/>
      </c>
      <c r="I493" s="60" t="str">
        <f aca="false">IF(AND(B493="",E493=""),"",IF(NOT(ISNUMBER(B493)),"⚠ ADD DATE / AGREGA FECHA",IF(E493="","⚠ ADD AMOUNT / AGREGA MONTO",IF(D493="","⚠ ADD CATEGORY / AGREGA CATEGORÍA",IF(K493=0,"● NEW CATEGORY? / ¿CATEGORÍA NUEVA?","✔ OK")))))</f>
        <v/>
      </c>
      <c r="K493" s="56" t="str">
        <f aca="false">IF(D493="","",IFERROR(MATCH(D493,Budget!$B$7:$B$41,0),0))</f>
        <v/>
      </c>
      <c r="L493" s="56" t="n">
        <f aca="false">IF(AND(ISNUMBER(B493),ISNUMBER(E493),D493&lt;&gt;""),YEAR(B493)*100+MONTH(B493),0)</f>
        <v>0</v>
      </c>
      <c r="M493" s="56" t="n">
        <f aca="false">IF(L493=0,0,YEAR(B493))</f>
        <v>0</v>
      </c>
      <c r="N493" s="56" t="str">
        <f aca="false">IF(L493=0,"",IF(K493=0,"Wants / Gustos",INDEX(Budget!$D$7:$D$41,K493)))</f>
        <v/>
      </c>
    </row>
    <row r="494" customFormat="false" ht="15" hidden="false" customHeight="false" outlineLevel="0" collapsed="false">
      <c r="B494" s="57"/>
      <c r="C494" s="58"/>
      <c r="D494" s="58"/>
      <c r="E494" s="59"/>
      <c r="F494" s="58"/>
      <c r="G494" s="58"/>
      <c r="H494" s="60" t="str">
        <f aca="false">IF(OR(E494="",D494=""),"",IF(K494=0,"Expense / Gasto",INDEX(Budget!$C$7:$C$41,K494)))</f>
        <v/>
      </c>
      <c r="I494" s="60" t="str">
        <f aca="false">IF(AND(B494="",E494=""),"",IF(NOT(ISNUMBER(B494)),"⚠ ADD DATE / AGREGA FECHA",IF(E494="","⚠ ADD AMOUNT / AGREGA MONTO",IF(D494="","⚠ ADD CATEGORY / AGREGA CATEGORÍA",IF(K494=0,"● NEW CATEGORY? / ¿CATEGORÍA NUEVA?","✔ OK")))))</f>
        <v/>
      </c>
      <c r="K494" s="56" t="str">
        <f aca="false">IF(D494="","",IFERROR(MATCH(D494,Budget!$B$7:$B$41,0),0))</f>
        <v/>
      </c>
      <c r="L494" s="56" t="n">
        <f aca="false">IF(AND(ISNUMBER(B494),ISNUMBER(E494),D494&lt;&gt;""),YEAR(B494)*100+MONTH(B494),0)</f>
        <v>0</v>
      </c>
      <c r="M494" s="56" t="n">
        <f aca="false">IF(L494=0,0,YEAR(B494))</f>
        <v>0</v>
      </c>
      <c r="N494" s="56" t="str">
        <f aca="false">IF(L494=0,"",IF(K494=0,"Wants / Gustos",INDEX(Budget!$D$7:$D$41,K494)))</f>
        <v/>
      </c>
    </row>
    <row r="495" customFormat="false" ht="15" hidden="false" customHeight="false" outlineLevel="0" collapsed="false">
      <c r="B495" s="57"/>
      <c r="C495" s="58"/>
      <c r="D495" s="58"/>
      <c r="E495" s="59"/>
      <c r="F495" s="58"/>
      <c r="G495" s="58"/>
      <c r="H495" s="60" t="str">
        <f aca="false">IF(OR(E495="",D495=""),"",IF(K495=0,"Expense / Gasto",INDEX(Budget!$C$7:$C$41,K495)))</f>
        <v/>
      </c>
      <c r="I495" s="60" t="str">
        <f aca="false">IF(AND(B495="",E495=""),"",IF(NOT(ISNUMBER(B495)),"⚠ ADD DATE / AGREGA FECHA",IF(E495="","⚠ ADD AMOUNT / AGREGA MONTO",IF(D495="","⚠ ADD CATEGORY / AGREGA CATEGORÍA",IF(K495=0,"● NEW CATEGORY? / ¿CATEGORÍA NUEVA?","✔ OK")))))</f>
        <v/>
      </c>
      <c r="K495" s="56" t="str">
        <f aca="false">IF(D495="","",IFERROR(MATCH(D495,Budget!$B$7:$B$41,0),0))</f>
        <v/>
      </c>
      <c r="L495" s="56" t="n">
        <f aca="false">IF(AND(ISNUMBER(B495),ISNUMBER(E495),D495&lt;&gt;""),YEAR(B495)*100+MONTH(B495),0)</f>
        <v>0</v>
      </c>
      <c r="M495" s="56" t="n">
        <f aca="false">IF(L495=0,0,YEAR(B495))</f>
        <v>0</v>
      </c>
      <c r="N495" s="56" t="str">
        <f aca="false">IF(L495=0,"",IF(K495=0,"Wants / Gustos",INDEX(Budget!$D$7:$D$41,K495)))</f>
        <v/>
      </c>
    </row>
    <row r="496" customFormat="false" ht="15" hidden="false" customHeight="false" outlineLevel="0" collapsed="false">
      <c r="B496" s="57"/>
      <c r="C496" s="58"/>
      <c r="D496" s="58"/>
      <c r="E496" s="59"/>
      <c r="F496" s="58"/>
      <c r="G496" s="58"/>
      <c r="H496" s="60" t="str">
        <f aca="false">IF(OR(E496="",D496=""),"",IF(K496=0,"Expense / Gasto",INDEX(Budget!$C$7:$C$41,K496)))</f>
        <v/>
      </c>
      <c r="I496" s="60" t="str">
        <f aca="false">IF(AND(B496="",E496=""),"",IF(NOT(ISNUMBER(B496)),"⚠ ADD DATE / AGREGA FECHA",IF(E496="","⚠ ADD AMOUNT / AGREGA MONTO",IF(D496="","⚠ ADD CATEGORY / AGREGA CATEGORÍA",IF(K496=0,"● NEW CATEGORY? / ¿CATEGORÍA NUEVA?","✔ OK")))))</f>
        <v/>
      </c>
      <c r="K496" s="56" t="str">
        <f aca="false">IF(D496="","",IFERROR(MATCH(D496,Budget!$B$7:$B$41,0),0))</f>
        <v/>
      </c>
      <c r="L496" s="56" t="n">
        <f aca="false">IF(AND(ISNUMBER(B496),ISNUMBER(E496),D496&lt;&gt;""),YEAR(B496)*100+MONTH(B496),0)</f>
        <v>0</v>
      </c>
      <c r="M496" s="56" t="n">
        <f aca="false">IF(L496=0,0,YEAR(B496))</f>
        <v>0</v>
      </c>
      <c r="N496" s="56" t="str">
        <f aca="false">IF(L496=0,"",IF(K496=0,"Wants / Gustos",INDEX(Budget!$D$7:$D$41,K496)))</f>
        <v/>
      </c>
    </row>
    <row r="497" customFormat="false" ht="15" hidden="false" customHeight="false" outlineLevel="0" collapsed="false">
      <c r="B497" s="57"/>
      <c r="C497" s="58"/>
      <c r="D497" s="58"/>
      <c r="E497" s="59"/>
      <c r="F497" s="58"/>
      <c r="G497" s="58"/>
      <c r="H497" s="60" t="str">
        <f aca="false">IF(OR(E497="",D497=""),"",IF(K497=0,"Expense / Gasto",INDEX(Budget!$C$7:$C$41,K497)))</f>
        <v/>
      </c>
      <c r="I497" s="60" t="str">
        <f aca="false">IF(AND(B497="",E497=""),"",IF(NOT(ISNUMBER(B497)),"⚠ ADD DATE / AGREGA FECHA",IF(E497="","⚠ ADD AMOUNT / AGREGA MONTO",IF(D497="","⚠ ADD CATEGORY / AGREGA CATEGORÍA",IF(K497=0,"● NEW CATEGORY? / ¿CATEGORÍA NUEVA?","✔ OK")))))</f>
        <v/>
      </c>
      <c r="K497" s="56" t="str">
        <f aca="false">IF(D497="","",IFERROR(MATCH(D497,Budget!$B$7:$B$41,0),0))</f>
        <v/>
      </c>
      <c r="L497" s="56" t="n">
        <f aca="false">IF(AND(ISNUMBER(B497),ISNUMBER(E497),D497&lt;&gt;""),YEAR(B497)*100+MONTH(B497),0)</f>
        <v>0</v>
      </c>
      <c r="M497" s="56" t="n">
        <f aca="false">IF(L497=0,0,YEAR(B497))</f>
        <v>0</v>
      </c>
      <c r="N497" s="56" t="str">
        <f aca="false">IF(L497=0,"",IF(K497=0,"Wants / Gustos",INDEX(Budget!$D$7:$D$41,K497)))</f>
        <v/>
      </c>
    </row>
    <row r="498" customFormat="false" ht="15" hidden="false" customHeight="false" outlineLevel="0" collapsed="false">
      <c r="B498" s="57"/>
      <c r="C498" s="58"/>
      <c r="D498" s="58"/>
      <c r="E498" s="59"/>
      <c r="F498" s="58"/>
      <c r="G498" s="58"/>
      <c r="H498" s="60" t="str">
        <f aca="false">IF(OR(E498="",D498=""),"",IF(K498=0,"Expense / Gasto",INDEX(Budget!$C$7:$C$41,K498)))</f>
        <v/>
      </c>
      <c r="I498" s="60" t="str">
        <f aca="false">IF(AND(B498="",E498=""),"",IF(NOT(ISNUMBER(B498)),"⚠ ADD DATE / AGREGA FECHA",IF(E498="","⚠ ADD AMOUNT / AGREGA MONTO",IF(D498="","⚠ ADD CATEGORY / AGREGA CATEGORÍA",IF(K498=0,"● NEW CATEGORY? / ¿CATEGORÍA NUEVA?","✔ OK")))))</f>
        <v/>
      </c>
      <c r="K498" s="56" t="str">
        <f aca="false">IF(D498="","",IFERROR(MATCH(D498,Budget!$B$7:$B$41,0),0))</f>
        <v/>
      </c>
      <c r="L498" s="56" t="n">
        <f aca="false">IF(AND(ISNUMBER(B498),ISNUMBER(E498),D498&lt;&gt;""),YEAR(B498)*100+MONTH(B498),0)</f>
        <v>0</v>
      </c>
      <c r="M498" s="56" t="n">
        <f aca="false">IF(L498=0,0,YEAR(B498))</f>
        <v>0</v>
      </c>
      <c r="N498" s="56" t="str">
        <f aca="false">IF(L498=0,"",IF(K498=0,"Wants / Gustos",INDEX(Budget!$D$7:$D$41,K498)))</f>
        <v/>
      </c>
    </row>
    <row r="499" customFormat="false" ht="15" hidden="false" customHeight="false" outlineLevel="0" collapsed="false">
      <c r="B499" s="57"/>
      <c r="C499" s="58"/>
      <c r="D499" s="58"/>
      <c r="E499" s="59"/>
      <c r="F499" s="58"/>
      <c r="G499" s="58"/>
      <c r="H499" s="60" t="str">
        <f aca="false">IF(OR(E499="",D499=""),"",IF(K499=0,"Expense / Gasto",INDEX(Budget!$C$7:$C$41,K499)))</f>
        <v/>
      </c>
      <c r="I499" s="60" t="str">
        <f aca="false">IF(AND(B499="",E499=""),"",IF(NOT(ISNUMBER(B499)),"⚠ ADD DATE / AGREGA FECHA",IF(E499="","⚠ ADD AMOUNT / AGREGA MONTO",IF(D499="","⚠ ADD CATEGORY / AGREGA CATEGORÍA",IF(K499=0,"● NEW CATEGORY? / ¿CATEGORÍA NUEVA?","✔ OK")))))</f>
        <v/>
      </c>
      <c r="K499" s="56" t="str">
        <f aca="false">IF(D499="","",IFERROR(MATCH(D499,Budget!$B$7:$B$41,0),0))</f>
        <v/>
      </c>
      <c r="L499" s="56" t="n">
        <f aca="false">IF(AND(ISNUMBER(B499),ISNUMBER(E499),D499&lt;&gt;""),YEAR(B499)*100+MONTH(B499),0)</f>
        <v>0</v>
      </c>
      <c r="M499" s="56" t="n">
        <f aca="false">IF(L499=0,0,YEAR(B499))</f>
        <v>0</v>
      </c>
      <c r="N499" s="56" t="str">
        <f aca="false">IF(L499=0,"",IF(K499=0,"Wants / Gustos",INDEX(Budget!$D$7:$D$41,K499)))</f>
        <v/>
      </c>
    </row>
    <row r="500" customFormat="false" ht="15" hidden="false" customHeight="false" outlineLevel="0" collapsed="false">
      <c r="B500" s="57"/>
      <c r="C500" s="58"/>
      <c r="D500" s="58"/>
      <c r="E500" s="59"/>
      <c r="F500" s="58"/>
      <c r="G500" s="58"/>
      <c r="H500" s="60" t="str">
        <f aca="false">IF(OR(E500="",D500=""),"",IF(K500=0,"Expense / Gasto",INDEX(Budget!$C$7:$C$41,K500)))</f>
        <v/>
      </c>
      <c r="I500" s="60" t="str">
        <f aca="false">IF(AND(B500="",E500=""),"",IF(NOT(ISNUMBER(B500)),"⚠ ADD DATE / AGREGA FECHA",IF(E500="","⚠ ADD AMOUNT / AGREGA MONTO",IF(D500="","⚠ ADD CATEGORY / AGREGA CATEGORÍA",IF(K500=0,"● NEW CATEGORY? / ¿CATEGORÍA NUEVA?","✔ OK")))))</f>
        <v/>
      </c>
      <c r="K500" s="56" t="str">
        <f aca="false">IF(D500="","",IFERROR(MATCH(D500,Budget!$B$7:$B$41,0),0))</f>
        <v/>
      </c>
      <c r="L500" s="56" t="n">
        <f aca="false">IF(AND(ISNUMBER(B500),ISNUMBER(E500),D500&lt;&gt;""),YEAR(B500)*100+MONTH(B500),0)</f>
        <v>0</v>
      </c>
      <c r="M500" s="56" t="n">
        <f aca="false">IF(L500=0,0,YEAR(B500))</f>
        <v>0</v>
      </c>
      <c r="N500" s="56" t="str">
        <f aca="false">IF(L500=0,"",IF(K500=0,"Wants / Gustos",INDEX(Budget!$D$7:$D$41,K500)))</f>
        <v/>
      </c>
    </row>
    <row r="501" customFormat="false" ht="15" hidden="false" customHeight="false" outlineLevel="0" collapsed="false">
      <c r="B501" s="57"/>
      <c r="C501" s="58"/>
      <c r="D501" s="58"/>
      <c r="E501" s="59"/>
      <c r="F501" s="58"/>
      <c r="G501" s="58"/>
      <c r="H501" s="60" t="str">
        <f aca="false">IF(OR(E501="",D501=""),"",IF(K501=0,"Expense / Gasto",INDEX(Budget!$C$7:$C$41,K501)))</f>
        <v/>
      </c>
      <c r="I501" s="60" t="str">
        <f aca="false">IF(AND(B501="",E501=""),"",IF(NOT(ISNUMBER(B501)),"⚠ ADD DATE / AGREGA FECHA",IF(E501="","⚠ ADD AMOUNT / AGREGA MONTO",IF(D501="","⚠ ADD CATEGORY / AGREGA CATEGORÍA",IF(K501=0,"● NEW CATEGORY? / ¿CATEGORÍA NUEVA?","✔ OK")))))</f>
        <v/>
      </c>
      <c r="K501" s="56" t="str">
        <f aca="false">IF(D501="","",IFERROR(MATCH(D501,Budget!$B$7:$B$41,0),0))</f>
        <v/>
      </c>
      <c r="L501" s="56" t="n">
        <f aca="false">IF(AND(ISNUMBER(B501),ISNUMBER(E501),D501&lt;&gt;""),YEAR(B501)*100+MONTH(B501),0)</f>
        <v>0</v>
      </c>
      <c r="M501" s="56" t="n">
        <f aca="false">IF(L501=0,0,YEAR(B501))</f>
        <v>0</v>
      </c>
      <c r="N501" s="56" t="str">
        <f aca="false">IF(L501=0,"",IF(K501=0,"Wants / Gustos",INDEX(Budget!$D$7:$D$41,K501)))</f>
        <v/>
      </c>
    </row>
    <row r="502" customFormat="false" ht="15" hidden="false" customHeight="false" outlineLevel="0" collapsed="false">
      <c r="B502" s="57"/>
      <c r="C502" s="58"/>
      <c r="D502" s="58"/>
      <c r="E502" s="59"/>
      <c r="F502" s="58"/>
      <c r="G502" s="58"/>
      <c r="H502" s="60" t="str">
        <f aca="false">IF(OR(E502="",D502=""),"",IF(K502=0,"Expense / Gasto",INDEX(Budget!$C$7:$C$41,K502)))</f>
        <v/>
      </c>
      <c r="I502" s="60" t="str">
        <f aca="false">IF(AND(B502="",E502=""),"",IF(NOT(ISNUMBER(B502)),"⚠ ADD DATE / AGREGA FECHA",IF(E502="","⚠ ADD AMOUNT / AGREGA MONTO",IF(D502="","⚠ ADD CATEGORY / AGREGA CATEGORÍA",IF(K502=0,"● NEW CATEGORY? / ¿CATEGORÍA NUEVA?","✔ OK")))))</f>
        <v/>
      </c>
      <c r="K502" s="56" t="str">
        <f aca="false">IF(D502="","",IFERROR(MATCH(D502,Budget!$B$7:$B$41,0),0))</f>
        <v/>
      </c>
      <c r="L502" s="56" t="n">
        <f aca="false">IF(AND(ISNUMBER(B502),ISNUMBER(E502),D502&lt;&gt;""),YEAR(B502)*100+MONTH(B502),0)</f>
        <v>0</v>
      </c>
      <c r="M502" s="56" t="n">
        <f aca="false">IF(L502=0,0,YEAR(B502))</f>
        <v>0</v>
      </c>
      <c r="N502" s="56" t="str">
        <f aca="false">IF(L502=0,"",IF(K502=0,"Wants / Gustos",INDEX(Budget!$D$7:$D$41,K502)))</f>
        <v/>
      </c>
    </row>
    <row r="503" customFormat="false" ht="15" hidden="false" customHeight="false" outlineLevel="0" collapsed="false">
      <c r="B503" s="57"/>
      <c r="C503" s="58"/>
      <c r="D503" s="58"/>
      <c r="E503" s="59"/>
      <c r="F503" s="58"/>
      <c r="G503" s="58"/>
      <c r="H503" s="60" t="str">
        <f aca="false">IF(OR(E503="",D503=""),"",IF(K503=0,"Expense / Gasto",INDEX(Budget!$C$7:$C$41,K503)))</f>
        <v/>
      </c>
      <c r="I503" s="60" t="str">
        <f aca="false">IF(AND(B503="",E503=""),"",IF(NOT(ISNUMBER(B503)),"⚠ ADD DATE / AGREGA FECHA",IF(E503="","⚠ ADD AMOUNT / AGREGA MONTO",IF(D503="","⚠ ADD CATEGORY / AGREGA CATEGORÍA",IF(K503=0,"● NEW CATEGORY? / ¿CATEGORÍA NUEVA?","✔ OK")))))</f>
        <v/>
      </c>
      <c r="K503" s="56" t="str">
        <f aca="false">IF(D503="","",IFERROR(MATCH(D503,Budget!$B$7:$B$41,0),0))</f>
        <v/>
      </c>
      <c r="L503" s="56" t="n">
        <f aca="false">IF(AND(ISNUMBER(B503),ISNUMBER(E503),D503&lt;&gt;""),YEAR(B503)*100+MONTH(B503),0)</f>
        <v>0</v>
      </c>
      <c r="M503" s="56" t="n">
        <f aca="false">IF(L503=0,0,YEAR(B503))</f>
        <v>0</v>
      </c>
      <c r="N503" s="56" t="str">
        <f aca="false">IF(L503=0,"",IF(K503=0,"Wants / Gustos",INDEX(Budget!$D$7:$D$41,K503)))</f>
        <v/>
      </c>
    </row>
    <row r="504" customFormat="false" ht="15" hidden="false" customHeight="false" outlineLevel="0" collapsed="false">
      <c r="B504" s="57"/>
      <c r="C504" s="58"/>
      <c r="D504" s="58"/>
      <c r="E504" s="59"/>
      <c r="F504" s="58"/>
      <c r="G504" s="58"/>
      <c r="H504" s="60" t="str">
        <f aca="false">IF(OR(E504="",D504=""),"",IF(K504=0,"Expense / Gasto",INDEX(Budget!$C$7:$C$41,K504)))</f>
        <v/>
      </c>
      <c r="I504" s="60" t="str">
        <f aca="false">IF(AND(B504="",E504=""),"",IF(NOT(ISNUMBER(B504)),"⚠ ADD DATE / AGREGA FECHA",IF(E504="","⚠ ADD AMOUNT / AGREGA MONTO",IF(D504="","⚠ ADD CATEGORY / AGREGA CATEGORÍA",IF(K504=0,"● NEW CATEGORY? / ¿CATEGORÍA NUEVA?","✔ OK")))))</f>
        <v/>
      </c>
      <c r="K504" s="56" t="str">
        <f aca="false">IF(D504="","",IFERROR(MATCH(D504,Budget!$B$7:$B$41,0),0))</f>
        <v/>
      </c>
      <c r="L504" s="56" t="n">
        <f aca="false">IF(AND(ISNUMBER(B504),ISNUMBER(E504),D504&lt;&gt;""),YEAR(B504)*100+MONTH(B504),0)</f>
        <v>0</v>
      </c>
      <c r="M504" s="56" t="n">
        <f aca="false">IF(L504=0,0,YEAR(B504))</f>
        <v>0</v>
      </c>
      <c r="N504" s="56" t="str">
        <f aca="false">IF(L504=0,"",IF(K504=0,"Wants / Gustos",INDEX(Budget!$D$7:$D$41,K504)))</f>
        <v/>
      </c>
    </row>
    <row r="505" customFormat="false" ht="15" hidden="false" customHeight="false" outlineLevel="0" collapsed="false">
      <c r="B505" s="57"/>
      <c r="C505" s="58"/>
      <c r="D505" s="58"/>
      <c r="E505" s="59"/>
      <c r="F505" s="58"/>
      <c r="G505" s="58"/>
      <c r="H505" s="60" t="str">
        <f aca="false">IF(OR(E505="",D505=""),"",IF(K505=0,"Expense / Gasto",INDEX(Budget!$C$7:$C$41,K505)))</f>
        <v/>
      </c>
      <c r="I505" s="60" t="str">
        <f aca="false">IF(AND(B505="",E505=""),"",IF(NOT(ISNUMBER(B505)),"⚠ ADD DATE / AGREGA FECHA",IF(E505="","⚠ ADD AMOUNT / AGREGA MONTO",IF(D505="","⚠ ADD CATEGORY / AGREGA CATEGORÍA",IF(K505=0,"● NEW CATEGORY? / ¿CATEGORÍA NUEVA?","✔ OK")))))</f>
        <v/>
      </c>
      <c r="K505" s="56" t="str">
        <f aca="false">IF(D505="","",IFERROR(MATCH(D505,Budget!$B$7:$B$41,0),0))</f>
        <v/>
      </c>
      <c r="L505" s="56" t="n">
        <f aca="false">IF(AND(ISNUMBER(B505),ISNUMBER(E505),D505&lt;&gt;""),YEAR(B505)*100+MONTH(B505),0)</f>
        <v>0</v>
      </c>
      <c r="M505" s="56" t="n">
        <f aca="false">IF(L505=0,0,YEAR(B505))</f>
        <v>0</v>
      </c>
      <c r="N505" s="56" t="str">
        <f aca="false">IF(L505=0,"",IF(K505=0,"Wants / Gustos",INDEX(Budget!$D$7:$D$41,K505)))</f>
        <v/>
      </c>
    </row>
    <row r="506" customFormat="false" ht="15" hidden="false" customHeight="false" outlineLevel="0" collapsed="false">
      <c r="B506" s="57"/>
      <c r="C506" s="58"/>
      <c r="D506" s="58"/>
      <c r="E506" s="59"/>
      <c r="F506" s="58"/>
      <c r="G506" s="58"/>
      <c r="H506" s="60" t="str">
        <f aca="false">IF(OR(E506="",D506=""),"",IF(K506=0,"Expense / Gasto",INDEX(Budget!$C$7:$C$41,K506)))</f>
        <v/>
      </c>
      <c r="I506" s="60" t="str">
        <f aca="false">IF(AND(B506="",E506=""),"",IF(NOT(ISNUMBER(B506)),"⚠ ADD DATE / AGREGA FECHA",IF(E506="","⚠ ADD AMOUNT / AGREGA MONTO",IF(D506="","⚠ ADD CATEGORY / AGREGA CATEGORÍA",IF(K506=0,"● NEW CATEGORY? / ¿CATEGORÍA NUEVA?","✔ OK")))))</f>
        <v/>
      </c>
      <c r="K506" s="56" t="str">
        <f aca="false">IF(D506="","",IFERROR(MATCH(D506,Budget!$B$7:$B$41,0),0))</f>
        <v/>
      </c>
      <c r="L506" s="56" t="n">
        <f aca="false">IF(AND(ISNUMBER(B506),ISNUMBER(E506),D506&lt;&gt;""),YEAR(B506)*100+MONTH(B506),0)</f>
        <v>0</v>
      </c>
      <c r="M506" s="56" t="n">
        <f aca="false">IF(L506=0,0,YEAR(B506))</f>
        <v>0</v>
      </c>
      <c r="N506" s="56" t="str">
        <f aca="false">IF(L506=0,"",IF(K506=0,"Wants / Gustos",INDEX(Budget!$D$7:$D$41,K506)))</f>
        <v/>
      </c>
    </row>
    <row r="507" customFormat="false" ht="15" hidden="false" customHeight="false" outlineLevel="0" collapsed="false">
      <c r="B507" s="57"/>
      <c r="C507" s="58"/>
      <c r="D507" s="58"/>
      <c r="E507" s="59"/>
      <c r="F507" s="58"/>
      <c r="G507" s="58"/>
      <c r="H507" s="60" t="str">
        <f aca="false">IF(OR(E507="",D507=""),"",IF(K507=0,"Expense / Gasto",INDEX(Budget!$C$7:$C$41,K507)))</f>
        <v/>
      </c>
      <c r="I507" s="60" t="str">
        <f aca="false">IF(AND(B507="",E507=""),"",IF(NOT(ISNUMBER(B507)),"⚠ ADD DATE / AGREGA FECHA",IF(E507="","⚠ ADD AMOUNT / AGREGA MONTO",IF(D507="","⚠ ADD CATEGORY / AGREGA CATEGORÍA",IF(K507=0,"● NEW CATEGORY? / ¿CATEGORÍA NUEVA?","✔ OK")))))</f>
        <v/>
      </c>
      <c r="K507" s="56" t="str">
        <f aca="false">IF(D507="","",IFERROR(MATCH(D507,Budget!$B$7:$B$41,0),0))</f>
        <v/>
      </c>
      <c r="L507" s="56" t="n">
        <f aca="false">IF(AND(ISNUMBER(B507),ISNUMBER(E507),D507&lt;&gt;""),YEAR(B507)*100+MONTH(B507),0)</f>
        <v>0</v>
      </c>
      <c r="M507" s="56" t="n">
        <f aca="false">IF(L507=0,0,YEAR(B507))</f>
        <v>0</v>
      </c>
      <c r="N507" s="56" t="str">
        <f aca="false">IF(L507=0,"",IF(K507=0,"Wants / Gustos",INDEX(Budget!$D$7:$D$41,K507)))</f>
        <v/>
      </c>
    </row>
    <row r="508" customFormat="false" ht="15" hidden="false" customHeight="false" outlineLevel="0" collapsed="false">
      <c r="B508" s="57"/>
      <c r="C508" s="58"/>
      <c r="D508" s="58"/>
      <c r="E508" s="59"/>
      <c r="F508" s="58"/>
      <c r="G508" s="58"/>
      <c r="H508" s="60" t="str">
        <f aca="false">IF(OR(E508="",D508=""),"",IF(K508=0,"Expense / Gasto",INDEX(Budget!$C$7:$C$41,K508)))</f>
        <v/>
      </c>
      <c r="I508" s="60" t="str">
        <f aca="false">IF(AND(B508="",E508=""),"",IF(NOT(ISNUMBER(B508)),"⚠ ADD DATE / AGREGA FECHA",IF(E508="","⚠ ADD AMOUNT / AGREGA MONTO",IF(D508="","⚠ ADD CATEGORY / AGREGA CATEGORÍA",IF(K508=0,"● NEW CATEGORY? / ¿CATEGORÍA NUEVA?","✔ OK")))))</f>
        <v/>
      </c>
      <c r="K508" s="56" t="str">
        <f aca="false">IF(D508="","",IFERROR(MATCH(D508,Budget!$B$7:$B$41,0),0))</f>
        <v/>
      </c>
      <c r="L508" s="56" t="n">
        <f aca="false">IF(AND(ISNUMBER(B508),ISNUMBER(E508),D508&lt;&gt;""),YEAR(B508)*100+MONTH(B508),0)</f>
        <v>0</v>
      </c>
      <c r="M508" s="56" t="n">
        <f aca="false">IF(L508=0,0,YEAR(B508))</f>
        <v>0</v>
      </c>
      <c r="N508" s="56" t="str">
        <f aca="false">IF(L508=0,"",IF(K508=0,"Wants / Gustos",INDEX(Budget!$D$7:$D$41,K508)))</f>
        <v/>
      </c>
    </row>
    <row r="509" customFormat="false" ht="15" hidden="false" customHeight="false" outlineLevel="0" collapsed="false">
      <c r="B509" s="57"/>
      <c r="C509" s="58"/>
      <c r="D509" s="58"/>
      <c r="E509" s="59"/>
      <c r="F509" s="58"/>
      <c r="G509" s="58"/>
      <c r="H509" s="60" t="str">
        <f aca="false">IF(OR(E509="",D509=""),"",IF(K509=0,"Expense / Gasto",INDEX(Budget!$C$7:$C$41,K509)))</f>
        <v/>
      </c>
      <c r="I509" s="60" t="str">
        <f aca="false">IF(AND(B509="",E509=""),"",IF(NOT(ISNUMBER(B509)),"⚠ ADD DATE / AGREGA FECHA",IF(E509="","⚠ ADD AMOUNT / AGREGA MONTO",IF(D509="","⚠ ADD CATEGORY / AGREGA CATEGORÍA",IF(K509=0,"● NEW CATEGORY? / ¿CATEGORÍA NUEVA?","✔ OK")))))</f>
        <v/>
      </c>
      <c r="K509" s="56" t="str">
        <f aca="false">IF(D509="","",IFERROR(MATCH(D509,Budget!$B$7:$B$41,0),0))</f>
        <v/>
      </c>
      <c r="L509" s="56" t="n">
        <f aca="false">IF(AND(ISNUMBER(B509),ISNUMBER(E509),D509&lt;&gt;""),YEAR(B509)*100+MONTH(B509),0)</f>
        <v>0</v>
      </c>
      <c r="M509" s="56" t="n">
        <f aca="false">IF(L509=0,0,YEAR(B509))</f>
        <v>0</v>
      </c>
      <c r="N509" s="56" t="str">
        <f aca="false">IF(L509=0,"",IF(K509=0,"Wants / Gustos",INDEX(Budget!$D$7:$D$41,K509)))</f>
        <v/>
      </c>
    </row>
    <row r="510" customFormat="false" ht="15" hidden="false" customHeight="false" outlineLevel="0" collapsed="false">
      <c r="B510" s="57"/>
      <c r="C510" s="58"/>
      <c r="D510" s="58"/>
      <c r="E510" s="59"/>
      <c r="F510" s="58"/>
      <c r="G510" s="58"/>
      <c r="H510" s="60" t="str">
        <f aca="false">IF(OR(E510="",D510=""),"",IF(K510=0,"Expense / Gasto",INDEX(Budget!$C$7:$C$41,K510)))</f>
        <v/>
      </c>
      <c r="I510" s="60" t="str">
        <f aca="false">IF(AND(B510="",E510=""),"",IF(NOT(ISNUMBER(B510)),"⚠ ADD DATE / AGREGA FECHA",IF(E510="","⚠ ADD AMOUNT / AGREGA MONTO",IF(D510="","⚠ ADD CATEGORY / AGREGA CATEGORÍA",IF(K510=0,"● NEW CATEGORY? / ¿CATEGORÍA NUEVA?","✔ OK")))))</f>
        <v/>
      </c>
      <c r="K510" s="56" t="str">
        <f aca="false">IF(D510="","",IFERROR(MATCH(D510,Budget!$B$7:$B$41,0),0))</f>
        <v/>
      </c>
      <c r="L510" s="56" t="n">
        <f aca="false">IF(AND(ISNUMBER(B510),ISNUMBER(E510),D510&lt;&gt;""),YEAR(B510)*100+MONTH(B510),0)</f>
        <v>0</v>
      </c>
      <c r="M510" s="56" t="n">
        <f aca="false">IF(L510=0,0,YEAR(B510))</f>
        <v>0</v>
      </c>
      <c r="N510" s="56" t="str">
        <f aca="false">IF(L510=0,"",IF(K510=0,"Wants / Gustos",INDEX(Budget!$D$7:$D$41,K510)))</f>
        <v/>
      </c>
    </row>
    <row r="511" customFormat="false" ht="15" hidden="false" customHeight="false" outlineLevel="0" collapsed="false">
      <c r="B511" s="57"/>
      <c r="C511" s="58"/>
      <c r="D511" s="58"/>
      <c r="E511" s="59"/>
      <c r="F511" s="58"/>
      <c r="G511" s="58"/>
      <c r="H511" s="60" t="str">
        <f aca="false">IF(OR(E511="",D511=""),"",IF(K511=0,"Expense / Gasto",INDEX(Budget!$C$7:$C$41,K511)))</f>
        <v/>
      </c>
      <c r="I511" s="60" t="str">
        <f aca="false">IF(AND(B511="",E511=""),"",IF(NOT(ISNUMBER(B511)),"⚠ ADD DATE / AGREGA FECHA",IF(E511="","⚠ ADD AMOUNT / AGREGA MONTO",IF(D511="","⚠ ADD CATEGORY / AGREGA CATEGORÍA",IF(K511=0,"● NEW CATEGORY? / ¿CATEGORÍA NUEVA?","✔ OK")))))</f>
        <v/>
      </c>
      <c r="K511" s="56" t="str">
        <f aca="false">IF(D511="","",IFERROR(MATCH(D511,Budget!$B$7:$B$41,0),0))</f>
        <v/>
      </c>
      <c r="L511" s="56" t="n">
        <f aca="false">IF(AND(ISNUMBER(B511),ISNUMBER(E511),D511&lt;&gt;""),YEAR(B511)*100+MONTH(B511),0)</f>
        <v>0</v>
      </c>
      <c r="M511" s="56" t="n">
        <f aca="false">IF(L511=0,0,YEAR(B511))</f>
        <v>0</v>
      </c>
      <c r="N511" s="56" t="str">
        <f aca="false">IF(L511=0,"",IF(K511=0,"Wants / Gustos",INDEX(Budget!$D$7:$D$41,K511)))</f>
        <v/>
      </c>
    </row>
    <row r="512" customFormat="false" ht="15" hidden="false" customHeight="false" outlineLevel="0" collapsed="false">
      <c r="B512" s="57"/>
      <c r="C512" s="58"/>
      <c r="D512" s="58"/>
      <c r="E512" s="59"/>
      <c r="F512" s="58"/>
      <c r="G512" s="58"/>
      <c r="H512" s="60" t="str">
        <f aca="false">IF(OR(E512="",D512=""),"",IF(K512=0,"Expense / Gasto",INDEX(Budget!$C$7:$C$41,K512)))</f>
        <v/>
      </c>
      <c r="I512" s="60" t="str">
        <f aca="false">IF(AND(B512="",E512=""),"",IF(NOT(ISNUMBER(B512)),"⚠ ADD DATE / AGREGA FECHA",IF(E512="","⚠ ADD AMOUNT / AGREGA MONTO",IF(D512="","⚠ ADD CATEGORY / AGREGA CATEGORÍA",IF(K512=0,"● NEW CATEGORY? / ¿CATEGORÍA NUEVA?","✔ OK")))))</f>
        <v/>
      </c>
      <c r="K512" s="56" t="str">
        <f aca="false">IF(D512="","",IFERROR(MATCH(D512,Budget!$B$7:$B$41,0),0))</f>
        <v/>
      </c>
      <c r="L512" s="56" t="n">
        <f aca="false">IF(AND(ISNUMBER(B512),ISNUMBER(E512),D512&lt;&gt;""),YEAR(B512)*100+MONTH(B512),0)</f>
        <v>0</v>
      </c>
      <c r="M512" s="56" t="n">
        <f aca="false">IF(L512=0,0,YEAR(B512))</f>
        <v>0</v>
      </c>
      <c r="N512" s="56" t="str">
        <f aca="false">IF(L512=0,"",IF(K512=0,"Wants / Gustos",INDEX(Budget!$D$7:$D$41,K512)))</f>
        <v/>
      </c>
    </row>
    <row r="513" customFormat="false" ht="15" hidden="false" customHeight="false" outlineLevel="0" collapsed="false">
      <c r="B513" s="57"/>
      <c r="C513" s="58"/>
      <c r="D513" s="58"/>
      <c r="E513" s="59"/>
      <c r="F513" s="58"/>
      <c r="G513" s="58"/>
      <c r="H513" s="60" t="str">
        <f aca="false">IF(OR(E513="",D513=""),"",IF(K513=0,"Expense / Gasto",INDEX(Budget!$C$7:$C$41,K513)))</f>
        <v/>
      </c>
      <c r="I513" s="60" t="str">
        <f aca="false">IF(AND(B513="",E513=""),"",IF(NOT(ISNUMBER(B513)),"⚠ ADD DATE / AGREGA FECHA",IF(E513="","⚠ ADD AMOUNT / AGREGA MONTO",IF(D513="","⚠ ADD CATEGORY / AGREGA CATEGORÍA",IF(K513=0,"● NEW CATEGORY? / ¿CATEGORÍA NUEVA?","✔ OK")))))</f>
        <v/>
      </c>
      <c r="K513" s="56" t="str">
        <f aca="false">IF(D513="","",IFERROR(MATCH(D513,Budget!$B$7:$B$41,0),0))</f>
        <v/>
      </c>
      <c r="L513" s="56" t="n">
        <f aca="false">IF(AND(ISNUMBER(B513),ISNUMBER(E513),D513&lt;&gt;""),YEAR(B513)*100+MONTH(B513),0)</f>
        <v>0</v>
      </c>
      <c r="M513" s="56" t="n">
        <f aca="false">IF(L513=0,0,YEAR(B513))</f>
        <v>0</v>
      </c>
      <c r="N513" s="56" t="str">
        <f aca="false">IF(L513=0,"",IF(K513=0,"Wants / Gustos",INDEX(Budget!$D$7:$D$41,K513)))</f>
        <v/>
      </c>
    </row>
    <row r="514" customFormat="false" ht="15" hidden="false" customHeight="false" outlineLevel="0" collapsed="false">
      <c r="B514" s="57"/>
      <c r="C514" s="58"/>
      <c r="D514" s="58"/>
      <c r="E514" s="59"/>
      <c r="F514" s="58"/>
      <c r="G514" s="58"/>
      <c r="H514" s="60" t="str">
        <f aca="false">IF(OR(E514="",D514=""),"",IF(K514=0,"Expense / Gasto",INDEX(Budget!$C$7:$C$41,K514)))</f>
        <v/>
      </c>
      <c r="I514" s="60" t="str">
        <f aca="false">IF(AND(B514="",E514=""),"",IF(NOT(ISNUMBER(B514)),"⚠ ADD DATE / AGREGA FECHA",IF(E514="","⚠ ADD AMOUNT / AGREGA MONTO",IF(D514="","⚠ ADD CATEGORY / AGREGA CATEGORÍA",IF(K514=0,"● NEW CATEGORY? / ¿CATEGORÍA NUEVA?","✔ OK")))))</f>
        <v/>
      </c>
      <c r="K514" s="56" t="str">
        <f aca="false">IF(D514="","",IFERROR(MATCH(D514,Budget!$B$7:$B$41,0),0))</f>
        <v/>
      </c>
      <c r="L514" s="56" t="n">
        <f aca="false">IF(AND(ISNUMBER(B514),ISNUMBER(E514),D514&lt;&gt;""),YEAR(B514)*100+MONTH(B514),0)</f>
        <v>0</v>
      </c>
      <c r="M514" s="56" t="n">
        <f aca="false">IF(L514=0,0,YEAR(B514))</f>
        <v>0</v>
      </c>
      <c r="N514" s="56" t="str">
        <f aca="false">IF(L514=0,"",IF(K514=0,"Wants / Gustos",INDEX(Budget!$D$7:$D$41,K514)))</f>
        <v/>
      </c>
    </row>
    <row r="515" customFormat="false" ht="15" hidden="false" customHeight="false" outlineLevel="0" collapsed="false">
      <c r="B515" s="57"/>
      <c r="C515" s="58"/>
      <c r="D515" s="58"/>
      <c r="E515" s="59"/>
      <c r="F515" s="58"/>
      <c r="G515" s="58"/>
      <c r="H515" s="60" t="str">
        <f aca="false">IF(OR(E515="",D515=""),"",IF(K515=0,"Expense / Gasto",INDEX(Budget!$C$7:$C$41,K515)))</f>
        <v/>
      </c>
      <c r="I515" s="60" t="str">
        <f aca="false">IF(AND(B515="",E515=""),"",IF(NOT(ISNUMBER(B515)),"⚠ ADD DATE / AGREGA FECHA",IF(E515="","⚠ ADD AMOUNT / AGREGA MONTO",IF(D515="","⚠ ADD CATEGORY / AGREGA CATEGORÍA",IF(K515=0,"● NEW CATEGORY? / ¿CATEGORÍA NUEVA?","✔ OK")))))</f>
        <v/>
      </c>
      <c r="K515" s="56" t="str">
        <f aca="false">IF(D515="","",IFERROR(MATCH(D515,Budget!$B$7:$B$41,0),0))</f>
        <v/>
      </c>
      <c r="L515" s="56" t="n">
        <f aca="false">IF(AND(ISNUMBER(B515),ISNUMBER(E515),D515&lt;&gt;""),YEAR(B515)*100+MONTH(B515),0)</f>
        <v>0</v>
      </c>
      <c r="M515" s="56" t="n">
        <f aca="false">IF(L515=0,0,YEAR(B515))</f>
        <v>0</v>
      </c>
      <c r="N515" s="56" t="str">
        <f aca="false">IF(L515=0,"",IF(K515=0,"Wants / Gustos",INDEX(Budget!$D$7:$D$41,K515)))</f>
        <v/>
      </c>
    </row>
    <row r="516" customFormat="false" ht="15" hidden="false" customHeight="false" outlineLevel="0" collapsed="false">
      <c r="B516" s="57"/>
      <c r="C516" s="58"/>
      <c r="D516" s="58"/>
      <c r="E516" s="59"/>
      <c r="F516" s="58"/>
      <c r="G516" s="58"/>
      <c r="H516" s="60" t="str">
        <f aca="false">IF(OR(E516="",D516=""),"",IF(K516=0,"Expense / Gasto",INDEX(Budget!$C$7:$C$41,K516)))</f>
        <v/>
      </c>
      <c r="I516" s="60" t="str">
        <f aca="false">IF(AND(B516="",E516=""),"",IF(NOT(ISNUMBER(B516)),"⚠ ADD DATE / AGREGA FECHA",IF(E516="","⚠ ADD AMOUNT / AGREGA MONTO",IF(D516="","⚠ ADD CATEGORY / AGREGA CATEGORÍA",IF(K516=0,"● NEW CATEGORY? / ¿CATEGORÍA NUEVA?","✔ OK")))))</f>
        <v/>
      </c>
      <c r="K516" s="56" t="str">
        <f aca="false">IF(D516="","",IFERROR(MATCH(D516,Budget!$B$7:$B$41,0),0))</f>
        <v/>
      </c>
      <c r="L516" s="56" t="n">
        <f aca="false">IF(AND(ISNUMBER(B516),ISNUMBER(E516),D516&lt;&gt;""),YEAR(B516)*100+MONTH(B516),0)</f>
        <v>0</v>
      </c>
      <c r="M516" s="56" t="n">
        <f aca="false">IF(L516=0,0,YEAR(B516))</f>
        <v>0</v>
      </c>
      <c r="N516" s="56" t="str">
        <f aca="false">IF(L516=0,"",IF(K516=0,"Wants / Gustos",INDEX(Budget!$D$7:$D$41,K516)))</f>
        <v/>
      </c>
    </row>
    <row r="517" customFormat="false" ht="15" hidden="false" customHeight="false" outlineLevel="0" collapsed="false">
      <c r="B517" s="57"/>
      <c r="C517" s="58"/>
      <c r="D517" s="58"/>
      <c r="E517" s="59"/>
      <c r="F517" s="58"/>
      <c r="G517" s="58"/>
      <c r="H517" s="60" t="str">
        <f aca="false">IF(OR(E517="",D517=""),"",IF(K517=0,"Expense / Gasto",INDEX(Budget!$C$7:$C$41,K517)))</f>
        <v/>
      </c>
      <c r="I517" s="60" t="str">
        <f aca="false">IF(AND(B517="",E517=""),"",IF(NOT(ISNUMBER(B517)),"⚠ ADD DATE / AGREGA FECHA",IF(E517="","⚠ ADD AMOUNT / AGREGA MONTO",IF(D517="","⚠ ADD CATEGORY / AGREGA CATEGORÍA",IF(K517=0,"● NEW CATEGORY? / ¿CATEGORÍA NUEVA?","✔ OK")))))</f>
        <v/>
      </c>
      <c r="K517" s="56" t="str">
        <f aca="false">IF(D517="","",IFERROR(MATCH(D517,Budget!$B$7:$B$41,0),0))</f>
        <v/>
      </c>
      <c r="L517" s="56" t="n">
        <f aca="false">IF(AND(ISNUMBER(B517),ISNUMBER(E517),D517&lt;&gt;""),YEAR(B517)*100+MONTH(B517),0)</f>
        <v>0</v>
      </c>
      <c r="M517" s="56" t="n">
        <f aca="false">IF(L517=0,0,YEAR(B517))</f>
        <v>0</v>
      </c>
      <c r="N517" s="56" t="str">
        <f aca="false">IF(L517=0,"",IF(K517=0,"Wants / Gustos",INDEX(Budget!$D$7:$D$41,K517)))</f>
        <v/>
      </c>
    </row>
    <row r="518" customFormat="false" ht="15" hidden="false" customHeight="false" outlineLevel="0" collapsed="false">
      <c r="B518" s="57"/>
      <c r="C518" s="58"/>
      <c r="D518" s="58"/>
      <c r="E518" s="59"/>
      <c r="F518" s="58"/>
      <c r="G518" s="58"/>
      <c r="H518" s="60" t="str">
        <f aca="false">IF(OR(E518="",D518=""),"",IF(K518=0,"Expense / Gasto",INDEX(Budget!$C$7:$C$41,K518)))</f>
        <v/>
      </c>
      <c r="I518" s="60" t="str">
        <f aca="false">IF(AND(B518="",E518=""),"",IF(NOT(ISNUMBER(B518)),"⚠ ADD DATE / AGREGA FECHA",IF(E518="","⚠ ADD AMOUNT / AGREGA MONTO",IF(D518="","⚠ ADD CATEGORY / AGREGA CATEGORÍA",IF(K518=0,"● NEW CATEGORY? / ¿CATEGORÍA NUEVA?","✔ OK")))))</f>
        <v/>
      </c>
      <c r="K518" s="56" t="str">
        <f aca="false">IF(D518="","",IFERROR(MATCH(D518,Budget!$B$7:$B$41,0),0))</f>
        <v/>
      </c>
      <c r="L518" s="56" t="n">
        <f aca="false">IF(AND(ISNUMBER(B518),ISNUMBER(E518),D518&lt;&gt;""),YEAR(B518)*100+MONTH(B518),0)</f>
        <v>0</v>
      </c>
      <c r="M518" s="56" t="n">
        <f aca="false">IF(L518=0,0,YEAR(B518))</f>
        <v>0</v>
      </c>
      <c r="N518" s="56" t="str">
        <f aca="false">IF(L518=0,"",IF(K518=0,"Wants / Gustos",INDEX(Budget!$D$7:$D$41,K518)))</f>
        <v/>
      </c>
    </row>
    <row r="519" customFormat="false" ht="15" hidden="false" customHeight="false" outlineLevel="0" collapsed="false">
      <c r="B519" s="57"/>
      <c r="C519" s="58"/>
      <c r="D519" s="58"/>
      <c r="E519" s="59"/>
      <c r="F519" s="58"/>
      <c r="G519" s="58"/>
      <c r="H519" s="60" t="str">
        <f aca="false">IF(OR(E519="",D519=""),"",IF(K519=0,"Expense / Gasto",INDEX(Budget!$C$7:$C$41,K519)))</f>
        <v/>
      </c>
      <c r="I519" s="60" t="str">
        <f aca="false">IF(AND(B519="",E519=""),"",IF(NOT(ISNUMBER(B519)),"⚠ ADD DATE / AGREGA FECHA",IF(E519="","⚠ ADD AMOUNT / AGREGA MONTO",IF(D519="","⚠ ADD CATEGORY / AGREGA CATEGORÍA",IF(K519=0,"● NEW CATEGORY? / ¿CATEGORÍA NUEVA?","✔ OK")))))</f>
        <v/>
      </c>
      <c r="K519" s="56" t="str">
        <f aca="false">IF(D519="","",IFERROR(MATCH(D519,Budget!$B$7:$B$41,0),0))</f>
        <v/>
      </c>
      <c r="L519" s="56" t="n">
        <f aca="false">IF(AND(ISNUMBER(B519),ISNUMBER(E519),D519&lt;&gt;""),YEAR(B519)*100+MONTH(B519),0)</f>
        <v>0</v>
      </c>
      <c r="M519" s="56" t="n">
        <f aca="false">IF(L519=0,0,YEAR(B519))</f>
        <v>0</v>
      </c>
      <c r="N519" s="56" t="str">
        <f aca="false">IF(L519=0,"",IF(K519=0,"Wants / Gustos",INDEX(Budget!$D$7:$D$41,K519)))</f>
        <v/>
      </c>
    </row>
    <row r="520" customFormat="false" ht="15" hidden="false" customHeight="false" outlineLevel="0" collapsed="false">
      <c r="B520" s="57"/>
      <c r="C520" s="58"/>
      <c r="D520" s="58"/>
      <c r="E520" s="59"/>
      <c r="F520" s="58"/>
      <c r="G520" s="58"/>
      <c r="H520" s="60" t="str">
        <f aca="false">IF(OR(E520="",D520=""),"",IF(K520=0,"Expense / Gasto",INDEX(Budget!$C$7:$C$41,K520)))</f>
        <v/>
      </c>
      <c r="I520" s="60" t="str">
        <f aca="false">IF(AND(B520="",E520=""),"",IF(NOT(ISNUMBER(B520)),"⚠ ADD DATE / AGREGA FECHA",IF(E520="","⚠ ADD AMOUNT / AGREGA MONTO",IF(D520="","⚠ ADD CATEGORY / AGREGA CATEGORÍA",IF(K520=0,"● NEW CATEGORY? / ¿CATEGORÍA NUEVA?","✔ OK")))))</f>
        <v/>
      </c>
      <c r="K520" s="56" t="str">
        <f aca="false">IF(D520="","",IFERROR(MATCH(D520,Budget!$B$7:$B$41,0),0))</f>
        <v/>
      </c>
      <c r="L520" s="56" t="n">
        <f aca="false">IF(AND(ISNUMBER(B520),ISNUMBER(E520),D520&lt;&gt;""),YEAR(B520)*100+MONTH(B520),0)</f>
        <v>0</v>
      </c>
      <c r="M520" s="56" t="n">
        <f aca="false">IF(L520=0,0,YEAR(B520))</f>
        <v>0</v>
      </c>
      <c r="N520" s="56" t="str">
        <f aca="false">IF(L520=0,"",IF(K520=0,"Wants / Gustos",INDEX(Budget!$D$7:$D$41,K520)))</f>
        <v/>
      </c>
    </row>
    <row r="521" customFormat="false" ht="15" hidden="false" customHeight="false" outlineLevel="0" collapsed="false">
      <c r="B521" s="57"/>
      <c r="C521" s="58"/>
      <c r="D521" s="58"/>
      <c r="E521" s="59"/>
      <c r="F521" s="58"/>
      <c r="G521" s="58"/>
      <c r="H521" s="60" t="str">
        <f aca="false">IF(OR(E521="",D521=""),"",IF(K521=0,"Expense / Gasto",INDEX(Budget!$C$7:$C$41,K521)))</f>
        <v/>
      </c>
      <c r="I521" s="60" t="str">
        <f aca="false">IF(AND(B521="",E521=""),"",IF(NOT(ISNUMBER(B521)),"⚠ ADD DATE / AGREGA FECHA",IF(E521="","⚠ ADD AMOUNT / AGREGA MONTO",IF(D521="","⚠ ADD CATEGORY / AGREGA CATEGORÍA",IF(K521=0,"● NEW CATEGORY? / ¿CATEGORÍA NUEVA?","✔ OK")))))</f>
        <v/>
      </c>
      <c r="K521" s="56" t="str">
        <f aca="false">IF(D521="","",IFERROR(MATCH(D521,Budget!$B$7:$B$41,0),0))</f>
        <v/>
      </c>
      <c r="L521" s="56" t="n">
        <f aca="false">IF(AND(ISNUMBER(B521),ISNUMBER(E521),D521&lt;&gt;""),YEAR(B521)*100+MONTH(B521),0)</f>
        <v>0</v>
      </c>
      <c r="M521" s="56" t="n">
        <f aca="false">IF(L521=0,0,YEAR(B521))</f>
        <v>0</v>
      </c>
      <c r="N521" s="56" t="str">
        <f aca="false">IF(L521=0,"",IF(K521=0,"Wants / Gustos",INDEX(Budget!$D$7:$D$41,K521)))</f>
        <v/>
      </c>
    </row>
    <row r="522" customFormat="false" ht="15" hidden="false" customHeight="false" outlineLevel="0" collapsed="false">
      <c r="B522" s="57"/>
      <c r="C522" s="58"/>
      <c r="D522" s="58"/>
      <c r="E522" s="59"/>
      <c r="F522" s="58"/>
      <c r="G522" s="58"/>
      <c r="H522" s="60" t="str">
        <f aca="false">IF(OR(E522="",D522=""),"",IF(K522=0,"Expense / Gasto",INDEX(Budget!$C$7:$C$41,K522)))</f>
        <v/>
      </c>
      <c r="I522" s="60" t="str">
        <f aca="false">IF(AND(B522="",E522=""),"",IF(NOT(ISNUMBER(B522)),"⚠ ADD DATE / AGREGA FECHA",IF(E522="","⚠ ADD AMOUNT / AGREGA MONTO",IF(D522="","⚠ ADD CATEGORY / AGREGA CATEGORÍA",IF(K522=0,"● NEW CATEGORY? / ¿CATEGORÍA NUEVA?","✔ OK")))))</f>
        <v/>
      </c>
      <c r="K522" s="56" t="str">
        <f aca="false">IF(D522="","",IFERROR(MATCH(D522,Budget!$B$7:$B$41,0),0))</f>
        <v/>
      </c>
      <c r="L522" s="56" t="n">
        <f aca="false">IF(AND(ISNUMBER(B522),ISNUMBER(E522),D522&lt;&gt;""),YEAR(B522)*100+MONTH(B522),0)</f>
        <v>0</v>
      </c>
      <c r="M522" s="56" t="n">
        <f aca="false">IF(L522=0,0,YEAR(B522))</f>
        <v>0</v>
      </c>
      <c r="N522" s="56" t="str">
        <f aca="false">IF(L522=0,"",IF(K522=0,"Wants / Gustos",INDEX(Budget!$D$7:$D$41,K522)))</f>
        <v/>
      </c>
    </row>
    <row r="523" customFormat="false" ht="15" hidden="false" customHeight="false" outlineLevel="0" collapsed="false">
      <c r="B523" s="57"/>
      <c r="C523" s="58"/>
      <c r="D523" s="58"/>
      <c r="E523" s="59"/>
      <c r="F523" s="58"/>
      <c r="G523" s="58"/>
      <c r="H523" s="60" t="str">
        <f aca="false">IF(OR(E523="",D523=""),"",IF(K523=0,"Expense / Gasto",INDEX(Budget!$C$7:$C$41,K523)))</f>
        <v/>
      </c>
      <c r="I523" s="60" t="str">
        <f aca="false">IF(AND(B523="",E523=""),"",IF(NOT(ISNUMBER(B523)),"⚠ ADD DATE / AGREGA FECHA",IF(E523="","⚠ ADD AMOUNT / AGREGA MONTO",IF(D523="","⚠ ADD CATEGORY / AGREGA CATEGORÍA",IF(K523=0,"● NEW CATEGORY? / ¿CATEGORÍA NUEVA?","✔ OK")))))</f>
        <v/>
      </c>
      <c r="K523" s="56" t="str">
        <f aca="false">IF(D523="","",IFERROR(MATCH(D523,Budget!$B$7:$B$41,0),0))</f>
        <v/>
      </c>
      <c r="L523" s="56" t="n">
        <f aca="false">IF(AND(ISNUMBER(B523),ISNUMBER(E523),D523&lt;&gt;""),YEAR(B523)*100+MONTH(B523),0)</f>
        <v>0</v>
      </c>
      <c r="M523" s="56" t="n">
        <f aca="false">IF(L523=0,0,YEAR(B523))</f>
        <v>0</v>
      </c>
      <c r="N523" s="56" t="str">
        <f aca="false">IF(L523=0,"",IF(K523=0,"Wants / Gustos",INDEX(Budget!$D$7:$D$41,K523)))</f>
        <v/>
      </c>
    </row>
    <row r="524" customFormat="false" ht="15" hidden="false" customHeight="false" outlineLevel="0" collapsed="false">
      <c r="B524" s="57"/>
      <c r="C524" s="58"/>
      <c r="D524" s="58"/>
      <c r="E524" s="59"/>
      <c r="F524" s="58"/>
      <c r="G524" s="58"/>
      <c r="H524" s="60" t="str">
        <f aca="false">IF(OR(E524="",D524=""),"",IF(K524=0,"Expense / Gasto",INDEX(Budget!$C$7:$C$41,K524)))</f>
        <v/>
      </c>
      <c r="I524" s="60" t="str">
        <f aca="false">IF(AND(B524="",E524=""),"",IF(NOT(ISNUMBER(B524)),"⚠ ADD DATE / AGREGA FECHA",IF(E524="","⚠ ADD AMOUNT / AGREGA MONTO",IF(D524="","⚠ ADD CATEGORY / AGREGA CATEGORÍA",IF(K524=0,"● NEW CATEGORY? / ¿CATEGORÍA NUEVA?","✔ OK")))))</f>
        <v/>
      </c>
      <c r="K524" s="56" t="str">
        <f aca="false">IF(D524="","",IFERROR(MATCH(D524,Budget!$B$7:$B$41,0),0))</f>
        <v/>
      </c>
      <c r="L524" s="56" t="n">
        <f aca="false">IF(AND(ISNUMBER(B524),ISNUMBER(E524),D524&lt;&gt;""),YEAR(B524)*100+MONTH(B524),0)</f>
        <v>0</v>
      </c>
      <c r="M524" s="56" t="n">
        <f aca="false">IF(L524=0,0,YEAR(B524))</f>
        <v>0</v>
      </c>
      <c r="N524" s="56" t="str">
        <f aca="false">IF(L524=0,"",IF(K524=0,"Wants / Gustos",INDEX(Budget!$D$7:$D$41,K524)))</f>
        <v/>
      </c>
    </row>
    <row r="525" customFormat="false" ht="15" hidden="false" customHeight="false" outlineLevel="0" collapsed="false">
      <c r="B525" s="57"/>
      <c r="C525" s="58"/>
      <c r="D525" s="58"/>
      <c r="E525" s="59"/>
      <c r="F525" s="58"/>
      <c r="G525" s="58"/>
      <c r="H525" s="60" t="str">
        <f aca="false">IF(OR(E525="",D525=""),"",IF(K525=0,"Expense / Gasto",INDEX(Budget!$C$7:$C$41,K525)))</f>
        <v/>
      </c>
      <c r="I525" s="60" t="str">
        <f aca="false">IF(AND(B525="",E525=""),"",IF(NOT(ISNUMBER(B525)),"⚠ ADD DATE / AGREGA FECHA",IF(E525="","⚠ ADD AMOUNT / AGREGA MONTO",IF(D525="","⚠ ADD CATEGORY / AGREGA CATEGORÍA",IF(K525=0,"● NEW CATEGORY? / ¿CATEGORÍA NUEVA?","✔ OK")))))</f>
        <v/>
      </c>
      <c r="K525" s="56" t="str">
        <f aca="false">IF(D525="","",IFERROR(MATCH(D525,Budget!$B$7:$B$41,0),0))</f>
        <v/>
      </c>
      <c r="L525" s="56" t="n">
        <f aca="false">IF(AND(ISNUMBER(B525),ISNUMBER(E525),D525&lt;&gt;""),YEAR(B525)*100+MONTH(B525),0)</f>
        <v>0</v>
      </c>
      <c r="M525" s="56" t="n">
        <f aca="false">IF(L525=0,0,YEAR(B525))</f>
        <v>0</v>
      </c>
      <c r="N525" s="56" t="str">
        <f aca="false">IF(L525=0,"",IF(K525=0,"Wants / Gustos",INDEX(Budget!$D$7:$D$41,K525)))</f>
        <v/>
      </c>
    </row>
    <row r="526" customFormat="false" ht="15" hidden="false" customHeight="false" outlineLevel="0" collapsed="false">
      <c r="B526" s="57"/>
      <c r="C526" s="58"/>
      <c r="D526" s="58"/>
      <c r="E526" s="59"/>
      <c r="F526" s="58"/>
      <c r="G526" s="58"/>
      <c r="H526" s="60" t="str">
        <f aca="false">IF(OR(E526="",D526=""),"",IF(K526=0,"Expense / Gasto",INDEX(Budget!$C$7:$C$41,K526)))</f>
        <v/>
      </c>
      <c r="I526" s="60" t="str">
        <f aca="false">IF(AND(B526="",E526=""),"",IF(NOT(ISNUMBER(B526)),"⚠ ADD DATE / AGREGA FECHA",IF(E526="","⚠ ADD AMOUNT / AGREGA MONTO",IF(D526="","⚠ ADD CATEGORY / AGREGA CATEGORÍA",IF(K526=0,"● NEW CATEGORY? / ¿CATEGORÍA NUEVA?","✔ OK")))))</f>
        <v/>
      </c>
      <c r="K526" s="56" t="str">
        <f aca="false">IF(D526="","",IFERROR(MATCH(D526,Budget!$B$7:$B$41,0),0))</f>
        <v/>
      </c>
      <c r="L526" s="56" t="n">
        <f aca="false">IF(AND(ISNUMBER(B526),ISNUMBER(E526),D526&lt;&gt;""),YEAR(B526)*100+MONTH(B526),0)</f>
        <v>0</v>
      </c>
      <c r="M526" s="56" t="n">
        <f aca="false">IF(L526=0,0,YEAR(B526))</f>
        <v>0</v>
      </c>
      <c r="N526" s="56" t="str">
        <f aca="false">IF(L526=0,"",IF(K526=0,"Wants / Gustos",INDEX(Budget!$D$7:$D$41,K526)))</f>
        <v/>
      </c>
    </row>
    <row r="527" customFormat="false" ht="15" hidden="false" customHeight="false" outlineLevel="0" collapsed="false">
      <c r="B527" s="57"/>
      <c r="C527" s="58"/>
      <c r="D527" s="58"/>
      <c r="E527" s="59"/>
      <c r="F527" s="58"/>
      <c r="G527" s="58"/>
      <c r="H527" s="60" t="str">
        <f aca="false">IF(OR(E527="",D527=""),"",IF(K527=0,"Expense / Gasto",INDEX(Budget!$C$7:$C$41,K527)))</f>
        <v/>
      </c>
      <c r="I527" s="60" t="str">
        <f aca="false">IF(AND(B527="",E527=""),"",IF(NOT(ISNUMBER(B527)),"⚠ ADD DATE / AGREGA FECHA",IF(E527="","⚠ ADD AMOUNT / AGREGA MONTO",IF(D527="","⚠ ADD CATEGORY / AGREGA CATEGORÍA",IF(K527=0,"● NEW CATEGORY? / ¿CATEGORÍA NUEVA?","✔ OK")))))</f>
        <v/>
      </c>
      <c r="K527" s="56" t="str">
        <f aca="false">IF(D527="","",IFERROR(MATCH(D527,Budget!$B$7:$B$41,0),0))</f>
        <v/>
      </c>
      <c r="L527" s="56" t="n">
        <f aca="false">IF(AND(ISNUMBER(B527),ISNUMBER(E527),D527&lt;&gt;""),YEAR(B527)*100+MONTH(B527),0)</f>
        <v>0</v>
      </c>
      <c r="M527" s="56" t="n">
        <f aca="false">IF(L527=0,0,YEAR(B527))</f>
        <v>0</v>
      </c>
      <c r="N527" s="56" t="str">
        <f aca="false">IF(L527=0,"",IF(K527=0,"Wants / Gustos",INDEX(Budget!$D$7:$D$41,K527)))</f>
        <v/>
      </c>
    </row>
    <row r="528" customFormat="false" ht="15" hidden="false" customHeight="false" outlineLevel="0" collapsed="false">
      <c r="B528" s="57"/>
      <c r="C528" s="58"/>
      <c r="D528" s="58"/>
      <c r="E528" s="59"/>
      <c r="F528" s="58"/>
      <c r="G528" s="58"/>
      <c r="H528" s="60" t="str">
        <f aca="false">IF(OR(E528="",D528=""),"",IF(K528=0,"Expense / Gasto",INDEX(Budget!$C$7:$C$41,K528)))</f>
        <v/>
      </c>
      <c r="I528" s="60" t="str">
        <f aca="false">IF(AND(B528="",E528=""),"",IF(NOT(ISNUMBER(B528)),"⚠ ADD DATE / AGREGA FECHA",IF(E528="","⚠ ADD AMOUNT / AGREGA MONTO",IF(D528="","⚠ ADD CATEGORY / AGREGA CATEGORÍA",IF(K528=0,"● NEW CATEGORY? / ¿CATEGORÍA NUEVA?","✔ OK")))))</f>
        <v/>
      </c>
      <c r="K528" s="56" t="str">
        <f aca="false">IF(D528="","",IFERROR(MATCH(D528,Budget!$B$7:$B$41,0),0))</f>
        <v/>
      </c>
      <c r="L528" s="56" t="n">
        <f aca="false">IF(AND(ISNUMBER(B528),ISNUMBER(E528),D528&lt;&gt;""),YEAR(B528)*100+MONTH(B528),0)</f>
        <v>0</v>
      </c>
      <c r="M528" s="56" t="n">
        <f aca="false">IF(L528=0,0,YEAR(B528))</f>
        <v>0</v>
      </c>
      <c r="N528" s="56" t="str">
        <f aca="false">IF(L528=0,"",IF(K528=0,"Wants / Gustos",INDEX(Budget!$D$7:$D$41,K528)))</f>
        <v/>
      </c>
    </row>
    <row r="529" customFormat="false" ht="15" hidden="false" customHeight="false" outlineLevel="0" collapsed="false">
      <c r="B529" s="57"/>
      <c r="C529" s="58"/>
      <c r="D529" s="58"/>
      <c r="E529" s="59"/>
      <c r="F529" s="58"/>
      <c r="G529" s="58"/>
      <c r="H529" s="60" t="str">
        <f aca="false">IF(OR(E529="",D529=""),"",IF(K529=0,"Expense / Gasto",INDEX(Budget!$C$7:$C$41,K529)))</f>
        <v/>
      </c>
      <c r="I529" s="60" t="str">
        <f aca="false">IF(AND(B529="",E529=""),"",IF(NOT(ISNUMBER(B529)),"⚠ ADD DATE / AGREGA FECHA",IF(E529="","⚠ ADD AMOUNT / AGREGA MONTO",IF(D529="","⚠ ADD CATEGORY / AGREGA CATEGORÍA",IF(K529=0,"● NEW CATEGORY? / ¿CATEGORÍA NUEVA?","✔ OK")))))</f>
        <v/>
      </c>
      <c r="K529" s="56" t="str">
        <f aca="false">IF(D529="","",IFERROR(MATCH(D529,Budget!$B$7:$B$41,0),0))</f>
        <v/>
      </c>
      <c r="L529" s="56" t="n">
        <f aca="false">IF(AND(ISNUMBER(B529),ISNUMBER(E529),D529&lt;&gt;""),YEAR(B529)*100+MONTH(B529),0)</f>
        <v>0</v>
      </c>
      <c r="M529" s="56" t="n">
        <f aca="false">IF(L529=0,0,YEAR(B529))</f>
        <v>0</v>
      </c>
      <c r="N529" s="56" t="str">
        <f aca="false">IF(L529=0,"",IF(K529=0,"Wants / Gustos",INDEX(Budget!$D$7:$D$41,K529)))</f>
        <v/>
      </c>
    </row>
    <row r="530" customFormat="false" ht="15" hidden="false" customHeight="false" outlineLevel="0" collapsed="false">
      <c r="B530" s="57"/>
      <c r="C530" s="58"/>
      <c r="D530" s="58"/>
      <c r="E530" s="59"/>
      <c r="F530" s="58"/>
      <c r="G530" s="58"/>
      <c r="H530" s="60" t="str">
        <f aca="false">IF(OR(E530="",D530=""),"",IF(K530=0,"Expense / Gasto",INDEX(Budget!$C$7:$C$41,K530)))</f>
        <v/>
      </c>
      <c r="I530" s="60" t="str">
        <f aca="false">IF(AND(B530="",E530=""),"",IF(NOT(ISNUMBER(B530)),"⚠ ADD DATE / AGREGA FECHA",IF(E530="","⚠ ADD AMOUNT / AGREGA MONTO",IF(D530="","⚠ ADD CATEGORY / AGREGA CATEGORÍA",IF(K530=0,"● NEW CATEGORY? / ¿CATEGORÍA NUEVA?","✔ OK")))))</f>
        <v/>
      </c>
      <c r="K530" s="56" t="str">
        <f aca="false">IF(D530="","",IFERROR(MATCH(D530,Budget!$B$7:$B$41,0),0))</f>
        <v/>
      </c>
      <c r="L530" s="56" t="n">
        <f aca="false">IF(AND(ISNUMBER(B530),ISNUMBER(E530),D530&lt;&gt;""),YEAR(B530)*100+MONTH(B530),0)</f>
        <v>0</v>
      </c>
      <c r="M530" s="56" t="n">
        <f aca="false">IF(L530=0,0,YEAR(B530))</f>
        <v>0</v>
      </c>
      <c r="N530" s="56" t="str">
        <f aca="false">IF(L530=0,"",IF(K530=0,"Wants / Gustos",INDEX(Budget!$D$7:$D$41,K530)))</f>
        <v/>
      </c>
    </row>
    <row r="531" customFormat="false" ht="15" hidden="false" customHeight="false" outlineLevel="0" collapsed="false">
      <c r="B531" s="57"/>
      <c r="C531" s="58"/>
      <c r="D531" s="58"/>
      <c r="E531" s="59"/>
      <c r="F531" s="58"/>
      <c r="G531" s="58"/>
      <c r="H531" s="60" t="str">
        <f aca="false">IF(OR(E531="",D531=""),"",IF(K531=0,"Expense / Gasto",INDEX(Budget!$C$7:$C$41,K531)))</f>
        <v/>
      </c>
      <c r="I531" s="60" t="str">
        <f aca="false">IF(AND(B531="",E531=""),"",IF(NOT(ISNUMBER(B531)),"⚠ ADD DATE / AGREGA FECHA",IF(E531="","⚠ ADD AMOUNT / AGREGA MONTO",IF(D531="","⚠ ADD CATEGORY / AGREGA CATEGORÍA",IF(K531=0,"● NEW CATEGORY? / ¿CATEGORÍA NUEVA?","✔ OK")))))</f>
        <v/>
      </c>
      <c r="K531" s="56" t="str">
        <f aca="false">IF(D531="","",IFERROR(MATCH(D531,Budget!$B$7:$B$41,0),0))</f>
        <v/>
      </c>
      <c r="L531" s="56" t="n">
        <f aca="false">IF(AND(ISNUMBER(B531),ISNUMBER(E531),D531&lt;&gt;""),YEAR(B531)*100+MONTH(B531),0)</f>
        <v>0</v>
      </c>
      <c r="M531" s="56" t="n">
        <f aca="false">IF(L531=0,0,YEAR(B531))</f>
        <v>0</v>
      </c>
      <c r="N531" s="56" t="str">
        <f aca="false">IF(L531=0,"",IF(K531=0,"Wants / Gustos",INDEX(Budget!$D$7:$D$41,K531)))</f>
        <v/>
      </c>
    </row>
    <row r="532" customFormat="false" ht="15" hidden="false" customHeight="false" outlineLevel="0" collapsed="false">
      <c r="B532" s="57"/>
      <c r="C532" s="58"/>
      <c r="D532" s="58"/>
      <c r="E532" s="59"/>
      <c r="F532" s="58"/>
      <c r="G532" s="58"/>
      <c r="H532" s="60" t="str">
        <f aca="false">IF(OR(E532="",D532=""),"",IF(K532=0,"Expense / Gasto",INDEX(Budget!$C$7:$C$41,K532)))</f>
        <v/>
      </c>
      <c r="I532" s="60" t="str">
        <f aca="false">IF(AND(B532="",E532=""),"",IF(NOT(ISNUMBER(B532)),"⚠ ADD DATE / AGREGA FECHA",IF(E532="","⚠ ADD AMOUNT / AGREGA MONTO",IF(D532="","⚠ ADD CATEGORY / AGREGA CATEGORÍA",IF(K532=0,"● NEW CATEGORY? / ¿CATEGORÍA NUEVA?","✔ OK")))))</f>
        <v/>
      </c>
      <c r="K532" s="56" t="str">
        <f aca="false">IF(D532="","",IFERROR(MATCH(D532,Budget!$B$7:$B$41,0),0))</f>
        <v/>
      </c>
      <c r="L532" s="56" t="n">
        <f aca="false">IF(AND(ISNUMBER(B532),ISNUMBER(E532),D532&lt;&gt;""),YEAR(B532)*100+MONTH(B532),0)</f>
        <v>0</v>
      </c>
      <c r="M532" s="56" t="n">
        <f aca="false">IF(L532=0,0,YEAR(B532))</f>
        <v>0</v>
      </c>
      <c r="N532" s="56" t="str">
        <f aca="false">IF(L532=0,"",IF(K532=0,"Wants / Gustos",INDEX(Budget!$D$7:$D$41,K532)))</f>
        <v/>
      </c>
    </row>
    <row r="533" customFormat="false" ht="15" hidden="false" customHeight="false" outlineLevel="0" collapsed="false">
      <c r="B533" s="57"/>
      <c r="C533" s="58"/>
      <c r="D533" s="58"/>
      <c r="E533" s="59"/>
      <c r="F533" s="58"/>
      <c r="G533" s="58"/>
      <c r="H533" s="60" t="str">
        <f aca="false">IF(OR(E533="",D533=""),"",IF(K533=0,"Expense / Gasto",INDEX(Budget!$C$7:$C$41,K533)))</f>
        <v/>
      </c>
      <c r="I533" s="60" t="str">
        <f aca="false">IF(AND(B533="",E533=""),"",IF(NOT(ISNUMBER(B533)),"⚠ ADD DATE / AGREGA FECHA",IF(E533="","⚠ ADD AMOUNT / AGREGA MONTO",IF(D533="","⚠ ADD CATEGORY / AGREGA CATEGORÍA",IF(K533=0,"● NEW CATEGORY? / ¿CATEGORÍA NUEVA?","✔ OK")))))</f>
        <v/>
      </c>
      <c r="K533" s="56" t="str">
        <f aca="false">IF(D533="","",IFERROR(MATCH(D533,Budget!$B$7:$B$41,0),0))</f>
        <v/>
      </c>
      <c r="L533" s="56" t="n">
        <f aca="false">IF(AND(ISNUMBER(B533),ISNUMBER(E533),D533&lt;&gt;""),YEAR(B533)*100+MONTH(B533),0)</f>
        <v>0</v>
      </c>
      <c r="M533" s="56" t="n">
        <f aca="false">IF(L533=0,0,YEAR(B533))</f>
        <v>0</v>
      </c>
      <c r="N533" s="56" t="str">
        <f aca="false">IF(L533=0,"",IF(K533=0,"Wants / Gustos",INDEX(Budget!$D$7:$D$41,K533)))</f>
        <v/>
      </c>
    </row>
    <row r="534" customFormat="false" ht="15" hidden="false" customHeight="false" outlineLevel="0" collapsed="false">
      <c r="B534" s="57"/>
      <c r="C534" s="58"/>
      <c r="D534" s="58"/>
      <c r="E534" s="59"/>
      <c r="F534" s="58"/>
      <c r="G534" s="58"/>
      <c r="H534" s="60" t="str">
        <f aca="false">IF(OR(E534="",D534=""),"",IF(K534=0,"Expense / Gasto",INDEX(Budget!$C$7:$C$41,K534)))</f>
        <v/>
      </c>
      <c r="I534" s="60" t="str">
        <f aca="false">IF(AND(B534="",E534=""),"",IF(NOT(ISNUMBER(B534)),"⚠ ADD DATE / AGREGA FECHA",IF(E534="","⚠ ADD AMOUNT / AGREGA MONTO",IF(D534="","⚠ ADD CATEGORY / AGREGA CATEGORÍA",IF(K534=0,"● NEW CATEGORY? / ¿CATEGORÍA NUEVA?","✔ OK")))))</f>
        <v/>
      </c>
      <c r="K534" s="56" t="str">
        <f aca="false">IF(D534="","",IFERROR(MATCH(D534,Budget!$B$7:$B$41,0),0))</f>
        <v/>
      </c>
      <c r="L534" s="56" t="n">
        <f aca="false">IF(AND(ISNUMBER(B534),ISNUMBER(E534),D534&lt;&gt;""),YEAR(B534)*100+MONTH(B534),0)</f>
        <v>0</v>
      </c>
      <c r="M534" s="56" t="n">
        <f aca="false">IF(L534=0,0,YEAR(B534))</f>
        <v>0</v>
      </c>
      <c r="N534" s="56" t="str">
        <f aca="false">IF(L534=0,"",IF(K534=0,"Wants / Gustos",INDEX(Budget!$D$7:$D$41,K534)))</f>
        <v/>
      </c>
    </row>
    <row r="535" customFormat="false" ht="15" hidden="false" customHeight="false" outlineLevel="0" collapsed="false">
      <c r="B535" s="57"/>
      <c r="C535" s="58"/>
      <c r="D535" s="58"/>
      <c r="E535" s="59"/>
      <c r="F535" s="58"/>
      <c r="G535" s="58"/>
      <c r="H535" s="60" t="str">
        <f aca="false">IF(OR(E535="",D535=""),"",IF(K535=0,"Expense / Gasto",INDEX(Budget!$C$7:$C$41,K535)))</f>
        <v/>
      </c>
      <c r="I535" s="60" t="str">
        <f aca="false">IF(AND(B535="",E535=""),"",IF(NOT(ISNUMBER(B535)),"⚠ ADD DATE / AGREGA FECHA",IF(E535="","⚠ ADD AMOUNT / AGREGA MONTO",IF(D535="","⚠ ADD CATEGORY / AGREGA CATEGORÍA",IF(K535=0,"● NEW CATEGORY? / ¿CATEGORÍA NUEVA?","✔ OK")))))</f>
        <v/>
      </c>
      <c r="K535" s="56" t="str">
        <f aca="false">IF(D535="","",IFERROR(MATCH(D535,Budget!$B$7:$B$41,0),0))</f>
        <v/>
      </c>
      <c r="L535" s="56" t="n">
        <f aca="false">IF(AND(ISNUMBER(B535),ISNUMBER(E535),D535&lt;&gt;""),YEAR(B535)*100+MONTH(B535),0)</f>
        <v>0</v>
      </c>
      <c r="M535" s="56" t="n">
        <f aca="false">IF(L535=0,0,YEAR(B535))</f>
        <v>0</v>
      </c>
      <c r="N535" s="56" t="str">
        <f aca="false">IF(L535=0,"",IF(K535=0,"Wants / Gustos",INDEX(Budget!$D$7:$D$41,K535)))</f>
        <v/>
      </c>
    </row>
    <row r="536" customFormat="false" ht="15" hidden="false" customHeight="false" outlineLevel="0" collapsed="false">
      <c r="B536" s="57"/>
      <c r="C536" s="58"/>
      <c r="D536" s="58"/>
      <c r="E536" s="59"/>
      <c r="F536" s="58"/>
      <c r="G536" s="58"/>
      <c r="H536" s="60" t="str">
        <f aca="false">IF(OR(E536="",D536=""),"",IF(K536=0,"Expense / Gasto",INDEX(Budget!$C$7:$C$41,K536)))</f>
        <v/>
      </c>
      <c r="I536" s="60" t="str">
        <f aca="false">IF(AND(B536="",E536=""),"",IF(NOT(ISNUMBER(B536)),"⚠ ADD DATE / AGREGA FECHA",IF(E536="","⚠ ADD AMOUNT / AGREGA MONTO",IF(D536="","⚠ ADD CATEGORY / AGREGA CATEGORÍA",IF(K536=0,"● NEW CATEGORY? / ¿CATEGORÍA NUEVA?","✔ OK")))))</f>
        <v/>
      </c>
      <c r="K536" s="56" t="str">
        <f aca="false">IF(D536="","",IFERROR(MATCH(D536,Budget!$B$7:$B$41,0),0))</f>
        <v/>
      </c>
      <c r="L536" s="56" t="n">
        <f aca="false">IF(AND(ISNUMBER(B536),ISNUMBER(E536),D536&lt;&gt;""),YEAR(B536)*100+MONTH(B536),0)</f>
        <v>0</v>
      </c>
      <c r="M536" s="56" t="n">
        <f aca="false">IF(L536=0,0,YEAR(B536))</f>
        <v>0</v>
      </c>
      <c r="N536" s="56" t="str">
        <f aca="false">IF(L536=0,"",IF(K536=0,"Wants / Gustos",INDEX(Budget!$D$7:$D$41,K536)))</f>
        <v/>
      </c>
    </row>
    <row r="537" customFormat="false" ht="15" hidden="false" customHeight="false" outlineLevel="0" collapsed="false">
      <c r="B537" s="57"/>
      <c r="C537" s="58"/>
      <c r="D537" s="58"/>
      <c r="E537" s="59"/>
      <c r="F537" s="58"/>
      <c r="G537" s="58"/>
      <c r="H537" s="60" t="str">
        <f aca="false">IF(OR(E537="",D537=""),"",IF(K537=0,"Expense / Gasto",INDEX(Budget!$C$7:$C$41,K537)))</f>
        <v/>
      </c>
      <c r="I537" s="60" t="str">
        <f aca="false">IF(AND(B537="",E537=""),"",IF(NOT(ISNUMBER(B537)),"⚠ ADD DATE / AGREGA FECHA",IF(E537="","⚠ ADD AMOUNT / AGREGA MONTO",IF(D537="","⚠ ADD CATEGORY / AGREGA CATEGORÍA",IF(K537=0,"● NEW CATEGORY? / ¿CATEGORÍA NUEVA?","✔ OK")))))</f>
        <v/>
      </c>
      <c r="K537" s="56" t="str">
        <f aca="false">IF(D537="","",IFERROR(MATCH(D537,Budget!$B$7:$B$41,0),0))</f>
        <v/>
      </c>
      <c r="L537" s="56" t="n">
        <f aca="false">IF(AND(ISNUMBER(B537),ISNUMBER(E537),D537&lt;&gt;""),YEAR(B537)*100+MONTH(B537),0)</f>
        <v>0</v>
      </c>
      <c r="M537" s="56" t="n">
        <f aca="false">IF(L537=0,0,YEAR(B537))</f>
        <v>0</v>
      </c>
      <c r="N537" s="56" t="str">
        <f aca="false">IF(L537=0,"",IF(K537=0,"Wants / Gustos",INDEX(Budget!$D$7:$D$41,K537)))</f>
        <v/>
      </c>
    </row>
    <row r="538" customFormat="false" ht="15" hidden="false" customHeight="false" outlineLevel="0" collapsed="false">
      <c r="B538" s="57"/>
      <c r="C538" s="58"/>
      <c r="D538" s="58"/>
      <c r="E538" s="59"/>
      <c r="F538" s="58"/>
      <c r="G538" s="58"/>
      <c r="H538" s="60" t="str">
        <f aca="false">IF(OR(E538="",D538=""),"",IF(K538=0,"Expense / Gasto",INDEX(Budget!$C$7:$C$41,K538)))</f>
        <v/>
      </c>
      <c r="I538" s="60" t="str">
        <f aca="false">IF(AND(B538="",E538=""),"",IF(NOT(ISNUMBER(B538)),"⚠ ADD DATE / AGREGA FECHA",IF(E538="","⚠ ADD AMOUNT / AGREGA MONTO",IF(D538="","⚠ ADD CATEGORY / AGREGA CATEGORÍA",IF(K538=0,"● NEW CATEGORY? / ¿CATEGORÍA NUEVA?","✔ OK")))))</f>
        <v/>
      </c>
      <c r="K538" s="56" t="str">
        <f aca="false">IF(D538="","",IFERROR(MATCH(D538,Budget!$B$7:$B$41,0),0))</f>
        <v/>
      </c>
      <c r="L538" s="56" t="n">
        <f aca="false">IF(AND(ISNUMBER(B538),ISNUMBER(E538),D538&lt;&gt;""),YEAR(B538)*100+MONTH(B538),0)</f>
        <v>0</v>
      </c>
      <c r="M538" s="56" t="n">
        <f aca="false">IF(L538=0,0,YEAR(B538))</f>
        <v>0</v>
      </c>
      <c r="N538" s="56" t="str">
        <f aca="false">IF(L538=0,"",IF(K538=0,"Wants / Gustos",INDEX(Budget!$D$7:$D$41,K538)))</f>
        <v/>
      </c>
    </row>
    <row r="539" customFormat="false" ht="15" hidden="false" customHeight="false" outlineLevel="0" collapsed="false">
      <c r="B539" s="57"/>
      <c r="C539" s="58"/>
      <c r="D539" s="58"/>
      <c r="E539" s="59"/>
      <c r="F539" s="58"/>
      <c r="G539" s="58"/>
      <c r="H539" s="60" t="str">
        <f aca="false">IF(OR(E539="",D539=""),"",IF(K539=0,"Expense / Gasto",INDEX(Budget!$C$7:$C$41,K539)))</f>
        <v/>
      </c>
      <c r="I539" s="60" t="str">
        <f aca="false">IF(AND(B539="",E539=""),"",IF(NOT(ISNUMBER(B539)),"⚠ ADD DATE / AGREGA FECHA",IF(E539="","⚠ ADD AMOUNT / AGREGA MONTO",IF(D539="","⚠ ADD CATEGORY / AGREGA CATEGORÍA",IF(K539=0,"● NEW CATEGORY? / ¿CATEGORÍA NUEVA?","✔ OK")))))</f>
        <v/>
      </c>
      <c r="K539" s="56" t="str">
        <f aca="false">IF(D539="","",IFERROR(MATCH(D539,Budget!$B$7:$B$41,0),0))</f>
        <v/>
      </c>
      <c r="L539" s="56" t="n">
        <f aca="false">IF(AND(ISNUMBER(B539),ISNUMBER(E539),D539&lt;&gt;""),YEAR(B539)*100+MONTH(B539),0)</f>
        <v>0</v>
      </c>
      <c r="M539" s="56" t="n">
        <f aca="false">IF(L539=0,0,YEAR(B539))</f>
        <v>0</v>
      </c>
      <c r="N539" s="56" t="str">
        <f aca="false">IF(L539=0,"",IF(K539=0,"Wants / Gustos",INDEX(Budget!$D$7:$D$41,K539)))</f>
        <v/>
      </c>
    </row>
    <row r="540" customFormat="false" ht="15" hidden="false" customHeight="false" outlineLevel="0" collapsed="false">
      <c r="B540" s="57"/>
      <c r="C540" s="58"/>
      <c r="D540" s="58"/>
      <c r="E540" s="59"/>
      <c r="F540" s="58"/>
      <c r="G540" s="58"/>
      <c r="H540" s="60" t="str">
        <f aca="false">IF(OR(E540="",D540=""),"",IF(K540=0,"Expense / Gasto",INDEX(Budget!$C$7:$C$41,K540)))</f>
        <v/>
      </c>
      <c r="I540" s="60" t="str">
        <f aca="false">IF(AND(B540="",E540=""),"",IF(NOT(ISNUMBER(B540)),"⚠ ADD DATE / AGREGA FECHA",IF(E540="","⚠ ADD AMOUNT / AGREGA MONTO",IF(D540="","⚠ ADD CATEGORY / AGREGA CATEGORÍA",IF(K540=0,"● NEW CATEGORY? / ¿CATEGORÍA NUEVA?","✔ OK")))))</f>
        <v/>
      </c>
      <c r="K540" s="56" t="str">
        <f aca="false">IF(D540="","",IFERROR(MATCH(D540,Budget!$B$7:$B$41,0),0))</f>
        <v/>
      </c>
      <c r="L540" s="56" t="n">
        <f aca="false">IF(AND(ISNUMBER(B540),ISNUMBER(E540),D540&lt;&gt;""),YEAR(B540)*100+MONTH(B540),0)</f>
        <v>0</v>
      </c>
      <c r="M540" s="56" t="n">
        <f aca="false">IF(L540=0,0,YEAR(B540))</f>
        <v>0</v>
      </c>
      <c r="N540" s="56" t="str">
        <f aca="false">IF(L540=0,"",IF(K540=0,"Wants / Gustos",INDEX(Budget!$D$7:$D$41,K540)))</f>
        <v/>
      </c>
    </row>
    <row r="541" customFormat="false" ht="15" hidden="false" customHeight="false" outlineLevel="0" collapsed="false">
      <c r="B541" s="57"/>
      <c r="C541" s="58"/>
      <c r="D541" s="58"/>
      <c r="E541" s="59"/>
      <c r="F541" s="58"/>
      <c r="G541" s="58"/>
      <c r="H541" s="60" t="str">
        <f aca="false">IF(OR(E541="",D541=""),"",IF(K541=0,"Expense / Gasto",INDEX(Budget!$C$7:$C$41,K541)))</f>
        <v/>
      </c>
      <c r="I541" s="60" t="str">
        <f aca="false">IF(AND(B541="",E541=""),"",IF(NOT(ISNUMBER(B541)),"⚠ ADD DATE / AGREGA FECHA",IF(E541="","⚠ ADD AMOUNT / AGREGA MONTO",IF(D541="","⚠ ADD CATEGORY / AGREGA CATEGORÍA",IF(K541=0,"● NEW CATEGORY? / ¿CATEGORÍA NUEVA?","✔ OK")))))</f>
        <v/>
      </c>
      <c r="K541" s="56" t="str">
        <f aca="false">IF(D541="","",IFERROR(MATCH(D541,Budget!$B$7:$B$41,0),0))</f>
        <v/>
      </c>
      <c r="L541" s="56" t="n">
        <f aca="false">IF(AND(ISNUMBER(B541),ISNUMBER(E541),D541&lt;&gt;""),YEAR(B541)*100+MONTH(B541),0)</f>
        <v>0</v>
      </c>
      <c r="M541" s="56" t="n">
        <f aca="false">IF(L541=0,0,YEAR(B541))</f>
        <v>0</v>
      </c>
      <c r="N541" s="56" t="str">
        <f aca="false">IF(L541=0,"",IF(K541=0,"Wants / Gustos",INDEX(Budget!$D$7:$D$41,K541)))</f>
        <v/>
      </c>
    </row>
    <row r="542" customFormat="false" ht="15" hidden="false" customHeight="false" outlineLevel="0" collapsed="false">
      <c r="B542" s="57"/>
      <c r="C542" s="58"/>
      <c r="D542" s="58"/>
      <c r="E542" s="59"/>
      <c r="F542" s="58"/>
      <c r="G542" s="58"/>
      <c r="H542" s="60" t="str">
        <f aca="false">IF(OR(E542="",D542=""),"",IF(K542=0,"Expense / Gasto",INDEX(Budget!$C$7:$C$41,K542)))</f>
        <v/>
      </c>
      <c r="I542" s="60" t="str">
        <f aca="false">IF(AND(B542="",E542=""),"",IF(NOT(ISNUMBER(B542)),"⚠ ADD DATE / AGREGA FECHA",IF(E542="","⚠ ADD AMOUNT / AGREGA MONTO",IF(D542="","⚠ ADD CATEGORY / AGREGA CATEGORÍA",IF(K542=0,"● NEW CATEGORY? / ¿CATEGORÍA NUEVA?","✔ OK")))))</f>
        <v/>
      </c>
      <c r="K542" s="56" t="str">
        <f aca="false">IF(D542="","",IFERROR(MATCH(D542,Budget!$B$7:$B$41,0),0))</f>
        <v/>
      </c>
      <c r="L542" s="56" t="n">
        <f aca="false">IF(AND(ISNUMBER(B542),ISNUMBER(E542),D542&lt;&gt;""),YEAR(B542)*100+MONTH(B542),0)</f>
        <v>0</v>
      </c>
      <c r="M542" s="56" t="n">
        <f aca="false">IF(L542=0,0,YEAR(B542))</f>
        <v>0</v>
      </c>
      <c r="N542" s="56" t="str">
        <f aca="false">IF(L542=0,"",IF(K542=0,"Wants / Gustos",INDEX(Budget!$D$7:$D$41,K542)))</f>
        <v/>
      </c>
    </row>
    <row r="543" customFormat="false" ht="15" hidden="false" customHeight="false" outlineLevel="0" collapsed="false">
      <c r="B543" s="57"/>
      <c r="C543" s="58"/>
      <c r="D543" s="58"/>
      <c r="E543" s="59"/>
      <c r="F543" s="58"/>
      <c r="G543" s="58"/>
      <c r="H543" s="60" t="str">
        <f aca="false">IF(OR(E543="",D543=""),"",IF(K543=0,"Expense / Gasto",INDEX(Budget!$C$7:$C$41,K543)))</f>
        <v/>
      </c>
      <c r="I543" s="60" t="str">
        <f aca="false">IF(AND(B543="",E543=""),"",IF(NOT(ISNUMBER(B543)),"⚠ ADD DATE / AGREGA FECHA",IF(E543="","⚠ ADD AMOUNT / AGREGA MONTO",IF(D543="","⚠ ADD CATEGORY / AGREGA CATEGORÍA",IF(K543=0,"● NEW CATEGORY? / ¿CATEGORÍA NUEVA?","✔ OK")))))</f>
        <v/>
      </c>
      <c r="K543" s="56" t="str">
        <f aca="false">IF(D543="","",IFERROR(MATCH(D543,Budget!$B$7:$B$41,0),0))</f>
        <v/>
      </c>
      <c r="L543" s="56" t="n">
        <f aca="false">IF(AND(ISNUMBER(B543),ISNUMBER(E543),D543&lt;&gt;""),YEAR(B543)*100+MONTH(B543),0)</f>
        <v>0</v>
      </c>
      <c r="M543" s="56" t="n">
        <f aca="false">IF(L543=0,0,YEAR(B543))</f>
        <v>0</v>
      </c>
      <c r="N543" s="56" t="str">
        <f aca="false">IF(L543=0,"",IF(K543=0,"Wants / Gustos",INDEX(Budget!$D$7:$D$41,K543)))</f>
        <v/>
      </c>
    </row>
    <row r="544" customFormat="false" ht="15" hidden="false" customHeight="false" outlineLevel="0" collapsed="false">
      <c r="B544" s="57"/>
      <c r="C544" s="58"/>
      <c r="D544" s="58"/>
      <c r="E544" s="59"/>
      <c r="F544" s="58"/>
      <c r="G544" s="58"/>
      <c r="H544" s="60" t="str">
        <f aca="false">IF(OR(E544="",D544=""),"",IF(K544=0,"Expense / Gasto",INDEX(Budget!$C$7:$C$41,K544)))</f>
        <v/>
      </c>
      <c r="I544" s="60" t="str">
        <f aca="false">IF(AND(B544="",E544=""),"",IF(NOT(ISNUMBER(B544)),"⚠ ADD DATE / AGREGA FECHA",IF(E544="","⚠ ADD AMOUNT / AGREGA MONTO",IF(D544="","⚠ ADD CATEGORY / AGREGA CATEGORÍA",IF(K544=0,"● NEW CATEGORY? / ¿CATEGORÍA NUEVA?","✔ OK")))))</f>
        <v/>
      </c>
      <c r="K544" s="56" t="str">
        <f aca="false">IF(D544="","",IFERROR(MATCH(D544,Budget!$B$7:$B$41,0),0))</f>
        <v/>
      </c>
      <c r="L544" s="56" t="n">
        <f aca="false">IF(AND(ISNUMBER(B544),ISNUMBER(E544),D544&lt;&gt;""),YEAR(B544)*100+MONTH(B544),0)</f>
        <v>0</v>
      </c>
      <c r="M544" s="56" t="n">
        <f aca="false">IF(L544=0,0,YEAR(B544))</f>
        <v>0</v>
      </c>
      <c r="N544" s="56" t="str">
        <f aca="false">IF(L544=0,"",IF(K544=0,"Wants / Gustos",INDEX(Budget!$D$7:$D$41,K544)))</f>
        <v/>
      </c>
    </row>
    <row r="545" customFormat="false" ht="15" hidden="false" customHeight="false" outlineLevel="0" collapsed="false">
      <c r="B545" s="57"/>
      <c r="C545" s="58"/>
      <c r="D545" s="58"/>
      <c r="E545" s="59"/>
      <c r="F545" s="58"/>
      <c r="G545" s="58"/>
      <c r="H545" s="60" t="str">
        <f aca="false">IF(OR(E545="",D545=""),"",IF(K545=0,"Expense / Gasto",INDEX(Budget!$C$7:$C$41,K545)))</f>
        <v/>
      </c>
      <c r="I545" s="60" t="str">
        <f aca="false">IF(AND(B545="",E545=""),"",IF(NOT(ISNUMBER(B545)),"⚠ ADD DATE / AGREGA FECHA",IF(E545="","⚠ ADD AMOUNT / AGREGA MONTO",IF(D545="","⚠ ADD CATEGORY / AGREGA CATEGORÍA",IF(K545=0,"● NEW CATEGORY? / ¿CATEGORÍA NUEVA?","✔ OK")))))</f>
        <v/>
      </c>
      <c r="K545" s="56" t="str">
        <f aca="false">IF(D545="","",IFERROR(MATCH(D545,Budget!$B$7:$B$41,0),0))</f>
        <v/>
      </c>
      <c r="L545" s="56" t="n">
        <f aca="false">IF(AND(ISNUMBER(B545),ISNUMBER(E545),D545&lt;&gt;""),YEAR(B545)*100+MONTH(B545),0)</f>
        <v>0</v>
      </c>
      <c r="M545" s="56" t="n">
        <f aca="false">IF(L545=0,0,YEAR(B545))</f>
        <v>0</v>
      </c>
      <c r="N545" s="56" t="str">
        <f aca="false">IF(L545=0,"",IF(K545=0,"Wants / Gustos",INDEX(Budget!$D$7:$D$41,K545)))</f>
        <v/>
      </c>
    </row>
    <row r="546" customFormat="false" ht="15" hidden="false" customHeight="false" outlineLevel="0" collapsed="false">
      <c r="B546" s="57"/>
      <c r="C546" s="58"/>
      <c r="D546" s="58"/>
      <c r="E546" s="59"/>
      <c r="F546" s="58"/>
      <c r="G546" s="58"/>
      <c r="H546" s="60" t="str">
        <f aca="false">IF(OR(E546="",D546=""),"",IF(K546=0,"Expense / Gasto",INDEX(Budget!$C$7:$C$41,K546)))</f>
        <v/>
      </c>
      <c r="I546" s="60" t="str">
        <f aca="false">IF(AND(B546="",E546=""),"",IF(NOT(ISNUMBER(B546)),"⚠ ADD DATE / AGREGA FECHA",IF(E546="","⚠ ADD AMOUNT / AGREGA MONTO",IF(D546="","⚠ ADD CATEGORY / AGREGA CATEGORÍA",IF(K546=0,"● NEW CATEGORY? / ¿CATEGORÍA NUEVA?","✔ OK")))))</f>
        <v/>
      </c>
      <c r="K546" s="56" t="str">
        <f aca="false">IF(D546="","",IFERROR(MATCH(D546,Budget!$B$7:$B$41,0),0))</f>
        <v/>
      </c>
      <c r="L546" s="56" t="n">
        <f aca="false">IF(AND(ISNUMBER(B546),ISNUMBER(E546),D546&lt;&gt;""),YEAR(B546)*100+MONTH(B546),0)</f>
        <v>0</v>
      </c>
      <c r="M546" s="56" t="n">
        <f aca="false">IF(L546=0,0,YEAR(B546))</f>
        <v>0</v>
      </c>
      <c r="N546" s="56" t="str">
        <f aca="false">IF(L546=0,"",IF(K546=0,"Wants / Gustos",INDEX(Budget!$D$7:$D$41,K546)))</f>
        <v/>
      </c>
    </row>
    <row r="547" customFormat="false" ht="15" hidden="false" customHeight="false" outlineLevel="0" collapsed="false">
      <c r="B547" s="57"/>
      <c r="C547" s="58"/>
      <c r="D547" s="58"/>
      <c r="E547" s="59"/>
      <c r="F547" s="58"/>
      <c r="G547" s="58"/>
      <c r="H547" s="60" t="str">
        <f aca="false">IF(OR(E547="",D547=""),"",IF(K547=0,"Expense / Gasto",INDEX(Budget!$C$7:$C$41,K547)))</f>
        <v/>
      </c>
      <c r="I547" s="60" t="str">
        <f aca="false">IF(AND(B547="",E547=""),"",IF(NOT(ISNUMBER(B547)),"⚠ ADD DATE / AGREGA FECHA",IF(E547="","⚠ ADD AMOUNT / AGREGA MONTO",IF(D547="","⚠ ADD CATEGORY / AGREGA CATEGORÍA",IF(K547=0,"● NEW CATEGORY? / ¿CATEGORÍA NUEVA?","✔ OK")))))</f>
        <v/>
      </c>
      <c r="K547" s="56" t="str">
        <f aca="false">IF(D547="","",IFERROR(MATCH(D547,Budget!$B$7:$B$41,0),0))</f>
        <v/>
      </c>
      <c r="L547" s="56" t="n">
        <f aca="false">IF(AND(ISNUMBER(B547),ISNUMBER(E547),D547&lt;&gt;""),YEAR(B547)*100+MONTH(B547),0)</f>
        <v>0</v>
      </c>
      <c r="M547" s="56" t="n">
        <f aca="false">IF(L547=0,0,YEAR(B547))</f>
        <v>0</v>
      </c>
      <c r="N547" s="56" t="str">
        <f aca="false">IF(L547=0,"",IF(K547=0,"Wants / Gustos",INDEX(Budget!$D$7:$D$41,K547)))</f>
        <v/>
      </c>
    </row>
    <row r="548" customFormat="false" ht="15" hidden="false" customHeight="false" outlineLevel="0" collapsed="false">
      <c r="B548" s="57"/>
      <c r="C548" s="58"/>
      <c r="D548" s="58"/>
      <c r="E548" s="59"/>
      <c r="F548" s="58"/>
      <c r="G548" s="58"/>
      <c r="H548" s="60" t="str">
        <f aca="false">IF(OR(E548="",D548=""),"",IF(K548=0,"Expense / Gasto",INDEX(Budget!$C$7:$C$41,K548)))</f>
        <v/>
      </c>
      <c r="I548" s="60" t="str">
        <f aca="false">IF(AND(B548="",E548=""),"",IF(NOT(ISNUMBER(B548)),"⚠ ADD DATE / AGREGA FECHA",IF(E548="","⚠ ADD AMOUNT / AGREGA MONTO",IF(D548="","⚠ ADD CATEGORY / AGREGA CATEGORÍA",IF(K548=0,"● NEW CATEGORY? / ¿CATEGORÍA NUEVA?","✔ OK")))))</f>
        <v/>
      </c>
      <c r="K548" s="56" t="str">
        <f aca="false">IF(D548="","",IFERROR(MATCH(D548,Budget!$B$7:$B$41,0),0))</f>
        <v/>
      </c>
      <c r="L548" s="56" t="n">
        <f aca="false">IF(AND(ISNUMBER(B548),ISNUMBER(E548),D548&lt;&gt;""),YEAR(B548)*100+MONTH(B548),0)</f>
        <v>0</v>
      </c>
      <c r="M548" s="56" t="n">
        <f aca="false">IF(L548=0,0,YEAR(B548))</f>
        <v>0</v>
      </c>
      <c r="N548" s="56" t="str">
        <f aca="false">IF(L548=0,"",IF(K548=0,"Wants / Gustos",INDEX(Budget!$D$7:$D$41,K548)))</f>
        <v/>
      </c>
    </row>
    <row r="549" customFormat="false" ht="15" hidden="false" customHeight="false" outlineLevel="0" collapsed="false">
      <c r="B549" s="57"/>
      <c r="C549" s="58"/>
      <c r="D549" s="58"/>
      <c r="E549" s="59"/>
      <c r="F549" s="58"/>
      <c r="G549" s="58"/>
      <c r="H549" s="60" t="str">
        <f aca="false">IF(OR(E549="",D549=""),"",IF(K549=0,"Expense / Gasto",INDEX(Budget!$C$7:$C$41,K549)))</f>
        <v/>
      </c>
      <c r="I549" s="60" t="str">
        <f aca="false">IF(AND(B549="",E549=""),"",IF(NOT(ISNUMBER(B549)),"⚠ ADD DATE / AGREGA FECHA",IF(E549="","⚠ ADD AMOUNT / AGREGA MONTO",IF(D549="","⚠ ADD CATEGORY / AGREGA CATEGORÍA",IF(K549=0,"● NEW CATEGORY? / ¿CATEGORÍA NUEVA?","✔ OK")))))</f>
        <v/>
      </c>
      <c r="K549" s="56" t="str">
        <f aca="false">IF(D549="","",IFERROR(MATCH(D549,Budget!$B$7:$B$41,0),0))</f>
        <v/>
      </c>
      <c r="L549" s="56" t="n">
        <f aca="false">IF(AND(ISNUMBER(B549),ISNUMBER(E549),D549&lt;&gt;""),YEAR(B549)*100+MONTH(B549),0)</f>
        <v>0</v>
      </c>
      <c r="M549" s="56" t="n">
        <f aca="false">IF(L549=0,0,YEAR(B549))</f>
        <v>0</v>
      </c>
      <c r="N549" s="56" t="str">
        <f aca="false">IF(L549=0,"",IF(K549=0,"Wants / Gustos",INDEX(Budget!$D$7:$D$41,K549)))</f>
        <v/>
      </c>
    </row>
    <row r="550" customFormat="false" ht="15" hidden="false" customHeight="false" outlineLevel="0" collapsed="false">
      <c r="B550" s="57"/>
      <c r="C550" s="58"/>
      <c r="D550" s="58"/>
      <c r="E550" s="59"/>
      <c r="F550" s="58"/>
      <c r="G550" s="58"/>
      <c r="H550" s="60" t="str">
        <f aca="false">IF(OR(E550="",D550=""),"",IF(K550=0,"Expense / Gasto",INDEX(Budget!$C$7:$C$41,K550)))</f>
        <v/>
      </c>
      <c r="I550" s="60" t="str">
        <f aca="false">IF(AND(B550="",E550=""),"",IF(NOT(ISNUMBER(B550)),"⚠ ADD DATE / AGREGA FECHA",IF(E550="","⚠ ADD AMOUNT / AGREGA MONTO",IF(D550="","⚠ ADD CATEGORY / AGREGA CATEGORÍA",IF(K550=0,"● NEW CATEGORY? / ¿CATEGORÍA NUEVA?","✔ OK")))))</f>
        <v/>
      </c>
      <c r="K550" s="56" t="str">
        <f aca="false">IF(D550="","",IFERROR(MATCH(D550,Budget!$B$7:$B$41,0),0))</f>
        <v/>
      </c>
      <c r="L550" s="56" t="n">
        <f aca="false">IF(AND(ISNUMBER(B550),ISNUMBER(E550),D550&lt;&gt;""),YEAR(B550)*100+MONTH(B550),0)</f>
        <v>0</v>
      </c>
      <c r="M550" s="56" t="n">
        <f aca="false">IF(L550=0,0,YEAR(B550))</f>
        <v>0</v>
      </c>
      <c r="N550" s="56" t="str">
        <f aca="false">IF(L550=0,"",IF(K550=0,"Wants / Gustos",INDEX(Budget!$D$7:$D$41,K550)))</f>
        <v/>
      </c>
    </row>
    <row r="551" customFormat="false" ht="15" hidden="false" customHeight="false" outlineLevel="0" collapsed="false">
      <c r="B551" s="57"/>
      <c r="C551" s="58"/>
      <c r="D551" s="58"/>
      <c r="E551" s="59"/>
      <c r="F551" s="58"/>
      <c r="G551" s="58"/>
      <c r="H551" s="60" t="str">
        <f aca="false">IF(OR(E551="",D551=""),"",IF(K551=0,"Expense / Gasto",INDEX(Budget!$C$7:$C$41,K551)))</f>
        <v/>
      </c>
      <c r="I551" s="60" t="str">
        <f aca="false">IF(AND(B551="",E551=""),"",IF(NOT(ISNUMBER(B551)),"⚠ ADD DATE / AGREGA FECHA",IF(E551="","⚠ ADD AMOUNT / AGREGA MONTO",IF(D551="","⚠ ADD CATEGORY / AGREGA CATEGORÍA",IF(K551=0,"● NEW CATEGORY? / ¿CATEGORÍA NUEVA?","✔ OK")))))</f>
        <v/>
      </c>
      <c r="K551" s="56" t="str">
        <f aca="false">IF(D551="","",IFERROR(MATCH(D551,Budget!$B$7:$B$41,0),0))</f>
        <v/>
      </c>
      <c r="L551" s="56" t="n">
        <f aca="false">IF(AND(ISNUMBER(B551),ISNUMBER(E551),D551&lt;&gt;""),YEAR(B551)*100+MONTH(B551),0)</f>
        <v>0</v>
      </c>
      <c r="M551" s="56" t="n">
        <f aca="false">IF(L551=0,0,YEAR(B551))</f>
        <v>0</v>
      </c>
      <c r="N551" s="56" t="str">
        <f aca="false">IF(L551=0,"",IF(K551=0,"Wants / Gustos",INDEX(Budget!$D$7:$D$41,K551)))</f>
        <v/>
      </c>
    </row>
    <row r="552" customFormat="false" ht="15" hidden="false" customHeight="false" outlineLevel="0" collapsed="false">
      <c r="B552" s="57"/>
      <c r="C552" s="58"/>
      <c r="D552" s="58"/>
      <c r="E552" s="59"/>
      <c r="F552" s="58"/>
      <c r="G552" s="58"/>
      <c r="H552" s="60" t="str">
        <f aca="false">IF(OR(E552="",D552=""),"",IF(K552=0,"Expense / Gasto",INDEX(Budget!$C$7:$C$41,K552)))</f>
        <v/>
      </c>
      <c r="I552" s="60" t="str">
        <f aca="false">IF(AND(B552="",E552=""),"",IF(NOT(ISNUMBER(B552)),"⚠ ADD DATE / AGREGA FECHA",IF(E552="","⚠ ADD AMOUNT / AGREGA MONTO",IF(D552="","⚠ ADD CATEGORY / AGREGA CATEGORÍA",IF(K552=0,"● NEW CATEGORY? / ¿CATEGORÍA NUEVA?","✔ OK")))))</f>
        <v/>
      </c>
      <c r="K552" s="56" t="str">
        <f aca="false">IF(D552="","",IFERROR(MATCH(D552,Budget!$B$7:$B$41,0),0))</f>
        <v/>
      </c>
      <c r="L552" s="56" t="n">
        <f aca="false">IF(AND(ISNUMBER(B552),ISNUMBER(E552),D552&lt;&gt;""),YEAR(B552)*100+MONTH(B552),0)</f>
        <v>0</v>
      </c>
      <c r="M552" s="56" t="n">
        <f aca="false">IF(L552=0,0,YEAR(B552))</f>
        <v>0</v>
      </c>
      <c r="N552" s="56" t="str">
        <f aca="false">IF(L552=0,"",IF(K552=0,"Wants / Gustos",INDEX(Budget!$D$7:$D$41,K552)))</f>
        <v/>
      </c>
    </row>
    <row r="553" customFormat="false" ht="15" hidden="false" customHeight="false" outlineLevel="0" collapsed="false">
      <c r="B553" s="57"/>
      <c r="C553" s="58"/>
      <c r="D553" s="58"/>
      <c r="E553" s="59"/>
      <c r="F553" s="58"/>
      <c r="G553" s="58"/>
      <c r="H553" s="60" t="str">
        <f aca="false">IF(OR(E553="",D553=""),"",IF(K553=0,"Expense / Gasto",INDEX(Budget!$C$7:$C$41,K553)))</f>
        <v/>
      </c>
      <c r="I553" s="60" t="str">
        <f aca="false">IF(AND(B553="",E553=""),"",IF(NOT(ISNUMBER(B553)),"⚠ ADD DATE / AGREGA FECHA",IF(E553="","⚠ ADD AMOUNT / AGREGA MONTO",IF(D553="","⚠ ADD CATEGORY / AGREGA CATEGORÍA",IF(K553=0,"● NEW CATEGORY? / ¿CATEGORÍA NUEVA?","✔ OK")))))</f>
        <v/>
      </c>
      <c r="K553" s="56" t="str">
        <f aca="false">IF(D553="","",IFERROR(MATCH(D553,Budget!$B$7:$B$41,0),0))</f>
        <v/>
      </c>
      <c r="L553" s="56" t="n">
        <f aca="false">IF(AND(ISNUMBER(B553),ISNUMBER(E553),D553&lt;&gt;""),YEAR(B553)*100+MONTH(B553),0)</f>
        <v>0</v>
      </c>
      <c r="M553" s="56" t="n">
        <f aca="false">IF(L553=0,0,YEAR(B553))</f>
        <v>0</v>
      </c>
      <c r="N553" s="56" t="str">
        <f aca="false">IF(L553=0,"",IF(K553=0,"Wants / Gustos",INDEX(Budget!$D$7:$D$41,K553)))</f>
        <v/>
      </c>
    </row>
    <row r="554" customFormat="false" ht="15" hidden="false" customHeight="false" outlineLevel="0" collapsed="false">
      <c r="B554" s="57"/>
      <c r="C554" s="58"/>
      <c r="D554" s="58"/>
      <c r="E554" s="59"/>
      <c r="F554" s="58"/>
      <c r="G554" s="58"/>
      <c r="H554" s="60" t="str">
        <f aca="false">IF(OR(E554="",D554=""),"",IF(K554=0,"Expense / Gasto",INDEX(Budget!$C$7:$C$41,K554)))</f>
        <v/>
      </c>
      <c r="I554" s="60" t="str">
        <f aca="false">IF(AND(B554="",E554=""),"",IF(NOT(ISNUMBER(B554)),"⚠ ADD DATE / AGREGA FECHA",IF(E554="","⚠ ADD AMOUNT / AGREGA MONTO",IF(D554="","⚠ ADD CATEGORY / AGREGA CATEGORÍA",IF(K554=0,"● NEW CATEGORY? / ¿CATEGORÍA NUEVA?","✔ OK")))))</f>
        <v/>
      </c>
      <c r="K554" s="56" t="str">
        <f aca="false">IF(D554="","",IFERROR(MATCH(D554,Budget!$B$7:$B$41,0),0))</f>
        <v/>
      </c>
      <c r="L554" s="56" t="n">
        <f aca="false">IF(AND(ISNUMBER(B554),ISNUMBER(E554),D554&lt;&gt;""),YEAR(B554)*100+MONTH(B554),0)</f>
        <v>0</v>
      </c>
      <c r="M554" s="56" t="n">
        <f aca="false">IF(L554=0,0,YEAR(B554))</f>
        <v>0</v>
      </c>
      <c r="N554" s="56" t="str">
        <f aca="false">IF(L554=0,"",IF(K554=0,"Wants / Gustos",INDEX(Budget!$D$7:$D$41,K554)))</f>
        <v/>
      </c>
    </row>
    <row r="555" customFormat="false" ht="15" hidden="false" customHeight="false" outlineLevel="0" collapsed="false">
      <c r="B555" s="57"/>
      <c r="C555" s="58"/>
      <c r="D555" s="58"/>
      <c r="E555" s="59"/>
      <c r="F555" s="58"/>
      <c r="G555" s="58"/>
      <c r="H555" s="60" t="str">
        <f aca="false">IF(OR(E555="",D555=""),"",IF(K555=0,"Expense / Gasto",INDEX(Budget!$C$7:$C$41,K555)))</f>
        <v/>
      </c>
      <c r="I555" s="60" t="str">
        <f aca="false">IF(AND(B555="",E555=""),"",IF(NOT(ISNUMBER(B555)),"⚠ ADD DATE / AGREGA FECHA",IF(E555="","⚠ ADD AMOUNT / AGREGA MONTO",IF(D555="","⚠ ADD CATEGORY / AGREGA CATEGORÍA",IF(K555=0,"● NEW CATEGORY? / ¿CATEGORÍA NUEVA?","✔ OK")))))</f>
        <v/>
      </c>
      <c r="K555" s="56" t="str">
        <f aca="false">IF(D555="","",IFERROR(MATCH(D555,Budget!$B$7:$B$41,0),0))</f>
        <v/>
      </c>
      <c r="L555" s="56" t="n">
        <f aca="false">IF(AND(ISNUMBER(B555),ISNUMBER(E555),D555&lt;&gt;""),YEAR(B555)*100+MONTH(B555),0)</f>
        <v>0</v>
      </c>
      <c r="M555" s="56" t="n">
        <f aca="false">IF(L555=0,0,YEAR(B555))</f>
        <v>0</v>
      </c>
      <c r="N555" s="56" t="str">
        <f aca="false">IF(L555=0,"",IF(K555=0,"Wants / Gustos",INDEX(Budget!$D$7:$D$41,K555)))</f>
        <v/>
      </c>
    </row>
    <row r="556" customFormat="false" ht="15" hidden="false" customHeight="false" outlineLevel="0" collapsed="false">
      <c r="B556" s="57"/>
      <c r="C556" s="58"/>
      <c r="D556" s="58"/>
      <c r="E556" s="59"/>
      <c r="F556" s="58"/>
      <c r="G556" s="58"/>
      <c r="H556" s="60" t="str">
        <f aca="false">IF(OR(E556="",D556=""),"",IF(K556=0,"Expense / Gasto",INDEX(Budget!$C$7:$C$41,K556)))</f>
        <v/>
      </c>
      <c r="I556" s="60" t="str">
        <f aca="false">IF(AND(B556="",E556=""),"",IF(NOT(ISNUMBER(B556)),"⚠ ADD DATE / AGREGA FECHA",IF(E556="","⚠ ADD AMOUNT / AGREGA MONTO",IF(D556="","⚠ ADD CATEGORY / AGREGA CATEGORÍA",IF(K556=0,"● NEW CATEGORY? / ¿CATEGORÍA NUEVA?","✔ OK")))))</f>
        <v/>
      </c>
      <c r="K556" s="56" t="str">
        <f aca="false">IF(D556="","",IFERROR(MATCH(D556,Budget!$B$7:$B$41,0),0))</f>
        <v/>
      </c>
      <c r="L556" s="56" t="n">
        <f aca="false">IF(AND(ISNUMBER(B556),ISNUMBER(E556),D556&lt;&gt;""),YEAR(B556)*100+MONTH(B556),0)</f>
        <v>0</v>
      </c>
      <c r="M556" s="56" t="n">
        <f aca="false">IF(L556=0,0,YEAR(B556))</f>
        <v>0</v>
      </c>
      <c r="N556" s="56" t="str">
        <f aca="false">IF(L556=0,"",IF(K556=0,"Wants / Gustos",INDEX(Budget!$D$7:$D$41,K556)))</f>
        <v/>
      </c>
    </row>
    <row r="557" customFormat="false" ht="15" hidden="false" customHeight="false" outlineLevel="0" collapsed="false">
      <c r="B557" s="57"/>
      <c r="C557" s="58"/>
      <c r="D557" s="58"/>
      <c r="E557" s="59"/>
      <c r="F557" s="58"/>
      <c r="G557" s="58"/>
      <c r="H557" s="60" t="str">
        <f aca="false">IF(OR(E557="",D557=""),"",IF(K557=0,"Expense / Gasto",INDEX(Budget!$C$7:$C$41,K557)))</f>
        <v/>
      </c>
      <c r="I557" s="60" t="str">
        <f aca="false">IF(AND(B557="",E557=""),"",IF(NOT(ISNUMBER(B557)),"⚠ ADD DATE / AGREGA FECHA",IF(E557="","⚠ ADD AMOUNT / AGREGA MONTO",IF(D557="","⚠ ADD CATEGORY / AGREGA CATEGORÍA",IF(K557=0,"● NEW CATEGORY? / ¿CATEGORÍA NUEVA?","✔ OK")))))</f>
        <v/>
      </c>
      <c r="K557" s="56" t="str">
        <f aca="false">IF(D557="","",IFERROR(MATCH(D557,Budget!$B$7:$B$41,0),0))</f>
        <v/>
      </c>
      <c r="L557" s="56" t="n">
        <f aca="false">IF(AND(ISNUMBER(B557),ISNUMBER(E557),D557&lt;&gt;""),YEAR(B557)*100+MONTH(B557),0)</f>
        <v>0</v>
      </c>
      <c r="M557" s="56" t="n">
        <f aca="false">IF(L557=0,0,YEAR(B557))</f>
        <v>0</v>
      </c>
      <c r="N557" s="56" t="str">
        <f aca="false">IF(L557=0,"",IF(K557=0,"Wants / Gustos",INDEX(Budget!$D$7:$D$41,K557)))</f>
        <v/>
      </c>
    </row>
    <row r="558" customFormat="false" ht="15" hidden="false" customHeight="false" outlineLevel="0" collapsed="false">
      <c r="B558" s="57"/>
      <c r="C558" s="58"/>
      <c r="D558" s="58"/>
      <c r="E558" s="59"/>
      <c r="F558" s="58"/>
      <c r="G558" s="58"/>
      <c r="H558" s="60" t="str">
        <f aca="false">IF(OR(E558="",D558=""),"",IF(K558=0,"Expense / Gasto",INDEX(Budget!$C$7:$C$41,K558)))</f>
        <v/>
      </c>
      <c r="I558" s="60" t="str">
        <f aca="false">IF(AND(B558="",E558=""),"",IF(NOT(ISNUMBER(B558)),"⚠ ADD DATE / AGREGA FECHA",IF(E558="","⚠ ADD AMOUNT / AGREGA MONTO",IF(D558="","⚠ ADD CATEGORY / AGREGA CATEGORÍA",IF(K558=0,"● NEW CATEGORY? / ¿CATEGORÍA NUEVA?","✔ OK")))))</f>
        <v/>
      </c>
      <c r="K558" s="56" t="str">
        <f aca="false">IF(D558="","",IFERROR(MATCH(D558,Budget!$B$7:$B$41,0),0))</f>
        <v/>
      </c>
      <c r="L558" s="56" t="n">
        <f aca="false">IF(AND(ISNUMBER(B558),ISNUMBER(E558),D558&lt;&gt;""),YEAR(B558)*100+MONTH(B558),0)</f>
        <v>0</v>
      </c>
      <c r="M558" s="56" t="n">
        <f aca="false">IF(L558=0,0,YEAR(B558))</f>
        <v>0</v>
      </c>
      <c r="N558" s="56" t="str">
        <f aca="false">IF(L558=0,"",IF(K558=0,"Wants / Gustos",INDEX(Budget!$D$7:$D$41,K558)))</f>
        <v/>
      </c>
    </row>
    <row r="559" customFormat="false" ht="15" hidden="false" customHeight="false" outlineLevel="0" collapsed="false">
      <c r="B559" s="57"/>
      <c r="C559" s="58"/>
      <c r="D559" s="58"/>
      <c r="E559" s="59"/>
      <c r="F559" s="58"/>
      <c r="G559" s="58"/>
      <c r="H559" s="60" t="str">
        <f aca="false">IF(OR(E559="",D559=""),"",IF(K559=0,"Expense / Gasto",INDEX(Budget!$C$7:$C$41,K559)))</f>
        <v/>
      </c>
      <c r="I559" s="60" t="str">
        <f aca="false">IF(AND(B559="",E559=""),"",IF(NOT(ISNUMBER(B559)),"⚠ ADD DATE / AGREGA FECHA",IF(E559="","⚠ ADD AMOUNT / AGREGA MONTO",IF(D559="","⚠ ADD CATEGORY / AGREGA CATEGORÍA",IF(K559=0,"● NEW CATEGORY? / ¿CATEGORÍA NUEVA?","✔ OK")))))</f>
        <v/>
      </c>
      <c r="K559" s="56" t="str">
        <f aca="false">IF(D559="","",IFERROR(MATCH(D559,Budget!$B$7:$B$41,0),0))</f>
        <v/>
      </c>
      <c r="L559" s="56" t="n">
        <f aca="false">IF(AND(ISNUMBER(B559),ISNUMBER(E559),D559&lt;&gt;""),YEAR(B559)*100+MONTH(B559),0)</f>
        <v>0</v>
      </c>
      <c r="M559" s="56" t="n">
        <f aca="false">IF(L559=0,0,YEAR(B559))</f>
        <v>0</v>
      </c>
      <c r="N559" s="56" t="str">
        <f aca="false">IF(L559=0,"",IF(K559=0,"Wants / Gustos",INDEX(Budget!$D$7:$D$41,K559)))</f>
        <v/>
      </c>
    </row>
    <row r="560" customFormat="false" ht="15" hidden="false" customHeight="false" outlineLevel="0" collapsed="false">
      <c r="B560" s="57"/>
      <c r="C560" s="58"/>
      <c r="D560" s="58"/>
      <c r="E560" s="59"/>
      <c r="F560" s="58"/>
      <c r="G560" s="58"/>
      <c r="H560" s="60" t="str">
        <f aca="false">IF(OR(E560="",D560=""),"",IF(K560=0,"Expense / Gasto",INDEX(Budget!$C$7:$C$41,K560)))</f>
        <v/>
      </c>
      <c r="I560" s="60" t="str">
        <f aca="false">IF(AND(B560="",E560=""),"",IF(NOT(ISNUMBER(B560)),"⚠ ADD DATE / AGREGA FECHA",IF(E560="","⚠ ADD AMOUNT / AGREGA MONTO",IF(D560="","⚠ ADD CATEGORY / AGREGA CATEGORÍA",IF(K560=0,"● NEW CATEGORY? / ¿CATEGORÍA NUEVA?","✔ OK")))))</f>
        <v/>
      </c>
      <c r="K560" s="56" t="str">
        <f aca="false">IF(D560="","",IFERROR(MATCH(D560,Budget!$B$7:$B$41,0),0))</f>
        <v/>
      </c>
      <c r="L560" s="56" t="n">
        <f aca="false">IF(AND(ISNUMBER(B560),ISNUMBER(E560),D560&lt;&gt;""),YEAR(B560)*100+MONTH(B560),0)</f>
        <v>0</v>
      </c>
      <c r="M560" s="56" t="n">
        <f aca="false">IF(L560=0,0,YEAR(B560))</f>
        <v>0</v>
      </c>
      <c r="N560" s="56" t="str">
        <f aca="false">IF(L560=0,"",IF(K560=0,"Wants / Gustos",INDEX(Budget!$D$7:$D$41,K560)))</f>
        <v/>
      </c>
    </row>
    <row r="561" customFormat="false" ht="15" hidden="false" customHeight="false" outlineLevel="0" collapsed="false">
      <c r="B561" s="57"/>
      <c r="C561" s="58"/>
      <c r="D561" s="58"/>
      <c r="E561" s="59"/>
      <c r="F561" s="58"/>
      <c r="G561" s="58"/>
      <c r="H561" s="60" t="str">
        <f aca="false">IF(OR(E561="",D561=""),"",IF(K561=0,"Expense / Gasto",INDEX(Budget!$C$7:$C$41,K561)))</f>
        <v/>
      </c>
      <c r="I561" s="60" t="str">
        <f aca="false">IF(AND(B561="",E561=""),"",IF(NOT(ISNUMBER(B561)),"⚠ ADD DATE / AGREGA FECHA",IF(E561="","⚠ ADD AMOUNT / AGREGA MONTO",IF(D561="","⚠ ADD CATEGORY / AGREGA CATEGORÍA",IF(K561=0,"● NEW CATEGORY? / ¿CATEGORÍA NUEVA?","✔ OK")))))</f>
        <v/>
      </c>
      <c r="K561" s="56" t="str">
        <f aca="false">IF(D561="","",IFERROR(MATCH(D561,Budget!$B$7:$B$41,0),0))</f>
        <v/>
      </c>
      <c r="L561" s="56" t="n">
        <f aca="false">IF(AND(ISNUMBER(B561),ISNUMBER(E561),D561&lt;&gt;""),YEAR(B561)*100+MONTH(B561),0)</f>
        <v>0</v>
      </c>
      <c r="M561" s="56" t="n">
        <f aca="false">IF(L561=0,0,YEAR(B561))</f>
        <v>0</v>
      </c>
      <c r="N561" s="56" t="str">
        <f aca="false">IF(L561=0,"",IF(K561=0,"Wants / Gustos",INDEX(Budget!$D$7:$D$41,K561)))</f>
        <v/>
      </c>
    </row>
    <row r="562" customFormat="false" ht="15" hidden="false" customHeight="false" outlineLevel="0" collapsed="false">
      <c r="B562" s="57"/>
      <c r="C562" s="58"/>
      <c r="D562" s="58"/>
      <c r="E562" s="59"/>
      <c r="F562" s="58"/>
      <c r="G562" s="58"/>
      <c r="H562" s="60" t="str">
        <f aca="false">IF(OR(E562="",D562=""),"",IF(K562=0,"Expense / Gasto",INDEX(Budget!$C$7:$C$41,K562)))</f>
        <v/>
      </c>
      <c r="I562" s="60" t="str">
        <f aca="false">IF(AND(B562="",E562=""),"",IF(NOT(ISNUMBER(B562)),"⚠ ADD DATE / AGREGA FECHA",IF(E562="","⚠ ADD AMOUNT / AGREGA MONTO",IF(D562="","⚠ ADD CATEGORY / AGREGA CATEGORÍA",IF(K562=0,"● NEW CATEGORY? / ¿CATEGORÍA NUEVA?","✔ OK")))))</f>
        <v/>
      </c>
      <c r="K562" s="56" t="str">
        <f aca="false">IF(D562="","",IFERROR(MATCH(D562,Budget!$B$7:$B$41,0),0))</f>
        <v/>
      </c>
      <c r="L562" s="56" t="n">
        <f aca="false">IF(AND(ISNUMBER(B562),ISNUMBER(E562),D562&lt;&gt;""),YEAR(B562)*100+MONTH(B562),0)</f>
        <v>0</v>
      </c>
      <c r="M562" s="56" t="n">
        <f aca="false">IF(L562=0,0,YEAR(B562))</f>
        <v>0</v>
      </c>
      <c r="N562" s="56" t="str">
        <f aca="false">IF(L562=0,"",IF(K562=0,"Wants / Gustos",INDEX(Budget!$D$7:$D$41,K562)))</f>
        <v/>
      </c>
    </row>
    <row r="563" customFormat="false" ht="15" hidden="false" customHeight="false" outlineLevel="0" collapsed="false">
      <c r="B563" s="57"/>
      <c r="C563" s="58"/>
      <c r="D563" s="58"/>
      <c r="E563" s="59"/>
      <c r="F563" s="58"/>
      <c r="G563" s="58"/>
      <c r="H563" s="60" t="str">
        <f aca="false">IF(OR(E563="",D563=""),"",IF(K563=0,"Expense / Gasto",INDEX(Budget!$C$7:$C$41,K563)))</f>
        <v/>
      </c>
      <c r="I563" s="60" t="str">
        <f aca="false">IF(AND(B563="",E563=""),"",IF(NOT(ISNUMBER(B563)),"⚠ ADD DATE / AGREGA FECHA",IF(E563="","⚠ ADD AMOUNT / AGREGA MONTO",IF(D563="","⚠ ADD CATEGORY / AGREGA CATEGORÍA",IF(K563=0,"● NEW CATEGORY? / ¿CATEGORÍA NUEVA?","✔ OK")))))</f>
        <v/>
      </c>
      <c r="K563" s="56" t="str">
        <f aca="false">IF(D563="","",IFERROR(MATCH(D563,Budget!$B$7:$B$41,0),0))</f>
        <v/>
      </c>
      <c r="L563" s="56" t="n">
        <f aca="false">IF(AND(ISNUMBER(B563),ISNUMBER(E563),D563&lt;&gt;""),YEAR(B563)*100+MONTH(B563),0)</f>
        <v>0</v>
      </c>
      <c r="M563" s="56" t="n">
        <f aca="false">IF(L563=0,0,YEAR(B563))</f>
        <v>0</v>
      </c>
      <c r="N563" s="56" t="str">
        <f aca="false">IF(L563=0,"",IF(K563=0,"Wants / Gustos",INDEX(Budget!$D$7:$D$41,K563)))</f>
        <v/>
      </c>
    </row>
    <row r="564" customFormat="false" ht="15" hidden="false" customHeight="false" outlineLevel="0" collapsed="false">
      <c r="B564" s="57"/>
      <c r="C564" s="58"/>
      <c r="D564" s="58"/>
      <c r="E564" s="59"/>
      <c r="F564" s="58"/>
      <c r="G564" s="58"/>
      <c r="H564" s="60" t="str">
        <f aca="false">IF(OR(E564="",D564=""),"",IF(K564=0,"Expense / Gasto",INDEX(Budget!$C$7:$C$41,K564)))</f>
        <v/>
      </c>
      <c r="I564" s="60" t="str">
        <f aca="false">IF(AND(B564="",E564=""),"",IF(NOT(ISNUMBER(B564)),"⚠ ADD DATE / AGREGA FECHA",IF(E564="","⚠ ADD AMOUNT / AGREGA MONTO",IF(D564="","⚠ ADD CATEGORY / AGREGA CATEGORÍA",IF(K564=0,"● NEW CATEGORY? / ¿CATEGORÍA NUEVA?","✔ OK")))))</f>
        <v/>
      </c>
      <c r="K564" s="56" t="str">
        <f aca="false">IF(D564="","",IFERROR(MATCH(D564,Budget!$B$7:$B$41,0),0))</f>
        <v/>
      </c>
      <c r="L564" s="56" t="n">
        <f aca="false">IF(AND(ISNUMBER(B564),ISNUMBER(E564),D564&lt;&gt;""),YEAR(B564)*100+MONTH(B564),0)</f>
        <v>0</v>
      </c>
      <c r="M564" s="56" t="n">
        <f aca="false">IF(L564=0,0,YEAR(B564))</f>
        <v>0</v>
      </c>
      <c r="N564" s="56" t="str">
        <f aca="false">IF(L564=0,"",IF(K564=0,"Wants / Gustos",INDEX(Budget!$D$7:$D$41,K564)))</f>
        <v/>
      </c>
    </row>
    <row r="565" customFormat="false" ht="15" hidden="false" customHeight="false" outlineLevel="0" collapsed="false">
      <c r="B565" s="57"/>
      <c r="C565" s="58"/>
      <c r="D565" s="58"/>
      <c r="E565" s="59"/>
      <c r="F565" s="58"/>
      <c r="G565" s="58"/>
      <c r="H565" s="60" t="str">
        <f aca="false">IF(OR(E565="",D565=""),"",IF(K565=0,"Expense / Gasto",INDEX(Budget!$C$7:$C$41,K565)))</f>
        <v/>
      </c>
      <c r="I565" s="60" t="str">
        <f aca="false">IF(AND(B565="",E565=""),"",IF(NOT(ISNUMBER(B565)),"⚠ ADD DATE / AGREGA FECHA",IF(E565="","⚠ ADD AMOUNT / AGREGA MONTO",IF(D565="","⚠ ADD CATEGORY / AGREGA CATEGORÍA",IF(K565=0,"● NEW CATEGORY? / ¿CATEGORÍA NUEVA?","✔ OK")))))</f>
        <v/>
      </c>
      <c r="K565" s="56" t="str">
        <f aca="false">IF(D565="","",IFERROR(MATCH(D565,Budget!$B$7:$B$41,0),0))</f>
        <v/>
      </c>
      <c r="L565" s="56" t="n">
        <f aca="false">IF(AND(ISNUMBER(B565),ISNUMBER(E565),D565&lt;&gt;""),YEAR(B565)*100+MONTH(B565),0)</f>
        <v>0</v>
      </c>
      <c r="M565" s="56" t="n">
        <f aca="false">IF(L565=0,0,YEAR(B565))</f>
        <v>0</v>
      </c>
      <c r="N565" s="56" t="str">
        <f aca="false">IF(L565=0,"",IF(K565=0,"Wants / Gustos",INDEX(Budget!$D$7:$D$41,K565)))</f>
        <v/>
      </c>
    </row>
    <row r="566" customFormat="false" ht="15" hidden="false" customHeight="false" outlineLevel="0" collapsed="false">
      <c r="B566" s="57"/>
      <c r="C566" s="58"/>
      <c r="D566" s="58"/>
      <c r="E566" s="59"/>
      <c r="F566" s="58"/>
      <c r="G566" s="58"/>
      <c r="H566" s="60" t="str">
        <f aca="false">IF(OR(E566="",D566=""),"",IF(K566=0,"Expense / Gasto",INDEX(Budget!$C$7:$C$41,K566)))</f>
        <v/>
      </c>
      <c r="I566" s="60" t="str">
        <f aca="false">IF(AND(B566="",E566=""),"",IF(NOT(ISNUMBER(B566)),"⚠ ADD DATE / AGREGA FECHA",IF(E566="","⚠ ADD AMOUNT / AGREGA MONTO",IF(D566="","⚠ ADD CATEGORY / AGREGA CATEGORÍA",IF(K566=0,"● NEW CATEGORY? / ¿CATEGORÍA NUEVA?","✔ OK")))))</f>
        <v/>
      </c>
      <c r="K566" s="56" t="str">
        <f aca="false">IF(D566="","",IFERROR(MATCH(D566,Budget!$B$7:$B$41,0),0))</f>
        <v/>
      </c>
      <c r="L566" s="56" t="n">
        <f aca="false">IF(AND(ISNUMBER(B566),ISNUMBER(E566),D566&lt;&gt;""),YEAR(B566)*100+MONTH(B566),0)</f>
        <v>0</v>
      </c>
      <c r="M566" s="56" t="n">
        <f aca="false">IF(L566=0,0,YEAR(B566))</f>
        <v>0</v>
      </c>
      <c r="N566" s="56" t="str">
        <f aca="false">IF(L566=0,"",IF(K566=0,"Wants / Gustos",INDEX(Budget!$D$7:$D$41,K566)))</f>
        <v/>
      </c>
    </row>
    <row r="567" customFormat="false" ht="15" hidden="false" customHeight="false" outlineLevel="0" collapsed="false">
      <c r="B567" s="57"/>
      <c r="C567" s="58"/>
      <c r="D567" s="58"/>
      <c r="E567" s="59"/>
      <c r="F567" s="58"/>
      <c r="G567" s="58"/>
      <c r="H567" s="60" t="str">
        <f aca="false">IF(OR(E567="",D567=""),"",IF(K567=0,"Expense / Gasto",INDEX(Budget!$C$7:$C$41,K567)))</f>
        <v/>
      </c>
      <c r="I567" s="60" t="str">
        <f aca="false">IF(AND(B567="",E567=""),"",IF(NOT(ISNUMBER(B567)),"⚠ ADD DATE / AGREGA FECHA",IF(E567="","⚠ ADD AMOUNT / AGREGA MONTO",IF(D567="","⚠ ADD CATEGORY / AGREGA CATEGORÍA",IF(K567=0,"● NEW CATEGORY? / ¿CATEGORÍA NUEVA?","✔ OK")))))</f>
        <v/>
      </c>
      <c r="K567" s="56" t="str">
        <f aca="false">IF(D567="","",IFERROR(MATCH(D567,Budget!$B$7:$B$41,0),0))</f>
        <v/>
      </c>
      <c r="L567" s="56" t="n">
        <f aca="false">IF(AND(ISNUMBER(B567),ISNUMBER(E567),D567&lt;&gt;""),YEAR(B567)*100+MONTH(B567),0)</f>
        <v>0</v>
      </c>
      <c r="M567" s="56" t="n">
        <f aca="false">IF(L567=0,0,YEAR(B567))</f>
        <v>0</v>
      </c>
      <c r="N567" s="56" t="str">
        <f aca="false">IF(L567=0,"",IF(K567=0,"Wants / Gustos",INDEX(Budget!$D$7:$D$41,K567)))</f>
        <v/>
      </c>
    </row>
    <row r="568" customFormat="false" ht="15" hidden="false" customHeight="false" outlineLevel="0" collapsed="false">
      <c r="B568" s="57"/>
      <c r="C568" s="58"/>
      <c r="D568" s="58"/>
      <c r="E568" s="59"/>
      <c r="F568" s="58"/>
      <c r="G568" s="58"/>
      <c r="H568" s="60" t="str">
        <f aca="false">IF(OR(E568="",D568=""),"",IF(K568=0,"Expense / Gasto",INDEX(Budget!$C$7:$C$41,K568)))</f>
        <v/>
      </c>
      <c r="I568" s="60" t="str">
        <f aca="false">IF(AND(B568="",E568=""),"",IF(NOT(ISNUMBER(B568)),"⚠ ADD DATE / AGREGA FECHA",IF(E568="","⚠ ADD AMOUNT / AGREGA MONTO",IF(D568="","⚠ ADD CATEGORY / AGREGA CATEGORÍA",IF(K568=0,"● NEW CATEGORY? / ¿CATEGORÍA NUEVA?","✔ OK")))))</f>
        <v/>
      </c>
      <c r="K568" s="56" t="str">
        <f aca="false">IF(D568="","",IFERROR(MATCH(D568,Budget!$B$7:$B$41,0),0))</f>
        <v/>
      </c>
      <c r="L568" s="56" t="n">
        <f aca="false">IF(AND(ISNUMBER(B568),ISNUMBER(E568),D568&lt;&gt;""),YEAR(B568)*100+MONTH(B568),0)</f>
        <v>0</v>
      </c>
      <c r="M568" s="56" t="n">
        <f aca="false">IF(L568=0,0,YEAR(B568))</f>
        <v>0</v>
      </c>
      <c r="N568" s="56" t="str">
        <f aca="false">IF(L568=0,"",IF(K568=0,"Wants / Gustos",INDEX(Budget!$D$7:$D$41,K568)))</f>
        <v/>
      </c>
    </row>
    <row r="569" customFormat="false" ht="15" hidden="false" customHeight="false" outlineLevel="0" collapsed="false">
      <c r="B569" s="57"/>
      <c r="C569" s="58"/>
      <c r="D569" s="58"/>
      <c r="E569" s="59"/>
      <c r="F569" s="58"/>
      <c r="G569" s="58"/>
      <c r="H569" s="60" t="str">
        <f aca="false">IF(OR(E569="",D569=""),"",IF(K569=0,"Expense / Gasto",INDEX(Budget!$C$7:$C$41,K569)))</f>
        <v/>
      </c>
      <c r="I569" s="60" t="str">
        <f aca="false">IF(AND(B569="",E569=""),"",IF(NOT(ISNUMBER(B569)),"⚠ ADD DATE / AGREGA FECHA",IF(E569="","⚠ ADD AMOUNT / AGREGA MONTO",IF(D569="","⚠ ADD CATEGORY / AGREGA CATEGORÍA",IF(K569=0,"● NEW CATEGORY? / ¿CATEGORÍA NUEVA?","✔ OK")))))</f>
        <v/>
      </c>
      <c r="K569" s="56" t="str">
        <f aca="false">IF(D569="","",IFERROR(MATCH(D569,Budget!$B$7:$B$41,0),0))</f>
        <v/>
      </c>
      <c r="L569" s="56" t="n">
        <f aca="false">IF(AND(ISNUMBER(B569),ISNUMBER(E569),D569&lt;&gt;""),YEAR(B569)*100+MONTH(B569),0)</f>
        <v>0</v>
      </c>
      <c r="M569" s="56" t="n">
        <f aca="false">IF(L569=0,0,YEAR(B569))</f>
        <v>0</v>
      </c>
      <c r="N569" s="56" t="str">
        <f aca="false">IF(L569=0,"",IF(K569=0,"Wants / Gustos",INDEX(Budget!$D$7:$D$41,K569)))</f>
        <v/>
      </c>
    </row>
    <row r="570" customFormat="false" ht="15" hidden="false" customHeight="false" outlineLevel="0" collapsed="false">
      <c r="B570" s="57"/>
      <c r="C570" s="58"/>
      <c r="D570" s="58"/>
      <c r="E570" s="59"/>
      <c r="F570" s="58"/>
      <c r="G570" s="58"/>
      <c r="H570" s="60" t="str">
        <f aca="false">IF(OR(E570="",D570=""),"",IF(K570=0,"Expense / Gasto",INDEX(Budget!$C$7:$C$41,K570)))</f>
        <v/>
      </c>
      <c r="I570" s="60" t="str">
        <f aca="false">IF(AND(B570="",E570=""),"",IF(NOT(ISNUMBER(B570)),"⚠ ADD DATE / AGREGA FECHA",IF(E570="","⚠ ADD AMOUNT / AGREGA MONTO",IF(D570="","⚠ ADD CATEGORY / AGREGA CATEGORÍA",IF(K570=0,"● NEW CATEGORY? / ¿CATEGORÍA NUEVA?","✔ OK")))))</f>
        <v/>
      </c>
      <c r="K570" s="56" t="str">
        <f aca="false">IF(D570="","",IFERROR(MATCH(D570,Budget!$B$7:$B$41,0),0))</f>
        <v/>
      </c>
      <c r="L570" s="56" t="n">
        <f aca="false">IF(AND(ISNUMBER(B570),ISNUMBER(E570),D570&lt;&gt;""),YEAR(B570)*100+MONTH(B570),0)</f>
        <v>0</v>
      </c>
      <c r="M570" s="56" t="n">
        <f aca="false">IF(L570=0,0,YEAR(B570))</f>
        <v>0</v>
      </c>
      <c r="N570" s="56" t="str">
        <f aca="false">IF(L570=0,"",IF(K570=0,"Wants / Gustos",INDEX(Budget!$D$7:$D$41,K570)))</f>
        <v/>
      </c>
    </row>
    <row r="571" customFormat="false" ht="15" hidden="false" customHeight="false" outlineLevel="0" collapsed="false">
      <c r="B571" s="57"/>
      <c r="C571" s="58"/>
      <c r="D571" s="58"/>
      <c r="E571" s="59"/>
      <c r="F571" s="58"/>
      <c r="G571" s="58"/>
      <c r="H571" s="60" t="str">
        <f aca="false">IF(OR(E571="",D571=""),"",IF(K571=0,"Expense / Gasto",INDEX(Budget!$C$7:$C$41,K571)))</f>
        <v/>
      </c>
      <c r="I571" s="60" t="str">
        <f aca="false">IF(AND(B571="",E571=""),"",IF(NOT(ISNUMBER(B571)),"⚠ ADD DATE / AGREGA FECHA",IF(E571="","⚠ ADD AMOUNT / AGREGA MONTO",IF(D571="","⚠ ADD CATEGORY / AGREGA CATEGORÍA",IF(K571=0,"● NEW CATEGORY? / ¿CATEGORÍA NUEVA?","✔ OK")))))</f>
        <v/>
      </c>
      <c r="K571" s="56" t="str">
        <f aca="false">IF(D571="","",IFERROR(MATCH(D571,Budget!$B$7:$B$41,0),0))</f>
        <v/>
      </c>
      <c r="L571" s="56" t="n">
        <f aca="false">IF(AND(ISNUMBER(B571),ISNUMBER(E571),D571&lt;&gt;""),YEAR(B571)*100+MONTH(B571),0)</f>
        <v>0</v>
      </c>
      <c r="M571" s="56" t="n">
        <f aca="false">IF(L571=0,0,YEAR(B571))</f>
        <v>0</v>
      </c>
      <c r="N571" s="56" t="str">
        <f aca="false">IF(L571=0,"",IF(K571=0,"Wants / Gustos",INDEX(Budget!$D$7:$D$41,K571)))</f>
        <v/>
      </c>
    </row>
    <row r="572" customFormat="false" ht="15" hidden="false" customHeight="false" outlineLevel="0" collapsed="false">
      <c r="B572" s="57"/>
      <c r="C572" s="58"/>
      <c r="D572" s="58"/>
      <c r="E572" s="59"/>
      <c r="F572" s="58"/>
      <c r="G572" s="58"/>
      <c r="H572" s="60" t="str">
        <f aca="false">IF(OR(E572="",D572=""),"",IF(K572=0,"Expense / Gasto",INDEX(Budget!$C$7:$C$41,K572)))</f>
        <v/>
      </c>
      <c r="I572" s="60" t="str">
        <f aca="false">IF(AND(B572="",E572=""),"",IF(NOT(ISNUMBER(B572)),"⚠ ADD DATE / AGREGA FECHA",IF(E572="","⚠ ADD AMOUNT / AGREGA MONTO",IF(D572="","⚠ ADD CATEGORY / AGREGA CATEGORÍA",IF(K572=0,"● NEW CATEGORY? / ¿CATEGORÍA NUEVA?","✔ OK")))))</f>
        <v/>
      </c>
      <c r="K572" s="56" t="str">
        <f aca="false">IF(D572="","",IFERROR(MATCH(D572,Budget!$B$7:$B$41,0),0))</f>
        <v/>
      </c>
      <c r="L572" s="56" t="n">
        <f aca="false">IF(AND(ISNUMBER(B572),ISNUMBER(E572),D572&lt;&gt;""),YEAR(B572)*100+MONTH(B572),0)</f>
        <v>0</v>
      </c>
      <c r="M572" s="56" t="n">
        <f aca="false">IF(L572=0,0,YEAR(B572))</f>
        <v>0</v>
      </c>
      <c r="N572" s="56" t="str">
        <f aca="false">IF(L572=0,"",IF(K572=0,"Wants / Gustos",INDEX(Budget!$D$7:$D$41,K572)))</f>
        <v/>
      </c>
    </row>
    <row r="573" customFormat="false" ht="15" hidden="false" customHeight="false" outlineLevel="0" collapsed="false">
      <c r="B573" s="57"/>
      <c r="C573" s="58"/>
      <c r="D573" s="58"/>
      <c r="E573" s="59"/>
      <c r="F573" s="58"/>
      <c r="G573" s="58"/>
      <c r="H573" s="60" t="str">
        <f aca="false">IF(OR(E573="",D573=""),"",IF(K573=0,"Expense / Gasto",INDEX(Budget!$C$7:$C$41,K573)))</f>
        <v/>
      </c>
      <c r="I573" s="60" t="str">
        <f aca="false">IF(AND(B573="",E573=""),"",IF(NOT(ISNUMBER(B573)),"⚠ ADD DATE / AGREGA FECHA",IF(E573="","⚠ ADD AMOUNT / AGREGA MONTO",IF(D573="","⚠ ADD CATEGORY / AGREGA CATEGORÍA",IF(K573=0,"● NEW CATEGORY? / ¿CATEGORÍA NUEVA?","✔ OK")))))</f>
        <v/>
      </c>
      <c r="K573" s="56" t="str">
        <f aca="false">IF(D573="","",IFERROR(MATCH(D573,Budget!$B$7:$B$41,0),0))</f>
        <v/>
      </c>
      <c r="L573" s="56" t="n">
        <f aca="false">IF(AND(ISNUMBER(B573),ISNUMBER(E573),D573&lt;&gt;""),YEAR(B573)*100+MONTH(B573),0)</f>
        <v>0</v>
      </c>
      <c r="M573" s="56" t="n">
        <f aca="false">IF(L573=0,0,YEAR(B573))</f>
        <v>0</v>
      </c>
      <c r="N573" s="56" t="str">
        <f aca="false">IF(L573=0,"",IF(K573=0,"Wants / Gustos",INDEX(Budget!$D$7:$D$41,K573)))</f>
        <v/>
      </c>
    </row>
    <row r="574" customFormat="false" ht="15" hidden="false" customHeight="false" outlineLevel="0" collapsed="false">
      <c r="B574" s="57"/>
      <c r="C574" s="58"/>
      <c r="D574" s="58"/>
      <c r="E574" s="59"/>
      <c r="F574" s="58"/>
      <c r="G574" s="58"/>
      <c r="H574" s="60" t="str">
        <f aca="false">IF(OR(E574="",D574=""),"",IF(K574=0,"Expense / Gasto",INDEX(Budget!$C$7:$C$41,K574)))</f>
        <v/>
      </c>
      <c r="I574" s="60" t="str">
        <f aca="false">IF(AND(B574="",E574=""),"",IF(NOT(ISNUMBER(B574)),"⚠ ADD DATE / AGREGA FECHA",IF(E574="","⚠ ADD AMOUNT / AGREGA MONTO",IF(D574="","⚠ ADD CATEGORY / AGREGA CATEGORÍA",IF(K574=0,"● NEW CATEGORY? / ¿CATEGORÍA NUEVA?","✔ OK")))))</f>
        <v/>
      </c>
      <c r="K574" s="56" t="str">
        <f aca="false">IF(D574="","",IFERROR(MATCH(D574,Budget!$B$7:$B$41,0),0))</f>
        <v/>
      </c>
      <c r="L574" s="56" t="n">
        <f aca="false">IF(AND(ISNUMBER(B574),ISNUMBER(E574),D574&lt;&gt;""),YEAR(B574)*100+MONTH(B574),0)</f>
        <v>0</v>
      </c>
      <c r="M574" s="56" t="n">
        <f aca="false">IF(L574=0,0,YEAR(B574))</f>
        <v>0</v>
      </c>
      <c r="N574" s="56" t="str">
        <f aca="false">IF(L574=0,"",IF(K574=0,"Wants / Gustos",INDEX(Budget!$D$7:$D$41,K574)))</f>
        <v/>
      </c>
    </row>
    <row r="575" customFormat="false" ht="15" hidden="false" customHeight="false" outlineLevel="0" collapsed="false">
      <c r="B575" s="57"/>
      <c r="C575" s="58"/>
      <c r="D575" s="58"/>
      <c r="E575" s="59"/>
      <c r="F575" s="58"/>
      <c r="G575" s="58"/>
      <c r="H575" s="60" t="str">
        <f aca="false">IF(OR(E575="",D575=""),"",IF(K575=0,"Expense / Gasto",INDEX(Budget!$C$7:$C$41,K575)))</f>
        <v/>
      </c>
      <c r="I575" s="60" t="str">
        <f aca="false">IF(AND(B575="",E575=""),"",IF(NOT(ISNUMBER(B575)),"⚠ ADD DATE / AGREGA FECHA",IF(E575="","⚠ ADD AMOUNT / AGREGA MONTO",IF(D575="","⚠ ADD CATEGORY / AGREGA CATEGORÍA",IF(K575=0,"● NEW CATEGORY? / ¿CATEGORÍA NUEVA?","✔ OK")))))</f>
        <v/>
      </c>
      <c r="K575" s="56" t="str">
        <f aca="false">IF(D575="","",IFERROR(MATCH(D575,Budget!$B$7:$B$41,0),0))</f>
        <v/>
      </c>
      <c r="L575" s="56" t="n">
        <f aca="false">IF(AND(ISNUMBER(B575),ISNUMBER(E575),D575&lt;&gt;""),YEAR(B575)*100+MONTH(B575),0)</f>
        <v>0</v>
      </c>
      <c r="M575" s="56" t="n">
        <f aca="false">IF(L575=0,0,YEAR(B575))</f>
        <v>0</v>
      </c>
      <c r="N575" s="56" t="str">
        <f aca="false">IF(L575=0,"",IF(K575=0,"Wants / Gustos",INDEX(Budget!$D$7:$D$41,K575)))</f>
        <v/>
      </c>
    </row>
    <row r="576" customFormat="false" ht="15" hidden="false" customHeight="false" outlineLevel="0" collapsed="false">
      <c r="B576" s="57"/>
      <c r="C576" s="58"/>
      <c r="D576" s="58"/>
      <c r="E576" s="59"/>
      <c r="F576" s="58"/>
      <c r="G576" s="58"/>
      <c r="H576" s="60" t="str">
        <f aca="false">IF(OR(E576="",D576=""),"",IF(K576=0,"Expense / Gasto",INDEX(Budget!$C$7:$C$41,K576)))</f>
        <v/>
      </c>
      <c r="I576" s="60" t="str">
        <f aca="false">IF(AND(B576="",E576=""),"",IF(NOT(ISNUMBER(B576)),"⚠ ADD DATE / AGREGA FECHA",IF(E576="","⚠ ADD AMOUNT / AGREGA MONTO",IF(D576="","⚠ ADD CATEGORY / AGREGA CATEGORÍA",IF(K576=0,"● NEW CATEGORY? / ¿CATEGORÍA NUEVA?","✔ OK")))))</f>
        <v/>
      </c>
      <c r="K576" s="56" t="str">
        <f aca="false">IF(D576="","",IFERROR(MATCH(D576,Budget!$B$7:$B$41,0),0))</f>
        <v/>
      </c>
      <c r="L576" s="56" t="n">
        <f aca="false">IF(AND(ISNUMBER(B576),ISNUMBER(E576),D576&lt;&gt;""),YEAR(B576)*100+MONTH(B576),0)</f>
        <v>0</v>
      </c>
      <c r="M576" s="56" t="n">
        <f aca="false">IF(L576=0,0,YEAR(B576))</f>
        <v>0</v>
      </c>
      <c r="N576" s="56" t="str">
        <f aca="false">IF(L576=0,"",IF(K576=0,"Wants / Gustos",INDEX(Budget!$D$7:$D$41,K576)))</f>
        <v/>
      </c>
    </row>
    <row r="577" customFormat="false" ht="15" hidden="false" customHeight="false" outlineLevel="0" collapsed="false">
      <c r="B577" s="57"/>
      <c r="C577" s="58"/>
      <c r="D577" s="58"/>
      <c r="E577" s="59"/>
      <c r="F577" s="58"/>
      <c r="G577" s="58"/>
      <c r="H577" s="60" t="str">
        <f aca="false">IF(OR(E577="",D577=""),"",IF(K577=0,"Expense / Gasto",INDEX(Budget!$C$7:$C$41,K577)))</f>
        <v/>
      </c>
      <c r="I577" s="60" t="str">
        <f aca="false">IF(AND(B577="",E577=""),"",IF(NOT(ISNUMBER(B577)),"⚠ ADD DATE / AGREGA FECHA",IF(E577="","⚠ ADD AMOUNT / AGREGA MONTO",IF(D577="","⚠ ADD CATEGORY / AGREGA CATEGORÍA",IF(K577=0,"● NEW CATEGORY? / ¿CATEGORÍA NUEVA?","✔ OK")))))</f>
        <v/>
      </c>
      <c r="K577" s="56" t="str">
        <f aca="false">IF(D577="","",IFERROR(MATCH(D577,Budget!$B$7:$B$41,0),0))</f>
        <v/>
      </c>
      <c r="L577" s="56" t="n">
        <f aca="false">IF(AND(ISNUMBER(B577),ISNUMBER(E577),D577&lt;&gt;""),YEAR(B577)*100+MONTH(B577),0)</f>
        <v>0</v>
      </c>
      <c r="M577" s="56" t="n">
        <f aca="false">IF(L577=0,0,YEAR(B577))</f>
        <v>0</v>
      </c>
      <c r="N577" s="56" t="str">
        <f aca="false">IF(L577=0,"",IF(K577=0,"Wants / Gustos",INDEX(Budget!$D$7:$D$41,K577)))</f>
        <v/>
      </c>
    </row>
    <row r="578" customFormat="false" ht="15" hidden="false" customHeight="false" outlineLevel="0" collapsed="false">
      <c r="B578" s="57"/>
      <c r="C578" s="58"/>
      <c r="D578" s="58"/>
      <c r="E578" s="59"/>
      <c r="F578" s="58"/>
      <c r="G578" s="58"/>
      <c r="H578" s="60" t="str">
        <f aca="false">IF(OR(E578="",D578=""),"",IF(K578=0,"Expense / Gasto",INDEX(Budget!$C$7:$C$41,K578)))</f>
        <v/>
      </c>
      <c r="I578" s="60" t="str">
        <f aca="false">IF(AND(B578="",E578=""),"",IF(NOT(ISNUMBER(B578)),"⚠ ADD DATE / AGREGA FECHA",IF(E578="","⚠ ADD AMOUNT / AGREGA MONTO",IF(D578="","⚠ ADD CATEGORY / AGREGA CATEGORÍA",IF(K578=0,"● NEW CATEGORY? / ¿CATEGORÍA NUEVA?","✔ OK")))))</f>
        <v/>
      </c>
      <c r="K578" s="56" t="str">
        <f aca="false">IF(D578="","",IFERROR(MATCH(D578,Budget!$B$7:$B$41,0),0))</f>
        <v/>
      </c>
      <c r="L578" s="56" t="n">
        <f aca="false">IF(AND(ISNUMBER(B578),ISNUMBER(E578),D578&lt;&gt;""),YEAR(B578)*100+MONTH(B578),0)</f>
        <v>0</v>
      </c>
      <c r="M578" s="56" t="n">
        <f aca="false">IF(L578=0,0,YEAR(B578))</f>
        <v>0</v>
      </c>
      <c r="N578" s="56" t="str">
        <f aca="false">IF(L578=0,"",IF(K578=0,"Wants / Gustos",INDEX(Budget!$D$7:$D$41,K578)))</f>
        <v/>
      </c>
    </row>
    <row r="579" customFormat="false" ht="15" hidden="false" customHeight="false" outlineLevel="0" collapsed="false">
      <c r="B579" s="57"/>
      <c r="C579" s="58"/>
      <c r="D579" s="58"/>
      <c r="E579" s="59"/>
      <c r="F579" s="58"/>
      <c r="G579" s="58"/>
      <c r="H579" s="60" t="str">
        <f aca="false">IF(OR(E579="",D579=""),"",IF(K579=0,"Expense / Gasto",INDEX(Budget!$C$7:$C$41,K579)))</f>
        <v/>
      </c>
      <c r="I579" s="60" t="str">
        <f aca="false">IF(AND(B579="",E579=""),"",IF(NOT(ISNUMBER(B579)),"⚠ ADD DATE / AGREGA FECHA",IF(E579="","⚠ ADD AMOUNT / AGREGA MONTO",IF(D579="","⚠ ADD CATEGORY / AGREGA CATEGORÍA",IF(K579=0,"● NEW CATEGORY? / ¿CATEGORÍA NUEVA?","✔ OK")))))</f>
        <v/>
      </c>
      <c r="K579" s="56" t="str">
        <f aca="false">IF(D579="","",IFERROR(MATCH(D579,Budget!$B$7:$B$41,0),0))</f>
        <v/>
      </c>
      <c r="L579" s="56" t="n">
        <f aca="false">IF(AND(ISNUMBER(B579),ISNUMBER(E579),D579&lt;&gt;""),YEAR(B579)*100+MONTH(B579),0)</f>
        <v>0</v>
      </c>
      <c r="M579" s="56" t="n">
        <f aca="false">IF(L579=0,0,YEAR(B579))</f>
        <v>0</v>
      </c>
      <c r="N579" s="56" t="str">
        <f aca="false">IF(L579=0,"",IF(K579=0,"Wants / Gustos",INDEX(Budget!$D$7:$D$41,K579)))</f>
        <v/>
      </c>
    </row>
    <row r="580" customFormat="false" ht="15" hidden="false" customHeight="false" outlineLevel="0" collapsed="false">
      <c r="B580" s="57"/>
      <c r="C580" s="58"/>
      <c r="D580" s="58"/>
      <c r="E580" s="59"/>
      <c r="F580" s="58"/>
      <c r="G580" s="58"/>
      <c r="H580" s="60" t="str">
        <f aca="false">IF(OR(E580="",D580=""),"",IF(K580=0,"Expense / Gasto",INDEX(Budget!$C$7:$C$41,K580)))</f>
        <v/>
      </c>
      <c r="I580" s="60" t="str">
        <f aca="false">IF(AND(B580="",E580=""),"",IF(NOT(ISNUMBER(B580)),"⚠ ADD DATE / AGREGA FECHA",IF(E580="","⚠ ADD AMOUNT / AGREGA MONTO",IF(D580="","⚠ ADD CATEGORY / AGREGA CATEGORÍA",IF(K580=0,"● NEW CATEGORY? / ¿CATEGORÍA NUEVA?","✔ OK")))))</f>
        <v/>
      </c>
      <c r="K580" s="56" t="str">
        <f aca="false">IF(D580="","",IFERROR(MATCH(D580,Budget!$B$7:$B$41,0),0))</f>
        <v/>
      </c>
      <c r="L580" s="56" t="n">
        <f aca="false">IF(AND(ISNUMBER(B580),ISNUMBER(E580),D580&lt;&gt;""),YEAR(B580)*100+MONTH(B580),0)</f>
        <v>0</v>
      </c>
      <c r="M580" s="56" t="n">
        <f aca="false">IF(L580=0,0,YEAR(B580))</f>
        <v>0</v>
      </c>
      <c r="N580" s="56" t="str">
        <f aca="false">IF(L580=0,"",IF(K580=0,"Wants / Gustos",INDEX(Budget!$D$7:$D$41,K580)))</f>
        <v/>
      </c>
    </row>
    <row r="581" customFormat="false" ht="15" hidden="false" customHeight="false" outlineLevel="0" collapsed="false">
      <c r="B581" s="57"/>
      <c r="C581" s="58"/>
      <c r="D581" s="58"/>
      <c r="E581" s="59"/>
      <c r="F581" s="58"/>
      <c r="G581" s="58"/>
      <c r="H581" s="60" t="str">
        <f aca="false">IF(OR(E581="",D581=""),"",IF(K581=0,"Expense / Gasto",INDEX(Budget!$C$7:$C$41,K581)))</f>
        <v/>
      </c>
      <c r="I581" s="60" t="str">
        <f aca="false">IF(AND(B581="",E581=""),"",IF(NOT(ISNUMBER(B581)),"⚠ ADD DATE / AGREGA FECHA",IF(E581="","⚠ ADD AMOUNT / AGREGA MONTO",IF(D581="","⚠ ADD CATEGORY / AGREGA CATEGORÍA",IF(K581=0,"● NEW CATEGORY? / ¿CATEGORÍA NUEVA?","✔ OK")))))</f>
        <v/>
      </c>
      <c r="K581" s="56" t="str">
        <f aca="false">IF(D581="","",IFERROR(MATCH(D581,Budget!$B$7:$B$41,0),0))</f>
        <v/>
      </c>
      <c r="L581" s="56" t="n">
        <f aca="false">IF(AND(ISNUMBER(B581),ISNUMBER(E581),D581&lt;&gt;""),YEAR(B581)*100+MONTH(B581),0)</f>
        <v>0</v>
      </c>
      <c r="M581" s="56" t="n">
        <f aca="false">IF(L581=0,0,YEAR(B581))</f>
        <v>0</v>
      </c>
      <c r="N581" s="56" t="str">
        <f aca="false">IF(L581=0,"",IF(K581=0,"Wants / Gustos",INDEX(Budget!$D$7:$D$41,K581)))</f>
        <v/>
      </c>
    </row>
    <row r="582" customFormat="false" ht="15" hidden="false" customHeight="false" outlineLevel="0" collapsed="false">
      <c r="B582" s="57"/>
      <c r="C582" s="58"/>
      <c r="D582" s="58"/>
      <c r="E582" s="59"/>
      <c r="F582" s="58"/>
      <c r="G582" s="58"/>
      <c r="H582" s="60" t="str">
        <f aca="false">IF(OR(E582="",D582=""),"",IF(K582=0,"Expense / Gasto",INDEX(Budget!$C$7:$C$41,K582)))</f>
        <v/>
      </c>
      <c r="I582" s="60" t="str">
        <f aca="false">IF(AND(B582="",E582=""),"",IF(NOT(ISNUMBER(B582)),"⚠ ADD DATE / AGREGA FECHA",IF(E582="","⚠ ADD AMOUNT / AGREGA MONTO",IF(D582="","⚠ ADD CATEGORY / AGREGA CATEGORÍA",IF(K582=0,"● NEW CATEGORY? / ¿CATEGORÍA NUEVA?","✔ OK")))))</f>
        <v/>
      </c>
      <c r="K582" s="56" t="str">
        <f aca="false">IF(D582="","",IFERROR(MATCH(D582,Budget!$B$7:$B$41,0),0))</f>
        <v/>
      </c>
      <c r="L582" s="56" t="n">
        <f aca="false">IF(AND(ISNUMBER(B582),ISNUMBER(E582),D582&lt;&gt;""),YEAR(B582)*100+MONTH(B582),0)</f>
        <v>0</v>
      </c>
      <c r="M582" s="56" t="n">
        <f aca="false">IF(L582=0,0,YEAR(B582))</f>
        <v>0</v>
      </c>
      <c r="N582" s="56" t="str">
        <f aca="false">IF(L582=0,"",IF(K582=0,"Wants / Gustos",INDEX(Budget!$D$7:$D$41,K582)))</f>
        <v/>
      </c>
    </row>
    <row r="583" customFormat="false" ht="15" hidden="false" customHeight="false" outlineLevel="0" collapsed="false">
      <c r="B583" s="57"/>
      <c r="C583" s="58"/>
      <c r="D583" s="58"/>
      <c r="E583" s="59"/>
      <c r="F583" s="58"/>
      <c r="G583" s="58"/>
      <c r="H583" s="60" t="str">
        <f aca="false">IF(OR(E583="",D583=""),"",IF(K583=0,"Expense / Gasto",INDEX(Budget!$C$7:$C$41,K583)))</f>
        <v/>
      </c>
      <c r="I583" s="60" t="str">
        <f aca="false">IF(AND(B583="",E583=""),"",IF(NOT(ISNUMBER(B583)),"⚠ ADD DATE / AGREGA FECHA",IF(E583="","⚠ ADD AMOUNT / AGREGA MONTO",IF(D583="","⚠ ADD CATEGORY / AGREGA CATEGORÍA",IF(K583=0,"● NEW CATEGORY? / ¿CATEGORÍA NUEVA?","✔ OK")))))</f>
        <v/>
      </c>
      <c r="K583" s="56" t="str">
        <f aca="false">IF(D583="","",IFERROR(MATCH(D583,Budget!$B$7:$B$41,0),0))</f>
        <v/>
      </c>
      <c r="L583" s="56" t="n">
        <f aca="false">IF(AND(ISNUMBER(B583),ISNUMBER(E583),D583&lt;&gt;""),YEAR(B583)*100+MONTH(B583),0)</f>
        <v>0</v>
      </c>
      <c r="M583" s="56" t="n">
        <f aca="false">IF(L583=0,0,YEAR(B583))</f>
        <v>0</v>
      </c>
      <c r="N583" s="56" t="str">
        <f aca="false">IF(L583=0,"",IF(K583=0,"Wants / Gustos",INDEX(Budget!$D$7:$D$41,K583)))</f>
        <v/>
      </c>
    </row>
    <row r="584" customFormat="false" ht="15" hidden="false" customHeight="false" outlineLevel="0" collapsed="false">
      <c r="B584" s="57"/>
      <c r="C584" s="58"/>
      <c r="D584" s="58"/>
      <c r="E584" s="59"/>
      <c r="F584" s="58"/>
      <c r="G584" s="58"/>
      <c r="H584" s="60" t="str">
        <f aca="false">IF(OR(E584="",D584=""),"",IF(K584=0,"Expense / Gasto",INDEX(Budget!$C$7:$C$41,K584)))</f>
        <v/>
      </c>
      <c r="I584" s="60" t="str">
        <f aca="false">IF(AND(B584="",E584=""),"",IF(NOT(ISNUMBER(B584)),"⚠ ADD DATE / AGREGA FECHA",IF(E584="","⚠ ADD AMOUNT / AGREGA MONTO",IF(D584="","⚠ ADD CATEGORY / AGREGA CATEGORÍA",IF(K584=0,"● NEW CATEGORY? / ¿CATEGORÍA NUEVA?","✔ OK")))))</f>
        <v/>
      </c>
      <c r="K584" s="56" t="str">
        <f aca="false">IF(D584="","",IFERROR(MATCH(D584,Budget!$B$7:$B$41,0),0))</f>
        <v/>
      </c>
      <c r="L584" s="56" t="n">
        <f aca="false">IF(AND(ISNUMBER(B584),ISNUMBER(E584),D584&lt;&gt;""),YEAR(B584)*100+MONTH(B584),0)</f>
        <v>0</v>
      </c>
      <c r="M584" s="56" t="n">
        <f aca="false">IF(L584=0,0,YEAR(B584))</f>
        <v>0</v>
      </c>
      <c r="N584" s="56" t="str">
        <f aca="false">IF(L584=0,"",IF(K584=0,"Wants / Gustos",INDEX(Budget!$D$7:$D$41,K584)))</f>
        <v/>
      </c>
    </row>
    <row r="585" customFormat="false" ht="15" hidden="false" customHeight="false" outlineLevel="0" collapsed="false">
      <c r="B585" s="57"/>
      <c r="C585" s="58"/>
      <c r="D585" s="58"/>
      <c r="E585" s="59"/>
      <c r="F585" s="58"/>
      <c r="G585" s="58"/>
      <c r="H585" s="60" t="str">
        <f aca="false">IF(OR(E585="",D585=""),"",IF(K585=0,"Expense / Gasto",INDEX(Budget!$C$7:$C$41,K585)))</f>
        <v/>
      </c>
      <c r="I585" s="60" t="str">
        <f aca="false">IF(AND(B585="",E585=""),"",IF(NOT(ISNUMBER(B585)),"⚠ ADD DATE / AGREGA FECHA",IF(E585="","⚠ ADD AMOUNT / AGREGA MONTO",IF(D585="","⚠ ADD CATEGORY / AGREGA CATEGORÍA",IF(K585=0,"● NEW CATEGORY? / ¿CATEGORÍA NUEVA?","✔ OK")))))</f>
        <v/>
      </c>
      <c r="K585" s="56" t="str">
        <f aca="false">IF(D585="","",IFERROR(MATCH(D585,Budget!$B$7:$B$41,0),0))</f>
        <v/>
      </c>
      <c r="L585" s="56" t="n">
        <f aca="false">IF(AND(ISNUMBER(B585),ISNUMBER(E585),D585&lt;&gt;""),YEAR(B585)*100+MONTH(B585),0)</f>
        <v>0</v>
      </c>
      <c r="M585" s="56" t="n">
        <f aca="false">IF(L585=0,0,YEAR(B585))</f>
        <v>0</v>
      </c>
      <c r="N585" s="56" t="str">
        <f aca="false">IF(L585=0,"",IF(K585=0,"Wants / Gustos",INDEX(Budget!$D$7:$D$41,K585)))</f>
        <v/>
      </c>
    </row>
    <row r="586" customFormat="false" ht="15" hidden="false" customHeight="false" outlineLevel="0" collapsed="false">
      <c r="B586" s="57"/>
      <c r="C586" s="58"/>
      <c r="D586" s="58"/>
      <c r="E586" s="59"/>
      <c r="F586" s="58"/>
      <c r="G586" s="58"/>
      <c r="H586" s="60" t="str">
        <f aca="false">IF(OR(E586="",D586=""),"",IF(K586=0,"Expense / Gasto",INDEX(Budget!$C$7:$C$41,K586)))</f>
        <v/>
      </c>
      <c r="I586" s="60" t="str">
        <f aca="false">IF(AND(B586="",E586=""),"",IF(NOT(ISNUMBER(B586)),"⚠ ADD DATE / AGREGA FECHA",IF(E586="","⚠ ADD AMOUNT / AGREGA MONTO",IF(D586="","⚠ ADD CATEGORY / AGREGA CATEGORÍA",IF(K586=0,"● NEW CATEGORY? / ¿CATEGORÍA NUEVA?","✔ OK")))))</f>
        <v/>
      </c>
      <c r="K586" s="56" t="str">
        <f aca="false">IF(D586="","",IFERROR(MATCH(D586,Budget!$B$7:$B$41,0),0))</f>
        <v/>
      </c>
      <c r="L586" s="56" t="n">
        <f aca="false">IF(AND(ISNUMBER(B586),ISNUMBER(E586),D586&lt;&gt;""),YEAR(B586)*100+MONTH(B586),0)</f>
        <v>0</v>
      </c>
      <c r="M586" s="56" t="n">
        <f aca="false">IF(L586=0,0,YEAR(B586))</f>
        <v>0</v>
      </c>
      <c r="N586" s="56" t="str">
        <f aca="false">IF(L586=0,"",IF(K586=0,"Wants / Gustos",INDEX(Budget!$D$7:$D$41,K586)))</f>
        <v/>
      </c>
    </row>
    <row r="587" customFormat="false" ht="15" hidden="false" customHeight="false" outlineLevel="0" collapsed="false">
      <c r="B587" s="57"/>
      <c r="C587" s="58"/>
      <c r="D587" s="58"/>
      <c r="E587" s="59"/>
      <c r="F587" s="58"/>
      <c r="G587" s="58"/>
      <c r="H587" s="60" t="str">
        <f aca="false">IF(OR(E587="",D587=""),"",IF(K587=0,"Expense / Gasto",INDEX(Budget!$C$7:$C$41,K587)))</f>
        <v/>
      </c>
      <c r="I587" s="60" t="str">
        <f aca="false">IF(AND(B587="",E587=""),"",IF(NOT(ISNUMBER(B587)),"⚠ ADD DATE / AGREGA FECHA",IF(E587="","⚠ ADD AMOUNT / AGREGA MONTO",IF(D587="","⚠ ADD CATEGORY / AGREGA CATEGORÍA",IF(K587=0,"● NEW CATEGORY? / ¿CATEGORÍA NUEVA?","✔ OK")))))</f>
        <v/>
      </c>
      <c r="K587" s="56" t="str">
        <f aca="false">IF(D587="","",IFERROR(MATCH(D587,Budget!$B$7:$B$41,0),0))</f>
        <v/>
      </c>
      <c r="L587" s="56" t="n">
        <f aca="false">IF(AND(ISNUMBER(B587),ISNUMBER(E587),D587&lt;&gt;""),YEAR(B587)*100+MONTH(B587),0)</f>
        <v>0</v>
      </c>
      <c r="M587" s="56" t="n">
        <f aca="false">IF(L587=0,0,YEAR(B587))</f>
        <v>0</v>
      </c>
      <c r="N587" s="56" t="str">
        <f aca="false">IF(L587=0,"",IF(K587=0,"Wants / Gustos",INDEX(Budget!$D$7:$D$41,K587)))</f>
        <v/>
      </c>
    </row>
    <row r="588" customFormat="false" ht="15" hidden="false" customHeight="false" outlineLevel="0" collapsed="false">
      <c r="B588" s="57"/>
      <c r="C588" s="58"/>
      <c r="D588" s="58"/>
      <c r="E588" s="59"/>
      <c r="F588" s="58"/>
      <c r="G588" s="58"/>
      <c r="H588" s="60" t="str">
        <f aca="false">IF(OR(E588="",D588=""),"",IF(K588=0,"Expense / Gasto",INDEX(Budget!$C$7:$C$41,K588)))</f>
        <v/>
      </c>
      <c r="I588" s="60" t="str">
        <f aca="false">IF(AND(B588="",E588=""),"",IF(NOT(ISNUMBER(B588)),"⚠ ADD DATE / AGREGA FECHA",IF(E588="","⚠ ADD AMOUNT / AGREGA MONTO",IF(D588="","⚠ ADD CATEGORY / AGREGA CATEGORÍA",IF(K588=0,"● NEW CATEGORY? / ¿CATEGORÍA NUEVA?","✔ OK")))))</f>
        <v/>
      </c>
      <c r="K588" s="56" t="str">
        <f aca="false">IF(D588="","",IFERROR(MATCH(D588,Budget!$B$7:$B$41,0),0))</f>
        <v/>
      </c>
      <c r="L588" s="56" t="n">
        <f aca="false">IF(AND(ISNUMBER(B588),ISNUMBER(E588),D588&lt;&gt;""),YEAR(B588)*100+MONTH(B588),0)</f>
        <v>0</v>
      </c>
      <c r="M588" s="56" t="n">
        <f aca="false">IF(L588=0,0,YEAR(B588))</f>
        <v>0</v>
      </c>
      <c r="N588" s="56" t="str">
        <f aca="false">IF(L588=0,"",IF(K588=0,"Wants / Gustos",INDEX(Budget!$D$7:$D$41,K588)))</f>
        <v/>
      </c>
    </row>
    <row r="589" customFormat="false" ht="15" hidden="false" customHeight="false" outlineLevel="0" collapsed="false">
      <c r="B589" s="57"/>
      <c r="C589" s="58"/>
      <c r="D589" s="58"/>
      <c r="E589" s="59"/>
      <c r="F589" s="58"/>
      <c r="G589" s="58"/>
      <c r="H589" s="60" t="str">
        <f aca="false">IF(OR(E589="",D589=""),"",IF(K589=0,"Expense / Gasto",INDEX(Budget!$C$7:$C$41,K589)))</f>
        <v/>
      </c>
      <c r="I589" s="60" t="str">
        <f aca="false">IF(AND(B589="",E589=""),"",IF(NOT(ISNUMBER(B589)),"⚠ ADD DATE / AGREGA FECHA",IF(E589="","⚠ ADD AMOUNT / AGREGA MONTO",IF(D589="","⚠ ADD CATEGORY / AGREGA CATEGORÍA",IF(K589=0,"● NEW CATEGORY? / ¿CATEGORÍA NUEVA?","✔ OK")))))</f>
        <v/>
      </c>
      <c r="K589" s="56" t="str">
        <f aca="false">IF(D589="","",IFERROR(MATCH(D589,Budget!$B$7:$B$41,0),0))</f>
        <v/>
      </c>
      <c r="L589" s="56" t="n">
        <f aca="false">IF(AND(ISNUMBER(B589),ISNUMBER(E589),D589&lt;&gt;""),YEAR(B589)*100+MONTH(B589),0)</f>
        <v>0</v>
      </c>
      <c r="M589" s="56" t="n">
        <f aca="false">IF(L589=0,0,YEAR(B589))</f>
        <v>0</v>
      </c>
      <c r="N589" s="56" t="str">
        <f aca="false">IF(L589=0,"",IF(K589=0,"Wants / Gustos",INDEX(Budget!$D$7:$D$41,K589)))</f>
        <v/>
      </c>
    </row>
    <row r="590" customFormat="false" ht="15" hidden="false" customHeight="false" outlineLevel="0" collapsed="false">
      <c r="B590" s="57"/>
      <c r="C590" s="58"/>
      <c r="D590" s="58"/>
      <c r="E590" s="59"/>
      <c r="F590" s="58"/>
      <c r="G590" s="58"/>
      <c r="H590" s="60" t="str">
        <f aca="false">IF(OR(E590="",D590=""),"",IF(K590=0,"Expense / Gasto",INDEX(Budget!$C$7:$C$41,K590)))</f>
        <v/>
      </c>
      <c r="I590" s="60" t="str">
        <f aca="false">IF(AND(B590="",E590=""),"",IF(NOT(ISNUMBER(B590)),"⚠ ADD DATE / AGREGA FECHA",IF(E590="","⚠ ADD AMOUNT / AGREGA MONTO",IF(D590="","⚠ ADD CATEGORY / AGREGA CATEGORÍA",IF(K590=0,"● NEW CATEGORY? / ¿CATEGORÍA NUEVA?","✔ OK")))))</f>
        <v/>
      </c>
      <c r="K590" s="56" t="str">
        <f aca="false">IF(D590="","",IFERROR(MATCH(D590,Budget!$B$7:$B$41,0),0))</f>
        <v/>
      </c>
      <c r="L590" s="56" t="n">
        <f aca="false">IF(AND(ISNUMBER(B590),ISNUMBER(E590),D590&lt;&gt;""),YEAR(B590)*100+MONTH(B590),0)</f>
        <v>0</v>
      </c>
      <c r="M590" s="56" t="n">
        <f aca="false">IF(L590=0,0,YEAR(B590))</f>
        <v>0</v>
      </c>
      <c r="N590" s="56" t="str">
        <f aca="false">IF(L590=0,"",IF(K590=0,"Wants / Gustos",INDEX(Budget!$D$7:$D$41,K590)))</f>
        <v/>
      </c>
    </row>
    <row r="591" customFormat="false" ht="15" hidden="false" customHeight="false" outlineLevel="0" collapsed="false">
      <c r="B591" s="57"/>
      <c r="C591" s="58"/>
      <c r="D591" s="58"/>
      <c r="E591" s="59"/>
      <c r="F591" s="58"/>
      <c r="G591" s="58"/>
      <c r="H591" s="60" t="str">
        <f aca="false">IF(OR(E591="",D591=""),"",IF(K591=0,"Expense / Gasto",INDEX(Budget!$C$7:$C$41,K591)))</f>
        <v/>
      </c>
      <c r="I591" s="60" t="str">
        <f aca="false">IF(AND(B591="",E591=""),"",IF(NOT(ISNUMBER(B591)),"⚠ ADD DATE / AGREGA FECHA",IF(E591="","⚠ ADD AMOUNT / AGREGA MONTO",IF(D591="","⚠ ADD CATEGORY / AGREGA CATEGORÍA",IF(K591=0,"● NEW CATEGORY? / ¿CATEGORÍA NUEVA?","✔ OK")))))</f>
        <v/>
      </c>
      <c r="K591" s="56" t="str">
        <f aca="false">IF(D591="","",IFERROR(MATCH(D591,Budget!$B$7:$B$41,0),0))</f>
        <v/>
      </c>
      <c r="L591" s="56" t="n">
        <f aca="false">IF(AND(ISNUMBER(B591),ISNUMBER(E591),D591&lt;&gt;""),YEAR(B591)*100+MONTH(B591),0)</f>
        <v>0</v>
      </c>
      <c r="M591" s="56" t="n">
        <f aca="false">IF(L591=0,0,YEAR(B591))</f>
        <v>0</v>
      </c>
      <c r="N591" s="56" t="str">
        <f aca="false">IF(L591=0,"",IF(K591=0,"Wants / Gustos",INDEX(Budget!$D$7:$D$41,K591)))</f>
        <v/>
      </c>
    </row>
    <row r="592" customFormat="false" ht="15" hidden="false" customHeight="false" outlineLevel="0" collapsed="false">
      <c r="B592" s="57"/>
      <c r="C592" s="58"/>
      <c r="D592" s="58"/>
      <c r="E592" s="59"/>
      <c r="F592" s="58"/>
      <c r="G592" s="58"/>
      <c r="H592" s="60" t="str">
        <f aca="false">IF(OR(E592="",D592=""),"",IF(K592=0,"Expense / Gasto",INDEX(Budget!$C$7:$C$41,K592)))</f>
        <v/>
      </c>
      <c r="I592" s="60" t="str">
        <f aca="false">IF(AND(B592="",E592=""),"",IF(NOT(ISNUMBER(B592)),"⚠ ADD DATE / AGREGA FECHA",IF(E592="","⚠ ADD AMOUNT / AGREGA MONTO",IF(D592="","⚠ ADD CATEGORY / AGREGA CATEGORÍA",IF(K592=0,"● NEW CATEGORY? / ¿CATEGORÍA NUEVA?","✔ OK")))))</f>
        <v/>
      </c>
      <c r="K592" s="56" t="str">
        <f aca="false">IF(D592="","",IFERROR(MATCH(D592,Budget!$B$7:$B$41,0),0))</f>
        <v/>
      </c>
      <c r="L592" s="56" t="n">
        <f aca="false">IF(AND(ISNUMBER(B592),ISNUMBER(E592),D592&lt;&gt;""),YEAR(B592)*100+MONTH(B592),0)</f>
        <v>0</v>
      </c>
      <c r="M592" s="56" t="n">
        <f aca="false">IF(L592=0,0,YEAR(B592))</f>
        <v>0</v>
      </c>
      <c r="N592" s="56" t="str">
        <f aca="false">IF(L592=0,"",IF(K592=0,"Wants / Gustos",INDEX(Budget!$D$7:$D$41,K592)))</f>
        <v/>
      </c>
    </row>
    <row r="593" customFormat="false" ht="15" hidden="false" customHeight="false" outlineLevel="0" collapsed="false">
      <c r="B593" s="57"/>
      <c r="C593" s="58"/>
      <c r="D593" s="58"/>
      <c r="E593" s="59"/>
      <c r="F593" s="58"/>
      <c r="G593" s="58"/>
      <c r="H593" s="60" t="str">
        <f aca="false">IF(OR(E593="",D593=""),"",IF(K593=0,"Expense / Gasto",INDEX(Budget!$C$7:$C$41,K593)))</f>
        <v/>
      </c>
      <c r="I593" s="60" t="str">
        <f aca="false">IF(AND(B593="",E593=""),"",IF(NOT(ISNUMBER(B593)),"⚠ ADD DATE / AGREGA FECHA",IF(E593="","⚠ ADD AMOUNT / AGREGA MONTO",IF(D593="","⚠ ADD CATEGORY / AGREGA CATEGORÍA",IF(K593=0,"● NEW CATEGORY? / ¿CATEGORÍA NUEVA?","✔ OK")))))</f>
        <v/>
      </c>
      <c r="K593" s="56" t="str">
        <f aca="false">IF(D593="","",IFERROR(MATCH(D593,Budget!$B$7:$B$41,0),0))</f>
        <v/>
      </c>
      <c r="L593" s="56" t="n">
        <f aca="false">IF(AND(ISNUMBER(B593),ISNUMBER(E593),D593&lt;&gt;""),YEAR(B593)*100+MONTH(B593),0)</f>
        <v>0</v>
      </c>
      <c r="M593" s="56" t="n">
        <f aca="false">IF(L593=0,0,YEAR(B593))</f>
        <v>0</v>
      </c>
      <c r="N593" s="56" t="str">
        <f aca="false">IF(L593=0,"",IF(K593=0,"Wants / Gustos",INDEX(Budget!$D$7:$D$41,K593)))</f>
        <v/>
      </c>
    </row>
    <row r="594" customFormat="false" ht="15" hidden="false" customHeight="false" outlineLevel="0" collapsed="false">
      <c r="B594" s="57"/>
      <c r="C594" s="58"/>
      <c r="D594" s="58"/>
      <c r="E594" s="59"/>
      <c r="F594" s="58"/>
      <c r="G594" s="58"/>
      <c r="H594" s="60" t="str">
        <f aca="false">IF(OR(E594="",D594=""),"",IF(K594=0,"Expense / Gasto",INDEX(Budget!$C$7:$C$41,K594)))</f>
        <v/>
      </c>
      <c r="I594" s="60" t="str">
        <f aca="false">IF(AND(B594="",E594=""),"",IF(NOT(ISNUMBER(B594)),"⚠ ADD DATE / AGREGA FECHA",IF(E594="","⚠ ADD AMOUNT / AGREGA MONTO",IF(D594="","⚠ ADD CATEGORY / AGREGA CATEGORÍA",IF(K594=0,"● NEW CATEGORY? / ¿CATEGORÍA NUEVA?","✔ OK")))))</f>
        <v/>
      </c>
      <c r="K594" s="56" t="str">
        <f aca="false">IF(D594="","",IFERROR(MATCH(D594,Budget!$B$7:$B$41,0),0))</f>
        <v/>
      </c>
      <c r="L594" s="56" t="n">
        <f aca="false">IF(AND(ISNUMBER(B594),ISNUMBER(E594),D594&lt;&gt;""),YEAR(B594)*100+MONTH(B594),0)</f>
        <v>0</v>
      </c>
      <c r="M594" s="56" t="n">
        <f aca="false">IF(L594=0,0,YEAR(B594))</f>
        <v>0</v>
      </c>
      <c r="N594" s="56" t="str">
        <f aca="false">IF(L594=0,"",IF(K594=0,"Wants / Gustos",INDEX(Budget!$D$7:$D$41,K594)))</f>
        <v/>
      </c>
    </row>
    <row r="595" customFormat="false" ht="15" hidden="false" customHeight="false" outlineLevel="0" collapsed="false">
      <c r="B595" s="57"/>
      <c r="C595" s="58"/>
      <c r="D595" s="58"/>
      <c r="E595" s="59"/>
      <c r="F595" s="58"/>
      <c r="G595" s="58"/>
      <c r="H595" s="60" t="str">
        <f aca="false">IF(OR(E595="",D595=""),"",IF(K595=0,"Expense / Gasto",INDEX(Budget!$C$7:$C$41,K595)))</f>
        <v/>
      </c>
      <c r="I595" s="60" t="str">
        <f aca="false">IF(AND(B595="",E595=""),"",IF(NOT(ISNUMBER(B595)),"⚠ ADD DATE / AGREGA FECHA",IF(E595="","⚠ ADD AMOUNT / AGREGA MONTO",IF(D595="","⚠ ADD CATEGORY / AGREGA CATEGORÍA",IF(K595=0,"● NEW CATEGORY? / ¿CATEGORÍA NUEVA?","✔ OK")))))</f>
        <v/>
      </c>
      <c r="K595" s="56" t="str">
        <f aca="false">IF(D595="","",IFERROR(MATCH(D595,Budget!$B$7:$B$41,0),0))</f>
        <v/>
      </c>
      <c r="L595" s="56" t="n">
        <f aca="false">IF(AND(ISNUMBER(B595),ISNUMBER(E595),D595&lt;&gt;""),YEAR(B595)*100+MONTH(B595),0)</f>
        <v>0</v>
      </c>
      <c r="M595" s="56" t="n">
        <f aca="false">IF(L595=0,0,YEAR(B595))</f>
        <v>0</v>
      </c>
      <c r="N595" s="56" t="str">
        <f aca="false">IF(L595=0,"",IF(K595=0,"Wants / Gustos",INDEX(Budget!$D$7:$D$41,K595)))</f>
        <v/>
      </c>
    </row>
    <row r="596" customFormat="false" ht="15" hidden="false" customHeight="false" outlineLevel="0" collapsed="false">
      <c r="B596" s="57"/>
      <c r="C596" s="58"/>
      <c r="D596" s="58"/>
      <c r="E596" s="59"/>
      <c r="F596" s="58"/>
      <c r="G596" s="58"/>
      <c r="H596" s="60" t="str">
        <f aca="false">IF(OR(E596="",D596=""),"",IF(K596=0,"Expense / Gasto",INDEX(Budget!$C$7:$C$41,K596)))</f>
        <v/>
      </c>
      <c r="I596" s="60" t="str">
        <f aca="false">IF(AND(B596="",E596=""),"",IF(NOT(ISNUMBER(B596)),"⚠ ADD DATE / AGREGA FECHA",IF(E596="","⚠ ADD AMOUNT / AGREGA MONTO",IF(D596="","⚠ ADD CATEGORY / AGREGA CATEGORÍA",IF(K596=0,"● NEW CATEGORY? / ¿CATEGORÍA NUEVA?","✔ OK")))))</f>
        <v/>
      </c>
      <c r="K596" s="56" t="str">
        <f aca="false">IF(D596="","",IFERROR(MATCH(D596,Budget!$B$7:$B$41,0),0))</f>
        <v/>
      </c>
      <c r="L596" s="56" t="n">
        <f aca="false">IF(AND(ISNUMBER(B596),ISNUMBER(E596),D596&lt;&gt;""),YEAR(B596)*100+MONTH(B596),0)</f>
        <v>0</v>
      </c>
      <c r="M596" s="56" t="n">
        <f aca="false">IF(L596=0,0,YEAR(B596))</f>
        <v>0</v>
      </c>
      <c r="N596" s="56" t="str">
        <f aca="false">IF(L596=0,"",IF(K596=0,"Wants / Gustos",INDEX(Budget!$D$7:$D$41,K596)))</f>
        <v/>
      </c>
    </row>
    <row r="597" customFormat="false" ht="15" hidden="false" customHeight="false" outlineLevel="0" collapsed="false">
      <c r="B597" s="57"/>
      <c r="C597" s="58"/>
      <c r="D597" s="58"/>
      <c r="E597" s="59"/>
      <c r="F597" s="58"/>
      <c r="G597" s="58"/>
      <c r="H597" s="60" t="str">
        <f aca="false">IF(OR(E597="",D597=""),"",IF(K597=0,"Expense / Gasto",INDEX(Budget!$C$7:$C$41,K597)))</f>
        <v/>
      </c>
      <c r="I597" s="60" t="str">
        <f aca="false">IF(AND(B597="",E597=""),"",IF(NOT(ISNUMBER(B597)),"⚠ ADD DATE / AGREGA FECHA",IF(E597="","⚠ ADD AMOUNT / AGREGA MONTO",IF(D597="","⚠ ADD CATEGORY / AGREGA CATEGORÍA",IF(K597=0,"● NEW CATEGORY? / ¿CATEGORÍA NUEVA?","✔ OK")))))</f>
        <v/>
      </c>
      <c r="K597" s="56" t="str">
        <f aca="false">IF(D597="","",IFERROR(MATCH(D597,Budget!$B$7:$B$41,0),0))</f>
        <v/>
      </c>
      <c r="L597" s="56" t="n">
        <f aca="false">IF(AND(ISNUMBER(B597),ISNUMBER(E597),D597&lt;&gt;""),YEAR(B597)*100+MONTH(B597),0)</f>
        <v>0</v>
      </c>
      <c r="M597" s="56" t="n">
        <f aca="false">IF(L597=0,0,YEAR(B597))</f>
        <v>0</v>
      </c>
      <c r="N597" s="56" t="str">
        <f aca="false">IF(L597=0,"",IF(K597=0,"Wants / Gustos",INDEX(Budget!$D$7:$D$41,K597)))</f>
        <v/>
      </c>
    </row>
    <row r="598" customFormat="false" ht="15" hidden="false" customHeight="false" outlineLevel="0" collapsed="false">
      <c r="B598" s="57"/>
      <c r="C598" s="58"/>
      <c r="D598" s="58"/>
      <c r="E598" s="59"/>
      <c r="F598" s="58"/>
      <c r="G598" s="58"/>
      <c r="H598" s="60" t="str">
        <f aca="false">IF(OR(E598="",D598=""),"",IF(K598=0,"Expense / Gasto",INDEX(Budget!$C$7:$C$41,K598)))</f>
        <v/>
      </c>
      <c r="I598" s="60" t="str">
        <f aca="false">IF(AND(B598="",E598=""),"",IF(NOT(ISNUMBER(B598)),"⚠ ADD DATE / AGREGA FECHA",IF(E598="","⚠ ADD AMOUNT / AGREGA MONTO",IF(D598="","⚠ ADD CATEGORY / AGREGA CATEGORÍA",IF(K598=0,"● NEW CATEGORY? / ¿CATEGORÍA NUEVA?","✔ OK")))))</f>
        <v/>
      </c>
      <c r="K598" s="56" t="str">
        <f aca="false">IF(D598="","",IFERROR(MATCH(D598,Budget!$B$7:$B$41,0),0))</f>
        <v/>
      </c>
      <c r="L598" s="56" t="n">
        <f aca="false">IF(AND(ISNUMBER(B598),ISNUMBER(E598),D598&lt;&gt;""),YEAR(B598)*100+MONTH(B598),0)</f>
        <v>0</v>
      </c>
      <c r="M598" s="56" t="n">
        <f aca="false">IF(L598=0,0,YEAR(B598))</f>
        <v>0</v>
      </c>
      <c r="N598" s="56" t="str">
        <f aca="false">IF(L598=0,"",IF(K598=0,"Wants / Gustos",INDEX(Budget!$D$7:$D$41,K598)))</f>
        <v/>
      </c>
    </row>
    <row r="599" customFormat="false" ht="15" hidden="false" customHeight="false" outlineLevel="0" collapsed="false">
      <c r="B599" s="57"/>
      <c r="C599" s="58"/>
      <c r="D599" s="58"/>
      <c r="E599" s="59"/>
      <c r="F599" s="58"/>
      <c r="G599" s="58"/>
      <c r="H599" s="60" t="str">
        <f aca="false">IF(OR(E599="",D599=""),"",IF(K599=0,"Expense / Gasto",INDEX(Budget!$C$7:$C$41,K599)))</f>
        <v/>
      </c>
      <c r="I599" s="60" t="str">
        <f aca="false">IF(AND(B599="",E599=""),"",IF(NOT(ISNUMBER(B599)),"⚠ ADD DATE / AGREGA FECHA",IF(E599="","⚠ ADD AMOUNT / AGREGA MONTO",IF(D599="","⚠ ADD CATEGORY / AGREGA CATEGORÍA",IF(K599=0,"● NEW CATEGORY? / ¿CATEGORÍA NUEVA?","✔ OK")))))</f>
        <v/>
      </c>
      <c r="K599" s="56" t="str">
        <f aca="false">IF(D599="","",IFERROR(MATCH(D599,Budget!$B$7:$B$41,0),0))</f>
        <v/>
      </c>
      <c r="L599" s="56" t="n">
        <f aca="false">IF(AND(ISNUMBER(B599),ISNUMBER(E599),D599&lt;&gt;""),YEAR(B599)*100+MONTH(B599),0)</f>
        <v>0</v>
      </c>
      <c r="M599" s="56" t="n">
        <f aca="false">IF(L599=0,0,YEAR(B599))</f>
        <v>0</v>
      </c>
      <c r="N599" s="56" t="str">
        <f aca="false">IF(L599=0,"",IF(K599=0,"Wants / Gustos",INDEX(Budget!$D$7:$D$41,K599)))</f>
        <v/>
      </c>
    </row>
    <row r="600" customFormat="false" ht="15" hidden="false" customHeight="false" outlineLevel="0" collapsed="false">
      <c r="B600" s="57"/>
      <c r="C600" s="58"/>
      <c r="D600" s="58"/>
      <c r="E600" s="59"/>
      <c r="F600" s="58"/>
      <c r="G600" s="58"/>
      <c r="H600" s="60" t="str">
        <f aca="false">IF(OR(E600="",D600=""),"",IF(K600=0,"Expense / Gasto",INDEX(Budget!$C$7:$C$41,K600)))</f>
        <v/>
      </c>
      <c r="I600" s="60" t="str">
        <f aca="false">IF(AND(B600="",E600=""),"",IF(NOT(ISNUMBER(B600)),"⚠ ADD DATE / AGREGA FECHA",IF(E600="","⚠ ADD AMOUNT / AGREGA MONTO",IF(D600="","⚠ ADD CATEGORY / AGREGA CATEGORÍA",IF(K600=0,"● NEW CATEGORY? / ¿CATEGORÍA NUEVA?","✔ OK")))))</f>
        <v/>
      </c>
      <c r="K600" s="56" t="str">
        <f aca="false">IF(D600="","",IFERROR(MATCH(D600,Budget!$B$7:$B$41,0),0))</f>
        <v/>
      </c>
      <c r="L600" s="56" t="n">
        <f aca="false">IF(AND(ISNUMBER(B600),ISNUMBER(E600),D600&lt;&gt;""),YEAR(B600)*100+MONTH(B600),0)</f>
        <v>0</v>
      </c>
      <c r="M600" s="56" t="n">
        <f aca="false">IF(L600=0,0,YEAR(B600))</f>
        <v>0</v>
      </c>
      <c r="N600" s="56" t="str">
        <f aca="false">IF(L600=0,"",IF(K600=0,"Wants / Gustos",INDEX(Budget!$D$7:$D$41,K600)))</f>
        <v/>
      </c>
    </row>
    <row r="601" customFormat="false" ht="15" hidden="false" customHeight="false" outlineLevel="0" collapsed="false">
      <c r="B601" s="57"/>
      <c r="C601" s="58"/>
      <c r="D601" s="58"/>
      <c r="E601" s="59"/>
      <c r="F601" s="58"/>
      <c r="G601" s="58"/>
      <c r="H601" s="60" t="str">
        <f aca="false">IF(OR(E601="",D601=""),"",IF(K601=0,"Expense / Gasto",INDEX(Budget!$C$7:$C$41,K601)))</f>
        <v/>
      </c>
      <c r="I601" s="60" t="str">
        <f aca="false">IF(AND(B601="",E601=""),"",IF(NOT(ISNUMBER(B601)),"⚠ ADD DATE / AGREGA FECHA",IF(E601="","⚠ ADD AMOUNT / AGREGA MONTO",IF(D601="","⚠ ADD CATEGORY / AGREGA CATEGORÍA",IF(K601=0,"● NEW CATEGORY? / ¿CATEGORÍA NUEVA?","✔ OK")))))</f>
        <v/>
      </c>
      <c r="K601" s="56" t="str">
        <f aca="false">IF(D601="","",IFERROR(MATCH(D601,Budget!$B$7:$B$41,0),0))</f>
        <v/>
      </c>
      <c r="L601" s="56" t="n">
        <f aca="false">IF(AND(ISNUMBER(B601),ISNUMBER(E601),D601&lt;&gt;""),YEAR(B601)*100+MONTH(B601),0)</f>
        <v>0</v>
      </c>
      <c r="M601" s="56" t="n">
        <f aca="false">IF(L601=0,0,YEAR(B601))</f>
        <v>0</v>
      </c>
      <c r="N601" s="56" t="str">
        <f aca="false">IF(L601=0,"",IF(K601=0,"Wants / Gustos",INDEX(Budget!$D$7:$D$41,K601)))</f>
        <v/>
      </c>
    </row>
    <row r="602" customFormat="false" ht="15" hidden="false" customHeight="false" outlineLevel="0" collapsed="false">
      <c r="B602" s="57"/>
      <c r="C602" s="58"/>
      <c r="D602" s="58"/>
      <c r="E602" s="59"/>
      <c r="F602" s="58"/>
      <c r="G602" s="58"/>
      <c r="H602" s="60" t="str">
        <f aca="false">IF(OR(E602="",D602=""),"",IF(K602=0,"Expense / Gasto",INDEX(Budget!$C$7:$C$41,K602)))</f>
        <v/>
      </c>
      <c r="I602" s="60" t="str">
        <f aca="false">IF(AND(B602="",E602=""),"",IF(NOT(ISNUMBER(B602)),"⚠ ADD DATE / AGREGA FECHA",IF(E602="","⚠ ADD AMOUNT / AGREGA MONTO",IF(D602="","⚠ ADD CATEGORY / AGREGA CATEGORÍA",IF(K602=0,"● NEW CATEGORY? / ¿CATEGORÍA NUEVA?","✔ OK")))))</f>
        <v/>
      </c>
      <c r="K602" s="56" t="str">
        <f aca="false">IF(D602="","",IFERROR(MATCH(D602,Budget!$B$7:$B$41,0),0))</f>
        <v/>
      </c>
      <c r="L602" s="56" t="n">
        <f aca="false">IF(AND(ISNUMBER(B602),ISNUMBER(E602),D602&lt;&gt;""),YEAR(B602)*100+MONTH(B602),0)</f>
        <v>0</v>
      </c>
      <c r="M602" s="56" t="n">
        <f aca="false">IF(L602=0,0,YEAR(B602))</f>
        <v>0</v>
      </c>
      <c r="N602" s="56" t="str">
        <f aca="false">IF(L602=0,"",IF(K602=0,"Wants / Gustos",INDEX(Budget!$D$7:$D$41,K602)))</f>
        <v/>
      </c>
    </row>
    <row r="603" customFormat="false" ht="15" hidden="false" customHeight="false" outlineLevel="0" collapsed="false">
      <c r="B603" s="57"/>
      <c r="C603" s="58"/>
      <c r="D603" s="58"/>
      <c r="E603" s="59"/>
      <c r="F603" s="58"/>
      <c r="G603" s="58"/>
      <c r="H603" s="60" t="str">
        <f aca="false">IF(OR(E603="",D603=""),"",IF(K603=0,"Expense / Gasto",INDEX(Budget!$C$7:$C$41,K603)))</f>
        <v/>
      </c>
      <c r="I603" s="60" t="str">
        <f aca="false">IF(AND(B603="",E603=""),"",IF(NOT(ISNUMBER(B603)),"⚠ ADD DATE / AGREGA FECHA",IF(E603="","⚠ ADD AMOUNT / AGREGA MONTO",IF(D603="","⚠ ADD CATEGORY / AGREGA CATEGORÍA",IF(K603=0,"● NEW CATEGORY? / ¿CATEGORÍA NUEVA?","✔ OK")))))</f>
        <v/>
      </c>
      <c r="K603" s="56" t="str">
        <f aca="false">IF(D603="","",IFERROR(MATCH(D603,Budget!$B$7:$B$41,0),0))</f>
        <v/>
      </c>
      <c r="L603" s="56" t="n">
        <f aca="false">IF(AND(ISNUMBER(B603),ISNUMBER(E603),D603&lt;&gt;""),YEAR(B603)*100+MONTH(B603),0)</f>
        <v>0</v>
      </c>
      <c r="M603" s="56" t="n">
        <f aca="false">IF(L603=0,0,YEAR(B603))</f>
        <v>0</v>
      </c>
      <c r="N603" s="56" t="str">
        <f aca="false">IF(L603=0,"",IF(K603=0,"Wants / Gustos",INDEX(Budget!$D$7:$D$41,K603)))</f>
        <v/>
      </c>
    </row>
    <row r="604" customFormat="false" ht="15" hidden="false" customHeight="false" outlineLevel="0" collapsed="false">
      <c r="B604" s="57"/>
      <c r="C604" s="58"/>
      <c r="D604" s="58"/>
      <c r="E604" s="59"/>
      <c r="F604" s="58"/>
      <c r="G604" s="58"/>
      <c r="H604" s="60" t="str">
        <f aca="false">IF(OR(E604="",D604=""),"",IF(K604=0,"Expense / Gasto",INDEX(Budget!$C$7:$C$41,K604)))</f>
        <v/>
      </c>
      <c r="I604" s="60" t="str">
        <f aca="false">IF(AND(B604="",E604=""),"",IF(NOT(ISNUMBER(B604)),"⚠ ADD DATE / AGREGA FECHA",IF(E604="","⚠ ADD AMOUNT / AGREGA MONTO",IF(D604="","⚠ ADD CATEGORY / AGREGA CATEGORÍA",IF(K604=0,"● NEW CATEGORY? / ¿CATEGORÍA NUEVA?","✔ OK")))))</f>
        <v/>
      </c>
      <c r="K604" s="56" t="str">
        <f aca="false">IF(D604="","",IFERROR(MATCH(D604,Budget!$B$7:$B$41,0),0))</f>
        <v/>
      </c>
      <c r="L604" s="56" t="n">
        <f aca="false">IF(AND(ISNUMBER(B604),ISNUMBER(E604),D604&lt;&gt;""),YEAR(B604)*100+MONTH(B604),0)</f>
        <v>0</v>
      </c>
      <c r="M604" s="56" t="n">
        <f aca="false">IF(L604=0,0,YEAR(B604))</f>
        <v>0</v>
      </c>
      <c r="N604" s="56" t="str">
        <f aca="false">IF(L604=0,"",IF(K604=0,"Wants / Gustos",INDEX(Budget!$D$7:$D$41,K604)))</f>
        <v/>
      </c>
    </row>
    <row r="605" customFormat="false" ht="15" hidden="false" customHeight="false" outlineLevel="0" collapsed="false">
      <c r="B605" s="57"/>
      <c r="C605" s="58"/>
      <c r="D605" s="58"/>
      <c r="E605" s="59"/>
      <c r="F605" s="58"/>
      <c r="G605" s="58"/>
      <c r="H605" s="60" t="str">
        <f aca="false">IF(OR(E605="",D605=""),"",IF(K605=0,"Expense / Gasto",INDEX(Budget!$C$7:$C$41,K605)))</f>
        <v/>
      </c>
      <c r="I605" s="60" t="str">
        <f aca="false">IF(AND(B605="",E605=""),"",IF(NOT(ISNUMBER(B605)),"⚠ ADD DATE / AGREGA FECHA",IF(E605="","⚠ ADD AMOUNT / AGREGA MONTO",IF(D605="","⚠ ADD CATEGORY / AGREGA CATEGORÍA",IF(K605=0,"● NEW CATEGORY? / ¿CATEGORÍA NUEVA?","✔ OK")))))</f>
        <v/>
      </c>
      <c r="K605" s="56" t="str">
        <f aca="false">IF(D605="","",IFERROR(MATCH(D605,Budget!$B$7:$B$41,0),0))</f>
        <v/>
      </c>
      <c r="L605" s="56" t="n">
        <f aca="false">IF(AND(ISNUMBER(B605),ISNUMBER(E605),D605&lt;&gt;""),YEAR(B605)*100+MONTH(B605),0)</f>
        <v>0</v>
      </c>
      <c r="M605" s="56" t="n">
        <f aca="false">IF(L605=0,0,YEAR(B605))</f>
        <v>0</v>
      </c>
      <c r="N605" s="56" t="str">
        <f aca="false">IF(L605=0,"",IF(K605=0,"Wants / Gustos",INDEX(Budget!$D$7:$D$41,K605)))</f>
        <v/>
      </c>
    </row>
    <row r="606" customFormat="false" ht="15" hidden="false" customHeight="false" outlineLevel="0" collapsed="false">
      <c r="B606" s="57"/>
      <c r="C606" s="58"/>
      <c r="D606" s="58"/>
      <c r="E606" s="59"/>
      <c r="F606" s="58"/>
      <c r="G606" s="58"/>
      <c r="H606" s="60" t="str">
        <f aca="false">IF(OR(E606="",D606=""),"",IF(K606=0,"Expense / Gasto",INDEX(Budget!$C$7:$C$41,K606)))</f>
        <v/>
      </c>
      <c r="I606" s="60" t="str">
        <f aca="false">IF(AND(B606="",E606=""),"",IF(NOT(ISNUMBER(B606)),"⚠ ADD DATE / AGREGA FECHA",IF(E606="","⚠ ADD AMOUNT / AGREGA MONTO",IF(D606="","⚠ ADD CATEGORY / AGREGA CATEGORÍA",IF(K606=0,"● NEW CATEGORY? / ¿CATEGORÍA NUEVA?","✔ OK")))))</f>
        <v/>
      </c>
      <c r="K606" s="56" t="str">
        <f aca="false">IF(D606="","",IFERROR(MATCH(D606,Budget!$B$7:$B$41,0),0))</f>
        <v/>
      </c>
      <c r="L606" s="56" t="n">
        <f aca="false">IF(AND(ISNUMBER(B606),ISNUMBER(E606),D606&lt;&gt;""),YEAR(B606)*100+MONTH(B606),0)</f>
        <v>0</v>
      </c>
      <c r="M606" s="56" t="n">
        <f aca="false">IF(L606=0,0,YEAR(B606))</f>
        <v>0</v>
      </c>
      <c r="N606" s="56" t="str">
        <f aca="false">IF(L606=0,"",IF(K606=0,"Wants / Gustos",INDEX(Budget!$D$7:$D$41,K606)))</f>
        <v/>
      </c>
    </row>
    <row r="607" customFormat="false" ht="15" hidden="false" customHeight="false" outlineLevel="0" collapsed="false">
      <c r="B607" s="57"/>
      <c r="C607" s="58"/>
      <c r="D607" s="58"/>
      <c r="E607" s="59"/>
      <c r="F607" s="58"/>
      <c r="G607" s="58"/>
      <c r="H607" s="60" t="str">
        <f aca="false">IF(OR(E607="",D607=""),"",IF(K607=0,"Expense / Gasto",INDEX(Budget!$C$7:$C$41,K607)))</f>
        <v/>
      </c>
      <c r="I607" s="60" t="str">
        <f aca="false">IF(AND(B607="",E607=""),"",IF(NOT(ISNUMBER(B607)),"⚠ ADD DATE / AGREGA FECHA",IF(E607="","⚠ ADD AMOUNT / AGREGA MONTO",IF(D607="","⚠ ADD CATEGORY / AGREGA CATEGORÍA",IF(K607=0,"● NEW CATEGORY? / ¿CATEGORÍA NUEVA?","✔ OK")))))</f>
        <v/>
      </c>
      <c r="K607" s="56" t="str">
        <f aca="false">IF(D607="","",IFERROR(MATCH(D607,Budget!$B$7:$B$41,0),0))</f>
        <v/>
      </c>
      <c r="L607" s="56" t="n">
        <f aca="false">IF(AND(ISNUMBER(B607),ISNUMBER(E607),D607&lt;&gt;""),YEAR(B607)*100+MONTH(B607),0)</f>
        <v>0</v>
      </c>
      <c r="M607" s="56" t="n">
        <f aca="false">IF(L607=0,0,YEAR(B607))</f>
        <v>0</v>
      </c>
      <c r="N607" s="56" t="str">
        <f aca="false">IF(L607=0,"",IF(K607=0,"Wants / Gustos",INDEX(Budget!$D$7:$D$41,K607)))</f>
        <v/>
      </c>
    </row>
    <row r="608" customFormat="false" ht="15" hidden="false" customHeight="false" outlineLevel="0" collapsed="false">
      <c r="B608" s="57"/>
      <c r="C608" s="58"/>
      <c r="D608" s="58"/>
      <c r="E608" s="59"/>
      <c r="F608" s="58"/>
      <c r="G608" s="58"/>
      <c r="H608" s="60" t="str">
        <f aca="false">IF(OR(E608="",D608=""),"",IF(K608=0,"Expense / Gasto",INDEX(Budget!$C$7:$C$41,K608)))</f>
        <v/>
      </c>
      <c r="I608" s="60" t="str">
        <f aca="false">IF(AND(B608="",E608=""),"",IF(NOT(ISNUMBER(B608)),"⚠ ADD DATE / AGREGA FECHA",IF(E608="","⚠ ADD AMOUNT / AGREGA MONTO",IF(D608="","⚠ ADD CATEGORY / AGREGA CATEGORÍA",IF(K608=0,"● NEW CATEGORY? / ¿CATEGORÍA NUEVA?","✔ OK")))))</f>
        <v/>
      </c>
      <c r="K608" s="56" t="str">
        <f aca="false">IF(D608="","",IFERROR(MATCH(D608,Budget!$B$7:$B$41,0),0))</f>
        <v/>
      </c>
      <c r="L608" s="56" t="n">
        <f aca="false">IF(AND(ISNUMBER(B608),ISNUMBER(E608),D608&lt;&gt;""),YEAR(B608)*100+MONTH(B608),0)</f>
        <v>0</v>
      </c>
      <c r="M608" s="56" t="n">
        <f aca="false">IF(L608=0,0,YEAR(B608))</f>
        <v>0</v>
      </c>
      <c r="N608" s="56" t="str">
        <f aca="false">IF(L608=0,"",IF(K608=0,"Wants / Gustos",INDEX(Budget!$D$7:$D$41,K608)))</f>
        <v/>
      </c>
    </row>
    <row r="609" customFormat="false" ht="15" hidden="false" customHeight="false" outlineLevel="0" collapsed="false">
      <c r="B609" s="57"/>
      <c r="C609" s="58"/>
      <c r="D609" s="58"/>
      <c r="E609" s="59"/>
      <c r="F609" s="58"/>
      <c r="G609" s="58"/>
      <c r="H609" s="60" t="str">
        <f aca="false">IF(OR(E609="",D609=""),"",IF(K609=0,"Expense / Gasto",INDEX(Budget!$C$7:$C$41,K609)))</f>
        <v/>
      </c>
      <c r="I609" s="60" t="str">
        <f aca="false">IF(AND(B609="",E609=""),"",IF(NOT(ISNUMBER(B609)),"⚠ ADD DATE / AGREGA FECHA",IF(E609="","⚠ ADD AMOUNT / AGREGA MONTO",IF(D609="","⚠ ADD CATEGORY / AGREGA CATEGORÍA",IF(K609=0,"● NEW CATEGORY? / ¿CATEGORÍA NUEVA?","✔ OK")))))</f>
        <v/>
      </c>
      <c r="K609" s="56" t="str">
        <f aca="false">IF(D609="","",IFERROR(MATCH(D609,Budget!$B$7:$B$41,0),0))</f>
        <v/>
      </c>
      <c r="L609" s="56" t="n">
        <f aca="false">IF(AND(ISNUMBER(B609),ISNUMBER(E609),D609&lt;&gt;""),YEAR(B609)*100+MONTH(B609),0)</f>
        <v>0</v>
      </c>
      <c r="M609" s="56" t="n">
        <f aca="false">IF(L609=0,0,YEAR(B609))</f>
        <v>0</v>
      </c>
      <c r="N609" s="56" t="str">
        <f aca="false">IF(L609=0,"",IF(K609=0,"Wants / Gustos",INDEX(Budget!$D$7:$D$41,K609)))</f>
        <v/>
      </c>
    </row>
    <row r="610" customFormat="false" ht="15" hidden="false" customHeight="false" outlineLevel="0" collapsed="false">
      <c r="B610" s="57"/>
      <c r="C610" s="58"/>
      <c r="D610" s="58"/>
      <c r="E610" s="59"/>
      <c r="F610" s="58"/>
      <c r="G610" s="58"/>
      <c r="H610" s="60" t="str">
        <f aca="false">IF(OR(E610="",D610=""),"",IF(K610=0,"Expense / Gasto",INDEX(Budget!$C$7:$C$41,K610)))</f>
        <v/>
      </c>
      <c r="I610" s="60" t="str">
        <f aca="false">IF(AND(B610="",E610=""),"",IF(NOT(ISNUMBER(B610)),"⚠ ADD DATE / AGREGA FECHA",IF(E610="","⚠ ADD AMOUNT / AGREGA MONTO",IF(D610="","⚠ ADD CATEGORY / AGREGA CATEGORÍA",IF(K610=0,"● NEW CATEGORY? / ¿CATEGORÍA NUEVA?","✔ OK")))))</f>
        <v/>
      </c>
      <c r="K610" s="56" t="str">
        <f aca="false">IF(D610="","",IFERROR(MATCH(D610,Budget!$B$7:$B$41,0),0))</f>
        <v/>
      </c>
      <c r="L610" s="56" t="n">
        <f aca="false">IF(AND(ISNUMBER(B610),ISNUMBER(E610),D610&lt;&gt;""),YEAR(B610)*100+MONTH(B610),0)</f>
        <v>0</v>
      </c>
      <c r="M610" s="56" t="n">
        <f aca="false">IF(L610=0,0,YEAR(B610))</f>
        <v>0</v>
      </c>
      <c r="N610" s="56" t="str">
        <f aca="false">IF(L610=0,"",IF(K610=0,"Wants / Gustos",INDEX(Budget!$D$7:$D$41,K610)))</f>
        <v/>
      </c>
    </row>
    <row r="611" customFormat="false" ht="15" hidden="false" customHeight="false" outlineLevel="0" collapsed="false">
      <c r="B611" s="57"/>
      <c r="C611" s="58"/>
      <c r="D611" s="58"/>
      <c r="E611" s="59"/>
      <c r="F611" s="58"/>
      <c r="G611" s="58"/>
      <c r="H611" s="60" t="str">
        <f aca="false">IF(OR(E611="",D611=""),"",IF(K611=0,"Expense / Gasto",INDEX(Budget!$C$7:$C$41,K611)))</f>
        <v/>
      </c>
      <c r="I611" s="60" t="str">
        <f aca="false">IF(AND(B611="",E611=""),"",IF(NOT(ISNUMBER(B611)),"⚠ ADD DATE / AGREGA FECHA",IF(E611="","⚠ ADD AMOUNT / AGREGA MONTO",IF(D611="","⚠ ADD CATEGORY / AGREGA CATEGORÍA",IF(K611=0,"● NEW CATEGORY? / ¿CATEGORÍA NUEVA?","✔ OK")))))</f>
        <v/>
      </c>
      <c r="K611" s="56" t="str">
        <f aca="false">IF(D611="","",IFERROR(MATCH(D611,Budget!$B$7:$B$41,0),0))</f>
        <v/>
      </c>
      <c r="L611" s="56" t="n">
        <f aca="false">IF(AND(ISNUMBER(B611),ISNUMBER(E611),D611&lt;&gt;""),YEAR(B611)*100+MONTH(B611),0)</f>
        <v>0</v>
      </c>
      <c r="M611" s="56" t="n">
        <f aca="false">IF(L611=0,0,YEAR(B611))</f>
        <v>0</v>
      </c>
      <c r="N611" s="56" t="str">
        <f aca="false">IF(L611=0,"",IF(K611=0,"Wants / Gustos",INDEX(Budget!$D$7:$D$41,K611)))</f>
        <v/>
      </c>
    </row>
    <row r="612" customFormat="false" ht="15" hidden="false" customHeight="false" outlineLevel="0" collapsed="false">
      <c r="B612" s="57"/>
      <c r="C612" s="58"/>
      <c r="D612" s="58"/>
      <c r="E612" s="59"/>
      <c r="F612" s="58"/>
      <c r="G612" s="58"/>
      <c r="H612" s="60" t="str">
        <f aca="false">IF(OR(E612="",D612=""),"",IF(K612=0,"Expense / Gasto",INDEX(Budget!$C$7:$C$41,K612)))</f>
        <v/>
      </c>
      <c r="I612" s="60" t="str">
        <f aca="false">IF(AND(B612="",E612=""),"",IF(NOT(ISNUMBER(B612)),"⚠ ADD DATE / AGREGA FECHA",IF(E612="","⚠ ADD AMOUNT / AGREGA MONTO",IF(D612="","⚠ ADD CATEGORY / AGREGA CATEGORÍA",IF(K612=0,"● NEW CATEGORY? / ¿CATEGORÍA NUEVA?","✔ OK")))))</f>
        <v/>
      </c>
      <c r="K612" s="56" t="str">
        <f aca="false">IF(D612="","",IFERROR(MATCH(D612,Budget!$B$7:$B$41,0),0))</f>
        <v/>
      </c>
      <c r="L612" s="56" t="n">
        <f aca="false">IF(AND(ISNUMBER(B612),ISNUMBER(E612),D612&lt;&gt;""),YEAR(B612)*100+MONTH(B612),0)</f>
        <v>0</v>
      </c>
      <c r="M612" s="56" t="n">
        <f aca="false">IF(L612=0,0,YEAR(B612))</f>
        <v>0</v>
      </c>
      <c r="N612" s="56" t="str">
        <f aca="false">IF(L612=0,"",IF(K612=0,"Wants / Gustos",INDEX(Budget!$D$7:$D$41,K612)))</f>
        <v/>
      </c>
    </row>
    <row r="613" customFormat="false" ht="15" hidden="false" customHeight="false" outlineLevel="0" collapsed="false">
      <c r="B613" s="57"/>
      <c r="C613" s="58"/>
      <c r="D613" s="58"/>
      <c r="E613" s="59"/>
      <c r="F613" s="58"/>
      <c r="G613" s="58"/>
      <c r="H613" s="60" t="str">
        <f aca="false">IF(OR(E613="",D613=""),"",IF(K613=0,"Expense / Gasto",INDEX(Budget!$C$7:$C$41,K613)))</f>
        <v/>
      </c>
      <c r="I613" s="60" t="str">
        <f aca="false">IF(AND(B613="",E613=""),"",IF(NOT(ISNUMBER(B613)),"⚠ ADD DATE / AGREGA FECHA",IF(E613="","⚠ ADD AMOUNT / AGREGA MONTO",IF(D613="","⚠ ADD CATEGORY / AGREGA CATEGORÍA",IF(K613=0,"● NEW CATEGORY? / ¿CATEGORÍA NUEVA?","✔ OK")))))</f>
        <v/>
      </c>
      <c r="K613" s="56" t="str">
        <f aca="false">IF(D613="","",IFERROR(MATCH(D613,Budget!$B$7:$B$41,0),0))</f>
        <v/>
      </c>
      <c r="L613" s="56" t="n">
        <f aca="false">IF(AND(ISNUMBER(B613),ISNUMBER(E613),D613&lt;&gt;""),YEAR(B613)*100+MONTH(B613),0)</f>
        <v>0</v>
      </c>
      <c r="M613" s="56" t="n">
        <f aca="false">IF(L613=0,0,YEAR(B613))</f>
        <v>0</v>
      </c>
      <c r="N613" s="56" t="str">
        <f aca="false">IF(L613=0,"",IF(K613=0,"Wants / Gustos",INDEX(Budget!$D$7:$D$41,K613)))</f>
        <v/>
      </c>
    </row>
    <row r="614" customFormat="false" ht="15" hidden="false" customHeight="false" outlineLevel="0" collapsed="false">
      <c r="B614" s="57"/>
      <c r="C614" s="58"/>
      <c r="D614" s="58"/>
      <c r="E614" s="59"/>
      <c r="F614" s="58"/>
      <c r="G614" s="58"/>
      <c r="H614" s="60" t="str">
        <f aca="false">IF(OR(E614="",D614=""),"",IF(K614=0,"Expense / Gasto",INDEX(Budget!$C$7:$C$41,K614)))</f>
        <v/>
      </c>
      <c r="I614" s="60" t="str">
        <f aca="false">IF(AND(B614="",E614=""),"",IF(NOT(ISNUMBER(B614)),"⚠ ADD DATE / AGREGA FECHA",IF(E614="","⚠ ADD AMOUNT / AGREGA MONTO",IF(D614="","⚠ ADD CATEGORY / AGREGA CATEGORÍA",IF(K614=0,"● NEW CATEGORY? / ¿CATEGORÍA NUEVA?","✔ OK")))))</f>
        <v/>
      </c>
      <c r="K614" s="56" t="str">
        <f aca="false">IF(D614="","",IFERROR(MATCH(D614,Budget!$B$7:$B$41,0),0))</f>
        <v/>
      </c>
      <c r="L614" s="56" t="n">
        <f aca="false">IF(AND(ISNUMBER(B614),ISNUMBER(E614),D614&lt;&gt;""),YEAR(B614)*100+MONTH(B614),0)</f>
        <v>0</v>
      </c>
      <c r="M614" s="56" t="n">
        <f aca="false">IF(L614=0,0,YEAR(B614))</f>
        <v>0</v>
      </c>
      <c r="N614" s="56" t="str">
        <f aca="false">IF(L614=0,"",IF(K614=0,"Wants / Gustos",INDEX(Budget!$D$7:$D$41,K614)))</f>
        <v/>
      </c>
    </row>
    <row r="615" customFormat="false" ht="15" hidden="false" customHeight="false" outlineLevel="0" collapsed="false">
      <c r="B615" s="57"/>
      <c r="C615" s="58"/>
      <c r="D615" s="58"/>
      <c r="E615" s="59"/>
      <c r="F615" s="58"/>
      <c r="G615" s="58"/>
      <c r="H615" s="60" t="str">
        <f aca="false">IF(OR(E615="",D615=""),"",IF(K615=0,"Expense / Gasto",INDEX(Budget!$C$7:$C$41,K615)))</f>
        <v/>
      </c>
      <c r="I615" s="60" t="str">
        <f aca="false">IF(AND(B615="",E615=""),"",IF(NOT(ISNUMBER(B615)),"⚠ ADD DATE / AGREGA FECHA",IF(E615="","⚠ ADD AMOUNT / AGREGA MONTO",IF(D615="","⚠ ADD CATEGORY / AGREGA CATEGORÍA",IF(K615=0,"● NEW CATEGORY? / ¿CATEGORÍA NUEVA?","✔ OK")))))</f>
        <v/>
      </c>
      <c r="K615" s="56" t="str">
        <f aca="false">IF(D615="","",IFERROR(MATCH(D615,Budget!$B$7:$B$41,0),0))</f>
        <v/>
      </c>
      <c r="L615" s="56" t="n">
        <f aca="false">IF(AND(ISNUMBER(B615),ISNUMBER(E615),D615&lt;&gt;""),YEAR(B615)*100+MONTH(B615),0)</f>
        <v>0</v>
      </c>
      <c r="M615" s="56" t="n">
        <f aca="false">IF(L615=0,0,YEAR(B615))</f>
        <v>0</v>
      </c>
      <c r="N615" s="56" t="str">
        <f aca="false">IF(L615=0,"",IF(K615=0,"Wants / Gustos",INDEX(Budget!$D$7:$D$41,K615)))</f>
        <v/>
      </c>
    </row>
    <row r="616" customFormat="false" ht="15" hidden="false" customHeight="false" outlineLevel="0" collapsed="false">
      <c r="B616" s="57"/>
      <c r="C616" s="58"/>
      <c r="D616" s="58"/>
      <c r="E616" s="59"/>
      <c r="F616" s="58"/>
      <c r="G616" s="58"/>
      <c r="H616" s="60" t="str">
        <f aca="false">IF(OR(E616="",D616=""),"",IF(K616=0,"Expense / Gasto",INDEX(Budget!$C$7:$C$41,K616)))</f>
        <v/>
      </c>
      <c r="I616" s="60" t="str">
        <f aca="false">IF(AND(B616="",E616=""),"",IF(NOT(ISNUMBER(B616)),"⚠ ADD DATE / AGREGA FECHA",IF(E616="","⚠ ADD AMOUNT / AGREGA MONTO",IF(D616="","⚠ ADD CATEGORY / AGREGA CATEGORÍA",IF(K616=0,"● NEW CATEGORY? / ¿CATEGORÍA NUEVA?","✔ OK")))))</f>
        <v/>
      </c>
      <c r="K616" s="56" t="str">
        <f aca="false">IF(D616="","",IFERROR(MATCH(D616,Budget!$B$7:$B$41,0),0))</f>
        <v/>
      </c>
      <c r="L616" s="56" t="n">
        <f aca="false">IF(AND(ISNUMBER(B616),ISNUMBER(E616),D616&lt;&gt;""),YEAR(B616)*100+MONTH(B616),0)</f>
        <v>0</v>
      </c>
      <c r="M616" s="56" t="n">
        <f aca="false">IF(L616=0,0,YEAR(B616))</f>
        <v>0</v>
      </c>
      <c r="N616" s="56" t="str">
        <f aca="false">IF(L616=0,"",IF(K616=0,"Wants / Gustos",INDEX(Budget!$D$7:$D$41,K616)))</f>
        <v/>
      </c>
    </row>
    <row r="617" customFormat="false" ht="15" hidden="false" customHeight="false" outlineLevel="0" collapsed="false">
      <c r="B617" s="57"/>
      <c r="C617" s="58"/>
      <c r="D617" s="58"/>
      <c r="E617" s="59"/>
      <c r="F617" s="58"/>
      <c r="G617" s="58"/>
      <c r="H617" s="60" t="str">
        <f aca="false">IF(OR(E617="",D617=""),"",IF(K617=0,"Expense / Gasto",INDEX(Budget!$C$7:$C$41,K617)))</f>
        <v/>
      </c>
      <c r="I617" s="60" t="str">
        <f aca="false">IF(AND(B617="",E617=""),"",IF(NOT(ISNUMBER(B617)),"⚠ ADD DATE / AGREGA FECHA",IF(E617="","⚠ ADD AMOUNT / AGREGA MONTO",IF(D617="","⚠ ADD CATEGORY / AGREGA CATEGORÍA",IF(K617=0,"● NEW CATEGORY? / ¿CATEGORÍA NUEVA?","✔ OK")))))</f>
        <v/>
      </c>
      <c r="K617" s="56" t="str">
        <f aca="false">IF(D617="","",IFERROR(MATCH(D617,Budget!$B$7:$B$41,0),0))</f>
        <v/>
      </c>
      <c r="L617" s="56" t="n">
        <f aca="false">IF(AND(ISNUMBER(B617),ISNUMBER(E617),D617&lt;&gt;""),YEAR(B617)*100+MONTH(B617),0)</f>
        <v>0</v>
      </c>
      <c r="M617" s="56" t="n">
        <f aca="false">IF(L617=0,0,YEAR(B617))</f>
        <v>0</v>
      </c>
      <c r="N617" s="56" t="str">
        <f aca="false">IF(L617=0,"",IF(K617=0,"Wants / Gustos",INDEX(Budget!$D$7:$D$41,K617)))</f>
        <v/>
      </c>
    </row>
    <row r="618" customFormat="false" ht="15" hidden="false" customHeight="false" outlineLevel="0" collapsed="false">
      <c r="B618" s="57"/>
      <c r="C618" s="58"/>
      <c r="D618" s="58"/>
      <c r="E618" s="59"/>
      <c r="F618" s="58"/>
      <c r="G618" s="58"/>
      <c r="H618" s="60" t="str">
        <f aca="false">IF(OR(E618="",D618=""),"",IF(K618=0,"Expense / Gasto",INDEX(Budget!$C$7:$C$41,K618)))</f>
        <v/>
      </c>
      <c r="I618" s="60" t="str">
        <f aca="false">IF(AND(B618="",E618=""),"",IF(NOT(ISNUMBER(B618)),"⚠ ADD DATE / AGREGA FECHA",IF(E618="","⚠ ADD AMOUNT / AGREGA MONTO",IF(D618="","⚠ ADD CATEGORY / AGREGA CATEGORÍA",IF(K618=0,"● NEW CATEGORY? / ¿CATEGORÍA NUEVA?","✔ OK")))))</f>
        <v/>
      </c>
      <c r="K618" s="56" t="str">
        <f aca="false">IF(D618="","",IFERROR(MATCH(D618,Budget!$B$7:$B$41,0),0))</f>
        <v/>
      </c>
      <c r="L618" s="56" t="n">
        <f aca="false">IF(AND(ISNUMBER(B618),ISNUMBER(E618),D618&lt;&gt;""),YEAR(B618)*100+MONTH(B618),0)</f>
        <v>0</v>
      </c>
      <c r="M618" s="56" t="n">
        <f aca="false">IF(L618=0,0,YEAR(B618))</f>
        <v>0</v>
      </c>
      <c r="N618" s="56" t="str">
        <f aca="false">IF(L618=0,"",IF(K618=0,"Wants / Gustos",INDEX(Budget!$D$7:$D$41,K618)))</f>
        <v/>
      </c>
    </row>
    <row r="619" customFormat="false" ht="15" hidden="false" customHeight="false" outlineLevel="0" collapsed="false">
      <c r="B619" s="57"/>
      <c r="C619" s="58"/>
      <c r="D619" s="58"/>
      <c r="E619" s="59"/>
      <c r="F619" s="58"/>
      <c r="G619" s="58"/>
      <c r="H619" s="60" t="str">
        <f aca="false">IF(OR(E619="",D619=""),"",IF(K619=0,"Expense / Gasto",INDEX(Budget!$C$7:$C$41,K619)))</f>
        <v/>
      </c>
      <c r="I619" s="60" t="str">
        <f aca="false">IF(AND(B619="",E619=""),"",IF(NOT(ISNUMBER(B619)),"⚠ ADD DATE / AGREGA FECHA",IF(E619="","⚠ ADD AMOUNT / AGREGA MONTO",IF(D619="","⚠ ADD CATEGORY / AGREGA CATEGORÍA",IF(K619=0,"● NEW CATEGORY? / ¿CATEGORÍA NUEVA?","✔ OK")))))</f>
        <v/>
      </c>
      <c r="K619" s="56" t="str">
        <f aca="false">IF(D619="","",IFERROR(MATCH(D619,Budget!$B$7:$B$41,0),0))</f>
        <v/>
      </c>
      <c r="L619" s="56" t="n">
        <f aca="false">IF(AND(ISNUMBER(B619),ISNUMBER(E619),D619&lt;&gt;""),YEAR(B619)*100+MONTH(B619),0)</f>
        <v>0</v>
      </c>
      <c r="M619" s="56" t="n">
        <f aca="false">IF(L619=0,0,YEAR(B619))</f>
        <v>0</v>
      </c>
      <c r="N619" s="56" t="str">
        <f aca="false">IF(L619=0,"",IF(K619=0,"Wants / Gustos",INDEX(Budget!$D$7:$D$41,K619)))</f>
        <v/>
      </c>
    </row>
    <row r="620" customFormat="false" ht="15" hidden="false" customHeight="false" outlineLevel="0" collapsed="false">
      <c r="B620" s="57"/>
      <c r="C620" s="58"/>
      <c r="D620" s="58"/>
      <c r="E620" s="59"/>
      <c r="F620" s="58"/>
      <c r="G620" s="58"/>
      <c r="H620" s="60" t="str">
        <f aca="false">IF(OR(E620="",D620=""),"",IF(K620=0,"Expense / Gasto",INDEX(Budget!$C$7:$C$41,K620)))</f>
        <v/>
      </c>
      <c r="I620" s="60" t="str">
        <f aca="false">IF(AND(B620="",E620=""),"",IF(NOT(ISNUMBER(B620)),"⚠ ADD DATE / AGREGA FECHA",IF(E620="","⚠ ADD AMOUNT / AGREGA MONTO",IF(D620="","⚠ ADD CATEGORY / AGREGA CATEGORÍA",IF(K620=0,"● NEW CATEGORY? / ¿CATEGORÍA NUEVA?","✔ OK")))))</f>
        <v/>
      </c>
      <c r="K620" s="56" t="str">
        <f aca="false">IF(D620="","",IFERROR(MATCH(D620,Budget!$B$7:$B$41,0),0))</f>
        <v/>
      </c>
      <c r="L620" s="56" t="n">
        <f aca="false">IF(AND(ISNUMBER(B620),ISNUMBER(E620),D620&lt;&gt;""),YEAR(B620)*100+MONTH(B620),0)</f>
        <v>0</v>
      </c>
      <c r="M620" s="56" t="n">
        <f aca="false">IF(L620=0,0,YEAR(B620))</f>
        <v>0</v>
      </c>
      <c r="N620" s="56" t="str">
        <f aca="false">IF(L620=0,"",IF(K620=0,"Wants / Gustos",INDEX(Budget!$D$7:$D$41,K620)))</f>
        <v/>
      </c>
    </row>
    <row r="621" customFormat="false" ht="15" hidden="false" customHeight="false" outlineLevel="0" collapsed="false">
      <c r="B621" s="57"/>
      <c r="C621" s="58"/>
      <c r="D621" s="58"/>
      <c r="E621" s="59"/>
      <c r="F621" s="58"/>
      <c r="G621" s="58"/>
      <c r="H621" s="60" t="str">
        <f aca="false">IF(OR(E621="",D621=""),"",IF(K621=0,"Expense / Gasto",INDEX(Budget!$C$7:$C$41,K621)))</f>
        <v/>
      </c>
      <c r="I621" s="60" t="str">
        <f aca="false">IF(AND(B621="",E621=""),"",IF(NOT(ISNUMBER(B621)),"⚠ ADD DATE / AGREGA FECHA",IF(E621="","⚠ ADD AMOUNT / AGREGA MONTO",IF(D621="","⚠ ADD CATEGORY / AGREGA CATEGORÍA",IF(K621=0,"● NEW CATEGORY? / ¿CATEGORÍA NUEVA?","✔ OK")))))</f>
        <v/>
      </c>
      <c r="K621" s="56" t="str">
        <f aca="false">IF(D621="","",IFERROR(MATCH(D621,Budget!$B$7:$B$41,0),0))</f>
        <v/>
      </c>
      <c r="L621" s="56" t="n">
        <f aca="false">IF(AND(ISNUMBER(B621),ISNUMBER(E621),D621&lt;&gt;""),YEAR(B621)*100+MONTH(B621),0)</f>
        <v>0</v>
      </c>
      <c r="M621" s="56" t="n">
        <f aca="false">IF(L621=0,0,YEAR(B621))</f>
        <v>0</v>
      </c>
      <c r="N621" s="56" t="str">
        <f aca="false">IF(L621=0,"",IF(K621=0,"Wants / Gustos",INDEX(Budget!$D$7:$D$41,K621)))</f>
        <v/>
      </c>
    </row>
    <row r="622" customFormat="false" ht="15" hidden="false" customHeight="false" outlineLevel="0" collapsed="false">
      <c r="B622" s="57"/>
      <c r="C622" s="58"/>
      <c r="D622" s="58"/>
      <c r="E622" s="59"/>
      <c r="F622" s="58"/>
      <c r="G622" s="58"/>
      <c r="H622" s="60" t="str">
        <f aca="false">IF(OR(E622="",D622=""),"",IF(K622=0,"Expense / Gasto",INDEX(Budget!$C$7:$C$41,K622)))</f>
        <v/>
      </c>
      <c r="I622" s="60" t="str">
        <f aca="false">IF(AND(B622="",E622=""),"",IF(NOT(ISNUMBER(B622)),"⚠ ADD DATE / AGREGA FECHA",IF(E622="","⚠ ADD AMOUNT / AGREGA MONTO",IF(D622="","⚠ ADD CATEGORY / AGREGA CATEGORÍA",IF(K622=0,"● NEW CATEGORY? / ¿CATEGORÍA NUEVA?","✔ OK")))))</f>
        <v/>
      </c>
      <c r="K622" s="56" t="str">
        <f aca="false">IF(D622="","",IFERROR(MATCH(D622,Budget!$B$7:$B$41,0),0))</f>
        <v/>
      </c>
      <c r="L622" s="56" t="n">
        <f aca="false">IF(AND(ISNUMBER(B622),ISNUMBER(E622),D622&lt;&gt;""),YEAR(B622)*100+MONTH(B622),0)</f>
        <v>0</v>
      </c>
      <c r="M622" s="56" t="n">
        <f aca="false">IF(L622=0,0,YEAR(B622))</f>
        <v>0</v>
      </c>
      <c r="N622" s="56" t="str">
        <f aca="false">IF(L622=0,"",IF(K622=0,"Wants / Gustos",INDEX(Budget!$D$7:$D$41,K622)))</f>
        <v/>
      </c>
    </row>
    <row r="623" customFormat="false" ht="15" hidden="false" customHeight="false" outlineLevel="0" collapsed="false">
      <c r="B623" s="57"/>
      <c r="C623" s="58"/>
      <c r="D623" s="58"/>
      <c r="E623" s="59"/>
      <c r="F623" s="58"/>
      <c r="G623" s="58"/>
      <c r="H623" s="60" t="str">
        <f aca="false">IF(OR(E623="",D623=""),"",IF(K623=0,"Expense / Gasto",INDEX(Budget!$C$7:$C$41,K623)))</f>
        <v/>
      </c>
      <c r="I623" s="60" t="str">
        <f aca="false">IF(AND(B623="",E623=""),"",IF(NOT(ISNUMBER(B623)),"⚠ ADD DATE / AGREGA FECHA",IF(E623="","⚠ ADD AMOUNT / AGREGA MONTO",IF(D623="","⚠ ADD CATEGORY / AGREGA CATEGORÍA",IF(K623=0,"● NEW CATEGORY? / ¿CATEGORÍA NUEVA?","✔ OK")))))</f>
        <v/>
      </c>
      <c r="K623" s="56" t="str">
        <f aca="false">IF(D623="","",IFERROR(MATCH(D623,Budget!$B$7:$B$41,0),0))</f>
        <v/>
      </c>
      <c r="L623" s="56" t="n">
        <f aca="false">IF(AND(ISNUMBER(B623),ISNUMBER(E623),D623&lt;&gt;""),YEAR(B623)*100+MONTH(B623),0)</f>
        <v>0</v>
      </c>
      <c r="M623" s="56" t="n">
        <f aca="false">IF(L623=0,0,YEAR(B623))</f>
        <v>0</v>
      </c>
      <c r="N623" s="56" t="str">
        <f aca="false">IF(L623=0,"",IF(K623=0,"Wants / Gustos",INDEX(Budget!$D$7:$D$41,K623)))</f>
        <v/>
      </c>
    </row>
    <row r="624" customFormat="false" ht="15" hidden="false" customHeight="false" outlineLevel="0" collapsed="false">
      <c r="B624" s="57"/>
      <c r="C624" s="58"/>
      <c r="D624" s="58"/>
      <c r="E624" s="59"/>
      <c r="F624" s="58"/>
      <c r="G624" s="58"/>
      <c r="H624" s="60" t="str">
        <f aca="false">IF(OR(E624="",D624=""),"",IF(K624=0,"Expense / Gasto",INDEX(Budget!$C$7:$C$41,K624)))</f>
        <v/>
      </c>
      <c r="I624" s="60" t="str">
        <f aca="false">IF(AND(B624="",E624=""),"",IF(NOT(ISNUMBER(B624)),"⚠ ADD DATE / AGREGA FECHA",IF(E624="","⚠ ADD AMOUNT / AGREGA MONTO",IF(D624="","⚠ ADD CATEGORY / AGREGA CATEGORÍA",IF(K624=0,"● NEW CATEGORY? / ¿CATEGORÍA NUEVA?","✔ OK")))))</f>
        <v/>
      </c>
      <c r="K624" s="56" t="str">
        <f aca="false">IF(D624="","",IFERROR(MATCH(D624,Budget!$B$7:$B$41,0),0))</f>
        <v/>
      </c>
      <c r="L624" s="56" t="n">
        <f aca="false">IF(AND(ISNUMBER(B624),ISNUMBER(E624),D624&lt;&gt;""),YEAR(B624)*100+MONTH(B624),0)</f>
        <v>0</v>
      </c>
      <c r="M624" s="56" t="n">
        <f aca="false">IF(L624=0,0,YEAR(B624))</f>
        <v>0</v>
      </c>
      <c r="N624" s="56" t="str">
        <f aca="false">IF(L624=0,"",IF(K624=0,"Wants / Gustos",INDEX(Budget!$D$7:$D$41,K624)))</f>
        <v/>
      </c>
    </row>
    <row r="625" customFormat="false" ht="15" hidden="false" customHeight="false" outlineLevel="0" collapsed="false">
      <c r="B625" s="57"/>
      <c r="C625" s="58"/>
      <c r="D625" s="58"/>
      <c r="E625" s="59"/>
      <c r="F625" s="58"/>
      <c r="G625" s="58"/>
      <c r="H625" s="60" t="str">
        <f aca="false">IF(OR(E625="",D625=""),"",IF(K625=0,"Expense / Gasto",INDEX(Budget!$C$7:$C$41,K625)))</f>
        <v/>
      </c>
      <c r="I625" s="60" t="str">
        <f aca="false">IF(AND(B625="",E625=""),"",IF(NOT(ISNUMBER(B625)),"⚠ ADD DATE / AGREGA FECHA",IF(E625="","⚠ ADD AMOUNT / AGREGA MONTO",IF(D625="","⚠ ADD CATEGORY / AGREGA CATEGORÍA",IF(K625=0,"● NEW CATEGORY? / ¿CATEGORÍA NUEVA?","✔ OK")))))</f>
        <v/>
      </c>
      <c r="K625" s="56" t="str">
        <f aca="false">IF(D625="","",IFERROR(MATCH(D625,Budget!$B$7:$B$41,0),0))</f>
        <v/>
      </c>
      <c r="L625" s="56" t="n">
        <f aca="false">IF(AND(ISNUMBER(B625),ISNUMBER(E625),D625&lt;&gt;""),YEAR(B625)*100+MONTH(B625),0)</f>
        <v>0</v>
      </c>
      <c r="M625" s="56" t="n">
        <f aca="false">IF(L625=0,0,YEAR(B625))</f>
        <v>0</v>
      </c>
      <c r="N625" s="56" t="str">
        <f aca="false">IF(L625=0,"",IF(K625=0,"Wants / Gustos",INDEX(Budget!$D$7:$D$41,K625)))</f>
        <v/>
      </c>
    </row>
    <row r="626" customFormat="false" ht="15" hidden="false" customHeight="false" outlineLevel="0" collapsed="false">
      <c r="B626" s="57"/>
      <c r="C626" s="58"/>
      <c r="D626" s="58"/>
      <c r="E626" s="59"/>
      <c r="F626" s="58"/>
      <c r="G626" s="58"/>
      <c r="H626" s="60" t="str">
        <f aca="false">IF(OR(E626="",D626=""),"",IF(K626=0,"Expense / Gasto",INDEX(Budget!$C$7:$C$41,K626)))</f>
        <v/>
      </c>
      <c r="I626" s="60" t="str">
        <f aca="false">IF(AND(B626="",E626=""),"",IF(NOT(ISNUMBER(B626)),"⚠ ADD DATE / AGREGA FECHA",IF(E626="","⚠ ADD AMOUNT / AGREGA MONTO",IF(D626="","⚠ ADD CATEGORY / AGREGA CATEGORÍA",IF(K626=0,"● NEW CATEGORY? / ¿CATEGORÍA NUEVA?","✔ OK")))))</f>
        <v/>
      </c>
      <c r="K626" s="56" t="str">
        <f aca="false">IF(D626="","",IFERROR(MATCH(D626,Budget!$B$7:$B$41,0),0))</f>
        <v/>
      </c>
      <c r="L626" s="56" t="n">
        <f aca="false">IF(AND(ISNUMBER(B626),ISNUMBER(E626),D626&lt;&gt;""),YEAR(B626)*100+MONTH(B626),0)</f>
        <v>0</v>
      </c>
      <c r="M626" s="56" t="n">
        <f aca="false">IF(L626=0,0,YEAR(B626))</f>
        <v>0</v>
      </c>
      <c r="N626" s="56" t="str">
        <f aca="false">IF(L626=0,"",IF(K626=0,"Wants / Gustos",INDEX(Budget!$D$7:$D$41,K626)))</f>
        <v/>
      </c>
    </row>
    <row r="627" customFormat="false" ht="15" hidden="false" customHeight="false" outlineLevel="0" collapsed="false">
      <c r="B627" s="57"/>
      <c r="C627" s="58"/>
      <c r="D627" s="58"/>
      <c r="E627" s="59"/>
      <c r="F627" s="58"/>
      <c r="G627" s="58"/>
      <c r="H627" s="60" t="str">
        <f aca="false">IF(OR(E627="",D627=""),"",IF(K627=0,"Expense / Gasto",INDEX(Budget!$C$7:$C$41,K627)))</f>
        <v/>
      </c>
      <c r="I627" s="60" t="str">
        <f aca="false">IF(AND(B627="",E627=""),"",IF(NOT(ISNUMBER(B627)),"⚠ ADD DATE / AGREGA FECHA",IF(E627="","⚠ ADD AMOUNT / AGREGA MONTO",IF(D627="","⚠ ADD CATEGORY / AGREGA CATEGORÍA",IF(K627=0,"● NEW CATEGORY? / ¿CATEGORÍA NUEVA?","✔ OK")))))</f>
        <v/>
      </c>
      <c r="K627" s="56" t="str">
        <f aca="false">IF(D627="","",IFERROR(MATCH(D627,Budget!$B$7:$B$41,0),0))</f>
        <v/>
      </c>
      <c r="L627" s="56" t="n">
        <f aca="false">IF(AND(ISNUMBER(B627),ISNUMBER(E627),D627&lt;&gt;""),YEAR(B627)*100+MONTH(B627),0)</f>
        <v>0</v>
      </c>
      <c r="M627" s="56" t="n">
        <f aca="false">IF(L627=0,0,YEAR(B627))</f>
        <v>0</v>
      </c>
      <c r="N627" s="56" t="str">
        <f aca="false">IF(L627=0,"",IF(K627=0,"Wants / Gustos",INDEX(Budget!$D$7:$D$41,K627)))</f>
        <v/>
      </c>
    </row>
    <row r="628" customFormat="false" ht="15" hidden="false" customHeight="false" outlineLevel="0" collapsed="false">
      <c r="B628" s="57"/>
      <c r="C628" s="58"/>
      <c r="D628" s="58"/>
      <c r="E628" s="59"/>
      <c r="F628" s="58"/>
      <c r="G628" s="58"/>
      <c r="H628" s="60" t="str">
        <f aca="false">IF(OR(E628="",D628=""),"",IF(K628=0,"Expense / Gasto",INDEX(Budget!$C$7:$C$41,K628)))</f>
        <v/>
      </c>
      <c r="I628" s="60" t="str">
        <f aca="false">IF(AND(B628="",E628=""),"",IF(NOT(ISNUMBER(B628)),"⚠ ADD DATE / AGREGA FECHA",IF(E628="","⚠ ADD AMOUNT / AGREGA MONTO",IF(D628="","⚠ ADD CATEGORY / AGREGA CATEGORÍA",IF(K628=0,"● NEW CATEGORY? / ¿CATEGORÍA NUEVA?","✔ OK")))))</f>
        <v/>
      </c>
      <c r="K628" s="56" t="str">
        <f aca="false">IF(D628="","",IFERROR(MATCH(D628,Budget!$B$7:$B$41,0),0))</f>
        <v/>
      </c>
      <c r="L628" s="56" t="n">
        <f aca="false">IF(AND(ISNUMBER(B628),ISNUMBER(E628),D628&lt;&gt;""),YEAR(B628)*100+MONTH(B628),0)</f>
        <v>0</v>
      </c>
      <c r="M628" s="56" t="n">
        <f aca="false">IF(L628=0,0,YEAR(B628))</f>
        <v>0</v>
      </c>
      <c r="N628" s="56" t="str">
        <f aca="false">IF(L628=0,"",IF(K628=0,"Wants / Gustos",INDEX(Budget!$D$7:$D$41,K628)))</f>
        <v/>
      </c>
    </row>
    <row r="629" customFormat="false" ht="15" hidden="false" customHeight="false" outlineLevel="0" collapsed="false">
      <c r="B629" s="57"/>
      <c r="C629" s="58"/>
      <c r="D629" s="58"/>
      <c r="E629" s="59"/>
      <c r="F629" s="58"/>
      <c r="G629" s="58"/>
      <c r="H629" s="60" t="str">
        <f aca="false">IF(OR(E629="",D629=""),"",IF(K629=0,"Expense / Gasto",INDEX(Budget!$C$7:$C$41,K629)))</f>
        <v/>
      </c>
      <c r="I629" s="60" t="str">
        <f aca="false">IF(AND(B629="",E629=""),"",IF(NOT(ISNUMBER(B629)),"⚠ ADD DATE / AGREGA FECHA",IF(E629="","⚠ ADD AMOUNT / AGREGA MONTO",IF(D629="","⚠ ADD CATEGORY / AGREGA CATEGORÍA",IF(K629=0,"● NEW CATEGORY? / ¿CATEGORÍA NUEVA?","✔ OK")))))</f>
        <v/>
      </c>
      <c r="K629" s="56" t="str">
        <f aca="false">IF(D629="","",IFERROR(MATCH(D629,Budget!$B$7:$B$41,0),0))</f>
        <v/>
      </c>
      <c r="L629" s="56" t="n">
        <f aca="false">IF(AND(ISNUMBER(B629),ISNUMBER(E629),D629&lt;&gt;""),YEAR(B629)*100+MONTH(B629),0)</f>
        <v>0</v>
      </c>
      <c r="M629" s="56" t="n">
        <f aca="false">IF(L629=0,0,YEAR(B629))</f>
        <v>0</v>
      </c>
      <c r="N629" s="56" t="str">
        <f aca="false">IF(L629=0,"",IF(K629=0,"Wants / Gustos",INDEX(Budget!$D$7:$D$41,K629)))</f>
        <v/>
      </c>
    </row>
    <row r="630" customFormat="false" ht="15" hidden="false" customHeight="false" outlineLevel="0" collapsed="false">
      <c r="B630" s="57"/>
      <c r="C630" s="58"/>
      <c r="D630" s="58"/>
      <c r="E630" s="59"/>
      <c r="F630" s="58"/>
      <c r="G630" s="58"/>
      <c r="H630" s="60" t="str">
        <f aca="false">IF(OR(E630="",D630=""),"",IF(K630=0,"Expense / Gasto",INDEX(Budget!$C$7:$C$41,K630)))</f>
        <v/>
      </c>
      <c r="I630" s="60" t="str">
        <f aca="false">IF(AND(B630="",E630=""),"",IF(NOT(ISNUMBER(B630)),"⚠ ADD DATE / AGREGA FECHA",IF(E630="","⚠ ADD AMOUNT / AGREGA MONTO",IF(D630="","⚠ ADD CATEGORY / AGREGA CATEGORÍA",IF(K630=0,"● NEW CATEGORY? / ¿CATEGORÍA NUEVA?","✔ OK")))))</f>
        <v/>
      </c>
      <c r="K630" s="56" t="str">
        <f aca="false">IF(D630="","",IFERROR(MATCH(D630,Budget!$B$7:$B$41,0),0))</f>
        <v/>
      </c>
      <c r="L630" s="56" t="n">
        <f aca="false">IF(AND(ISNUMBER(B630),ISNUMBER(E630),D630&lt;&gt;""),YEAR(B630)*100+MONTH(B630),0)</f>
        <v>0</v>
      </c>
      <c r="M630" s="56" t="n">
        <f aca="false">IF(L630=0,0,YEAR(B630))</f>
        <v>0</v>
      </c>
      <c r="N630" s="56" t="str">
        <f aca="false">IF(L630=0,"",IF(K630=0,"Wants / Gustos",INDEX(Budget!$D$7:$D$41,K630)))</f>
        <v/>
      </c>
    </row>
    <row r="631" customFormat="false" ht="15" hidden="false" customHeight="false" outlineLevel="0" collapsed="false">
      <c r="B631" s="57"/>
      <c r="C631" s="58"/>
      <c r="D631" s="58"/>
      <c r="E631" s="59"/>
      <c r="F631" s="58"/>
      <c r="G631" s="58"/>
      <c r="H631" s="60" t="str">
        <f aca="false">IF(OR(E631="",D631=""),"",IF(K631=0,"Expense / Gasto",INDEX(Budget!$C$7:$C$41,K631)))</f>
        <v/>
      </c>
      <c r="I631" s="60" t="str">
        <f aca="false">IF(AND(B631="",E631=""),"",IF(NOT(ISNUMBER(B631)),"⚠ ADD DATE / AGREGA FECHA",IF(E631="","⚠ ADD AMOUNT / AGREGA MONTO",IF(D631="","⚠ ADD CATEGORY / AGREGA CATEGORÍA",IF(K631=0,"● NEW CATEGORY? / ¿CATEGORÍA NUEVA?","✔ OK")))))</f>
        <v/>
      </c>
      <c r="K631" s="56" t="str">
        <f aca="false">IF(D631="","",IFERROR(MATCH(D631,Budget!$B$7:$B$41,0),0))</f>
        <v/>
      </c>
      <c r="L631" s="56" t="n">
        <f aca="false">IF(AND(ISNUMBER(B631),ISNUMBER(E631),D631&lt;&gt;""),YEAR(B631)*100+MONTH(B631),0)</f>
        <v>0</v>
      </c>
      <c r="M631" s="56" t="n">
        <f aca="false">IF(L631=0,0,YEAR(B631))</f>
        <v>0</v>
      </c>
      <c r="N631" s="56" t="str">
        <f aca="false">IF(L631=0,"",IF(K631=0,"Wants / Gustos",INDEX(Budget!$D$7:$D$41,K631)))</f>
        <v/>
      </c>
    </row>
    <row r="632" customFormat="false" ht="15" hidden="false" customHeight="false" outlineLevel="0" collapsed="false">
      <c r="B632" s="57"/>
      <c r="C632" s="58"/>
      <c r="D632" s="58"/>
      <c r="E632" s="59"/>
      <c r="F632" s="58"/>
      <c r="G632" s="58"/>
      <c r="H632" s="60" t="str">
        <f aca="false">IF(OR(E632="",D632=""),"",IF(K632=0,"Expense / Gasto",INDEX(Budget!$C$7:$C$41,K632)))</f>
        <v/>
      </c>
      <c r="I632" s="60" t="str">
        <f aca="false">IF(AND(B632="",E632=""),"",IF(NOT(ISNUMBER(B632)),"⚠ ADD DATE / AGREGA FECHA",IF(E632="","⚠ ADD AMOUNT / AGREGA MONTO",IF(D632="","⚠ ADD CATEGORY / AGREGA CATEGORÍA",IF(K632=0,"● NEW CATEGORY? / ¿CATEGORÍA NUEVA?","✔ OK")))))</f>
        <v/>
      </c>
      <c r="K632" s="56" t="str">
        <f aca="false">IF(D632="","",IFERROR(MATCH(D632,Budget!$B$7:$B$41,0),0))</f>
        <v/>
      </c>
      <c r="L632" s="56" t="n">
        <f aca="false">IF(AND(ISNUMBER(B632),ISNUMBER(E632),D632&lt;&gt;""),YEAR(B632)*100+MONTH(B632),0)</f>
        <v>0</v>
      </c>
      <c r="M632" s="56" t="n">
        <f aca="false">IF(L632=0,0,YEAR(B632))</f>
        <v>0</v>
      </c>
      <c r="N632" s="56" t="str">
        <f aca="false">IF(L632=0,"",IF(K632=0,"Wants / Gustos",INDEX(Budget!$D$7:$D$41,K632)))</f>
        <v/>
      </c>
    </row>
    <row r="633" customFormat="false" ht="15" hidden="false" customHeight="false" outlineLevel="0" collapsed="false">
      <c r="B633" s="57"/>
      <c r="C633" s="58"/>
      <c r="D633" s="58"/>
      <c r="E633" s="59"/>
      <c r="F633" s="58"/>
      <c r="G633" s="58"/>
      <c r="H633" s="60" t="str">
        <f aca="false">IF(OR(E633="",D633=""),"",IF(K633=0,"Expense / Gasto",INDEX(Budget!$C$7:$C$41,K633)))</f>
        <v/>
      </c>
      <c r="I633" s="60" t="str">
        <f aca="false">IF(AND(B633="",E633=""),"",IF(NOT(ISNUMBER(B633)),"⚠ ADD DATE / AGREGA FECHA",IF(E633="","⚠ ADD AMOUNT / AGREGA MONTO",IF(D633="","⚠ ADD CATEGORY / AGREGA CATEGORÍA",IF(K633=0,"● NEW CATEGORY? / ¿CATEGORÍA NUEVA?","✔ OK")))))</f>
        <v/>
      </c>
      <c r="K633" s="56" t="str">
        <f aca="false">IF(D633="","",IFERROR(MATCH(D633,Budget!$B$7:$B$41,0),0))</f>
        <v/>
      </c>
      <c r="L633" s="56" t="n">
        <f aca="false">IF(AND(ISNUMBER(B633),ISNUMBER(E633),D633&lt;&gt;""),YEAR(B633)*100+MONTH(B633),0)</f>
        <v>0</v>
      </c>
      <c r="M633" s="56" t="n">
        <f aca="false">IF(L633=0,0,YEAR(B633))</f>
        <v>0</v>
      </c>
      <c r="N633" s="56" t="str">
        <f aca="false">IF(L633=0,"",IF(K633=0,"Wants / Gustos",INDEX(Budget!$D$7:$D$41,K633)))</f>
        <v/>
      </c>
    </row>
    <row r="634" customFormat="false" ht="15" hidden="false" customHeight="false" outlineLevel="0" collapsed="false">
      <c r="B634" s="57"/>
      <c r="C634" s="58"/>
      <c r="D634" s="58"/>
      <c r="E634" s="59"/>
      <c r="F634" s="58"/>
      <c r="G634" s="58"/>
      <c r="H634" s="60" t="str">
        <f aca="false">IF(OR(E634="",D634=""),"",IF(K634=0,"Expense / Gasto",INDEX(Budget!$C$7:$C$41,K634)))</f>
        <v/>
      </c>
      <c r="I634" s="60" t="str">
        <f aca="false">IF(AND(B634="",E634=""),"",IF(NOT(ISNUMBER(B634)),"⚠ ADD DATE / AGREGA FECHA",IF(E634="","⚠ ADD AMOUNT / AGREGA MONTO",IF(D634="","⚠ ADD CATEGORY / AGREGA CATEGORÍA",IF(K634=0,"● NEW CATEGORY? / ¿CATEGORÍA NUEVA?","✔ OK")))))</f>
        <v/>
      </c>
      <c r="K634" s="56" t="str">
        <f aca="false">IF(D634="","",IFERROR(MATCH(D634,Budget!$B$7:$B$41,0),0))</f>
        <v/>
      </c>
      <c r="L634" s="56" t="n">
        <f aca="false">IF(AND(ISNUMBER(B634),ISNUMBER(E634),D634&lt;&gt;""),YEAR(B634)*100+MONTH(B634),0)</f>
        <v>0</v>
      </c>
      <c r="M634" s="56" t="n">
        <f aca="false">IF(L634=0,0,YEAR(B634))</f>
        <v>0</v>
      </c>
      <c r="N634" s="56" t="str">
        <f aca="false">IF(L634=0,"",IF(K634=0,"Wants / Gustos",INDEX(Budget!$D$7:$D$41,K634)))</f>
        <v/>
      </c>
    </row>
    <row r="635" customFormat="false" ht="15" hidden="false" customHeight="false" outlineLevel="0" collapsed="false">
      <c r="B635" s="57"/>
      <c r="C635" s="58"/>
      <c r="D635" s="58"/>
      <c r="E635" s="59"/>
      <c r="F635" s="58"/>
      <c r="G635" s="58"/>
      <c r="H635" s="60" t="str">
        <f aca="false">IF(OR(E635="",D635=""),"",IF(K635=0,"Expense / Gasto",INDEX(Budget!$C$7:$C$41,K635)))</f>
        <v/>
      </c>
      <c r="I635" s="60" t="str">
        <f aca="false">IF(AND(B635="",E635=""),"",IF(NOT(ISNUMBER(B635)),"⚠ ADD DATE / AGREGA FECHA",IF(E635="","⚠ ADD AMOUNT / AGREGA MONTO",IF(D635="","⚠ ADD CATEGORY / AGREGA CATEGORÍA",IF(K635=0,"● NEW CATEGORY? / ¿CATEGORÍA NUEVA?","✔ OK")))))</f>
        <v/>
      </c>
      <c r="K635" s="56" t="str">
        <f aca="false">IF(D635="","",IFERROR(MATCH(D635,Budget!$B$7:$B$41,0),0))</f>
        <v/>
      </c>
      <c r="L635" s="56" t="n">
        <f aca="false">IF(AND(ISNUMBER(B635),ISNUMBER(E635),D635&lt;&gt;""),YEAR(B635)*100+MONTH(B635),0)</f>
        <v>0</v>
      </c>
      <c r="M635" s="56" t="n">
        <f aca="false">IF(L635=0,0,YEAR(B635))</f>
        <v>0</v>
      </c>
      <c r="N635" s="56" t="str">
        <f aca="false">IF(L635=0,"",IF(K635=0,"Wants / Gustos",INDEX(Budget!$D$7:$D$41,K635)))</f>
        <v/>
      </c>
    </row>
    <row r="636" customFormat="false" ht="15" hidden="false" customHeight="false" outlineLevel="0" collapsed="false">
      <c r="B636" s="57"/>
      <c r="C636" s="58"/>
      <c r="D636" s="58"/>
      <c r="E636" s="59"/>
      <c r="F636" s="58"/>
      <c r="G636" s="58"/>
      <c r="H636" s="60" t="str">
        <f aca="false">IF(OR(E636="",D636=""),"",IF(K636=0,"Expense / Gasto",INDEX(Budget!$C$7:$C$41,K636)))</f>
        <v/>
      </c>
      <c r="I636" s="60" t="str">
        <f aca="false">IF(AND(B636="",E636=""),"",IF(NOT(ISNUMBER(B636)),"⚠ ADD DATE / AGREGA FECHA",IF(E636="","⚠ ADD AMOUNT / AGREGA MONTO",IF(D636="","⚠ ADD CATEGORY / AGREGA CATEGORÍA",IF(K636=0,"● NEW CATEGORY? / ¿CATEGORÍA NUEVA?","✔ OK")))))</f>
        <v/>
      </c>
      <c r="K636" s="56" t="str">
        <f aca="false">IF(D636="","",IFERROR(MATCH(D636,Budget!$B$7:$B$41,0),0))</f>
        <v/>
      </c>
      <c r="L636" s="56" t="n">
        <f aca="false">IF(AND(ISNUMBER(B636),ISNUMBER(E636),D636&lt;&gt;""),YEAR(B636)*100+MONTH(B636),0)</f>
        <v>0</v>
      </c>
      <c r="M636" s="56" t="n">
        <f aca="false">IF(L636=0,0,YEAR(B636))</f>
        <v>0</v>
      </c>
      <c r="N636" s="56" t="str">
        <f aca="false">IF(L636=0,"",IF(K636=0,"Wants / Gustos",INDEX(Budget!$D$7:$D$41,K636)))</f>
        <v/>
      </c>
    </row>
    <row r="637" customFormat="false" ht="15" hidden="false" customHeight="false" outlineLevel="0" collapsed="false">
      <c r="B637" s="57"/>
      <c r="C637" s="58"/>
      <c r="D637" s="58"/>
      <c r="E637" s="59"/>
      <c r="F637" s="58"/>
      <c r="G637" s="58"/>
      <c r="H637" s="60" t="str">
        <f aca="false">IF(OR(E637="",D637=""),"",IF(K637=0,"Expense / Gasto",INDEX(Budget!$C$7:$C$41,K637)))</f>
        <v/>
      </c>
      <c r="I637" s="60" t="str">
        <f aca="false">IF(AND(B637="",E637=""),"",IF(NOT(ISNUMBER(B637)),"⚠ ADD DATE / AGREGA FECHA",IF(E637="","⚠ ADD AMOUNT / AGREGA MONTO",IF(D637="","⚠ ADD CATEGORY / AGREGA CATEGORÍA",IF(K637=0,"● NEW CATEGORY? / ¿CATEGORÍA NUEVA?","✔ OK")))))</f>
        <v/>
      </c>
      <c r="K637" s="56" t="str">
        <f aca="false">IF(D637="","",IFERROR(MATCH(D637,Budget!$B$7:$B$41,0),0))</f>
        <v/>
      </c>
      <c r="L637" s="56" t="n">
        <f aca="false">IF(AND(ISNUMBER(B637),ISNUMBER(E637),D637&lt;&gt;""),YEAR(B637)*100+MONTH(B637),0)</f>
        <v>0</v>
      </c>
      <c r="M637" s="56" t="n">
        <f aca="false">IF(L637=0,0,YEAR(B637))</f>
        <v>0</v>
      </c>
      <c r="N637" s="56" t="str">
        <f aca="false">IF(L637=0,"",IF(K637=0,"Wants / Gustos",INDEX(Budget!$D$7:$D$41,K637)))</f>
        <v/>
      </c>
    </row>
    <row r="638" customFormat="false" ht="15" hidden="false" customHeight="false" outlineLevel="0" collapsed="false">
      <c r="B638" s="57"/>
      <c r="C638" s="58"/>
      <c r="D638" s="58"/>
      <c r="E638" s="59"/>
      <c r="F638" s="58"/>
      <c r="G638" s="58"/>
      <c r="H638" s="60" t="str">
        <f aca="false">IF(OR(E638="",D638=""),"",IF(K638=0,"Expense / Gasto",INDEX(Budget!$C$7:$C$41,K638)))</f>
        <v/>
      </c>
      <c r="I638" s="60" t="str">
        <f aca="false">IF(AND(B638="",E638=""),"",IF(NOT(ISNUMBER(B638)),"⚠ ADD DATE / AGREGA FECHA",IF(E638="","⚠ ADD AMOUNT / AGREGA MONTO",IF(D638="","⚠ ADD CATEGORY / AGREGA CATEGORÍA",IF(K638=0,"● NEW CATEGORY? / ¿CATEGORÍA NUEVA?","✔ OK")))))</f>
        <v/>
      </c>
      <c r="K638" s="56" t="str">
        <f aca="false">IF(D638="","",IFERROR(MATCH(D638,Budget!$B$7:$B$41,0),0))</f>
        <v/>
      </c>
      <c r="L638" s="56" t="n">
        <f aca="false">IF(AND(ISNUMBER(B638),ISNUMBER(E638),D638&lt;&gt;""),YEAR(B638)*100+MONTH(B638),0)</f>
        <v>0</v>
      </c>
      <c r="M638" s="56" t="n">
        <f aca="false">IF(L638=0,0,YEAR(B638))</f>
        <v>0</v>
      </c>
      <c r="N638" s="56" t="str">
        <f aca="false">IF(L638=0,"",IF(K638=0,"Wants / Gustos",INDEX(Budget!$D$7:$D$41,K638)))</f>
        <v/>
      </c>
    </row>
    <row r="639" customFormat="false" ht="15" hidden="false" customHeight="false" outlineLevel="0" collapsed="false">
      <c r="B639" s="57"/>
      <c r="C639" s="58"/>
      <c r="D639" s="58"/>
      <c r="E639" s="59"/>
      <c r="F639" s="58"/>
      <c r="G639" s="58"/>
      <c r="H639" s="60" t="str">
        <f aca="false">IF(OR(E639="",D639=""),"",IF(K639=0,"Expense / Gasto",INDEX(Budget!$C$7:$C$41,K639)))</f>
        <v/>
      </c>
      <c r="I639" s="60" t="str">
        <f aca="false">IF(AND(B639="",E639=""),"",IF(NOT(ISNUMBER(B639)),"⚠ ADD DATE / AGREGA FECHA",IF(E639="","⚠ ADD AMOUNT / AGREGA MONTO",IF(D639="","⚠ ADD CATEGORY / AGREGA CATEGORÍA",IF(K639=0,"● NEW CATEGORY? / ¿CATEGORÍA NUEVA?","✔ OK")))))</f>
        <v/>
      </c>
      <c r="K639" s="56" t="str">
        <f aca="false">IF(D639="","",IFERROR(MATCH(D639,Budget!$B$7:$B$41,0),0))</f>
        <v/>
      </c>
      <c r="L639" s="56" t="n">
        <f aca="false">IF(AND(ISNUMBER(B639),ISNUMBER(E639),D639&lt;&gt;""),YEAR(B639)*100+MONTH(B639),0)</f>
        <v>0</v>
      </c>
      <c r="M639" s="56" t="n">
        <f aca="false">IF(L639=0,0,YEAR(B639))</f>
        <v>0</v>
      </c>
      <c r="N639" s="56" t="str">
        <f aca="false">IF(L639=0,"",IF(K639=0,"Wants / Gustos",INDEX(Budget!$D$7:$D$41,K639)))</f>
        <v/>
      </c>
    </row>
    <row r="640" customFormat="false" ht="15" hidden="false" customHeight="false" outlineLevel="0" collapsed="false">
      <c r="B640" s="57"/>
      <c r="C640" s="58"/>
      <c r="D640" s="58"/>
      <c r="E640" s="59"/>
      <c r="F640" s="58"/>
      <c r="G640" s="58"/>
      <c r="H640" s="60" t="str">
        <f aca="false">IF(OR(E640="",D640=""),"",IF(K640=0,"Expense / Gasto",INDEX(Budget!$C$7:$C$41,K640)))</f>
        <v/>
      </c>
      <c r="I640" s="60" t="str">
        <f aca="false">IF(AND(B640="",E640=""),"",IF(NOT(ISNUMBER(B640)),"⚠ ADD DATE / AGREGA FECHA",IF(E640="","⚠ ADD AMOUNT / AGREGA MONTO",IF(D640="","⚠ ADD CATEGORY / AGREGA CATEGORÍA",IF(K640=0,"● NEW CATEGORY? / ¿CATEGORÍA NUEVA?","✔ OK")))))</f>
        <v/>
      </c>
      <c r="K640" s="56" t="str">
        <f aca="false">IF(D640="","",IFERROR(MATCH(D640,Budget!$B$7:$B$41,0),0))</f>
        <v/>
      </c>
      <c r="L640" s="56" t="n">
        <f aca="false">IF(AND(ISNUMBER(B640),ISNUMBER(E640),D640&lt;&gt;""),YEAR(B640)*100+MONTH(B640),0)</f>
        <v>0</v>
      </c>
      <c r="M640" s="56" t="n">
        <f aca="false">IF(L640=0,0,YEAR(B640))</f>
        <v>0</v>
      </c>
      <c r="N640" s="56" t="str">
        <f aca="false">IF(L640=0,"",IF(K640=0,"Wants / Gustos",INDEX(Budget!$D$7:$D$41,K640)))</f>
        <v/>
      </c>
    </row>
    <row r="641" customFormat="false" ht="15" hidden="false" customHeight="false" outlineLevel="0" collapsed="false">
      <c r="B641" s="57"/>
      <c r="C641" s="58"/>
      <c r="D641" s="58"/>
      <c r="E641" s="59"/>
      <c r="F641" s="58"/>
      <c r="G641" s="58"/>
      <c r="H641" s="60" t="str">
        <f aca="false">IF(OR(E641="",D641=""),"",IF(K641=0,"Expense / Gasto",INDEX(Budget!$C$7:$C$41,K641)))</f>
        <v/>
      </c>
      <c r="I641" s="60" t="str">
        <f aca="false">IF(AND(B641="",E641=""),"",IF(NOT(ISNUMBER(B641)),"⚠ ADD DATE / AGREGA FECHA",IF(E641="","⚠ ADD AMOUNT / AGREGA MONTO",IF(D641="","⚠ ADD CATEGORY / AGREGA CATEGORÍA",IF(K641=0,"● NEW CATEGORY? / ¿CATEGORÍA NUEVA?","✔ OK")))))</f>
        <v/>
      </c>
      <c r="K641" s="56" t="str">
        <f aca="false">IF(D641="","",IFERROR(MATCH(D641,Budget!$B$7:$B$41,0),0))</f>
        <v/>
      </c>
      <c r="L641" s="56" t="n">
        <f aca="false">IF(AND(ISNUMBER(B641),ISNUMBER(E641),D641&lt;&gt;""),YEAR(B641)*100+MONTH(B641),0)</f>
        <v>0</v>
      </c>
      <c r="M641" s="56" t="n">
        <f aca="false">IF(L641=0,0,YEAR(B641))</f>
        <v>0</v>
      </c>
      <c r="N641" s="56" t="str">
        <f aca="false">IF(L641=0,"",IF(K641=0,"Wants / Gustos",INDEX(Budget!$D$7:$D$41,K641)))</f>
        <v/>
      </c>
    </row>
    <row r="642" customFormat="false" ht="15" hidden="false" customHeight="false" outlineLevel="0" collapsed="false">
      <c r="B642" s="57"/>
      <c r="C642" s="58"/>
      <c r="D642" s="58"/>
      <c r="E642" s="59"/>
      <c r="F642" s="58"/>
      <c r="G642" s="58"/>
      <c r="H642" s="60" t="str">
        <f aca="false">IF(OR(E642="",D642=""),"",IF(K642=0,"Expense / Gasto",INDEX(Budget!$C$7:$C$41,K642)))</f>
        <v/>
      </c>
      <c r="I642" s="60" t="str">
        <f aca="false">IF(AND(B642="",E642=""),"",IF(NOT(ISNUMBER(B642)),"⚠ ADD DATE / AGREGA FECHA",IF(E642="","⚠ ADD AMOUNT / AGREGA MONTO",IF(D642="","⚠ ADD CATEGORY / AGREGA CATEGORÍA",IF(K642=0,"● NEW CATEGORY? / ¿CATEGORÍA NUEVA?","✔ OK")))))</f>
        <v/>
      </c>
      <c r="K642" s="56" t="str">
        <f aca="false">IF(D642="","",IFERROR(MATCH(D642,Budget!$B$7:$B$41,0),0))</f>
        <v/>
      </c>
      <c r="L642" s="56" t="n">
        <f aca="false">IF(AND(ISNUMBER(B642),ISNUMBER(E642),D642&lt;&gt;""),YEAR(B642)*100+MONTH(B642),0)</f>
        <v>0</v>
      </c>
      <c r="M642" s="56" t="n">
        <f aca="false">IF(L642=0,0,YEAR(B642))</f>
        <v>0</v>
      </c>
      <c r="N642" s="56" t="str">
        <f aca="false">IF(L642=0,"",IF(K642=0,"Wants / Gustos",INDEX(Budget!$D$7:$D$41,K642)))</f>
        <v/>
      </c>
    </row>
    <row r="643" customFormat="false" ht="15" hidden="false" customHeight="false" outlineLevel="0" collapsed="false">
      <c r="B643" s="57"/>
      <c r="C643" s="58"/>
      <c r="D643" s="58"/>
      <c r="E643" s="59"/>
      <c r="F643" s="58"/>
      <c r="G643" s="58"/>
      <c r="H643" s="60" t="str">
        <f aca="false">IF(OR(E643="",D643=""),"",IF(K643=0,"Expense / Gasto",INDEX(Budget!$C$7:$C$41,K643)))</f>
        <v/>
      </c>
      <c r="I643" s="60" t="str">
        <f aca="false">IF(AND(B643="",E643=""),"",IF(NOT(ISNUMBER(B643)),"⚠ ADD DATE / AGREGA FECHA",IF(E643="","⚠ ADD AMOUNT / AGREGA MONTO",IF(D643="","⚠ ADD CATEGORY / AGREGA CATEGORÍA",IF(K643=0,"● NEW CATEGORY? / ¿CATEGORÍA NUEVA?","✔ OK")))))</f>
        <v/>
      </c>
      <c r="K643" s="56" t="str">
        <f aca="false">IF(D643="","",IFERROR(MATCH(D643,Budget!$B$7:$B$41,0),0))</f>
        <v/>
      </c>
      <c r="L643" s="56" t="n">
        <f aca="false">IF(AND(ISNUMBER(B643),ISNUMBER(E643),D643&lt;&gt;""),YEAR(B643)*100+MONTH(B643),0)</f>
        <v>0</v>
      </c>
      <c r="M643" s="56" t="n">
        <f aca="false">IF(L643=0,0,YEAR(B643))</f>
        <v>0</v>
      </c>
      <c r="N643" s="56" t="str">
        <f aca="false">IF(L643=0,"",IF(K643=0,"Wants / Gustos",INDEX(Budget!$D$7:$D$41,K643)))</f>
        <v/>
      </c>
    </row>
    <row r="644" customFormat="false" ht="15" hidden="false" customHeight="false" outlineLevel="0" collapsed="false">
      <c r="B644" s="57"/>
      <c r="C644" s="58"/>
      <c r="D644" s="58"/>
      <c r="E644" s="59"/>
      <c r="F644" s="58"/>
      <c r="G644" s="58"/>
      <c r="H644" s="60" t="str">
        <f aca="false">IF(OR(E644="",D644=""),"",IF(K644=0,"Expense / Gasto",INDEX(Budget!$C$7:$C$41,K644)))</f>
        <v/>
      </c>
      <c r="I644" s="60" t="str">
        <f aca="false">IF(AND(B644="",E644=""),"",IF(NOT(ISNUMBER(B644)),"⚠ ADD DATE / AGREGA FECHA",IF(E644="","⚠ ADD AMOUNT / AGREGA MONTO",IF(D644="","⚠ ADD CATEGORY / AGREGA CATEGORÍA",IF(K644=0,"● NEW CATEGORY? / ¿CATEGORÍA NUEVA?","✔ OK")))))</f>
        <v/>
      </c>
      <c r="K644" s="56" t="str">
        <f aca="false">IF(D644="","",IFERROR(MATCH(D644,Budget!$B$7:$B$41,0),0))</f>
        <v/>
      </c>
      <c r="L644" s="56" t="n">
        <f aca="false">IF(AND(ISNUMBER(B644),ISNUMBER(E644),D644&lt;&gt;""),YEAR(B644)*100+MONTH(B644),0)</f>
        <v>0</v>
      </c>
      <c r="M644" s="56" t="n">
        <f aca="false">IF(L644=0,0,YEAR(B644))</f>
        <v>0</v>
      </c>
      <c r="N644" s="56" t="str">
        <f aca="false">IF(L644=0,"",IF(K644=0,"Wants / Gustos",INDEX(Budget!$D$7:$D$41,K644)))</f>
        <v/>
      </c>
    </row>
    <row r="645" customFormat="false" ht="15" hidden="false" customHeight="false" outlineLevel="0" collapsed="false">
      <c r="B645" s="57"/>
      <c r="C645" s="58"/>
      <c r="D645" s="58"/>
      <c r="E645" s="59"/>
      <c r="F645" s="58"/>
      <c r="G645" s="58"/>
      <c r="H645" s="60" t="str">
        <f aca="false">IF(OR(E645="",D645=""),"",IF(K645=0,"Expense / Gasto",INDEX(Budget!$C$7:$C$41,K645)))</f>
        <v/>
      </c>
      <c r="I645" s="60" t="str">
        <f aca="false">IF(AND(B645="",E645=""),"",IF(NOT(ISNUMBER(B645)),"⚠ ADD DATE / AGREGA FECHA",IF(E645="","⚠ ADD AMOUNT / AGREGA MONTO",IF(D645="","⚠ ADD CATEGORY / AGREGA CATEGORÍA",IF(K645=0,"● NEW CATEGORY? / ¿CATEGORÍA NUEVA?","✔ OK")))))</f>
        <v/>
      </c>
      <c r="K645" s="56" t="str">
        <f aca="false">IF(D645="","",IFERROR(MATCH(D645,Budget!$B$7:$B$41,0),0))</f>
        <v/>
      </c>
      <c r="L645" s="56" t="n">
        <f aca="false">IF(AND(ISNUMBER(B645),ISNUMBER(E645),D645&lt;&gt;""),YEAR(B645)*100+MONTH(B645),0)</f>
        <v>0</v>
      </c>
      <c r="M645" s="56" t="n">
        <f aca="false">IF(L645=0,0,YEAR(B645))</f>
        <v>0</v>
      </c>
      <c r="N645" s="56" t="str">
        <f aca="false">IF(L645=0,"",IF(K645=0,"Wants / Gustos",INDEX(Budget!$D$7:$D$41,K645)))</f>
        <v/>
      </c>
    </row>
    <row r="646" customFormat="false" ht="15" hidden="false" customHeight="false" outlineLevel="0" collapsed="false">
      <c r="B646" s="57"/>
      <c r="C646" s="58"/>
      <c r="D646" s="58"/>
      <c r="E646" s="59"/>
      <c r="F646" s="58"/>
      <c r="G646" s="58"/>
      <c r="H646" s="60" t="str">
        <f aca="false">IF(OR(E646="",D646=""),"",IF(K646=0,"Expense / Gasto",INDEX(Budget!$C$7:$C$41,K646)))</f>
        <v/>
      </c>
      <c r="I646" s="60" t="str">
        <f aca="false">IF(AND(B646="",E646=""),"",IF(NOT(ISNUMBER(B646)),"⚠ ADD DATE / AGREGA FECHA",IF(E646="","⚠ ADD AMOUNT / AGREGA MONTO",IF(D646="","⚠ ADD CATEGORY / AGREGA CATEGORÍA",IF(K646=0,"● NEW CATEGORY? / ¿CATEGORÍA NUEVA?","✔ OK")))))</f>
        <v/>
      </c>
      <c r="K646" s="56" t="str">
        <f aca="false">IF(D646="","",IFERROR(MATCH(D646,Budget!$B$7:$B$41,0),0))</f>
        <v/>
      </c>
      <c r="L646" s="56" t="n">
        <f aca="false">IF(AND(ISNUMBER(B646),ISNUMBER(E646),D646&lt;&gt;""),YEAR(B646)*100+MONTH(B646),0)</f>
        <v>0</v>
      </c>
      <c r="M646" s="56" t="n">
        <f aca="false">IF(L646=0,0,YEAR(B646))</f>
        <v>0</v>
      </c>
      <c r="N646" s="56" t="str">
        <f aca="false">IF(L646=0,"",IF(K646=0,"Wants / Gustos",INDEX(Budget!$D$7:$D$41,K646)))</f>
        <v/>
      </c>
    </row>
    <row r="647" customFormat="false" ht="15" hidden="false" customHeight="false" outlineLevel="0" collapsed="false">
      <c r="B647" s="57"/>
      <c r="C647" s="58"/>
      <c r="D647" s="58"/>
      <c r="E647" s="59"/>
      <c r="F647" s="58"/>
      <c r="G647" s="58"/>
      <c r="H647" s="60" t="str">
        <f aca="false">IF(OR(E647="",D647=""),"",IF(K647=0,"Expense / Gasto",INDEX(Budget!$C$7:$C$41,K647)))</f>
        <v/>
      </c>
      <c r="I647" s="60" t="str">
        <f aca="false">IF(AND(B647="",E647=""),"",IF(NOT(ISNUMBER(B647)),"⚠ ADD DATE / AGREGA FECHA",IF(E647="","⚠ ADD AMOUNT / AGREGA MONTO",IF(D647="","⚠ ADD CATEGORY / AGREGA CATEGORÍA",IF(K647=0,"● NEW CATEGORY? / ¿CATEGORÍA NUEVA?","✔ OK")))))</f>
        <v/>
      </c>
      <c r="K647" s="56" t="str">
        <f aca="false">IF(D647="","",IFERROR(MATCH(D647,Budget!$B$7:$B$41,0),0))</f>
        <v/>
      </c>
      <c r="L647" s="56" t="n">
        <f aca="false">IF(AND(ISNUMBER(B647),ISNUMBER(E647),D647&lt;&gt;""),YEAR(B647)*100+MONTH(B647),0)</f>
        <v>0</v>
      </c>
      <c r="M647" s="56" t="n">
        <f aca="false">IF(L647=0,0,YEAR(B647))</f>
        <v>0</v>
      </c>
      <c r="N647" s="56" t="str">
        <f aca="false">IF(L647=0,"",IF(K647=0,"Wants / Gustos",INDEX(Budget!$D$7:$D$41,K647)))</f>
        <v/>
      </c>
    </row>
    <row r="648" customFormat="false" ht="15" hidden="false" customHeight="false" outlineLevel="0" collapsed="false">
      <c r="B648" s="57"/>
      <c r="C648" s="58"/>
      <c r="D648" s="58"/>
      <c r="E648" s="59"/>
      <c r="F648" s="58"/>
      <c r="G648" s="58"/>
      <c r="H648" s="60" t="str">
        <f aca="false">IF(OR(E648="",D648=""),"",IF(K648=0,"Expense / Gasto",INDEX(Budget!$C$7:$C$41,K648)))</f>
        <v/>
      </c>
      <c r="I648" s="60" t="str">
        <f aca="false">IF(AND(B648="",E648=""),"",IF(NOT(ISNUMBER(B648)),"⚠ ADD DATE / AGREGA FECHA",IF(E648="","⚠ ADD AMOUNT / AGREGA MONTO",IF(D648="","⚠ ADD CATEGORY / AGREGA CATEGORÍA",IF(K648=0,"● NEW CATEGORY? / ¿CATEGORÍA NUEVA?","✔ OK")))))</f>
        <v/>
      </c>
      <c r="K648" s="56" t="str">
        <f aca="false">IF(D648="","",IFERROR(MATCH(D648,Budget!$B$7:$B$41,0),0))</f>
        <v/>
      </c>
      <c r="L648" s="56" t="n">
        <f aca="false">IF(AND(ISNUMBER(B648),ISNUMBER(E648),D648&lt;&gt;""),YEAR(B648)*100+MONTH(B648),0)</f>
        <v>0</v>
      </c>
      <c r="M648" s="56" t="n">
        <f aca="false">IF(L648=0,0,YEAR(B648))</f>
        <v>0</v>
      </c>
      <c r="N648" s="56" t="str">
        <f aca="false">IF(L648=0,"",IF(K648=0,"Wants / Gustos",INDEX(Budget!$D$7:$D$41,K648)))</f>
        <v/>
      </c>
    </row>
    <row r="649" customFormat="false" ht="15" hidden="false" customHeight="false" outlineLevel="0" collapsed="false">
      <c r="B649" s="57"/>
      <c r="C649" s="58"/>
      <c r="D649" s="58"/>
      <c r="E649" s="59"/>
      <c r="F649" s="58"/>
      <c r="G649" s="58"/>
      <c r="H649" s="60" t="str">
        <f aca="false">IF(OR(E649="",D649=""),"",IF(K649=0,"Expense / Gasto",INDEX(Budget!$C$7:$C$41,K649)))</f>
        <v/>
      </c>
      <c r="I649" s="60" t="str">
        <f aca="false">IF(AND(B649="",E649=""),"",IF(NOT(ISNUMBER(B649)),"⚠ ADD DATE / AGREGA FECHA",IF(E649="","⚠ ADD AMOUNT / AGREGA MONTO",IF(D649="","⚠ ADD CATEGORY / AGREGA CATEGORÍA",IF(K649=0,"● NEW CATEGORY? / ¿CATEGORÍA NUEVA?","✔ OK")))))</f>
        <v/>
      </c>
      <c r="K649" s="56" t="str">
        <f aca="false">IF(D649="","",IFERROR(MATCH(D649,Budget!$B$7:$B$41,0),0))</f>
        <v/>
      </c>
      <c r="L649" s="56" t="n">
        <f aca="false">IF(AND(ISNUMBER(B649),ISNUMBER(E649),D649&lt;&gt;""),YEAR(B649)*100+MONTH(B649),0)</f>
        <v>0</v>
      </c>
      <c r="M649" s="56" t="n">
        <f aca="false">IF(L649=0,0,YEAR(B649))</f>
        <v>0</v>
      </c>
      <c r="N649" s="56" t="str">
        <f aca="false">IF(L649=0,"",IF(K649=0,"Wants / Gustos",INDEX(Budget!$D$7:$D$41,K649)))</f>
        <v/>
      </c>
    </row>
    <row r="650" customFormat="false" ht="15" hidden="false" customHeight="false" outlineLevel="0" collapsed="false">
      <c r="B650" s="57"/>
      <c r="C650" s="58"/>
      <c r="D650" s="58"/>
      <c r="E650" s="59"/>
      <c r="F650" s="58"/>
      <c r="G650" s="58"/>
      <c r="H650" s="60" t="str">
        <f aca="false">IF(OR(E650="",D650=""),"",IF(K650=0,"Expense / Gasto",INDEX(Budget!$C$7:$C$41,K650)))</f>
        <v/>
      </c>
      <c r="I650" s="60" t="str">
        <f aca="false">IF(AND(B650="",E650=""),"",IF(NOT(ISNUMBER(B650)),"⚠ ADD DATE / AGREGA FECHA",IF(E650="","⚠ ADD AMOUNT / AGREGA MONTO",IF(D650="","⚠ ADD CATEGORY / AGREGA CATEGORÍA",IF(K650=0,"● NEW CATEGORY? / ¿CATEGORÍA NUEVA?","✔ OK")))))</f>
        <v/>
      </c>
      <c r="K650" s="56" t="str">
        <f aca="false">IF(D650="","",IFERROR(MATCH(D650,Budget!$B$7:$B$41,0),0))</f>
        <v/>
      </c>
      <c r="L650" s="56" t="n">
        <f aca="false">IF(AND(ISNUMBER(B650),ISNUMBER(E650),D650&lt;&gt;""),YEAR(B650)*100+MONTH(B650),0)</f>
        <v>0</v>
      </c>
      <c r="M650" s="56" t="n">
        <f aca="false">IF(L650=0,0,YEAR(B650))</f>
        <v>0</v>
      </c>
      <c r="N650" s="56" t="str">
        <f aca="false">IF(L650=0,"",IF(K650=0,"Wants / Gustos",INDEX(Budget!$D$7:$D$41,K650)))</f>
        <v/>
      </c>
    </row>
    <row r="651" customFormat="false" ht="15" hidden="false" customHeight="false" outlineLevel="0" collapsed="false">
      <c r="B651" s="57"/>
      <c r="C651" s="58"/>
      <c r="D651" s="58"/>
      <c r="E651" s="59"/>
      <c r="F651" s="58"/>
      <c r="G651" s="58"/>
      <c r="H651" s="60" t="str">
        <f aca="false">IF(OR(E651="",D651=""),"",IF(K651=0,"Expense / Gasto",INDEX(Budget!$C$7:$C$41,K651)))</f>
        <v/>
      </c>
      <c r="I651" s="60" t="str">
        <f aca="false">IF(AND(B651="",E651=""),"",IF(NOT(ISNUMBER(B651)),"⚠ ADD DATE / AGREGA FECHA",IF(E651="","⚠ ADD AMOUNT / AGREGA MONTO",IF(D651="","⚠ ADD CATEGORY / AGREGA CATEGORÍA",IF(K651=0,"● NEW CATEGORY? / ¿CATEGORÍA NUEVA?","✔ OK")))))</f>
        <v/>
      </c>
      <c r="K651" s="56" t="str">
        <f aca="false">IF(D651="","",IFERROR(MATCH(D651,Budget!$B$7:$B$41,0),0))</f>
        <v/>
      </c>
      <c r="L651" s="56" t="n">
        <f aca="false">IF(AND(ISNUMBER(B651),ISNUMBER(E651),D651&lt;&gt;""),YEAR(B651)*100+MONTH(B651),0)</f>
        <v>0</v>
      </c>
      <c r="M651" s="56" t="n">
        <f aca="false">IF(L651=0,0,YEAR(B651))</f>
        <v>0</v>
      </c>
      <c r="N651" s="56" t="str">
        <f aca="false">IF(L651=0,"",IF(K651=0,"Wants / Gustos",INDEX(Budget!$D$7:$D$41,K651)))</f>
        <v/>
      </c>
    </row>
    <row r="652" customFormat="false" ht="15" hidden="false" customHeight="false" outlineLevel="0" collapsed="false">
      <c r="B652" s="57"/>
      <c r="C652" s="58"/>
      <c r="D652" s="58"/>
      <c r="E652" s="59"/>
      <c r="F652" s="58"/>
      <c r="G652" s="58"/>
      <c r="H652" s="60" t="str">
        <f aca="false">IF(OR(E652="",D652=""),"",IF(K652=0,"Expense / Gasto",INDEX(Budget!$C$7:$C$41,K652)))</f>
        <v/>
      </c>
      <c r="I652" s="60" t="str">
        <f aca="false">IF(AND(B652="",E652=""),"",IF(NOT(ISNUMBER(B652)),"⚠ ADD DATE / AGREGA FECHA",IF(E652="","⚠ ADD AMOUNT / AGREGA MONTO",IF(D652="","⚠ ADD CATEGORY / AGREGA CATEGORÍA",IF(K652=0,"● NEW CATEGORY? / ¿CATEGORÍA NUEVA?","✔ OK")))))</f>
        <v/>
      </c>
      <c r="K652" s="56" t="str">
        <f aca="false">IF(D652="","",IFERROR(MATCH(D652,Budget!$B$7:$B$41,0),0))</f>
        <v/>
      </c>
      <c r="L652" s="56" t="n">
        <f aca="false">IF(AND(ISNUMBER(B652),ISNUMBER(E652),D652&lt;&gt;""),YEAR(B652)*100+MONTH(B652),0)</f>
        <v>0</v>
      </c>
      <c r="M652" s="56" t="n">
        <f aca="false">IF(L652=0,0,YEAR(B652))</f>
        <v>0</v>
      </c>
      <c r="N652" s="56" t="str">
        <f aca="false">IF(L652=0,"",IF(K652=0,"Wants / Gustos",INDEX(Budget!$D$7:$D$41,K652)))</f>
        <v/>
      </c>
    </row>
    <row r="653" customFormat="false" ht="15" hidden="false" customHeight="false" outlineLevel="0" collapsed="false">
      <c r="B653" s="57"/>
      <c r="C653" s="58"/>
      <c r="D653" s="58"/>
      <c r="E653" s="59"/>
      <c r="F653" s="58"/>
      <c r="G653" s="58"/>
      <c r="H653" s="60" t="str">
        <f aca="false">IF(OR(E653="",D653=""),"",IF(K653=0,"Expense / Gasto",INDEX(Budget!$C$7:$C$41,K653)))</f>
        <v/>
      </c>
      <c r="I653" s="60" t="str">
        <f aca="false">IF(AND(B653="",E653=""),"",IF(NOT(ISNUMBER(B653)),"⚠ ADD DATE / AGREGA FECHA",IF(E653="","⚠ ADD AMOUNT / AGREGA MONTO",IF(D653="","⚠ ADD CATEGORY / AGREGA CATEGORÍA",IF(K653=0,"● NEW CATEGORY? / ¿CATEGORÍA NUEVA?","✔ OK")))))</f>
        <v/>
      </c>
      <c r="K653" s="56" t="str">
        <f aca="false">IF(D653="","",IFERROR(MATCH(D653,Budget!$B$7:$B$41,0),0))</f>
        <v/>
      </c>
      <c r="L653" s="56" t="n">
        <f aca="false">IF(AND(ISNUMBER(B653),ISNUMBER(E653),D653&lt;&gt;""),YEAR(B653)*100+MONTH(B653),0)</f>
        <v>0</v>
      </c>
      <c r="M653" s="56" t="n">
        <f aca="false">IF(L653=0,0,YEAR(B653))</f>
        <v>0</v>
      </c>
      <c r="N653" s="56" t="str">
        <f aca="false">IF(L653=0,"",IF(K653=0,"Wants / Gustos",INDEX(Budget!$D$7:$D$41,K653)))</f>
        <v/>
      </c>
    </row>
    <row r="654" customFormat="false" ht="15" hidden="false" customHeight="false" outlineLevel="0" collapsed="false">
      <c r="B654" s="57"/>
      <c r="C654" s="58"/>
      <c r="D654" s="58"/>
      <c r="E654" s="59"/>
      <c r="F654" s="58"/>
      <c r="G654" s="58"/>
      <c r="H654" s="60" t="str">
        <f aca="false">IF(OR(E654="",D654=""),"",IF(K654=0,"Expense / Gasto",INDEX(Budget!$C$7:$C$41,K654)))</f>
        <v/>
      </c>
      <c r="I654" s="60" t="str">
        <f aca="false">IF(AND(B654="",E654=""),"",IF(NOT(ISNUMBER(B654)),"⚠ ADD DATE / AGREGA FECHA",IF(E654="","⚠ ADD AMOUNT / AGREGA MONTO",IF(D654="","⚠ ADD CATEGORY / AGREGA CATEGORÍA",IF(K654=0,"● NEW CATEGORY? / ¿CATEGORÍA NUEVA?","✔ OK")))))</f>
        <v/>
      </c>
      <c r="K654" s="56" t="str">
        <f aca="false">IF(D654="","",IFERROR(MATCH(D654,Budget!$B$7:$B$41,0),0))</f>
        <v/>
      </c>
      <c r="L654" s="56" t="n">
        <f aca="false">IF(AND(ISNUMBER(B654),ISNUMBER(E654),D654&lt;&gt;""),YEAR(B654)*100+MONTH(B654),0)</f>
        <v>0</v>
      </c>
      <c r="M654" s="56" t="n">
        <f aca="false">IF(L654=0,0,YEAR(B654))</f>
        <v>0</v>
      </c>
      <c r="N654" s="56" t="str">
        <f aca="false">IF(L654=0,"",IF(K654=0,"Wants / Gustos",INDEX(Budget!$D$7:$D$41,K654)))</f>
        <v/>
      </c>
    </row>
    <row r="655" customFormat="false" ht="15" hidden="false" customHeight="false" outlineLevel="0" collapsed="false">
      <c r="B655" s="57"/>
      <c r="C655" s="58"/>
      <c r="D655" s="58"/>
      <c r="E655" s="59"/>
      <c r="F655" s="58"/>
      <c r="G655" s="58"/>
      <c r="H655" s="60" t="str">
        <f aca="false">IF(OR(E655="",D655=""),"",IF(K655=0,"Expense / Gasto",INDEX(Budget!$C$7:$C$41,K655)))</f>
        <v/>
      </c>
      <c r="I655" s="60" t="str">
        <f aca="false">IF(AND(B655="",E655=""),"",IF(NOT(ISNUMBER(B655)),"⚠ ADD DATE / AGREGA FECHA",IF(E655="","⚠ ADD AMOUNT / AGREGA MONTO",IF(D655="","⚠ ADD CATEGORY / AGREGA CATEGORÍA",IF(K655=0,"● NEW CATEGORY? / ¿CATEGORÍA NUEVA?","✔ OK")))))</f>
        <v/>
      </c>
      <c r="K655" s="56" t="str">
        <f aca="false">IF(D655="","",IFERROR(MATCH(D655,Budget!$B$7:$B$41,0),0))</f>
        <v/>
      </c>
      <c r="L655" s="56" t="n">
        <f aca="false">IF(AND(ISNUMBER(B655),ISNUMBER(E655),D655&lt;&gt;""),YEAR(B655)*100+MONTH(B655),0)</f>
        <v>0</v>
      </c>
      <c r="M655" s="56" t="n">
        <f aca="false">IF(L655=0,0,YEAR(B655))</f>
        <v>0</v>
      </c>
      <c r="N655" s="56" t="str">
        <f aca="false">IF(L655=0,"",IF(K655=0,"Wants / Gustos",INDEX(Budget!$D$7:$D$41,K655)))</f>
        <v/>
      </c>
    </row>
    <row r="656" customFormat="false" ht="15" hidden="false" customHeight="false" outlineLevel="0" collapsed="false">
      <c r="B656" s="57"/>
      <c r="C656" s="58"/>
      <c r="D656" s="58"/>
      <c r="E656" s="59"/>
      <c r="F656" s="58"/>
      <c r="G656" s="58"/>
      <c r="H656" s="60" t="str">
        <f aca="false">IF(OR(E656="",D656=""),"",IF(K656=0,"Expense / Gasto",INDEX(Budget!$C$7:$C$41,K656)))</f>
        <v/>
      </c>
      <c r="I656" s="60" t="str">
        <f aca="false">IF(AND(B656="",E656=""),"",IF(NOT(ISNUMBER(B656)),"⚠ ADD DATE / AGREGA FECHA",IF(E656="","⚠ ADD AMOUNT / AGREGA MONTO",IF(D656="","⚠ ADD CATEGORY / AGREGA CATEGORÍA",IF(K656=0,"● NEW CATEGORY? / ¿CATEGORÍA NUEVA?","✔ OK")))))</f>
        <v/>
      </c>
      <c r="K656" s="56" t="str">
        <f aca="false">IF(D656="","",IFERROR(MATCH(D656,Budget!$B$7:$B$41,0),0))</f>
        <v/>
      </c>
      <c r="L656" s="56" t="n">
        <f aca="false">IF(AND(ISNUMBER(B656),ISNUMBER(E656),D656&lt;&gt;""),YEAR(B656)*100+MONTH(B656),0)</f>
        <v>0</v>
      </c>
      <c r="M656" s="56" t="n">
        <f aca="false">IF(L656=0,0,YEAR(B656))</f>
        <v>0</v>
      </c>
      <c r="N656" s="56" t="str">
        <f aca="false">IF(L656=0,"",IF(K656=0,"Wants / Gustos",INDEX(Budget!$D$7:$D$41,K656)))</f>
        <v/>
      </c>
    </row>
    <row r="657" customFormat="false" ht="15" hidden="false" customHeight="false" outlineLevel="0" collapsed="false">
      <c r="B657" s="57"/>
      <c r="C657" s="58"/>
      <c r="D657" s="58"/>
      <c r="E657" s="59"/>
      <c r="F657" s="58"/>
      <c r="G657" s="58"/>
      <c r="H657" s="60" t="str">
        <f aca="false">IF(OR(E657="",D657=""),"",IF(K657=0,"Expense / Gasto",INDEX(Budget!$C$7:$C$41,K657)))</f>
        <v/>
      </c>
      <c r="I657" s="60" t="str">
        <f aca="false">IF(AND(B657="",E657=""),"",IF(NOT(ISNUMBER(B657)),"⚠ ADD DATE / AGREGA FECHA",IF(E657="","⚠ ADD AMOUNT / AGREGA MONTO",IF(D657="","⚠ ADD CATEGORY / AGREGA CATEGORÍA",IF(K657=0,"● NEW CATEGORY? / ¿CATEGORÍA NUEVA?","✔ OK")))))</f>
        <v/>
      </c>
      <c r="K657" s="56" t="str">
        <f aca="false">IF(D657="","",IFERROR(MATCH(D657,Budget!$B$7:$B$41,0),0))</f>
        <v/>
      </c>
      <c r="L657" s="56" t="n">
        <f aca="false">IF(AND(ISNUMBER(B657),ISNUMBER(E657),D657&lt;&gt;""),YEAR(B657)*100+MONTH(B657),0)</f>
        <v>0</v>
      </c>
      <c r="M657" s="56" t="n">
        <f aca="false">IF(L657=0,0,YEAR(B657))</f>
        <v>0</v>
      </c>
      <c r="N657" s="56" t="str">
        <f aca="false">IF(L657=0,"",IF(K657=0,"Wants / Gustos",INDEX(Budget!$D$7:$D$41,K657)))</f>
        <v/>
      </c>
    </row>
    <row r="658" customFormat="false" ht="15" hidden="false" customHeight="false" outlineLevel="0" collapsed="false">
      <c r="B658" s="57"/>
      <c r="C658" s="58"/>
      <c r="D658" s="58"/>
      <c r="E658" s="59"/>
      <c r="F658" s="58"/>
      <c r="G658" s="58"/>
      <c r="H658" s="60" t="str">
        <f aca="false">IF(OR(E658="",D658=""),"",IF(K658=0,"Expense / Gasto",INDEX(Budget!$C$7:$C$41,K658)))</f>
        <v/>
      </c>
      <c r="I658" s="60" t="str">
        <f aca="false">IF(AND(B658="",E658=""),"",IF(NOT(ISNUMBER(B658)),"⚠ ADD DATE / AGREGA FECHA",IF(E658="","⚠ ADD AMOUNT / AGREGA MONTO",IF(D658="","⚠ ADD CATEGORY / AGREGA CATEGORÍA",IF(K658=0,"● NEW CATEGORY? / ¿CATEGORÍA NUEVA?","✔ OK")))))</f>
        <v/>
      </c>
      <c r="K658" s="56" t="str">
        <f aca="false">IF(D658="","",IFERROR(MATCH(D658,Budget!$B$7:$B$41,0),0))</f>
        <v/>
      </c>
      <c r="L658" s="56" t="n">
        <f aca="false">IF(AND(ISNUMBER(B658),ISNUMBER(E658),D658&lt;&gt;""),YEAR(B658)*100+MONTH(B658),0)</f>
        <v>0</v>
      </c>
      <c r="M658" s="56" t="n">
        <f aca="false">IF(L658=0,0,YEAR(B658))</f>
        <v>0</v>
      </c>
      <c r="N658" s="56" t="str">
        <f aca="false">IF(L658=0,"",IF(K658=0,"Wants / Gustos",INDEX(Budget!$D$7:$D$41,K658)))</f>
        <v/>
      </c>
    </row>
    <row r="659" customFormat="false" ht="15" hidden="false" customHeight="false" outlineLevel="0" collapsed="false">
      <c r="B659" s="57"/>
      <c r="C659" s="58"/>
      <c r="D659" s="58"/>
      <c r="E659" s="59"/>
      <c r="F659" s="58"/>
      <c r="G659" s="58"/>
      <c r="H659" s="60" t="str">
        <f aca="false">IF(OR(E659="",D659=""),"",IF(K659=0,"Expense / Gasto",INDEX(Budget!$C$7:$C$41,K659)))</f>
        <v/>
      </c>
      <c r="I659" s="60" t="str">
        <f aca="false">IF(AND(B659="",E659=""),"",IF(NOT(ISNUMBER(B659)),"⚠ ADD DATE / AGREGA FECHA",IF(E659="","⚠ ADD AMOUNT / AGREGA MONTO",IF(D659="","⚠ ADD CATEGORY / AGREGA CATEGORÍA",IF(K659=0,"● NEW CATEGORY? / ¿CATEGORÍA NUEVA?","✔ OK")))))</f>
        <v/>
      </c>
      <c r="K659" s="56" t="str">
        <f aca="false">IF(D659="","",IFERROR(MATCH(D659,Budget!$B$7:$B$41,0),0))</f>
        <v/>
      </c>
      <c r="L659" s="56" t="n">
        <f aca="false">IF(AND(ISNUMBER(B659),ISNUMBER(E659),D659&lt;&gt;""),YEAR(B659)*100+MONTH(B659),0)</f>
        <v>0</v>
      </c>
      <c r="M659" s="56" t="n">
        <f aca="false">IF(L659=0,0,YEAR(B659))</f>
        <v>0</v>
      </c>
      <c r="N659" s="56" t="str">
        <f aca="false">IF(L659=0,"",IF(K659=0,"Wants / Gustos",INDEX(Budget!$D$7:$D$41,K659)))</f>
        <v/>
      </c>
    </row>
    <row r="660" customFormat="false" ht="15" hidden="false" customHeight="false" outlineLevel="0" collapsed="false">
      <c r="B660" s="57"/>
      <c r="C660" s="58"/>
      <c r="D660" s="58"/>
      <c r="E660" s="59"/>
      <c r="F660" s="58"/>
      <c r="G660" s="58"/>
      <c r="H660" s="60" t="str">
        <f aca="false">IF(OR(E660="",D660=""),"",IF(K660=0,"Expense / Gasto",INDEX(Budget!$C$7:$C$41,K660)))</f>
        <v/>
      </c>
      <c r="I660" s="60" t="str">
        <f aca="false">IF(AND(B660="",E660=""),"",IF(NOT(ISNUMBER(B660)),"⚠ ADD DATE / AGREGA FECHA",IF(E660="","⚠ ADD AMOUNT / AGREGA MONTO",IF(D660="","⚠ ADD CATEGORY / AGREGA CATEGORÍA",IF(K660=0,"● NEW CATEGORY? / ¿CATEGORÍA NUEVA?","✔ OK")))))</f>
        <v/>
      </c>
      <c r="K660" s="56" t="str">
        <f aca="false">IF(D660="","",IFERROR(MATCH(D660,Budget!$B$7:$B$41,0),0))</f>
        <v/>
      </c>
      <c r="L660" s="56" t="n">
        <f aca="false">IF(AND(ISNUMBER(B660),ISNUMBER(E660),D660&lt;&gt;""),YEAR(B660)*100+MONTH(B660),0)</f>
        <v>0</v>
      </c>
      <c r="M660" s="56" t="n">
        <f aca="false">IF(L660=0,0,YEAR(B660))</f>
        <v>0</v>
      </c>
      <c r="N660" s="56" t="str">
        <f aca="false">IF(L660=0,"",IF(K660=0,"Wants / Gustos",INDEX(Budget!$D$7:$D$41,K660)))</f>
        <v/>
      </c>
    </row>
    <row r="661" customFormat="false" ht="15" hidden="false" customHeight="false" outlineLevel="0" collapsed="false">
      <c r="B661" s="57"/>
      <c r="C661" s="58"/>
      <c r="D661" s="58"/>
      <c r="E661" s="59"/>
      <c r="F661" s="58"/>
      <c r="G661" s="58"/>
      <c r="H661" s="60" t="str">
        <f aca="false">IF(OR(E661="",D661=""),"",IF(K661=0,"Expense / Gasto",INDEX(Budget!$C$7:$C$41,K661)))</f>
        <v/>
      </c>
      <c r="I661" s="60" t="str">
        <f aca="false">IF(AND(B661="",E661=""),"",IF(NOT(ISNUMBER(B661)),"⚠ ADD DATE / AGREGA FECHA",IF(E661="","⚠ ADD AMOUNT / AGREGA MONTO",IF(D661="","⚠ ADD CATEGORY / AGREGA CATEGORÍA",IF(K661=0,"● NEW CATEGORY? / ¿CATEGORÍA NUEVA?","✔ OK")))))</f>
        <v/>
      </c>
      <c r="K661" s="56" t="str">
        <f aca="false">IF(D661="","",IFERROR(MATCH(D661,Budget!$B$7:$B$41,0),0))</f>
        <v/>
      </c>
      <c r="L661" s="56" t="n">
        <f aca="false">IF(AND(ISNUMBER(B661),ISNUMBER(E661),D661&lt;&gt;""),YEAR(B661)*100+MONTH(B661),0)</f>
        <v>0</v>
      </c>
      <c r="M661" s="56" t="n">
        <f aca="false">IF(L661=0,0,YEAR(B661))</f>
        <v>0</v>
      </c>
      <c r="N661" s="56" t="str">
        <f aca="false">IF(L661=0,"",IF(K661=0,"Wants / Gustos",INDEX(Budget!$D$7:$D$41,K661)))</f>
        <v/>
      </c>
    </row>
    <row r="662" customFormat="false" ht="15" hidden="false" customHeight="false" outlineLevel="0" collapsed="false">
      <c r="B662" s="57"/>
      <c r="C662" s="58"/>
      <c r="D662" s="58"/>
      <c r="E662" s="59"/>
      <c r="F662" s="58"/>
      <c r="G662" s="58"/>
      <c r="H662" s="60" t="str">
        <f aca="false">IF(OR(E662="",D662=""),"",IF(K662=0,"Expense / Gasto",INDEX(Budget!$C$7:$C$41,K662)))</f>
        <v/>
      </c>
      <c r="I662" s="60" t="str">
        <f aca="false">IF(AND(B662="",E662=""),"",IF(NOT(ISNUMBER(B662)),"⚠ ADD DATE / AGREGA FECHA",IF(E662="","⚠ ADD AMOUNT / AGREGA MONTO",IF(D662="","⚠ ADD CATEGORY / AGREGA CATEGORÍA",IF(K662=0,"● NEW CATEGORY? / ¿CATEGORÍA NUEVA?","✔ OK")))))</f>
        <v/>
      </c>
      <c r="K662" s="56" t="str">
        <f aca="false">IF(D662="","",IFERROR(MATCH(D662,Budget!$B$7:$B$41,0),0))</f>
        <v/>
      </c>
      <c r="L662" s="56" t="n">
        <f aca="false">IF(AND(ISNUMBER(B662),ISNUMBER(E662),D662&lt;&gt;""),YEAR(B662)*100+MONTH(B662),0)</f>
        <v>0</v>
      </c>
      <c r="M662" s="56" t="n">
        <f aca="false">IF(L662=0,0,YEAR(B662))</f>
        <v>0</v>
      </c>
      <c r="N662" s="56" t="str">
        <f aca="false">IF(L662=0,"",IF(K662=0,"Wants / Gustos",INDEX(Budget!$D$7:$D$41,K662)))</f>
        <v/>
      </c>
    </row>
    <row r="663" customFormat="false" ht="15" hidden="false" customHeight="false" outlineLevel="0" collapsed="false">
      <c r="B663" s="57"/>
      <c r="C663" s="58"/>
      <c r="D663" s="58"/>
      <c r="E663" s="59"/>
      <c r="F663" s="58"/>
      <c r="G663" s="58"/>
      <c r="H663" s="60" t="str">
        <f aca="false">IF(OR(E663="",D663=""),"",IF(K663=0,"Expense / Gasto",INDEX(Budget!$C$7:$C$41,K663)))</f>
        <v/>
      </c>
      <c r="I663" s="60" t="str">
        <f aca="false">IF(AND(B663="",E663=""),"",IF(NOT(ISNUMBER(B663)),"⚠ ADD DATE / AGREGA FECHA",IF(E663="","⚠ ADD AMOUNT / AGREGA MONTO",IF(D663="","⚠ ADD CATEGORY / AGREGA CATEGORÍA",IF(K663=0,"● NEW CATEGORY? / ¿CATEGORÍA NUEVA?","✔ OK")))))</f>
        <v/>
      </c>
      <c r="K663" s="56" t="str">
        <f aca="false">IF(D663="","",IFERROR(MATCH(D663,Budget!$B$7:$B$41,0),0))</f>
        <v/>
      </c>
      <c r="L663" s="56" t="n">
        <f aca="false">IF(AND(ISNUMBER(B663),ISNUMBER(E663),D663&lt;&gt;""),YEAR(B663)*100+MONTH(B663),0)</f>
        <v>0</v>
      </c>
      <c r="M663" s="56" t="n">
        <f aca="false">IF(L663=0,0,YEAR(B663))</f>
        <v>0</v>
      </c>
      <c r="N663" s="56" t="str">
        <f aca="false">IF(L663=0,"",IF(K663=0,"Wants / Gustos",INDEX(Budget!$D$7:$D$41,K663)))</f>
        <v/>
      </c>
    </row>
    <row r="664" customFormat="false" ht="15" hidden="false" customHeight="false" outlineLevel="0" collapsed="false">
      <c r="B664" s="57"/>
      <c r="C664" s="58"/>
      <c r="D664" s="58"/>
      <c r="E664" s="59"/>
      <c r="F664" s="58"/>
      <c r="G664" s="58"/>
      <c r="H664" s="60" t="str">
        <f aca="false">IF(OR(E664="",D664=""),"",IF(K664=0,"Expense / Gasto",INDEX(Budget!$C$7:$C$41,K664)))</f>
        <v/>
      </c>
      <c r="I664" s="60" t="str">
        <f aca="false">IF(AND(B664="",E664=""),"",IF(NOT(ISNUMBER(B664)),"⚠ ADD DATE / AGREGA FECHA",IF(E664="","⚠ ADD AMOUNT / AGREGA MONTO",IF(D664="","⚠ ADD CATEGORY / AGREGA CATEGORÍA",IF(K664=0,"● NEW CATEGORY? / ¿CATEGORÍA NUEVA?","✔ OK")))))</f>
        <v/>
      </c>
      <c r="K664" s="56" t="str">
        <f aca="false">IF(D664="","",IFERROR(MATCH(D664,Budget!$B$7:$B$41,0),0))</f>
        <v/>
      </c>
      <c r="L664" s="56" t="n">
        <f aca="false">IF(AND(ISNUMBER(B664),ISNUMBER(E664),D664&lt;&gt;""),YEAR(B664)*100+MONTH(B664),0)</f>
        <v>0</v>
      </c>
      <c r="M664" s="56" t="n">
        <f aca="false">IF(L664=0,0,YEAR(B664))</f>
        <v>0</v>
      </c>
      <c r="N664" s="56" t="str">
        <f aca="false">IF(L664=0,"",IF(K664=0,"Wants / Gustos",INDEX(Budget!$D$7:$D$41,K664)))</f>
        <v/>
      </c>
    </row>
    <row r="665" customFormat="false" ht="15" hidden="false" customHeight="false" outlineLevel="0" collapsed="false">
      <c r="B665" s="57"/>
      <c r="C665" s="58"/>
      <c r="D665" s="58"/>
      <c r="E665" s="59"/>
      <c r="F665" s="58"/>
      <c r="G665" s="58"/>
      <c r="H665" s="60" t="str">
        <f aca="false">IF(OR(E665="",D665=""),"",IF(K665=0,"Expense / Gasto",INDEX(Budget!$C$7:$C$41,K665)))</f>
        <v/>
      </c>
      <c r="I665" s="60" t="str">
        <f aca="false">IF(AND(B665="",E665=""),"",IF(NOT(ISNUMBER(B665)),"⚠ ADD DATE / AGREGA FECHA",IF(E665="","⚠ ADD AMOUNT / AGREGA MONTO",IF(D665="","⚠ ADD CATEGORY / AGREGA CATEGORÍA",IF(K665=0,"● NEW CATEGORY? / ¿CATEGORÍA NUEVA?","✔ OK")))))</f>
        <v/>
      </c>
      <c r="K665" s="56" t="str">
        <f aca="false">IF(D665="","",IFERROR(MATCH(D665,Budget!$B$7:$B$41,0),0))</f>
        <v/>
      </c>
      <c r="L665" s="56" t="n">
        <f aca="false">IF(AND(ISNUMBER(B665),ISNUMBER(E665),D665&lt;&gt;""),YEAR(B665)*100+MONTH(B665),0)</f>
        <v>0</v>
      </c>
      <c r="M665" s="56" t="n">
        <f aca="false">IF(L665=0,0,YEAR(B665))</f>
        <v>0</v>
      </c>
      <c r="N665" s="56" t="str">
        <f aca="false">IF(L665=0,"",IF(K665=0,"Wants / Gustos",INDEX(Budget!$D$7:$D$41,K665)))</f>
        <v/>
      </c>
    </row>
    <row r="666" customFormat="false" ht="15" hidden="false" customHeight="false" outlineLevel="0" collapsed="false">
      <c r="B666" s="57"/>
      <c r="C666" s="58"/>
      <c r="D666" s="58"/>
      <c r="E666" s="59"/>
      <c r="F666" s="58"/>
      <c r="G666" s="58"/>
      <c r="H666" s="60" t="str">
        <f aca="false">IF(OR(E666="",D666=""),"",IF(K666=0,"Expense / Gasto",INDEX(Budget!$C$7:$C$41,K666)))</f>
        <v/>
      </c>
      <c r="I666" s="60" t="str">
        <f aca="false">IF(AND(B666="",E666=""),"",IF(NOT(ISNUMBER(B666)),"⚠ ADD DATE / AGREGA FECHA",IF(E666="","⚠ ADD AMOUNT / AGREGA MONTO",IF(D666="","⚠ ADD CATEGORY / AGREGA CATEGORÍA",IF(K666=0,"● NEW CATEGORY? / ¿CATEGORÍA NUEVA?","✔ OK")))))</f>
        <v/>
      </c>
      <c r="K666" s="56" t="str">
        <f aca="false">IF(D666="","",IFERROR(MATCH(D666,Budget!$B$7:$B$41,0),0))</f>
        <v/>
      </c>
      <c r="L666" s="56" t="n">
        <f aca="false">IF(AND(ISNUMBER(B666),ISNUMBER(E666),D666&lt;&gt;""),YEAR(B666)*100+MONTH(B666),0)</f>
        <v>0</v>
      </c>
      <c r="M666" s="56" t="n">
        <f aca="false">IF(L666=0,0,YEAR(B666))</f>
        <v>0</v>
      </c>
      <c r="N666" s="56" t="str">
        <f aca="false">IF(L666=0,"",IF(K666=0,"Wants / Gustos",INDEX(Budget!$D$7:$D$41,K666)))</f>
        <v/>
      </c>
    </row>
    <row r="667" customFormat="false" ht="15" hidden="false" customHeight="false" outlineLevel="0" collapsed="false">
      <c r="B667" s="57"/>
      <c r="C667" s="58"/>
      <c r="D667" s="58"/>
      <c r="E667" s="59"/>
      <c r="F667" s="58"/>
      <c r="G667" s="58"/>
      <c r="H667" s="60" t="str">
        <f aca="false">IF(OR(E667="",D667=""),"",IF(K667=0,"Expense / Gasto",INDEX(Budget!$C$7:$C$41,K667)))</f>
        <v/>
      </c>
      <c r="I667" s="60" t="str">
        <f aca="false">IF(AND(B667="",E667=""),"",IF(NOT(ISNUMBER(B667)),"⚠ ADD DATE / AGREGA FECHA",IF(E667="","⚠ ADD AMOUNT / AGREGA MONTO",IF(D667="","⚠ ADD CATEGORY / AGREGA CATEGORÍA",IF(K667=0,"● NEW CATEGORY? / ¿CATEGORÍA NUEVA?","✔ OK")))))</f>
        <v/>
      </c>
      <c r="K667" s="56" t="str">
        <f aca="false">IF(D667="","",IFERROR(MATCH(D667,Budget!$B$7:$B$41,0),0))</f>
        <v/>
      </c>
      <c r="L667" s="56" t="n">
        <f aca="false">IF(AND(ISNUMBER(B667),ISNUMBER(E667),D667&lt;&gt;""),YEAR(B667)*100+MONTH(B667),0)</f>
        <v>0</v>
      </c>
      <c r="M667" s="56" t="n">
        <f aca="false">IF(L667=0,0,YEAR(B667))</f>
        <v>0</v>
      </c>
      <c r="N667" s="56" t="str">
        <f aca="false">IF(L667=0,"",IF(K667=0,"Wants / Gustos",INDEX(Budget!$D$7:$D$41,K667)))</f>
        <v/>
      </c>
    </row>
    <row r="668" customFormat="false" ht="15" hidden="false" customHeight="false" outlineLevel="0" collapsed="false">
      <c r="B668" s="57"/>
      <c r="C668" s="58"/>
      <c r="D668" s="58"/>
      <c r="E668" s="59"/>
      <c r="F668" s="58"/>
      <c r="G668" s="58"/>
      <c r="H668" s="60" t="str">
        <f aca="false">IF(OR(E668="",D668=""),"",IF(K668=0,"Expense / Gasto",INDEX(Budget!$C$7:$C$41,K668)))</f>
        <v/>
      </c>
      <c r="I668" s="60" t="str">
        <f aca="false">IF(AND(B668="",E668=""),"",IF(NOT(ISNUMBER(B668)),"⚠ ADD DATE / AGREGA FECHA",IF(E668="","⚠ ADD AMOUNT / AGREGA MONTO",IF(D668="","⚠ ADD CATEGORY / AGREGA CATEGORÍA",IF(K668=0,"● NEW CATEGORY? / ¿CATEGORÍA NUEVA?","✔ OK")))))</f>
        <v/>
      </c>
      <c r="K668" s="56" t="str">
        <f aca="false">IF(D668="","",IFERROR(MATCH(D668,Budget!$B$7:$B$41,0),0))</f>
        <v/>
      </c>
      <c r="L668" s="56" t="n">
        <f aca="false">IF(AND(ISNUMBER(B668),ISNUMBER(E668),D668&lt;&gt;""),YEAR(B668)*100+MONTH(B668),0)</f>
        <v>0</v>
      </c>
      <c r="M668" s="56" t="n">
        <f aca="false">IF(L668=0,0,YEAR(B668))</f>
        <v>0</v>
      </c>
      <c r="N668" s="56" t="str">
        <f aca="false">IF(L668=0,"",IF(K668=0,"Wants / Gustos",INDEX(Budget!$D$7:$D$41,K668)))</f>
        <v/>
      </c>
    </row>
    <row r="669" customFormat="false" ht="15" hidden="false" customHeight="false" outlineLevel="0" collapsed="false">
      <c r="B669" s="57"/>
      <c r="C669" s="58"/>
      <c r="D669" s="58"/>
      <c r="E669" s="59"/>
      <c r="F669" s="58"/>
      <c r="G669" s="58"/>
      <c r="H669" s="60" t="str">
        <f aca="false">IF(OR(E669="",D669=""),"",IF(K669=0,"Expense / Gasto",INDEX(Budget!$C$7:$C$41,K669)))</f>
        <v/>
      </c>
      <c r="I669" s="60" t="str">
        <f aca="false">IF(AND(B669="",E669=""),"",IF(NOT(ISNUMBER(B669)),"⚠ ADD DATE / AGREGA FECHA",IF(E669="","⚠ ADD AMOUNT / AGREGA MONTO",IF(D669="","⚠ ADD CATEGORY / AGREGA CATEGORÍA",IF(K669=0,"● NEW CATEGORY? / ¿CATEGORÍA NUEVA?","✔ OK")))))</f>
        <v/>
      </c>
      <c r="K669" s="56" t="str">
        <f aca="false">IF(D669="","",IFERROR(MATCH(D669,Budget!$B$7:$B$41,0),0))</f>
        <v/>
      </c>
      <c r="L669" s="56" t="n">
        <f aca="false">IF(AND(ISNUMBER(B669),ISNUMBER(E669),D669&lt;&gt;""),YEAR(B669)*100+MONTH(B669),0)</f>
        <v>0</v>
      </c>
      <c r="M669" s="56" t="n">
        <f aca="false">IF(L669=0,0,YEAR(B669))</f>
        <v>0</v>
      </c>
      <c r="N669" s="56" t="str">
        <f aca="false">IF(L669=0,"",IF(K669=0,"Wants / Gustos",INDEX(Budget!$D$7:$D$41,K669)))</f>
        <v/>
      </c>
    </row>
    <row r="670" customFormat="false" ht="15" hidden="false" customHeight="false" outlineLevel="0" collapsed="false">
      <c r="B670" s="57"/>
      <c r="C670" s="58"/>
      <c r="D670" s="58"/>
      <c r="E670" s="59"/>
      <c r="F670" s="58"/>
      <c r="G670" s="58"/>
      <c r="H670" s="60" t="str">
        <f aca="false">IF(OR(E670="",D670=""),"",IF(K670=0,"Expense / Gasto",INDEX(Budget!$C$7:$C$41,K670)))</f>
        <v/>
      </c>
      <c r="I670" s="60" t="str">
        <f aca="false">IF(AND(B670="",E670=""),"",IF(NOT(ISNUMBER(B670)),"⚠ ADD DATE / AGREGA FECHA",IF(E670="","⚠ ADD AMOUNT / AGREGA MONTO",IF(D670="","⚠ ADD CATEGORY / AGREGA CATEGORÍA",IF(K670=0,"● NEW CATEGORY? / ¿CATEGORÍA NUEVA?","✔ OK")))))</f>
        <v/>
      </c>
      <c r="K670" s="56" t="str">
        <f aca="false">IF(D670="","",IFERROR(MATCH(D670,Budget!$B$7:$B$41,0),0))</f>
        <v/>
      </c>
      <c r="L670" s="56" t="n">
        <f aca="false">IF(AND(ISNUMBER(B670),ISNUMBER(E670),D670&lt;&gt;""),YEAR(B670)*100+MONTH(B670),0)</f>
        <v>0</v>
      </c>
      <c r="M670" s="56" t="n">
        <f aca="false">IF(L670=0,0,YEAR(B670))</f>
        <v>0</v>
      </c>
      <c r="N670" s="56" t="str">
        <f aca="false">IF(L670=0,"",IF(K670=0,"Wants / Gustos",INDEX(Budget!$D$7:$D$41,K670)))</f>
        <v/>
      </c>
    </row>
    <row r="671" customFormat="false" ht="15" hidden="false" customHeight="false" outlineLevel="0" collapsed="false">
      <c r="B671" s="57"/>
      <c r="C671" s="58"/>
      <c r="D671" s="58"/>
      <c r="E671" s="59"/>
      <c r="F671" s="58"/>
      <c r="G671" s="58"/>
      <c r="H671" s="60" t="str">
        <f aca="false">IF(OR(E671="",D671=""),"",IF(K671=0,"Expense / Gasto",INDEX(Budget!$C$7:$C$41,K671)))</f>
        <v/>
      </c>
      <c r="I671" s="60" t="str">
        <f aca="false">IF(AND(B671="",E671=""),"",IF(NOT(ISNUMBER(B671)),"⚠ ADD DATE / AGREGA FECHA",IF(E671="","⚠ ADD AMOUNT / AGREGA MONTO",IF(D671="","⚠ ADD CATEGORY / AGREGA CATEGORÍA",IF(K671=0,"● NEW CATEGORY? / ¿CATEGORÍA NUEVA?","✔ OK")))))</f>
        <v/>
      </c>
      <c r="K671" s="56" t="str">
        <f aca="false">IF(D671="","",IFERROR(MATCH(D671,Budget!$B$7:$B$41,0),0))</f>
        <v/>
      </c>
      <c r="L671" s="56" t="n">
        <f aca="false">IF(AND(ISNUMBER(B671),ISNUMBER(E671),D671&lt;&gt;""),YEAR(B671)*100+MONTH(B671),0)</f>
        <v>0</v>
      </c>
      <c r="M671" s="56" t="n">
        <f aca="false">IF(L671=0,0,YEAR(B671))</f>
        <v>0</v>
      </c>
      <c r="N671" s="56" t="str">
        <f aca="false">IF(L671=0,"",IF(K671=0,"Wants / Gustos",INDEX(Budget!$D$7:$D$41,K671)))</f>
        <v/>
      </c>
    </row>
    <row r="672" customFormat="false" ht="15" hidden="false" customHeight="false" outlineLevel="0" collapsed="false">
      <c r="B672" s="57"/>
      <c r="C672" s="58"/>
      <c r="D672" s="58"/>
      <c r="E672" s="59"/>
      <c r="F672" s="58"/>
      <c r="G672" s="58"/>
      <c r="H672" s="60" t="str">
        <f aca="false">IF(OR(E672="",D672=""),"",IF(K672=0,"Expense / Gasto",INDEX(Budget!$C$7:$C$41,K672)))</f>
        <v/>
      </c>
      <c r="I672" s="60" t="str">
        <f aca="false">IF(AND(B672="",E672=""),"",IF(NOT(ISNUMBER(B672)),"⚠ ADD DATE / AGREGA FECHA",IF(E672="","⚠ ADD AMOUNT / AGREGA MONTO",IF(D672="","⚠ ADD CATEGORY / AGREGA CATEGORÍA",IF(K672=0,"● NEW CATEGORY? / ¿CATEGORÍA NUEVA?","✔ OK")))))</f>
        <v/>
      </c>
      <c r="K672" s="56" t="str">
        <f aca="false">IF(D672="","",IFERROR(MATCH(D672,Budget!$B$7:$B$41,0),0))</f>
        <v/>
      </c>
      <c r="L672" s="56" t="n">
        <f aca="false">IF(AND(ISNUMBER(B672),ISNUMBER(E672),D672&lt;&gt;""),YEAR(B672)*100+MONTH(B672),0)</f>
        <v>0</v>
      </c>
      <c r="M672" s="56" t="n">
        <f aca="false">IF(L672=0,0,YEAR(B672))</f>
        <v>0</v>
      </c>
      <c r="N672" s="56" t="str">
        <f aca="false">IF(L672=0,"",IF(K672=0,"Wants / Gustos",INDEX(Budget!$D$7:$D$41,K672)))</f>
        <v/>
      </c>
    </row>
    <row r="673" customFormat="false" ht="15" hidden="false" customHeight="false" outlineLevel="0" collapsed="false">
      <c r="B673" s="57"/>
      <c r="C673" s="58"/>
      <c r="D673" s="58"/>
      <c r="E673" s="59"/>
      <c r="F673" s="58"/>
      <c r="G673" s="58"/>
      <c r="H673" s="60" t="str">
        <f aca="false">IF(OR(E673="",D673=""),"",IF(K673=0,"Expense / Gasto",INDEX(Budget!$C$7:$C$41,K673)))</f>
        <v/>
      </c>
      <c r="I673" s="60" t="str">
        <f aca="false">IF(AND(B673="",E673=""),"",IF(NOT(ISNUMBER(B673)),"⚠ ADD DATE / AGREGA FECHA",IF(E673="","⚠ ADD AMOUNT / AGREGA MONTO",IF(D673="","⚠ ADD CATEGORY / AGREGA CATEGORÍA",IF(K673=0,"● NEW CATEGORY? / ¿CATEGORÍA NUEVA?","✔ OK")))))</f>
        <v/>
      </c>
      <c r="K673" s="56" t="str">
        <f aca="false">IF(D673="","",IFERROR(MATCH(D673,Budget!$B$7:$B$41,0),0))</f>
        <v/>
      </c>
      <c r="L673" s="56" t="n">
        <f aca="false">IF(AND(ISNUMBER(B673),ISNUMBER(E673),D673&lt;&gt;""),YEAR(B673)*100+MONTH(B673),0)</f>
        <v>0</v>
      </c>
      <c r="M673" s="56" t="n">
        <f aca="false">IF(L673=0,0,YEAR(B673))</f>
        <v>0</v>
      </c>
      <c r="N673" s="56" t="str">
        <f aca="false">IF(L673=0,"",IF(K673=0,"Wants / Gustos",INDEX(Budget!$D$7:$D$41,K673)))</f>
        <v/>
      </c>
    </row>
    <row r="674" customFormat="false" ht="15" hidden="false" customHeight="false" outlineLevel="0" collapsed="false">
      <c r="B674" s="57"/>
      <c r="C674" s="58"/>
      <c r="D674" s="58"/>
      <c r="E674" s="59"/>
      <c r="F674" s="58"/>
      <c r="G674" s="58"/>
      <c r="H674" s="60" t="str">
        <f aca="false">IF(OR(E674="",D674=""),"",IF(K674=0,"Expense / Gasto",INDEX(Budget!$C$7:$C$41,K674)))</f>
        <v/>
      </c>
      <c r="I674" s="60" t="str">
        <f aca="false">IF(AND(B674="",E674=""),"",IF(NOT(ISNUMBER(B674)),"⚠ ADD DATE / AGREGA FECHA",IF(E674="","⚠ ADD AMOUNT / AGREGA MONTO",IF(D674="","⚠ ADD CATEGORY / AGREGA CATEGORÍA",IF(K674=0,"● NEW CATEGORY? / ¿CATEGORÍA NUEVA?","✔ OK")))))</f>
        <v/>
      </c>
      <c r="K674" s="56" t="str">
        <f aca="false">IF(D674="","",IFERROR(MATCH(D674,Budget!$B$7:$B$41,0),0))</f>
        <v/>
      </c>
      <c r="L674" s="56" t="n">
        <f aca="false">IF(AND(ISNUMBER(B674),ISNUMBER(E674),D674&lt;&gt;""),YEAR(B674)*100+MONTH(B674),0)</f>
        <v>0</v>
      </c>
      <c r="M674" s="56" t="n">
        <f aca="false">IF(L674=0,0,YEAR(B674))</f>
        <v>0</v>
      </c>
      <c r="N674" s="56" t="str">
        <f aca="false">IF(L674=0,"",IF(K674=0,"Wants / Gustos",INDEX(Budget!$D$7:$D$41,K674)))</f>
        <v/>
      </c>
    </row>
    <row r="675" customFormat="false" ht="15" hidden="false" customHeight="false" outlineLevel="0" collapsed="false">
      <c r="B675" s="57"/>
      <c r="C675" s="58"/>
      <c r="D675" s="58"/>
      <c r="E675" s="59"/>
      <c r="F675" s="58"/>
      <c r="G675" s="58"/>
      <c r="H675" s="60" t="str">
        <f aca="false">IF(OR(E675="",D675=""),"",IF(K675=0,"Expense / Gasto",INDEX(Budget!$C$7:$C$41,K675)))</f>
        <v/>
      </c>
      <c r="I675" s="60" t="str">
        <f aca="false">IF(AND(B675="",E675=""),"",IF(NOT(ISNUMBER(B675)),"⚠ ADD DATE / AGREGA FECHA",IF(E675="","⚠ ADD AMOUNT / AGREGA MONTO",IF(D675="","⚠ ADD CATEGORY / AGREGA CATEGORÍA",IF(K675=0,"● NEW CATEGORY? / ¿CATEGORÍA NUEVA?","✔ OK")))))</f>
        <v/>
      </c>
      <c r="K675" s="56" t="str">
        <f aca="false">IF(D675="","",IFERROR(MATCH(D675,Budget!$B$7:$B$41,0),0))</f>
        <v/>
      </c>
      <c r="L675" s="56" t="n">
        <f aca="false">IF(AND(ISNUMBER(B675),ISNUMBER(E675),D675&lt;&gt;""),YEAR(B675)*100+MONTH(B675),0)</f>
        <v>0</v>
      </c>
      <c r="M675" s="56" t="n">
        <f aca="false">IF(L675=0,0,YEAR(B675))</f>
        <v>0</v>
      </c>
      <c r="N675" s="56" t="str">
        <f aca="false">IF(L675=0,"",IF(K675=0,"Wants / Gustos",INDEX(Budget!$D$7:$D$41,K675)))</f>
        <v/>
      </c>
    </row>
    <row r="676" customFormat="false" ht="15" hidden="false" customHeight="false" outlineLevel="0" collapsed="false">
      <c r="B676" s="57"/>
      <c r="C676" s="58"/>
      <c r="D676" s="58"/>
      <c r="E676" s="59"/>
      <c r="F676" s="58"/>
      <c r="G676" s="58"/>
      <c r="H676" s="60" t="str">
        <f aca="false">IF(OR(E676="",D676=""),"",IF(K676=0,"Expense / Gasto",INDEX(Budget!$C$7:$C$41,K676)))</f>
        <v/>
      </c>
      <c r="I676" s="60" t="str">
        <f aca="false">IF(AND(B676="",E676=""),"",IF(NOT(ISNUMBER(B676)),"⚠ ADD DATE / AGREGA FECHA",IF(E676="","⚠ ADD AMOUNT / AGREGA MONTO",IF(D676="","⚠ ADD CATEGORY / AGREGA CATEGORÍA",IF(K676=0,"● NEW CATEGORY? / ¿CATEGORÍA NUEVA?","✔ OK")))))</f>
        <v/>
      </c>
      <c r="K676" s="56" t="str">
        <f aca="false">IF(D676="","",IFERROR(MATCH(D676,Budget!$B$7:$B$41,0),0))</f>
        <v/>
      </c>
      <c r="L676" s="56" t="n">
        <f aca="false">IF(AND(ISNUMBER(B676),ISNUMBER(E676),D676&lt;&gt;""),YEAR(B676)*100+MONTH(B676),0)</f>
        <v>0</v>
      </c>
      <c r="M676" s="56" t="n">
        <f aca="false">IF(L676=0,0,YEAR(B676))</f>
        <v>0</v>
      </c>
      <c r="N676" s="56" t="str">
        <f aca="false">IF(L676=0,"",IF(K676=0,"Wants / Gustos",INDEX(Budget!$D$7:$D$41,K676)))</f>
        <v/>
      </c>
    </row>
    <row r="677" customFormat="false" ht="15" hidden="false" customHeight="false" outlineLevel="0" collapsed="false">
      <c r="B677" s="57"/>
      <c r="C677" s="58"/>
      <c r="D677" s="58"/>
      <c r="E677" s="59"/>
      <c r="F677" s="58"/>
      <c r="G677" s="58"/>
      <c r="H677" s="60" t="str">
        <f aca="false">IF(OR(E677="",D677=""),"",IF(K677=0,"Expense / Gasto",INDEX(Budget!$C$7:$C$41,K677)))</f>
        <v/>
      </c>
      <c r="I677" s="60" t="str">
        <f aca="false">IF(AND(B677="",E677=""),"",IF(NOT(ISNUMBER(B677)),"⚠ ADD DATE / AGREGA FECHA",IF(E677="","⚠ ADD AMOUNT / AGREGA MONTO",IF(D677="","⚠ ADD CATEGORY / AGREGA CATEGORÍA",IF(K677=0,"● NEW CATEGORY? / ¿CATEGORÍA NUEVA?","✔ OK")))))</f>
        <v/>
      </c>
      <c r="K677" s="56" t="str">
        <f aca="false">IF(D677="","",IFERROR(MATCH(D677,Budget!$B$7:$B$41,0),0))</f>
        <v/>
      </c>
      <c r="L677" s="56" t="n">
        <f aca="false">IF(AND(ISNUMBER(B677),ISNUMBER(E677),D677&lt;&gt;""),YEAR(B677)*100+MONTH(B677),0)</f>
        <v>0</v>
      </c>
      <c r="M677" s="56" t="n">
        <f aca="false">IF(L677=0,0,YEAR(B677))</f>
        <v>0</v>
      </c>
      <c r="N677" s="56" t="str">
        <f aca="false">IF(L677=0,"",IF(K677=0,"Wants / Gustos",INDEX(Budget!$D$7:$D$41,K677)))</f>
        <v/>
      </c>
    </row>
    <row r="678" customFormat="false" ht="15" hidden="false" customHeight="false" outlineLevel="0" collapsed="false">
      <c r="B678" s="57"/>
      <c r="C678" s="58"/>
      <c r="D678" s="58"/>
      <c r="E678" s="59"/>
      <c r="F678" s="58"/>
      <c r="G678" s="58"/>
      <c r="H678" s="60" t="str">
        <f aca="false">IF(OR(E678="",D678=""),"",IF(K678=0,"Expense / Gasto",INDEX(Budget!$C$7:$C$41,K678)))</f>
        <v/>
      </c>
      <c r="I678" s="60" t="str">
        <f aca="false">IF(AND(B678="",E678=""),"",IF(NOT(ISNUMBER(B678)),"⚠ ADD DATE / AGREGA FECHA",IF(E678="","⚠ ADD AMOUNT / AGREGA MONTO",IF(D678="","⚠ ADD CATEGORY / AGREGA CATEGORÍA",IF(K678=0,"● NEW CATEGORY? / ¿CATEGORÍA NUEVA?","✔ OK")))))</f>
        <v/>
      </c>
      <c r="K678" s="56" t="str">
        <f aca="false">IF(D678="","",IFERROR(MATCH(D678,Budget!$B$7:$B$41,0),0))</f>
        <v/>
      </c>
      <c r="L678" s="56" t="n">
        <f aca="false">IF(AND(ISNUMBER(B678),ISNUMBER(E678),D678&lt;&gt;""),YEAR(B678)*100+MONTH(B678),0)</f>
        <v>0</v>
      </c>
      <c r="M678" s="56" t="n">
        <f aca="false">IF(L678=0,0,YEAR(B678))</f>
        <v>0</v>
      </c>
      <c r="N678" s="56" t="str">
        <f aca="false">IF(L678=0,"",IF(K678=0,"Wants / Gustos",INDEX(Budget!$D$7:$D$41,K678)))</f>
        <v/>
      </c>
    </row>
    <row r="679" customFormat="false" ht="15" hidden="false" customHeight="false" outlineLevel="0" collapsed="false">
      <c r="B679" s="57"/>
      <c r="C679" s="58"/>
      <c r="D679" s="58"/>
      <c r="E679" s="59"/>
      <c r="F679" s="58"/>
      <c r="G679" s="58"/>
      <c r="H679" s="60" t="str">
        <f aca="false">IF(OR(E679="",D679=""),"",IF(K679=0,"Expense / Gasto",INDEX(Budget!$C$7:$C$41,K679)))</f>
        <v/>
      </c>
      <c r="I679" s="60" t="str">
        <f aca="false">IF(AND(B679="",E679=""),"",IF(NOT(ISNUMBER(B679)),"⚠ ADD DATE / AGREGA FECHA",IF(E679="","⚠ ADD AMOUNT / AGREGA MONTO",IF(D679="","⚠ ADD CATEGORY / AGREGA CATEGORÍA",IF(K679=0,"● NEW CATEGORY? / ¿CATEGORÍA NUEVA?","✔ OK")))))</f>
        <v/>
      </c>
      <c r="K679" s="56" t="str">
        <f aca="false">IF(D679="","",IFERROR(MATCH(D679,Budget!$B$7:$B$41,0),0))</f>
        <v/>
      </c>
      <c r="L679" s="56" t="n">
        <f aca="false">IF(AND(ISNUMBER(B679),ISNUMBER(E679),D679&lt;&gt;""),YEAR(B679)*100+MONTH(B679),0)</f>
        <v>0</v>
      </c>
      <c r="M679" s="56" t="n">
        <f aca="false">IF(L679=0,0,YEAR(B679))</f>
        <v>0</v>
      </c>
      <c r="N679" s="56" t="str">
        <f aca="false">IF(L679=0,"",IF(K679=0,"Wants / Gustos",INDEX(Budget!$D$7:$D$41,K679)))</f>
        <v/>
      </c>
    </row>
    <row r="680" customFormat="false" ht="15" hidden="false" customHeight="false" outlineLevel="0" collapsed="false">
      <c r="B680" s="57"/>
      <c r="C680" s="58"/>
      <c r="D680" s="58"/>
      <c r="E680" s="59"/>
      <c r="F680" s="58"/>
      <c r="G680" s="58"/>
      <c r="H680" s="60" t="str">
        <f aca="false">IF(OR(E680="",D680=""),"",IF(K680=0,"Expense / Gasto",INDEX(Budget!$C$7:$C$41,K680)))</f>
        <v/>
      </c>
      <c r="I680" s="60" t="str">
        <f aca="false">IF(AND(B680="",E680=""),"",IF(NOT(ISNUMBER(B680)),"⚠ ADD DATE / AGREGA FECHA",IF(E680="","⚠ ADD AMOUNT / AGREGA MONTO",IF(D680="","⚠ ADD CATEGORY / AGREGA CATEGORÍA",IF(K680=0,"● NEW CATEGORY? / ¿CATEGORÍA NUEVA?","✔ OK")))))</f>
        <v/>
      </c>
      <c r="K680" s="56" t="str">
        <f aca="false">IF(D680="","",IFERROR(MATCH(D680,Budget!$B$7:$B$41,0),0))</f>
        <v/>
      </c>
      <c r="L680" s="56" t="n">
        <f aca="false">IF(AND(ISNUMBER(B680),ISNUMBER(E680),D680&lt;&gt;""),YEAR(B680)*100+MONTH(B680),0)</f>
        <v>0</v>
      </c>
      <c r="M680" s="56" t="n">
        <f aca="false">IF(L680=0,0,YEAR(B680))</f>
        <v>0</v>
      </c>
      <c r="N680" s="56" t="str">
        <f aca="false">IF(L680=0,"",IF(K680=0,"Wants / Gustos",INDEX(Budget!$D$7:$D$41,K680)))</f>
        <v/>
      </c>
    </row>
    <row r="681" customFormat="false" ht="15" hidden="false" customHeight="false" outlineLevel="0" collapsed="false">
      <c r="B681" s="57"/>
      <c r="C681" s="58"/>
      <c r="D681" s="58"/>
      <c r="E681" s="59"/>
      <c r="F681" s="58"/>
      <c r="G681" s="58"/>
      <c r="H681" s="60" t="str">
        <f aca="false">IF(OR(E681="",D681=""),"",IF(K681=0,"Expense / Gasto",INDEX(Budget!$C$7:$C$41,K681)))</f>
        <v/>
      </c>
      <c r="I681" s="60" t="str">
        <f aca="false">IF(AND(B681="",E681=""),"",IF(NOT(ISNUMBER(B681)),"⚠ ADD DATE / AGREGA FECHA",IF(E681="","⚠ ADD AMOUNT / AGREGA MONTO",IF(D681="","⚠ ADD CATEGORY / AGREGA CATEGORÍA",IF(K681=0,"● NEW CATEGORY? / ¿CATEGORÍA NUEVA?","✔ OK")))))</f>
        <v/>
      </c>
      <c r="K681" s="56" t="str">
        <f aca="false">IF(D681="","",IFERROR(MATCH(D681,Budget!$B$7:$B$41,0),0))</f>
        <v/>
      </c>
      <c r="L681" s="56" t="n">
        <f aca="false">IF(AND(ISNUMBER(B681),ISNUMBER(E681),D681&lt;&gt;""),YEAR(B681)*100+MONTH(B681),0)</f>
        <v>0</v>
      </c>
      <c r="M681" s="56" t="n">
        <f aca="false">IF(L681=0,0,YEAR(B681))</f>
        <v>0</v>
      </c>
      <c r="N681" s="56" t="str">
        <f aca="false">IF(L681=0,"",IF(K681=0,"Wants / Gustos",INDEX(Budget!$D$7:$D$41,K681)))</f>
        <v/>
      </c>
    </row>
    <row r="682" customFormat="false" ht="15" hidden="false" customHeight="false" outlineLevel="0" collapsed="false">
      <c r="B682" s="57"/>
      <c r="C682" s="58"/>
      <c r="D682" s="58"/>
      <c r="E682" s="59"/>
      <c r="F682" s="58"/>
      <c r="G682" s="58"/>
      <c r="H682" s="60" t="str">
        <f aca="false">IF(OR(E682="",D682=""),"",IF(K682=0,"Expense / Gasto",INDEX(Budget!$C$7:$C$41,K682)))</f>
        <v/>
      </c>
      <c r="I682" s="60" t="str">
        <f aca="false">IF(AND(B682="",E682=""),"",IF(NOT(ISNUMBER(B682)),"⚠ ADD DATE / AGREGA FECHA",IF(E682="","⚠ ADD AMOUNT / AGREGA MONTO",IF(D682="","⚠ ADD CATEGORY / AGREGA CATEGORÍA",IF(K682=0,"● NEW CATEGORY? / ¿CATEGORÍA NUEVA?","✔ OK")))))</f>
        <v/>
      </c>
      <c r="K682" s="56" t="str">
        <f aca="false">IF(D682="","",IFERROR(MATCH(D682,Budget!$B$7:$B$41,0),0))</f>
        <v/>
      </c>
      <c r="L682" s="56" t="n">
        <f aca="false">IF(AND(ISNUMBER(B682),ISNUMBER(E682),D682&lt;&gt;""),YEAR(B682)*100+MONTH(B682),0)</f>
        <v>0</v>
      </c>
      <c r="M682" s="56" t="n">
        <f aca="false">IF(L682=0,0,YEAR(B682))</f>
        <v>0</v>
      </c>
      <c r="N682" s="56" t="str">
        <f aca="false">IF(L682=0,"",IF(K682=0,"Wants / Gustos",INDEX(Budget!$D$7:$D$41,K682)))</f>
        <v/>
      </c>
    </row>
    <row r="683" customFormat="false" ht="15" hidden="false" customHeight="false" outlineLevel="0" collapsed="false">
      <c r="B683" s="57"/>
      <c r="C683" s="58"/>
      <c r="D683" s="58"/>
      <c r="E683" s="59"/>
      <c r="F683" s="58"/>
      <c r="G683" s="58"/>
      <c r="H683" s="60" t="str">
        <f aca="false">IF(OR(E683="",D683=""),"",IF(K683=0,"Expense / Gasto",INDEX(Budget!$C$7:$C$41,K683)))</f>
        <v/>
      </c>
      <c r="I683" s="60" t="str">
        <f aca="false">IF(AND(B683="",E683=""),"",IF(NOT(ISNUMBER(B683)),"⚠ ADD DATE / AGREGA FECHA",IF(E683="","⚠ ADD AMOUNT / AGREGA MONTO",IF(D683="","⚠ ADD CATEGORY / AGREGA CATEGORÍA",IF(K683=0,"● NEW CATEGORY? / ¿CATEGORÍA NUEVA?","✔ OK")))))</f>
        <v/>
      </c>
      <c r="K683" s="56" t="str">
        <f aca="false">IF(D683="","",IFERROR(MATCH(D683,Budget!$B$7:$B$41,0),0))</f>
        <v/>
      </c>
      <c r="L683" s="56" t="n">
        <f aca="false">IF(AND(ISNUMBER(B683),ISNUMBER(E683),D683&lt;&gt;""),YEAR(B683)*100+MONTH(B683),0)</f>
        <v>0</v>
      </c>
      <c r="M683" s="56" t="n">
        <f aca="false">IF(L683=0,0,YEAR(B683))</f>
        <v>0</v>
      </c>
      <c r="N683" s="56" t="str">
        <f aca="false">IF(L683=0,"",IF(K683=0,"Wants / Gustos",INDEX(Budget!$D$7:$D$41,K683)))</f>
        <v/>
      </c>
    </row>
    <row r="684" customFormat="false" ht="15" hidden="false" customHeight="false" outlineLevel="0" collapsed="false">
      <c r="B684" s="57"/>
      <c r="C684" s="58"/>
      <c r="D684" s="58"/>
      <c r="E684" s="59"/>
      <c r="F684" s="58"/>
      <c r="G684" s="58"/>
      <c r="H684" s="60" t="str">
        <f aca="false">IF(OR(E684="",D684=""),"",IF(K684=0,"Expense / Gasto",INDEX(Budget!$C$7:$C$41,K684)))</f>
        <v/>
      </c>
      <c r="I684" s="60" t="str">
        <f aca="false">IF(AND(B684="",E684=""),"",IF(NOT(ISNUMBER(B684)),"⚠ ADD DATE / AGREGA FECHA",IF(E684="","⚠ ADD AMOUNT / AGREGA MONTO",IF(D684="","⚠ ADD CATEGORY / AGREGA CATEGORÍA",IF(K684=0,"● NEW CATEGORY? / ¿CATEGORÍA NUEVA?","✔ OK")))))</f>
        <v/>
      </c>
      <c r="K684" s="56" t="str">
        <f aca="false">IF(D684="","",IFERROR(MATCH(D684,Budget!$B$7:$B$41,0),0))</f>
        <v/>
      </c>
      <c r="L684" s="56" t="n">
        <f aca="false">IF(AND(ISNUMBER(B684),ISNUMBER(E684),D684&lt;&gt;""),YEAR(B684)*100+MONTH(B684),0)</f>
        <v>0</v>
      </c>
      <c r="M684" s="56" t="n">
        <f aca="false">IF(L684=0,0,YEAR(B684))</f>
        <v>0</v>
      </c>
      <c r="N684" s="56" t="str">
        <f aca="false">IF(L684=0,"",IF(K684=0,"Wants / Gustos",INDEX(Budget!$D$7:$D$41,K684)))</f>
        <v/>
      </c>
    </row>
    <row r="685" customFormat="false" ht="15" hidden="false" customHeight="false" outlineLevel="0" collapsed="false">
      <c r="B685" s="57"/>
      <c r="C685" s="58"/>
      <c r="D685" s="58"/>
      <c r="E685" s="59"/>
      <c r="F685" s="58"/>
      <c r="G685" s="58"/>
      <c r="H685" s="60" t="str">
        <f aca="false">IF(OR(E685="",D685=""),"",IF(K685=0,"Expense / Gasto",INDEX(Budget!$C$7:$C$41,K685)))</f>
        <v/>
      </c>
      <c r="I685" s="60" t="str">
        <f aca="false">IF(AND(B685="",E685=""),"",IF(NOT(ISNUMBER(B685)),"⚠ ADD DATE / AGREGA FECHA",IF(E685="","⚠ ADD AMOUNT / AGREGA MONTO",IF(D685="","⚠ ADD CATEGORY / AGREGA CATEGORÍA",IF(K685=0,"● NEW CATEGORY? / ¿CATEGORÍA NUEVA?","✔ OK")))))</f>
        <v/>
      </c>
      <c r="K685" s="56" t="str">
        <f aca="false">IF(D685="","",IFERROR(MATCH(D685,Budget!$B$7:$B$41,0),0))</f>
        <v/>
      </c>
      <c r="L685" s="56" t="n">
        <f aca="false">IF(AND(ISNUMBER(B685),ISNUMBER(E685),D685&lt;&gt;""),YEAR(B685)*100+MONTH(B685),0)</f>
        <v>0</v>
      </c>
      <c r="M685" s="56" t="n">
        <f aca="false">IF(L685=0,0,YEAR(B685))</f>
        <v>0</v>
      </c>
      <c r="N685" s="56" t="str">
        <f aca="false">IF(L685=0,"",IF(K685=0,"Wants / Gustos",INDEX(Budget!$D$7:$D$41,K685)))</f>
        <v/>
      </c>
    </row>
    <row r="686" customFormat="false" ht="15" hidden="false" customHeight="false" outlineLevel="0" collapsed="false">
      <c r="B686" s="57"/>
      <c r="C686" s="58"/>
      <c r="D686" s="58"/>
      <c r="E686" s="59"/>
      <c r="F686" s="58"/>
      <c r="G686" s="58"/>
      <c r="H686" s="60" t="str">
        <f aca="false">IF(OR(E686="",D686=""),"",IF(K686=0,"Expense / Gasto",INDEX(Budget!$C$7:$C$41,K686)))</f>
        <v/>
      </c>
      <c r="I686" s="60" t="str">
        <f aca="false">IF(AND(B686="",E686=""),"",IF(NOT(ISNUMBER(B686)),"⚠ ADD DATE / AGREGA FECHA",IF(E686="","⚠ ADD AMOUNT / AGREGA MONTO",IF(D686="","⚠ ADD CATEGORY / AGREGA CATEGORÍA",IF(K686=0,"● NEW CATEGORY? / ¿CATEGORÍA NUEVA?","✔ OK")))))</f>
        <v/>
      </c>
      <c r="K686" s="56" t="str">
        <f aca="false">IF(D686="","",IFERROR(MATCH(D686,Budget!$B$7:$B$41,0),0))</f>
        <v/>
      </c>
      <c r="L686" s="56" t="n">
        <f aca="false">IF(AND(ISNUMBER(B686),ISNUMBER(E686),D686&lt;&gt;""),YEAR(B686)*100+MONTH(B686),0)</f>
        <v>0</v>
      </c>
      <c r="M686" s="56" t="n">
        <f aca="false">IF(L686=0,0,YEAR(B686))</f>
        <v>0</v>
      </c>
      <c r="N686" s="56" t="str">
        <f aca="false">IF(L686=0,"",IF(K686=0,"Wants / Gustos",INDEX(Budget!$D$7:$D$41,K686)))</f>
        <v/>
      </c>
    </row>
    <row r="687" customFormat="false" ht="15" hidden="false" customHeight="false" outlineLevel="0" collapsed="false">
      <c r="B687" s="57"/>
      <c r="C687" s="58"/>
      <c r="D687" s="58"/>
      <c r="E687" s="59"/>
      <c r="F687" s="58"/>
      <c r="G687" s="58"/>
      <c r="H687" s="60" t="str">
        <f aca="false">IF(OR(E687="",D687=""),"",IF(K687=0,"Expense / Gasto",INDEX(Budget!$C$7:$C$41,K687)))</f>
        <v/>
      </c>
      <c r="I687" s="60" t="str">
        <f aca="false">IF(AND(B687="",E687=""),"",IF(NOT(ISNUMBER(B687)),"⚠ ADD DATE / AGREGA FECHA",IF(E687="","⚠ ADD AMOUNT / AGREGA MONTO",IF(D687="","⚠ ADD CATEGORY / AGREGA CATEGORÍA",IF(K687=0,"● NEW CATEGORY? / ¿CATEGORÍA NUEVA?","✔ OK")))))</f>
        <v/>
      </c>
      <c r="K687" s="56" t="str">
        <f aca="false">IF(D687="","",IFERROR(MATCH(D687,Budget!$B$7:$B$41,0),0))</f>
        <v/>
      </c>
      <c r="L687" s="56" t="n">
        <f aca="false">IF(AND(ISNUMBER(B687),ISNUMBER(E687),D687&lt;&gt;""),YEAR(B687)*100+MONTH(B687),0)</f>
        <v>0</v>
      </c>
      <c r="M687" s="56" t="n">
        <f aca="false">IF(L687=0,0,YEAR(B687))</f>
        <v>0</v>
      </c>
      <c r="N687" s="56" t="str">
        <f aca="false">IF(L687=0,"",IF(K687=0,"Wants / Gustos",INDEX(Budget!$D$7:$D$41,K687)))</f>
        <v/>
      </c>
    </row>
    <row r="688" customFormat="false" ht="15" hidden="false" customHeight="false" outlineLevel="0" collapsed="false">
      <c r="B688" s="57"/>
      <c r="C688" s="58"/>
      <c r="D688" s="58"/>
      <c r="E688" s="59"/>
      <c r="F688" s="58"/>
      <c r="G688" s="58"/>
      <c r="H688" s="60" t="str">
        <f aca="false">IF(OR(E688="",D688=""),"",IF(K688=0,"Expense / Gasto",INDEX(Budget!$C$7:$C$41,K688)))</f>
        <v/>
      </c>
      <c r="I688" s="60" t="str">
        <f aca="false">IF(AND(B688="",E688=""),"",IF(NOT(ISNUMBER(B688)),"⚠ ADD DATE / AGREGA FECHA",IF(E688="","⚠ ADD AMOUNT / AGREGA MONTO",IF(D688="","⚠ ADD CATEGORY / AGREGA CATEGORÍA",IF(K688=0,"● NEW CATEGORY? / ¿CATEGORÍA NUEVA?","✔ OK")))))</f>
        <v/>
      </c>
      <c r="K688" s="56" t="str">
        <f aca="false">IF(D688="","",IFERROR(MATCH(D688,Budget!$B$7:$B$41,0),0))</f>
        <v/>
      </c>
      <c r="L688" s="56" t="n">
        <f aca="false">IF(AND(ISNUMBER(B688),ISNUMBER(E688),D688&lt;&gt;""),YEAR(B688)*100+MONTH(B688),0)</f>
        <v>0</v>
      </c>
      <c r="M688" s="56" t="n">
        <f aca="false">IF(L688=0,0,YEAR(B688))</f>
        <v>0</v>
      </c>
      <c r="N688" s="56" t="str">
        <f aca="false">IF(L688=0,"",IF(K688=0,"Wants / Gustos",INDEX(Budget!$D$7:$D$41,K688)))</f>
        <v/>
      </c>
    </row>
    <row r="689" customFormat="false" ht="15" hidden="false" customHeight="false" outlineLevel="0" collapsed="false">
      <c r="B689" s="57"/>
      <c r="C689" s="58"/>
      <c r="D689" s="58"/>
      <c r="E689" s="59"/>
      <c r="F689" s="58"/>
      <c r="G689" s="58"/>
      <c r="H689" s="60" t="str">
        <f aca="false">IF(OR(E689="",D689=""),"",IF(K689=0,"Expense / Gasto",INDEX(Budget!$C$7:$C$41,K689)))</f>
        <v/>
      </c>
      <c r="I689" s="60" t="str">
        <f aca="false">IF(AND(B689="",E689=""),"",IF(NOT(ISNUMBER(B689)),"⚠ ADD DATE / AGREGA FECHA",IF(E689="","⚠ ADD AMOUNT / AGREGA MONTO",IF(D689="","⚠ ADD CATEGORY / AGREGA CATEGORÍA",IF(K689=0,"● NEW CATEGORY? / ¿CATEGORÍA NUEVA?","✔ OK")))))</f>
        <v/>
      </c>
      <c r="K689" s="56" t="str">
        <f aca="false">IF(D689="","",IFERROR(MATCH(D689,Budget!$B$7:$B$41,0),0))</f>
        <v/>
      </c>
      <c r="L689" s="56" t="n">
        <f aca="false">IF(AND(ISNUMBER(B689),ISNUMBER(E689),D689&lt;&gt;""),YEAR(B689)*100+MONTH(B689),0)</f>
        <v>0</v>
      </c>
      <c r="M689" s="56" t="n">
        <f aca="false">IF(L689=0,0,YEAR(B689))</f>
        <v>0</v>
      </c>
      <c r="N689" s="56" t="str">
        <f aca="false">IF(L689=0,"",IF(K689=0,"Wants / Gustos",INDEX(Budget!$D$7:$D$41,K689)))</f>
        <v/>
      </c>
    </row>
    <row r="690" customFormat="false" ht="15" hidden="false" customHeight="false" outlineLevel="0" collapsed="false">
      <c r="B690" s="57"/>
      <c r="C690" s="58"/>
      <c r="D690" s="58"/>
      <c r="E690" s="59"/>
      <c r="F690" s="58"/>
      <c r="G690" s="58"/>
      <c r="H690" s="60" t="str">
        <f aca="false">IF(OR(E690="",D690=""),"",IF(K690=0,"Expense / Gasto",INDEX(Budget!$C$7:$C$41,K690)))</f>
        <v/>
      </c>
      <c r="I690" s="60" t="str">
        <f aca="false">IF(AND(B690="",E690=""),"",IF(NOT(ISNUMBER(B690)),"⚠ ADD DATE / AGREGA FECHA",IF(E690="","⚠ ADD AMOUNT / AGREGA MONTO",IF(D690="","⚠ ADD CATEGORY / AGREGA CATEGORÍA",IF(K690=0,"● NEW CATEGORY? / ¿CATEGORÍA NUEVA?","✔ OK")))))</f>
        <v/>
      </c>
      <c r="K690" s="56" t="str">
        <f aca="false">IF(D690="","",IFERROR(MATCH(D690,Budget!$B$7:$B$41,0),0))</f>
        <v/>
      </c>
      <c r="L690" s="56" t="n">
        <f aca="false">IF(AND(ISNUMBER(B690),ISNUMBER(E690),D690&lt;&gt;""),YEAR(B690)*100+MONTH(B690),0)</f>
        <v>0</v>
      </c>
      <c r="M690" s="56" t="n">
        <f aca="false">IF(L690=0,0,YEAR(B690))</f>
        <v>0</v>
      </c>
      <c r="N690" s="56" t="str">
        <f aca="false">IF(L690=0,"",IF(K690=0,"Wants / Gustos",INDEX(Budget!$D$7:$D$41,K690)))</f>
        <v/>
      </c>
    </row>
    <row r="691" customFormat="false" ht="15" hidden="false" customHeight="false" outlineLevel="0" collapsed="false">
      <c r="B691" s="57"/>
      <c r="C691" s="58"/>
      <c r="D691" s="58"/>
      <c r="E691" s="59"/>
      <c r="F691" s="58"/>
      <c r="G691" s="58"/>
      <c r="H691" s="60" t="str">
        <f aca="false">IF(OR(E691="",D691=""),"",IF(K691=0,"Expense / Gasto",INDEX(Budget!$C$7:$C$41,K691)))</f>
        <v/>
      </c>
      <c r="I691" s="60" t="str">
        <f aca="false">IF(AND(B691="",E691=""),"",IF(NOT(ISNUMBER(B691)),"⚠ ADD DATE / AGREGA FECHA",IF(E691="","⚠ ADD AMOUNT / AGREGA MONTO",IF(D691="","⚠ ADD CATEGORY / AGREGA CATEGORÍA",IF(K691=0,"● NEW CATEGORY? / ¿CATEGORÍA NUEVA?","✔ OK")))))</f>
        <v/>
      </c>
      <c r="K691" s="56" t="str">
        <f aca="false">IF(D691="","",IFERROR(MATCH(D691,Budget!$B$7:$B$41,0),0))</f>
        <v/>
      </c>
      <c r="L691" s="56" t="n">
        <f aca="false">IF(AND(ISNUMBER(B691),ISNUMBER(E691),D691&lt;&gt;""),YEAR(B691)*100+MONTH(B691),0)</f>
        <v>0</v>
      </c>
      <c r="M691" s="56" t="n">
        <f aca="false">IF(L691=0,0,YEAR(B691))</f>
        <v>0</v>
      </c>
      <c r="N691" s="56" t="str">
        <f aca="false">IF(L691=0,"",IF(K691=0,"Wants / Gustos",INDEX(Budget!$D$7:$D$41,K691)))</f>
        <v/>
      </c>
    </row>
    <row r="692" customFormat="false" ht="15" hidden="false" customHeight="false" outlineLevel="0" collapsed="false">
      <c r="B692" s="57"/>
      <c r="C692" s="58"/>
      <c r="D692" s="58"/>
      <c r="E692" s="59"/>
      <c r="F692" s="58"/>
      <c r="G692" s="58"/>
      <c r="H692" s="60" t="str">
        <f aca="false">IF(OR(E692="",D692=""),"",IF(K692=0,"Expense / Gasto",INDEX(Budget!$C$7:$C$41,K692)))</f>
        <v/>
      </c>
      <c r="I692" s="60" t="str">
        <f aca="false">IF(AND(B692="",E692=""),"",IF(NOT(ISNUMBER(B692)),"⚠ ADD DATE / AGREGA FECHA",IF(E692="","⚠ ADD AMOUNT / AGREGA MONTO",IF(D692="","⚠ ADD CATEGORY / AGREGA CATEGORÍA",IF(K692=0,"● NEW CATEGORY? / ¿CATEGORÍA NUEVA?","✔ OK")))))</f>
        <v/>
      </c>
      <c r="K692" s="56" t="str">
        <f aca="false">IF(D692="","",IFERROR(MATCH(D692,Budget!$B$7:$B$41,0),0))</f>
        <v/>
      </c>
      <c r="L692" s="56" t="n">
        <f aca="false">IF(AND(ISNUMBER(B692),ISNUMBER(E692),D692&lt;&gt;""),YEAR(B692)*100+MONTH(B692),0)</f>
        <v>0</v>
      </c>
      <c r="M692" s="56" t="n">
        <f aca="false">IF(L692=0,0,YEAR(B692))</f>
        <v>0</v>
      </c>
      <c r="N692" s="56" t="str">
        <f aca="false">IF(L692=0,"",IF(K692=0,"Wants / Gustos",INDEX(Budget!$D$7:$D$41,K692)))</f>
        <v/>
      </c>
    </row>
    <row r="693" customFormat="false" ht="15" hidden="false" customHeight="false" outlineLevel="0" collapsed="false">
      <c r="B693" s="57"/>
      <c r="C693" s="58"/>
      <c r="D693" s="58"/>
      <c r="E693" s="59"/>
      <c r="F693" s="58"/>
      <c r="G693" s="58"/>
      <c r="H693" s="60" t="str">
        <f aca="false">IF(OR(E693="",D693=""),"",IF(K693=0,"Expense / Gasto",INDEX(Budget!$C$7:$C$41,K693)))</f>
        <v/>
      </c>
      <c r="I693" s="60" t="str">
        <f aca="false">IF(AND(B693="",E693=""),"",IF(NOT(ISNUMBER(B693)),"⚠ ADD DATE / AGREGA FECHA",IF(E693="","⚠ ADD AMOUNT / AGREGA MONTO",IF(D693="","⚠ ADD CATEGORY / AGREGA CATEGORÍA",IF(K693=0,"● NEW CATEGORY? / ¿CATEGORÍA NUEVA?","✔ OK")))))</f>
        <v/>
      </c>
      <c r="K693" s="56" t="str">
        <f aca="false">IF(D693="","",IFERROR(MATCH(D693,Budget!$B$7:$B$41,0),0))</f>
        <v/>
      </c>
      <c r="L693" s="56" t="n">
        <f aca="false">IF(AND(ISNUMBER(B693),ISNUMBER(E693),D693&lt;&gt;""),YEAR(B693)*100+MONTH(B693),0)</f>
        <v>0</v>
      </c>
      <c r="M693" s="56" t="n">
        <f aca="false">IF(L693=0,0,YEAR(B693))</f>
        <v>0</v>
      </c>
      <c r="N693" s="56" t="str">
        <f aca="false">IF(L693=0,"",IF(K693=0,"Wants / Gustos",INDEX(Budget!$D$7:$D$41,K693)))</f>
        <v/>
      </c>
    </row>
    <row r="694" customFormat="false" ht="15" hidden="false" customHeight="false" outlineLevel="0" collapsed="false">
      <c r="B694" s="57"/>
      <c r="C694" s="58"/>
      <c r="D694" s="58"/>
      <c r="E694" s="59"/>
      <c r="F694" s="58"/>
      <c r="G694" s="58"/>
      <c r="H694" s="60" t="str">
        <f aca="false">IF(OR(E694="",D694=""),"",IF(K694=0,"Expense / Gasto",INDEX(Budget!$C$7:$C$41,K694)))</f>
        <v/>
      </c>
      <c r="I694" s="60" t="str">
        <f aca="false">IF(AND(B694="",E694=""),"",IF(NOT(ISNUMBER(B694)),"⚠ ADD DATE / AGREGA FECHA",IF(E694="","⚠ ADD AMOUNT / AGREGA MONTO",IF(D694="","⚠ ADD CATEGORY / AGREGA CATEGORÍA",IF(K694=0,"● NEW CATEGORY? / ¿CATEGORÍA NUEVA?","✔ OK")))))</f>
        <v/>
      </c>
      <c r="K694" s="56" t="str">
        <f aca="false">IF(D694="","",IFERROR(MATCH(D694,Budget!$B$7:$B$41,0),0))</f>
        <v/>
      </c>
      <c r="L694" s="56" t="n">
        <f aca="false">IF(AND(ISNUMBER(B694),ISNUMBER(E694),D694&lt;&gt;""),YEAR(B694)*100+MONTH(B694),0)</f>
        <v>0</v>
      </c>
      <c r="M694" s="56" t="n">
        <f aca="false">IF(L694=0,0,YEAR(B694))</f>
        <v>0</v>
      </c>
      <c r="N694" s="56" t="str">
        <f aca="false">IF(L694=0,"",IF(K694=0,"Wants / Gustos",INDEX(Budget!$D$7:$D$41,K694)))</f>
        <v/>
      </c>
    </row>
    <row r="695" customFormat="false" ht="15" hidden="false" customHeight="false" outlineLevel="0" collapsed="false">
      <c r="B695" s="57"/>
      <c r="C695" s="58"/>
      <c r="D695" s="58"/>
      <c r="E695" s="59"/>
      <c r="F695" s="58"/>
      <c r="G695" s="58"/>
      <c r="H695" s="60" t="str">
        <f aca="false">IF(OR(E695="",D695=""),"",IF(K695=0,"Expense / Gasto",INDEX(Budget!$C$7:$C$41,K695)))</f>
        <v/>
      </c>
      <c r="I695" s="60" t="str">
        <f aca="false">IF(AND(B695="",E695=""),"",IF(NOT(ISNUMBER(B695)),"⚠ ADD DATE / AGREGA FECHA",IF(E695="","⚠ ADD AMOUNT / AGREGA MONTO",IF(D695="","⚠ ADD CATEGORY / AGREGA CATEGORÍA",IF(K695=0,"● NEW CATEGORY? / ¿CATEGORÍA NUEVA?","✔ OK")))))</f>
        <v/>
      </c>
      <c r="K695" s="56" t="str">
        <f aca="false">IF(D695="","",IFERROR(MATCH(D695,Budget!$B$7:$B$41,0),0))</f>
        <v/>
      </c>
      <c r="L695" s="56" t="n">
        <f aca="false">IF(AND(ISNUMBER(B695),ISNUMBER(E695),D695&lt;&gt;""),YEAR(B695)*100+MONTH(B695),0)</f>
        <v>0</v>
      </c>
      <c r="M695" s="56" t="n">
        <f aca="false">IF(L695=0,0,YEAR(B695))</f>
        <v>0</v>
      </c>
      <c r="N695" s="56" t="str">
        <f aca="false">IF(L695=0,"",IF(K695=0,"Wants / Gustos",INDEX(Budget!$D$7:$D$41,K695)))</f>
        <v/>
      </c>
    </row>
    <row r="696" customFormat="false" ht="15" hidden="false" customHeight="false" outlineLevel="0" collapsed="false">
      <c r="B696" s="57"/>
      <c r="C696" s="58"/>
      <c r="D696" s="58"/>
      <c r="E696" s="59"/>
      <c r="F696" s="58"/>
      <c r="G696" s="58"/>
      <c r="H696" s="60" t="str">
        <f aca="false">IF(OR(E696="",D696=""),"",IF(K696=0,"Expense / Gasto",INDEX(Budget!$C$7:$C$41,K696)))</f>
        <v/>
      </c>
      <c r="I696" s="60" t="str">
        <f aca="false">IF(AND(B696="",E696=""),"",IF(NOT(ISNUMBER(B696)),"⚠ ADD DATE / AGREGA FECHA",IF(E696="","⚠ ADD AMOUNT / AGREGA MONTO",IF(D696="","⚠ ADD CATEGORY / AGREGA CATEGORÍA",IF(K696=0,"● NEW CATEGORY? / ¿CATEGORÍA NUEVA?","✔ OK")))))</f>
        <v/>
      </c>
      <c r="K696" s="56" t="str">
        <f aca="false">IF(D696="","",IFERROR(MATCH(D696,Budget!$B$7:$B$41,0),0))</f>
        <v/>
      </c>
      <c r="L696" s="56" t="n">
        <f aca="false">IF(AND(ISNUMBER(B696),ISNUMBER(E696),D696&lt;&gt;""),YEAR(B696)*100+MONTH(B696),0)</f>
        <v>0</v>
      </c>
      <c r="M696" s="56" t="n">
        <f aca="false">IF(L696=0,0,YEAR(B696))</f>
        <v>0</v>
      </c>
      <c r="N696" s="56" t="str">
        <f aca="false">IF(L696=0,"",IF(K696=0,"Wants / Gustos",INDEX(Budget!$D$7:$D$41,K696)))</f>
        <v/>
      </c>
    </row>
    <row r="697" customFormat="false" ht="15" hidden="false" customHeight="false" outlineLevel="0" collapsed="false">
      <c r="B697" s="57"/>
      <c r="C697" s="58"/>
      <c r="D697" s="58"/>
      <c r="E697" s="59"/>
      <c r="F697" s="58"/>
      <c r="G697" s="58"/>
      <c r="H697" s="60" t="str">
        <f aca="false">IF(OR(E697="",D697=""),"",IF(K697=0,"Expense / Gasto",INDEX(Budget!$C$7:$C$41,K697)))</f>
        <v/>
      </c>
      <c r="I697" s="60" t="str">
        <f aca="false">IF(AND(B697="",E697=""),"",IF(NOT(ISNUMBER(B697)),"⚠ ADD DATE / AGREGA FECHA",IF(E697="","⚠ ADD AMOUNT / AGREGA MONTO",IF(D697="","⚠ ADD CATEGORY / AGREGA CATEGORÍA",IF(K697=0,"● NEW CATEGORY? / ¿CATEGORÍA NUEVA?","✔ OK")))))</f>
        <v/>
      </c>
      <c r="K697" s="56" t="str">
        <f aca="false">IF(D697="","",IFERROR(MATCH(D697,Budget!$B$7:$B$41,0),0))</f>
        <v/>
      </c>
      <c r="L697" s="56" t="n">
        <f aca="false">IF(AND(ISNUMBER(B697),ISNUMBER(E697),D697&lt;&gt;""),YEAR(B697)*100+MONTH(B697),0)</f>
        <v>0</v>
      </c>
      <c r="M697" s="56" t="n">
        <f aca="false">IF(L697=0,0,YEAR(B697))</f>
        <v>0</v>
      </c>
      <c r="N697" s="56" t="str">
        <f aca="false">IF(L697=0,"",IF(K697=0,"Wants / Gustos",INDEX(Budget!$D$7:$D$41,K697)))</f>
        <v/>
      </c>
    </row>
    <row r="698" customFormat="false" ht="15" hidden="false" customHeight="false" outlineLevel="0" collapsed="false">
      <c r="B698" s="57"/>
      <c r="C698" s="58"/>
      <c r="D698" s="58"/>
      <c r="E698" s="59"/>
      <c r="F698" s="58"/>
      <c r="G698" s="58"/>
      <c r="H698" s="60" t="str">
        <f aca="false">IF(OR(E698="",D698=""),"",IF(K698=0,"Expense / Gasto",INDEX(Budget!$C$7:$C$41,K698)))</f>
        <v/>
      </c>
      <c r="I698" s="60" t="str">
        <f aca="false">IF(AND(B698="",E698=""),"",IF(NOT(ISNUMBER(B698)),"⚠ ADD DATE / AGREGA FECHA",IF(E698="","⚠ ADD AMOUNT / AGREGA MONTO",IF(D698="","⚠ ADD CATEGORY / AGREGA CATEGORÍA",IF(K698=0,"● NEW CATEGORY? / ¿CATEGORÍA NUEVA?","✔ OK")))))</f>
        <v/>
      </c>
      <c r="K698" s="56" t="str">
        <f aca="false">IF(D698="","",IFERROR(MATCH(D698,Budget!$B$7:$B$41,0),0))</f>
        <v/>
      </c>
      <c r="L698" s="56" t="n">
        <f aca="false">IF(AND(ISNUMBER(B698),ISNUMBER(E698),D698&lt;&gt;""),YEAR(B698)*100+MONTH(B698),0)</f>
        <v>0</v>
      </c>
      <c r="M698" s="56" t="n">
        <f aca="false">IF(L698=0,0,YEAR(B698))</f>
        <v>0</v>
      </c>
      <c r="N698" s="56" t="str">
        <f aca="false">IF(L698=0,"",IF(K698=0,"Wants / Gustos",INDEX(Budget!$D$7:$D$41,K698)))</f>
        <v/>
      </c>
    </row>
    <row r="699" customFormat="false" ht="15" hidden="false" customHeight="false" outlineLevel="0" collapsed="false">
      <c r="B699" s="57"/>
      <c r="C699" s="58"/>
      <c r="D699" s="58"/>
      <c r="E699" s="59"/>
      <c r="F699" s="58"/>
      <c r="G699" s="58"/>
      <c r="H699" s="60" t="str">
        <f aca="false">IF(OR(E699="",D699=""),"",IF(K699=0,"Expense / Gasto",INDEX(Budget!$C$7:$C$41,K699)))</f>
        <v/>
      </c>
      <c r="I699" s="60" t="str">
        <f aca="false">IF(AND(B699="",E699=""),"",IF(NOT(ISNUMBER(B699)),"⚠ ADD DATE / AGREGA FECHA",IF(E699="","⚠ ADD AMOUNT / AGREGA MONTO",IF(D699="","⚠ ADD CATEGORY / AGREGA CATEGORÍA",IF(K699=0,"● NEW CATEGORY? / ¿CATEGORÍA NUEVA?","✔ OK")))))</f>
        <v/>
      </c>
      <c r="K699" s="56" t="str">
        <f aca="false">IF(D699="","",IFERROR(MATCH(D699,Budget!$B$7:$B$41,0),0))</f>
        <v/>
      </c>
      <c r="L699" s="56" t="n">
        <f aca="false">IF(AND(ISNUMBER(B699),ISNUMBER(E699),D699&lt;&gt;""),YEAR(B699)*100+MONTH(B699),0)</f>
        <v>0</v>
      </c>
      <c r="M699" s="56" t="n">
        <f aca="false">IF(L699=0,0,YEAR(B699))</f>
        <v>0</v>
      </c>
      <c r="N699" s="56" t="str">
        <f aca="false">IF(L699=0,"",IF(K699=0,"Wants / Gustos",INDEX(Budget!$D$7:$D$41,K699)))</f>
        <v/>
      </c>
    </row>
    <row r="700" customFormat="false" ht="15" hidden="false" customHeight="false" outlineLevel="0" collapsed="false">
      <c r="B700" s="57"/>
      <c r="C700" s="58"/>
      <c r="D700" s="58"/>
      <c r="E700" s="59"/>
      <c r="F700" s="58"/>
      <c r="G700" s="58"/>
      <c r="H700" s="60" t="str">
        <f aca="false">IF(OR(E700="",D700=""),"",IF(K700=0,"Expense / Gasto",INDEX(Budget!$C$7:$C$41,K700)))</f>
        <v/>
      </c>
      <c r="I700" s="60" t="str">
        <f aca="false">IF(AND(B700="",E700=""),"",IF(NOT(ISNUMBER(B700)),"⚠ ADD DATE / AGREGA FECHA",IF(E700="","⚠ ADD AMOUNT / AGREGA MONTO",IF(D700="","⚠ ADD CATEGORY / AGREGA CATEGORÍA",IF(K700=0,"● NEW CATEGORY? / ¿CATEGORÍA NUEVA?","✔ OK")))))</f>
        <v/>
      </c>
      <c r="K700" s="56" t="str">
        <f aca="false">IF(D700="","",IFERROR(MATCH(D700,Budget!$B$7:$B$41,0),0))</f>
        <v/>
      </c>
      <c r="L700" s="56" t="n">
        <f aca="false">IF(AND(ISNUMBER(B700),ISNUMBER(E700),D700&lt;&gt;""),YEAR(B700)*100+MONTH(B700),0)</f>
        <v>0</v>
      </c>
      <c r="M700" s="56" t="n">
        <f aca="false">IF(L700=0,0,YEAR(B700))</f>
        <v>0</v>
      </c>
      <c r="N700" s="56" t="str">
        <f aca="false">IF(L700=0,"",IF(K700=0,"Wants / Gustos",INDEX(Budget!$D$7:$D$41,K700)))</f>
        <v/>
      </c>
    </row>
    <row r="701" customFormat="false" ht="15" hidden="false" customHeight="false" outlineLevel="0" collapsed="false">
      <c r="B701" s="57"/>
      <c r="C701" s="58"/>
      <c r="D701" s="58"/>
      <c r="E701" s="59"/>
      <c r="F701" s="58"/>
      <c r="G701" s="58"/>
      <c r="H701" s="60" t="str">
        <f aca="false">IF(OR(E701="",D701=""),"",IF(K701=0,"Expense / Gasto",INDEX(Budget!$C$7:$C$41,K701)))</f>
        <v/>
      </c>
      <c r="I701" s="60" t="str">
        <f aca="false">IF(AND(B701="",E701=""),"",IF(NOT(ISNUMBER(B701)),"⚠ ADD DATE / AGREGA FECHA",IF(E701="","⚠ ADD AMOUNT / AGREGA MONTO",IF(D701="","⚠ ADD CATEGORY / AGREGA CATEGORÍA",IF(K701=0,"● NEW CATEGORY? / ¿CATEGORÍA NUEVA?","✔ OK")))))</f>
        <v/>
      </c>
      <c r="K701" s="56" t="str">
        <f aca="false">IF(D701="","",IFERROR(MATCH(D701,Budget!$B$7:$B$41,0),0))</f>
        <v/>
      </c>
      <c r="L701" s="56" t="n">
        <f aca="false">IF(AND(ISNUMBER(B701),ISNUMBER(E701),D701&lt;&gt;""),YEAR(B701)*100+MONTH(B701),0)</f>
        <v>0</v>
      </c>
      <c r="M701" s="56" t="n">
        <f aca="false">IF(L701=0,0,YEAR(B701))</f>
        <v>0</v>
      </c>
      <c r="N701" s="56" t="str">
        <f aca="false">IF(L701=0,"",IF(K701=0,"Wants / Gustos",INDEX(Budget!$D$7:$D$41,K701)))</f>
        <v/>
      </c>
    </row>
    <row r="702" customFormat="false" ht="15" hidden="false" customHeight="false" outlineLevel="0" collapsed="false">
      <c r="B702" s="57"/>
      <c r="C702" s="58"/>
      <c r="D702" s="58"/>
      <c r="E702" s="59"/>
      <c r="F702" s="58"/>
      <c r="G702" s="58"/>
      <c r="H702" s="60" t="str">
        <f aca="false">IF(OR(E702="",D702=""),"",IF(K702=0,"Expense / Gasto",INDEX(Budget!$C$7:$C$41,K702)))</f>
        <v/>
      </c>
      <c r="I702" s="60" t="str">
        <f aca="false">IF(AND(B702="",E702=""),"",IF(NOT(ISNUMBER(B702)),"⚠ ADD DATE / AGREGA FECHA",IF(E702="","⚠ ADD AMOUNT / AGREGA MONTO",IF(D702="","⚠ ADD CATEGORY / AGREGA CATEGORÍA",IF(K702=0,"● NEW CATEGORY? / ¿CATEGORÍA NUEVA?","✔ OK")))))</f>
        <v/>
      </c>
      <c r="K702" s="56" t="str">
        <f aca="false">IF(D702="","",IFERROR(MATCH(D702,Budget!$B$7:$B$41,0),0))</f>
        <v/>
      </c>
      <c r="L702" s="56" t="n">
        <f aca="false">IF(AND(ISNUMBER(B702),ISNUMBER(E702),D702&lt;&gt;""),YEAR(B702)*100+MONTH(B702),0)</f>
        <v>0</v>
      </c>
      <c r="M702" s="56" t="n">
        <f aca="false">IF(L702=0,0,YEAR(B702))</f>
        <v>0</v>
      </c>
      <c r="N702" s="56" t="str">
        <f aca="false">IF(L702=0,"",IF(K702=0,"Wants / Gustos",INDEX(Budget!$D$7:$D$41,K702)))</f>
        <v/>
      </c>
    </row>
    <row r="703" customFormat="false" ht="15" hidden="false" customHeight="false" outlineLevel="0" collapsed="false">
      <c r="B703" s="57"/>
      <c r="C703" s="58"/>
      <c r="D703" s="58"/>
      <c r="E703" s="59"/>
      <c r="F703" s="58"/>
      <c r="G703" s="58"/>
      <c r="H703" s="60" t="str">
        <f aca="false">IF(OR(E703="",D703=""),"",IF(K703=0,"Expense / Gasto",INDEX(Budget!$C$7:$C$41,K703)))</f>
        <v/>
      </c>
      <c r="I703" s="60" t="str">
        <f aca="false">IF(AND(B703="",E703=""),"",IF(NOT(ISNUMBER(B703)),"⚠ ADD DATE / AGREGA FECHA",IF(E703="","⚠ ADD AMOUNT / AGREGA MONTO",IF(D703="","⚠ ADD CATEGORY / AGREGA CATEGORÍA",IF(K703=0,"● NEW CATEGORY? / ¿CATEGORÍA NUEVA?","✔ OK")))))</f>
        <v/>
      </c>
      <c r="K703" s="56" t="str">
        <f aca="false">IF(D703="","",IFERROR(MATCH(D703,Budget!$B$7:$B$41,0),0))</f>
        <v/>
      </c>
      <c r="L703" s="56" t="n">
        <f aca="false">IF(AND(ISNUMBER(B703),ISNUMBER(E703),D703&lt;&gt;""),YEAR(B703)*100+MONTH(B703),0)</f>
        <v>0</v>
      </c>
      <c r="M703" s="56" t="n">
        <f aca="false">IF(L703=0,0,YEAR(B703))</f>
        <v>0</v>
      </c>
      <c r="N703" s="56" t="str">
        <f aca="false">IF(L703=0,"",IF(K703=0,"Wants / Gustos",INDEX(Budget!$D$7:$D$41,K703)))</f>
        <v/>
      </c>
    </row>
    <row r="704" customFormat="false" ht="15" hidden="false" customHeight="false" outlineLevel="0" collapsed="false">
      <c r="B704" s="57"/>
      <c r="C704" s="58"/>
      <c r="D704" s="58"/>
      <c r="E704" s="59"/>
      <c r="F704" s="58"/>
      <c r="G704" s="58"/>
      <c r="H704" s="60" t="str">
        <f aca="false">IF(OR(E704="",D704=""),"",IF(K704=0,"Expense / Gasto",INDEX(Budget!$C$7:$C$41,K704)))</f>
        <v/>
      </c>
      <c r="I704" s="60" t="str">
        <f aca="false">IF(AND(B704="",E704=""),"",IF(NOT(ISNUMBER(B704)),"⚠ ADD DATE / AGREGA FECHA",IF(E704="","⚠ ADD AMOUNT / AGREGA MONTO",IF(D704="","⚠ ADD CATEGORY / AGREGA CATEGORÍA",IF(K704=0,"● NEW CATEGORY? / ¿CATEGORÍA NUEVA?","✔ OK")))))</f>
        <v/>
      </c>
      <c r="K704" s="56" t="str">
        <f aca="false">IF(D704="","",IFERROR(MATCH(D704,Budget!$B$7:$B$41,0),0))</f>
        <v/>
      </c>
      <c r="L704" s="56" t="n">
        <f aca="false">IF(AND(ISNUMBER(B704),ISNUMBER(E704),D704&lt;&gt;""),YEAR(B704)*100+MONTH(B704),0)</f>
        <v>0</v>
      </c>
      <c r="M704" s="56" t="n">
        <f aca="false">IF(L704=0,0,YEAR(B704))</f>
        <v>0</v>
      </c>
      <c r="N704" s="56" t="str">
        <f aca="false">IF(L704=0,"",IF(K704=0,"Wants / Gustos",INDEX(Budget!$D$7:$D$41,K704)))</f>
        <v/>
      </c>
    </row>
    <row r="705" customFormat="false" ht="15" hidden="false" customHeight="false" outlineLevel="0" collapsed="false">
      <c r="B705" s="57"/>
      <c r="C705" s="58"/>
      <c r="D705" s="58"/>
      <c r="E705" s="59"/>
      <c r="F705" s="58"/>
      <c r="G705" s="58"/>
      <c r="H705" s="60" t="str">
        <f aca="false">IF(OR(E705="",D705=""),"",IF(K705=0,"Expense / Gasto",INDEX(Budget!$C$7:$C$41,K705)))</f>
        <v/>
      </c>
      <c r="I705" s="60" t="str">
        <f aca="false">IF(AND(B705="",E705=""),"",IF(NOT(ISNUMBER(B705)),"⚠ ADD DATE / AGREGA FECHA",IF(E705="","⚠ ADD AMOUNT / AGREGA MONTO",IF(D705="","⚠ ADD CATEGORY / AGREGA CATEGORÍA",IF(K705=0,"● NEW CATEGORY? / ¿CATEGORÍA NUEVA?","✔ OK")))))</f>
        <v/>
      </c>
      <c r="K705" s="56" t="str">
        <f aca="false">IF(D705="","",IFERROR(MATCH(D705,Budget!$B$7:$B$41,0),0))</f>
        <v/>
      </c>
      <c r="L705" s="56" t="n">
        <f aca="false">IF(AND(ISNUMBER(B705),ISNUMBER(E705),D705&lt;&gt;""),YEAR(B705)*100+MONTH(B705),0)</f>
        <v>0</v>
      </c>
      <c r="M705" s="56" t="n">
        <f aca="false">IF(L705=0,0,YEAR(B705))</f>
        <v>0</v>
      </c>
      <c r="N705" s="56" t="str">
        <f aca="false">IF(L705=0,"",IF(K705=0,"Wants / Gustos",INDEX(Budget!$D$7:$D$41,K705)))</f>
        <v/>
      </c>
    </row>
    <row r="706" customFormat="false" ht="15" hidden="false" customHeight="false" outlineLevel="0" collapsed="false">
      <c r="B706" s="57"/>
      <c r="C706" s="58"/>
      <c r="D706" s="58"/>
      <c r="E706" s="59"/>
      <c r="F706" s="58"/>
      <c r="G706" s="58"/>
      <c r="H706" s="60" t="str">
        <f aca="false">IF(OR(E706="",D706=""),"",IF(K706=0,"Expense / Gasto",INDEX(Budget!$C$7:$C$41,K706)))</f>
        <v/>
      </c>
      <c r="I706" s="60" t="str">
        <f aca="false">IF(AND(B706="",E706=""),"",IF(NOT(ISNUMBER(B706)),"⚠ ADD DATE / AGREGA FECHA",IF(E706="","⚠ ADD AMOUNT / AGREGA MONTO",IF(D706="","⚠ ADD CATEGORY / AGREGA CATEGORÍA",IF(K706=0,"● NEW CATEGORY? / ¿CATEGORÍA NUEVA?","✔ OK")))))</f>
        <v/>
      </c>
      <c r="K706" s="56" t="str">
        <f aca="false">IF(D706="","",IFERROR(MATCH(D706,Budget!$B$7:$B$41,0),0))</f>
        <v/>
      </c>
      <c r="L706" s="56" t="n">
        <f aca="false">IF(AND(ISNUMBER(B706),ISNUMBER(E706),D706&lt;&gt;""),YEAR(B706)*100+MONTH(B706),0)</f>
        <v>0</v>
      </c>
      <c r="M706" s="56" t="n">
        <f aca="false">IF(L706=0,0,YEAR(B706))</f>
        <v>0</v>
      </c>
      <c r="N706" s="56" t="str">
        <f aca="false">IF(L706=0,"",IF(K706=0,"Wants / Gustos",INDEX(Budget!$D$7:$D$41,K706)))</f>
        <v/>
      </c>
    </row>
    <row r="707" customFormat="false" ht="15" hidden="false" customHeight="false" outlineLevel="0" collapsed="false">
      <c r="B707" s="57"/>
      <c r="C707" s="58"/>
      <c r="D707" s="58"/>
      <c r="E707" s="59"/>
      <c r="F707" s="58"/>
      <c r="G707" s="58"/>
      <c r="H707" s="60" t="str">
        <f aca="false">IF(OR(E707="",D707=""),"",IF(K707=0,"Expense / Gasto",INDEX(Budget!$C$7:$C$41,K707)))</f>
        <v/>
      </c>
      <c r="I707" s="60" t="str">
        <f aca="false">IF(AND(B707="",E707=""),"",IF(NOT(ISNUMBER(B707)),"⚠ ADD DATE / AGREGA FECHA",IF(E707="","⚠ ADD AMOUNT / AGREGA MONTO",IF(D707="","⚠ ADD CATEGORY / AGREGA CATEGORÍA",IF(K707=0,"● NEW CATEGORY? / ¿CATEGORÍA NUEVA?","✔ OK")))))</f>
        <v/>
      </c>
      <c r="K707" s="56" t="str">
        <f aca="false">IF(D707="","",IFERROR(MATCH(D707,Budget!$B$7:$B$41,0),0))</f>
        <v/>
      </c>
      <c r="L707" s="56" t="n">
        <f aca="false">IF(AND(ISNUMBER(B707),ISNUMBER(E707),D707&lt;&gt;""),YEAR(B707)*100+MONTH(B707),0)</f>
        <v>0</v>
      </c>
      <c r="M707" s="56" t="n">
        <f aca="false">IF(L707=0,0,YEAR(B707))</f>
        <v>0</v>
      </c>
      <c r="N707" s="56" t="str">
        <f aca="false">IF(L707=0,"",IF(K707=0,"Wants / Gustos",INDEX(Budget!$D$7:$D$41,K707)))</f>
        <v/>
      </c>
    </row>
    <row r="708" customFormat="false" ht="15" hidden="false" customHeight="false" outlineLevel="0" collapsed="false">
      <c r="B708" s="57"/>
      <c r="C708" s="58"/>
      <c r="D708" s="58"/>
      <c r="E708" s="59"/>
      <c r="F708" s="58"/>
      <c r="G708" s="58"/>
      <c r="H708" s="60" t="str">
        <f aca="false">IF(OR(E708="",D708=""),"",IF(K708=0,"Expense / Gasto",INDEX(Budget!$C$7:$C$41,K708)))</f>
        <v/>
      </c>
      <c r="I708" s="60" t="str">
        <f aca="false">IF(AND(B708="",E708=""),"",IF(NOT(ISNUMBER(B708)),"⚠ ADD DATE / AGREGA FECHA",IF(E708="","⚠ ADD AMOUNT / AGREGA MONTO",IF(D708="","⚠ ADD CATEGORY / AGREGA CATEGORÍA",IF(K708=0,"● NEW CATEGORY? / ¿CATEGORÍA NUEVA?","✔ OK")))))</f>
        <v/>
      </c>
      <c r="K708" s="56" t="str">
        <f aca="false">IF(D708="","",IFERROR(MATCH(D708,Budget!$B$7:$B$41,0),0))</f>
        <v/>
      </c>
      <c r="L708" s="56" t="n">
        <f aca="false">IF(AND(ISNUMBER(B708),ISNUMBER(E708),D708&lt;&gt;""),YEAR(B708)*100+MONTH(B708),0)</f>
        <v>0</v>
      </c>
      <c r="M708" s="56" t="n">
        <f aca="false">IF(L708=0,0,YEAR(B708))</f>
        <v>0</v>
      </c>
      <c r="N708" s="56" t="str">
        <f aca="false">IF(L708=0,"",IF(K708=0,"Wants / Gustos",INDEX(Budget!$D$7:$D$41,K708)))</f>
        <v/>
      </c>
    </row>
    <row r="709" customFormat="false" ht="15" hidden="false" customHeight="false" outlineLevel="0" collapsed="false">
      <c r="B709" s="57"/>
      <c r="C709" s="58"/>
      <c r="D709" s="58"/>
      <c r="E709" s="59"/>
      <c r="F709" s="58"/>
      <c r="G709" s="58"/>
      <c r="H709" s="60" t="str">
        <f aca="false">IF(OR(E709="",D709=""),"",IF(K709=0,"Expense / Gasto",INDEX(Budget!$C$7:$C$41,K709)))</f>
        <v/>
      </c>
      <c r="I709" s="60" t="str">
        <f aca="false">IF(AND(B709="",E709=""),"",IF(NOT(ISNUMBER(B709)),"⚠ ADD DATE / AGREGA FECHA",IF(E709="","⚠ ADD AMOUNT / AGREGA MONTO",IF(D709="","⚠ ADD CATEGORY / AGREGA CATEGORÍA",IF(K709=0,"● NEW CATEGORY? / ¿CATEGORÍA NUEVA?","✔ OK")))))</f>
        <v/>
      </c>
      <c r="K709" s="56" t="str">
        <f aca="false">IF(D709="","",IFERROR(MATCH(D709,Budget!$B$7:$B$41,0),0))</f>
        <v/>
      </c>
      <c r="L709" s="56" t="n">
        <f aca="false">IF(AND(ISNUMBER(B709),ISNUMBER(E709),D709&lt;&gt;""),YEAR(B709)*100+MONTH(B709),0)</f>
        <v>0</v>
      </c>
      <c r="M709" s="56" t="n">
        <f aca="false">IF(L709=0,0,YEAR(B709))</f>
        <v>0</v>
      </c>
      <c r="N709" s="56" t="str">
        <f aca="false">IF(L709=0,"",IF(K709=0,"Wants / Gustos",INDEX(Budget!$D$7:$D$41,K709)))</f>
        <v/>
      </c>
    </row>
    <row r="710" customFormat="false" ht="15" hidden="false" customHeight="false" outlineLevel="0" collapsed="false">
      <c r="B710" s="57"/>
      <c r="C710" s="58"/>
      <c r="D710" s="58"/>
      <c r="E710" s="59"/>
      <c r="F710" s="58"/>
      <c r="G710" s="58"/>
      <c r="H710" s="60" t="str">
        <f aca="false">IF(OR(E710="",D710=""),"",IF(K710=0,"Expense / Gasto",INDEX(Budget!$C$7:$C$41,K710)))</f>
        <v/>
      </c>
      <c r="I710" s="60" t="str">
        <f aca="false">IF(AND(B710="",E710=""),"",IF(NOT(ISNUMBER(B710)),"⚠ ADD DATE / AGREGA FECHA",IF(E710="","⚠ ADD AMOUNT / AGREGA MONTO",IF(D710="","⚠ ADD CATEGORY / AGREGA CATEGORÍA",IF(K710=0,"● NEW CATEGORY? / ¿CATEGORÍA NUEVA?","✔ OK")))))</f>
        <v/>
      </c>
      <c r="K710" s="56" t="str">
        <f aca="false">IF(D710="","",IFERROR(MATCH(D710,Budget!$B$7:$B$41,0),0))</f>
        <v/>
      </c>
      <c r="L710" s="56" t="n">
        <f aca="false">IF(AND(ISNUMBER(B710),ISNUMBER(E710),D710&lt;&gt;""),YEAR(B710)*100+MONTH(B710),0)</f>
        <v>0</v>
      </c>
      <c r="M710" s="56" t="n">
        <f aca="false">IF(L710=0,0,YEAR(B710))</f>
        <v>0</v>
      </c>
      <c r="N710" s="56" t="str">
        <f aca="false">IF(L710=0,"",IF(K710=0,"Wants / Gustos",INDEX(Budget!$D$7:$D$41,K710)))</f>
        <v/>
      </c>
    </row>
    <row r="711" customFormat="false" ht="15" hidden="false" customHeight="false" outlineLevel="0" collapsed="false">
      <c r="B711" s="57"/>
      <c r="C711" s="58"/>
      <c r="D711" s="58"/>
      <c r="E711" s="59"/>
      <c r="F711" s="58"/>
      <c r="G711" s="58"/>
      <c r="H711" s="60" t="str">
        <f aca="false">IF(OR(E711="",D711=""),"",IF(K711=0,"Expense / Gasto",INDEX(Budget!$C$7:$C$41,K711)))</f>
        <v/>
      </c>
      <c r="I711" s="60" t="str">
        <f aca="false">IF(AND(B711="",E711=""),"",IF(NOT(ISNUMBER(B711)),"⚠ ADD DATE / AGREGA FECHA",IF(E711="","⚠ ADD AMOUNT / AGREGA MONTO",IF(D711="","⚠ ADD CATEGORY / AGREGA CATEGORÍA",IF(K711=0,"● NEW CATEGORY? / ¿CATEGORÍA NUEVA?","✔ OK")))))</f>
        <v/>
      </c>
      <c r="K711" s="56" t="str">
        <f aca="false">IF(D711="","",IFERROR(MATCH(D711,Budget!$B$7:$B$41,0),0))</f>
        <v/>
      </c>
      <c r="L711" s="56" t="n">
        <f aca="false">IF(AND(ISNUMBER(B711),ISNUMBER(E711),D711&lt;&gt;""),YEAR(B711)*100+MONTH(B711),0)</f>
        <v>0</v>
      </c>
      <c r="M711" s="56" t="n">
        <f aca="false">IF(L711=0,0,YEAR(B711))</f>
        <v>0</v>
      </c>
      <c r="N711" s="56" t="str">
        <f aca="false">IF(L711=0,"",IF(K711=0,"Wants / Gustos",INDEX(Budget!$D$7:$D$41,K711)))</f>
        <v/>
      </c>
    </row>
    <row r="712" customFormat="false" ht="15" hidden="false" customHeight="false" outlineLevel="0" collapsed="false">
      <c r="B712" s="57"/>
      <c r="C712" s="58"/>
      <c r="D712" s="58"/>
      <c r="E712" s="59"/>
      <c r="F712" s="58"/>
      <c r="G712" s="58"/>
      <c r="H712" s="60" t="str">
        <f aca="false">IF(OR(E712="",D712=""),"",IF(K712=0,"Expense / Gasto",INDEX(Budget!$C$7:$C$41,K712)))</f>
        <v/>
      </c>
      <c r="I712" s="60" t="str">
        <f aca="false">IF(AND(B712="",E712=""),"",IF(NOT(ISNUMBER(B712)),"⚠ ADD DATE / AGREGA FECHA",IF(E712="","⚠ ADD AMOUNT / AGREGA MONTO",IF(D712="","⚠ ADD CATEGORY / AGREGA CATEGORÍA",IF(K712=0,"● NEW CATEGORY? / ¿CATEGORÍA NUEVA?","✔ OK")))))</f>
        <v/>
      </c>
      <c r="K712" s="56" t="str">
        <f aca="false">IF(D712="","",IFERROR(MATCH(D712,Budget!$B$7:$B$41,0),0))</f>
        <v/>
      </c>
      <c r="L712" s="56" t="n">
        <f aca="false">IF(AND(ISNUMBER(B712),ISNUMBER(E712),D712&lt;&gt;""),YEAR(B712)*100+MONTH(B712),0)</f>
        <v>0</v>
      </c>
      <c r="M712" s="56" t="n">
        <f aca="false">IF(L712=0,0,YEAR(B712))</f>
        <v>0</v>
      </c>
      <c r="N712" s="56" t="str">
        <f aca="false">IF(L712=0,"",IF(K712=0,"Wants / Gustos",INDEX(Budget!$D$7:$D$41,K712)))</f>
        <v/>
      </c>
    </row>
    <row r="713" customFormat="false" ht="15" hidden="false" customHeight="false" outlineLevel="0" collapsed="false">
      <c r="B713" s="57"/>
      <c r="C713" s="58"/>
      <c r="D713" s="58"/>
      <c r="E713" s="59"/>
      <c r="F713" s="58"/>
      <c r="G713" s="58"/>
      <c r="H713" s="60" t="str">
        <f aca="false">IF(OR(E713="",D713=""),"",IF(K713=0,"Expense / Gasto",INDEX(Budget!$C$7:$C$41,K713)))</f>
        <v/>
      </c>
      <c r="I713" s="60" t="str">
        <f aca="false">IF(AND(B713="",E713=""),"",IF(NOT(ISNUMBER(B713)),"⚠ ADD DATE / AGREGA FECHA",IF(E713="","⚠ ADD AMOUNT / AGREGA MONTO",IF(D713="","⚠ ADD CATEGORY / AGREGA CATEGORÍA",IF(K713=0,"● NEW CATEGORY? / ¿CATEGORÍA NUEVA?","✔ OK")))))</f>
        <v/>
      </c>
      <c r="K713" s="56" t="str">
        <f aca="false">IF(D713="","",IFERROR(MATCH(D713,Budget!$B$7:$B$41,0),0))</f>
        <v/>
      </c>
      <c r="L713" s="56" t="n">
        <f aca="false">IF(AND(ISNUMBER(B713),ISNUMBER(E713),D713&lt;&gt;""),YEAR(B713)*100+MONTH(B713),0)</f>
        <v>0</v>
      </c>
      <c r="M713" s="56" t="n">
        <f aca="false">IF(L713=0,0,YEAR(B713))</f>
        <v>0</v>
      </c>
      <c r="N713" s="56" t="str">
        <f aca="false">IF(L713=0,"",IF(K713=0,"Wants / Gustos",INDEX(Budget!$D$7:$D$41,K713)))</f>
        <v/>
      </c>
    </row>
    <row r="714" customFormat="false" ht="15" hidden="false" customHeight="false" outlineLevel="0" collapsed="false">
      <c r="B714" s="57"/>
      <c r="C714" s="58"/>
      <c r="D714" s="58"/>
      <c r="E714" s="59"/>
      <c r="F714" s="58"/>
      <c r="G714" s="58"/>
      <c r="H714" s="60" t="str">
        <f aca="false">IF(OR(E714="",D714=""),"",IF(K714=0,"Expense / Gasto",INDEX(Budget!$C$7:$C$41,K714)))</f>
        <v/>
      </c>
      <c r="I714" s="60" t="str">
        <f aca="false">IF(AND(B714="",E714=""),"",IF(NOT(ISNUMBER(B714)),"⚠ ADD DATE / AGREGA FECHA",IF(E714="","⚠ ADD AMOUNT / AGREGA MONTO",IF(D714="","⚠ ADD CATEGORY / AGREGA CATEGORÍA",IF(K714=0,"● NEW CATEGORY? / ¿CATEGORÍA NUEVA?","✔ OK")))))</f>
        <v/>
      </c>
      <c r="K714" s="56" t="str">
        <f aca="false">IF(D714="","",IFERROR(MATCH(D714,Budget!$B$7:$B$41,0),0))</f>
        <v/>
      </c>
      <c r="L714" s="56" t="n">
        <f aca="false">IF(AND(ISNUMBER(B714),ISNUMBER(E714),D714&lt;&gt;""),YEAR(B714)*100+MONTH(B714),0)</f>
        <v>0</v>
      </c>
      <c r="M714" s="56" t="n">
        <f aca="false">IF(L714=0,0,YEAR(B714))</f>
        <v>0</v>
      </c>
      <c r="N714" s="56" t="str">
        <f aca="false">IF(L714=0,"",IF(K714=0,"Wants / Gustos",INDEX(Budget!$D$7:$D$41,K714)))</f>
        <v/>
      </c>
    </row>
    <row r="715" customFormat="false" ht="15" hidden="false" customHeight="false" outlineLevel="0" collapsed="false">
      <c r="B715" s="57"/>
      <c r="C715" s="58"/>
      <c r="D715" s="58"/>
      <c r="E715" s="59"/>
      <c r="F715" s="58"/>
      <c r="G715" s="58"/>
      <c r="H715" s="60" t="str">
        <f aca="false">IF(OR(E715="",D715=""),"",IF(K715=0,"Expense / Gasto",INDEX(Budget!$C$7:$C$41,K715)))</f>
        <v/>
      </c>
      <c r="I715" s="60" t="str">
        <f aca="false">IF(AND(B715="",E715=""),"",IF(NOT(ISNUMBER(B715)),"⚠ ADD DATE / AGREGA FECHA",IF(E715="","⚠ ADD AMOUNT / AGREGA MONTO",IF(D715="","⚠ ADD CATEGORY / AGREGA CATEGORÍA",IF(K715=0,"● NEW CATEGORY? / ¿CATEGORÍA NUEVA?","✔ OK")))))</f>
        <v/>
      </c>
      <c r="K715" s="56" t="str">
        <f aca="false">IF(D715="","",IFERROR(MATCH(D715,Budget!$B$7:$B$41,0),0))</f>
        <v/>
      </c>
      <c r="L715" s="56" t="n">
        <f aca="false">IF(AND(ISNUMBER(B715),ISNUMBER(E715),D715&lt;&gt;""),YEAR(B715)*100+MONTH(B715),0)</f>
        <v>0</v>
      </c>
      <c r="M715" s="56" t="n">
        <f aca="false">IF(L715=0,0,YEAR(B715))</f>
        <v>0</v>
      </c>
      <c r="N715" s="56" t="str">
        <f aca="false">IF(L715=0,"",IF(K715=0,"Wants / Gustos",INDEX(Budget!$D$7:$D$41,K715)))</f>
        <v/>
      </c>
    </row>
    <row r="716" customFormat="false" ht="15" hidden="false" customHeight="false" outlineLevel="0" collapsed="false">
      <c r="B716" s="57"/>
      <c r="C716" s="58"/>
      <c r="D716" s="58"/>
      <c r="E716" s="59"/>
      <c r="F716" s="58"/>
      <c r="G716" s="58"/>
      <c r="H716" s="60" t="str">
        <f aca="false">IF(OR(E716="",D716=""),"",IF(K716=0,"Expense / Gasto",INDEX(Budget!$C$7:$C$41,K716)))</f>
        <v/>
      </c>
      <c r="I716" s="60" t="str">
        <f aca="false">IF(AND(B716="",E716=""),"",IF(NOT(ISNUMBER(B716)),"⚠ ADD DATE / AGREGA FECHA",IF(E716="","⚠ ADD AMOUNT / AGREGA MONTO",IF(D716="","⚠ ADD CATEGORY / AGREGA CATEGORÍA",IF(K716=0,"● NEW CATEGORY? / ¿CATEGORÍA NUEVA?","✔ OK")))))</f>
        <v/>
      </c>
      <c r="K716" s="56" t="str">
        <f aca="false">IF(D716="","",IFERROR(MATCH(D716,Budget!$B$7:$B$41,0),0))</f>
        <v/>
      </c>
      <c r="L716" s="56" t="n">
        <f aca="false">IF(AND(ISNUMBER(B716),ISNUMBER(E716),D716&lt;&gt;""),YEAR(B716)*100+MONTH(B716),0)</f>
        <v>0</v>
      </c>
      <c r="M716" s="56" t="n">
        <f aca="false">IF(L716=0,0,YEAR(B716))</f>
        <v>0</v>
      </c>
      <c r="N716" s="56" t="str">
        <f aca="false">IF(L716=0,"",IF(K716=0,"Wants / Gustos",INDEX(Budget!$D$7:$D$41,K716)))</f>
        <v/>
      </c>
    </row>
    <row r="717" customFormat="false" ht="15" hidden="false" customHeight="false" outlineLevel="0" collapsed="false">
      <c r="B717" s="57"/>
      <c r="C717" s="58"/>
      <c r="D717" s="58"/>
      <c r="E717" s="59"/>
      <c r="F717" s="58"/>
      <c r="G717" s="58"/>
      <c r="H717" s="60" t="str">
        <f aca="false">IF(OR(E717="",D717=""),"",IF(K717=0,"Expense / Gasto",INDEX(Budget!$C$7:$C$41,K717)))</f>
        <v/>
      </c>
      <c r="I717" s="60" t="str">
        <f aca="false">IF(AND(B717="",E717=""),"",IF(NOT(ISNUMBER(B717)),"⚠ ADD DATE / AGREGA FECHA",IF(E717="","⚠ ADD AMOUNT / AGREGA MONTO",IF(D717="","⚠ ADD CATEGORY / AGREGA CATEGORÍA",IF(K717=0,"● NEW CATEGORY? / ¿CATEGORÍA NUEVA?","✔ OK")))))</f>
        <v/>
      </c>
      <c r="K717" s="56" t="str">
        <f aca="false">IF(D717="","",IFERROR(MATCH(D717,Budget!$B$7:$B$41,0),0))</f>
        <v/>
      </c>
      <c r="L717" s="56" t="n">
        <f aca="false">IF(AND(ISNUMBER(B717),ISNUMBER(E717),D717&lt;&gt;""),YEAR(B717)*100+MONTH(B717),0)</f>
        <v>0</v>
      </c>
      <c r="M717" s="56" t="n">
        <f aca="false">IF(L717=0,0,YEAR(B717))</f>
        <v>0</v>
      </c>
      <c r="N717" s="56" t="str">
        <f aca="false">IF(L717=0,"",IF(K717=0,"Wants / Gustos",INDEX(Budget!$D$7:$D$41,K717)))</f>
        <v/>
      </c>
    </row>
    <row r="718" customFormat="false" ht="15" hidden="false" customHeight="false" outlineLevel="0" collapsed="false">
      <c r="B718" s="57"/>
      <c r="C718" s="58"/>
      <c r="D718" s="58"/>
      <c r="E718" s="59"/>
      <c r="F718" s="58"/>
      <c r="G718" s="58"/>
      <c r="H718" s="60" t="str">
        <f aca="false">IF(OR(E718="",D718=""),"",IF(K718=0,"Expense / Gasto",INDEX(Budget!$C$7:$C$41,K718)))</f>
        <v/>
      </c>
      <c r="I718" s="60" t="str">
        <f aca="false">IF(AND(B718="",E718=""),"",IF(NOT(ISNUMBER(B718)),"⚠ ADD DATE / AGREGA FECHA",IF(E718="","⚠ ADD AMOUNT / AGREGA MONTO",IF(D718="","⚠ ADD CATEGORY / AGREGA CATEGORÍA",IF(K718=0,"● NEW CATEGORY? / ¿CATEGORÍA NUEVA?","✔ OK")))))</f>
        <v/>
      </c>
      <c r="K718" s="56" t="str">
        <f aca="false">IF(D718="","",IFERROR(MATCH(D718,Budget!$B$7:$B$41,0),0))</f>
        <v/>
      </c>
      <c r="L718" s="56" t="n">
        <f aca="false">IF(AND(ISNUMBER(B718),ISNUMBER(E718),D718&lt;&gt;""),YEAR(B718)*100+MONTH(B718),0)</f>
        <v>0</v>
      </c>
      <c r="M718" s="56" t="n">
        <f aca="false">IF(L718=0,0,YEAR(B718))</f>
        <v>0</v>
      </c>
      <c r="N718" s="56" t="str">
        <f aca="false">IF(L718=0,"",IF(K718=0,"Wants / Gustos",INDEX(Budget!$D$7:$D$41,K718)))</f>
        <v/>
      </c>
    </row>
    <row r="719" customFormat="false" ht="15" hidden="false" customHeight="false" outlineLevel="0" collapsed="false">
      <c r="B719" s="57"/>
      <c r="C719" s="58"/>
      <c r="D719" s="58"/>
      <c r="E719" s="59"/>
      <c r="F719" s="58"/>
      <c r="G719" s="58"/>
      <c r="H719" s="60" t="str">
        <f aca="false">IF(OR(E719="",D719=""),"",IF(K719=0,"Expense / Gasto",INDEX(Budget!$C$7:$C$41,K719)))</f>
        <v/>
      </c>
      <c r="I719" s="60" t="str">
        <f aca="false">IF(AND(B719="",E719=""),"",IF(NOT(ISNUMBER(B719)),"⚠ ADD DATE / AGREGA FECHA",IF(E719="","⚠ ADD AMOUNT / AGREGA MONTO",IF(D719="","⚠ ADD CATEGORY / AGREGA CATEGORÍA",IF(K719=0,"● NEW CATEGORY? / ¿CATEGORÍA NUEVA?","✔ OK")))))</f>
        <v/>
      </c>
      <c r="K719" s="56" t="str">
        <f aca="false">IF(D719="","",IFERROR(MATCH(D719,Budget!$B$7:$B$41,0),0))</f>
        <v/>
      </c>
      <c r="L719" s="56" t="n">
        <f aca="false">IF(AND(ISNUMBER(B719),ISNUMBER(E719),D719&lt;&gt;""),YEAR(B719)*100+MONTH(B719),0)</f>
        <v>0</v>
      </c>
      <c r="M719" s="56" t="n">
        <f aca="false">IF(L719=0,0,YEAR(B719))</f>
        <v>0</v>
      </c>
      <c r="N719" s="56" t="str">
        <f aca="false">IF(L719=0,"",IF(K719=0,"Wants / Gustos",INDEX(Budget!$D$7:$D$41,K719)))</f>
        <v/>
      </c>
    </row>
    <row r="720" customFormat="false" ht="15" hidden="false" customHeight="false" outlineLevel="0" collapsed="false">
      <c r="B720" s="57"/>
      <c r="C720" s="58"/>
      <c r="D720" s="58"/>
      <c r="E720" s="59"/>
      <c r="F720" s="58"/>
      <c r="G720" s="58"/>
      <c r="H720" s="60" t="str">
        <f aca="false">IF(OR(E720="",D720=""),"",IF(K720=0,"Expense / Gasto",INDEX(Budget!$C$7:$C$41,K720)))</f>
        <v/>
      </c>
      <c r="I720" s="60" t="str">
        <f aca="false">IF(AND(B720="",E720=""),"",IF(NOT(ISNUMBER(B720)),"⚠ ADD DATE / AGREGA FECHA",IF(E720="","⚠ ADD AMOUNT / AGREGA MONTO",IF(D720="","⚠ ADD CATEGORY / AGREGA CATEGORÍA",IF(K720=0,"● NEW CATEGORY? / ¿CATEGORÍA NUEVA?","✔ OK")))))</f>
        <v/>
      </c>
      <c r="K720" s="56" t="str">
        <f aca="false">IF(D720="","",IFERROR(MATCH(D720,Budget!$B$7:$B$41,0),0))</f>
        <v/>
      </c>
      <c r="L720" s="56" t="n">
        <f aca="false">IF(AND(ISNUMBER(B720),ISNUMBER(E720),D720&lt;&gt;""),YEAR(B720)*100+MONTH(B720),0)</f>
        <v>0</v>
      </c>
      <c r="M720" s="56" t="n">
        <f aca="false">IF(L720=0,0,YEAR(B720))</f>
        <v>0</v>
      </c>
      <c r="N720" s="56" t="str">
        <f aca="false">IF(L720=0,"",IF(K720=0,"Wants / Gustos",INDEX(Budget!$D$7:$D$41,K720)))</f>
        <v/>
      </c>
    </row>
    <row r="721" customFormat="false" ht="15" hidden="false" customHeight="false" outlineLevel="0" collapsed="false">
      <c r="B721" s="57"/>
      <c r="C721" s="58"/>
      <c r="D721" s="58"/>
      <c r="E721" s="59"/>
      <c r="F721" s="58"/>
      <c r="G721" s="58"/>
      <c r="H721" s="60" t="str">
        <f aca="false">IF(OR(E721="",D721=""),"",IF(K721=0,"Expense / Gasto",INDEX(Budget!$C$7:$C$41,K721)))</f>
        <v/>
      </c>
      <c r="I721" s="60" t="str">
        <f aca="false">IF(AND(B721="",E721=""),"",IF(NOT(ISNUMBER(B721)),"⚠ ADD DATE / AGREGA FECHA",IF(E721="","⚠ ADD AMOUNT / AGREGA MONTO",IF(D721="","⚠ ADD CATEGORY / AGREGA CATEGORÍA",IF(K721=0,"● NEW CATEGORY? / ¿CATEGORÍA NUEVA?","✔ OK")))))</f>
        <v/>
      </c>
      <c r="K721" s="56" t="str">
        <f aca="false">IF(D721="","",IFERROR(MATCH(D721,Budget!$B$7:$B$41,0),0))</f>
        <v/>
      </c>
      <c r="L721" s="56" t="n">
        <f aca="false">IF(AND(ISNUMBER(B721),ISNUMBER(E721),D721&lt;&gt;""),YEAR(B721)*100+MONTH(B721),0)</f>
        <v>0</v>
      </c>
      <c r="M721" s="56" t="n">
        <f aca="false">IF(L721=0,0,YEAR(B721))</f>
        <v>0</v>
      </c>
      <c r="N721" s="56" t="str">
        <f aca="false">IF(L721=0,"",IF(K721=0,"Wants / Gustos",INDEX(Budget!$D$7:$D$41,K721)))</f>
        <v/>
      </c>
    </row>
    <row r="722" customFormat="false" ht="15" hidden="false" customHeight="false" outlineLevel="0" collapsed="false">
      <c r="B722" s="57"/>
      <c r="C722" s="58"/>
      <c r="D722" s="58"/>
      <c r="E722" s="59"/>
      <c r="F722" s="58"/>
      <c r="G722" s="58"/>
      <c r="H722" s="60" t="str">
        <f aca="false">IF(OR(E722="",D722=""),"",IF(K722=0,"Expense / Gasto",INDEX(Budget!$C$7:$C$41,K722)))</f>
        <v/>
      </c>
      <c r="I722" s="60" t="str">
        <f aca="false">IF(AND(B722="",E722=""),"",IF(NOT(ISNUMBER(B722)),"⚠ ADD DATE / AGREGA FECHA",IF(E722="","⚠ ADD AMOUNT / AGREGA MONTO",IF(D722="","⚠ ADD CATEGORY / AGREGA CATEGORÍA",IF(K722=0,"● NEW CATEGORY? / ¿CATEGORÍA NUEVA?","✔ OK")))))</f>
        <v/>
      </c>
      <c r="K722" s="56" t="str">
        <f aca="false">IF(D722="","",IFERROR(MATCH(D722,Budget!$B$7:$B$41,0),0))</f>
        <v/>
      </c>
      <c r="L722" s="56" t="n">
        <f aca="false">IF(AND(ISNUMBER(B722),ISNUMBER(E722),D722&lt;&gt;""),YEAR(B722)*100+MONTH(B722),0)</f>
        <v>0</v>
      </c>
      <c r="M722" s="56" t="n">
        <f aca="false">IF(L722=0,0,YEAR(B722))</f>
        <v>0</v>
      </c>
      <c r="N722" s="56" t="str">
        <f aca="false">IF(L722=0,"",IF(K722=0,"Wants / Gustos",INDEX(Budget!$D$7:$D$41,K722)))</f>
        <v/>
      </c>
    </row>
    <row r="723" customFormat="false" ht="15" hidden="false" customHeight="false" outlineLevel="0" collapsed="false">
      <c r="B723" s="57"/>
      <c r="C723" s="58"/>
      <c r="D723" s="58"/>
      <c r="E723" s="59"/>
      <c r="F723" s="58"/>
      <c r="G723" s="58"/>
      <c r="H723" s="60" t="str">
        <f aca="false">IF(OR(E723="",D723=""),"",IF(K723=0,"Expense / Gasto",INDEX(Budget!$C$7:$C$41,K723)))</f>
        <v/>
      </c>
      <c r="I723" s="60" t="str">
        <f aca="false">IF(AND(B723="",E723=""),"",IF(NOT(ISNUMBER(B723)),"⚠ ADD DATE / AGREGA FECHA",IF(E723="","⚠ ADD AMOUNT / AGREGA MONTO",IF(D723="","⚠ ADD CATEGORY / AGREGA CATEGORÍA",IF(K723=0,"● NEW CATEGORY? / ¿CATEGORÍA NUEVA?","✔ OK")))))</f>
        <v/>
      </c>
      <c r="K723" s="56" t="str">
        <f aca="false">IF(D723="","",IFERROR(MATCH(D723,Budget!$B$7:$B$41,0),0))</f>
        <v/>
      </c>
      <c r="L723" s="56" t="n">
        <f aca="false">IF(AND(ISNUMBER(B723),ISNUMBER(E723),D723&lt;&gt;""),YEAR(B723)*100+MONTH(B723),0)</f>
        <v>0</v>
      </c>
      <c r="M723" s="56" t="n">
        <f aca="false">IF(L723=0,0,YEAR(B723))</f>
        <v>0</v>
      </c>
      <c r="N723" s="56" t="str">
        <f aca="false">IF(L723=0,"",IF(K723=0,"Wants / Gustos",INDEX(Budget!$D$7:$D$41,K723)))</f>
        <v/>
      </c>
    </row>
    <row r="724" customFormat="false" ht="15" hidden="false" customHeight="false" outlineLevel="0" collapsed="false">
      <c r="B724" s="57"/>
      <c r="C724" s="58"/>
      <c r="D724" s="58"/>
      <c r="E724" s="59"/>
      <c r="F724" s="58"/>
      <c r="G724" s="58"/>
      <c r="H724" s="60" t="str">
        <f aca="false">IF(OR(E724="",D724=""),"",IF(K724=0,"Expense / Gasto",INDEX(Budget!$C$7:$C$41,K724)))</f>
        <v/>
      </c>
      <c r="I724" s="60" t="str">
        <f aca="false">IF(AND(B724="",E724=""),"",IF(NOT(ISNUMBER(B724)),"⚠ ADD DATE / AGREGA FECHA",IF(E724="","⚠ ADD AMOUNT / AGREGA MONTO",IF(D724="","⚠ ADD CATEGORY / AGREGA CATEGORÍA",IF(K724=0,"● NEW CATEGORY? / ¿CATEGORÍA NUEVA?","✔ OK")))))</f>
        <v/>
      </c>
      <c r="K724" s="56" t="str">
        <f aca="false">IF(D724="","",IFERROR(MATCH(D724,Budget!$B$7:$B$41,0),0))</f>
        <v/>
      </c>
      <c r="L724" s="56" t="n">
        <f aca="false">IF(AND(ISNUMBER(B724),ISNUMBER(E724),D724&lt;&gt;""),YEAR(B724)*100+MONTH(B724),0)</f>
        <v>0</v>
      </c>
      <c r="M724" s="56" t="n">
        <f aca="false">IF(L724=0,0,YEAR(B724))</f>
        <v>0</v>
      </c>
      <c r="N724" s="56" t="str">
        <f aca="false">IF(L724=0,"",IF(K724=0,"Wants / Gustos",INDEX(Budget!$D$7:$D$41,K724)))</f>
        <v/>
      </c>
    </row>
    <row r="725" customFormat="false" ht="15" hidden="false" customHeight="false" outlineLevel="0" collapsed="false">
      <c r="B725" s="57"/>
      <c r="C725" s="58"/>
      <c r="D725" s="58"/>
      <c r="E725" s="59"/>
      <c r="F725" s="58"/>
      <c r="G725" s="58"/>
      <c r="H725" s="60" t="str">
        <f aca="false">IF(OR(E725="",D725=""),"",IF(K725=0,"Expense / Gasto",INDEX(Budget!$C$7:$C$41,K725)))</f>
        <v/>
      </c>
      <c r="I725" s="60" t="str">
        <f aca="false">IF(AND(B725="",E725=""),"",IF(NOT(ISNUMBER(B725)),"⚠ ADD DATE / AGREGA FECHA",IF(E725="","⚠ ADD AMOUNT / AGREGA MONTO",IF(D725="","⚠ ADD CATEGORY / AGREGA CATEGORÍA",IF(K725=0,"● NEW CATEGORY? / ¿CATEGORÍA NUEVA?","✔ OK")))))</f>
        <v/>
      </c>
      <c r="K725" s="56" t="str">
        <f aca="false">IF(D725="","",IFERROR(MATCH(D725,Budget!$B$7:$B$41,0),0))</f>
        <v/>
      </c>
      <c r="L725" s="56" t="n">
        <f aca="false">IF(AND(ISNUMBER(B725),ISNUMBER(E725),D725&lt;&gt;""),YEAR(B725)*100+MONTH(B725),0)</f>
        <v>0</v>
      </c>
      <c r="M725" s="56" t="n">
        <f aca="false">IF(L725=0,0,YEAR(B725))</f>
        <v>0</v>
      </c>
      <c r="N725" s="56" t="str">
        <f aca="false">IF(L725=0,"",IF(K725=0,"Wants / Gustos",INDEX(Budget!$D$7:$D$41,K725)))</f>
        <v/>
      </c>
    </row>
    <row r="726" customFormat="false" ht="15" hidden="false" customHeight="false" outlineLevel="0" collapsed="false">
      <c r="B726" s="57"/>
      <c r="C726" s="58"/>
      <c r="D726" s="58"/>
      <c r="E726" s="59"/>
      <c r="F726" s="58"/>
      <c r="G726" s="58"/>
      <c r="H726" s="60" t="str">
        <f aca="false">IF(OR(E726="",D726=""),"",IF(K726=0,"Expense / Gasto",INDEX(Budget!$C$7:$C$41,K726)))</f>
        <v/>
      </c>
      <c r="I726" s="60" t="str">
        <f aca="false">IF(AND(B726="",E726=""),"",IF(NOT(ISNUMBER(B726)),"⚠ ADD DATE / AGREGA FECHA",IF(E726="","⚠ ADD AMOUNT / AGREGA MONTO",IF(D726="","⚠ ADD CATEGORY / AGREGA CATEGORÍA",IF(K726=0,"● NEW CATEGORY? / ¿CATEGORÍA NUEVA?","✔ OK")))))</f>
        <v/>
      </c>
      <c r="K726" s="56" t="str">
        <f aca="false">IF(D726="","",IFERROR(MATCH(D726,Budget!$B$7:$B$41,0),0))</f>
        <v/>
      </c>
      <c r="L726" s="56" t="n">
        <f aca="false">IF(AND(ISNUMBER(B726),ISNUMBER(E726),D726&lt;&gt;""),YEAR(B726)*100+MONTH(B726),0)</f>
        <v>0</v>
      </c>
      <c r="M726" s="56" t="n">
        <f aca="false">IF(L726=0,0,YEAR(B726))</f>
        <v>0</v>
      </c>
      <c r="N726" s="56" t="str">
        <f aca="false">IF(L726=0,"",IF(K726=0,"Wants / Gustos",INDEX(Budget!$D$7:$D$41,K726)))</f>
        <v/>
      </c>
    </row>
    <row r="727" customFormat="false" ht="15" hidden="false" customHeight="false" outlineLevel="0" collapsed="false">
      <c r="B727" s="57"/>
      <c r="C727" s="58"/>
      <c r="D727" s="58"/>
      <c r="E727" s="59"/>
      <c r="F727" s="58"/>
      <c r="G727" s="58"/>
      <c r="H727" s="60" t="str">
        <f aca="false">IF(OR(E727="",D727=""),"",IF(K727=0,"Expense / Gasto",INDEX(Budget!$C$7:$C$41,K727)))</f>
        <v/>
      </c>
      <c r="I727" s="60" t="str">
        <f aca="false">IF(AND(B727="",E727=""),"",IF(NOT(ISNUMBER(B727)),"⚠ ADD DATE / AGREGA FECHA",IF(E727="","⚠ ADD AMOUNT / AGREGA MONTO",IF(D727="","⚠ ADD CATEGORY / AGREGA CATEGORÍA",IF(K727=0,"● NEW CATEGORY? / ¿CATEGORÍA NUEVA?","✔ OK")))))</f>
        <v/>
      </c>
      <c r="K727" s="56" t="str">
        <f aca="false">IF(D727="","",IFERROR(MATCH(D727,Budget!$B$7:$B$41,0),0))</f>
        <v/>
      </c>
      <c r="L727" s="56" t="n">
        <f aca="false">IF(AND(ISNUMBER(B727),ISNUMBER(E727),D727&lt;&gt;""),YEAR(B727)*100+MONTH(B727),0)</f>
        <v>0</v>
      </c>
      <c r="M727" s="56" t="n">
        <f aca="false">IF(L727=0,0,YEAR(B727))</f>
        <v>0</v>
      </c>
      <c r="N727" s="56" t="str">
        <f aca="false">IF(L727=0,"",IF(K727=0,"Wants / Gustos",INDEX(Budget!$D$7:$D$41,K727)))</f>
        <v/>
      </c>
    </row>
    <row r="728" customFormat="false" ht="15" hidden="false" customHeight="false" outlineLevel="0" collapsed="false">
      <c r="B728" s="57"/>
      <c r="C728" s="58"/>
      <c r="D728" s="58"/>
      <c r="E728" s="59"/>
      <c r="F728" s="58"/>
      <c r="G728" s="58"/>
      <c r="H728" s="60" t="str">
        <f aca="false">IF(OR(E728="",D728=""),"",IF(K728=0,"Expense / Gasto",INDEX(Budget!$C$7:$C$41,K728)))</f>
        <v/>
      </c>
      <c r="I728" s="60" t="str">
        <f aca="false">IF(AND(B728="",E728=""),"",IF(NOT(ISNUMBER(B728)),"⚠ ADD DATE / AGREGA FECHA",IF(E728="","⚠ ADD AMOUNT / AGREGA MONTO",IF(D728="","⚠ ADD CATEGORY / AGREGA CATEGORÍA",IF(K728=0,"● NEW CATEGORY? / ¿CATEGORÍA NUEVA?","✔ OK")))))</f>
        <v/>
      </c>
      <c r="K728" s="56" t="str">
        <f aca="false">IF(D728="","",IFERROR(MATCH(D728,Budget!$B$7:$B$41,0),0))</f>
        <v/>
      </c>
      <c r="L728" s="56" t="n">
        <f aca="false">IF(AND(ISNUMBER(B728),ISNUMBER(E728),D728&lt;&gt;""),YEAR(B728)*100+MONTH(B728),0)</f>
        <v>0</v>
      </c>
      <c r="M728" s="56" t="n">
        <f aca="false">IF(L728=0,0,YEAR(B728))</f>
        <v>0</v>
      </c>
      <c r="N728" s="56" t="str">
        <f aca="false">IF(L728=0,"",IF(K728=0,"Wants / Gustos",INDEX(Budget!$D$7:$D$41,K728)))</f>
        <v/>
      </c>
    </row>
    <row r="729" customFormat="false" ht="15" hidden="false" customHeight="false" outlineLevel="0" collapsed="false">
      <c r="B729" s="57"/>
      <c r="C729" s="58"/>
      <c r="D729" s="58"/>
      <c r="E729" s="59"/>
      <c r="F729" s="58"/>
      <c r="G729" s="58"/>
      <c r="H729" s="60" t="str">
        <f aca="false">IF(OR(E729="",D729=""),"",IF(K729=0,"Expense / Gasto",INDEX(Budget!$C$7:$C$41,K729)))</f>
        <v/>
      </c>
      <c r="I729" s="60" t="str">
        <f aca="false">IF(AND(B729="",E729=""),"",IF(NOT(ISNUMBER(B729)),"⚠ ADD DATE / AGREGA FECHA",IF(E729="","⚠ ADD AMOUNT / AGREGA MONTO",IF(D729="","⚠ ADD CATEGORY / AGREGA CATEGORÍA",IF(K729=0,"● NEW CATEGORY? / ¿CATEGORÍA NUEVA?","✔ OK")))))</f>
        <v/>
      </c>
      <c r="K729" s="56" t="str">
        <f aca="false">IF(D729="","",IFERROR(MATCH(D729,Budget!$B$7:$B$41,0),0))</f>
        <v/>
      </c>
      <c r="L729" s="56" t="n">
        <f aca="false">IF(AND(ISNUMBER(B729),ISNUMBER(E729),D729&lt;&gt;""),YEAR(B729)*100+MONTH(B729),0)</f>
        <v>0</v>
      </c>
      <c r="M729" s="56" t="n">
        <f aca="false">IF(L729=0,0,YEAR(B729))</f>
        <v>0</v>
      </c>
      <c r="N729" s="56" t="str">
        <f aca="false">IF(L729=0,"",IF(K729=0,"Wants / Gustos",INDEX(Budget!$D$7:$D$41,K729)))</f>
        <v/>
      </c>
    </row>
    <row r="730" customFormat="false" ht="15" hidden="false" customHeight="false" outlineLevel="0" collapsed="false">
      <c r="B730" s="57"/>
      <c r="C730" s="58"/>
      <c r="D730" s="58"/>
      <c r="E730" s="59"/>
      <c r="F730" s="58"/>
      <c r="G730" s="58"/>
      <c r="H730" s="60" t="str">
        <f aca="false">IF(OR(E730="",D730=""),"",IF(K730=0,"Expense / Gasto",INDEX(Budget!$C$7:$C$41,K730)))</f>
        <v/>
      </c>
      <c r="I730" s="60" t="str">
        <f aca="false">IF(AND(B730="",E730=""),"",IF(NOT(ISNUMBER(B730)),"⚠ ADD DATE / AGREGA FECHA",IF(E730="","⚠ ADD AMOUNT / AGREGA MONTO",IF(D730="","⚠ ADD CATEGORY / AGREGA CATEGORÍA",IF(K730=0,"● NEW CATEGORY? / ¿CATEGORÍA NUEVA?","✔ OK")))))</f>
        <v/>
      </c>
      <c r="K730" s="56" t="str">
        <f aca="false">IF(D730="","",IFERROR(MATCH(D730,Budget!$B$7:$B$41,0),0))</f>
        <v/>
      </c>
      <c r="L730" s="56" t="n">
        <f aca="false">IF(AND(ISNUMBER(B730),ISNUMBER(E730),D730&lt;&gt;""),YEAR(B730)*100+MONTH(B730),0)</f>
        <v>0</v>
      </c>
      <c r="M730" s="56" t="n">
        <f aca="false">IF(L730=0,0,YEAR(B730))</f>
        <v>0</v>
      </c>
      <c r="N730" s="56" t="str">
        <f aca="false">IF(L730=0,"",IF(K730=0,"Wants / Gustos",INDEX(Budget!$D$7:$D$41,K730)))</f>
        <v/>
      </c>
    </row>
    <row r="731" customFormat="false" ht="15" hidden="false" customHeight="false" outlineLevel="0" collapsed="false">
      <c r="B731" s="57"/>
      <c r="C731" s="58"/>
      <c r="D731" s="58"/>
      <c r="E731" s="59"/>
      <c r="F731" s="58"/>
      <c r="G731" s="58"/>
      <c r="H731" s="60" t="str">
        <f aca="false">IF(OR(E731="",D731=""),"",IF(K731=0,"Expense / Gasto",INDEX(Budget!$C$7:$C$41,K731)))</f>
        <v/>
      </c>
      <c r="I731" s="60" t="str">
        <f aca="false">IF(AND(B731="",E731=""),"",IF(NOT(ISNUMBER(B731)),"⚠ ADD DATE / AGREGA FECHA",IF(E731="","⚠ ADD AMOUNT / AGREGA MONTO",IF(D731="","⚠ ADD CATEGORY / AGREGA CATEGORÍA",IF(K731=0,"● NEW CATEGORY? / ¿CATEGORÍA NUEVA?","✔ OK")))))</f>
        <v/>
      </c>
      <c r="K731" s="56" t="str">
        <f aca="false">IF(D731="","",IFERROR(MATCH(D731,Budget!$B$7:$B$41,0),0))</f>
        <v/>
      </c>
      <c r="L731" s="56" t="n">
        <f aca="false">IF(AND(ISNUMBER(B731),ISNUMBER(E731),D731&lt;&gt;""),YEAR(B731)*100+MONTH(B731),0)</f>
        <v>0</v>
      </c>
      <c r="M731" s="56" t="n">
        <f aca="false">IF(L731=0,0,YEAR(B731))</f>
        <v>0</v>
      </c>
      <c r="N731" s="56" t="str">
        <f aca="false">IF(L731=0,"",IF(K731=0,"Wants / Gustos",INDEX(Budget!$D$7:$D$41,K731)))</f>
        <v/>
      </c>
    </row>
    <row r="732" customFormat="false" ht="15" hidden="false" customHeight="false" outlineLevel="0" collapsed="false">
      <c r="B732" s="57"/>
      <c r="C732" s="58"/>
      <c r="D732" s="58"/>
      <c r="E732" s="59"/>
      <c r="F732" s="58"/>
      <c r="G732" s="58"/>
      <c r="H732" s="60" t="str">
        <f aca="false">IF(OR(E732="",D732=""),"",IF(K732=0,"Expense / Gasto",INDEX(Budget!$C$7:$C$41,K732)))</f>
        <v/>
      </c>
      <c r="I732" s="60" t="str">
        <f aca="false">IF(AND(B732="",E732=""),"",IF(NOT(ISNUMBER(B732)),"⚠ ADD DATE / AGREGA FECHA",IF(E732="","⚠ ADD AMOUNT / AGREGA MONTO",IF(D732="","⚠ ADD CATEGORY / AGREGA CATEGORÍA",IF(K732=0,"● NEW CATEGORY? / ¿CATEGORÍA NUEVA?","✔ OK")))))</f>
        <v/>
      </c>
      <c r="K732" s="56" t="str">
        <f aca="false">IF(D732="","",IFERROR(MATCH(D732,Budget!$B$7:$B$41,0),0))</f>
        <v/>
      </c>
      <c r="L732" s="56" t="n">
        <f aca="false">IF(AND(ISNUMBER(B732),ISNUMBER(E732),D732&lt;&gt;""),YEAR(B732)*100+MONTH(B732),0)</f>
        <v>0</v>
      </c>
      <c r="M732" s="56" t="n">
        <f aca="false">IF(L732=0,0,YEAR(B732))</f>
        <v>0</v>
      </c>
      <c r="N732" s="56" t="str">
        <f aca="false">IF(L732=0,"",IF(K732=0,"Wants / Gustos",INDEX(Budget!$D$7:$D$41,K732)))</f>
        <v/>
      </c>
    </row>
    <row r="733" customFormat="false" ht="15" hidden="false" customHeight="false" outlineLevel="0" collapsed="false">
      <c r="B733" s="57"/>
      <c r="C733" s="58"/>
      <c r="D733" s="58"/>
      <c r="E733" s="59"/>
      <c r="F733" s="58"/>
      <c r="G733" s="58"/>
      <c r="H733" s="60" t="str">
        <f aca="false">IF(OR(E733="",D733=""),"",IF(K733=0,"Expense / Gasto",INDEX(Budget!$C$7:$C$41,K733)))</f>
        <v/>
      </c>
      <c r="I733" s="60" t="str">
        <f aca="false">IF(AND(B733="",E733=""),"",IF(NOT(ISNUMBER(B733)),"⚠ ADD DATE / AGREGA FECHA",IF(E733="","⚠ ADD AMOUNT / AGREGA MONTO",IF(D733="","⚠ ADD CATEGORY / AGREGA CATEGORÍA",IF(K733=0,"● NEW CATEGORY? / ¿CATEGORÍA NUEVA?","✔ OK")))))</f>
        <v/>
      </c>
      <c r="K733" s="56" t="str">
        <f aca="false">IF(D733="","",IFERROR(MATCH(D733,Budget!$B$7:$B$41,0),0))</f>
        <v/>
      </c>
      <c r="L733" s="56" t="n">
        <f aca="false">IF(AND(ISNUMBER(B733),ISNUMBER(E733),D733&lt;&gt;""),YEAR(B733)*100+MONTH(B733),0)</f>
        <v>0</v>
      </c>
      <c r="M733" s="56" t="n">
        <f aca="false">IF(L733=0,0,YEAR(B733))</f>
        <v>0</v>
      </c>
      <c r="N733" s="56" t="str">
        <f aca="false">IF(L733=0,"",IF(K733=0,"Wants / Gustos",INDEX(Budget!$D$7:$D$41,K733)))</f>
        <v/>
      </c>
    </row>
    <row r="734" customFormat="false" ht="15" hidden="false" customHeight="false" outlineLevel="0" collapsed="false">
      <c r="B734" s="57"/>
      <c r="C734" s="58"/>
      <c r="D734" s="58"/>
      <c r="E734" s="59"/>
      <c r="F734" s="58"/>
      <c r="G734" s="58"/>
      <c r="H734" s="60" t="str">
        <f aca="false">IF(OR(E734="",D734=""),"",IF(K734=0,"Expense / Gasto",INDEX(Budget!$C$7:$C$41,K734)))</f>
        <v/>
      </c>
      <c r="I734" s="60" t="str">
        <f aca="false">IF(AND(B734="",E734=""),"",IF(NOT(ISNUMBER(B734)),"⚠ ADD DATE / AGREGA FECHA",IF(E734="","⚠ ADD AMOUNT / AGREGA MONTO",IF(D734="","⚠ ADD CATEGORY / AGREGA CATEGORÍA",IF(K734=0,"● NEW CATEGORY? / ¿CATEGORÍA NUEVA?","✔ OK")))))</f>
        <v/>
      </c>
      <c r="K734" s="56" t="str">
        <f aca="false">IF(D734="","",IFERROR(MATCH(D734,Budget!$B$7:$B$41,0),0))</f>
        <v/>
      </c>
      <c r="L734" s="56" t="n">
        <f aca="false">IF(AND(ISNUMBER(B734),ISNUMBER(E734),D734&lt;&gt;""),YEAR(B734)*100+MONTH(B734),0)</f>
        <v>0</v>
      </c>
      <c r="M734" s="56" t="n">
        <f aca="false">IF(L734=0,0,YEAR(B734))</f>
        <v>0</v>
      </c>
      <c r="N734" s="56" t="str">
        <f aca="false">IF(L734=0,"",IF(K734=0,"Wants / Gustos",INDEX(Budget!$D$7:$D$41,K734)))</f>
        <v/>
      </c>
    </row>
    <row r="735" customFormat="false" ht="15" hidden="false" customHeight="false" outlineLevel="0" collapsed="false">
      <c r="B735" s="57"/>
      <c r="C735" s="58"/>
      <c r="D735" s="58"/>
      <c r="E735" s="59"/>
      <c r="F735" s="58"/>
      <c r="G735" s="58"/>
      <c r="H735" s="60" t="str">
        <f aca="false">IF(OR(E735="",D735=""),"",IF(K735=0,"Expense / Gasto",INDEX(Budget!$C$7:$C$41,K735)))</f>
        <v/>
      </c>
      <c r="I735" s="60" t="str">
        <f aca="false">IF(AND(B735="",E735=""),"",IF(NOT(ISNUMBER(B735)),"⚠ ADD DATE / AGREGA FECHA",IF(E735="","⚠ ADD AMOUNT / AGREGA MONTO",IF(D735="","⚠ ADD CATEGORY / AGREGA CATEGORÍA",IF(K735=0,"● NEW CATEGORY? / ¿CATEGORÍA NUEVA?","✔ OK")))))</f>
        <v/>
      </c>
      <c r="K735" s="56" t="str">
        <f aca="false">IF(D735="","",IFERROR(MATCH(D735,Budget!$B$7:$B$41,0),0))</f>
        <v/>
      </c>
      <c r="L735" s="56" t="n">
        <f aca="false">IF(AND(ISNUMBER(B735),ISNUMBER(E735),D735&lt;&gt;""),YEAR(B735)*100+MONTH(B735),0)</f>
        <v>0</v>
      </c>
      <c r="M735" s="56" t="n">
        <f aca="false">IF(L735=0,0,YEAR(B735))</f>
        <v>0</v>
      </c>
      <c r="N735" s="56" t="str">
        <f aca="false">IF(L735=0,"",IF(K735=0,"Wants / Gustos",INDEX(Budget!$D$7:$D$41,K735)))</f>
        <v/>
      </c>
    </row>
    <row r="736" customFormat="false" ht="15" hidden="false" customHeight="false" outlineLevel="0" collapsed="false">
      <c r="B736" s="57"/>
      <c r="C736" s="58"/>
      <c r="D736" s="58"/>
      <c r="E736" s="59"/>
      <c r="F736" s="58"/>
      <c r="G736" s="58"/>
      <c r="H736" s="60" t="str">
        <f aca="false">IF(OR(E736="",D736=""),"",IF(K736=0,"Expense / Gasto",INDEX(Budget!$C$7:$C$41,K736)))</f>
        <v/>
      </c>
      <c r="I736" s="60" t="str">
        <f aca="false">IF(AND(B736="",E736=""),"",IF(NOT(ISNUMBER(B736)),"⚠ ADD DATE / AGREGA FECHA",IF(E736="","⚠ ADD AMOUNT / AGREGA MONTO",IF(D736="","⚠ ADD CATEGORY / AGREGA CATEGORÍA",IF(K736=0,"● NEW CATEGORY? / ¿CATEGORÍA NUEVA?","✔ OK")))))</f>
        <v/>
      </c>
      <c r="K736" s="56" t="str">
        <f aca="false">IF(D736="","",IFERROR(MATCH(D736,Budget!$B$7:$B$41,0),0))</f>
        <v/>
      </c>
      <c r="L736" s="56" t="n">
        <f aca="false">IF(AND(ISNUMBER(B736),ISNUMBER(E736),D736&lt;&gt;""),YEAR(B736)*100+MONTH(B736),0)</f>
        <v>0</v>
      </c>
      <c r="M736" s="56" t="n">
        <f aca="false">IF(L736=0,0,YEAR(B736))</f>
        <v>0</v>
      </c>
      <c r="N736" s="56" t="str">
        <f aca="false">IF(L736=0,"",IF(K736=0,"Wants / Gustos",INDEX(Budget!$D$7:$D$41,K736)))</f>
        <v/>
      </c>
    </row>
    <row r="737" customFormat="false" ht="15" hidden="false" customHeight="false" outlineLevel="0" collapsed="false">
      <c r="B737" s="57"/>
      <c r="C737" s="58"/>
      <c r="D737" s="58"/>
      <c r="E737" s="59"/>
      <c r="F737" s="58"/>
      <c r="G737" s="58"/>
      <c r="H737" s="60" t="str">
        <f aca="false">IF(OR(E737="",D737=""),"",IF(K737=0,"Expense / Gasto",INDEX(Budget!$C$7:$C$41,K737)))</f>
        <v/>
      </c>
      <c r="I737" s="60" t="str">
        <f aca="false">IF(AND(B737="",E737=""),"",IF(NOT(ISNUMBER(B737)),"⚠ ADD DATE / AGREGA FECHA",IF(E737="","⚠ ADD AMOUNT / AGREGA MONTO",IF(D737="","⚠ ADD CATEGORY / AGREGA CATEGORÍA",IF(K737=0,"● NEW CATEGORY? / ¿CATEGORÍA NUEVA?","✔ OK")))))</f>
        <v/>
      </c>
      <c r="K737" s="56" t="str">
        <f aca="false">IF(D737="","",IFERROR(MATCH(D737,Budget!$B$7:$B$41,0),0))</f>
        <v/>
      </c>
      <c r="L737" s="56" t="n">
        <f aca="false">IF(AND(ISNUMBER(B737),ISNUMBER(E737),D737&lt;&gt;""),YEAR(B737)*100+MONTH(B737),0)</f>
        <v>0</v>
      </c>
      <c r="M737" s="56" t="n">
        <f aca="false">IF(L737=0,0,YEAR(B737))</f>
        <v>0</v>
      </c>
      <c r="N737" s="56" t="str">
        <f aca="false">IF(L737=0,"",IF(K737=0,"Wants / Gustos",INDEX(Budget!$D$7:$D$41,K737)))</f>
        <v/>
      </c>
    </row>
    <row r="738" customFormat="false" ht="15" hidden="false" customHeight="false" outlineLevel="0" collapsed="false">
      <c r="B738" s="57"/>
      <c r="C738" s="58"/>
      <c r="D738" s="58"/>
      <c r="E738" s="59"/>
      <c r="F738" s="58"/>
      <c r="G738" s="58"/>
      <c r="H738" s="60" t="str">
        <f aca="false">IF(OR(E738="",D738=""),"",IF(K738=0,"Expense / Gasto",INDEX(Budget!$C$7:$C$41,K738)))</f>
        <v/>
      </c>
      <c r="I738" s="60" t="str">
        <f aca="false">IF(AND(B738="",E738=""),"",IF(NOT(ISNUMBER(B738)),"⚠ ADD DATE / AGREGA FECHA",IF(E738="","⚠ ADD AMOUNT / AGREGA MONTO",IF(D738="","⚠ ADD CATEGORY / AGREGA CATEGORÍA",IF(K738=0,"● NEW CATEGORY? / ¿CATEGORÍA NUEVA?","✔ OK")))))</f>
        <v/>
      </c>
      <c r="K738" s="56" t="str">
        <f aca="false">IF(D738="","",IFERROR(MATCH(D738,Budget!$B$7:$B$41,0),0))</f>
        <v/>
      </c>
      <c r="L738" s="56" t="n">
        <f aca="false">IF(AND(ISNUMBER(B738),ISNUMBER(E738),D738&lt;&gt;""),YEAR(B738)*100+MONTH(B738),0)</f>
        <v>0</v>
      </c>
      <c r="M738" s="56" t="n">
        <f aca="false">IF(L738=0,0,YEAR(B738))</f>
        <v>0</v>
      </c>
      <c r="N738" s="56" t="str">
        <f aca="false">IF(L738=0,"",IF(K738=0,"Wants / Gustos",INDEX(Budget!$D$7:$D$41,K738)))</f>
        <v/>
      </c>
    </row>
    <row r="739" customFormat="false" ht="15" hidden="false" customHeight="false" outlineLevel="0" collapsed="false">
      <c r="B739" s="57"/>
      <c r="C739" s="58"/>
      <c r="D739" s="58"/>
      <c r="E739" s="59"/>
      <c r="F739" s="58"/>
      <c r="G739" s="58"/>
      <c r="H739" s="60" t="str">
        <f aca="false">IF(OR(E739="",D739=""),"",IF(K739=0,"Expense / Gasto",INDEX(Budget!$C$7:$C$41,K739)))</f>
        <v/>
      </c>
      <c r="I739" s="60" t="str">
        <f aca="false">IF(AND(B739="",E739=""),"",IF(NOT(ISNUMBER(B739)),"⚠ ADD DATE / AGREGA FECHA",IF(E739="","⚠ ADD AMOUNT / AGREGA MONTO",IF(D739="","⚠ ADD CATEGORY / AGREGA CATEGORÍA",IF(K739=0,"● NEW CATEGORY? / ¿CATEGORÍA NUEVA?","✔ OK")))))</f>
        <v/>
      </c>
      <c r="K739" s="56" t="str">
        <f aca="false">IF(D739="","",IFERROR(MATCH(D739,Budget!$B$7:$B$41,0),0))</f>
        <v/>
      </c>
      <c r="L739" s="56" t="n">
        <f aca="false">IF(AND(ISNUMBER(B739),ISNUMBER(E739),D739&lt;&gt;""),YEAR(B739)*100+MONTH(B739),0)</f>
        <v>0</v>
      </c>
      <c r="M739" s="56" t="n">
        <f aca="false">IF(L739=0,0,YEAR(B739))</f>
        <v>0</v>
      </c>
      <c r="N739" s="56" t="str">
        <f aca="false">IF(L739=0,"",IF(K739=0,"Wants / Gustos",INDEX(Budget!$D$7:$D$41,K739)))</f>
        <v/>
      </c>
    </row>
    <row r="740" customFormat="false" ht="15" hidden="false" customHeight="false" outlineLevel="0" collapsed="false">
      <c r="B740" s="57"/>
      <c r="C740" s="58"/>
      <c r="D740" s="58"/>
      <c r="E740" s="59"/>
      <c r="F740" s="58"/>
      <c r="G740" s="58"/>
      <c r="H740" s="60" t="str">
        <f aca="false">IF(OR(E740="",D740=""),"",IF(K740=0,"Expense / Gasto",INDEX(Budget!$C$7:$C$41,K740)))</f>
        <v/>
      </c>
      <c r="I740" s="60" t="str">
        <f aca="false">IF(AND(B740="",E740=""),"",IF(NOT(ISNUMBER(B740)),"⚠ ADD DATE / AGREGA FECHA",IF(E740="","⚠ ADD AMOUNT / AGREGA MONTO",IF(D740="","⚠ ADD CATEGORY / AGREGA CATEGORÍA",IF(K740=0,"● NEW CATEGORY? / ¿CATEGORÍA NUEVA?","✔ OK")))))</f>
        <v/>
      </c>
      <c r="K740" s="56" t="str">
        <f aca="false">IF(D740="","",IFERROR(MATCH(D740,Budget!$B$7:$B$41,0),0))</f>
        <v/>
      </c>
      <c r="L740" s="56" t="n">
        <f aca="false">IF(AND(ISNUMBER(B740),ISNUMBER(E740),D740&lt;&gt;""),YEAR(B740)*100+MONTH(B740),0)</f>
        <v>0</v>
      </c>
      <c r="M740" s="56" t="n">
        <f aca="false">IF(L740=0,0,YEAR(B740))</f>
        <v>0</v>
      </c>
      <c r="N740" s="56" t="str">
        <f aca="false">IF(L740=0,"",IF(K740=0,"Wants / Gustos",INDEX(Budget!$D$7:$D$41,K740)))</f>
        <v/>
      </c>
    </row>
    <row r="741" customFormat="false" ht="15" hidden="false" customHeight="false" outlineLevel="0" collapsed="false">
      <c r="B741" s="57"/>
      <c r="C741" s="58"/>
      <c r="D741" s="58"/>
      <c r="E741" s="59"/>
      <c r="F741" s="58"/>
      <c r="G741" s="58"/>
      <c r="H741" s="60" t="str">
        <f aca="false">IF(OR(E741="",D741=""),"",IF(K741=0,"Expense / Gasto",INDEX(Budget!$C$7:$C$41,K741)))</f>
        <v/>
      </c>
      <c r="I741" s="60" t="str">
        <f aca="false">IF(AND(B741="",E741=""),"",IF(NOT(ISNUMBER(B741)),"⚠ ADD DATE / AGREGA FECHA",IF(E741="","⚠ ADD AMOUNT / AGREGA MONTO",IF(D741="","⚠ ADD CATEGORY / AGREGA CATEGORÍA",IF(K741=0,"● NEW CATEGORY? / ¿CATEGORÍA NUEVA?","✔ OK")))))</f>
        <v/>
      </c>
      <c r="K741" s="56" t="str">
        <f aca="false">IF(D741="","",IFERROR(MATCH(D741,Budget!$B$7:$B$41,0),0))</f>
        <v/>
      </c>
      <c r="L741" s="56" t="n">
        <f aca="false">IF(AND(ISNUMBER(B741),ISNUMBER(E741),D741&lt;&gt;""),YEAR(B741)*100+MONTH(B741),0)</f>
        <v>0</v>
      </c>
      <c r="M741" s="56" t="n">
        <f aca="false">IF(L741=0,0,YEAR(B741))</f>
        <v>0</v>
      </c>
      <c r="N741" s="56" t="str">
        <f aca="false">IF(L741=0,"",IF(K741=0,"Wants / Gustos",INDEX(Budget!$D$7:$D$41,K741)))</f>
        <v/>
      </c>
    </row>
    <row r="742" customFormat="false" ht="15" hidden="false" customHeight="false" outlineLevel="0" collapsed="false">
      <c r="B742" s="57"/>
      <c r="C742" s="58"/>
      <c r="D742" s="58"/>
      <c r="E742" s="59"/>
      <c r="F742" s="58"/>
      <c r="G742" s="58"/>
      <c r="H742" s="60" t="str">
        <f aca="false">IF(OR(E742="",D742=""),"",IF(K742=0,"Expense / Gasto",INDEX(Budget!$C$7:$C$41,K742)))</f>
        <v/>
      </c>
      <c r="I742" s="60" t="str">
        <f aca="false">IF(AND(B742="",E742=""),"",IF(NOT(ISNUMBER(B742)),"⚠ ADD DATE / AGREGA FECHA",IF(E742="","⚠ ADD AMOUNT / AGREGA MONTO",IF(D742="","⚠ ADD CATEGORY / AGREGA CATEGORÍA",IF(K742=0,"● NEW CATEGORY? / ¿CATEGORÍA NUEVA?","✔ OK")))))</f>
        <v/>
      </c>
      <c r="K742" s="56" t="str">
        <f aca="false">IF(D742="","",IFERROR(MATCH(D742,Budget!$B$7:$B$41,0),0))</f>
        <v/>
      </c>
      <c r="L742" s="56" t="n">
        <f aca="false">IF(AND(ISNUMBER(B742),ISNUMBER(E742),D742&lt;&gt;""),YEAR(B742)*100+MONTH(B742),0)</f>
        <v>0</v>
      </c>
      <c r="M742" s="56" t="n">
        <f aca="false">IF(L742=0,0,YEAR(B742))</f>
        <v>0</v>
      </c>
      <c r="N742" s="56" t="str">
        <f aca="false">IF(L742=0,"",IF(K742=0,"Wants / Gustos",INDEX(Budget!$D$7:$D$41,K742)))</f>
        <v/>
      </c>
    </row>
    <row r="743" customFormat="false" ht="15" hidden="false" customHeight="false" outlineLevel="0" collapsed="false">
      <c r="B743" s="57"/>
      <c r="C743" s="58"/>
      <c r="D743" s="58"/>
      <c r="E743" s="59"/>
      <c r="F743" s="58"/>
      <c r="G743" s="58"/>
      <c r="H743" s="60" t="str">
        <f aca="false">IF(OR(E743="",D743=""),"",IF(K743=0,"Expense / Gasto",INDEX(Budget!$C$7:$C$41,K743)))</f>
        <v/>
      </c>
      <c r="I743" s="60" t="str">
        <f aca="false">IF(AND(B743="",E743=""),"",IF(NOT(ISNUMBER(B743)),"⚠ ADD DATE / AGREGA FECHA",IF(E743="","⚠ ADD AMOUNT / AGREGA MONTO",IF(D743="","⚠ ADD CATEGORY / AGREGA CATEGORÍA",IF(K743=0,"● NEW CATEGORY? / ¿CATEGORÍA NUEVA?","✔ OK")))))</f>
        <v/>
      </c>
      <c r="K743" s="56" t="str">
        <f aca="false">IF(D743="","",IFERROR(MATCH(D743,Budget!$B$7:$B$41,0),0))</f>
        <v/>
      </c>
      <c r="L743" s="56" t="n">
        <f aca="false">IF(AND(ISNUMBER(B743),ISNUMBER(E743),D743&lt;&gt;""),YEAR(B743)*100+MONTH(B743),0)</f>
        <v>0</v>
      </c>
      <c r="M743" s="56" t="n">
        <f aca="false">IF(L743=0,0,YEAR(B743))</f>
        <v>0</v>
      </c>
      <c r="N743" s="56" t="str">
        <f aca="false">IF(L743=0,"",IF(K743=0,"Wants / Gustos",INDEX(Budget!$D$7:$D$41,K743)))</f>
        <v/>
      </c>
    </row>
    <row r="744" customFormat="false" ht="15" hidden="false" customHeight="false" outlineLevel="0" collapsed="false">
      <c r="B744" s="57"/>
      <c r="C744" s="58"/>
      <c r="D744" s="58"/>
      <c r="E744" s="59"/>
      <c r="F744" s="58"/>
      <c r="G744" s="58"/>
      <c r="H744" s="60" t="str">
        <f aca="false">IF(OR(E744="",D744=""),"",IF(K744=0,"Expense / Gasto",INDEX(Budget!$C$7:$C$41,K744)))</f>
        <v/>
      </c>
      <c r="I744" s="60" t="str">
        <f aca="false">IF(AND(B744="",E744=""),"",IF(NOT(ISNUMBER(B744)),"⚠ ADD DATE / AGREGA FECHA",IF(E744="","⚠ ADD AMOUNT / AGREGA MONTO",IF(D744="","⚠ ADD CATEGORY / AGREGA CATEGORÍA",IF(K744=0,"● NEW CATEGORY? / ¿CATEGORÍA NUEVA?","✔ OK")))))</f>
        <v/>
      </c>
      <c r="K744" s="56" t="str">
        <f aca="false">IF(D744="","",IFERROR(MATCH(D744,Budget!$B$7:$B$41,0),0))</f>
        <v/>
      </c>
      <c r="L744" s="56" t="n">
        <f aca="false">IF(AND(ISNUMBER(B744),ISNUMBER(E744),D744&lt;&gt;""),YEAR(B744)*100+MONTH(B744),0)</f>
        <v>0</v>
      </c>
      <c r="M744" s="56" t="n">
        <f aca="false">IF(L744=0,0,YEAR(B744))</f>
        <v>0</v>
      </c>
      <c r="N744" s="56" t="str">
        <f aca="false">IF(L744=0,"",IF(K744=0,"Wants / Gustos",INDEX(Budget!$D$7:$D$41,K744)))</f>
        <v/>
      </c>
    </row>
    <row r="745" customFormat="false" ht="15" hidden="false" customHeight="false" outlineLevel="0" collapsed="false">
      <c r="B745" s="57"/>
      <c r="C745" s="58"/>
      <c r="D745" s="58"/>
      <c r="E745" s="59"/>
      <c r="F745" s="58"/>
      <c r="G745" s="58"/>
      <c r="H745" s="60" t="str">
        <f aca="false">IF(OR(E745="",D745=""),"",IF(K745=0,"Expense / Gasto",INDEX(Budget!$C$7:$C$41,K745)))</f>
        <v/>
      </c>
      <c r="I745" s="60" t="str">
        <f aca="false">IF(AND(B745="",E745=""),"",IF(NOT(ISNUMBER(B745)),"⚠ ADD DATE / AGREGA FECHA",IF(E745="","⚠ ADD AMOUNT / AGREGA MONTO",IF(D745="","⚠ ADD CATEGORY / AGREGA CATEGORÍA",IF(K745=0,"● NEW CATEGORY? / ¿CATEGORÍA NUEVA?","✔ OK")))))</f>
        <v/>
      </c>
      <c r="K745" s="56" t="str">
        <f aca="false">IF(D745="","",IFERROR(MATCH(D745,Budget!$B$7:$B$41,0),0))</f>
        <v/>
      </c>
      <c r="L745" s="56" t="n">
        <f aca="false">IF(AND(ISNUMBER(B745),ISNUMBER(E745),D745&lt;&gt;""),YEAR(B745)*100+MONTH(B745),0)</f>
        <v>0</v>
      </c>
      <c r="M745" s="56" t="n">
        <f aca="false">IF(L745=0,0,YEAR(B745))</f>
        <v>0</v>
      </c>
      <c r="N745" s="56" t="str">
        <f aca="false">IF(L745=0,"",IF(K745=0,"Wants / Gustos",INDEX(Budget!$D$7:$D$41,K745)))</f>
        <v/>
      </c>
    </row>
    <row r="746" customFormat="false" ht="15" hidden="false" customHeight="false" outlineLevel="0" collapsed="false">
      <c r="B746" s="57"/>
      <c r="C746" s="58"/>
      <c r="D746" s="58"/>
      <c r="E746" s="59"/>
      <c r="F746" s="58"/>
      <c r="G746" s="58"/>
      <c r="H746" s="60" t="str">
        <f aca="false">IF(OR(E746="",D746=""),"",IF(K746=0,"Expense / Gasto",INDEX(Budget!$C$7:$C$41,K746)))</f>
        <v/>
      </c>
      <c r="I746" s="60" t="str">
        <f aca="false">IF(AND(B746="",E746=""),"",IF(NOT(ISNUMBER(B746)),"⚠ ADD DATE / AGREGA FECHA",IF(E746="","⚠ ADD AMOUNT / AGREGA MONTO",IF(D746="","⚠ ADD CATEGORY / AGREGA CATEGORÍA",IF(K746=0,"● NEW CATEGORY? / ¿CATEGORÍA NUEVA?","✔ OK")))))</f>
        <v/>
      </c>
      <c r="K746" s="56" t="str">
        <f aca="false">IF(D746="","",IFERROR(MATCH(D746,Budget!$B$7:$B$41,0),0))</f>
        <v/>
      </c>
      <c r="L746" s="56" t="n">
        <f aca="false">IF(AND(ISNUMBER(B746),ISNUMBER(E746),D746&lt;&gt;""),YEAR(B746)*100+MONTH(B746),0)</f>
        <v>0</v>
      </c>
      <c r="M746" s="56" t="n">
        <f aca="false">IF(L746=0,0,YEAR(B746))</f>
        <v>0</v>
      </c>
      <c r="N746" s="56" t="str">
        <f aca="false">IF(L746=0,"",IF(K746=0,"Wants / Gustos",INDEX(Budget!$D$7:$D$41,K746)))</f>
        <v/>
      </c>
    </row>
    <row r="747" customFormat="false" ht="15" hidden="false" customHeight="false" outlineLevel="0" collapsed="false">
      <c r="B747" s="57"/>
      <c r="C747" s="58"/>
      <c r="D747" s="58"/>
      <c r="E747" s="59"/>
      <c r="F747" s="58"/>
      <c r="G747" s="58"/>
      <c r="H747" s="60" t="str">
        <f aca="false">IF(OR(E747="",D747=""),"",IF(K747=0,"Expense / Gasto",INDEX(Budget!$C$7:$C$41,K747)))</f>
        <v/>
      </c>
      <c r="I747" s="60" t="str">
        <f aca="false">IF(AND(B747="",E747=""),"",IF(NOT(ISNUMBER(B747)),"⚠ ADD DATE / AGREGA FECHA",IF(E747="","⚠ ADD AMOUNT / AGREGA MONTO",IF(D747="","⚠ ADD CATEGORY / AGREGA CATEGORÍA",IF(K747=0,"● NEW CATEGORY? / ¿CATEGORÍA NUEVA?","✔ OK")))))</f>
        <v/>
      </c>
      <c r="K747" s="56" t="str">
        <f aca="false">IF(D747="","",IFERROR(MATCH(D747,Budget!$B$7:$B$41,0),0))</f>
        <v/>
      </c>
      <c r="L747" s="56" t="n">
        <f aca="false">IF(AND(ISNUMBER(B747),ISNUMBER(E747),D747&lt;&gt;""),YEAR(B747)*100+MONTH(B747),0)</f>
        <v>0</v>
      </c>
      <c r="M747" s="56" t="n">
        <f aca="false">IF(L747=0,0,YEAR(B747))</f>
        <v>0</v>
      </c>
      <c r="N747" s="56" t="str">
        <f aca="false">IF(L747=0,"",IF(K747=0,"Wants / Gustos",INDEX(Budget!$D$7:$D$41,K747)))</f>
        <v/>
      </c>
    </row>
    <row r="748" customFormat="false" ht="15" hidden="false" customHeight="false" outlineLevel="0" collapsed="false">
      <c r="B748" s="57"/>
      <c r="C748" s="58"/>
      <c r="D748" s="58"/>
      <c r="E748" s="59"/>
      <c r="F748" s="58"/>
      <c r="G748" s="58"/>
      <c r="H748" s="60" t="str">
        <f aca="false">IF(OR(E748="",D748=""),"",IF(K748=0,"Expense / Gasto",INDEX(Budget!$C$7:$C$41,K748)))</f>
        <v/>
      </c>
      <c r="I748" s="60" t="str">
        <f aca="false">IF(AND(B748="",E748=""),"",IF(NOT(ISNUMBER(B748)),"⚠ ADD DATE / AGREGA FECHA",IF(E748="","⚠ ADD AMOUNT / AGREGA MONTO",IF(D748="","⚠ ADD CATEGORY / AGREGA CATEGORÍA",IF(K748=0,"● NEW CATEGORY? / ¿CATEGORÍA NUEVA?","✔ OK")))))</f>
        <v/>
      </c>
      <c r="K748" s="56" t="str">
        <f aca="false">IF(D748="","",IFERROR(MATCH(D748,Budget!$B$7:$B$41,0),0))</f>
        <v/>
      </c>
      <c r="L748" s="56" t="n">
        <f aca="false">IF(AND(ISNUMBER(B748),ISNUMBER(E748),D748&lt;&gt;""),YEAR(B748)*100+MONTH(B748),0)</f>
        <v>0</v>
      </c>
      <c r="M748" s="56" t="n">
        <f aca="false">IF(L748=0,0,YEAR(B748))</f>
        <v>0</v>
      </c>
      <c r="N748" s="56" t="str">
        <f aca="false">IF(L748=0,"",IF(K748=0,"Wants / Gustos",INDEX(Budget!$D$7:$D$41,K748)))</f>
        <v/>
      </c>
    </row>
    <row r="749" customFormat="false" ht="15" hidden="false" customHeight="false" outlineLevel="0" collapsed="false">
      <c r="B749" s="57"/>
      <c r="C749" s="58"/>
      <c r="D749" s="58"/>
      <c r="E749" s="59"/>
      <c r="F749" s="58"/>
      <c r="G749" s="58"/>
      <c r="H749" s="60" t="str">
        <f aca="false">IF(OR(E749="",D749=""),"",IF(K749=0,"Expense / Gasto",INDEX(Budget!$C$7:$C$41,K749)))</f>
        <v/>
      </c>
      <c r="I749" s="60" t="str">
        <f aca="false">IF(AND(B749="",E749=""),"",IF(NOT(ISNUMBER(B749)),"⚠ ADD DATE / AGREGA FECHA",IF(E749="","⚠ ADD AMOUNT / AGREGA MONTO",IF(D749="","⚠ ADD CATEGORY / AGREGA CATEGORÍA",IF(K749=0,"● NEW CATEGORY? / ¿CATEGORÍA NUEVA?","✔ OK")))))</f>
        <v/>
      </c>
      <c r="K749" s="56" t="str">
        <f aca="false">IF(D749="","",IFERROR(MATCH(D749,Budget!$B$7:$B$41,0),0))</f>
        <v/>
      </c>
      <c r="L749" s="56" t="n">
        <f aca="false">IF(AND(ISNUMBER(B749),ISNUMBER(E749),D749&lt;&gt;""),YEAR(B749)*100+MONTH(B749),0)</f>
        <v>0</v>
      </c>
      <c r="M749" s="56" t="n">
        <f aca="false">IF(L749=0,0,YEAR(B749))</f>
        <v>0</v>
      </c>
      <c r="N749" s="56" t="str">
        <f aca="false">IF(L749=0,"",IF(K749=0,"Wants / Gustos",INDEX(Budget!$D$7:$D$41,K749)))</f>
        <v/>
      </c>
    </row>
    <row r="750" customFormat="false" ht="15" hidden="false" customHeight="false" outlineLevel="0" collapsed="false">
      <c r="B750" s="57"/>
      <c r="C750" s="58"/>
      <c r="D750" s="58"/>
      <c r="E750" s="59"/>
      <c r="F750" s="58"/>
      <c r="G750" s="58"/>
      <c r="H750" s="60" t="str">
        <f aca="false">IF(OR(E750="",D750=""),"",IF(K750=0,"Expense / Gasto",INDEX(Budget!$C$7:$C$41,K750)))</f>
        <v/>
      </c>
      <c r="I750" s="60" t="str">
        <f aca="false">IF(AND(B750="",E750=""),"",IF(NOT(ISNUMBER(B750)),"⚠ ADD DATE / AGREGA FECHA",IF(E750="","⚠ ADD AMOUNT / AGREGA MONTO",IF(D750="","⚠ ADD CATEGORY / AGREGA CATEGORÍA",IF(K750=0,"● NEW CATEGORY? / ¿CATEGORÍA NUEVA?","✔ OK")))))</f>
        <v/>
      </c>
      <c r="K750" s="56" t="str">
        <f aca="false">IF(D750="","",IFERROR(MATCH(D750,Budget!$B$7:$B$41,0),0))</f>
        <v/>
      </c>
      <c r="L750" s="56" t="n">
        <f aca="false">IF(AND(ISNUMBER(B750),ISNUMBER(E750),D750&lt;&gt;""),YEAR(B750)*100+MONTH(B750),0)</f>
        <v>0</v>
      </c>
      <c r="M750" s="56" t="n">
        <f aca="false">IF(L750=0,0,YEAR(B750))</f>
        <v>0</v>
      </c>
      <c r="N750" s="56" t="str">
        <f aca="false">IF(L750=0,"",IF(K750=0,"Wants / Gustos",INDEX(Budget!$D$7:$D$41,K750)))</f>
        <v/>
      </c>
    </row>
    <row r="751" customFormat="false" ht="15" hidden="false" customHeight="false" outlineLevel="0" collapsed="false">
      <c r="B751" s="57"/>
      <c r="C751" s="58"/>
      <c r="D751" s="58"/>
      <c r="E751" s="59"/>
      <c r="F751" s="58"/>
      <c r="G751" s="58"/>
      <c r="H751" s="60" t="str">
        <f aca="false">IF(OR(E751="",D751=""),"",IF(K751=0,"Expense / Gasto",INDEX(Budget!$C$7:$C$41,K751)))</f>
        <v/>
      </c>
      <c r="I751" s="60" t="str">
        <f aca="false">IF(AND(B751="",E751=""),"",IF(NOT(ISNUMBER(B751)),"⚠ ADD DATE / AGREGA FECHA",IF(E751="","⚠ ADD AMOUNT / AGREGA MONTO",IF(D751="","⚠ ADD CATEGORY / AGREGA CATEGORÍA",IF(K751=0,"● NEW CATEGORY? / ¿CATEGORÍA NUEVA?","✔ OK")))))</f>
        <v/>
      </c>
      <c r="K751" s="56" t="str">
        <f aca="false">IF(D751="","",IFERROR(MATCH(D751,Budget!$B$7:$B$41,0),0))</f>
        <v/>
      </c>
      <c r="L751" s="56" t="n">
        <f aca="false">IF(AND(ISNUMBER(B751),ISNUMBER(E751),D751&lt;&gt;""),YEAR(B751)*100+MONTH(B751),0)</f>
        <v>0</v>
      </c>
      <c r="M751" s="56" t="n">
        <f aca="false">IF(L751=0,0,YEAR(B751))</f>
        <v>0</v>
      </c>
      <c r="N751" s="56" t="str">
        <f aca="false">IF(L751=0,"",IF(K751=0,"Wants / Gustos",INDEX(Budget!$D$7:$D$41,K751)))</f>
        <v/>
      </c>
    </row>
    <row r="752" customFormat="false" ht="15" hidden="false" customHeight="false" outlineLevel="0" collapsed="false">
      <c r="B752" s="57"/>
      <c r="C752" s="58"/>
      <c r="D752" s="58"/>
      <c r="E752" s="59"/>
      <c r="F752" s="58"/>
      <c r="G752" s="58"/>
      <c r="H752" s="60" t="str">
        <f aca="false">IF(OR(E752="",D752=""),"",IF(K752=0,"Expense / Gasto",INDEX(Budget!$C$7:$C$41,K752)))</f>
        <v/>
      </c>
      <c r="I752" s="60" t="str">
        <f aca="false">IF(AND(B752="",E752=""),"",IF(NOT(ISNUMBER(B752)),"⚠ ADD DATE / AGREGA FECHA",IF(E752="","⚠ ADD AMOUNT / AGREGA MONTO",IF(D752="","⚠ ADD CATEGORY / AGREGA CATEGORÍA",IF(K752=0,"● NEW CATEGORY? / ¿CATEGORÍA NUEVA?","✔ OK")))))</f>
        <v/>
      </c>
      <c r="K752" s="56" t="str">
        <f aca="false">IF(D752="","",IFERROR(MATCH(D752,Budget!$B$7:$B$41,0),0))</f>
        <v/>
      </c>
      <c r="L752" s="56" t="n">
        <f aca="false">IF(AND(ISNUMBER(B752),ISNUMBER(E752),D752&lt;&gt;""),YEAR(B752)*100+MONTH(B752),0)</f>
        <v>0</v>
      </c>
      <c r="M752" s="56" t="n">
        <f aca="false">IF(L752=0,0,YEAR(B752))</f>
        <v>0</v>
      </c>
      <c r="N752" s="56" t="str">
        <f aca="false">IF(L752=0,"",IF(K752=0,"Wants / Gustos",INDEX(Budget!$D$7:$D$41,K752)))</f>
        <v/>
      </c>
    </row>
    <row r="753" customFormat="false" ht="15" hidden="false" customHeight="false" outlineLevel="0" collapsed="false">
      <c r="B753" s="57"/>
      <c r="C753" s="58"/>
      <c r="D753" s="58"/>
      <c r="E753" s="59"/>
      <c r="F753" s="58"/>
      <c r="G753" s="58"/>
      <c r="H753" s="60" t="str">
        <f aca="false">IF(OR(E753="",D753=""),"",IF(K753=0,"Expense / Gasto",INDEX(Budget!$C$7:$C$41,K753)))</f>
        <v/>
      </c>
      <c r="I753" s="60" t="str">
        <f aca="false">IF(AND(B753="",E753=""),"",IF(NOT(ISNUMBER(B753)),"⚠ ADD DATE / AGREGA FECHA",IF(E753="","⚠ ADD AMOUNT / AGREGA MONTO",IF(D753="","⚠ ADD CATEGORY / AGREGA CATEGORÍA",IF(K753=0,"● NEW CATEGORY? / ¿CATEGORÍA NUEVA?","✔ OK")))))</f>
        <v/>
      </c>
      <c r="K753" s="56" t="str">
        <f aca="false">IF(D753="","",IFERROR(MATCH(D753,Budget!$B$7:$B$41,0),0))</f>
        <v/>
      </c>
      <c r="L753" s="56" t="n">
        <f aca="false">IF(AND(ISNUMBER(B753),ISNUMBER(E753),D753&lt;&gt;""),YEAR(B753)*100+MONTH(B753),0)</f>
        <v>0</v>
      </c>
      <c r="M753" s="56" t="n">
        <f aca="false">IF(L753=0,0,YEAR(B753))</f>
        <v>0</v>
      </c>
      <c r="N753" s="56" t="str">
        <f aca="false">IF(L753=0,"",IF(K753=0,"Wants / Gustos",INDEX(Budget!$D$7:$D$41,K753)))</f>
        <v/>
      </c>
    </row>
    <row r="754" customFormat="false" ht="15" hidden="false" customHeight="false" outlineLevel="0" collapsed="false">
      <c r="B754" s="57"/>
      <c r="C754" s="58"/>
      <c r="D754" s="58"/>
      <c r="E754" s="59"/>
      <c r="F754" s="58"/>
      <c r="G754" s="58"/>
      <c r="H754" s="60" t="str">
        <f aca="false">IF(OR(E754="",D754=""),"",IF(K754=0,"Expense / Gasto",INDEX(Budget!$C$7:$C$41,K754)))</f>
        <v/>
      </c>
      <c r="I754" s="60" t="str">
        <f aca="false">IF(AND(B754="",E754=""),"",IF(NOT(ISNUMBER(B754)),"⚠ ADD DATE / AGREGA FECHA",IF(E754="","⚠ ADD AMOUNT / AGREGA MONTO",IF(D754="","⚠ ADD CATEGORY / AGREGA CATEGORÍA",IF(K754=0,"● NEW CATEGORY? / ¿CATEGORÍA NUEVA?","✔ OK")))))</f>
        <v/>
      </c>
      <c r="K754" s="56" t="str">
        <f aca="false">IF(D754="","",IFERROR(MATCH(D754,Budget!$B$7:$B$41,0),0))</f>
        <v/>
      </c>
      <c r="L754" s="56" t="n">
        <f aca="false">IF(AND(ISNUMBER(B754),ISNUMBER(E754),D754&lt;&gt;""),YEAR(B754)*100+MONTH(B754),0)</f>
        <v>0</v>
      </c>
      <c r="M754" s="56" t="n">
        <f aca="false">IF(L754=0,0,YEAR(B754))</f>
        <v>0</v>
      </c>
      <c r="N754" s="56" t="str">
        <f aca="false">IF(L754=0,"",IF(K754=0,"Wants / Gustos",INDEX(Budget!$D$7:$D$41,K754)))</f>
        <v/>
      </c>
    </row>
    <row r="755" customFormat="false" ht="15" hidden="false" customHeight="false" outlineLevel="0" collapsed="false">
      <c r="B755" s="57"/>
      <c r="C755" s="58"/>
      <c r="D755" s="58"/>
      <c r="E755" s="59"/>
      <c r="F755" s="58"/>
      <c r="G755" s="58"/>
      <c r="H755" s="60" t="str">
        <f aca="false">IF(OR(E755="",D755=""),"",IF(K755=0,"Expense / Gasto",INDEX(Budget!$C$7:$C$41,K755)))</f>
        <v/>
      </c>
      <c r="I755" s="60" t="str">
        <f aca="false">IF(AND(B755="",E755=""),"",IF(NOT(ISNUMBER(B755)),"⚠ ADD DATE / AGREGA FECHA",IF(E755="","⚠ ADD AMOUNT / AGREGA MONTO",IF(D755="","⚠ ADD CATEGORY / AGREGA CATEGORÍA",IF(K755=0,"● NEW CATEGORY? / ¿CATEGORÍA NUEVA?","✔ OK")))))</f>
        <v/>
      </c>
      <c r="K755" s="56" t="str">
        <f aca="false">IF(D755="","",IFERROR(MATCH(D755,Budget!$B$7:$B$41,0),0))</f>
        <v/>
      </c>
      <c r="L755" s="56" t="n">
        <f aca="false">IF(AND(ISNUMBER(B755),ISNUMBER(E755),D755&lt;&gt;""),YEAR(B755)*100+MONTH(B755),0)</f>
        <v>0</v>
      </c>
      <c r="M755" s="56" t="n">
        <f aca="false">IF(L755=0,0,YEAR(B755))</f>
        <v>0</v>
      </c>
      <c r="N755" s="56" t="str">
        <f aca="false">IF(L755=0,"",IF(K755=0,"Wants / Gustos",INDEX(Budget!$D$7:$D$41,K755)))</f>
        <v/>
      </c>
    </row>
    <row r="756" customFormat="false" ht="15" hidden="false" customHeight="false" outlineLevel="0" collapsed="false">
      <c r="B756" s="57"/>
      <c r="C756" s="58"/>
      <c r="D756" s="58"/>
      <c r="E756" s="59"/>
      <c r="F756" s="58"/>
      <c r="G756" s="58"/>
      <c r="H756" s="60" t="str">
        <f aca="false">IF(OR(E756="",D756=""),"",IF(K756=0,"Expense / Gasto",INDEX(Budget!$C$7:$C$41,K756)))</f>
        <v/>
      </c>
      <c r="I756" s="60" t="str">
        <f aca="false">IF(AND(B756="",E756=""),"",IF(NOT(ISNUMBER(B756)),"⚠ ADD DATE / AGREGA FECHA",IF(E756="","⚠ ADD AMOUNT / AGREGA MONTO",IF(D756="","⚠ ADD CATEGORY / AGREGA CATEGORÍA",IF(K756=0,"● NEW CATEGORY? / ¿CATEGORÍA NUEVA?","✔ OK")))))</f>
        <v/>
      </c>
      <c r="K756" s="56" t="str">
        <f aca="false">IF(D756="","",IFERROR(MATCH(D756,Budget!$B$7:$B$41,0),0))</f>
        <v/>
      </c>
      <c r="L756" s="56" t="n">
        <f aca="false">IF(AND(ISNUMBER(B756),ISNUMBER(E756),D756&lt;&gt;""),YEAR(B756)*100+MONTH(B756),0)</f>
        <v>0</v>
      </c>
      <c r="M756" s="56" t="n">
        <f aca="false">IF(L756=0,0,YEAR(B756))</f>
        <v>0</v>
      </c>
      <c r="N756" s="56" t="str">
        <f aca="false">IF(L756=0,"",IF(K756=0,"Wants / Gustos",INDEX(Budget!$D$7:$D$41,K756)))</f>
        <v/>
      </c>
    </row>
    <row r="757" customFormat="false" ht="15" hidden="false" customHeight="false" outlineLevel="0" collapsed="false">
      <c r="B757" s="57"/>
      <c r="C757" s="58"/>
      <c r="D757" s="58"/>
      <c r="E757" s="59"/>
      <c r="F757" s="58"/>
      <c r="G757" s="58"/>
      <c r="H757" s="60" t="str">
        <f aca="false">IF(OR(E757="",D757=""),"",IF(K757=0,"Expense / Gasto",INDEX(Budget!$C$7:$C$41,K757)))</f>
        <v/>
      </c>
      <c r="I757" s="60" t="str">
        <f aca="false">IF(AND(B757="",E757=""),"",IF(NOT(ISNUMBER(B757)),"⚠ ADD DATE / AGREGA FECHA",IF(E757="","⚠ ADD AMOUNT / AGREGA MONTO",IF(D757="","⚠ ADD CATEGORY / AGREGA CATEGORÍA",IF(K757=0,"● NEW CATEGORY? / ¿CATEGORÍA NUEVA?","✔ OK")))))</f>
        <v/>
      </c>
      <c r="K757" s="56" t="str">
        <f aca="false">IF(D757="","",IFERROR(MATCH(D757,Budget!$B$7:$B$41,0),0))</f>
        <v/>
      </c>
      <c r="L757" s="56" t="n">
        <f aca="false">IF(AND(ISNUMBER(B757),ISNUMBER(E757),D757&lt;&gt;""),YEAR(B757)*100+MONTH(B757),0)</f>
        <v>0</v>
      </c>
      <c r="M757" s="56" t="n">
        <f aca="false">IF(L757=0,0,YEAR(B757))</f>
        <v>0</v>
      </c>
      <c r="N757" s="56" t="str">
        <f aca="false">IF(L757=0,"",IF(K757=0,"Wants / Gustos",INDEX(Budget!$D$7:$D$41,K757)))</f>
        <v/>
      </c>
    </row>
    <row r="758" customFormat="false" ht="15" hidden="false" customHeight="false" outlineLevel="0" collapsed="false">
      <c r="B758" s="57"/>
      <c r="C758" s="58"/>
      <c r="D758" s="58"/>
      <c r="E758" s="59"/>
      <c r="F758" s="58"/>
      <c r="G758" s="58"/>
      <c r="H758" s="60" t="str">
        <f aca="false">IF(OR(E758="",D758=""),"",IF(K758=0,"Expense / Gasto",INDEX(Budget!$C$7:$C$41,K758)))</f>
        <v/>
      </c>
      <c r="I758" s="60" t="str">
        <f aca="false">IF(AND(B758="",E758=""),"",IF(NOT(ISNUMBER(B758)),"⚠ ADD DATE / AGREGA FECHA",IF(E758="","⚠ ADD AMOUNT / AGREGA MONTO",IF(D758="","⚠ ADD CATEGORY / AGREGA CATEGORÍA",IF(K758=0,"● NEW CATEGORY? / ¿CATEGORÍA NUEVA?","✔ OK")))))</f>
        <v/>
      </c>
      <c r="K758" s="56" t="str">
        <f aca="false">IF(D758="","",IFERROR(MATCH(D758,Budget!$B$7:$B$41,0),0))</f>
        <v/>
      </c>
      <c r="L758" s="56" t="n">
        <f aca="false">IF(AND(ISNUMBER(B758),ISNUMBER(E758),D758&lt;&gt;""),YEAR(B758)*100+MONTH(B758),0)</f>
        <v>0</v>
      </c>
      <c r="M758" s="56" t="n">
        <f aca="false">IF(L758=0,0,YEAR(B758))</f>
        <v>0</v>
      </c>
      <c r="N758" s="56" t="str">
        <f aca="false">IF(L758=0,"",IF(K758=0,"Wants / Gustos",INDEX(Budget!$D$7:$D$41,K758)))</f>
        <v/>
      </c>
    </row>
    <row r="759" customFormat="false" ht="15" hidden="false" customHeight="false" outlineLevel="0" collapsed="false">
      <c r="B759" s="57"/>
      <c r="C759" s="58"/>
      <c r="D759" s="58"/>
      <c r="E759" s="59"/>
      <c r="F759" s="58"/>
      <c r="G759" s="58"/>
      <c r="H759" s="60" t="str">
        <f aca="false">IF(OR(E759="",D759=""),"",IF(K759=0,"Expense / Gasto",INDEX(Budget!$C$7:$C$41,K759)))</f>
        <v/>
      </c>
      <c r="I759" s="60" t="str">
        <f aca="false">IF(AND(B759="",E759=""),"",IF(NOT(ISNUMBER(B759)),"⚠ ADD DATE / AGREGA FECHA",IF(E759="","⚠ ADD AMOUNT / AGREGA MONTO",IF(D759="","⚠ ADD CATEGORY / AGREGA CATEGORÍA",IF(K759=0,"● NEW CATEGORY? / ¿CATEGORÍA NUEVA?","✔ OK")))))</f>
        <v/>
      </c>
      <c r="K759" s="56" t="str">
        <f aca="false">IF(D759="","",IFERROR(MATCH(D759,Budget!$B$7:$B$41,0),0))</f>
        <v/>
      </c>
      <c r="L759" s="56" t="n">
        <f aca="false">IF(AND(ISNUMBER(B759),ISNUMBER(E759),D759&lt;&gt;""),YEAR(B759)*100+MONTH(B759),0)</f>
        <v>0</v>
      </c>
      <c r="M759" s="56" t="n">
        <f aca="false">IF(L759=0,0,YEAR(B759))</f>
        <v>0</v>
      </c>
      <c r="N759" s="56" t="str">
        <f aca="false">IF(L759=0,"",IF(K759=0,"Wants / Gustos",INDEX(Budget!$D$7:$D$41,K759)))</f>
        <v/>
      </c>
    </row>
    <row r="760" customFormat="false" ht="15" hidden="false" customHeight="false" outlineLevel="0" collapsed="false">
      <c r="B760" s="57"/>
      <c r="C760" s="58"/>
      <c r="D760" s="58"/>
      <c r="E760" s="59"/>
      <c r="F760" s="58"/>
      <c r="G760" s="58"/>
      <c r="H760" s="60" t="str">
        <f aca="false">IF(OR(E760="",D760=""),"",IF(K760=0,"Expense / Gasto",INDEX(Budget!$C$7:$C$41,K760)))</f>
        <v/>
      </c>
      <c r="I760" s="60" t="str">
        <f aca="false">IF(AND(B760="",E760=""),"",IF(NOT(ISNUMBER(B760)),"⚠ ADD DATE / AGREGA FECHA",IF(E760="","⚠ ADD AMOUNT / AGREGA MONTO",IF(D760="","⚠ ADD CATEGORY / AGREGA CATEGORÍA",IF(K760=0,"● NEW CATEGORY? / ¿CATEGORÍA NUEVA?","✔ OK")))))</f>
        <v/>
      </c>
      <c r="K760" s="56" t="str">
        <f aca="false">IF(D760="","",IFERROR(MATCH(D760,Budget!$B$7:$B$41,0),0))</f>
        <v/>
      </c>
      <c r="L760" s="56" t="n">
        <f aca="false">IF(AND(ISNUMBER(B760),ISNUMBER(E760),D760&lt;&gt;""),YEAR(B760)*100+MONTH(B760),0)</f>
        <v>0</v>
      </c>
      <c r="M760" s="56" t="n">
        <f aca="false">IF(L760=0,0,YEAR(B760))</f>
        <v>0</v>
      </c>
      <c r="N760" s="56" t="str">
        <f aca="false">IF(L760=0,"",IF(K760=0,"Wants / Gustos",INDEX(Budget!$D$7:$D$41,K760)))</f>
        <v/>
      </c>
    </row>
    <row r="761" customFormat="false" ht="15" hidden="false" customHeight="false" outlineLevel="0" collapsed="false">
      <c r="B761" s="57"/>
      <c r="C761" s="58"/>
      <c r="D761" s="58"/>
      <c r="E761" s="59"/>
      <c r="F761" s="58"/>
      <c r="G761" s="58"/>
      <c r="H761" s="60" t="str">
        <f aca="false">IF(OR(E761="",D761=""),"",IF(K761=0,"Expense / Gasto",INDEX(Budget!$C$7:$C$41,K761)))</f>
        <v/>
      </c>
      <c r="I761" s="60" t="str">
        <f aca="false">IF(AND(B761="",E761=""),"",IF(NOT(ISNUMBER(B761)),"⚠ ADD DATE / AGREGA FECHA",IF(E761="","⚠ ADD AMOUNT / AGREGA MONTO",IF(D761="","⚠ ADD CATEGORY / AGREGA CATEGORÍA",IF(K761=0,"● NEW CATEGORY? / ¿CATEGORÍA NUEVA?","✔ OK")))))</f>
        <v/>
      </c>
      <c r="K761" s="56" t="str">
        <f aca="false">IF(D761="","",IFERROR(MATCH(D761,Budget!$B$7:$B$41,0),0))</f>
        <v/>
      </c>
      <c r="L761" s="56" t="n">
        <f aca="false">IF(AND(ISNUMBER(B761),ISNUMBER(E761),D761&lt;&gt;""),YEAR(B761)*100+MONTH(B761),0)</f>
        <v>0</v>
      </c>
      <c r="M761" s="56" t="n">
        <f aca="false">IF(L761=0,0,YEAR(B761))</f>
        <v>0</v>
      </c>
      <c r="N761" s="56" t="str">
        <f aca="false">IF(L761=0,"",IF(K761=0,"Wants / Gustos",INDEX(Budget!$D$7:$D$41,K761)))</f>
        <v/>
      </c>
    </row>
    <row r="762" customFormat="false" ht="15" hidden="false" customHeight="false" outlineLevel="0" collapsed="false">
      <c r="B762" s="57"/>
      <c r="C762" s="58"/>
      <c r="D762" s="58"/>
      <c r="E762" s="59"/>
      <c r="F762" s="58"/>
      <c r="G762" s="58"/>
      <c r="H762" s="60" t="str">
        <f aca="false">IF(OR(E762="",D762=""),"",IF(K762=0,"Expense / Gasto",INDEX(Budget!$C$7:$C$41,K762)))</f>
        <v/>
      </c>
      <c r="I762" s="60" t="str">
        <f aca="false">IF(AND(B762="",E762=""),"",IF(NOT(ISNUMBER(B762)),"⚠ ADD DATE / AGREGA FECHA",IF(E762="","⚠ ADD AMOUNT / AGREGA MONTO",IF(D762="","⚠ ADD CATEGORY / AGREGA CATEGORÍA",IF(K762=0,"● NEW CATEGORY? / ¿CATEGORÍA NUEVA?","✔ OK")))))</f>
        <v/>
      </c>
      <c r="K762" s="56" t="str">
        <f aca="false">IF(D762="","",IFERROR(MATCH(D762,Budget!$B$7:$B$41,0),0))</f>
        <v/>
      </c>
      <c r="L762" s="56" t="n">
        <f aca="false">IF(AND(ISNUMBER(B762),ISNUMBER(E762),D762&lt;&gt;""),YEAR(B762)*100+MONTH(B762),0)</f>
        <v>0</v>
      </c>
      <c r="M762" s="56" t="n">
        <f aca="false">IF(L762=0,0,YEAR(B762))</f>
        <v>0</v>
      </c>
      <c r="N762" s="56" t="str">
        <f aca="false">IF(L762=0,"",IF(K762=0,"Wants / Gustos",INDEX(Budget!$D$7:$D$41,K762)))</f>
        <v/>
      </c>
    </row>
    <row r="763" customFormat="false" ht="15" hidden="false" customHeight="false" outlineLevel="0" collapsed="false">
      <c r="B763" s="57"/>
      <c r="C763" s="58"/>
      <c r="D763" s="58"/>
      <c r="E763" s="59"/>
      <c r="F763" s="58"/>
      <c r="G763" s="58"/>
      <c r="H763" s="60" t="str">
        <f aca="false">IF(OR(E763="",D763=""),"",IF(K763=0,"Expense / Gasto",INDEX(Budget!$C$7:$C$41,K763)))</f>
        <v/>
      </c>
      <c r="I763" s="60" t="str">
        <f aca="false">IF(AND(B763="",E763=""),"",IF(NOT(ISNUMBER(B763)),"⚠ ADD DATE / AGREGA FECHA",IF(E763="","⚠ ADD AMOUNT / AGREGA MONTO",IF(D763="","⚠ ADD CATEGORY / AGREGA CATEGORÍA",IF(K763=0,"● NEW CATEGORY? / ¿CATEGORÍA NUEVA?","✔ OK")))))</f>
        <v/>
      </c>
      <c r="K763" s="56" t="str">
        <f aca="false">IF(D763="","",IFERROR(MATCH(D763,Budget!$B$7:$B$41,0),0))</f>
        <v/>
      </c>
      <c r="L763" s="56" t="n">
        <f aca="false">IF(AND(ISNUMBER(B763),ISNUMBER(E763),D763&lt;&gt;""),YEAR(B763)*100+MONTH(B763),0)</f>
        <v>0</v>
      </c>
      <c r="M763" s="56" t="n">
        <f aca="false">IF(L763=0,0,YEAR(B763))</f>
        <v>0</v>
      </c>
      <c r="N763" s="56" t="str">
        <f aca="false">IF(L763=0,"",IF(K763=0,"Wants / Gustos",INDEX(Budget!$D$7:$D$41,K763)))</f>
        <v/>
      </c>
    </row>
    <row r="764" customFormat="false" ht="15" hidden="false" customHeight="false" outlineLevel="0" collapsed="false">
      <c r="B764" s="57"/>
      <c r="C764" s="58"/>
      <c r="D764" s="58"/>
      <c r="E764" s="59"/>
      <c r="F764" s="58"/>
      <c r="G764" s="58"/>
      <c r="H764" s="60" t="str">
        <f aca="false">IF(OR(E764="",D764=""),"",IF(K764=0,"Expense / Gasto",INDEX(Budget!$C$7:$C$41,K764)))</f>
        <v/>
      </c>
      <c r="I764" s="60" t="str">
        <f aca="false">IF(AND(B764="",E764=""),"",IF(NOT(ISNUMBER(B764)),"⚠ ADD DATE / AGREGA FECHA",IF(E764="","⚠ ADD AMOUNT / AGREGA MONTO",IF(D764="","⚠ ADD CATEGORY / AGREGA CATEGORÍA",IF(K764=0,"● NEW CATEGORY? / ¿CATEGORÍA NUEVA?","✔ OK")))))</f>
        <v/>
      </c>
      <c r="K764" s="56" t="str">
        <f aca="false">IF(D764="","",IFERROR(MATCH(D764,Budget!$B$7:$B$41,0),0))</f>
        <v/>
      </c>
      <c r="L764" s="56" t="n">
        <f aca="false">IF(AND(ISNUMBER(B764),ISNUMBER(E764),D764&lt;&gt;""),YEAR(B764)*100+MONTH(B764),0)</f>
        <v>0</v>
      </c>
      <c r="M764" s="56" t="n">
        <f aca="false">IF(L764=0,0,YEAR(B764))</f>
        <v>0</v>
      </c>
      <c r="N764" s="56" t="str">
        <f aca="false">IF(L764=0,"",IF(K764=0,"Wants / Gustos",INDEX(Budget!$D$7:$D$41,K764)))</f>
        <v/>
      </c>
    </row>
    <row r="765" customFormat="false" ht="15" hidden="false" customHeight="false" outlineLevel="0" collapsed="false">
      <c r="B765" s="57"/>
      <c r="C765" s="58"/>
      <c r="D765" s="58"/>
      <c r="E765" s="59"/>
      <c r="F765" s="58"/>
      <c r="G765" s="58"/>
      <c r="H765" s="60" t="str">
        <f aca="false">IF(OR(E765="",D765=""),"",IF(K765=0,"Expense / Gasto",INDEX(Budget!$C$7:$C$41,K765)))</f>
        <v/>
      </c>
      <c r="I765" s="60" t="str">
        <f aca="false">IF(AND(B765="",E765=""),"",IF(NOT(ISNUMBER(B765)),"⚠ ADD DATE / AGREGA FECHA",IF(E765="","⚠ ADD AMOUNT / AGREGA MONTO",IF(D765="","⚠ ADD CATEGORY / AGREGA CATEGORÍA",IF(K765=0,"● NEW CATEGORY? / ¿CATEGORÍA NUEVA?","✔ OK")))))</f>
        <v/>
      </c>
      <c r="K765" s="56" t="str">
        <f aca="false">IF(D765="","",IFERROR(MATCH(D765,Budget!$B$7:$B$41,0),0))</f>
        <v/>
      </c>
      <c r="L765" s="56" t="n">
        <f aca="false">IF(AND(ISNUMBER(B765),ISNUMBER(E765),D765&lt;&gt;""),YEAR(B765)*100+MONTH(B765),0)</f>
        <v>0</v>
      </c>
      <c r="M765" s="56" t="n">
        <f aca="false">IF(L765=0,0,YEAR(B765))</f>
        <v>0</v>
      </c>
      <c r="N765" s="56" t="str">
        <f aca="false">IF(L765=0,"",IF(K765=0,"Wants / Gustos",INDEX(Budget!$D$7:$D$41,K765)))</f>
        <v/>
      </c>
    </row>
    <row r="766" customFormat="false" ht="15" hidden="false" customHeight="false" outlineLevel="0" collapsed="false">
      <c r="B766" s="57"/>
      <c r="C766" s="58"/>
      <c r="D766" s="58"/>
      <c r="E766" s="59"/>
      <c r="F766" s="58"/>
      <c r="G766" s="58"/>
      <c r="H766" s="60" t="str">
        <f aca="false">IF(OR(E766="",D766=""),"",IF(K766=0,"Expense / Gasto",INDEX(Budget!$C$7:$C$41,K766)))</f>
        <v/>
      </c>
      <c r="I766" s="60" t="str">
        <f aca="false">IF(AND(B766="",E766=""),"",IF(NOT(ISNUMBER(B766)),"⚠ ADD DATE / AGREGA FECHA",IF(E766="","⚠ ADD AMOUNT / AGREGA MONTO",IF(D766="","⚠ ADD CATEGORY / AGREGA CATEGORÍA",IF(K766=0,"● NEW CATEGORY? / ¿CATEGORÍA NUEVA?","✔ OK")))))</f>
        <v/>
      </c>
      <c r="K766" s="56" t="str">
        <f aca="false">IF(D766="","",IFERROR(MATCH(D766,Budget!$B$7:$B$41,0),0))</f>
        <v/>
      </c>
      <c r="L766" s="56" t="n">
        <f aca="false">IF(AND(ISNUMBER(B766),ISNUMBER(E766),D766&lt;&gt;""),YEAR(B766)*100+MONTH(B766),0)</f>
        <v>0</v>
      </c>
      <c r="M766" s="56" t="n">
        <f aca="false">IF(L766=0,0,YEAR(B766))</f>
        <v>0</v>
      </c>
      <c r="N766" s="56" t="str">
        <f aca="false">IF(L766=0,"",IF(K766=0,"Wants / Gustos",INDEX(Budget!$D$7:$D$41,K766)))</f>
        <v/>
      </c>
    </row>
    <row r="767" customFormat="false" ht="15" hidden="false" customHeight="false" outlineLevel="0" collapsed="false">
      <c r="B767" s="57"/>
      <c r="C767" s="58"/>
      <c r="D767" s="58"/>
      <c r="E767" s="59"/>
      <c r="F767" s="58"/>
      <c r="G767" s="58"/>
      <c r="H767" s="60" t="str">
        <f aca="false">IF(OR(E767="",D767=""),"",IF(K767=0,"Expense / Gasto",INDEX(Budget!$C$7:$C$41,K767)))</f>
        <v/>
      </c>
      <c r="I767" s="60" t="str">
        <f aca="false">IF(AND(B767="",E767=""),"",IF(NOT(ISNUMBER(B767)),"⚠ ADD DATE / AGREGA FECHA",IF(E767="","⚠ ADD AMOUNT / AGREGA MONTO",IF(D767="","⚠ ADD CATEGORY / AGREGA CATEGORÍA",IF(K767=0,"● NEW CATEGORY? / ¿CATEGORÍA NUEVA?","✔ OK")))))</f>
        <v/>
      </c>
      <c r="K767" s="56" t="str">
        <f aca="false">IF(D767="","",IFERROR(MATCH(D767,Budget!$B$7:$B$41,0),0))</f>
        <v/>
      </c>
      <c r="L767" s="56" t="n">
        <f aca="false">IF(AND(ISNUMBER(B767),ISNUMBER(E767),D767&lt;&gt;""),YEAR(B767)*100+MONTH(B767),0)</f>
        <v>0</v>
      </c>
      <c r="M767" s="56" t="n">
        <f aca="false">IF(L767=0,0,YEAR(B767))</f>
        <v>0</v>
      </c>
      <c r="N767" s="56" t="str">
        <f aca="false">IF(L767=0,"",IF(K767=0,"Wants / Gustos",INDEX(Budget!$D$7:$D$41,K767)))</f>
        <v/>
      </c>
    </row>
    <row r="768" customFormat="false" ht="15" hidden="false" customHeight="false" outlineLevel="0" collapsed="false">
      <c r="B768" s="57"/>
      <c r="C768" s="58"/>
      <c r="D768" s="58"/>
      <c r="E768" s="59"/>
      <c r="F768" s="58"/>
      <c r="G768" s="58"/>
      <c r="H768" s="60" t="str">
        <f aca="false">IF(OR(E768="",D768=""),"",IF(K768=0,"Expense / Gasto",INDEX(Budget!$C$7:$C$41,K768)))</f>
        <v/>
      </c>
      <c r="I768" s="60" t="str">
        <f aca="false">IF(AND(B768="",E768=""),"",IF(NOT(ISNUMBER(B768)),"⚠ ADD DATE / AGREGA FECHA",IF(E768="","⚠ ADD AMOUNT / AGREGA MONTO",IF(D768="","⚠ ADD CATEGORY / AGREGA CATEGORÍA",IF(K768=0,"● NEW CATEGORY? / ¿CATEGORÍA NUEVA?","✔ OK")))))</f>
        <v/>
      </c>
      <c r="K768" s="56" t="str">
        <f aca="false">IF(D768="","",IFERROR(MATCH(D768,Budget!$B$7:$B$41,0),0))</f>
        <v/>
      </c>
      <c r="L768" s="56" t="n">
        <f aca="false">IF(AND(ISNUMBER(B768),ISNUMBER(E768),D768&lt;&gt;""),YEAR(B768)*100+MONTH(B768),0)</f>
        <v>0</v>
      </c>
      <c r="M768" s="56" t="n">
        <f aca="false">IF(L768=0,0,YEAR(B768))</f>
        <v>0</v>
      </c>
      <c r="N768" s="56" t="str">
        <f aca="false">IF(L768=0,"",IF(K768=0,"Wants / Gustos",INDEX(Budget!$D$7:$D$41,K768)))</f>
        <v/>
      </c>
    </row>
    <row r="769" customFormat="false" ht="15" hidden="false" customHeight="false" outlineLevel="0" collapsed="false">
      <c r="B769" s="57"/>
      <c r="C769" s="58"/>
      <c r="D769" s="58"/>
      <c r="E769" s="59"/>
      <c r="F769" s="58"/>
      <c r="G769" s="58"/>
      <c r="H769" s="60" t="str">
        <f aca="false">IF(OR(E769="",D769=""),"",IF(K769=0,"Expense / Gasto",INDEX(Budget!$C$7:$C$41,K769)))</f>
        <v/>
      </c>
      <c r="I769" s="60" t="str">
        <f aca="false">IF(AND(B769="",E769=""),"",IF(NOT(ISNUMBER(B769)),"⚠ ADD DATE / AGREGA FECHA",IF(E769="","⚠ ADD AMOUNT / AGREGA MONTO",IF(D769="","⚠ ADD CATEGORY / AGREGA CATEGORÍA",IF(K769=0,"● NEW CATEGORY? / ¿CATEGORÍA NUEVA?","✔ OK")))))</f>
        <v/>
      </c>
      <c r="K769" s="56" t="str">
        <f aca="false">IF(D769="","",IFERROR(MATCH(D769,Budget!$B$7:$B$41,0),0))</f>
        <v/>
      </c>
      <c r="L769" s="56" t="n">
        <f aca="false">IF(AND(ISNUMBER(B769),ISNUMBER(E769),D769&lt;&gt;""),YEAR(B769)*100+MONTH(B769),0)</f>
        <v>0</v>
      </c>
      <c r="M769" s="56" t="n">
        <f aca="false">IF(L769=0,0,YEAR(B769))</f>
        <v>0</v>
      </c>
      <c r="N769" s="56" t="str">
        <f aca="false">IF(L769=0,"",IF(K769=0,"Wants / Gustos",INDEX(Budget!$D$7:$D$41,K769)))</f>
        <v/>
      </c>
    </row>
    <row r="770" customFormat="false" ht="15" hidden="false" customHeight="false" outlineLevel="0" collapsed="false">
      <c r="B770" s="57"/>
      <c r="C770" s="58"/>
      <c r="D770" s="58"/>
      <c r="E770" s="59"/>
      <c r="F770" s="58"/>
      <c r="G770" s="58"/>
      <c r="H770" s="60" t="str">
        <f aca="false">IF(OR(E770="",D770=""),"",IF(K770=0,"Expense / Gasto",INDEX(Budget!$C$7:$C$41,K770)))</f>
        <v/>
      </c>
      <c r="I770" s="60" t="str">
        <f aca="false">IF(AND(B770="",E770=""),"",IF(NOT(ISNUMBER(B770)),"⚠ ADD DATE / AGREGA FECHA",IF(E770="","⚠ ADD AMOUNT / AGREGA MONTO",IF(D770="","⚠ ADD CATEGORY / AGREGA CATEGORÍA",IF(K770=0,"● NEW CATEGORY? / ¿CATEGORÍA NUEVA?","✔ OK")))))</f>
        <v/>
      </c>
      <c r="K770" s="56" t="str">
        <f aca="false">IF(D770="","",IFERROR(MATCH(D770,Budget!$B$7:$B$41,0),0))</f>
        <v/>
      </c>
      <c r="L770" s="56" t="n">
        <f aca="false">IF(AND(ISNUMBER(B770),ISNUMBER(E770),D770&lt;&gt;""),YEAR(B770)*100+MONTH(B770),0)</f>
        <v>0</v>
      </c>
      <c r="M770" s="56" t="n">
        <f aca="false">IF(L770=0,0,YEAR(B770))</f>
        <v>0</v>
      </c>
      <c r="N770" s="56" t="str">
        <f aca="false">IF(L770=0,"",IF(K770=0,"Wants / Gustos",INDEX(Budget!$D$7:$D$41,K770)))</f>
        <v/>
      </c>
    </row>
    <row r="771" customFormat="false" ht="15" hidden="false" customHeight="false" outlineLevel="0" collapsed="false">
      <c r="B771" s="57"/>
      <c r="C771" s="58"/>
      <c r="D771" s="58"/>
      <c r="E771" s="59"/>
      <c r="F771" s="58"/>
      <c r="G771" s="58"/>
      <c r="H771" s="60" t="str">
        <f aca="false">IF(OR(E771="",D771=""),"",IF(K771=0,"Expense / Gasto",INDEX(Budget!$C$7:$C$41,K771)))</f>
        <v/>
      </c>
      <c r="I771" s="60" t="str">
        <f aca="false">IF(AND(B771="",E771=""),"",IF(NOT(ISNUMBER(B771)),"⚠ ADD DATE / AGREGA FECHA",IF(E771="","⚠ ADD AMOUNT / AGREGA MONTO",IF(D771="","⚠ ADD CATEGORY / AGREGA CATEGORÍA",IF(K771=0,"● NEW CATEGORY? / ¿CATEGORÍA NUEVA?","✔ OK")))))</f>
        <v/>
      </c>
      <c r="K771" s="56" t="str">
        <f aca="false">IF(D771="","",IFERROR(MATCH(D771,Budget!$B$7:$B$41,0),0))</f>
        <v/>
      </c>
      <c r="L771" s="56" t="n">
        <f aca="false">IF(AND(ISNUMBER(B771),ISNUMBER(E771),D771&lt;&gt;""),YEAR(B771)*100+MONTH(B771),0)</f>
        <v>0</v>
      </c>
      <c r="M771" s="56" t="n">
        <f aca="false">IF(L771=0,0,YEAR(B771))</f>
        <v>0</v>
      </c>
      <c r="N771" s="56" t="str">
        <f aca="false">IF(L771=0,"",IF(K771=0,"Wants / Gustos",INDEX(Budget!$D$7:$D$41,K771)))</f>
        <v/>
      </c>
    </row>
    <row r="772" customFormat="false" ht="15" hidden="false" customHeight="false" outlineLevel="0" collapsed="false">
      <c r="B772" s="57"/>
      <c r="C772" s="58"/>
      <c r="D772" s="58"/>
      <c r="E772" s="59"/>
      <c r="F772" s="58"/>
      <c r="G772" s="58"/>
      <c r="H772" s="60" t="str">
        <f aca="false">IF(OR(E772="",D772=""),"",IF(K772=0,"Expense / Gasto",INDEX(Budget!$C$7:$C$41,K772)))</f>
        <v/>
      </c>
      <c r="I772" s="60" t="str">
        <f aca="false">IF(AND(B772="",E772=""),"",IF(NOT(ISNUMBER(B772)),"⚠ ADD DATE / AGREGA FECHA",IF(E772="","⚠ ADD AMOUNT / AGREGA MONTO",IF(D772="","⚠ ADD CATEGORY / AGREGA CATEGORÍA",IF(K772=0,"● NEW CATEGORY? / ¿CATEGORÍA NUEVA?","✔ OK")))))</f>
        <v/>
      </c>
      <c r="K772" s="56" t="str">
        <f aca="false">IF(D772="","",IFERROR(MATCH(D772,Budget!$B$7:$B$41,0),0))</f>
        <v/>
      </c>
      <c r="L772" s="56" t="n">
        <f aca="false">IF(AND(ISNUMBER(B772),ISNUMBER(E772),D772&lt;&gt;""),YEAR(B772)*100+MONTH(B772),0)</f>
        <v>0</v>
      </c>
      <c r="M772" s="56" t="n">
        <f aca="false">IF(L772=0,0,YEAR(B772))</f>
        <v>0</v>
      </c>
      <c r="N772" s="56" t="str">
        <f aca="false">IF(L772=0,"",IF(K772=0,"Wants / Gustos",INDEX(Budget!$D$7:$D$41,K772)))</f>
        <v/>
      </c>
    </row>
    <row r="773" customFormat="false" ht="15" hidden="false" customHeight="false" outlineLevel="0" collapsed="false">
      <c r="B773" s="57"/>
      <c r="C773" s="58"/>
      <c r="D773" s="58"/>
      <c r="E773" s="59"/>
      <c r="F773" s="58"/>
      <c r="G773" s="58"/>
      <c r="H773" s="60" t="str">
        <f aca="false">IF(OR(E773="",D773=""),"",IF(K773=0,"Expense / Gasto",INDEX(Budget!$C$7:$C$41,K773)))</f>
        <v/>
      </c>
      <c r="I773" s="60" t="str">
        <f aca="false">IF(AND(B773="",E773=""),"",IF(NOT(ISNUMBER(B773)),"⚠ ADD DATE / AGREGA FECHA",IF(E773="","⚠ ADD AMOUNT / AGREGA MONTO",IF(D773="","⚠ ADD CATEGORY / AGREGA CATEGORÍA",IF(K773=0,"● NEW CATEGORY? / ¿CATEGORÍA NUEVA?","✔ OK")))))</f>
        <v/>
      </c>
      <c r="K773" s="56" t="str">
        <f aca="false">IF(D773="","",IFERROR(MATCH(D773,Budget!$B$7:$B$41,0),0))</f>
        <v/>
      </c>
      <c r="L773" s="56" t="n">
        <f aca="false">IF(AND(ISNUMBER(B773),ISNUMBER(E773),D773&lt;&gt;""),YEAR(B773)*100+MONTH(B773),0)</f>
        <v>0</v>
      </c>
      <c r="M773" s="56" t="n">
        <f aca="false">IF(L773=0,0,YEAR(B773))</f>
        <v>0</v>
      </c>
      <c r="N773" s="56" t="str">
        <f aca="false">IF(L773=0,"",IF(K773=0,"Wants / Gustos",INDEX(Budget!$D$7:$D$41,K773)))</f>
        <v/>
      </c>
    </row>
    <row r="774" customFormat="false" ht="15" hidden="false" customHeight="false" outlineLevel="0" collapsed="false">
      <c r="B774" s="57"/>
      <c r="C774" s="58"/>
      <c r="D774" s="58"/>
      <c r="E774" s="59"/>
      <c r="F774" s="58"/>
      <c r="G774" s="58"/>
      <c r="H774" s="60" t="str">
        <f aca="false">IF(OR(E774="",D774=""),"",IF(K774=0,"Expense / Gasto",INDEX(Budget!$C$7:$C$41,K774)))</f>
        <v/>
      </c>
      <c r="I774" s="60" t="str">
        <f aca="false">IF(AND(B774="",E774=""),"",IF(NOT(ISNUMBER(B774)),"⚠ ADD DATE / AGREGA FECHA",IF(E774="","⚠ ADD AMOUNT / AGREGA MONTO",IF(D774="","⚠ ADD CATEGORY / AGREGA CATEGORÍA",IF(K774=0,"● NEW CATEGORY? / ¿CATEGORÍA NUEVA?","✔ OK")))))</f>
        <v/>
      </c>
      <c r="K774" s="56" t="str">
        <f aca="false">IF(D774="","",IFERROR(MATCH(D774,Budget!$B$7:$B$41,0),0))</f>
        <v/>
      </c>
      <c r="L774" s="56" t="n">
        <f aca="false">IF(AND(ISNUMBER(B774),ISNUMBER(E774),D774&lt;&gt;""),YEAR(B774)*100+MONTH(B774),0)</f>
        <v>0</v>
      </c>
      <c r="M774" s="56" t="n">
        <f aca="false">IF(L774=0,0,YEAR(B774))</f>
        <v>0</v>
      </c>
      <c r="N774" s="56" t="str">
        <f aca="false">IF(L774=0,"",IF(K774=0,"Wants / Gustos",INDEX(Budget!$D$7:$D$41,K774)))</f>
        <v/>
      </c>
    </row>
    <row r="775" customFormat="false" ht="15" hidden="false" customHeight="false" outlineLevel="0" collapsed="false">
      <c r="B775" s="57"/>
      <c r="C775" s="58"/>
      <c r="D775" s="58"/>
      <c r="E775" s="59"/>
      <c r="F775" s="58"/>
      <c r="G775" s="58"/>
      <c r="H775" s="60" t="str">
        <f aca="false">IF(OR(E775="",D775=""),"",IF(K775=0,"Expense / Gasto",INDEX(Budget!$C$7:$C$41,K775)))</f>
        <v/>
      </c>
      <c r="I775" s="60" t="str">
        <f aca="false">IF(AND(B775="",E775=""),"",IF(NOT(ISNUMBER(B775)),"⚠ ADD DATE / AGREGA FECHA",IF(E775="","⚠ ADD AMOUNT / AGREGA MONTO",IF(D775="","⚠ ADD CATEGORY / AGREGA CATEGORÍA",IF(K775=0,"● NEW CATEGORY? / ¿CATEGORÍA NUEVA?","✔ OK")))))</f>
        <v/>
      </c>
      <c r="K775" s="56" t="str">
        <f aca="false">IF(D775="","",IFERROR(MATCH(D775,Budget!$B$7:$B$41,0),0))</f>
        <v/>
      </c>
      <c r="L775" s="56" t="n">
        <f aca="false">IF(AND(ISNUMBER(B775),ISNUMBER(E775),D775&lt;&gt;""),YEAR(B775)*100+MONTH(B775),0)</f>
        <v>0</v>
      </c>
      <c r="M775" s="56" t="n">
        <f aca="false">IF(L775=0,0,YEAR(B775))</f>
        <v>0</v>
      </c>
      <c r="N775" s="56" t="str">
        <f aca="false">IF(L775=0,"",IF(K775=0,"Wants / Gustos",INDEX(Budget!$D$7:$D$41,K775)))</f>
        <v/>
      </c>
    </row>
    <row r="776" customFormat="false" ht="15" hidden="false" customHeight="false" outlineLevel="0" collapsed="false">
      <c r="B776" s="57"/>
      <c r="C776" s="58"/>
      <c r="D776" s="58"/>
      <c r="E776" s="59"/>
      <c r="F776" s="58"/>
      <c r="G776" s="58"/>
      <c r="H776" s="60" t="str">
        <f aca="false">IF(OR(E776="",D776=""),"",IF(K776=0,"Expense / Gasto",INDEX(Budget!$C$7:$C$41,K776)))</f>
        <v/>
      </c>
      <c r="I776" s="60" t="str">
        <f aca="false">IF(AND(B776="",E776=""),"",IF(NOT(ISNUMBER(B776)),"⚠ ADD DATE / AGREGA FECHA",IF(E776="","⚠ ADD AMOUNT / AGREGA MONTO",IF(D776="","⚠ ADD CATEGORY / AGREGA CATEGORÍA",IF(K776=0,"● NEW CATEGORY? / ¿CATEGORÍA NUEVA?","✔ OK")))))</f>
        <v/>
      </c>
      <c r="K776" s="56" t="str">
        <f aca="false">IF(D776="","",IFERROR(MATCH(D776,Budget!$B$7:$B$41,0),0))</f>
        <v/>
      </c>
      <c r="L776" s="56" t="n">
        <f aca="false">IF(AND(ISNUMBER(B776),ISNUMBER(E776),D776&lt;&gt;""),YEAR(B776)*100+MONTH(B776),0)</f>
        <v>0</v>
      </c>
      <c r="M776" s="56" t="n">
        <f aca="false">IF(L776=0,0,YEAR(B776))</f>
        <v>0</v>
      </c>
      <c r="N776" s="56" t="str">
        <f aca="false">IF(L776=0,"",IF(K776=0,"Wants / Gustos",INDEX(Budget!$D$7:$D$41,K776)))</f>
        <v/>
      </c>
    </row>
    <row r="777" customFormat="false" ht="15" hidden="false" customHeight="false" outlineLevel="0" collapsed="false">
      <c r="B777" s="57"/>
      <c r="C777" s="58"/>
      <c r="D777" s="58"/>
      <c r="E777" s="59"/>
      <c r="F777" s="58"/>
      <c r="G777" s="58"/>
      <c r="H777" s="60" t="str">
        <f aca="false">IF(OR(E777="",D777=""),"",IF(K777=0,"Expense / Gasto",INDEX(Budget!$C$7:$C$41,K777)))</f>
        <v/>
      </c>
      <c r="I777" s="60" t="str">
        <f aca="false">IF(AND(B777="",E777=""),"",IF(NOT(ISNUMBER(B777)),"⚠ ADD DATE / AGREGA FECHA",IF(E777="","⚠ ADD AMOUNT / AGREGA MONTO",IF(D777="","⚠ ADD CATEGORY / AGREGA CATEGORÍA",IF(K777=0,"● NEW CATEGORY? / ¿CATEGORÍA NUEVA?","✔ OK")))))</f>
        <v/>
      </c>
      <c r="K777" s="56" t="str">
        <f aca="false">IF(D777="","",IFERROR(MATCH(D777,Budget!$B$7:$B$41,0),0))</f>
        <v/>
      </c>
      <c r="L777" s="56" t="n">
        <f aca="false">IF(AND(ISNUMBER(B777),ISNUMBER(E777),D777&lt;&gt;""),YEAR(B777)*100+MONTH(B777),0)</f>
        <v>0</v>
      </c>
      <c r="M777" s="56" t="n">
        <f aca="false">IF(L777=0,0,YEAR(B777))</f>
        <v>0</v>
      </c>
      <c r="N777" s="56" t="str">
        <f aca="false">IF(L777=0,"",IF(K777=0,"Wants / Gustos",INDEX(Budget!$D$7:$D$41,K777)))</f>
        <v/>
      </c>
    </row>
    <row r="778" customFormat="false" ht="15" hidden="false" customHeight="false" outlineLevel="0" collapsed="false">
      <c r="B778" s="57"/>
      <c r="C778" s="58"/>
      <c r="D778" s="58"/>
      <c r="E778" s="59"/>
      <c r="F778" s="58"/>
      <c r="G778" s="58"/>
      <c r="H778" s="60" t="str">
        <f aca="false">IF(OR(E778="",D778=""),"",IF(K778=0,"Expense / Gasto",INDEX(Budget!$C$7:$C$41,K778)))</f>
        <v/>
      </c>
      <c r="I778" s="60" t="str">
        <f aca="false">IF(AND(B778="",E778=""),"",IF(NOT(ISNUMBER(B778)),"⚠ ADD DATE / AGREGA FECHA",IF(E778="","⚠ ADD AMOUNT / AGREGA MONTO",IF(D778="","⚠ ADD CATEGORY / AGREGA CATEGORÍA",IF(K778=0,"● NEW CATEGORY? / ¿CATEGORÍA NUEVA?","✔ OK")))))</f>
        <v/>
      </c>
      <c r="K778" s="56" t="str">
        <f aca="false">IF(D778="","",IFERROR(MATCH(D778,Budget!$B$7:$B$41,0),0))</f>
        <v/>
      </c>
      <c r="L778" s="56" t="n">
        <f aca="false">IF(AND(ISNUMBER(B778),ISNUMBER(E778),D778&lt;&gt;""),YEAR(B778)*100+MONTH(B778),0)</f>
        <v>0</v>
      </c>
      <c r="M778" s="56" t="n">
        <f aca="false">IF(L778=0,0,YEAR(B778))</f>
        <v>0</v>
      </c>
      <c r="N778" s="56" t="str">
        <f aca="false">IF(L778=0,"",IF(K778=0,"Wants / Gustos",INDEX(Budget!$D$7:$D$41,K778)))</f>
        <v/>
      </c>
    </row>
    <row r="779" customFormat="false" ht="15" hidden="false" customHeight="false" outlineLevel="0" collapsed="false">
      <c r="B779" s="57"/>
      <c r="C779" s="58"/>
      <c r="D779" s="58"/>
      <c r="E779" s="59"/>
      <c r="F779" s="58"/>
      <c r="G779" s="58"/>
      <c r="H779" s="60" t="str">
        <f aca="false">IF(OR(E779="",D779=""),"",IF(K779=0,"Expense / Gasto",INDEX(Budget!$C$7:$C$41,K779)))</f>
        <v/>
      </c>
      <c r="I779" s="60" t="str">
        <f aca="false">IF(AND(B779="",E779=""),"",IF(NOT(ISNUMBER(B779)),"⚠ ADD DATE / AGREGA FECHA",IF(E779="","⚠ ADD AMOUNT / AGREGA MONTO",IF(D779="","⚠ ADD CATEGORY / AGREGA CATEGORÍA",IF(K779=0,"● NEW CATEGORY? / ¿CATEGORÍA NUEVA?","✔ OK")))))</f>
        <v/>
      </c>
      <c r="K779" s="56" t="str">
        <f aca="false">IF(D779="","",IFERROR(MATCH(D779,Budget!$B$7:$B$41,0),0))</f>
        <v/>
      </c>
      <c r="L779" s="56" t="n">
        <f aca="false">IF(AND(ISNUMBER(B779),ISNUMBER(E779),D779&lt;&gt;""),YEAR(B779)*100+MONTH(B779),0)</f>
        <v>0</v>
      </c>
      <c r="M779" s="56" t="n">
        <f aca="false">IF(L779=0,0,YEAR(B779))</f>
        <v>0</v>
      </c>
      <c r="N779" s="56" t="str">
        <f aca="false">IF(L779=0,"",IF(K779=0,"Wants / Gustos",INDEX(Budget!$D$7:$D$41,K779)))</f>
        <v/>
      </c>
    </row>
    <row r="780" customFormat="false" ht="15" hidden="false" customHeight="false" outlineLevel="0" collapsed="false">
      <c r="B780" s="57"/>
      <c r="C780" s="58"/>
      <c r="D780" s="58"/>
      <c r="E780" s="59"/>
      <c r="F780" s="58"/>
      <c r="G780" s="58"/>
      <c r="H780" s="60" t="str">
        <f aca="false">IF(OR(E780="",D780=""),"",IF(K780=0,"Expense / Gasto",INDEX(Budget!$C$7:$C$41,K780)))</f>
        <v/>
      </c>
      <c r="I780" s="60" t="str">
        <f aca="false">IF(AND(B780="",E780=""),"",IF(NOT(ISNUMBER(B780)),"⚠ ADD DATE / AGREGA FECHA",IF(E780="","⚠ ADD AMOUNT / AGREGA MONTO",IF(D780="","⚠ ADD CATEGORY / AGREGA CATEGORÍA",IF(K780=0,"● NEW CATEGORY? / ¿CATEGORÍA NUEVA?","✔ OK")))))</f>
        <v/>
      </c>
      <c r="K780" s="56" t="str">
        <f aca="false">IF(D780="","",IFERROR(MATCH(D780,Budget!$B$7:$B$41,0),0))</f>
        <v/>
      </c>
      <c r="L780" s="56" t="n">
        <f aca="false">IF(AND(ISNUMBER(B780),ISNUMBER(E780),D780&lt;&gt;""),YEAR(B780)*100+MONTH(B780),0)</f>
        <v>0</v>
      </c>
      <c r="M780" s="56" t="n">
        <f aca="false">IF(L780=0,0,YEAR(B780))</f>
        <v>0</v>
      </c>
      <c r="N780" s="56" t="str">
        <f aca="false">IF(L780=0,"",IF(K780=0,"Wants / Gustos",INDEX(Budget!$D$7:$D$41,K780)))</f>
        <v/>
      </c>
    </row>
    <row r="781" customFormat="false" ht="15" hidden="false" customHeight="false" outlineLevel="0" collapsed="false">
      <c r="B781" s="57"/>
      <c r="C781" s="58"/>
      <c r="D781" s="58"/>
      <c r="E781" s="59"/>
      <c r="F781" s="58"/>
      <c r="G781" s="58"/>
      <c r="H781" s="60" t="str">
        <f aca="false">IF(OR(E781="",D781=""),"",IF(K781=0,"Expense / Gasto",INDEX(Budget!$C$7:$C$41,K781)))</f>
        <v/>
      </c>
      <c r="I781" s="60" t="str">
        <f aca="false">IF(AND(B781="",E781=""),"",IF(NOT(ISNUMBER(B781)),"⚠ ADD DATE / AGREGA FECHA",IF(E781="","⚠ ADD AMOUNT / AGREGA MONTO",IF(D781="","⚠ ADD CATEGORY / AGREGA CATEGORÍA",IF(K781=0,"● NEW CATEGORY? / ¿CATEGORÍA NUEVA?","✔ OK")))))</f>
        <v/>
      </c>
      <c r="K781" s="56" t="str">
        <f aca="false">IF(D781="","",IFERROR(MATCH(D781,Budget!$B$7:$B$41,0),0))</f>
        <v/>
      </c>
      <c r="L781" s="56" t="n">
        <f aca="false">IF(AND(ISNUMBER(B781),ISNUMBER(E781),D781&lt;&gt;""),YEAR(B781)*100+MONTH(B781),0)</f>
        <v>0</v>
      </c>
      <c r="M781" s="56" t="n">
        <f aca="false">IF(L781=0,0,YEAR(B781))</f>
        <v>0</v>
      </c>
      <c r="N781" s="56" t="str">
        <f aca="false">IF(L781=0,"",IF(K781=0,"Wants / Gustos",INDEX(Budget!$D$7:$D$41,K781)))</f>
        <v/>
      </c>
    </row>
    <row r="782" customFormat="false" ht="15" hidden="false" customHeight="false" outlineLevel="0" collapsed="false">
      <c r="B782" s="57"/>
      <c r="C782" s="58"/>
      <c r="D782" s="58"/>
      <c r="E782" s="59"/>
      <c r="F782" s="58"/>
      <c r="G782" s="58"/>
      <c r="H782" s="60" t="str">
        <f aca="false">IF(OR(E782="",D782=""),"",IF(K782=0,"Expense / Gasto",INDEX(Budget!$C$7:$C$41,K782)))</f>
        <v/>
      </c>
      <c r="I782" s="60" t="str">
        <f aca="false">IF(AND(B782="",E782=""),"",IF(NOT(ISNUMBER(B782)),"⚠ ADD DATE / AGREGA FECHA",IF(E782="","⚠ ADD AMOUNT / AGREGA MONTO",IF(D782="","⚠ ADD CATEGORY / AGREGA CATEGORÍA",IF(K782=0,"● NEW CATEGORY? / ¿CATEGORÍA NUEVA?","✔ OK")))))</f>
        <v/>
      </c>
      <c r="K782" s="56" t="str">
        <f aca="false">IF(D782="","",IFERROR(MATCH(D782,Budget!$B$7:$B$41,0),0))</f>
        <v/>
      </c>
      <c r="L782" s="56" t="n">
        <f aca="false">IF(AND(ISNUMBER(B782),ISNUMBER(E782),D782&lt;&gt;""),YEAR(B782)*100+MONTH(B782),0)</f>
        <v>0</v>
      </c>
      <c r="M782" s="56" t="n">
        <f aca="false">IF(L782=0,0,YEAR(B782))</f>
        <v>0</v>
      </c>
      <c r="N782" s="56" t="str">
        <f aca="false">IF(L782=0,"",IF(K782=0,"Wants / Gustos",INDEX(Budget!$D$7:$D$41,K782)))</f>
        <v/>
      </c>
    </row>
    <row r="783" customFormat="false" ht="15" hidden="false" customHeight="false" outlineLevel="0" collapsed="false">
      <c r="B783" s="57"/>
      <c r="C783" s="58"/>
      <c r="D783" s="58"/>
      <c r="E783" s="59"/>
      <c r="F783" s="58"/>
      <c r="G783" s="58"/>
      <c r="H783" s="60" t="str">
        <f aca="false">IF(OR(E783="",D783=""),"",IF(K783=0,"Expense / Gasto",INDEX(Budget!$C$7:$C$41,K783)))</f>
        <v/>
      </c>
      <c r="I783" s="60" t="str">
        <f aca="false">IF(AND(B783="",E783=""),"",IF(NOT(ISNUMBER(B783)),"⚠ ADD DATE / AGREGA FECHA",IF(E783="","⚠ ADD AMOUNT / AGREGA MONTO",IF(D783="","⚠ ADD CATEGORY / AGREGA CATEGORÍA",IF(K783=0,"● NEW CATEGORY? / ¿CATEGORÍA NUEVA?","✔ OK")))))</f>
        <v/>
      </c>
      <c r="K783" s="56" t="str">
        <f aca="false">IF(D783="","",IFERROR(MATCH(D783,Budget!$B$7:$B$41,0),0))</f>
        <v/>
      </c>
      <c r="L783" s="56" t="n">
        <f aca="false">IF(AND(ISNUMBER(B783),ISNUMBER(E783),D783&lt;&gt;""),YEAR(B783)*100+MONTH(B783),0)</f>
        <v>0</v>
      </c>
      <c r="M783" s="56" t="n">
        <f aca="false">IF(L783=0,0,YEAR(B783))</f>
        <v>0</v>
      </c>
      <c r="N783" s="56" t="str">
        <f aca="false">IF(L783=0,"",IF(K783=0,"Wants / Gustos",INDEX(Budget!$D$7:$D$41,K783)))</f>
        <v/>
      </c>
    </row>
    <row r="784" customFormat="false" ht="15" hidden="false" customHeight="false" outlineLevel="0" collapsed="false">
      <c r="B784" s="57"/>
      <c r="C784" s="58"/>
      <c r="D784" s="58"/>
      <c r="E784" s="59"/>
      <c r="F784" s="58"/>
      <c r="G784" s="58"/>
      <c r="H784" s="60" t="str">
        <f aca="false">IF(OR(E784="",D784=""),"",IF(K784=0,"Expense / Gasto",INDEX(Budget!$C$7:$C$41,K784)))</f>
        <v/>
      </c>
      <c r="I784" s="60" t="str">
        <f aca="false">IF(AND(B784="",E784=""),"",IF(NOT(ISNUMBER(B784)),"⚠ ADD DATE / AGREGA FECHA",IF(E784="","⚠ ADD AMOUNT / AGREGA MONTO",IF(D784="","⚠ ADD CATEGORY / AGREGA CATEGORÍA",IF(K784=0,"● NEW CATEGORY? / ¿CATEGORÍA NUEVA?","✔ OK")))))</f>
        <v/>
      </c>
      <c r="K784" s="56" t="str">
        <f aca="false">IF(D784="","",IFERROR(MATCH(D784,Budget!$B$7:$B$41,0),0))</f>
        <v/>
      </c>
      <c r="L784" s="56" t="n">
        <f aca="false">IF(AND(ISNUMBER(B784),ISNUMBER(E784),D784&lt;&gt;""),YEAR(B784)*100+MONTH(B784),0)</f>
        <v>0</v>
      </c>
      <c r="M784" s="56" t="n">
        <f aca="false">IF(L784=0,0,YEAR(B784))</f>
        <v>0</v>
      </c>
      <c r="N784" s="56" t="str">
        <f aca="false">IF(L784=0,"",IF(K784=0,"Wants / Gustos",INDEX(Budget!$D$7:$D$41,K784)))</f>
        <v/>
      </c>
    </row>
    <row r="785" customFormat="false" ht="15" hidden="false" customHeight="false" outlineLevel="0" collapsed="false">
      <c r="B785" s="57"/>
      <c r="C785" s="58"/>
      <c r="D785" s="58"/>
      <c r="E785" s="59"/>
      <c r="F785" s="58"/>
      <c r="G785" s="58"/>
      <c r="H785" s="60" t="str">
        <f aca="false">IF(OR(E785="",D785=""),"",IF(K785=0,"Expense / Gasto",INDEX(Budget!$C$7:$C$41,K785)))</f>
        <v/>
      </c>
      <c r="I785" s="60" t="str">
        <f aca="false">IF(AND(B785="",E785=""),"",IF(NOT(ISNUMBER(B785)),"⚠ ADD DATE / AGREGA FECHA",IF(E785="","⚠ ADD AMOUNT / AGREGA MONTO",IF(D785="","⚠ ADD CATEGORY / AGREGA CATEGORÍA",IF(K785=0,"● NEW CATEGORY? / ¿CATEGORÍA NUEVA?","✔ OK")))))</f>
        <v/>
      </c>
      <c r="K785" s="56" t="str">
        <f aca="false">IF(D785="","",IFERROR(MATCH(D785,Budget!$B$7:$B$41,0),0))</f>
        <v/>
      </c>
      <c r="L785" s="56" t="n">
        <f aca="false">IF(AND(ISNUMBER(B785),ISNUMBER(E785),D785&lt;&gt;""),YEAR(B785)*100+MONTH(B785),0)</f>
        <v>0</v>
      </c>
      <c r="M785" s="56" t="n">
        <f aca="false">IF(L785=0,0,YEAR(B785))</f>
        <v>0</v>
      </c>
      <c r="N785" s="56" t="str">
        <f aca="false">IF(L785=0,"",IF(K785=0,"Wants / Gustos",INDEX(Budget!$D$7:$D$41,K785)))</f>
        <v/>
      </c>
    </row>
    <row r="786" customFormat="false" ht="15" hidden="false" customHeight="false" outlineLevel="0" collapsed="false">
      <c r="B786" s="57"/>
      <c r="C786" s="58"/>
      <c r="D786" s="58"/>
      <c r="E786" s="59"/>
      <c r="F786" s="58"/>
      <c r="G786" s="58"/>
      <c r="H786" s="60" t="str">
        <f aca="false">IF(OR(E786="",D786=""),"",IF(K786=0,"Expense / Gasto",INDEX(Budget!$C$7:$C$41,K786)))</f>
        <v/>
      </c>
      <c r="I786" s="60" t="str">
        <f aca="false">IF(AND(B786="",E786=""),"",IF(NOT(ISNUMBER(B786)),"⚠ ADD DATE / AGREGA FECHA",IF(E786="","⚠ ADD AMOUNT / AGREGA MONTO",IF(D786="","⚠ ADD CATEGORY / AGREGA CATEGORÍA",IF(K786=0,"● NEW CATEGORY? / ¿CATEGORÍA NUEVA?","✔ OK")))))</f>
        <v/>
      </c>
      <c r="K786" s="56" t="str">
        <f aca="false">IF(D786="","",IFERROR(MATCH(D786,Budget!$B$7:$B$41,0),0))</f>
        <v/>
      </c>
      <c r="L786" s="56" t="n">
        <f aca="false">IF(AND(ISNUMBER(B786),ISNUMBER(E786),D786&lt;&gt;""),YEAR(B786)*100+MONTH(B786),0)</f>
        <v>0</v>
      </c>
      <c r="M786" s="56" t="n">
        <f aca="false">IF(L786=0,0,YEAR(B786))</f>
        <v>0</v>
      </c>
      <c r="N786" s="56" t="str">
        <f aca="false">IF(L786=0,"",IF(K786=0,"Wants / Gustos",INDEX(Budget!$D$7:$D$41,K786)))</f>
        <v/>
      </c>
    </row>
    <row r="787" customFormat="false" ht="15" hidden="false" customHeight="false" outlineLevel="0" collapsed="false">
      <c r="B787" s="57"/>
      <c r="C787" s="58"/>
      <c r="D787" s="58"/>
      <c r="E787" s="59"/>
      <c r="F787" s="58"/>
      <c r="G787" s="58"/>
      <c r="H787" s="60" t="str">
        <f aca="false">IF(OR(E787="",D787=""),"",IF(K787=0,"Expense / Gasto",INDEX(Budget!$C$7:$C$41,K787)))</f>
        <v/>
      </c>
      <c r="I787" s="60" t="str">
        <f aca="false">IF(AND(B787="",E787=""),"",IF(NOT(ISNUMBER(B787)),"⚠ ADD DATE / AGREGA FECHA",IF(E787="","⚠ ADD AMOUNT / AGREGA MONTO",IF(D787="","⚠ ADD CATEGORY / AGREGA CATEGORÍA",IF(K787=0,"● NEW CATEGORY? / ¿CATEGORÍA NUEVA?","✔ OK")))))</f>
        <v/>
      </c>
      <c r="K787" s="56" t="str">
        <f aca="false">IF(D787="","",IFERROR(MATCH(D787,Budget!$B$7:$B$41,0),0))</f>
        <v/>
      </c>
      <c r="L787" s="56" t="n">
        <f aca="false">IF(AND(ISNUMBER(B787),ISNUMBER(E787),D787&lt;&gt;""),YEAR(B787)*100+MONTH(B787),0)</f>
        <v>0</v>
      </c>
      <c r="M787" s="56" t="n">
        <f aca="false">IF(L787=0,0,YEAR(B787))</f>
        <v>0</v>
      </c>
      <c r="N787" s="56" t="str">
        <f aca="false">IF(L787=0,"",IF(K787=0,"Wants / Gustos",INDEX(Budget!$D$7:$D$41,K787)))</f>
        <v/>
      </c>
    </row>
    <row r="788" customFormat="false" ht="15" hidden="false" customHeight="false" outlineLevel="0" collapsed="false">
      <c r="B788" s="57"/>
      <c r="C788" s="58"/>
      <c r="D788" s="58"/>
      <c r="E788" s="59"/>
      <c r="F788" s="58"/>
      <c r="G788" s="58"/>
      <c r="H788" s="60" t="str">
        <f aca="false">IF(OR(E788="",D788=""),"",IF(K788=0,"Expense / Gasto",INDEX(Budget!$C$7:$C$41,K788)))</f>
        <v/>
      </c>
      <c r="I788" s="60" t="str">
        <f aca="false">IF(AND(B788="",E788=""),"",IF(NOT(ISNUMBER(B788)),"⚠ ADD DATE / AGREGA FECHA",IF(E788="","⚠ ADD AMOUNT / AGREGA MONTO",IF(D788="","⚠ ADD CATEGORY / AGREGA CATEGORÍA",IF(K788=0,"● NEW CATEGORY? / ¿CATEGORÍA NUEVA?","✔ OK")))))</f>
        <v/>
      </c>
      <c r="K788" s="56" t="str">
        <f aca="false">IF(D788="","",IFERROR(MATCH(D788,Budget!$B$7:$B$41,0),0))</f>
        <v/>
      </c>
      <c r="L788" s="56" t="n">
        <f aca="false">IF(AND(ISNUMBER(B788),ISNUMBER(E788),D788&lt;&gt;""),YEAR(B788)*100+MONTH(B788),0)</f>
        <v>0</v>
      </c>
      <c r="M788" s="56" t="n">
        <f aca="false">IF(L788=0,0,YEAR(B788))</f>
        <v>0</v>
      </c>
      <c r="N788" s="56" t="str">
        <f aca="false">IF(L788=0,"",IF(K788=0,"Wants / Gustos",INDEX(Budget!$D$7:$D$41,K788)))</f>
        <v/>
      </c>
    </row>
    <row r="789" customFormat="false" ht="15" hidden="false" customHeight="false" outlineLevel="0" collapsed="false">
      <c r="B789" s="57"/>
      <c r="C789" s="58"/>
      <c r="D789" s="58"/>
      <c r="E789" s="59"/>
      <c r="F789" s="58"/>
      <c r="G789" s="58"/>
      <c r="H789" s="60" t="str">
        <f aca="false">IF(OR(E789="",D789=""),"",IF(K789=0,"Expense / Gasto",INDEX(Budget!$C$7:$C$41,K789)))</f>
        <v/>
      </c>
      <c r="I789" s="60" t="str">
        <f aca="false">IF(AND(B789="",E789=""),"",IF(NOT(ISNUMBER(B789)),"⚠ ADD DATE / AGREGA FECHA",IF(E789="","⚠ ADD AMOUNT / AGREGA MONTO",IF(D789="","⚠ ADD CATEGORY / AGREGA CATEGORÍA",IF(K789=0,"● NEW CATEGORY? / ¿CATEGORÍA NUEVA?","✔ OK")))))</f>
        <v/>
      </c>
      <c r="K789" s="56" t="str">
        <f aca="false">IF(D789="","",IFERROR(MATCH(D789,Budget!$B$7:$B$41,0),0))</f>
        <v/>
      </c>
      <c r="L789" s="56" t="n">
        <f aca="false">IF(AND(ISNUMBER(B789),ISNUMBER(E789),D789&lt;&gt;""),YEAR(B789)*100+MONTH(B789),0)</f>
        <v>0</v>
      </c>
      <c r="M789" s="56" t="n">
        <f aca="false">IF(L789=0,0,YEAR(B789))</f>
        <v>0</v>
      </c>
      <c r="N789" s="56" t="str">
        <f aca="false">IF(L789=0,"",IF(K789=0,"Wants / Gustos",INDEX(Budget!$D$7:$D$41,K789)))</f>
        <v/>
      </c>
    </row>
    <row r="790" customFormat="false" ht="15" hidden="false" customHeight="false" outlineLevel="0" collapsed="false">
      <c r="B790" s="57"/>
      <c r="C790" s="58"/>
      <c r="D790" s="58"/>
      <c r="E790" s="59"/>
      <c r="F790" s="58"/>
      <c r="G790" s="58"/>
      <c r="H790" s="60" t="str">
        <f aca="false">IF(OR(E790="",D790=""),"",IF(K790=0,"Expense / Gasto",INDEX(Budget!$C$7:$C$41,K790)))</f>
        <v/>
      </c>
      <c r="I790" s="60" t="str">
        <f aca="false">IF(AND(B790="",E790=""),"",IF(NOT(ISNUMBER(B790)),"⚠ ADD DATE / AGREGA FECHA",IF(E790="","⚠ ADD AMOUNT / AGREGA MONTO",IF(D790="","⚠ ADD CATEGORY / AGREGA CATEGORÍA",IF(K790=0,"● NEW CATEGORY? / ¿CATEGORÍA NUEVA?","✔ OK")))))</f>
        <v/>
      </c>
      <c r="K790" s="56" t="str">
        <f aca="false">IF(D790="","",IFERROR(MATCH(D790,Budget!$B$7:$B$41,0),0))</f>
        <v/>
      </c>
      <c r="L790" s="56" t="n">
        <f aca="false">IF(AND(ISNUMBER(B790),ISNUMBER(E790),D790&lt;&gt;""),YEAR(B790)*100+MONTH(B790),0)</f>
        <v>0</v>
      </c>
      <c r="M790" s="56" t="n">
        <f aca="false">IF(L790=0,0,YEAR(B790))</f>
        <v>0</v>
      </c>
      <c r="N790" s="56" t="str">
        <f aca="false">IF(L790=0,"",IF(K790=0,"Wants / Gustos",INDEX(Budget!$D$7:$D$41,K790)))</f>
        <v/>
      </c>
    </row>
    <row r="791" customFormat="false" ht="15" hidden="false" customHeight="false" outlineLevel="0" collapsed="false">
      <c r="B791" s="57"/>
      <c r="C791" s="58"/>
      <c r="D791" s="58"/>
      <c r="E791" s="59"/>
      <c r="F791" s="58"/>
      <c r="G791" s="58"/>
      <c r="H791" s="60" t="str">
        <f aca="false">IF(OR(E791="",D791=""),"",IF(K791=0,"Expense / Gasto",INDEX(Budget!$C$7:$C$41,K791)))</f>
        <v/>
      </c>
      <c r="I791" s="60" t="str">
        <f aca="false">IF(AND(B791="",E791=""),"",IF(NOT(ISNUMBER(B791)),"⚠ ADD DATE / AGREGA FECHA",IF(E791="","⚠ ADD AMOUNT / AGREGA MONTO",IF(D791="","⚠ ADD CATEGORY / AGREGA CATEGORÍA",IF(K791=0,"● NEW CATEGORY? / ¿CATEGORÍA NUEVA?","✔ OK")))))</f>
        <v/>
      </c>
      <c r="K791" s="56" t="str">
        <f aca="false">IF(D791="","",IFERROR(MATCH(D791,Budget!$B$7:$B$41,0),0))</f>
        <v/>
      </c>
      <c r="L791" s="56" t="n">
        <f aca="false">IF(AND(ISNUMBER(B791),ISNUMBER(E791),D791&lt;&gt;""),YEAR(B791)*100+MONTH(B791),0)</f>
        <v>0</v>
      </c>
      <c r="M791" s="56" t="n">
        <f aca="false">IF(L791=0,0,YEAR(B791))</f>
        <v>0</v>
      </c>
      <c r="N791" s="56" t="str">
        <f aca="false">IF(L791=0,"",IF(K791=0,"Wants / Gustos",INDEX(Budget!$D$7:$D$41,K791)))</f>
        <v/>
      </c>
    </row>
    <row r="792" customFormat="false" ht="15" hidden="false" customHeight="false" outlineLevel="0" collapsed="false">
      <c r="B792" s="57"/>
      <c r="C792" s="58"/>
      <c r="D792" s="58"/>
      <c r="E792" s="59"/>
      <c r="F792" s="58"/>
      <c r="G792" s="58"/>
      <c r="H792" s="60" t="str">
        <f aca="false">IF(OR(E792="",D792=""),"",IF(K792=0,"Expense / Gasto",INDEX(Budget!$C$7:$C$41,K792)))</f>
        <v/>
      </c>
      <c r="I792" s="60" t="str">
        <f aca="false">IF(AND(B792="",E792=""),"",IF(NOT(ISNUMBER(B792)),"⚠ ADD DATE / AGREGA FECHA",IF(E792="","⚠ ADD AMOUNT / AGREGA MONTO",IF(D792="","⚠ ADD CATEGORY / AGREGA CATEGORÍA",IF(K792=0,"● NEW CATEGORY? / ¿CATEGORÍA NUEVA?","✔ OK")))))</f>
        <v/>
      </c>
      <c r="K792" s="56" t="str">
        <f aca="false">IF(D792="","",IFERROR(MATCH(D792,Budget!$B$7:$B$41,0),0))</f>
        <v/>
      </c>
      <c r="L792" s="56" t="n">
        <f aca="false">IF(AND(ISNUMBER(B792),ISNUMBER(E792),D792&lt;&gt;""),YEAR(B792)*100+MONTH(B792),0)</f>
        <v>0</v>
      </c>
      <c r="M792" s="56" t="n">
        <f aca="false">IF(L792=0,0,YEAR(B792))</f>
        <v>0</v>
      </c>
      <c r="N792" s="56" t="str">
        <f aca="false">IF(L792=0,"",IF(K792=0,"Wants / Gustos",INDEX(Budget!$D$7:$D$41,K792)))</f>
        <v/>
      </c>
    </row>
    <row r="793" customFormat="false" ht="15" hidden="false" customHeight="false" outlineLevel="0" collapsed="false">
      <c r="B793" s="57"/>
      <c r="C793" s="58"/>
      <c r="D793" s="58"/>
      <c r="E793" s="59"/>
      <c r="F793" s="58"/>
      <c r="G793" s="58"/>
      <c r="H793" s="60" t="str">
        <f aca="false">IF(OR(E793="",D793=""),"",IF(K793=0,"Expense / Gasto",INDEX(Budget!$C$7:$C$41,K793)))</f>
        <v/>
      </c>
      <c r="I793" s="60" t="str">
        <f aca="false">IF(AND(B793="",E793=""),"",IF(NOT(ISNUMBER(B793)),"⚠ ADD DATE / AGREGA FECHA",IF(E793="","⚠ ADD AMOUNT / AGREGA MONTO",IF(D793="","⚠ ADD CATEGORY / AGREGA CATEGORÍA",IF(K793=0,"● NEW CATEGORY? / ¿CATEGORÍA NUEVA?","✔ OK")))))</f>
        <v/>
      </c>
      <c r="K793" s="56" t="str">
        <f aca="false">IF(D793="","",IFERROR(MATCH(D793,Budget!$B$7:$B$41,0),0))</f>
        <v/>
      </c>
      <c r="L793" s="56" t="n">
        <f aca="false">IF(AND(ISNUMBER(B793),ISNUMBER(E793),D793&lt;&gt;""),YEAR(B793)*100+MONTH(B793),0)</f>
        <v>0</v>
      </c>
      <c r="M793" s="56" t="n">
        <f aca="false">IF(L793=0,0,YEAR(B793))</f>
        <v>0</v>
      </c>
      <c r="N793" s="56" t="str">
        <f aca="false">IF(L793=0,"",IF(K793=0,"Wants / Gustos",INDEX(Budget!$D$7:$D$41,K793)))</f>
        <v/>
      </c>
    </row>
    <row r="794" customFormat="false" ht="15" hidden="false" customHeight="false" outlineLevel="0" collapsed="false">
      <c r="B794" s="57"/>
      <c r="C794" s="58"/>
      <c r="D794" s="58"/>
      <c r="E794" s="59"/>
      <c r="F794" s="58"/>
      <c r="G794" s="58"/>
      <c r="H794" s="60" t="str">
        <f aca="false">IF(OR(E794="",D794=""),"",IF(K794=0,"Expense / Gasto",INDEX(Budget!$C$7:$C$41,K794)))</f>
        <v/>
      </c>
      <c r="I794" s="60" t="str">
        <f aca="false">IF(AND(B794="",E794=""),"",IF(NOT(ISNUMBER(B794)),"⚠ ADD DATE / AGREGA FECHA",IF(E794="","⚠ ADD AMOUNT / AGREGA MONTO",IF(D794="","⚠ ADD CATEGORY / AGREGA CATEGORÍA",IF(K794=0,"● NEW CATEGORY? / ¿CATEGORÍA NUEVA?","✔ OK")))))</f>
        <v/>
      </c>
      <c r="K794" s="56" t="str">
        <f aca="false">IF(D794="","",IFERROR(MATCH(D794,Budget!$B$7:$B$41,0),0))</f>
        <v/>
      </c>
      <c r="L794" s="56" t="n">
        <f aca="false">IF(AND(ISNUMBER(B794),ISNUMBER(E794),D794&lt;&gt;""),YEAR(B794)*100+MONTH(B794),0)</f>
        <v>0</v>
      </c>
      <c r="M794" s="56" t="n">
        <f aca="false">IF(L794=0,0,YEAR(B794))</f>
        <v>0</v>
      </c>
      <c r="N794" s="56" t="str">
        <f aca="false">IF(L794=0,"",IF(K794=0,"Wants / Gustos",INDEX(Budget!$D$7:$D$41,K794)))</f>
        <v/>
      </c>
    </row>
    <row r="795" customFormat="false" ht="15" hidden="false" customHeight="false" outlineLevel="0" collapsed="false">
      <c r="B795" s="57"/>
      <c r="C795" s="58"/>
      <c r="D795" s="58"/>
      <c r="E795" s="59"/>
      <c r="F795" s="58"/>
      <c r="G795" s="58"/>
      <c r="H795" s="60" t="str">
        <f aca="false">IF(OR(E795="",D795=""),"",IF(K795=0,"Expense / Gasto",INDEX(Budget!$C$7:$C$41,K795)))</f>
        <v/>
      </c>
      <c r="I795" s="60" t="str">
        <f aca="false">IF(AND(B795="",E795=""),"",IF(NOT(ISNUMBER(B795)),"⚠ ADD DATE / AGREGA FECHA",IF(E795="","⚠ ADD AMOUNT / AGREGA MONTO",IF(D795="","⚠ ADD CATEGORY / AGREGA CATEGORÍA",IF(K795=0,"● NEW CATEGORY? / ¿CATEGORÍA NUEVA?","✔ OK")))))</f>
        <v/>
      </c>
      <c r="K795" s="56" t="str">
        <f aca="false">IF(D795="","",IFERROR(MATCH(D795,Budget!$B$7:$B$41,0),0))</f>
        <v/>
      </c>
      <c r="L795" s="56" t="n">
        <f aca="false">IF(AND(ISNUMBER(B795),ISNUMBER(E795),D795&lt;&gt;""),YEAR(B795)*100+MONTH(B795),0)</f>
        <v>0</v>
      </c>
      <c r="M795" s="56" t="n">
        <f aca="false">IF(L795=0,0,YEAR(B795))</f>
        <v>0</v>
      </c>
      <c r="N795" s="56" t="str">
        <f aca="false">IF(L795=0,"",IF(K795=0,"Wants / Gustos",INDEX(Budget!$D$7:$D$41,K795)))</f>
        <v/>
      </c>
    </row>
    <row r="796" customFormat="false" ht="15" hidden="false" customHeight="false" outlineLevel="0" collapsed="false">
      <c r="B796" s="57"/>
      <c r="C796" s="58"/>
      <c r="D796" s="58"/>
      <c r="E796" s="59"/>
      <c r="F796" s="58"/>
      <c r="G796" s="58"/>
      <c r="H796" s="60" t="str">
        <f aca="false">IF(OR(E796="",D796=""),"",IF(K796=0,"Expense / Gasto",INDEX(Budget!$C$7:$C$41,K796)))</f>
        <v/>
      </c>
      <c r="I796" s="60" t="str">
        <f aca="false">IF(AND(B796="",E796=""),"",IF(NOT(ISNUMBER(B796)),"⚠ ADD DATE / AGREGA FECHA",IF(E796="","⚠ ADD AMOUNT / AGREGA MONTO",IF(D796="","⚠ ADD CATEGORY / AGREGA CATEGORÍA",IF(K796=0,"● NEW CATEGORY? / ¿CATEGORÍA NUEVA?","✔ OK")))))</f>
        <v/>
      </c>
      <c r="K796" s="56" t="str">
        <f aca="false">IF(D796="","",IFERROR(MATCH(D796,Budget!$B$7:$B$41,0),0))</f>
        <v/>
      </c>
      <c r="L796" s="56" t="n">
        <f aca="false">IF(AND(ISNUMBER(B796),ISNUMBER(E796),D796&lt;&gt;""),YEAR(B796)*100+MONTH(B796),0)</f>
        <v>0</v>
      </c>
      <c r="M796" s="56" t="n">
        <f aca="false">IF(L796=0,0,YEAR(B796))</f>
        <v>0</v>
      </c>
      <c r="N796" s="56" t="str">
        <f aca="false">IF(L796=0,"",IF(K796=0,"Wants / Gustos",INDEX(Budget!$D$7:$D$41,K796)))</f>
        <v/>
      </c>
    </row>
    <row r="797" customFormat="false" ht="15" hidden="false" customHeight="false" outlineLevel="0" collapsed="false">
      <c r="B797" s="57"/>
      <c r="C797" s="58"/>
      <c r="D797" s="58"/>
      <c r="E797" s="59"/>
      <c r="F797" s="58"/>
      <c r="G797" s="58"/>
      <c r="H797" s="60" t="str">
        <f aca="false">IF(OR(E797="",D797=""),"",IF(K797=0,"Expense / Gasto",INDEX(Budget!$C$7:$C$41,K797)))</f>
        <v/>
      </c>
      <c r="I797" s="60" t="str">
        <f aca="false">IF(AND(B797="",E797=""),"",IF(NOT(ISNUMBER(B797)),"⚠ ADD DATE / AGREGA FECHA",IF(E797="","⚠ ADD AMOUNT / AGREGA MONTO",IF(D797="","⚠ ADD CATEGORY / AGREGA CATEGORÍA",IF(K797=0,"● NEW CATEGORY? / ¿CATEGORÍA NUEVA?","✔ OK")))))</f>
        <v/>
      </c>
      <c r="K797" s="56" t="str">
        <f aca="false">IF(D797="","",IFERROR(MATCH(D797,Budget!$B$7:$B$41,0),0))</f>
        <v/>
      </c>
      <c r="L797" s="56" t="n">
        <f aca="false">IF(AND(ISNUMBER(B797),ISNUMBER(E797),D797&lt;&gt;""),YEAR(B797)*100+MONTH(B797),0)</f>
        <v>0</v>
      </c>
      <c r="M797" s="56" t="n">
        <f aca="false">IF(L797=0,0,YEAR(B797))</f>
        <v>0</v>
      </c>
      <c r="N797" s="56" t="str">
        <f aca="false">IF(L797=0,"",IF(K797=0,"Wants / Gustos",INDEX(Budget!$D$7:$D$41,K797)))</f>
        <v/>
      </c>
    </row>
    <row r="798" customFormat="false" ht="15" hidden="false" customHeight="false" outlineLevel="0" collapsed="false">
      <c r="B798" s="57"/>
      <c r="C798" s="58"/>
      <c r="D798" s="58"/>
      <c r="E798" s="59"/>
      <c r="F798" s="58"/>
      <c r="G798" s="58"/>
      <c r="H798" s="60" t="str">
        <f aca="false">IF(OR(E798="",D798=""),"",IF(K798=0,"Expense / Gasto",INDEX(Budget!$C$7:$C$41,K798)))</f>
        <v/>
      </c>
      <c r="I798" s="60" t="str">
        <f aca="false">IF(AND(B798="",E798=""),"",IF(NOT(ISNUMBER(B798)),"⚠ ADD DATE / AGREGA FECHA",IF(E798="","⚠ ADD AMOUNT / AGREGA MONTO",IF(D798="","⚠ ADD CATEGORY / AGREGA CATEGORÍA",IF(K798=0,"● NEW CATEGORY? / ¿CATEGORÍA NUEVA?","✔ OK")))))</f>
        <v/>
      </c>
      <c r="K798" s="56" t="str">
        <f aca="false">IF(D798="","",IFERROR(MATCH(D798,Budget!$B$7:$B$41,0),0))</f>
        <v/>
      </c>
      <c r="L798" s="56" t="n">
        <f aca="false">IF(AND(ISNUMBER(B798),ISNUMBER(E798),D798&lt;&gt;""),YEAR(B798)*100+MONTH(B798),0)</f>
        <v>0</v>
      </c>
      <c r="M798" s="56" t="n">
        <f aca="false">IF(L798=0,0,YEAR(B798))</f>
        <v>0</v>
      </c>
      <c r="N798" s="56" t="str">
        <f aca="false">IF(L798=0,"",IF(K798=0,"Wants / Gustos",INDEX(Budget!$D$7:$D$41,K798)))</f>
        <v/>
      </c>
    </row>
    <row r="799" customFormat="false" ht="15" hidden="false" customHeight="false" outlineLevel="0" collapsed="false">
      <c r="B799" s="57"/>
      <c r="C799" s="58"/>
      <c r="D799" s="58"/>
      <c r="E799" s="59"/>
      <c r="F799" s="58"/>
      <c r="G799" s="58"/>
      <c r="H799" s="60" t="str">
        <f aca="false">IF(OR(E799="",D799=""),"",IF(K799=0,"Expense / Gasto",INDEX(Budget!$C$7:$C$41,K799)))</f>
        <v/>
      </c>
      <c r="I799" s="60" t="str">
        <f aca="false">IF(AND(B799="",E799=""),"",IF(NOT(ISNUMBER(B799)),"⚠ ADD DATE / AGREGA FECHA",IF(E799="","⚠ ADD AMOUNT / AGREGA MONTO",IF(D799="","⚠ ADD CATEGORY / AGREGA CATEGORÍA",IF(K799=0,"● NEW CATEGORY? / ¿CATEGORÍA NUEVA?","✔ OK")))))</f>
        <v/>
      </c>
      <c r="K799" s="56" t="str">
        <f aca="false">IF(D799="","",IFERROR(MATCH(D799,Budget!$B$7:$B$41,0),0))</f>
        <v/>
      </c>
      <c r="L799" s="56" t="n">
        <f aca="false">IF(AND(ISNUMBER(B799),ISNUMBER(E799),D799&lt;&gt;""),YEAR(B799)*100+MONTH(B799),0)</f>
        <v>0</v>
      </c>
      <c r="M799" s="56" t="n">
        <f aca="false">IF(L799=0,0,YEAR(B799))</f>
        <v>0</v>
      </c>
      <c r="N799" s="56" t="str">
        <f aca="false">IF(L799=0,"",IF(K799=0,"Wants / Gustos",INDEX(Budget!$D$7:$D$41,K799)))</f>
        <v/>
      </c>
    </row>
    <row r="800" customFormat="false" ht="15" hidden="false" customHeight="false" outlineLevel="0" collapsed="false">
      <c r="B800" s="57"/>
      <c r="C800" s="58"/>
      <c r="D800" s="58"/>
      <c r="E800" s="59"/>
      <c r="F800" s="58"/>
      <c r="G800" s="58"/>
      <c r="H800" s="60" t="str">
        <f aca="false">IF(OR(E800="",D800=""),"",IF(K800=0,"Expense / Gasto",INDEX(Budget!$C$7:$C$41,K800)))</f>
        <v/>
      </c>
      <c r="I800" s="60" t="str">
        <f aca="false">IF(AND(B800="",E800=""),"",IF(NOT(ISNUMBER(B800)),"⚠ ADD DATE / AGREGA FECHA",IF(E800="","⚠ ADD AMOUNT / AGREGA MONTO",IF(D800="","⚠ ADD CATEGORY / AGREGA CATEGORÍA",IF(K800=0,"● NEW CATEGORY? / ¿CATEGORÍA NUEVA?","✔ OK")))))</f>
        <v/>
      </c>
      <c r="K800" s="56" t="str">
        <f aca="false">IF(D800="","",IFERROR(MATCH(D800,Budget!$B$7:$B$41,0),0))</f>
        <v/>
      </c>
      <c r="L800" s="56" t="n">
        <f aca="false">IF(AND(ISNUMBER(B800),ISNUMBER(E800),D800&lt;&gt;""),YEAR(B800)*100+MONTH(B800),0)</f>
        <v>0</v>
      </c>
      <c r="M800" s="56" t="n">
        <f aca="false">IF(L800=0,0,YEAR(B800))</f>
        <v>0</v>
      </c>
      <c r="N800" s="56" t="str">
        <f aca="false">IF(L800=0,"",IF(K800=0,"Wants / Gustos",INDEX(Budget!$D$7:$D$41,K800)))</f>
        <v/>
      </c>
    </row>
    <row r="801" customFormat="false" ht="15" hidden="false" customHeight="false" outlineLevel="0" collapsed="false">
      <c r="B801" s="57"/>
      <c r="C801" s="58"/>
      <c r="D801" s="58"/>
      <c r="E801" s="59"/>
      <c r="F801" s="58"/>
      <c r="G801" s="58"/>
      <c r="H801" s="60" t="str">
        <f aca="false">IF(OR(E801="",D801=""),"",IF(K801=0,"Expense / Gasto",INDEX(Budget!$C$7:$C$41,K801)))</f>
        <v/>
      </c>
      <c r="I801" s="60" t="str">
        <f aca="false">IF(AND(B801="",E801=""),"",IF(NOT(ISNUMBER(B801)),"⚠ ADD DATE / AGREGA FECHA",IF(E801="","⚠ ADD AMOUNT / AGREGA MONTO",IF(D801="","⚠ ADD CATEGORY / AGREGA CATEGORÍA",IF(K801=0,"● NEW CATEGORY? / ¿CATEGORÍA NUEVA?","✔ OK")))))</f>
        <v/>
      </c>
      <c r="K801" s="56" t="str">
        <f aca="false">IF(D801="","",IFERROR(MATCH(D801,Budget!$B$7:$B$41,0),0))</f>
        <v/>
      </c>
      <c r="L801" s="56" t="n">
        <f aca="false">IF(AND(ISNUMBER(B801),ISNUMBER(E801),D801&lt;&gt;""),YEAR(B801)*100+MONTH(B801),0)</f>
        <v>0</v>
      </c>
      <c r="M801" s="56" t="n">
        <f aca="false">IF(L801=0,0,YEAR(B801))</f>
        <v>0</v>
      </c>
      <c r="N801" s="56" t="str">
        <f aca="false">IF(L801=0,"",IF(K801=0,"Wants / Gustos",INDEX(Budget!$D$7:$D$41,K801)))</f>
        <v/>
      </c>
    </row>
    <row r="802" customFormat="false" ht="15" hidden="false" customHeight="false" outlineLevel="0" collapsed="false">
      <c r="B802" s="57"/>
      <c r="C802" s="58"/>
      <c r="D802" s="58"/>
      <c r="E802" s="59"/>
      <c r="F802" s="58"/>
      <c r="G802" s="58"/>
      <c r="H802" s="60" t="str">
        <f aca="false">IF(OR(E802="",D802=""),"",IF(K802=0,"Expense / Gasto",INDEX(Budget!$C$7:$C$41,K802)))</f>
        <v/>
      </c>
      <c r="I802" s="60" t="str">
        <f aca="false">IF(AND(B802="",E802=""),"",IF(NOT(ISNUMBER(B802)),"⚠ ADD DATE / AGREGA FECHA",IF(E802="","⚠ ADD AMOUNT / AGREGA MONTO",IF(D802="","⚠ ADD CATEGORY / AGREGA CATEGORÍA",IF(K802=0,"● NEW CATEGORY? / ¿CATEGORÍA NUEVA?","✔ OK")))))</f>
        <v/>
      </c>
      <c r="K802" s="56" t="str">
        <f aca="false">IF(D802="","",IFERROR(MATCH(D802,Budget!$B$7:$B$41,0),0))</f>
        <v/>
      </c>
      <c r="L802" s="56" t="n">
        <f aca="false">IF(AND(ISNUMBER(B802),ISNUMBER(E802),D802&lt;&gt;""),YEAR(B802)*100+MONTH(B802),0)</f>
        <v>0</v>
      </c>
      <c r="M802" s="56" t="n">
        <f aca="false">IF(L802=0,0,YEAR(B802))</f>
        <v>0</v>
      </c>
      <c r="N802" s="56" t="str">
        <f aca="false">IF(L802=0,"",IF(K802=0,"Wants / Gustos",INDEX(Budget!$D$7:$D$41,K802)))</f>
        <v/>
      </c>
    </row>
    <row r="803" customFormat="false" ht="15" hidden="false" customHeight="false" outlineLevel="0" collapsed="false">
      <c r="B803" s="57"/>
      <c r="C803" s="58"/>
      <c r="D803" s="58"/>
      <c r="E803" s="59"/>
      <c r="F803" s="58"/>
      <c r="G803" s="58"/>
      <c r="H803" s="60" t="str">
        <f aca="false">IF(OR(E803="",D803=""),"",IF(K803=0,"Expense / Gasto",INDEX(Budget!$C$7:$C$41,K803)))</f>
        <v/>
      </c>
      <c r="I803" s="60" t="str">
        <f aca="false">IF(AND(B803="",E803=""),"",IF(NOT(ISNUMBER(B803)),"⚠ ADD DATE / AGREGA FECHA",IF(E803="","⚠ ADD AMOUNT / AGREGA MONTO",IF(D803="","⚠ ADD CATEGORY / AGREGA CATEGORÍA",IF(K803=0,"● NEW CATEGORY? / ¿CATEGORÍA NUEVA?","✔ OK")))))</f>
        <v/>
      </c>
      <c r="K803" s="56" t="str">
        <f aca="false">IF(D803="","",IFERROR(MATCH(D803,Budget!$B$7:$B$41,0),0))</f>
        <v/>
      </c>
      <c r="L803" s="56" t="n">
        <f aca="false">IF(AND(ISNUMBER(B803),ISNUMBER(E803),D803&lt;&gt;""),YEAR(B803)*100+MONTH(B803),0)</f>
        <v>0</v>
      </c>
      <c r="M803" s="56" t="n">
        <f aca="false">IF(L803=0,0,YEAR(B803))</f>
        <v>0</v>
      </c>
      <c r="N803" s="56" t="str">
        <f aca="false">IF(L803=0,"",IF(K803=0,"Wants / Gustos",INDEX(Budget!$D$7:$D$41,K803)))</f>
        <v/>
      </c>
    </row>
    <row r="804" customFormat="false" ht="15" hidden="false" customHeight="false" outlineLevel="0" collapsed="false">
      <c r="B804" s="57"/>
      <c r="C804" s="58"/>
      <c r="D804" s="58"/>
      <c r="E804" s="59"/>
      <c r="F804" s="58"/>
      <c r="G804" s="58"/>
      <c r="H804" s="60" t="str">
        <f aca="false">IF(OR(E804="",D804=""),"",IF(K804=0,"Expense / Gasto",INDEX(Budget!$C$7:$C$41,K804)))</f>
        <v/>
      </c>
      <c r="I804" s="60" t="str">
        <f aca="false">IF(AND(B804="",E804=""),"",IF(NOT(ISNUMBER(B804)),"⚠ ADD DATE / AGREGA FECHA",IF(E804="","⚠ ADD AMOUNT / AGREGA MONTO",IF(D804="","⚠ ADD CATEGORY / AGREGA CATEGORÍA",IF(K804=0,"● NEW CATEGORY? / ¿CATEGORÍA NUEVA?","✔ OK")))))</f>
        <v/>
      </c>
      <c r="K804" s="56" t="str">
        <f aca="false">IF(D804="","",IFERROR(MATCH(D804,Budget!$B$7:$B$41,0),0))</f>
        <v/>
      </c>
      <c r="L804" s="56" t="n">
        <f aca="false">IF(AND(ISNUMBER(B804),ISNUMBER(E804),D804&lt;&gt;""),YEAR(B804)*100+MONTH(B804),0)</f>
        <v>0</v>
      </c>
      <c r="M804" s="56" t="n">
        <f aca="false">IF(L804=0,0,YEAR(B804))</f>
        <v>0</v>
      </c>
      <c r="N804" s="56" t="str">
        <f aca="false">IF(L804=0,"",IF(K804=0,"Wants / Gustos",INDEX(Budget!$D$7:$D$41,K804)))</f>
        <v/>
      </c>
    </row>
    <row r="805" customFormat="false" ht="15" hidden="false" customHeight="false" outlineLevel="0" collapsed="false">
      <c r="B805" s="57"/>
      <c r="C805" s="58"/>
      <c r="D805" s="58"/>
      <c r="E805" s="59"/>
      <c r="F805" s="58"/>
      <c r="G805" s="58"/>
      <c r="H805" s="60" t="str">
        <f aca="false">IF(OR(E805="",D805=""),"",IF(K805=0,"Expense / Gasto",INDEX(Budget!$C$7:$C$41,K805)))</f>
        <v/>
      </c>
      <c r="I805" s="60" t="str">
        <f aca="false">IF(AND(B805="",E805=""),"",IF(NOT(ISNUMBER(B805)),"⚠ ADD DATE / AGREGA FECHA",IF(E805="","⚠ ADD AMOUNT / AGREGA MONTO",IF(D805="","⚠ ADD CATEGORY / AGREGA CATEGORÍA",IF(K805=0,"● NEW CATEGORY? / ¿CATEGORÍA NUEVA?","✔ OK")))))</f>
        <v/>
      </c>
      <c r="K805" s="56" t="str">
        <f aca="false">IF(D805="","",IFERROR(MATCH(D805,Budget!$B$7:$B$41,0),0))</f>
        <v/>
      </c>
      <c r="L805" s="56" t="n">
        <f aca="false">IF(AND(ISNUMBER(B805),ISNUMBER(E805),D805&lt;&gt;""),YEAR(B805)*100+MONTH(B805),0)</f>
        <v>0</v>
      </c>
      <c r="M805" s="56" t="n">
        <f aca="false">IF(L805=0,0,YEAR(B805))</f>
        <v>0</v>
      </c>
      <c r="N805" s="56" t="str">
        <f aca="false">IF(L805=0,"",IF(K805=0,"Wants / Gustos",INDEX(Budget!$D$7:$D$41,K805)))</f>
        <v/>
      </c>
    </row>
    <row r="806" customFormat="false" ht="15" hidden="false" customHeight="false" outlineLevel="0" collapsed="false">
      <c r="B806" s="57"/>
      <c r="C806" s="58"/>
      <c r="D806" s="58"/>
      <c r="E806" s="59"/>
      <c r="F806" s="58"/>
      <c r="G806" s="58"/>
      <c r="H806" s="60" t="str">
        <f aca="false">IF(OR(E806="",D806=""),"",IF(K806=0,"Expense / Gasto",INDEX(Budget!$C$7:$C$41,K806)))</f>
        <v/>
      </c>
      <c r="I806" s="60" t="str">
        <f aca="false">IF(AND(B806="",E806=""),"",IF(NOT(ISNUMBER(B806)),"⚠ ADD DATE / AGREGA FECHA",IF(E806="","⚠ ADD AMOUNT / AGREGA MONTO",IF(D806="","⚠ ADD CATEGORY / AGREGA CATEGORÍA",IF(K806=0,"● NEW CATEGORY? / ¿CATEGORÍA NUEVA?","✔ OK")))))</f>
        <v/>
      </c>
      <c r="K806" s="56" t="str">
        <f aca="false">IF(D806="","",IFERROR(MATCH(D806,Budget!$B$7:$B$41,0),0))</f>
        <v/>
      </c>
      <c r="L806" s="56" t="n">
        <f aca="false">IF(AND(ISNUMBER(B806),ISNUMBER(E806),D806&lt;&gt;""),YEAR(B806)*100+MONTH(B806),0)</f>
        <v>0</v>
      </c>
      <c r="M806" s="56" t="n">
        <f aca="false">IF(L806=0,0,YEAR(B806))</f>
        <v>0</v>
      </c>
      <c r="N806" s="56" t="str">
        <f aca="false">IF(L806=0,"",IF(K806=0,"Wants / Gustos",INDEX(Budget!$D$7:$D$41,K806)))</f>
        <v/>
      </c>
    </row>
    <row r="807" customFormat="false" ht="15" hidden="false" customHeight="false" outlineLevel="0" collapsed="false">
      <c r="B807" s="57"/>
      <c r="C807" s="58"/>
      <c r="D807" s="58"/>
      <c r="E807" s="59"/>
      <c r="F807" s="58"/>
      <c r="G807" s="58"/>
      <c r="H807" s="60" t="str">
        <f aca="false">IF(OR(E807="",D807=""),"",IF(K807=0,"Expense / Gasto",INDEX(Budget!$C$7:$C$41,K807)))</f>
        <v/>
      </c>
      <c r="I807" s="60" t="str">
        <f aca="false">IF(AND(B807="",E807=""),"",IF(NOT(ISNUMBER(B807)),"⚠ ADD DATE / AGREGA FECHA",IF(E807="","⚠ ADD AMOUNT / AGREGA MONTO",IF(D807="","⚠ ADD CATEGORY / AGREGA CATEGORÍA",IF(K807=0,"● NEW CATEGORY? / ¿CATEGORÍA NUEVA?","✔ OK")))))</f>
        <v/>
      </c>
      <c r="K807" s="56" t="str">
        <f aca="false">IF(D807="","",IFERROR(MATCH(D807,Budget!$B$7:$B$41,0),0))</f>
        <v/>
      </c>
      <c r="L807" s="56" t="n">
        <f aca="false">IF(AND(ISNUMBER(B807),ISNUMBER(E807),D807&lt;&gt;""),YEAR(B807)*100+MONTH(B807),0)</f>
        <v>0</v>
      </c>
      <c r="M807" s="56" t="n">
        <f aca="false">IF(L807=0,0,YEAR(B807))</f>
        <v>0</v>
      </c>
      <c r="N807" s="56" t="str">
        <f aca="false">IF(L807=0,"",IF(K807=0,"Wants / Gustos",INDEX(Budget!$D$7:$D$41,K807)))</f>
        <v/>
      </c>
    </row>
    <row r="808" customFormat="false" ht="15" hidden="false" customHeight="false" outlineLevel="0" collapsed="false">
      <c r="B808" s="57"/>
      <c r="C808" s="58"/>
      <c r="D808" s="58"/>
      <c r="E808" s="59"/>
      <c r="F808" s="58"/>
      <c r="G808" s="58"/>
      <c r="H808" s="60" t="str">
        <f aca="false">IF(OR(E808="",D808=""),"",IF(K808=0,"Expense / Gasto",INDEX(Budget!$C$7:$C$41,K808)))</f>
        <v/>
      </c>
      <c r="I808" s="60" t="str">
        <f aca="false">IF(AND(B808="",E808=""),"",IF(NOT(ISNUMBER(B808)),"⚠ ADD DATE / AGREGA FECHA",IF(E808="","⚠ ADD AMOUNT / AGREGA MONTO",IF(D808="","⚠ ADD CATEGORY / AGREGA CATEGORÍA",IF(K808=0,"● NEW CATEGORY? / ¿CATEGORÍA NUEVA?","✔ OK")))))</f>
        <v/>
      </c>
      <c r="K808" s="56" t="str">
        <f aca="false">IF(D808="","",IFERROR(MATCH(D808,Budget!$B$7:$B$41,0),0))</f>
        <v/>
      </c>
      <c r="L808" s="56" t="n">
        <f aca="false">IF(AND(ISNUMBER(B808),ISNUMBER(E808),D808&lt;&gt;""),YEAR(B808)*100+MONTH(B808),0)</f>
        <v>0</v>
      </c>
      <c r="M808" s="56" t="n">
        <f aca="false">IF(L808=0,0,YEAR(B808))</f>
        <v>0</v>
      </c>
      <c r="N808" s="56" t="str">
        <f aca="false">IF(L808=0,"",IF(K808=0,"Wants / Gustos",INDEX(Budget!$D$7:$D$41,K808)))</f>
        <v/>
      </c>
    </row>
    <row r="809" customFormat="false" ht="15" hidden="false" customHeight="false" outlineLevel="0" collapsed="false">
      <c r="B809" s="57"/>
      <c r="C809" s="58"/>
      <c r="D809" s="58"/>
      <c r="E809" s="59"/>
      <c r="F809" s="58"/>
      <c r="G809" s="58"/>
      <c r="H809" s="60" t="str">
        <f aca="false">IF(OR(E809="",D809=""),"",IF(K809=0,"Expense / Gasto",INDEX(Budget!$C$7:$C$41,K809)))</f>
        <v/>
      </c>
      <c r="I809" s="60" t="str">
        <f aca="false">IF(AND(B809="",E809=""),"",IF(NOT(ISNUMBER(B809)),"⚠ ADD DATE / AGREGA FECHA",IF(E809="","⚠ ADD AMOUNT / AGREGA MONTO",IF(D809="","⚠ ADD CATEGORY / AGREGA CATEGORÍA",IF(K809=0,"● NEW CATEGORY? / ¿CATEGORÍA NUEVA?","✔ OK")))))</f>
        <v/>
      </c>
      <c r="K809" s="56" t="str">
        <f aca="false">IF(D809="","",IFERROR(MATCH(D809,Budget!$B$7:$B$41,0),0))</f>
        <v/>
      </c>
      <c r="L809" s="56" t="n">
        <f aca="false">IF(AND(ISNUMBER(B809),ISNUMBER(E809),D809&lt;&gt;""),YEAR(B809)*100+MONTH(B809),0)</f>
        <v>0</v>
      </c>
      <c r="M809" s="56" t="n">
        <f aca="false">IF(L809=0,0,YEAR(B809))</f>
        <v>0</v>
      </c>
      <c r="N809" s="56" t="str">
        <f aca="false">IF(L809=0,"",IF(K809=0,"Wants / Gustos",INDEX(Budget!$D$7:$D$41,K809)))</f>
        <v/>
      </c>
    </row>
    <row r="810" customFormat="false" ht="15" hidden="false" customHeight="false" outlineLevel="0" collapsed="false">
      <c r="B810" s="57"/>
      <c r="C810" s="58"/>
      <c r="D810" s="58"/>
      <c r="E810" s="59"/>
      <c r="F810" s="58"/>
      <c r="G810" s="58"/>
      <c r="H810" s="60" t="str">
        <f aca="false">IF(OR(E810="",D810=""),"",IF(K810=0,"Expense / Gasto",INDEX(Budget!$C$7:$C$41,K810)))</f>
        <v/>
      </c>
      <c r="I810" s="60" t="str">
        <f aca="false">IF(AND(B810="",E810=""),"",IF(NOT(ISNUMBER(B810)),"⚠ ADD DATE / AGREGA FECHA",IF(E810="","⚠ ADD AMOUNT / AGREGA MONTO",IF(D810="","⚠ ADD CATEGORY / AGREGA CATEGORÍA",IF(K810=0,"● NEW CATEGORY? / ¿CATEGORÍA NUEVA?","✔ OK")))))</f>
        <v/>
      </c>
      <c r="K810" s="56" t="str">
        <f aca="false">IF(D810="","",IFERROR(MATCH(D810,Budget!$B$7:$B$41,0),0))</f>
        <v/>
      </c>
      <c r="L810" s="56" t="n">
        <f aca="false">IF(AND(ISNUMBER(B810),ISNUMBER(E810),D810&lt;&gt;""),YEAR(B810)*100+MONTH(B810),0)</f>
        <v>0</v>
      </c>
      <c r="M810" s="56" t="n">
        <f aca="false">IF(L810=0,0,YEAR(B810))</f>
        <v>0</v>
      </c>
      <c r="N810" s="56" t="str">
        <f aca="false">IF(L810=0,"",IF(K810=0,"Wants / Gustos",INDEX(Budget!$D$7:$D$41,K810)))</f>
        <v/>
      </c>
    </row>
    <row r="811" customFormat="false" ht="15" hidden="false" customHeight="false" outlineLevel="0" collapsed="false">
      <c r="B811" s="57"/>
      <c r="C811" s="58"/>
      <c r="D811" s="58"/>
      <c r="E811" s="59"/>
      <c r="F811" s="58"/>
      <c r="G811" s="58"/>
      <c r="H811" s="60" t="str">
        <f aca="false">IF(OR(E811="",D811=""),"",IF(K811=0,"Expense / Gasto",INDEX(Budget!$C$7:$C$41,K811)))</f>
        <v/>
      </c>
      <c r="I811" s="60" t="str">
        <f aca="false">IF(AND(B811="",E811=""),"",IF(NOT(ISNUMBER(B811)),"⚠ ADD DATE / AGREGA FECHA",IF(E811="","⚠ ADD AMOUNT / AGREGA MONTO",IF(D811="","⚠ ADD CATEGORY / AGREGA CATEGORÍA",IF(K811=0,"● NEW CATEGORY? / ¿CATEGORÍA NUEVA?","✔ OK")))))</f>
        <v/>
      </c>
      <c r="K811" s="56" t="str">
        <f aca="false">IF(D811="","",IFERROR(MATCH(D811,Budget!$B$7:$B$41,0),0))</f>
        <v/>
      </c>
      <c r="L811" s="56" t="n">
        <f aca="false">IF(AND(ISNUMBER(B811),ISNUMBER(E811),D811&lt;&gt;""),YEAR(B811)*100+MONTH(B811),0)</f>
        <v>0</v>
      </c>
      <c r="M811" s="56" t="n">
        <f aca="false">IF(L811=0,0,YEAR(B811))</f>
        <v>0</v>
      </c>
      <c r="N811" s="56" t="str">
        <f aca="false">IF(L811=0,"",IF(K811=0,"Wants / Gustos",INDEX(Budget!$D$7:$D$41,K811)))</f>
        <v/>
      </c>
    </row>
    <row r="812" customFormat="false" ht="15" hidden="false" customHeight="false" outlineLevel="0" collapsed="false">
      <c r="B812" s="57"/>
      <c r="C812" s="58"/>
      <c r="D812" s="58"/>
      <c r="E812" s="59"/>
      <c r="F812" s="58"/>
      <c r="G812" s="58"/>
      <c r="H812" s="60" t="str">
        <f aca="false">IF(OR(E812="",D812=""),"",IF(K812=0,"Expense / Gasto",INDEX(Budget!$C$7:$C$41,K812)))</f>
        <v/>
      </c>
      <c r="I812" s="60" t="str">
        <f aca="false">IF(AND(B812="",E812=""),"",IF(NOT(ISNUMBER(B812)),"⚠ ADD DATE / AGREGA FECHA",IF(E812="","⚠ ADD AMOUNT / AGREGA MONTO",IF(D812="","⚠ ADD CATEGORY / AGREGA CATEGORÍA",IF(K812=0,"● NEW CATEGORY? / ¿CATEGORÍA NUEVA?","✔ OK")))))</f>
        <v/>
      </c>
      <c r="K812" s="56" t="str">
        <f aca="false">IF(D812="","",IFERROR(MATCH(D812,Budget!$B$7:$B$41,0),0))</f>
        <v/>
      </c>
      <c r="L812" s="56" t="n">
        <f aca="false">IF(AND(ISNUMBER(B812),ISNUMBER(E812),D812&lt;&gt;""),YEAR(B812)*100+MONTH(B812),0)</f>
        <v>0</v>
      </c>
      <c r="M812" s="56" t="n">
        <f aca="false">IF(L812=0,0,YEAR(B812))</f>
        <v>0</v>
      </c>
      <c r="N812" s="56" t="str">
        <f aca="false">IF(L812=0,"",IF(K812=0,"Wants / Gustos",INDEX(Budget!$D$7:$D$41,K812)))</f>
        <v/>
      </c>
    </row>
    <row r="813" customFormat="false" ht="15" hidden="false" customHeight="false" outlineLevel="0" collapsed="false">
      <c r="B813" s="57"/>
      <c r="C813" s="58"/>
      <c r="D813" s="58"/>
      <c r="E813" s="59"/>
      <c r="F813" s="58"/>
      <c r="G813" s="58"/>
      <c r="H813" s="60" t="str">
        <f aca="false">IF(OR(E813="",D813=""),"",IF(K813=0,"Expense / Gasto",INDEX(Budget!$C$7:$C$41,K813)))</f>
        <v/>
      </c>
      <c r="I813" s="60" t="str">
        <f aca="false">IF(AND(B813="",E813=""),"",IF(NOT(ISNUMBER(B813)),"⚠ ADD DATE / AGREGA FECHA",IF(E813="","⚠ ADD AMOUNT / AGREGA MONTO",IF(D813="","⚠ ADD CATEGORY / AGREGA CATEGORÍA",IF(K813=0,"● NEW CATEGORY? / ¿CATEGORÍA NUEVA?","✔ OK")))))</f>
        <v/>
      </c>
      <c r="K813" s="56" t="str">
        <f aca="false">IF(D813="","",IFERROR(MATCH(D813,Budget!$B$7:$B$41,0),0))</f>
        <v/>
      </c>
      <c r="L813" s="56" t="n">
        <f aca="false">IF(AND(ISNUMBER(B813),ISNUMBER(E813),D813&lt;&gt;""),YEAR(B813)*100+MONTH(B813),0)</f>
        <v>0</v>
      </c>
      <c r="M813" s="56" t="n">
        <f aca="false">IF(L813=0,0,YEAR(B813))</f>
        <v>0</v>
      </c>
      <c r="N813" s="56" t="str">
        <f aca="false">IF(L813=0,"",IF(K813=0,"Wants / Gustos",INDEX(Budget!$D$7:$D$41,K813)))</f>
        <v/>
      </c>
    </row>
    <row r="814" customFormat="false" ht="15" hidden="false" customHeight="false" outlineLevel="0" collapsed="false">
      <c r="B814" s="57"/>
      <c r="C814" s="58"/>
      <c r="D814" s="58"/>
      <c r="E814" s="59"/>
      <c r="F814" s="58"/>
      <c r="G814" s="58"/>
      <c r="H814" s="60" t="str">
        <f aca="false">IF(OR(E814="",D814=""),"",IF(K814=0,"Expense / Gasto",INDEX(Budget!$C$7:$C$41,K814)))</f>
        <v/>
      </c>
      <c r="I814" s="60" t="str">
        <f aca="false">IF(AND(B814="",E814=""),"",IF(NOT(ISNUMBER(B814)),"⚠ ADD DATE / AGREGA FECHA",IF(E814="","⚠ ADD AMOUNT / AGREGA MONTO",IF(D814="","⚠ ADD CATEGORY / AGREGA CATEGORÍA",IF(K814=0,"● NEW CATEGORY? / ¿CATEGORÍA NUEVA?","✔ OK")))))</f>
        <v/>
      </c>
      <c r="K814" s="56" t="str">
        <f aca="false">IF(D814="","",IFERROR(MATCH(D814,Budget!$B$7:$B$41,0),0))</f>
        <v/>
      </c>
      <c r="L814" s="56" t="n">
        <f aca="false">IF(AND(ISNUMBER(B814),ISNUMBER(E814),D814&lt;&gt;""),YEAR(B814)*100+MONTH(B814),0)</f>
        <v>0</v>
      </c>
      <c r="M814" s="56" t="n">
        <f aca="false">IF(L814=0,0,YEAR(B814))</f>
        <v>0</v>
      </c>
      <c r="N814" s="56" t="str">
        <f aca="false">IF(L814=0,"",IF(K814=0,"Wants / Gustos",INDEX(Budget!$D$7:$D$41,K814)))</f>
        <v/>
      </c>
    </row>
    <row r="815" customFormat="false" ht="15" hidden="false" customHeight="false" outlineLevel="0" collapsed="false">
      <c r="B815" s="57"/>
      <c r="C815" s="58"/>
      <c r="D815" s="58"/>
      <c r="E815" s="59"/>
      <c r="F815" s="58"/>
      <c r="G815" s="58"/>
      <c r="H815" s="60" t="str">
        <f aca="false">IF(OR(E815="",D815=""),"",IF(K815=0,"Expense / Gasto",INDEX(Budget!$C$7:$C$41,K815)))</f>
        <v/>
      </c>
      <c r="I815" s="60" t="str">
        <f aca="false">IF(AND(B815="",E815=""),"",IF(NOT(ISNUMBER(B815)),"⚠ ADD DATE / AGREGA FECHA",IF(E815="","⚠ ADD AMOUNT / AGREGA MONTO",IF(D815="","⚠ ADD CATEGORY / AGREGA CATEGORÍA",IF(K815=0,"● NEW CATEGORY? / ¿CATEGORÍA NUEVA?","✔ OK")))))</f>
        <v/>
      </c>
      <c r="K815" s="56" t="str">
        <f aca="false">IF(D815="","",IFERROR(MATCH(D815,Budget!$B$7:$B$41,0),0))</f>
        <v/>
      </c>
      <c r="L815" s="56" t="n">
        <f aca="false">IF(AND(ISNUMBER(B815),ISNUMBER(E815),D815&lt;&gt;""),YEAR(B815)*100+MONTH(B815),0)</f>
        <v>0</v>
      </c>
      <c r="M815" s="56" t="n">
        <f aca="false">IF(L815=0,0,YEAR(B815))</f>
        <v>0</v>
      </c>
      <c r="N815" s="56" t="str">
        <f aca="false">IF(L815=0,"",IF(K815=0,"Wants / Gustos",INDEX(Budget!$D$7:$D$41,K815)))</f>
        <v/>
      </c>
    </row>
    <row r="816" customFormat="false" ht="15" hidden="false" customHeight="false" outlineLevel="0" collapsed="false">
      <c r="B816" s="57"/>
      <c r="C816" s="58"/>
      <c r="D816" s="58"/>
      <c r="E816" s="59"/>
      <c r="F816" s="58"/>
      <c r="G816" s="58"/>
      <c r="H816" s="60" t="str">
        <f aca="false">IF(OR(E816="",D816=""),"",IF(K816=0,"Expense / Gasto",INDEX(Budget!$C$7:$C$41,K816)))</f>
        <v/>
      </c>
      <c r="I816" s="60" t="str">
        <f aca="false">IF(AND(B816="",E816=""),"",IF(NOT(ISNUMBER(B816)),"⚠ ADD DATE / AGREGA FECHA",IF(E816="","⚠ ADD AMOUNT / AGREGA MONTO",IF(D816="","⚠ ADD CATEGORY / AGREGA CATEGORÍA",IF(K816=0,"● NEW CATEGORY? / ¿CATEGORÍA NUEVA?","✔ OK")))))</f>
        <v/>
      </c>
      <c r="K816" s="56" t="str">
        <f aca="false">IF(D816="","",IFERROR(MATCH(D816,Budget!$B$7:$B$41,0),0))</f>
        <v/>
      </c>
      <c r="L816" s="56" t="n">
        <f aca="false">IF(AND(ISNUMBER(B816),ISNUMBER(E816),D816&lt;&gt;""),YEAR(B816)*100+MONTH(B816),0)</f>
        <v>0</v>
      </c>
      <c r="M816" s="56" t="n">
        <f aca="false">IF(L816=0,0,YEAR(B816))</f>
        <v>0</v>
      </c>
      <c r="N816" s="56" t="str">
        <f aca="false">IF(L816=0,"",IF(K816=0,"Wants / Gustos",INDEX(Budget!$D$7:$D$41,K816)))</f>
        <v/>
      </c>
    </row>
    <row r="817" customFormat="false" ht="15" hidden="false" customHeight="false" outlineLevel="0" collapsed="false">
      <c r="B817" s="57"/>
      <c r="C817" s="58"/>
      <c r="D817" s="58"/>
      <c r="E817" s="59"/>
      <c r="F817" s="58"/>
      <c r="G817" s="58"/>
      <c r="H817" s="60" t="str">
        <f aca="false">IF(OR(E817="",D817=""),"",IF(K817=0,"Expense / Gasto",INDEX(Budget!$C$7:$C$41,K817)))</f>
        <v/>
      </c>
      <c r="I817" s="60" t="str">
        <f aca="false">IF(AND(B817="",E817=""),"",IF(NOT(ISNUMBER(B817)),"⚠ ADD DATE / AGREGA FECHA",IF(E817="","⚠ ADD AMOUNT / AGREGA MONTO",IF(D817="","⚠ ADD CATEGORY / AGREGA CATEGORÍA",IF(K817=0,"● NEW CATEGORY? / ¿CATEGORÍA NUEVA?","✔ OK")))))</f>
        <v/>
      </c>
      <c r="K817" s="56" t="str">
        <f aca="false">IF(D817="","",IFERROR(MATCH(D817,Budget!$B$7:$B$41,0),0))</f>
        <v/>
      </c>
      <c r="L817" s="56" t="n">
        <f aca="false">IF(AND(ISNUMBER(B817),ISNUMBER(E817),D817&lt;&gt;""),YEAR(B817)*100+MONTH(B817),0)</f>
        <v>0</v>
      </c>
      <c r="M817" s="56" t="n">
        <f aca="false">IF(L817=0,0,YEAR(B817))</f>
        <v>0</v>
      </c>
      <c r="N817" s="56" t="str">
        <f aca="false">IF(L817=0,"",IF(K817=0,"Wants / Gustos",INDEX(Budget!$D$7:$D$41,K817)))</f>
        <v/>
      </c>
    </row>
    <row r="818" customFormat="false" ht="15" hidden="false" customHeight="false" outlineLevel="0" collapsed="false">
      <c r="B818" s="57"/>
      <c r="C818" s="58"/>
      <c r="D818" s="58"/>
      <c r="E818" s="59"/>
      <c r="F818" s="58"/>
      <c r="G818" s="58"/>
      <c r="H818" s="60" t="str">
        <f aca="false">IF(OR(E818="",D818=""),"",IF(K818=0,"Expense / Gasto",INDEX(Budget!$C$7:$C$41,K818)))</f>
        <v/>
      </c>
      <c r="I818" s="60" t="str">
        <f aca="false">IF(AND(B818="",E818=""),"",IF(NOT(ISNUMBER(B818)),"⚠ ADD DATE / AGREGA FECHA",IF(E818="","⚠ ADD AMOUNT / AGREGA MONTO",IF(D818="","⚠ ADD CATEGORY / AGREGA CATEGORÍA",IF(K818=0,"● NEW CATEGORY? / ¿CATEGORÍA NUEVA?","✔ OK")))))</f>
        <v/>
      </c>
      <c r="K818" s="56" t="str">
        <f aca="false">IF(D818="","",IFERROR(MATCH(D818,Budget!$B$7:$B$41,0),0))</f>
        <v/>
      </c>
      <c r="L818" s="56" t="n">
        <f aca="false">IF(AND(ISNUMBER(B818),ISNUMBER(E818),D818&lt;&gt;""),YEAR(B818)*100+MONTH(B818),0)</f>
        <v>0</v>
      </c>
      <c r="M818" s="56" t="n">
        <f aca="false">IF(L818=0,0,YEAR(B818))</f>
        <v>0</v>
      </c>
      <c r="N818" s="56" t="str">
        <f aca="false">IF(L818=0,"",IF(K818=0,"Wants / Gustos",INDEX(Budget!$D$7:$D$41,K818)))</f>
        <v/>
      </c>
    </row>
    <row r="819" customFormat="false" ht="15" hidden="false" customHeight="false" outlineLevel="0" collapsed="false">
      <c r="B819" s="57"/>
      <c r="C819" s="58"/>
      <c r="D819" s="58"/>
      <c r="E819" s="59"/>
      <c r="F819" s="58"/>
      <c r="G819" s="58"/>
      <c r="H819" s="60" t="str">
        <f aca="false">IF(OR(E819="",D819=""),"",IF(K819=0,"Expense / Gasto",INDEX(Budget!$C$7:$C$41,K819)))</f>
        <v/>
      </c>
      <c r="I819" s="60" t="str">
        <f aca="false">IF(AND(B819="",E819=""),"",IF(NOT(ISNUMBER(B819)),"⚠ ADD DATE / AGREGA FECHA",IF(E819="","⚠ ADD AMOUNT / AGREGA MONTO",IF(D819="","⚠ ADD CATEGORY / AGREGA CATEGORÍA",IF(K819=0,"● NEW CATEGORY? / ¿CATEGORÍA NUEVA?","✔ OK")))))</f>
        <v/>
      </c>
      <c r="K819" s="56" t="str">
        <f aca="false">IF(D819="","",IFERROR(MATCH(D819,Budget!$B$7:$B$41,0),0))</f>
        <v/>
      </c>
      <c r="L819" s="56" t="n">
        <f aca="false">IF(AND(ISNUMBER(B819),ISNUMBER(E819),D819&lt;&gt;""),YEAR(B819)*100+MONTH(B819),0)</f>
        <v>0</v>
      </c>
      <c r="M819" s="56" t="n">
        <f aca="false">IF(L819=0,0,YEAR(B819))</f>
        <v>0</v>
      </c>
      <c r="N819" s="56" t="str">
        <f aca="false">IF(L819=0,"",IF(K819=0,"Wants / Gustos",INDEX(Budget!$D$7:$D$41,K819)))</f>
        <v/>
      </c>
    </row>
    <row r="820" customFormat="false" ht="15" hidden="false" customHeight="false" outlineLevel="0" collapsed="false">
      <c r="B820" s="57"/>
      <c r="C820" s="58"/>
      <c r="D820" s="58"/>
      <c r="E820" s="59"/>
      <c r="F820" s="58"/>
      <c r="G820" s="58"/>
      <c r="H820" s="60" t="str">
        <f aca="false">IF(OR(E820="",D820=""),"",IF(K820=0,"Expense / Gasto",INDEX(Budget!$C$7:$C$41,K820)))</f>
        <v/>
      </c>
      <c r="I820" s="60" t="str">
        <f aca="false">IF(AND(B820="",E820=""),"",IF(NOT(ISNUMBER(B820)),"⚠ ADD DATE / AGREGA FECHA",IF(E820="","⚠ ADD AMOUNT / AGREGA MONTO",IF(D820="","⚠ ADD CATEGORY / AGREGA CATEGORÍA",IF(K820=0,"● NEW CATEGORY? / ¿CATEGORÍA NUEVA?","✔ OK")))))</f>
        <v/>
      </c>
      <c r="K820" s="56" t="str">
        <f aca="false">IF(D820="","",IFERROR(MATCH(D820,Budget!$B$7:$B$41,0),0))</f>
        <v/>
      </c>
      <c r="L820" s="56" t="n">
        <f aca="false">IF(AND(ISNUMBER(B820),ISNUMBER(E820),D820&lt;&gt;""),YEAR(B820)*100+MONTH(B820),0)</f>
        <v>0</v>
      </c>
      <c r="M820" s="56" t="n">
        <f aca="false">IF(L820=0,0,YEAR(B820))</f>
        <v>0</v>
      </c>
      <c r="N820" s="56" t="str">
        <f aca="false">IF(L820=0,"",IF(K820=0,"Wants / Gustos",INDEX(Budget!$D$7:$D$41,K820)))</f>
        <v/>
      </c>
    </row>
    <row r="821" customFormat="false" ht="15" hidden="false" customHeight="false" outlineLevel="0" collapsed="false">
      <c r="B821" s="57"/>
      <c r="C821" s="58"/>
      <c r="D821" s="58"/>
      <c r="E821" s="59"/>
      <c r="F821" s="58"/>
      <c r="G821" s="58"/>
      <c r="H821" s="60" t="str">
        <f aca="false">IF(OR(E821="",D821=""),"",IF(K821=0,"Expense / Gasto",INDEX(Budget!$C$7:$C$41,K821)))</f>
        <v/>
      </c>
      <c r="I821" s="60" t="str">
        <f aca="false">IF(AND(B821="",E821=""),"",IF(NOT(ISNUMBER(B821)),"⚠ ADD DATE / AGREGA FECHA",IF(E821="","⚠ ADD AMOUNT / AGREGA MONTO",IF(D821="","⚠ ADD CATEGORY / AGREGA CATEGORÍA",IF(K821=0,"● NEW CATEGORY? / ¿CATEGORÍA NUEVA?","✔ OK")))))</f>
        <v/>
      </c>
      <c r="K821" s="56" t="str">
        <f aca="false">IF(D821="","",IFERROR(MATCH(D821,Budget!$B$7:$B$41,0),0))</f>
        <v/>
      </c>
      <c r="L821" s="56" t="n">
        <f aca="false">IF(AND(ISNUMBER(B821),ISNUMBER(E821),D821&lt;&gt;""),YEAR(B821)*100+MONTH(B821),0)</f>
        <v>0</v>
      </c>
      <c r="M821" s="56" t="n">
        <f aca="false">IF(L821=0,0,YEAR(B821))</f>
        <v>0</v>
      </c>
      <c r="N821" s="56" t="str">
        <f aca="false">IF(L821=0,"",IF(K821=0,"Wants / Gustos",INDEX(Budget!$D$7:$D$41,K821)))</f>
        <v/>
      </c>
    </row>
    <row r="822" customFormat="false" ht="15" hidden="false" customHeight="false" outlineLevel="0" collapsed="false">
      <c r="B822" s="57"/>
      <c r="C822" s="58"/>
      <c r="D822" s="58"/>
      <c r="E822" s="59"/>
      <c r="F822" s="58"/>
      <c r="G822" s="58"/>
      <c r="H822" s="60" t="str">
        <f aca="false">IF(OR(E822="",D822=""),"",IF(K822=0,"Expense / Gasto",INDEX(Budget!$C$7:$C$41,K822)))</f>
        <v/>
      </c>
      <c r="I822" s="60" t="str">
        <f aca="false">IF(AND(B822="",E822=""),"",IF(NOT(ISNUMBER(B822)),"⚠ ADD DATE / AGREGA FECHA",IF(E822="","⚠ ADD AMOUNT / AGREGA MONTO",IF(D822="","⚠ ADD CATEGORY / AGREGA CATEGORÍA",IF(K822=0,"● NEW CATEGORY? / ¿CATEGORÍA NUEVA?","✔ OK")))))</f>
        <v/>
      </c>
      <c r="K822" s="56" t="str">
        <f aca="false">IF(D822="","",IFERROR(MATCH(D822,Budget!$B$7:$B$41,0),0))</f>
        <v/>
      </c>
      <c r="L822" s="56" t="n">
        <f aca="false">IF(AND(ISNUMBER(B822),ISNUMBER(E822),D822&lt;&gt;""),YEAR(B822)*100+MONTH(B822),0)</f>
        <v>0</v>
      </c>
      <c r="M822" s="56" t="n">
        <f aca="false">IF(L822=0,0,YEAR(B822))</f>
        <v>0</v>
      </c>
      <c r="N822" s="56" t="str">
        <f aca="false">IF(L822=0,"",IF(K822=0,"Wants / Gustos",INDEX(Budget!$D$7:$D$41,K822)))</f>
        <v/>
      </c>
    </row>
    <row r="823" customFormat="false" ht="15" hidden="false" customHeight="false" outlineLevel="0" collapsed="false">
      <c r="B823" s="57"/>
      <c r="C823" s="58"/>
      <c r="D823" s="58"/>
      <c r="E823" s="59"/>
      <c r="F823" s="58"/>
      <c r="G823" s="58"/>
      <c r="H823" s="60" t="str">
        <f aca="false">IF(OR(E823="",D823=""),"",IF(K823=0,"Expense / Gasto",INDEX(Budget!$C$7:$C$41,K823)))</f>
        <v/>
      </c>
      <c r="I823" s="60" t="str">
        <f aca="false">IF(AND(B823="",E823=""),"",IF(NOT(ISNUMBER(B823)),"⚠ ADD DATE / AGREGA FECHA",IF(E823="","⚠ ADD AMOUNT / AGREGA MONTO",IF(D823="","⚠ ADD CATEGORY / AGREGA CATEGORÍA",IF(K823=0,"● NEW CATEGORY? / ¿CATEGORÍA NUEVA?","✔ OK")))))</f>
        <v/>
      </c>
      <c r="K823" s="56" t="str">
        <f aca="false">IF(D823="","",IFERROR(MATCH(D823,Budget!$B$7:$B$41,0),0))</f>
        <v/>
      </c>
      <c r="L823" s="56" t="n">
        <f aca="false">IF(AND(ISNUMBER(B823),ISNUMBER(E823),D823&lt;&gt;""),YEAR(B823)*100+MONTH(B823),0)</f>
        <v>0</v>
      </c>
      <c r="M823" s="56" t="n">
        <f aca="false">IF(L823=0,0,YEAR(B823))</f>
        <v>0</v>
      </c>
      <c r="N823" s="56" t="str">
        <f aca="false">IF(L823=0,"",IF(K823=0,"Wants / Gustos",INDEX(Budget!$D$7:$D$41,K823)))</f>
        <v/>
      </c>
    </row>
    <row r="824" customFormat="false" ht="15" hidden="false" customHeight="false" outlineLevel="0" collapsed="false">
      <c r="B824" s="57"/>
      <c r="C824" s="58"/>
      <c r="D824" s="58"/>
      <c r="E824" s="59"/>
      <c r="F824" s="58"/>
      <c r="G824" s="58"/>
      <c r="H824" s="60" t="str">
        <f aca="false">IF(OR(E824="",D824=""),"",IF(K824=0,"Expense / Gasto",INDEX(Budget!$C$7:$C$41,K824)))</f>
        <v/>
      </c>
      <c r="I824" s="60" t="str">
        <f aca="false">IF(AND(B824="",E824=""),"",IF(NOT(ISNUMBER(B824)),"⚠ ADD DATE / AGREGA FECHA",IF(E824="","⚠ ADD AMOUNT / AGREGA MONTO",IF(D824="","⚠ ADD CATEGORY / AGREGA CATEGORÍA",IF(K824=0,"● NEW CATEGORY? / ¿CATEGORÍA NUEVA?","✔ OK")))))</f>
        <v/>
      </c>
      <c r="K824" s="56" t="str">
        <f aca="false">IF(D824="","",IFERROR(MATCH(D824,Budget!$B$7:$B$41,0),0))</f>
        <v/>
      </c>
      <c r="L824" s="56" t="n">
        <f aca="false">IF(AND(ISNUMBER(B824),ISNUMBER(E824),D824&lt;&gt;""),YEAR(B824)*100+MONTH(B824),0)</f>
        <v>0</v>
      </c>
      <c r="M824" s="56" t="n">
        <f aca="false">IF(L824=0,0,YEAR(B824))</f>
        <v>0</v>
      </c>
      <c r="N824" s="56" t="str">
        <f aca="false">IF(L824=0,"",IF(K824=0,"Wants / Gustos",INDEX(Budget!$D$7:$D$41,K824)))</f>
        <v/>
      </c>
    </row>
    <row r="825" customFormat="false" ht="15" hidden="false" customHeight="false" outlineLevel="0" collapsed="false">
      <c r="B825" s="57"/>
      <c r="C825" s="58"/>
      <c r="D825" s="58"/>
      <c r="E825" s="59"/>
      <c r="F825" s="58"/>
      <c r="G825" s="58"/>
      <c r="H825" s="60" t="str">
        <f aca="false">IF(OR(E825="",D825=""),"",IF(K825=0,"Expense / Gasto",INDEX(Budget!$C$7:$C$41,K825)))</f>
        <v/>
      </c>
      <c r="I825" s="60" t="str">
        <f aca="false">IF(AND(B825="",E825=""),"",IF(NOT(ISNUMBER(B825)),"⚠ ADD DATE / AGREGA FECHA",IF(E825="","⚠ ADD AMOUNT / AGREGA MONTO",IF(D825="","⚠ ADD CATEGORY / AGREGA CATEGORÍA",IF(K825=0,"● NEW CATEGORY? / ¿CATEGORÍA NUEVA?","✔ OK")))))</f>
        <v/>
      </c>
      <c r="K825" s="56" t="str">
        <f aca="false">IF(D825="","",IFERROR(MATCH(D825,Budget!$B$7:$B$41,0),0))</f>
        <v/>
      </c>
      <c r="L825" s="56" t="n">
        <f aca="false">IF(AND(ISNUMBER(B825),ISNUMBER(E825),D825&lt;&gt;""),YEAR(B825)*100+MONTH(B825),0)</f>
        <v>0</v>
      </c>
      <c r="M825" s="56" t="n">
        <f aca="false">IF(L825=0,0,YEAR(B825))</f>
        <v>0</v>
      </c>
      <c r="N825" s="56" t="str">
        <f aca="false">IF(L825=0,"",IF(K825=0,"Wants / Gustos",INDEX(Budget!$D$7:$D$41,K825)))</f>
        <v/>
      </c>
    </row>
    <row r="826" customFormat="false" ht="15" hidden="false" customHeight="false" outlineLevel="0" collapsed="false">
      <c r="B826" s="57"/>
      <c r="C826" s="58"/>
      <c r="D826" s="58"/>
      <c r="E826" s="59"/>
      <c r="F826" s="58"/>
      <c r="G826" s="58"/>
      <c r="H826" s="60" t="str">
        <f aca="false">IF(OR(E826="",D826=""),"",IF(K826=0,"Expense / Gasto",INDEX(Budget!$C$7:$C$41,K826)))</f>
        <v/>
      </c>
      <c r="I826" s="60" t="str">
        <f aca="false">IF(AND(B826="",E826=""),"",IF(NOT(ISNUMBER(B826)),"⚠ ADD DATE / AGREGA FECHA",IF(E826="","⚠ ADD AMOUNT / AGREGA MONTO",IF(D826="","⚠ ADD CATEGORY / AGREGA CATEGORÍA",IF(K826=0,"● NEW CATEGORY? / ¿CATEGORÍA NUEVA?","✔ OK")))))</f>
        <v/>
      </c>
      <c r="K826" s="56" t="str">
        <f aca="false">IF(D826="","",IFERROR(MATCH(D826,Budget!$B$7:$B$41,0),0))</f>
        <v/>
      </c>
      <c r="L826" s="56" t="n">
        <f aca="false">IF(AND(ISNUMBER(B826),ISNUMBER(E826),D826&lt;&gt;""),YEAR(B826)*100+MONTH(B826),0)</f>
        <v>0</v>
      </c>
      <c r="M826" s="56" t="n">
        <f aca="false">IF(L826=0,0,YEAR(B826))</f>
        <v>0</v>
      </c>
      <c r="N826" s="56" t="str">
        <f aca="false">IF(L826=0,"",IF(K826=0,"Wants / Gustos",INDEX(Budget!$D$7:$D$41,K826)))</f>
        <v/>
      </c>
    </row>
    <row r="827" customFormat="false" ht="15" hidden="false" customHeight="false" outlineLevel="0" collapsed="false">
      <c r="B827" s="57"/>
      <c r="C827" s="58"/>
      <c r="D827" s="58"/>
      <c r="E827" s="59"/>
      <c r="F827" s="58"/>
      <c r="G827" s="58"/>
      <c r="H827" s="60" t="str">
        <f aca="false">IF(OR(E827="",D827=""),"",IF(K827=0,"Expense / Gasto",INDEX(Budget!$C$7:$C$41,K827)))</f>
        <v/>
      </c>
      <c r="I827" s="60" t="str">
        <f aca="false">IF(AND(B827="",E827=""),"",IF(NOT(ISNUMBER(B827)),"⚠ ADD DATE / AGREGA FECHA",IF(E827="","⚠ ADD AMOUNT / AGREGA MONTO",IF(D827="","⚠ ADD CATEGORY / AGREGA CATEGORÍA",IF(K827=0,"● NEW CATEGORY? / ¿CATEGORÍA NUEVA?","✔ OK")))))</f>
        <v/>
      </c>
      <c r="K827" s="56" t="str">
        <f aca="false">IF(D827="","",IFERROR(MATCH(D827,Budget!$B$7:$B$41,0),0))</f>
        <v/>
      </c>
      <c r="L827" s="56" t="n">
        <f aca="false">IF(AND(ISNUMBER(B827),ISNUMBER(E827),D827&lt;&gt;""),YEAR(B827)*100+MONTH(B827),0)</f>
        <v>0</v>
      </c>
      <c r="M827" s="56" t="n">
        <f aca="false">IF(L827=0,0,YEAR(B827))</f>
        <v>0</v>
      </c>
      <c r="N827" s="56" t="str">
        <f aca="false">IF(L827=0,"",IF(K827=0,"Wants / Gustos",INDEX(Budget!$D$7:$D$41,K827)))</f>
        <v/>
      </c>
    </row>
    <row r="828" customFormat="false" ht="15" hidden="false" customHeight="false" outlineLevel="0" collapsed="false">
      <c r="B828" s="57"/>
      <c r="C828" s="58"/>
      <c r="D828" s="58"/>
      <c r="E828" s="59"/>
      <c r="F828" s="58"/>
      <c r="G828" s="58"/>
      <c r="H828" s="60" t="str">
        <f aca="false">IF(OR(E828="",D828=""),"",IF(K828=0,"Expense / Gasto",INDEX(Budget!$C$7:$C$41,K828)))</f>
        <v/>
      </c>
      <c r="I828" s="60" t="str">
        <f aca="false">IF(AND(B828="",E828=""),"",IF(NOT(ISNUMBER(B828)),"⚠ ADD DATE / AGREGA FECHA",IF(E828="","⚠ ADD AMOUNT / AGREGA MONTO",IF(D828="","⚠ ADD CATEGORY / AGREGA CATEGORÍA",IF(K828=0,"● NEW CATEGORY? / ¿CATEGORÍA NUEVA?","✔ OK")))))</f>
        <v/>
      </c>
      <c r="K828" s="56" t="str">
        <f aca="false">IF(D828="","",IFERROR(MATCH(D828,Budget!$B$7:$B$41,0),0))</f>
        <v/>
      </c>
      <c r="L828" s="56" t="n">
        <f aca="false">IF(AND(ISNUMBER(B828),ISNUMBER(E828),D828&lt;&gt;""),YEAR(B828)*100+MONTH(B828),0)</f>
        <v>0</v>
      </c>
      <c r="M828" s="56" t="n">
        <f aca="false">IF(L828=0,0,YEAR(B828))</f>
        <v>0</v>
      </c>
      <c r="N828" s="56" t="str">
        <f aca="false">IF(L828=0,"",IF(K828=0,"Wants / Gustos",INDEX(Budget!$D$7:$D$41,K828)))</f>
        <v/>
      </c>
    </row>
    <row r="829" customFormat="false" ht="15" hidden="false" customHeight="false" outlineLevel="0" collapsed="false">
      <c r="B829" s="57"/>
      <c r="C829" s="58"/>
      <c r="D829" s="58"/>
      <c r="E829" s="59"/>
      <c r="F829" s="58"/>
      <c r="G829" s="58"/>
      <c r="H829" s="60" t="str">
        <f aca="false">IF(OR(E829="",D829=""),"",IF(K829=0,"Expense / Gasto",INDEX(Budget!$C$7:$C$41,K829)))</f>
        <v/>
      </c>
      <c r="I829" s="60" t="str">
        <f aca="false">IF(AND(B829="",E829=""),"",IF(NOT(ISNUMBER(B829)),"⚠ ADD DATE / AGREGA FECHA",IF(E829="","⚠ ADD AMOUNT / AGREGA MONTO",IF(D829="","⚠ ADD CATEGORY / AGREGA CATEGORÍA",IF(K829=0,"● NEW CATEGORY? / ¿CATEGORÍA NUEVA?","✔ OK")))))</f>
        <v/>
      </c>
      <c r="K829" s="56" t="str">
        <f aca="false">IF(D829="","",IFERROR(MATCH(D829,Budget!$B$7:$B$41,0),0))</f>
        <v/>
      </c>
      <c r="L829" s="56" t="n">
        <f aca="false">IF(AND(ISNUMBER(B829),ISNUMBER(E829),D829&lt;&gt;""),YEAR(B829)*100+MONTH(B829),0)</f>
        <v>0</v>
      </c>
      <c r="M829" s="56" t="n">
        <f aca="false">IF(L829=0,0,YEAR(B829))</f>
        <v>0</v>
      </c>
      <c r="N829" s="56" t="str">
        <f aca="false">IF(L829=0,"",IF(K829=0,"Wants / Gustos",INDEX(Budget!$D$7:$D$41,K829)))</f>
        <v/>
      </c>
    </row>
    <row r="830" customFormat="false" ht="15" hidden="false" customHeight="false" outlineLevel="0" collapsed="false">
      <c r="B830" s="57"/>
      <c r="C830" s="58"/>
      <c r="D830" s="58"/>
      <c r="E830" s="59"/>
      <c r="F830" s="58"/>
      <c r="G830" s="58"/>
      <c r="H830" s="60" t="str">
        <f aca="false">IF(OR(E830="",D830=""),"",IF(K830=0,"Expense / Gasto",INDEX(Budget!$C$7:$C$41,K830)))</f>
        <v/>
      </c>
      <c r="I830" s="60" t="str">
        <f aca="false">IF(AND(B830="",E830=""),"",IF(NOT(ISNUMBER(B830)),"⚠ ADD DATE / AGREGA FECHA",IF(E830="","⚠ ADD AMOUNT / AGREGA MONTO",IF(D830="","⚠ ADD CATEGORY / AGREGA CATEGORÍA",IF(K830=0,"● NEW CATEGORY? / ¿CATEGORÍA NUEVA?","✔ OK")))))</f>
        <v/>
      </c>
      <c r="K830" s="56" t="str">
        <f aca="false">IF(D830="","",IFERROR(MATCH(D830,Budget!$B$7:$B$41,0),0))</f>
        <v/>
      </c>
      <c r="L830" s="56" t="n">
        <f aca="false">IF(AND(ISNUMBER(B830),ISNUMBER(E830),D830&lt;&gt;""),YEAR(B830)*100+MONTH(B830),0)</f>
        <v>0</v>
      </c>
      <c r="M830" s="56" t="n">
        <f aca="false">IF(L830=0,0,YEAR(B830))</f>
        <v>0</v>
      </c>
      <c r="N830" s="56" t="str">
        <f aca="false">IF(L830=0,"",IF(K830=0,"Wants / Gustos",INDEX(Budget!$D$7:$D$41,K830)))</f>
        <v/>
      </c>
    </row>
    <row r="831" customFormat="false" ht="15" hidden="false" customHeight="false" outlineLevel="0" collapsed="false">
      <c r="B831" s="57"/>
      <c r="C831" s="58"/>
      <c r="D831" s="58"/>
      <c r="E831" s="59"/>
      <c r="F831" s="58"/>
      <c r="G831" s="58"/>
      <c r="H831" s="60" t="str">
        <f aca="false">IF(OR(E831="",D831=""),"",IF(K831=0,"Expense / Gasto",INDEX(Budget!$C$7:$C$41,K831)))</f>
        <v/>
      </c>
      <c r="I831" s="60" t="str">
        <f aca="false">IF(AND(B831="",E831=""),"",IF(NOT(ISNUMBER(B831)),"⚠ ADD DATE / AGREGA FECHA",IF(E831="","⚠ ADD AMOUNT / AGREGA MONTO",IF(D831="","⚠ ADD CATEGORY / AGREGA CATEGORÍA",IF(K831=0,"● NEW CATEGORY? / ¿CATEGORÍA NUEVA?","✔ OK")))))</f>
        <v/>
      </c>
      <c r="K831" s="56" t="str">
        <f aca="false">IF(D831="","",IFERROR(MATCH(D831,Budget!$B$7:$B$41,0),0))</f>
        <v/>
      </c>
      <c r="L831" s="56" t="n">
        <f aca="false">IF(AND(ISNUMBER(B831),ISNUMBER(E831),D831&lt;&gt;""),YEAR(B831)*100+MONTH(B831),0)</f>
        <v>0</v>
      </c>
      <c r="M831" s="56" t="n">
        <f aca="false">IF(L831=0,0,YEAR(B831))</f>
        <v>0</v>
      </c>
      <c r="N831" s="56" t="str">
        <f aca="false">IF(L831=0,"",IF(K831=0,"Wants / Gustos",INDEX(Budget!$D$7:$D$41,K831)))</f>
        <v/>
      </c>
    </row>
    <row r="832" customFormat="false" ht="15" hidden="false" customHeight="false" outlineLevel="0" collapsed="false">
      <c r="B832" s="57"/>
      <c r="C832" s="58"/>
      <c r="D832" s="58"/>
      <c r="E832" s="59"/>
      <c r="F832" s="58"/>
      <c r="G832" s="58"/>
      <c r="H832" s="60" t="str">
        <f aca="false">IF(OR(E832="",D832=""),"",IF(K832=0,"Expense / Gasto",INDEX(Budget!$C$7:$C$41,K832)))</f>
        <v/>
      </c>
      <c r="I832" s="60" t="str">
        <f aca="false">IF(AND(B832="",E832=""),"",IF(NOT(ISNUMBER(B832)),"⚠ ADD DATE / AGREGA FECHA",IF(E832="","⚠ ADD AMOUNT / AGREGA MONTO",IF(D832="","⚠ ADD CATEGORY / AGREGA CATEGORÍA",IF(K832=0,"● NEW CATEGORY? / ¿CATEGORÍA NUEVA?","✔ OK")))))</f>
        <v/>
      </c>
      <c r="K832" s="56" t="str">
        <f aca="false">IF(D832="","",IFERROR(MATCH(D832,Budget!$B$7:$B$41,0),0))</f>
        <v/>
      </c>
      <c r="L832" s="56" t="n">
        <f aca="false">IF(AND(ISNUMBER(B832),ISNUMBER(E832),D832&lt;&gt;""),YEAR(B832)*100+MONTH(B832),0)</f>
        <v>0</v>
      </c>
      <c r="M832" s="56" t="n">
        <f aca="false">IF(L832=0,0,YEAR(B832))</f>
        <v>0</v>
      </c>
      <c r="N832" s="56" t="str">
        <f aca="false">IF(L832=0,"",IF(K832=0,"Wants / Gustos",INDEX(Budget!$D$7:$D$41,K832)))</f>
        <v/>
      </c>
    </row>
    <row r="833" customFormat="false" ht="15" hidden="false" customHeight="false" outlineLevel="0" collapsed="false">
      <c r="B833" s="57"/>
      <c r="C833" s="58"/>
      <c r="D833" s="58"/>
      <c r="E833" s="59"/>
      <c r="F833" s="58"/>
      <c r="G833" s="58"/>
      <c r="H833" s="60" t="str">
        <f aca="false">IF(OR(E833="",D833=""),"",IF(K833=0,"Expense / Gasto",INDEX(Budget!$C$7:$C$41,K833)))</f>
        <v/>
      </c>
      <c r="I833" s="60" t="str">
        <f aca="false">IF(AND(B833="",E833=""),"",IF(NOT(ISNUMBER(B833)),"⚠ ADD DATE / AGREGA FECHA",IF(E833="","⚠ ADD AMOUNT / AGREGA MONTO",IF(D833="","⚠ ADD CATEGORY / AGREGA CATEGORÍA",IF(K833=0,"● NEW CATEGORY? / ¿CATEGORÍA NUEVA?","✔ OK")))))</f>
        <v/>
      </c>
      <c r="K833" s="56" t="str">
        <f aca="false">IF(D833="","",IFERROR(MATCH(D833,Budget!$B$7:$B$41,0),0))</f>
        <v/>
      </c>
      <c r="L833" s="56" t="n">
        <f aca="false">IF(AND(ISNUMBER(B833),ISNUMBER(E833),D833&lt;&gt;""),YEAR(B833)*100+MONTH(B833),0)</f>
        <v>0</v>
      </c>
      <c r="M833" s="56" t="n">
        <f aca="false">IF(L833=0,0,YEAR(B833))</f>
        <v>0</v>
      </c>
      <c r="N833" s="56" t="str">
        <f aca="false">IF(L833=0,"",IF(K833=0,"Wants / Gustos",INDEX(Budget!$D$7:$D$41,K833)))</f>
        <v/>
      </c>
    </row>
    <row r="834" customFormat="false" ht="15" hidden="false" customHeight="false" outlineLevel="0" collapsed="false">
      <c r="B834" s="57"/>
      <c r="C834" s="58"/>
      <c r="D834" s="58"/>
      <c r="E834" s="59"/>
      <c r="F834" s="58"/>
      <c r="G834" s="58"/>
      <c r="H834" s="60" t="str">
        <f aca="false">IF(OR(E834="",D834=""),"",IF(K834=0,"Expense / Gasto",INDEX(Budget!$C$7:$C$41,K834)))</f>
        <v/>
      </c>
      <c r="I834" s="60" t="str">
        <f aca="false">IF(AND(B834="",E834=""),"",IF(NOT(ISNUMBER(B834)),"⚠ ADD DATE / AGREGA FECHA",IF(E834="","⚠ ADD AMOUNT / AGREGA MONTO",IF(D834="","⚠ ADD CATEGORY / AGREGA CATEGORÍA",IF(K834=0,"● NEW CATEGORY? / ¿CATEGORÍA NUEVA?","✔ OK")))))</f>
        <v/>
      </c>
      <c r="K834" s="56" t="str">
        <f aca="false">IF(D834="","",IFERROR(MATCH(D834,Budget!$B$7:$B$41,0),0))</f>
        <v/>
      </c>
      <c r="L834" s="56" t="n">
        <f aca="false">IF(AND(ISNUMBER(B834),ISNUMBER(E834),D834&lt;&gt;""),YEAR(B834)*100+MONTH(B834),0)</f>
        <v>0</v>
      </c>
      <c r="M834" s="56" t="n">
        <f aca="false">IF(L834=0,0,YEAR(B834))</f>
        <v>0</v>
      </c>
      <c r="N834" s="56" t="str">
        <f aca="false">IF(L834=0,"",IF(K834=0,"Wants / Gustos",INDEX(Budget!$D$7:$D$41,K834)))</f>
        <v/>
      </c>
    </row>
    <row r="835" customFormat="false" ht="15" hidden="false" customHeight="false" outlineLevel="0" collapsed="false">
      <c r="B835" s="57"/>
      <c r="C835" s="58"/>
      <c r="D835" s="58"/>
      <c r="E835" s="59"/>
      <c r="F835" s="58"/>
      <c r="G835" s="58"/>
      <c r="H835" s="60" t="str">
        <f aca="false">IF(OR(E835="",D835=""),"",IF(K835=0,"Expense / Gasto",INDEX(Budget!$C$7:$C$41,K835)))</f>
        <v/>
      </c>
      <c r="I835" s="60" t="str">
        <f aca="false">IF(AND(B835="",E835=""),"",IF(NOT(ISNUMBER(B835)),"⚠ ADD DATE / AGREGA FECHA",IF(E835="","⚠ ADD AMOUNT / AGREGA MONTO",IF(D835="","⚠ ADD CATEGORY / AGREGA CATEGORÍA",IF(K835=0,"● NEW CATEGORY? / ¿CATEGORÍA NUEVA?","✔ OK")))))</f>
        <v/>
      </c>
      <c r="K835" s="56" t="str">
        <f aca="false">IF(D835="","",IFERROR(MATCH(D835,Budget!$B$7:$B$41,0),0))</f>
        <v/>
      </c>
      <c r="L835" s="56" t="n">
        <f aca="false">IF(AND(ISNUMBER(B835),ISNUMBER(E835),D835&lt;&gt;""),YEAR(B835)*100+MONTH(B835),0)</f>
        <v>0</v>
      </c>
      <c r="M835" s="56" t="n">
        <f aca="false">IF(L835=0,0,YEAR(B835))</f>
        <v>0</v>
      </c>
      <c r="N835" s="56" t="str">
        <f aca="false">IF(L835=0,"",IF(K835=0,"Wants / Gustos",INDEX(Budget!$D$7:$D$41,K835)))</f>
        <v/>
      </c>
    </row>
    <row r="836" customFormat="false" ht="15" hidden="false" customHeight="false" outlineLevel="0" collapsed="false">
      <c r="B836" s="57"/>
      <c r="C836" s="58"/>
      <c r="D836" s="58"/>
      <c r="E836" s="59"/>
      <c r="F836" s="58"/>
      <c r="G836" s="58"/>
      <c r="H836" s="60" t="str">
        <f aca="false">IF(OR(E836="",D836=""),"",IF(K836=0,"Expense / Gasto",INDEX(Budget!$C$7:$C$41,K836)))</f>
        <v/>
      </c>
      <c r="I836" s="60" t="str">
        <f aca="false">IF(AND(B836="",E836=""),"",IF(NOT(ISNUMBER(B836)),"⚠ ADD DATE / AGREGA FECHA",IF(E836="","⚠ ADD AMOUNT / AGREGA MONTO",IF(D836="","⚠ ADD CATEGORY / AGREGA CATEGORÍA",IF(K836=0,"● NEW CATEGORY? / ¿CATEGORÍA NUEVA?","✔ OK")))))</f>
        <v/>
      </c>
      <c r="K836" s="56" t="str">
        <f aca="false">IF(D836="","",IFERROR(MATCH(D836,Budget!$B$7:$B$41,0),0))</f>
        <v/>
      </c>
      <c r="L836" s="56" t="n">
        <f aca="false">IF(AND(ISNUMBER(B836),ISNUMBER(E836),D836&lt;&gt;""),YEAR(B836)*100+MONTH(B836),0)</f>
        <v>0</v>
      </c>
      <c r="M836" s="56" t="n">
        <f aca="false">IF(L836=0,0,YEAR(B836))</f>
        <v>0</v>
      </c>
      <c r="N836" s="56" t="str">
        <f aca="false">IF(L836=0,"",IF(K836=0,"Wants / Gustos",INDEX(Budget!$D$7:$D$41,K836)))</f>
        <v/>
      </c>
    </row>
    <row r="837" customFormat="false" ht="15" hidden="false" customHeight="false" outlineLevel="0" collapsed="false">
      <c r="B837" s="57"/>
      <c r="C837" s="58"/>
      <c r="D837" s="58"/>
      <c r="E837" s="59"/>
      <c r="F837" s="58"/>
      <c r="G837" s="58"/>
      <c r="H837" s="60" t="str">
        <f aca="false">IF(OR(E837="",D837=""),"",IF(K837=0,"Expense / Gasto",INDEX(Budget!$C$7:$C$41,K837)))</f>
        <v/>
      </c>
      <c r="I837" s="60" t="str">
        <f aca="false">IF(AND(B837="",E837=""),"",IF(NOT(ISNUMBER(B837)),"⚠ ADD DATE / AGREGA FECHA",IF(E837="","⚠ ADD AMOUNT / AGREGA MONTO",IF(D837="","⚠ ADD CATEGORY / AGREGA CATEGORÍA",IF(K837=0,"● NEW CATEGORY? / ¿CATEGORÍA NUEVA?","✔ OK")))))</f>
        <v/>
      </c>
      <c r="K837" s="56" t="str">
        <f aca="false">IF(D837="","",IFERROR(MATCH(D837,Budget!$B$7:$B$41,0),0))</f>
        <v/>
      </c>
      <c r="L837" s="56" t="n">
        <f aca="false">IF(AND(ISNUMBER(B837),ISNUMBER(E837),D837&lt;&gt;""),YEAR(B837)*100+MONTH(B837),0)</f>
        <v>0</v>
      </c>
      <c r="M837" s="56" t="n">
        <f aca="false">IF(L837=0,0,YEAR(B837))</f>
        <v>0</v>
      </c>
      <c r="N837" s="56" t="str">
        <f aca="false">IF(L837=0,"",IF(K837=0,"Wants / Gustos",INDEX(Budget!$D$7:$D$41,K837)))</f>
        <v/>
      </c>
    </row>
    <row r="838" customFormat="false" ht="15" hidden="false" customHeight="false" outlineLevel="0" collapsed="false">
      <c r="B838" s="57"/>
      <c r="C838" s="58"/>
      <c r="D838" s="58"/>
      <c r="E838" s="59"/>
      <c r="F838" s="58"/>
      <c r="G838" s="58"/>
      <c r="H838" s="60" t="str">
        <f aca="false">IF(OR(E838="",D838=""),"",IF(K838=0,"Expense / Gasto",INDEX(Budget!$C$7:$C$41,K838)))</f>
        <v/>
      </c>
      <c r="I838" s="60" t="str">
        <f aca="false">IF(AND(B838="",E838=""),"",IF(NOT(ISNUMBER(B838)),"⚠ ADD DATE / AGREGA FECHA",IF(E838="","⚠ ADD AMOUNT / AGREGA MONTO",IF(D838="","⚠ ADD CATEGORY / AGREGA CATEGORÍA",IF(K838=0,"● NEW CATEGORY? / ¿CATEGORÍA NUEVA?","✔ OK")))))</f>
        <v/>
      </c>
      <c r="K838" s="56" t="str">
        <f aca="false">IF(D838="","",IFERROR(MATCH(D838,Budget!$B$7:$B$41,0),0))</f>
        <v/>
      </c>
      <c r="L838" s="56" t="n">
        <f aca="false">IF(AND(ISNUMBER(B838),ISNUMBER(E838),D838&lt;&gt;""),YEAR(B838)*100+MONTH(B838),0)</f>
        <v>0</v>
      </c>
      <c r="M838" s="56" t="n">
        <f aca="false">IF(L838=0,0,YEAR(B838))</f>
        <v>0</v>
      </c>
      <c r="N838" s="56" t="str">
        <f aca="false">IF(L838=0,"",IF(K838=0,"Wants / Gustos",INDEX(Budget!$D$7:$D$41,K838)))</f>
        <v/>
      </c>
    </row>
    <row r="839" customFormat="false" ht="15" hidden="false" customHeight="false" outlineLevel="0" collapsed="false">
      <c r="B839" s="57"/>
      <c r="C839" s="58"/>
      <c r="D839" s="58"/>
      <c r="E839" s="59"/>
      <c r="F839" s="58"/>
      <c r="G839" s="58"/>
      <c r="H839" s="60" t="str">
        <f aca="false">IF(OR(E839="",D839=""),"",IF(K839=0,"Expense / Gasto",INDEX(Budget!$C$7:$C$41,K839)))</f>
        <v/>
      </c>
      <c r="I839" s="60" t="str">
        <f aca="false">IF(AND(B839="",E839=""),"",IF(NOT(ISNUMBER(B839)),"⚠ ADD DATE / AGREGA FECHA",IF(E839="","⚠ ADD AMOUNT / AGREGA MONTO",IF(D839="","⚠ ADD CATEGORY / AGREGA CATEGORÍA",IF(K839=0,"● NEW CATEGORY? / ¿CATEGORÍA NUEVA?","✔ OK")))))</f>
        <v/>
      </c>
      <c r="K839" s="56" t="str">
        <f aca="false">IF(D839="","",IFERROR(MATCH(D839,Budget!$B$7:$B$41,0),0))</f>
        <v/>
      </c>
      <c r="L839" s="56" t="n">
        <f aca="false">IF(AND(ISNUMBER(B839),ISNUMBER(E839),D839&lt;&gt;""),YEAR(B839)*100+MONTH(B839),0)</f>
        <v>0</v>
      </c>
      <c r="M839" s="56" t="n">
        <f aca="false">IF(L839=0,0,YEAR(B839))</f>
        <v>0</v>
      </c>
      <c r="N839" s="56" t="str">
        <f aca="false">IF(L839=0,"",IF(K839=0,"Wants / Gustos",INDEX(Budget!$D$7:$D$41,K839)))</f>
        <v/>
      </c>
    </row>
    <row r="840" customFormat="false" ht="15" hidden="false" customHeight="false" outlineLevel="0" collapsed="false">
      <c r="B840" s="57"/>
      <c r="C840" s="58"/>
      <c r="D840" s="58"/>
      <c r="E840" s="59"/>
      <c r="F840" s="58"/>
      <c r="G840" s="58"/>
      <c r="H840" s="60" t="str">
        <f aca="false">IF(OR(E840="",D840=""),"",IF(K840=0,"Expense / Gasto",INDEX(Budget!$C$7:$C$41,K840)))</f>
        <v/>
      </c>
      <c r="I840" s="60" t="str">
        <f aca="false">IF(AND(B840="",E840=""),"",IF(NOT(ISNUMBER(B840)),"⚠ ADD DATE / AGREGA FECHA",IF(E840="","⚠ ADD AMOUNT / AGREGA MONTO",IF(D840="","⚠ ADD CATEGORY / AGREGA CATEGORÍA",IF(K840=0,"● NEW CATEGORY? / ¿CATEGORÍA NUEVA?","✔ OK")))))</f>
        <v/>
      </c>
      <c r="K840" s="56" t="str">
        <f aca="false">IF(D840="","",IFERROR(MATCH(D840,Budget!$B$7:$B$41,0),0))</f>
        <v/>
      </c>
      <c r="L840" s="56" t="n">
        <f aca="false">IF(AND(ISNUMBER(B840),ISNUMBER(E840),D840&lt;&gt;""),YEAR(B840)*100+MONTH(B840),0)</f>
        <v>0</v>
      </c>
      <c r="M840" s="56" t="n">
        <f aca="false">IF(L840=0,0,YEAR(B840))</f>
        <v>0</v>
      </c>
      <c r="N840" s="56" t="str">
        <f aca="false">IF(L840=0,"",IF(K840=0,"Wants / Gustos",INDEX(Budget!$D$7:$D$41,K840)))</f>
        <v/>
      </c>
    </row>
    <row r="841" customFormat="false" ht="15" hidden="false" customHeight="false" outlineLevel="0" collapsed="false">
      <c r="B841" s="57"/>
      <c r="C841" s="58"/>
      <c r="D841" s="58"/>
      <c r="E841" s="59"/>
      <c r="F841" s="58"/>
      <c r="G841" s="58"/>
      <c r="H841" s="60" t="str">
        <f aca="false">IF(OR(E841="",D841=""),"",IF(K841=0,"Expense / Gasto",INDEX(Budget!$C$7:$C$41,K841)))</f>
        <v/>
      </c>
      <c r="I841" s="60" t="str">
        <f aca="false">IF(AND(B841="",E841=""),"",IF(NOT(ISNUMBER(B841)),"⚠ ADD DATE / AGREGA FECHA",IF(E841="","⚠ ADD AMOUNT / AGREGA MONTO",IF(D841="","⚠ ADD CATEGORY / AGREGA CATEGORÍA",IF(K841=0,"● NEW CATEGORY? / ¿CATEGORÍA NUEVA?","✔ OK")))))</f>
        <v/>
      </c>
      <c r="K841" s="56" t="str">
        <f aca="false">IF(D841="","",IFERROR(MATCH(D841,Budget!$B$7:$B$41,0),0))</f>
        <v/>
      </c>
      <c r="L841" s="56" t="n">
        <f aca="false">IF(AND(ISNUMBER(B841),ISNUMBER(E841),D841&lt;&gt;""),YEAR(B841)*100+MONTH(B841),0)</f>
        <v>0</v>
      </c>
      <c r="M841" s="56" t="n">
        <f aca="false">IF(L841=0,0,YEAR(B841))</f>
        <v>0</v>
      </c>
      <c r="N841" s="56" t="str">
        <f aca="false">IF(L841=0,"",IF(K841=0,"Wants / Gustos",INDEX(Budget!$D$7:$D$41,K841)))</f>
        <v/>
      </c>
    </row>
    <row r="842" customFormat="false" ht="15" hidden="false" customHeight="false" outlineLevel="0" collapsed="false">
      <c r="B842" s="57"/>
      <c r="C842" s="58"/>
      <c r="D842" s="58"/>
      <c r="E842" s="59"/>
      <c r="F842" s="58"/>
      <c r="G842" s="58"/>
      <c r="H842" s="60" t="str">
        <f aca="false">IF(OR(E842="",D842=""),"",IF(K842=0,"Expense / Gasto",INDEX(Budget!$C$7:$C$41,K842)))</f>
        <v/>
      </c>
      <c r="I842" s="60" t="str">
        <f aca="false">IF(AND(B842="",E842=""),"",IF(NOT(ISNUMBER(B842)),"⚠ ADD DATE / AGREGA FECHA",IF(E842="","⚠ ADD AMOUNT / AGREGA MONTO",IF(D842="","⚠ ADD CATEGORY / AGREGA CATEGORÍA",IF(K842=0,"● NEW CATEGORY? / ¿CATEGORÍA NUEVA?","✔ OK")))))</f>
        <v/>
      </c>
      <c r="K842" s="56" t="str">
        <f aca="false">IF(D842="","",IFERROR(MATCH(D842,Budget!$B$7:$B$41,0),0))</f>
        <v/>
      </c>
      <c r="L842" s="56" t="n">
        <f aca="false">IF(AND(ISNUMBER(B842),ISNUMBER(E842),D842&lt;&gt;""),YEAR(B842)*100+MONTH(B842),0)</f>
        <v>0</v>
      </c>
      <c r="M842" s="56" t="n">
        <f aca="false">IF(L842=0,0,YEAR(B842))</f>
        <v>0</v>
      </c>
      <c r="N842" s="56" t="str">
        <f aca="false">IF(L842=0,"",IF(K842=0,"Wants / Gustos",INDEX(Budget!$D$7:$D$41,K842)))</f>
        <v/>
      </c>
    </row>
    <row r="843" customFormat="false" ht="15" hidden="false" customHeight="false" outlineLevel="0" collapsed="false">
      <c r="B843" s="57"/>
      <c r="C843" s="58"/>
      <c r="D843" s="58"/>
      <c r="E843" s="59"/>
      <c r="F843" s="58"/>
      <c r="G843" s="58"/>
      <c r="H843" s="60" t="str">
        <f aca="false">IF(OR(E843="",D843=""),"",IF(K843=0,"Expense / Gasto",INDEX(Budget!$C$7:$C$41,K843)))</f>
        <v/>
      </c>
      <c r="I843" s="60" t="str">
        <f aca="false">IF(AND(B843="",E843=""),"",IF(NOT(ISNUMBER(B843)),"⚠ ADD DATE / AGREGA FECHA",IF(E843="","⚠ ADD AMOUNT / AGREGA MONTO",IF(D843="","⚠ ADD CATEGORY / AGREGA CATEGORÍA",IF(K843=0,"● NEW CATEGORY? / ¿CATEGORÍA NUEVA?","✔ OK")))))</f>
        <v/>
      </c>
      <c r="K843" s="56" t="str">
        <f aca="false">IF(D843="","",IFERROR(MATCH(D843,Budget!$B$7:$B$41,0),0))</f>
        <v/>
      </c>
      <c r="L843" s="56" t="n">
        <f aca="false">IF(AND(ISNUMBER(B843),ISNUMBER(E843),D843&lt;&gt;""),YEAR(B843)*100+MONTH(B843),0)</f>
        <v>0</v>
      </c>
      <c r="M843" s="56" t="n">
        <f aca="false">IF(L843=0,0,YEAR(B843))</f>
        <v>0</v>
      </c>
      <c r="N843" s="56" t="str">
        <f aca="false">IF(L843=0,"",IF(K843=0,"Wants / Gustos",INDEX(Budget!$D$7:$D$41,K843)))</f>
        <v/>
      </c>
    </row>
    <row r="844" customFormat="false" ht="15" hidden="false" customHeight="false" outlineLevel="0" collapsed="false">
      <c r="B844" s="57"/>
      <c r="C844" s="58"/>
      <c r="D844" s="58"/>
      <c r="E844" s="59"/>
      <c r="F844" s="58"/>
      <c r="G844" s="58"/>
      <c r="H844" s="60" t="str">
        <f aca="false">IF(OR(E844="",D844=""),"",IF(K844=0,"Expense / Gasto",INDEX(Budget!$C$7:$C$41,K844)))</f>
        <v/>
      </c>
      <c r="I844" s="60" t="str">
        <f aca="false">IF(AND(B844="",E844=""),"",IF(NOT(ISNUMBER(B844)),"⚠ ADD DATE / AGREGA FECHA",IF(E844="","⚠ ADD AMOUNT / AGREGA MONTO",IF(D844="","⚠ ADD CATEGORY / AGREGA CATEGORÍA",IF(K844=0,"● NEW CATEGORY? / ¿CATEGORÍA NUEVA?","✔ OK")))))</f>
        <v/>
      </c>
      <c r="K844" s="56" t="str">
        <f aca="false">IF(D844="","",IFERROR(MATCH(D844,Budget!$B$7:$B$41,0),0))</f>
        <v/>
      </c>
      <c r="L844" s="56" t="n">
        <f aca="false">IF(AND(ISNUMBER(B844),ISNUMBER(E844),D844&lt;&gt;""),YEAR(B844)*100+MONTH(B844),0)</f>
        <v>0</v>
      </c>
      <c r="M844" s="56" t="n">
        <f aca="false">IF(L844=0,0,YEAR(B844))</f>
        <v>0</v>
      </c>
      <c r="N844" s="56" t="str">
        <f aca="false">IF(L844=0,"",IF(K844=0,"Wants / Gustos",INDEX(Budget!$D$7:$D$41,K844)))</f>
        <v/>
      </c>
    </row>
    <row r="845" customFormat="false" ht="15" hidden="false" customHeight="false" outlineLevel="0" collapsed="false">
      <c r="B845" s="57"/>
      <c r="C845" s="58"/>
      <c r="D845" s="58"/>
      <c r="E845" s="59"/>
      <c r="F845" s="58"/>
      <c r="G845" s="58"/>
      <c r="H845" s="60" t="str">
        <f aca="false">IF(OR(E845="",D845=""),"",IF(K845=0,"Expense / Gasto",INDEX(Budget!$C$7:$C$41,K845)))</f>
        <v/>
      </c>
      <c r="I845" s="60" t="str">
        <f aca="false">IF(AND(B845="",E845=""),"",IF(NOT(ISNUMBER(B845)),"⚠ ADD DATE / AGREGA FECHA",IF(E845="","⚠ ADD AMOUNT / AGREGA MONTO",IF(D845="","⚠ ADD CATEGORY / AGREGA CATEGORÍA",IF(K845=0,"● NEW CATEGORY? / ¿CATEGORÍA NUEVA?","✔ OK")))))</f>
        <v/>
      </c>
      <c r="K845" s="56" t="str">
        <f aca="false">IF(D845="","",IFERROR(MATCH(D845,Budget!$B$7:$B$41,0),0))</f>
        <v/>
      </c>
      <c r="L845" s="56" t="n">
        <f aca="false">IF(AND(ISNUMBER(B845),ISNUMBER(E845),D845&lt;&gt;""),YEAR(B845)*100+MONTH(B845),0)</f>
        <v>0</v>
      </c>
      <c r="M845" s="56" t="n">
        <f aca="false">IF(L845=0,0,YEAR(B845))</f>
        <v>0</v>
      </c>
      <c r="N845" s="56" t="str">
        <f aca="false">IF(L845=0,"",IF(K845=0,"Wants / Gustos",INDEX(Budget!$D$7:$D$41,K845)))</f>
        <v/>
      </c>
    </row>
    <row r="846" customFormat="false" ht="15" hidden="false" customHeight="false" outlineLevel="0" collapsed="false">
      <c r="B846" s="57"/>
      <c r="C846" s="58"/>
      <c r="D846" s="58"/>
      <c r="E846" s="59"/>
      <c r="F846" s="58"/>
      <c r="G846" s="58"/>
      <c r="H846" s="60" t="str">
        <f aca="false">IF(OR(E846="",D846=""),"",IF(K846=0,"Expense / Gasto",INDEX(Budget!$C$7:$C$41,K846)))</f>
        <v/>
      </c>
      <c r="I846" s="60" t="str">
        <f aca="false">IF(AND(B846="",E846=""),"",IF(NOT(ISNUMBER(B846)),"⚠ ADD DATE / AGREGA FECHA",IF(E846="","⚠ ADD AMOUNT / AGREGA MONTO",IF(D846="","⚠ ADD CATEGORY / AGREGA CATEGORÍA",IF(K846=0,"● NEW CATEGORY? / ¿CATEGORÍA NUEVA?","✔ OK")))))</f>
        <v/>
      </c>
      <c r="K846" s="56" t="str">
        <f aca="false">IF(D846="","",IFERROR(MATCH(D846,Budget!$B$7:$B$41,0),0))</f>
        <v/>
      </c>
      <c r="L846" s="56" t="n">
        <f aca="false">IF(AND(ISNUMBER(B846),ISNUMBER(E846),D846&lt;&gt;""),YEAR(B846)*100+MONTH(B846),0)</f>
        <v>0</v>
      </c>
      <c r="M846" s="56" t="n">
        <f aca="false">IF(L846=0,0,YEAR(B846))</f>
        <v>0</v>
      </c>
      <c r="N846" s="56" t="str">
        <f aca="false">IF(L846=0,"",IF(K846=0,"Wants / Gustos",INDEX(Budget!$D$7:$D$41,K846)))</f>
        <v/>
      </c>
    </row>
    <row r="847" customFormat="false" ht="15" hidden="false" customHeight="false" outlineLevel="0" collapsed="false">
      <c r="B847" s="57"/>
      <c r="C847" s="58"/>
      <c r="D847" s="58"/>
      <c r="E847" s="59"/>
      <c r="F847" s="58"/>
      <c r="G847" s="58"/>
      <c r="H847" s="60" t="str">
        <f aca="false">IF(OR(E847="",D847=""),"",IF(K847=0,"Expense / Gasto",INDEX(Budget!$C$7:$C$41,K847)))</f>
        <v/>
      </c>
      <c r="I847" s="60" t="str">
        <f aca="false">IF(AND(B847="",E847=""),"",IF(NOT(ISNUMBER(B847)),"⚠ ADD DATE / AGREGA FECHA",IF(E847="","⚠ ADD AMOUNT / AGREGA MONTO",IF(D847="","⚠ ADD CATEGORY / AGREGA CATEGORÍA",IF(K847=0,"● NEW CATEGORY? / ¿CATEGORÍA NUEVA?","✔ OK")))))</f>
        <v/>
      </c>
      <c r="K847" s="56" t="str">
        <f aca="false">IF(D847="","",IFERROR(MATCH(D847,Budget!$B$7:$B$41,0),0))</f>
        <v/>
      </c>
      <c r="L847" s="56" t="n">
        <f aca="false">IF(AND(ISNUMBER(B847),ISNUMBER(E847),D847&lt;&gt;""),YEAR(B847)*100+MONTH(B847),0)</f>
        <v>0</v>
      </c>
      <c r="M847" s="56" t="n">
        <f aca="false">IF(L847=0,0,YEAR(B847))</f>
        <v>0</v>
      </c>
      <c r="N847" s="56" t="str">
        <f aca="false">IF(L847=0,"",IF(K847=0,"Wants / Gustos",INDEX(Budget!$D$7:$D$41,K847)))</f>
        <v/>
      </c>
    </row>
    <row r="848" customFormat="false" ht="15" hidden="false" customHeight="false" outlineLevel="0" collapsed="false">
      <c r="B848" s="57"/>
      <c r="C848" s="58"/>
      <c r="D848" s="58"/>
      <c r="E848" s="59"/>
      <c r="F848" s="58"/>
      <c r="G848" s="58"/>
      <c r="H848" s="60" t="str">
        <f aca="false">IF(OR(E848="",D848=""),"",IF(K848=0,"Expense / Gasto",INDEX(Budget!$C$7:$C$41,K848)))</f>
        <v/>
      </c>
      <c r="I848" s="60" t="str">
        <f aca="false">IF(AND(B848="",E848=""),"",IF(NOT(ISNUMBER(B848)),"⚠ ADD DATE / AGREGA FECHA",IF(E848="","⚠ ADD AMOUNT / AGREGA MONTO",IF(D848="","⚠ ADD CATEGORY / AGREGA CATEGORÍA",IF(K848=0,"● NEW CATEGORY? / ¿CATEGORÍA NUEVA?","✔ OK")))))</f>
        <v/>
      </c>
      <c r="K848" s="56" t="str">
        <f aca="false">IF(D848="","",IFERROR(MATCH(D848,Budget!$B$7:$B$41,0),0))</f>
        <v/>
      </c>
      <c r="L848" s="56" t="n">
        <f aca="false">IF(AND(ISNUMBER(B848),ISNUMBER(E848),D848&lt;&gt;""),YEAR(B848)*100+MONTH(B848),0)</f>
        <v>0</v>
      </c>
      <c r="M848" s="56" t="n">
        <f aca="false">IF(L848=0,0,YEAR(B848))</f>
        <v>0</v>
      </c>
      <c r="N848" s="56" t="str">
        <f aca="false">IF(L848=0,"",IF(K848=0,"Wants / Gustos",INDEX(Budget!$D$7:$D$41,K848)))</f>
        <v/>
      </c>
    </row>
    <row r="849" customFormat="false" ht="15" hidden="false" customHeight="false" outlineLevel="0" collapsed="false">
      <c r="B849" s="57"/>
      <c r="C849" s="58"/>
      <c r="D849" s="58"/>
      <c r="E849" s="59"/>
      <c r="F849" s="58"/>
      <c r="G849" s="58"/>
      <c r="H849" s="60" t="str">
        <f aca="false">IF(OR(E849="",D849=""),"",IF(K849=0,"Expense / Gasto",INDEX(Budget!$C$7:$C$41,K849)))</f>
        <v/>
      </c>
      <c r="I849" s="60" t="str">
        <f aca="false">IF(AND(B849="",E849=""),"",IF(NOT(ISNUMBER(B849)),"⚠ ADD DATE / AGREGA FECHA",IF(E849="","⚠ ADD AMOUNT / AGREGA MONTO",IF(D849="","⚠ ADD CATEGORY / AGREGA CATEGORÍA",IF(K849=0,"● NEW CATEGORY? / ¿CATEGORÍA NUEVA?","✔ OK")))))</f>
        <v/>
      </c>
      <c r="K849" s="56" t="str">
        <f aca="false">IF(D849="","",IFERROR(MATCH(D849,Budget!$B$7:$B$41,0),0))</f>
        <v/>
      </c>
      <c r="L849" s="56" t="n">
        <f aca="false">IF(AND(ISNUMBER(B849),ISNUMBER(E849),D849&lt;&gt;""),YEAR(B849)*100+MONTH(B849),0)</f>
        <v>0</v>
      </c>
      <c r="M849" s="56" t="n">
        <f aca="false">IF(L849=0,0,YEAR(B849))</f>
        <v>0</v>
      </c>
      <c r="N849" s="56" t="str">
        <f aca="false">IF(L849=0,"",IF(K849=0,"Wants / Gustos",INDEX(Budget!$D$7:$D$41,K849)))</f>
        <v/>
      </c>
    </row>
    <row r="850" customFormat="false" ht="15" hidden="false" customHeight="false" outlineLevel="0" collapsed="false">
      <c r="B850" s="57"/>
      <c r="C850" s="58"/>
      <c r="D850" s="58"/>
      <c r="E850" s="59"/>
      <c r="F850" s="58"/>
      <c r="G850" s="58"/>
      <c r="H850" s="60" t="str">
        <f aca="false">IF(OR(E850="",D850=""),"",IF(K850=0,"Expense / Gasto",INDEX(Budget!$C$7:$C$41,K850)))</f>
        <v/>
      </c>
      <c r="I850" s="60" t="str">
        <f aca="false">IF(AND(B850="",E850=""),"",IF(NOT(ISNUMBER(B850)),"⚠ ADD DATE / AGREGA FECHA",IF(E850="","⚠ ADD AMOUNT / AGREGA MONTO",IF(D850="","⚠ ADD CATEGORY / AGREGA CATEGORÍA",IF(K850=0,"● NEW CATEGORY? / ¿CATEGORÍA NUEVA?","✔ OK")))))</f>
        <v/>
      </c>
      <c r="K850" s="56" t="str">
        <f aca="false">IF(D850="","",IFERROR(MATCH(D850,Budget!$B$7:$B$41,0),0))</f>
        <v/>
      </c>
      <c r="L850" s="56" t="n">
        <f aca="false">IF(AND(ISNUMBER(B850),ISNUMBER(E850),D850&lt;&gt;""),YEAR(B850)*100+MONTH(B850),0)</f>
        <v>0</v>
      </c>
      <c r="M850" s="56" t="n">
        <f aca="false">IF(L850=0,0,YEAR(B850))</f>
        <v>0</v>
      </c>
      <c r="N850" s="56" t="str">
        <f aca="false">IF(L850=0,"",IF(K850=0,"Wants / Gustos",INDEX(Budget!$D$7:$D$41,K850)))</f>
        <v/>
      </c>
    </row>
    <row r="851" customFormat="false" ht="15" hidden="false" customHeight="false" outlineLevel="0" collapsed="false">
      <c r="B851" s="57"/>
      <c r="C851" s="58"/>
      <c r="D851" s="58"/>
      <c r="E851" s="59"/>
      <c r="F851" s="58"/>
      <c r="G851" s="58"/>
      <c r="H851" s="60" t="str">
        <f aca="false">IF(OR(E851="",D851=""),"",IF(K851=0,"Expense / Gasto",INDEX(Budget!$C$7:$C$41,K851)))</f>
        <v/>
      </c>
      <c r="I851" s="60" t="str">
        <f aca="false">IF(AND(B851="",E851=""),"",IF(NOT(ISNUMBER(B851)),"⚠ ADD DATE / AGREGA FECHA",IF(E851="","⚠ ADD AMOUNT / AGREGA MONTO",IF(D851="","⚠ ADD CATEGORY / AGREGA CATEGORÍA",IF(K851=0,"● NEW CATEGORY? / ¿CATEGORÍA NUEVA?","✔ OK")))))</f>
        <v/>
      </c>
      <c r="K851" s="56" t="str">
        <f aca="false">IF(D851="","",IFERROR(MATCH(D851,Budget!$B$7:$B$41,0),0))</f>
        <v/>
      </c>
      <c r="L851" s="56" t="n">
        <f aca="false">IF(AND(ISNUMBER(B851),ISNUMBER(E851),D851&lt;&gt;""),YEAR(B851)*100+MONTH(B851),0)</f>
        <v>0</v>
      </c>
      <c r="M851" s="56" t="n">
        <f aca="false">IF(L851=0,0,YEAR(B851))</f>
        <v>0</v>
      </c>
      <c r="N851" s="56" t="str">
        <f aca="false">IF(L851=0,"",IF(K851=0,"Wants / Gustos",INDEX(Budget!$D$7:$D$41,K851)))</f>
        <v/>
      </c>
    </row>
    <row r="852" customFormat="false" ht="15" hidden="false" customHeight="false" outlineLevel="0" collapsed="false">
      <c r="B852" s="57"/>
      <c r="C852" s="58"/>
      <c r="D852" s="58"/>
      <c r="E852" s="59"/>
      <c r="F852" s="58"/>
      <c r="G852" s="58"/>
      <c r="H852" s="60" t="str">
        <f aca="false">IF(OR(E852="",D852=""),"",IF(K852=0,"Expense / Gasto",INDEX(Budget!$C$7:$C$41,K852)))</f>
        <v/>
      </c>
      <c r="I852" s="60" t="str">
        <f aca="false">IF(AND(B852="",E852=""),"",IF(NOT(ISNUMBER(B852)),"⚠ ADD DATE / AGREGA FECHA",IF(E852="","⚠ ADD AMOUNT / AGREGA MONTO",IF(D852="","⚠ ADD CATEGORY / AGREGA CATEGORÍA",IF(K852=0,"● NEW CATEGORY? / ¿CATEGORÍA NUEVA?","✔ OK")))))</f>
        <v/>
      </c>
      <c r="K852" s="56" t="str">
        <f aca="false">IF(D852="","",IFERROR(MATCH(D852,Budget!$B$7:$B$41,0),0))</f>
        <v/>
      </c>
      <c r="L852" s="56" t="n">
        <f aca="false">IF(AND(ISNUMBER(B852),ISNUMBER(E852),D852&lt;&gt;""),YEAR(B852)*100+MONTH(B852),0)</f>
        <v>0</v>
      </c>
      <c r="M852" s="56" t="n">
        <f aca="false">IF(L852=0,0,YEAR(B852))</f>
        <v>0</v>
      </c>
      <c r="N852" s="56" t="str">
        <f aca="false">IF(L852=0,"",IF(K852=0,"Wants / Gustos",INDEX(Budget!$D$7:$D$41,K852)))</f>
        <v/>
      </c>
    </row>
    <row r="853" customFormat="false" ht="15" hidden="false" customHeight="false" outlineLevel="0" collapsed="false">
      <c r="B853" s="57"/>
      <c r="C853" s="58"/>
      <c r="D853" s="58"/>
      <c r="E853" s="59"/>
      <c r="F853" s="58"/>
      <c r="G853" s="58"/>
      <c r="H853" s="60" t="str">
        <f aca="false">IF(OR(E853="",D853=""),"",IF(K853=0,"Expense / Gasto",INDEX(Budget!$C$7:$C$41,K853)))</f>
        <v/>
      </c>
      <c r="I853" s="60" t="str">
        <f aca="false">IF(AND(B853="",E853=""),"",IF(NOT(ISNUMBER(B853)),"⚠ ADD DATE / AGREGA FECHA",IF(E853="","⚠ ADD AMOUNT / AGREGA MONTO",IF(D853="","⚠ ADD CATEGORY / AGREGA CATEGORÍA",IF(K853=0,"● NEW CATEGORY? / ¿CATEGORÍA NUEVA?","✔ OK")))))</f>
        <v/>
      </c>
      <c r="K853" s="56" t="str">
        <f aca="false">IF(D853="","",IFERROR(MATCH(D853,Budget!$B$7:$B$41,0),0))</f>
        <v/>
      </c>
      <c r="L853" s="56" t="n">
        <f aca="false">IF(AND(ISNUMBER(B853),ISNUMBER(E853),D853&lt;&gt;""),YEAR(B853)*100+MONTH(B853),0)</f>
        <v>0</v>
      </c>
      <c r="M853" s="56" t="n">
        <f aca="false">IF(L853=0,0,YEAR(B853))</f>
        <v>0</v>
      </c>
      <c r="N853" s="56" t="str">
        <f aca="false">IF(L853=0,"",IF(K853=0,"Wants / Gustos",INDEX(Budget!$D$7:$D$41,K853)))</f>
        <v/>
      </c>
    </row>
    <row r="854" customFormat="false" ht="15" hidden="false" customHeight="false" outlineLevel="0" collapsed="false">
      <c r="B854" s="57"/>
      <c r="C854" s="58"/>
      <c r="D854" s="58"/>
      <c r="E854" s="59"/>
      <c r="F854" s="58"/>
      <c r="G854" s="58"/>
      <c r="H854" s="60" t="str">
        <f aca="false">IF(OR(E854="",D854=""),"",IF(K854=0,"Expense / Gasto",INDEX(Budget!$C$7:$C$41,K854)))</f>
        <v/>
      </c>
      <c r="I854" s="60" t="str">
        <f aca="false">IF(AND(B854="",E854=""),"",IF(NOT(ISNUMBER(B854)),"⚠ ADD DATE / AGREGA FECHA",IF(E854="","⚠ ADD AMOUNT / AGREGA MONTO",IF(D854="","⚠ ADD CATEGORY / AGREGA CATEGORÍA",IF(K854=0,"● NEW CATEGORY? / ¿CATEGORÍA NUEVA?","✔ OK")))))</f>
        <v/>
      </c>
      <c r="K854" s="56" t="str">
        <f aca="false">IF(D854="","",IFERROR(MATCH(D854,Budget!$B$7:$B$41,0),0))</f>
        <v/>
      </c>
      <c r="L854" s="56" t="n">
        <f aca="false">IF(AND(ISNUMBER(B854),ISNUMBER(E854),D854&lt;&gt;""),YEAR(B854)*100+MONTH(B854),0)</f>
        <v>0</v>
      </c>
      <c r="M854" s="56" t="n">
        <f aca="false">IF(L854=0,0,YEAR(B854))</f>
        <v>0</v>
      </c>
      <c r="N854" s="56" t="str">
        <f aca="false">IF(L854=0,"",IF(K854=0,"Wants / Gustos",INDEX(Budget!$D$7:$D$41,K854)))</f>
        <v/>
      </c>
    </row>
    <row r="855" customFormat="false" ht="15" hidden="false" customHeight="false" outlineLevel="0" collapsed="false">
      <c r="B855" s="57"/>
      <c r="C855" s="58"/>
      <c r="D855" s="58"/>
      <c r="E855" s="59"/>
      <c r="F855" s="58"/>
      <c r="G855" s="58"/>
      <c r="H855" s="60" t="str">
        <f aca="false">IF(OR(E855="",D855=""),"",IF(K855=0,"Expense / Gasto",INDEX(Budget!$C$7:$C$41,K855)))</f>
        <v/>
      </c>
      <c r="I855" s="60" t="str">
        <f aca="false">IF(AND(B855="",E855=""),"",IF(NOT(ISNUMBER(B855)),"⚠ ADD DATE / AGREGA FECHA",IF(E855="","⚠ ADD AMOUNT / AGREGA MONTO",IF(D855="","⚠ ADD CATEGORY / AGREGA CATEGORÍA",IF(K855=0,"● NEW CATEGORY? / ¿CATEGORÍA NUEVA?","✔ OK")))))</f>
        <v/>
      </c>
      <c r="K855" s="56" t="str">
        <f aca="false">IF(D855="","",IFERROR(MATCH(D855,Budget!$B$7:$B$41,0),0))</f>
        <v/>
      </c>
      <c r="L855" s="56" t="n">
        <f aca="false">IF(AND(ISNUMBER(B855),ISNUMBER(E855),D855&lt;&gt;""),YEAR(B855)*100+MONTH(B855),0)</f>
        <v>0</v>
      </c>
      <c r="M855" s="56" t="n">
        <f aca="false">IF(L855=0,0,YEAR(B855))</f>
        <v>0</v>
      </c>
      <c r="N855" s="56" t="str">
        <f aca="false">IF(L855=0,"",IF(K855=0,"Wants / Gustos",INDEX(Budget!$D$7:$D$41,K855)))</f>
        <v/>
      </c>
    </row>
    <row r="856" customFormat="false" ht="15" hidden="false" customHeight="false" outlineLevel="0" collapsed="false">
      <c r="B856" s="57"/>
      <c r="C856" s="58"/>
      <c r="D856" s="58"/>
      <c r="E856" s="59"/>
      <c r="F856" s="58"/>
      <c r="G856" s="58"/>
      <c r="H856" s="60" t="str">
        <f aca="false">IF(OR(E856="",D856=""),"",IF(K856=0,"Expense / Gasto",INDEX(Budget!$C$7:$C$41,K856)))</f>
        <v/>
      </c>
      <c r="I856" s="60" t="str">
        <f aca="false">IF(AND(B856="",E856=""),"",IF(NOT(ISNUMBER(B856)),"⚠ ADD DATE / AGREGA FECHA",IF(E856="","⚠ ADD AMOUNT / AGREGA MONTO",IF(D856="","⚠ ADD CATEGORY / AGREGA CATEGORÍA",IF(K856=0,"● NEW CATEGORY? / ¿CATEGORÍA NUEVA?","✔ OK")))))</f>
        <v/>
      </c>
      <c r="K856" s="56" t="str">
        <f aca="false">IF(D856="","",IFERROR(MATCH(D856,Budget!$B$7:$B$41,0),0))</f>
        <v/>
      </c>
      <c r="L856" s="56" t="n">
        <f aca="false">IF(AND(ISNUMBER(B856),ISNUMBER(E856),D856&lt;&gt;""),YEAR(B856)*100+MONTH(B856),0)</f>
        <v>0</v>
      </c>
      <c r="M856" s="56" t="n">
        <f aca="false">IF(L856=0,0,YEAR(B856))</f>
        <v>0</v>
      </c>
      <c r="N856" s="56" t="str">
        <f aca="false">IF(L856=0,"",IF(K856=0,"Wants / Gustos",INDEX(Budget!$D$7:$D$41,K856)))</f>
        <v/>
      </c>
    </row>
    <row r="857" customFormat="false" ht="15" hidden="false" customHeight="false" outlineLevel="0" collapsed="false">
      <c r="B857" s="57"/>
      <c r="C857" s="58"/>
      <c r="D857" s="58"/>
      <c r="E857" s="59"/>
      <c r="F857" s="58"/>
      <c r="G857" s="58"/>
      <c r="H857" s="60" t="str">
        <f aca="false">IF(OR(E857="",D857=""),"",IF(K857=0,"Expense / Gasto",INDEX(Budget!$C$7:$C$41,K857)))</f>
        <v/>
      </c>
      <c r="I857" s="60" t="str">
        <f aca="false">IF(AND(B857="",E857=""),"",IF(NOT(ISNUMBER(B857)),"⚠ ADD DATE / AGREGA FECHA",IF(E857="","⚠ ADD AMOUNT / AGREGA MONTO",IF(D857="","⚠ ADD CATEGORY / AGREGA CATEGORÍA",IF(K857=0,"● NEW CATEGORY? / ¿CATEGORÍA NUEVA?","✔ OK")))))</f>
        <v/>
      </c>
      <c r="K857" s="56" t="str">
        <f aca="false">IF(D857="","",IFERROR(MATCH(D857,Budget!$B$7:$B$41,0),0))</f>
        <v/>
      </c>
      <c r="L857" s="56" t="n">
        <f aca="false">IF(AND(ISNUMBER(B857),ISNUMBER(E857),D857&lt;&gt;""),YEAR(B857)*100+MONTH(B857),0)</f>
        <v>0</v>
      </c>
      <c r="M857" s="56" t="n">
        <f aca="false">IF(L857=0,0,YEAR(B857))</f>
        <v>0</v>
      </c>
      <c r="N857" s="56" t="str">
        <f aca="false">IF(L857=0,"",IF(K857=0,"Wants / Gustos",INDEX(Budget!$D$7:$D$41,K857)))</f>
        <v/>
      </c>
    </row>
    <row r="858" customFormat="false" ht="15" hidden="false" customHeight="false" outlineLevel="0" collapsed="false">
      <c r="B858" s="57"/>
      <c r="C858" s="58"/>
      <c r="D858" s="58"/>
      <c r="E858" s="59"/>
      <c r="F858" s="58"/>
      <c r="G858" s="58"/>
      <c r="H858" s="60" t="str">
        <f aca="false">IF(OR(E858="",D858=""),"",IF(K858=0,"Expense / Gasto",INDEX(Budget!$C$7:$C$41,K858)))</f>
        <v/>
      </c>
      <c r="I858" s="60" t="str">
        <f aca="false">IF(AND(B858="",E858=""),"",IF(NOT(ISNUMBER(B858)),"⚠ ADD DATE / AGREGA FECHA",IF(E858="","⚠ ADD AMOUNT / AGREGA MONTO",IF(D858="","⚠ ADD CATEGORY / AGREGA CATEGORÍA",IF(K858=0,"● NEW CATEGORY? / ¿CATEGORÍA NUEVA?","✔ OK")))))</f>
        <v/>
      </c>
      <c r="K858" s="56" t="str">
        <f aca="false">IF(D858="","",IFERROR(MATCH(D858,Budget!$B$7:$B$41,0),0))</f>
        <v/>
      </c>
      <c r="L858" s="56" t="n">
        <f aca="false">IF(AND(ISNUMBER(B858),ISNUMBER(E858),D858&lt;&gt;""),YEAR(B858)*100+MONTH(B858),0)</f>
        <v>0</v>
      </c>
      <c r="M858" s="56" t="n">
        <f aca="false">IF(L858=0,0,YEAR(B858))</f>
        <v>0</v>
      </c>
      <c r="N858" s="56" t="str">
        <f aca="false">IF(L858=0,"",IF(K858=0,"Wants / Gustos",INDEX(Budget!$D$7:$D$41,K858)))</f>
        <v/>
      </c>
    </row>
    <row r="859" customFormat="false" ht="15" hidden="false" customHeight="false" outlineLevel="0" collapsed="false">
      <c r="B859" s="57"/>
      <c r="C859" s="58"/>
      <c r="D859" s="58"/>
      <c r="E859" s="59"/>
      <c r="F859" s="58"/>
      <c r="G859" s="58"/>
      <c r="H859" s="60" t="str">
        <f aca="false">IF(OR(E859="",D859=""),"",IF(K859=0,"Expense / Gasto",INDEX(Budget!$C$7:$C$41,K859)))</f>
        <v/>
      </c>
      <c r="I859" s="60" t="str">
        <f aca="false">IF(AND(B859="",E859=""),"",IF(NOT(ISNUMBER(B859)),"⚠ ADD DATE / AGREGA FECHA",IF(E859="","⚠ ADD AMOUNT / AGREGA MONTO",IF(D859="","⚠ ADD CATEGORY / AGREGA CATEGORÍA",IF(K859=0,"● NEW CATEGORY? / ¿CATEGORÍA NUEVA?","✔ OK")))))</f>
        <v/>
      </c>
      <c r="K859" s="56" t="str">
        <f aca="false">IF(D859="","",IFERROR(MATCH(D859,Budget!$B$7:$B$41,0),0))</f>
        <v/>
      </c>
      <c r="L859" s="56" t="n">
        <f aca="false">IF(AND(ISNUMBER(B859),ISNUMBER(E859),D859&lt;&gt;""),YEAR(B859)*100+MONTH(B859),0)</f>
        <v>0</v>
      </c>
      <c r="M859" s="56" t="n">
        <f aca="false">IF(L859=0,0,YEAR(B859))</f>
        <v>0</v>
      </c>
      <c r="N859" s="56" t="str">
        <f aca="false">IF(L859=0,"",IF(K859=0,"Wants / Gustos",INDEX(Budget!$D$7:$D$41,K859)))</f>
        <v/>
      </c>
    </row>
    <row r="860" customFormat="false" ht="15" hidden="false" customHeight="false" outlineLevel="0" collapsed="false">
      <c r="B860" s="57"/>
      <c r="C860" s="58"/>
      <c r="D860" s="58"/>
      <c r="E860" s="59"/>
      <c r="F860" s="58"/>
      <c r="G860" s="58"/>
      <c r="H860" s="60" t="str">
        <f aca="false">IF(OR(E860="",D860=""),"",IF(K860=0,"Expense / Gasto",INDEX(Budget!$C$7:$C$41,K860)))</f>
        <v/>
      </c>
      <c r="I860" s="60" t="str">
        <f aca="false">IF(AND(B860="",E860=""),"",IF(NOT(ISNUMBER(B860)),"⚠ ADD DATE / AGREGA FECHA",IF(E860="","⚠ ADD AMOUNT / AGREGA MONTO",IF(D860="","⚠ ADD CATEGORY / AGREGA CATEGORÍA",IF(K860=0,"● NEW CATEGORY? / ¿CATEGORÍA NUEVA?","✔ OK")))))</f>
        <v/>
      </c>
      <c r="K860" s="56" t="str">
        <f aca="false">IF(D860="","",IFERROR(MATCH(D860,Budget!$B$7:$B$41,0),0))</f>
        <v/>
      </c>
      <c r="L860" s="56" t="n">
        <f aca="false">IF(AND(ISNUMBER(B860),ISNUMBER(E860),D860&lt;&gt;""),YEAR(B860)*100+MONTH(B860),0)</f>
        <v>0</v>
      </c>
      <c r="M860" s="56" t="n">
        <f aca="false">IF(L860=0,0,YEAR(B860))</f>
        <v>0</v>
      </c>
      <c r="N860" s="56" t="str">
        <f aca="false">IF(L860=0,"",IF(K860=0,"Wants / Gustos",INDEX(Budget!$D$7:$D$41,K860)))</f>
        <v/>
      </c>
    </row>
    <row r="861" customFormat="false" ht="15" hidden="false" customHeight="false" outlineLevel="0" collapsed="false">
      <c r="B861" s="57"/>
      <c r="C861" s="58"/>
      <c r="D861" s="58"/>
      <c r="E861" s="59"/>
      <c r="F861" s="58"/>
      <c r="G861" s="58"/>
      <c r="H861" s="60" t="str">
        <f aca="false">IF(OR(E861="",D861=""),"",IF(K861=0,"Expense / Gasto",INDEX(Budget!$C$7:$C$41,K861)))</f>
        <v/>
      </c>
      <c r="I861" s="60" t="str">
        <f aca="false">IF(AND(B861="",E861=""),"",IF(NOT(ISNUMBER(B861)),"⚠ ADD DATE / AGREGA FECHA",IF(E861="","⚠ ADD AMOUNT / AGREGA MONTO",IF(D861="","⚠ ADD CATEGORY / AGREGA CATEGORÍA",IF(K861=0,"● NEW CATEGORY? / ¿CATEGORÍA NUEVA?","✔ OK")))))</f>
        <v/>
      </c>
      <c r="K861" s="56" t="str">
        <f aca="false">IF(D861="","",IFERROR(MATCH(D861,Budget!$B$7:$B$41,0),0))</f>
        <v/>
      </c>
      <c r="L861" s="56" t="n">
        <f aca="false">IF(AND(ISNUMBER(B861),ISNUMBER(E861),D861&lt;&gt;""),YEAR(B861)*100+MONTH(B861),0)</f>
        <v>0</v>
      </c>
      <c r="M861" s="56" t="n">
        <f aca="false">IF(L861=0,0,YEAR(B861))</f>
        <v>0</v>
      </c>
      <c r="N861" s="56" t="str">
        <f aca="false">IF(L861=0,"",IF(K861=0,"Wants / Gustos",INDEX(Budget!$D$7:$D$41,K861)))</f>
        <v/>
      </c>
    </row>
    <row r="862" customFormat="false" ht="15" hidden="false" customHeight="false" outlineLevel="0" collapsed="false">
      <c r="B862" s="57"/>
      <c r="C862" s="58"/>
      <c r="D862" s="58"/>
      <c r="E862" s="59"/>
      <c r="F862" s="58"/>
      <c r="G862" s="58"/>
      <c r="H862" s="60" t="str">
        <f aca="false">IF(OR(E862="",D862=""),"",IF(K862=0,"Expense / Gasto",INDEX(Budget!$C$7:$C$41,K862)))</f>
        <v/>
      </c>
      <c r="I862" s="60" t="str">
        <f aca="false">IF(AND(B862="",E862=""),"",IF(NOT(ISNUMBER(B862)),"⚠ ADD DATE / AGREGA FECHA",IF(E862="","⚠ ADD AMOUNT / AGREGA MONTO",IF(D862="","⚠ ADD CATEGORY / AGREGA CATEGORÍA",IF(K862=0,"● NEW CATEGORY? / ¿CATEGORÍA NUEVA?","✔ OK")))))</f>
        <v/>
      </c>
      <c r="K862" s="56" t="str">
        <f aca="false">IF(D862="","",IFERROR(MATCH(D862,Budget!$B$7:$B$41,0),0))</f>
        <v/>
      </c>
      <c r="L862" s="56" t="n">
        <f aca="false">IF(AND(ISNUMBER(B862),ISNUMBER(E862),D862&lt;&gt;""),YEAR(B862)*100+MONTH(B862),0)</f>
        <v>0</v>
      </c>
      <c r="M862" s="56" t="n">
        <f aca="false">IF(L862=0,0,YEAR(B862))</f>
        <v>0</v>
      </c>
      <c r="N862" s="56" t="str">
        <f aca="false">IF(L862=0,"",IF(K862=0,"Wants / Gustos",INDEX(Budget!$D$7:$D$41,K862)))</f>
        <v/>
      </c>
    </row>
    <row r="863" customFormat="false" ht="15" hidden="false" customHeight="false" outlineLevel="0" collapsed="false">
      <c r="B863" s="57"/>
      <c r="C863" s="58"/>
      <c r="D863" s="58"/>
      <c r="E863" s="59"/>
      <c r="F863" s="58"/>
      <c r="G863" s="58"/>
      <c r="H863" s="60" t="str">
        <f aca="false">IF(OR(E863="",D863=""),"",IF(K863=0,"Expense / Gasto",INDEX(Budget!$C$7:$C$41,K863)))</f>
        <v/>
      </c>
      <c r="I863" s="60" t="str">
        <f aca="false">IF(AND(B863="",E863=""),"",IF(NOT(ISNUMBER(B863)),"⚠ ADD DATE / AGREGA FECHA",IF(E863="","⚠ ADD AMOUNT / AGREGA MONTO",IF(D863="","⚠ ADD CATEGORY / AGREGA CATEGORÍA",IF(K863=0,"● NEW CATEGORY? / ¿CATEGORÍA NUEVA?","✔ OK")))))</f>
        <v/>
      </c>
      <c r="K863" s="56" t="str">
        <f aca="false">IF(D863="","",IFERROR(MATCH(D863,Budget!$B$7:$B$41,0),0))</f>
        <v/>
      </c>
      <c r="L863" s="56" t="n">
        <f aca="false">IF(AND(ISNUMBER(B863),ISNUMBER(E863),D863&lt;&gt;""),YEAR(B863)*100+MONTH(B863),0)</f>
        <v>0</v>
      </c>
      <c r="M863" s="56" t="n">
        <f aca="false">IF(L863=0,0,YEAR(B863))</f>
        <v>0</v>
      </c>
      <c r="N863" s="56" t="str">
        <f aca="false">IF(L863=0,"",IF(K863=0,"Wants / Gustos",INDEX(Budget!$D$7:$D$41,K863)))</f>
        <v/>
      </c>
    </row>
    <row r="864" customFormat="false" ht="15" hidden="false" customHeight="false" outlineLevel="0" collapsed="false">
      <c r="B864" s="57"/>
      <c r="C864" s="58"/>
      <c r="D864" s="58"/>
      <c r="E864" s="59"/>
      <c r="F864" s="58"/>
      <c r="G864" s="58"/>
      <c r="H864" s="60" t="str">
        <f aca="false">IF(OR(E864="",D864=""),"",IF(K864=0,"Expense / Gasto",INDEX(Budget!$C$7:$C$41,K864)))</f>
        <v/>
      </c>
      <c r="I864" s="60" t="str">
        <f aca="false">IF(AND(B864="",E864=""),"",IF(NOT(ISNUMBER(B864)),"⚠ ADD DATE / AGREGA FECHA",IF(E864="","⚠ ADD AMOUNT / AGREGA MONTO",IF(D864="","⚠ ADD CATEGORY / AGREGA CATEGORÍA",IF(K864=0,"● NEW CATEGORY? / ¿CATEGORÍA NUEVA?","✔ OK")))))</f>
        <v/>
      </c>
      <c r="K864" s="56" t="str">
        <f aca="false">IF(D864="","",IFERROR(MATCH(D864,Budget!$B$7:$B$41,0),0))</f>
        <v/>
      </c>
      <c r="L864" s="56" t="n">
        <f aca="false">IF(AND(ISNUMBER(B864),ISNUMBER(E864),D864&lt;&gt;""),YEAR(B864)*100+MONTH(B864),0)</f>
        <v>0</v>
      </c>
      <c r="M864" s="56" t="n">
        <f aca="false">IF(L864=0,0,YEAR(B864))</f>
        <v>0</v>
      </c>
      <c r="N864" s="56" t="str">
        <f aca="false">IF(L864=0,"",IF(K864=0,"Wants / Gustos",INDEX(Budget!$D$7:$D$41,K864)))</f>
        <v/>
      </c>
    </row>
    <row r="865" customFormat="false" ht="15" hidden="false" customHeight="false" outlineLevel="0" collapsed="false">
      <c r="B865" s="57"/>
      <c r="C865" s="58"/>
      <c r="D865" s="58"/>
      <c r="E865" s="59"/>
      <c r="F865" s="58"/>
      <c r="G865" s="58"/>
      <c r="H865" s="60" t="str">
        <f aca="false">IF(OR(E865="",D865=""),"",IF(K865=0,"Expense / Gasto",INDEX(Budget!$C$7:$C$41,K865)))</f>
        <v/>
      </c>
      <c r="I865" s="60" t="str">
        <f aca="false">IF(AND(B865="",E865=""),"",IF(NOT(ISNUMBER(B865)),"⚠ ADD DATE / AGREGA FECHA",IF(E865="","⚠ ADD AMOUNT / AGREGA MONTO",IF(D865="","⚠ ADD CATEGORY / AGREGA CATEGORÍA",IF(K865=0,"● NEW CATEGORY? / ¿CATEGORÍA NUEVA?","✔ OK")))))</f>
        <v/>
      </c>
      <c r="K865" s="56" t="str">
        <f aca="false">IF(D865="","",IFERROR(MATCH(D865,Budget!$B$7:$B$41,0),0))</f>
        <v/>
      </c>
      <c r="L865" s="56" t="n">
        <f aca="false">IF(AND(ISNUMBER(B865),ISNUMBER(E865),D865&lt;&gt;""),YEAR(B865)*100+MONTH(B865),0)</f>
        <v>0</v>
      </c>
      <c r="M865" s="56" t="n">
        <f aca="false">IF(L865=0,0,YEAR(B865))</f>
        <v>0</v>
      </c>
      <c r="N865" s="56" t="str">
        <f aca="false">IF(L865=0,"",IF(K865=0,"Wants / Gustos",INDEX(Budget!$D$7:$D$41,K865)))</f>
        <v/>
      </c>
    </row>
    <row r="866" customFormat="false" ht="15" hidden="false" customHeight="false" outlineLevel="0" collapsed="false">
      <c r="B866" s="57"/>
      <c r="C866" s="58"/>
      <c r="D866" s="58"/>
      <c r="E866" s="59"/>
      <c r="F866" s="58"/>
      <c r="G866" s="58"/>
      <c r="H866" s="60" t="str">
        <f aca="false">IF(OR(E866="",D866=""),"",IF(K866=0,"Expense / Gasto",INDEX(Budget!$C$7:$C$41,K866)))</f>
        <v/>
      </c>
      <c r="I866" s="60" t="str">
        <f aca="false">IF(AND(B866="",E866=""),"",IF(NOT(ISNUMBER(B866)),"⚠ ADD DATE / AGREGA FECHA",IF(E866="","⚠ ADD AMOUNT / AGREGA MONTO",IF(D866="","⚠ ADD CATEGORY / AGREGA CATEGORÍA",IF(K866=0,"● NEW CATEGORY? / ¿CATEGORÍA NUEVA?","✔ OK")))))</f>
        <v/>
      </c>
      <c r="K866" s="56" t="str">
        <f aca="false">IF(D866="","",IFERROR(MATCH(D866,Budget!$B$7:$B$41,0),0))</f>
        <v/>
      </c>
      <c r="L866" s="56" t="n">
        <f aca="false">IF(AND(ISNUMBER(B866),ISNUMBER(E866),D866&lt;&gt;""),YEAR(B866)*100+MONTH(B866),0)</f>
        <v>0</v>
      </c>
      <c r="M866" s="56" t="n">
        <f aca="false">IF(L866=0,0,YEAR(B866))</f>
        <v>0</v>
      </c>
      <c r="N866" s="56" t="str">
        <f aca="false">IF(L866=0,"",IF(K866=0,"Wants / Gustos",INDEX(Budget!$D$7:$D$41,K866)))</f>
        <v/>
      </c>
    </row>
    <row r="867" customFormat="false" ht="15" hidden="false" customHeight="false" outlineLevel="0" collapsed="false">
      <c r="B867" s="57"/>
      <c r="C867" s="58"/>
      <c r="D867" s="58"/>
      <c r="E867" s="59"/>
      <c r="F867" s="58"/>
      <c r="G867" s="58"/>
      <c r="H867" s="60" t="str">
        <f aca="false">IF(OR(E867="",D867=""),"",IF(K867=0,"Expense / Gasto",INDEX(Budget!$C$7:$C$41,K867)))</f>
        <v/>
      </c>
      <c r="I867" s="60" t="str">
        <f aca="false">IF(AND(B867="",E867=""),"",IF(NOT(ISNUMBER(B867)),"⚠ ADD DATE / AGREGA FECHA",IF(E867="","⚠ ADD AMOUNT / AGREGA MONTO",IF(D867="","⚠ ADD CATEGORY / AGREGA CATEGORÍA",IF(K867=0,"● NEW CATEGORY? / ¿CATEGORÍA NUEVA?","✔ OK")))))</f>
        <v/>
      </c>
      <c r="K867" s="56" t="str">
        <f aca="false">IF(D867="","",IFERROR(MATCH(D867,Budget!$B$7:$B$41,0),0))</f>
        <v/>
      </c>
      <c r="L867" s="56" t="n">
        <f aca="false">IF(AND(ISNUMBER(B867),ISNUMBER(E867),D867&lt;&gt;""),YEAR(B867)*100+MONTH(B867),0)</f>
        <v>0</v>
      </c>
      <c r="M867" s="56" t="n">
        <f aca="false">IF(L867=0,0,YEAR(B867))</f>
        <v>0</v>
      </c>
      <c r="N867" s="56" t="str">
        <f aca="false">IF(L867=0,"",IF(K867=0,"Wants / Gustos",INDEX(Budget!$D$7:$D$41,K867)))</f>
        <v/>
      </c>
    </row>
    <row r="868" customFormat="false" ht="15" hidden="false" customHeight="false" outlineLevel="0" collapsed="false">
      <c r="B868" s="57"/>
      <c r="C868" s="58"/>
      <c r="D868" s="58"/>
      <c r="E868" s="59"/>
      <c r="F868" s="58"/>
      <c r="G868" s="58"/>
      <c r="H868" s="60" t="str">
        <f aca="false">IF(OR(E868="",D868=""),"",IF(K868=0,"Expense / Gasto",INDEX(Budget!$C$7:$C$41,K868)))</f>
        <v/>
      </c>
      <c r="I868" s="60" t="str">
        <f aca="false">IF(AND(B868="",E868=""),"",IF(NOT(ISNUMBER(B868)),"⚠ ADD DATE / AGREGA FECHA",IF(E868="","⚠ ADD AMOUNT / AGREGA MONTO",IF(D868="","⚠ ADD CATEGORY / AGREGA CATEGORÍA",IF(K868=0,"● NEW CATEGORY? / ¿CATEGORÍA NUEVA?","✔ OK")))))</f>
        <v/>
      </c>
      <c r="K868" s="56" t="str">
        <f aca="false">IF(D868="","",IFERROR(MATCH(D868,Budget!$B$7:$B$41,0),0))</f>
        <v/>
      </c>
      <c r="L868" s="56" t="n">
        <f aca="false">IF(AND(ISNUMBER(B868),ISNUMBER(E868),D868&lt;&gt;""),YEAR(B868)*100+MONTH(B868),0)</f>
        <v>0</v>
      </c>
      <c r="M868" s="56" t="n">
        <f aca="false">IF(L868=0,0,YEAR(B868))</f>
        <v>0</v>
      </c>
      <c r="N868" s="56" t="str">
        <f aca="false">IF(L868=0,"",IF(K868=0,"Wants / Gustos",INDEX(Budget!$D$7:$D$41,K868)))</f>
        <v/>
      </c>
    </row>
    <row r="869" customFormat="false" ht="15" hidden="false" customHeight="false" outlineLevel="0" collapsed="false">
      <c r="B869" s="57"/>
      <c r="C869" s="58"/>
      <c r="D869" s="58"/>
      <c r="E869" s="59"/>
      <c r="F869" s="58"/>
      <c r="G869" s="58"/>
      <c r="H869" s="60" t="str">
        <f aca="false">IF(OR(E869="",D869=""),"",IF(K869=0,"Expense / Gasto",INDEX(Budget!$C$7:$C$41,K869)))</f>
        <v/>
      </c>
      <c r="I869" s="60" t="str">
        <f aca="false">IF(AND(B869="",E869=""),"",IF(NOT(ISNUMBER(B869)),"⚠ ADD DATE / AGREGA FECHA",IF(E869="","⚠ ADD AMOUNT / AGREGA MONTO",IF(D869="","⚠ ADD CATEGORY / AGREGA CATEGORÍA",IF(K869=0,"● NEW CATEGORY? / ¿CATEGORÍA NUEVA?","✔ OK")))))</f>
        <v/>
      </c>
      <c r="K869" s="56" t="str">
        <f aca="false">IF(D869="","",IFERROR(MATCH(D869,Budget!$B$7:$B$41,0),0))</f>
        <v/>
      </c>
      <c r="L869" s="56" t="n">
        <f aca="false">IF(AND(ISNUMBER(B869),ISNUMBER(E869),D869&lt;&gt;""),YEAR(B869)*100+MONTH(B869),0)</f>
        <v>0</v>
      </c>
      <c r="M869" s="56" t="n">
        <f aca="false">IF(L869=0,0,YEAR(B869))</f>
        <v>0</v>
      </c>
      <c r="N869" s="56" t="str">
        <f aca="false">IF(L869=0,"",IF(K869=0,"Wants / Gustos",INDEX(Budget!$D$7:$D$41,K869)))</f>
        <v/>
      </c>
    </row>
    <row r="870" customFormat="false" ht="15" hidden="false" customHeight="false" outlineLevel="0" collapsed="false">
      <c r="B870" s="57"/>
      <c r="C870" s="58"/>
      <c r="D870" s="58"/>
      <c r="E870" s="59"/>
      <c r="F870" s="58"/>
      <c r="G870" s="58"/>
      <c r="H870" s="60" t="str">
        <f aca="false">IF(OR(E870="",D870=""),"",IF(K870=0,"Expense / Gasto",INDEX(Budget!$C$7:$C$41,K870)))</f>
        <v/>
      </c>
      <c r="I870" s="60" t="str">
        <f aca="false">IF(AND(B870="",E870=""),"",IF(NOT(ISNUMBER(B870)),"⚠ ADD DATE / AGREGA FECHA",IF(E870="","⚠ ADD AMOUNT / AGREGA MONTO",IF(D870="","⚠ ADD CATEGORY / AGREGA CATEGORÍA",IF(K870=0,"● NEW CATEGORY? / ¿CATEGORÍA NUEVA?","✔ OK")))))</f>
        <v/>
      </c>
      <c r="K870" s="56" t="str">
        <f aca="false">IF(D870="","",IFERROR(MATCH(D870,Budget!$B$7:$B$41,0),0))</f>
        <v/>
      </c>
      <c r="L870" s="56" t="n">
        <f aca="false">IF(AND(ISNUMBER(B870),ISNUMBER(E870),D870&lt;&gt;""),YEAR(B870)*100+MONTH(B870),0)</f>
        <v>0</v>
      </c>
      <c r="M870" s="56" t="n">
        <f aca="false">IF(L870=0,0,YEAR(B870))</f>
        <v>0</v>
      </c>
      <c r="N870" s="56" t="str">
        <f aca="false">IF(L870=0,"",IF(K870=0,"Wants / Gustos",INDEX(Budget!$D$7:$D$41,K870)))</f>
        <v/>
      </c>
    </row>
    <row r="871" customFormat="false" ht="15" hidden="false" customHeight="false" outlineLevel="0" collapsed="false">
      <c r="B871" s="57"/>
      <c r="C871" s="58"/>
      <c r="D871" s="58"/>
      <c r="E871" s="59"/>
      <c r="F871" s="58"/>
      <c r="G871" s="58"/>
      <c r="H871" s="60" t="str">
        <f aca="false">IF(OR(E871="",D871=""),"",IF(K871=0,"Expense / Gasto",INDEX(Budget!$C$7:$C$41,K871)))</f>
        <v/>
      </c>
      <c r="I871" s="60" t="str">
        <f aca="false">IF(AND(B871="",E871=""),"",IF(NOT(ISNUMBER(B871)),"⚠ ADD DATE / AGREGA FECHA",IF(E871="","⚠ ADD AMOUNT / AGREGA MONTO",IF(D871="","⚠ ADD CATEGORY / AGREGA CATEGORÍA",IF(K871=0,"● NEW CATEGORY? / ¿CATEGORÍA NUEVA?","✔ OK")))))</f>
        <v/>
      </c>
      <c r="K871" s="56" t="str">
        <f aca="false">IF(D871="","",IFERROR(MATCH(D871,Budget!$B$7:$B$41,0),0))</f>
        <v/>
      </c>
      <c r="L871" s="56" t="n">
        <f aca="false">IF(AND(ISNUMBER(B871),ISNUMBER(E871),D871&lt;&gt;""),YEAR(B871)*100+MONTH(B871),0)</f>
        <v>0</v>
      </c>
      <c r="M871" s="56" t="n">
        <f aca="false">IF(L871=0,0,YEAR(B871))</f>
        <v>0</v>
      </c>
      <c r="N871" s="56" t="str">
        <f aca="false">IF(L871=0,"",IF(K871=0,"Wants / Gustos",INDEX(Budget!$D$7:$D$41,K871)))</f>
        <v/>
      </c>
    </row>
    <row r="872" customFormat="false" ht="15" hidden="false" customHeight="false" outlineLevel="0" collapsed="false">
      <c r="B872" s="57"/>
      <c r="C872" s="58"/>
      <c r="D872" s="58"/>
      <c r="E872" s="59"/>
      <c r="F872" s="58"/>
      <c r="G872" s="58"/>
      <c r="H872" s="60" t="str">
        <f aca="false">IF(OR(E872="",D872=""),"",IF(K872=0,"Expense / Gasto",INDEX(Budget!$C$7:$C$41,K872)))</f>
        <v/>
      </c>
      <c r="I872" s="60" t="str">
        <f aca="false">IF(AND(B872="",E872=""),"",IF(NOT(ISNUMBER(B872)),"⚠ ADD DATE / AGREGA FECHA",IF(E872="","⚠ ADD AMOUNT / AGREGA MONTO",IF(D872="","⚠ ADD CATEGORY / AGREGA CATEGORÍA",IF(K872=0,"● NEW CATEGORY? / ¿CATEGORÍA NUEVA?","✔ OK")))))</f>
        <v/>
      </c>
      <c r="K872" s="56" t="str">
        <f aca="false">IF(D872="","",IFERROR(MATCH(D872,Budget!$B$7:$B$41,0),0))</f>
        <v/>
      </c>
      <c r="L872" s="56" t="n">
        <f aca="false">IF(AND(ISNUMBER(B872),ISNUMBER(E872),D872&lt;&gt;""),YEAR(B872)*100+MONTH(B872),0)</f>
        <v>0</v>
      </c>
      <c r="M872" s="56" t="n">
        <f aca="false">IF(L872=0,0,YEAR(B872))</f>
        <v>0</v>
      </c>
      <c r="N872" s="56" t="str">
        <f aca="false">IF(L872=0,"",IF(K872=0,"Wants / Gustos",INDEX(Budget!$D$7:$D$41,K872)))</f>
        <v/>
      </c>
    </row>
    <row r="873" customFormat="false" ht="15" hidden="false" customHeight="false" outlineLevel="0" collapsed="false">
      <c r="B873" s="57"/>
      <c r="C873" s="58"/>
      <c r="D873" s="58"/>
      <c r="E873" s="59"/>
      <c r="F873" s="58"/>
      <c r="G873" s="58"/>
      <c r="H873" s="60" t="str">
        <f aca="false">IF(OR(E873="",D873=""),"",IF(K873=0,"Expense / Gasto",INDEX(Budget!$C$7:$C$41,K873)))</f>
        <v/>
      </c>
      <c r="I873" s="60" t="str">
        <f aca="false">IF(AND(B873="",E873=""),"",IF(NOT(ISNUMBER(B873)),"⚠ ADD DATE / AGREGA FECHA",IF(E873="","⚠ ADD AMOUNT / AGREGA MONTO",IF(D873="","⚠ ADD CATEGORY / AGREGA CATEGORÍA",IF(K873=0,"● NEW CATEGORY? / ¿CATEGORÍA NUEVA?","✔ OK")))))</f>
        <v/>
      </c>
      <c r="K873" s="56" t="str">
        <f aca="false">IF(D873="","",IFERROR(MATCH(D873,Budget!$B$7:$B$41,0),0))</f>
        <v/>
      </c>
      <c r="L873" s="56" t="n">
        <f aca="false">IF(AND(ISNUMBER(B873),ISNUMBER(E873),D873&lt;&gt;""),YEAR(B873)*100+MONTH(B873),0)</f>
        <v>0</v>
      </c>
      <c r="M873" s="56" t="n">
        <f aca="false">IF(L873=0,0,YEAR(B873))</f>
        <v>0</v>
      </c>
      <c r="N873" s="56" t="str">
        <f aca="false">IF(L873=0,"",IF(K873=0,"Wants / Gustos",INDEX(Budget!$D$7:$D$41,K873)))</f>
        <v/>
      </c>
    </row>
    <row r="874" customFormat="false" ht="15" hidden="false" customHeight="false" outlineLevel="0" collapsed="false">
      <c r="B874" s="57"/>
      <c r="C874" s="58"/>
      <c r="D874" s="58"/>
      <c r="E874" s="59"/>
      <c r="F874" s="58"/>
      <c r="G874" s="58"/>
      <c r="H874" s="60" t="str">
        <f aca="false">IF(OR(E874="",D874=""),"",IF(K874=0,"Expense / Gasto",INDEX(Budget!$C$7:$C$41,K874)))</f>
        <v/>
      </c>
      <c r="I874" s="60" t="str">
        <f aca="false">IF(AND(B874="",E874=""),"",IF(NOT(ISNUMBER(B874)),"⚠ ADD DATE / AGREGA FECHA",IF(E874="","⚠ ADD AMOUNT / AGREGA MONTO",IF(D874="","⚠ ADD CATEGORY / AGREGA CATEGORÍA",IF(K874=0,"● NEW CATEGORY? / ¿CATEGORÍA NUEVA?","✔ OK")))))</f>
        <v/>
      </c>
      <c r="K874" s="56" t="str">
        <f aca="false">IF(D874="","",IFERROR(MATCH(D874,Budget!$B$7:$B$41,0),0))</f>
        <v/>
      </c>
      <c r="L874" s="56" t="n">
        <f aca="false">IF(AND(ISNUMBER(B874),ISNUMBER(E874),D874&lt;&gt;""),YEAR(B874)*100+MONTH(B874),0)</f>
        <v>0</v>
      </c>
      <c r="M874" s="56" t="n">
        <f aca="false">IF(L874=0,0,YEAR(B874))</f>
        <v>0</v>
      </c>
      <c r="N874" s="56" t="str">
        <f aca="false">IF(L874=0,"",IF(K874=0,"Wants / Gustos",INDEX(Budget!$D$7:$D$41,K874)))</f>
        <v/>
      </c>
    </row>
    <row r="875" customFormat="false" ht="15" hidden="false" customHeight="false" outlineLevel="0" collapsed="false">
      <c r="B875" s="57"/>
      <c r="C875" s="58"/>
      <c r="D875" s="58"/>
      <c r="E875" s="59"/>
      <c r="F875" s="58"/>
      <c r="G875" s="58"/>
      <c r="H875" s="60" t="str">
        <f aca="false">IF(OR(E875="",D875=""),"",IF(K875=0,"Expense / Gasto",INDEX(Budget!$C$7:$C$41,K875)))</f>
        <v/>
      </c>
      <c r="I875" s="60" t="str">
        <f aca="false">IF(AND(B875="",E875=""),"",IF(NOT(ISNUMBER(B875)),"⚠ ADD DATE / AGREGA FECHA",IF(E875="","⚠ ADD AMOUNT / AGREGA MONTO",IF(D875="","⚠ ADD CATEGORY / AGREGA CATEGORÍA",IF(K875=0,"● NEW CATEGORY? / ¿CATEGORÍA NUEVA?","✔ OK")))))</f>
        <v/>
      </c>
      <c r="K875" s="56" t="str">
        <f aca="false">IF(D875="","",IFERROR(MATCH(D875,Budget!$B$7:$B$41,0),0))</f>
        <v/>
      </c>
      <c r="L875" s="56" t="n">
        <f aca="false">IF(AND(ISNUMBER(B875),ISNUMBER(E875),D875&lt;&gt;""),YEAR(B875)*100+MONTH(B875),0)</f>
        <v>0</v>
      </c>
      <c r="M875" s="56" t="n">
        <f aca="false">IF(L875=0,0,YEAR(B875))</f>
        <v>0</v>
      </c>
      <c r="N875" s="56" t="str">
        <f aca="false">IF(L875=0,"",IF(K875=0,"Wants / Gustos",INDEX(Budget!$D$7:$D$41,K875)))</f>
        <v/>
      </c>
    </row>
    <row r="876" customFormat="false" ht="15" hidden="false" customHeight="false" outlineLevel="0" collapsed="false">
      <c r="B876" s="57"/>
      <c r="C876" s="58"/>
      <c r="D876" s="58"/>
      <c r="E876" s="59"/>
      <c r="F876" s="58"/>
      <c r="G876" s="58"/>
      <c r="H876" s="60" t="str">
        <f aca="false">IF(OR(E876="",D876=""),"",IF(K876=0,"Expense / Gasto",INDEX(Budget!$C$7:$C$41,K876)))</f>
        <v/>
      </c>
      <c r="I876" s="60" t="str">
        <f aca="false">IF(AND(B876="",E876=""),"",IF(NOT(ISNUMBER(B876)),"⚠ ADD DATE / AGREGA FECHA",IF(E876="","⚠ ADD AMOUNT / AGREGA MONTO",IF(D876="","⚠ ADD CATEGORY / AGREGA CATEGORÍA",IF(K876=0,"● NEW CATEGORY? / ¿CATEGORÍA NUEVA?","✔ OK")))))</f>
        <v/>
      </c>
      <c r="K876" s="56" t="str">
        <f aca="false">IF(D876="","",IFERROR(MATCH(D876,Budget!$B$7:$B$41,0),0))</f>
        <v/>
      </c>
      <c r="L876" s="56" t="n">
        <f aca="false">IF(AND(ISNUMBER(B876),ISNUMBER(E876),D876&lt;&gt;""),YEAR(B876)*100+MONTH(B876),0)</f>
        <v>0</v>
      </c>
      <c r="M876" s="56" t="n">
        <f aca="false">IF(L876=0,0,YEAR(B876))</f>
        <v>0</v>
      </c>
      <c r="N876" s="56" t="str">
        <f aca="false">IF(L876=0,"",IF(K876=0,"Wants / Gustos",INDEX(Budget!$D$7:$D$41,K876)))</f>
        <v/>
      </c>
    </row>
    <row r="877" customFormat="false" ht="15" hidden="false" customHeight="false" outlineLevel="0" collapsed="false">
      <c r="B877" s="57"/>
      <c r="C877" s="58"/>
      <c r="D877" s="58"/>
      <c r="E877" s="59"/>
      <c r="F877" s="58"/>
      <c r="G877" s="58"/>
      <c r="H877" s="60" t="str">
        <f aca="false">IF(OR(E877="",D877=""),"",IF(K877=0,"Expense / Gasto",INDEX(Budget!$C$7:$C$41,K877)))</f>
        <v/>
      </c>
      <c r="I877" s="60" t="str">
        <f aca="false">IF(AND(B877="",E877=""),"",IF(NOT(ISNUMBER(B877)),"⚠ ADD DATE / AGREGA FECHA",IF(E877="","⚠ ADD AMOUNT / AGREGA MONTO",IF(D877="","⚠ ADD CATEGORY / AGREGA CATEGORÍA",IF(K877=0,"● NEW CATEGORY? / ¿CATEGORÍA NUEVA?","✔ OK")))))</f>
        <v/>
      </c>
      <c r="K877" s="56" t="str">
        <f aca="false">IF(D877="","",IFERROR(MATCH(D877,Budget!$B$7:$B$41,0),0))</f>
        <v/>
      </c>
      <c r="L877" s="56" t="n">
        <f aca="false">IF(AND(ISNUMBER(B877),ISNUMBER(E877),D877&lt;&gt;""),YEAR(B877)*100+MONTH(B877),0)</f>
        <v>0</v>
      </c>
      <c r="M877" s="56" t="n">
        <f aca="false">IF(L877=0,0,YEAR(B877))</f>
        <v>0</v>
      </c>
      <c r="N877" s="56" t="str">
        <f aca="false">IF(L877=0,"",IF(K877=0,"Wants / Gustos",INDEX(Budget!$D$7:$D$41,K877)))</f>
        <v/>
      </c>
    </row>
    <row r="878" customFormat="false" ht="15" hidden="false" customHeight="false" outlineLevel="0" collapsed="false">
      <c r="B878" s="57"/>
      <c r="C878" s="58"/>
      <c r="D878" s="58"/>
      <c r="E878" s="59"/>
      <c r="F878" s="58"/>
      <c r="G878" s="58"/>
      <c r="H878" s="60" t="str">
        <f aca="false">IF(OR(E878="",D878=""),"",IF(K878=0,"Expense / Gasto",INDEX(Budget!$C$7:$C$41,K878)))</f>
        <v/>
      </c>
      <c r="I878" s="60" t="str">
        <f aca="false">IF(AND(B878="",E878=""),"",IF(NOT(ISNUMBER(B878)),"⚠ ADD DATE / AGREGA FECHA",IF(E878="","⚠ ADD AMOUNT / AGREGA MONTO",IF(D878="","⚠ ADD CATEGORY / AGREGA CATEGORÍA",IF(K878=0,"● NEW CATEGORY? / ¿CATEGORÍA NUEVA?","✔ OK")))))</f>
        <v/>
      </c>
      <c r="K878" s="56" t="str">
        <f aca="false">IF(D878="","",IFERROR(MATCH(D878,Budget!$B$7:$B$41,0),0))</f>
        <v/>
      </c>
      <c r="L878" s="56" t="n">
        <f aca="false">IF(AND(ISNUMBER(B878),ISNUMBER(E878),D878&lt;&gt;""),YEAR(B878)*100+MONTH(B878),0)</f>
        <v>0</v>
      </c>
      <c r="M878" s="56" t="n">
        <f aca="false">IF(L878=0,0,YEAR(B878))</f>
        <v>0</v>
      </c>
      <c r="N878" s="56" t="str">
        <f aca="false">IF(L878=0,"",IF(K878=0,"Wants / Gustos",INDEX(Budget!$D$7:$D$41,K878)))</f>
        <v/>
      </c>
    </row>
    <row r="879" customFormat="false" ht="15" hidden="false" customHeight="false" outlineLevel="0" collapsed="false">
      <c r="B879" s="57"/>
      <c r="C879" s="58"/>
      <c r="D879" s="58"/>
      <c r="E879" s="59"/>
      <c r="F879" s="58"/>
      <c r="G879" s="58"/>
      <c r="H879" s="60" t="str">
        <f aca="false">IF(OR(E879="",D879=""),"",IF(K879=0,"Expense / Gasto",INDEX(Budget!$C$7:$C$41,K879)))</f>
        <v/>
      </c>
      <c r="I879" s="60" t="str">
        <f aca="false">IF(AND(B879="",E879=""),"",IF(NOT(ISNUMBER(B879)),"⚠ ADD DATE / AGREGA FECHA",IF(E879="","⚠ ADD AMOUNT / AGREGA MONTO",IF(D879="","⚠ ADD CATEGORY / AGREGA CATEGORÍA",IF(K879=0,"● NEW CATEGORY? / ¿CATEGORÍA NUEVA?","✔ OK")))))</f>
        <v/>
      </c>
      <c r="K879" s="56" t="str">
        <f aca="false">IF(D879="","",IFERROR(MATCH(D879,Budget!$B$7:$B$41,0),0))</f>
        <v/>
      </c>
      <c r="L879" s="56" t="n">
        <f aca="false">IF(AND(ISNUMBER(B879),ISNUMBER(E879),D879&lt;&gt;""),YEAR(B879)*100+MONTH(B879),0)</f>
        <v>0</v>
      </c>
      <c r="M879" s="56" t="n">
        <f aca="false">IF(L879=0,0,YEAR(B879))</f>
        <v>0</v>
      </c>
      <c r="N879" s="56" t="str">
        <f aca="false">IF(L879=0,"",IF(K879=0,"Wants / Gustos",INDEX(Budget!$D$7:$D$41,K879)))</f>
        <v/>
      </c>
    </row>
    <row r="880" customFormat="false" ht="15" hidden="false" customHeight="false" outlineLevel="0" collapsed="false">
      <c r="B880" s="57"/>
      <c r="C880" s="58"/>
      <c r="D880" s="58"/>
      <c r="E880" s="59"/>
      <c r="F880" s="58"/>
      <c r="G880" s="58"/>
      <c r="H880" s="60" t="str">
        <f aca="false">IF(OR(E880="",D880=""),"",IF(K880=0,"Expense / Gasto",INDEX(Budget!$C$7:$C$41,K880)))</f>
        <v/>
      </c>
      <c r="I880" s="60" t="str">
        <f aca="false">IF(AND(B880="",E880=""),"",IF(NOT(ISNUMBER(B880)),"⚠ ADD DATE / AGREGA FECHA",IF(E880="","⚠ ADD AMOUNT / AGREGA MONTO",IF(D880="","⚠ ADD CATEGORY / AGREGA CATEGORÍA",IF(K880=0,"● NEW CATEGORY? / ¿CATEGORÍA NUEVA?","✔ OK")))))</f>
        <v/>
      </c>
      <c r="K880" s="56" t="str">
        <f aca="false">IF(D880="","",IFERROR(MATCH(D880,Budget!$B$7:$B$41,0),0))</f>
        <v/>
      </c>
      <c r="L880" s="56" t="n">
        <f aca="false">IF(AND(ISNUMBER(B880),ISNUMBER(E880),D880&lt;&gt;""),YEAR(B880)*100+MONTH(B880),0)</f>
        <v>0</v>
      </c>
      <c r="M880" s="56" t="n">
        <f aca="false">IF(L880=0,0,YEAR(B880))</f>
        <v>0</v>
      </c>
      <c r="N880" s="56" t="str">
        <f aca="false">IF(L880=0,"",IF(K880=0,"Wants / Gustos",INDEX(Budget!$D$7:$D$41,K880)))</f>
        <v/>
      </c>
    </row>
    <row r="881" customFormat="false" ht="15" hidden="false" customHeight="false" outlineLevel="0" collapsed="false">
      <c r="B881" s="57"/>
      <c r="C881" s="58"/>
      <c r="D881" s="58"/>
      <c r="E881" s="59"/>
      <c r="F881" s="58"/>
      <c r="G881" s="58"/>
      <c r="H881" s="60" t="str">
        <f aca="false">IF(OR(E881="",D881=""),"",IF(K881=0,"Expense / Gasto",INDEX(Budget!$C$7:$C$41,K881)))</f>
        <v/>
      </c>
      <c r="I881" s="60" t="str">
        <f aca="false">IF(AND(B881="",E881=""),"",IF(NOT(ISNUMBER(B881)),"⚠ ADD DATE / AGREGA FECHA",IF(E881="","⚠ ADD AMOUNT / AGREGA MONTO",IF(D881="","⚠ ADD CATEGORY / AGREGA CATEGORÍA",IF(K881=0,"● NEW CATEGORY? / ¿CATEGORÍA NUEVA?","✔ OK")))))</f>
        <v/>
      </c>
      <c r="K881" s="56" t="str">
        <f aca="false">IF(D881="","",IFERROR(MATCH(D881,Budget!$B$7:$B$41,0),0))</f>
        <v/>
      </c>
      <c r="L881" s="56" t="n">
        <f aca="false">IF(AND(ISNUMBER(B881),ISNUMBER(E881),D881&lt;&gt;""),YEAR(B881)*100+MONTH(B881),0)</f>
        <v>0</v>
      </c>
      <c r="M881" s="56" t="n">
        <f aca="false">IF(L881=0,0,YEAR(B881))</f>
        <v>0</v>
      </c>
      <c r="N881" s="56" t="str">
        <f aca="false">IF(L881=0,"",IF(K881=0,"Wants / Gustos",INDEX(Budget!$D$7:$D$41,K881)))</f>
        <v/>
      </c>
    </row>
    <row r="882" customFormat="false" ht="15" hidden="false" customHeight="false" outlineLevel="0" collapsed="false">
      <c r="B882" s="57"/>
      <c r="C882" s="58"/>
      <c r="D882" s="58"/>
      <c r="E882" s="59"/>
      <c r="F882" s="58"/>
      <c r="G882" s="58"/>
      <c r="H882" s="60" t="str">
        <f aca="false">IF(OR(E882="",D882=""),"",IF(K882=0,"Expense / Gasto",INDEX(Budget!$C$7:$C$41,K882)))</f>
        <v/>
      </c>
      <c r="I882" s="60" t="str">
        <f aca="false">IF(AND(B882="",E882=""),"",IF(NOT(ISNUMBER(B882)),"⚠ ADD DATE / AGREGA FECHA",IF(E882="","⚠ ADD AMOUNT / AGREGA MONTO",IF(D882="","⚠ ADD CATEGORY / AGREGA CATEGORÍA",IF(K882=0,"● NEW CATEGORY? / ¿CATEGORÍA NUEVA?","✔ OK")))))</f>
        <v/>
      </c>
      <c r="K882" s="56" t="str">
        <f aca="false">IF(D882="","",IFERROR(MATCH(D882,Budget!$B$7:$B$41,0),0))</f>
        <v/>
      </c>
      <c r="L882" s="56" t="n">
        <f aca="false">IF(AND(ISNUMBER(B882),ISNUMBER(E882),D882&lt;&gt;""),YEAR(B882)*100+MONTH(B882),0)</f>
        <v>0</v>
      </c>
      <c r="M882" s="56" t="n">
        <f aca="false">IF(L882=0,0,YEAR(B882))</f>
        <v>0</v>
      </c>
      <c r="N882" s="56" t="str">
        <f aca="false">IF(L882=0,"",IF(K882=0,"Wants / Gustos",INDEX(Budget!$D$7:$D$41,K882)))</f>
        <v/>
      </c>
    </row>
    <row r="883" customFormat="false" ht="15" hidden="false" customHeight="false" outlineLevel="0" collapsed="false">
      <c r="B883" s="57"/>
      <c r="C883" s="58"/>
      <c r="D883" s="58"/>
      <c r="E883" s="59"/>
      <c r="F883" s="58"/>
      <c r="G883" s="58"/>
      <c r="H883" s="60" t="str">
        <f aca="false">IF(OR(E883="",D883=""),"",IF(K883=0,"Expense / Gasto",INDEX(Budget!$C$7:$C$41,K883)))</f>
        <v/>
      </c>
      <c r="I883" s="60" t="str">
        <f aca="false">IF(AND(B883="",E883=""),"",IF(NOT(ISNUMBER(B883)),"⚠ ADD DATE / AGREGA FECHA",IF(E883="","⚠ ADD AMOUNT / AGREGA MONTO",IF(D883="","⚠ ADD CATEGORY / AGREGA CATEGORÍA",IF(K883=0,"● NEW CATEGORY? / ¿CATEGORÍA NUEVA?","✔ OK")))))</f>
        <v/>
      </c>
      <c r="K883" s="56" t="str">
        <f aca="false">IF(D883="","",IFERROR(MATCH(D883,Budget!$B$7:$B$41,0),0))</f>
        <v/>
      </c>
      <c r="L883" s="56" t="n">
        <f aca="false">IF(AND(ISNUMBER(B883),ISNUMBER(E883),D883&lt;&gt;""),YEAR(B883)*100+MONTH(B883),0)</f>
        <v>0</v>
      </c>
      <c r="M883" s="56" t="n">
        <f aca="false">IF(L883=0,0,YEAR(B883))</f>
        <v>0</v>
      </c>
      <c r="N883" s="56" t="str">
        <f aca="false">IF(L883=0,"",IF(K883=0,"Wants / Gustos",INDEX(Budget!$D$7:$D$41,K883)))</f>
        <v/>
      </c>
    </row>
    <row r="884" customFormat="false" ht="15" hidden="false" customHeight="false" outlineLevel="0" collapsed="false">
      <c r="B884" s="57"/>
      <c r="C884" s="58"/>
      <c r="D884" s="58"/>
      <c r="E884" s="59"/>
      <c r="F884" s="58"/>
      <c r="G884" s="58"/>
      <c r="H884" s="60" t="str">
        <f aca="false">IF(OR(E884="",D884=""),"",IF(K884=0,"Expense / Gasto",INDEX(Budget!$C$7:$C$41,K884)))</f>
        <v/>
      </c>
      <c r="I884" s="60" t="str">
        <f aca="false">IF(AND(B884="",E884=""),"",IF(NOT(ISNUMBER(B884)),"⚠ ADD DATE / AGREGA FECHA",IF(E884="","⚠ ADD AMOUNT / AGREGA MONTO",IF(D884="","⚠ ADD CATEGORY / AGREGA CATEGORÍA",IF(K884=0,"● NEW CATEGORY? / ¿CATEGORÍA NUEVA?","✔ OK")))))</f>
        <v/>
      </c>
      <c r="K884" s="56" t="str">
        <f aca="false">IF(D884="","",IFERROR(MATCH(D884,Budget!$B$7:$B$41,0),0))</f>
        <v/>
      </c>
      <c r="L884" s="56" t="n">
        <f aca="false">IF(AND(ISNUMBER(B884),ISNUMBER(E884),D884&lt;&gt;""),YEAR(B884)*100+MONTH(B884),0)</f>
        <v>0</v>
      </c>
      <c r="M884" s="56" t="n">
        <f aca="false">IF(L884=0,0,YEAR(B884))</f>
        <v>0</v>
      </c>
      <c r="N884" s="56" t="str">
        <f aca="false">IF(L884=0,"",IF(K884=0,"Wants / Gustos",INDEX(Budget!$D$7:$D$41,K884)))</f>
        <v/>
      </c>
    </row>
    <row r="885" customFormat="false" ht="15" hidden="false" customHeight="false" outlineLevel="0" collapsed="false">
      <c r="B885" s="57"/>
      <c r="C885" s="58"/>
      <c r="D885" s="58"/>
      <c r="E885" s="59"/>
      <c r="F885" s="58"/>
      <c r="G885" s="58"/>
      <c r="H885" s="60" t="str">
        <f aca="false">IF(OR(E885="",D885=""),"",IF(K885=0,"Expense / Gasto",INDEX(Budget!$C$7:$C$41,K885)))</f>
        <v/>
      </c>
      <c r="I885" s="60" t="str">
        <f aca="false">IF(AND(B885="",E885=""),"",IF(NOT(ISNUMBER(B885)),"⚠ ADD DATE / AGREGA FECHA",IF(E885="","⚠ ADD AMOUNT / AGREGA MONTO",IF(D885="","⚠ ADD CATEGORY / AGREGA CATEGORÍA",IF(K885=0,"● NEW CATEGORY? / ¿CATEGORÍA NUEVA?","✔ OK")))))</f>
        <v/>
      </c>
      <c r="K885" s="56" t="str">
        <f aca="false">IF(D885="","",IFERROR(MATCH(D885,Budget!$B$7:$B$41,0),0))</f>
        <v/>
      </c>
      <c r="L885" s="56" t="n">
        <f aca="false">IF(AND(ISNUMBER(B885),ISNUMBER(E885),D885&lt;&gt;""),YEAR(B885)*100+MONTH(B885),0)</f>
        <v>0</v>
      </c>
      <c r="M885" s="56" t="n">
        <f aca="false">IF(L885=0,0,YEAR(B885))</f>
        <v>0</v>
      </c>
      <c r="N885" s="56" t="str">
        <f aca="false">IF(L885=0,"",IF(K885=0,"Wants / Gustos",INDEX(Budget!$D$7:$D$41,K885)))</f>
        <v/>
      </c>
    </row>
    <row r="886" customFormat="false" ht="15" hidden="false" customHeight="false" outlineLevel="0" collapsed="false">
      <c r="B886" s="57"/>
      <c r="C886" s="58"/>
      <c r="D886" s="58"/>
      <c r="E886" s="59"/>
      <c r="F886" s="58"/>
      <c r="G886" s="58"/>
      <c r="H886" s="60" t="str">
        <f aca="false">IF(OR(E886="",D886=""),"",IF(K886=0,"Expense / Gasto",INDEX(Budget!$C$7:$C$41,K886)))</f>
        <v/>
      </c>
      <c r="I886" s="60" t="str">
        <f aca="false">IF(AND(B886="",E886=""),"",IF(NOT(ISNUMBER(B886)),"⚠ ADD DATE / AGREGA FECHA",IF(E886="","⚠ ADD AMOUNT / AGREGA MONTO",IF(D886="","⚠ ADD CATEGORY / AGREGA CATEGORÍA",IF(K886=0,"● NEW CATEGORY? / ¿CATEGORÍA NUEVA?","✔ OK")))))</f>
        <v/>
      </c>
      <c r="K886" s="56" t="str">
        <f aca="false">IF(D886="","",IFERROR(MATCH(D886,Budget!$B$7:$B$41,0),0))</f>
        <v/>
      </c>
      <c r="L886" s="56" t="n">
        <f aca="false">IF(AND(ISNUMBER(B886),ISNUMBER(E886),D886&lt;&gt;""),YEAR(B886)*100+MONTH(B886),0)</f>
        <v>0</v>
      </c>
      <c r="M886" s="56" t="n">
        <f aca="false">IF(L886=0,0,YEAR(B886))</f>
        <v>0</v>
      </c>
      <c r="N886" s="56" t="str">
        <f aca="false">IF(L886=0,"",IF(K886=0,"Wants / Gustos",INDEX(Budget!$D$7:$D$41,K886)))</f>
        <v/>
      </c>
    </row>
    <row r="887" customFormat="false" ht="15" hidden="false" customHeight="false" outlineLevel="0" collapsed="false">
      <c r="B887" s="57"/>
      <c r="C887" s="58"/>
      <c r="D887" s="58"/>
      <c r="E887" s="59"/>
      <c r="F887" s="58"/>
      <c r="G887" s="58"/>
      <c r="H887" s="60" t="str">
        <f aca="false">IF(OR(E887="",D887=""),"",IF(K887=0,"Expense / Gasto",INDEX(Budget!$C$7:$C$41,K887)))</f>
        <v/>
      </c>
      <c r="I887" s="60" t="str">
        <f aca="false">IF(AND(B887="",E887=""),"",IF(NOT(ISNUMBER(B887)),"⚠ ADD DATE / AGREGA FECHA",IF(E887="","⚠ ADD AMOUNT / AGREGA MONTO",IF(D887="","⚠ ADD CATEGORY / AGREGA CATEGORÍA",IF(K887=0,"● NEW CATEGORY? / ¿CATEGORÍA NUEVA?","✔ OK")))))</f>
        <v/>
      </c>
      <c r="K887" s="56" t="str">
        <f aca="false">IF(D887="","",IFERROR(MATCH(D887,Budget!$B$7:$B$41,0),0))</f>
        <v/>
      </c>
      <c r="L887" s="56" t="n">
        <f aca="false">IF(AND(ISNUMBER(B887),ISNUMBER(E887),D887&lt;&gt;""),YEAR(B887)*100+MONTH(B887),0)</f>
        <v>0</v>
      </c>
      <c r="M887" s="56" t="n">
        <f aca="false">IF(L887=0,0,YEAR(B887))</f>
        <v>0</v>
      </c>
      <c r="N887" s="56" t="str">
        <f aca="false">IF(L887=0,"",IF(K887=0,"Wants / Gustos",INDEX(Budget!$D$7:$D$41,K887)))</f>
        <v/>
      </c>
    </row>
    <row r="888" customFormat="false" ht="15" hidden="false" customHeight="false" outlineLevel="0" collapsed="false">
      <c r="B888" s="57"/>
      <c r="C888" s="58"/>
      <c r="D888" s="58"/>
      <c r="E888" s="59"/>
      <c r="F888" s="58"/>
      <c r="G888" s="58"/>
      <c r="H888" s="60" t="str">
        <f aca="false">IF(OR(E888="",D888=""),"",IF(K888=0,"Expense / Gasto",INDEX(Budget!$C$7:$C$41,K888)))</f>
        <v/>
      </c>
      <c r="I888" s="60" t="str">
        <f aca="false">IF(AND(B888="",E888=""),"",IF(NOT(ISNUMBER(B888)),"⚠ ADD DATE / AGREGA FECHA",IF(E888="","⚠ ADD AMOUNT / AGREGA MONTO",IF(D888="","⚠ ADD CATEGORY / AGREGA CATEGORÍA",IF(K888=0,"● NEW CATEGORY? / ¿CATEGORÍA NUEVA?","✔ OK")))))</f>
        <v/>
      </c>
      <c r="K888" s="56" t="str">
        <f aca="false">IF(D888="","",IFERROR(MATCH(D888,Budget!$B$7:$B$41,0),0))</f>
        <v/>
      </c>
      <c r="L888" s="56" t="n">
        <f aca="false">IF(AND(ISNUMBER(B888),ISNUMBER(E888),D888&lt;&gt;""),YEAR(B888)*100+MONTH(B888),0)</f>
        <v>0</v>
      </c>
      <c r="M888" s="56" t="n">
        <f aca="false">IF(L888=0,0,YEAR(B888))</f>
        <v>0</v>
      </c>
      <c r="N888" s="56" t="str">
        <f aca="false">IF(L888=0,"",IF(K888=0,"Wants / Gustos",INDEX(Budget!$D$7:$D$41,K888)))</f>
        <v/>
      </c>
    </row>
    <row r="889" customFormat="false" ht="15" hidden="false" customHeight="false" outlineLevel="0" collapsed="false">
      <c r="B889" s="57"/>
      <c r="C889" s="58"/>
      <c r="D889" s="58"/>
      <c r="E889" s="59"/>
      <c r="F889" s="58"/>
      <c r="G889" s="58"/>
      <c r="H889" s="60" t="str">
        <f aca="false">IF(OR(E889="",D889=""),"",IF(K889=0,"Expense / Gasto",INDEX(Budget!$C$7:$C$41,K889)))</f>
        <v/>
      </c>
      <c r="I889" s="60" t="str">
        <f aca="false">IF(AND(B889="",E889=""),"",IF(NOT(ISNUMBER(B889)),"⚠ ADD DATE / AGREGA FECHA",IF(E889="","⚠ ADD AMOUNT / AGREGA MONTO",IF(D889="","⚠ ADD CATEGORY / AGREGA CATEGORÍA",IF(K889=0,"● NEW CATEGORY? / ¿CATEGORÍA NUEVA?","✔ OK")))))</f>
        <v/>
      </c>
      <c r="K889" s="56" t="str">
        <f aca="false">IF(D889="","",IFERROR(MATCH(D889,Budget!$B$7:$B$41,0),0))</f>
        <v/>
      </c>
      <c r="L889" s="56" t="n">
        <f aca="false">IF(AND(ISNUMBER(B889),ISNUMBER(E889),D889&lt;&gt;""),YEAR(B889)*100+MONTH(B889),0)</f>
        <v>0</v>
      </c>
      <c r="M889" s="56" t="n">
        <f aca="false">IF(L889=0,0,YEAR(B889))</f>
        <v>0</v>
      </c>
      <c r="N889" s="56" t="str">
        <f aca="false">IF(L889=0,"",IF(K889=0,"Wants / Gustos",INDEX(Budget!$D$7:$D$41,K889)))</f>
        <v/>
      </c>
    </row>
    <row r="890" customFormat="false" ht="15" hidden="false" customHeight="false" outlineLevel="0" collapsed="false">
      <c r="B890" s="57"/>
      <c r="C890" s="58"/>
      <c r="D890" s="58"/>
      <c r="E890" s="59"/>
      <c r="F890" s="58"/>
      <c r="G890" s="58"/>
      <c r="H890" s="60" t="str">
        <f aca="false">IF(OR(E890="",D890=""),"",IF(K890=0,"Expense / Gasto",INDEX(Budget!$C$7:$C$41,K890)))</f>
        <v/>
      </c>
      <c r="I890" s="60" t="str">
        <f aca="false">IF(AND(B890="",E890=""),"",IF(NOT(ISNUMBER(B890)),"⚠ ADD DATE / AGREGA FECHA",IF(E890="","⚠ ADD AMOUNT / AGREGA MONTO",IF(D890="","⚠ ADD CATEGORY / AGREGA CATEGORÍA",IF(K890=0,"● NEW CATEGORY? / ¿CATEGORÍA NUEVA?","✔ OK")))))</f>
        <v/>
      </c>
      <c r="K890" s="56" t="str">
        <f aca="false">IF(D890="","",IFERROR(MATCH(D890,Budget!$B$7:$B$41,0),0))</f>
        <v/>
      </c>
      <c r="L890" s="56" t="n">
        <f aca="false">IF(AND(ISNUMBER(B890),ISNUMBER(E890),D890&lt;&gt;""),YEAR(B890)*100+MONTH(B890),0)</f>
        <v>0</v>
      </c>
      <c r="M890" s="56" t="n">
        <f aca="false">IF(L890=0,0,YEAR(B890))</f>
        <v>0</v>
      </c>
      <c r="N890" s="56" t="str">
        <f aca="false">IF(L890=0,"",IF(K890=0,"Wants / Gustos",INDEX(Budget!$D$7:$D$41,K890)))</f>
        <v/>
      </c>
    </row>
    <row r="891" customFormat="false" ht="15" hidden="false" customHeight="false" outlineLevel="0" collapsed="false">
      <c r="B891" s="57"/>
      <c r="C891" s="58"/>
      <c r="D891" s="58"/>
      <c r="E891" s="59"/>
      <c r="F891" s="58"/>
      <c r="G891" s="58"/>
      <c r="H891" s="60" t="str">
        <f aca="false">IF(OR(E891="",D891=""),"",IF(K891=0,"Expense / Gasto",INDEX(Budget!$C$7:$C$41,K891)))</f>
        <v/>
      </c>
      <c r="I891" s="60" t="str">
        <f aca="false">IF(AND(B891="",E891=""),"",IF(NOT(ISNUMBER(B891)),"⚠ ADD DATE / AGREGA FECHA",IF(E891="","⚠ ADD AMOUNT / AGREGA MONTO",IF(D891="","⚠ ADD CATEGORY / AGREGA CATEGORÍA",IF(K891=0,"● NEW CATEGORY? / ¿CATEGORÍA NUEVA?","✔ OK")))))</f>
        <v/>
      </c>
      <c r="K891" s="56" t="str">
        <f aca="false">IF(D891="","",IFERROR(MATCH(D891,Budget!$B$7:$B$41,0),0))</f>
        <v/>
      </c>
      <c r="L891" s="56" t="n">
        <f aca="false">IF(AND(ISNUMBER(B891),ISNUMBER(E891),D891&lt;&gt;""),YEAR(B891)*100+MONTH(B891),0)</f>
        <v>0</v>
      </c>
      <c r="M891" s="56" t="n">
        <f aca="false">IF(L891=0,0,YEAR(B891))</f>
        <v>0</v>
      </c>
      <c r="N891" s="56" t="str">
        <f aca="false">IF(L891=0,"",IF(K891=0,"Wants / Gustos",INDEX(Budget!$D$7:$D$41,K891)))</f>
        <v/>
      </c>
    </row>
    <row r="892" customFormat="false" ht="15" hidden="false" customHeight="false" outlineLevel="0" collapsed="false">
      <c r="B892" s="57"/>
      <c r="C892" s="58"/>
      <c r="D892" s="58"/>
      <c r="E892" s="59"/>
      <c r="F892" s="58"/>
      <c r="G892" s="58"/>
      <c r="H892" s="60" t="str">
        <f aca="false">IF(OR(E892="",D892=""),"",IF(K892=0,"Expense / Gasto",INDEX(Budget!$C$7:$C$41,K892)))</f>
        <v/>
      </c>
      <c r="I892" s="60" t="str">
        <f aca="false">IF(AND(B892="",E892=""),"",IF(NOT(ISNUMBER(B892)),"⚠ ADD DATE / AGREGA FECHA",IF(E892="","⚠ ADD AMOUNT / AGREGA MONTO",IF(D892="","⚠ ADD CATEGORY / AGREGA CATEGORÍA",IF(K892=0,"● NEW CATEGORY? / ¿CATEGORÍA NUEVA?","✔ OK")))))</f>
        <v/>
      </c>
      <c r="K892" s="56" t="str">
        <f aca="false">IF(D892="","",IFERROR(MATCH(D892,Budget!$B$7:$B$41,0),0))</f>
        <v/>
      </c>
      <c r="L892" s="56" t="n">
        <f aca="false">IF(AND(ISNUMBER(B892),ISNUMBER(E892),D892&lt;&gt;""),YEAR(B892)*100+MONTH(B892),0)</f>
        <v>0</v>
      </c>
      <c r="M892" s="56" t="n">
        <f aca="false">IF(L892=0,0,YEAR(B892))</f>
        <v>0</v>
      </c>
      <c r="N892" s="56" t="str">
        <f aca="false">IF(L892=0,"",IF(K892=0,"Wants / Gustos",INDEX(Budget!$D$7:$D$41,K892)))</f>
        <v/>
      </c>
    </row>
    <row r="893" customFormat="false" ht="15" hidden="false" customHeight="false" outlineLevel="0" collapsed="false">
      <c r="B893" s="57"/>
      <c r="C893" s="58"/>
      <c r="D893" s="58"/>
      <c r="E893" s="59"/>
      <c r="F893" s="58"/>
      <c r="G893" s="58"/>
      <c r="H893" s="60" t="str">
        <f aca="false">IF(OR(E893="",D893=""),"",IF(K893=0,"Expense / Gasto",INDEX(Budget!$C$7:$C$41,K893)))</f>
        <v/>
      </c>
      <c r="I893" s="60" t="str">
        <f aca="false">IF(AND(B893="",E893=""),"",IF(NOT(ISNUMBER(B893)),"⚠ ADD DATE / AGREGA FECHA",IF(E893="","⚠ ADD AMOUNT / AGREGA MONTO",IF(D893="","⚠ ADD CATEGORY / AGREGA CATEGORÍA",IF(K893=0,"● NEW CATEGORY? / ¿CATEGORÍA NUEVA?","✔ OK")))))</f>
        <v/>
      </c>
      <c r="K893" s="56" t="str">
        <f aca="false">IF(D893="","",IFERROR(MATCH(D893,Budget!$B$7:$B$41,0),0))</f>
        <v/>
      </c>
      <c r="L893" s="56" t="n">
        <f aca="false">IF(AND(ISNUMBER(B893),ISNUMBER(E893),D893&lt;&gt;""),YEAR(B893)*100+MONTH(B893),0)</f>
        <v>0</v>
      </c>
      <c r="M893" s="56" t="n">
        <f aca="false">IF(L893=0,0,YEAR(B893))</f>
        <v>0</v>
      </c>
      <c r="N893" s="56" t="str">
        <f aca="false">IF(L893=0,"",IF(K893=0,"Wants / Gustos",INDEX(Budget!$D$7:$D$41,K893)))</f>
        <v/>
      </c>
    </row>
    <row r="894" customFormat="false" ht="15" hidden="false" customHeight="false" outlineLevel="0" collapsed="false">
      <c r="B894" s="57"/>
      <c r="C894" s="58"/>
      <c r="D894" s="58"/>
      <c r="E894" s="59"/>
      <c r="F894" s="58"/>
      <c r="G894" s="58"/>
      <c r="H894" s="60" t="str">
        <f aca="false">IF(OR(E894="",D894=""),"",IF(K894=0,"Expense / Gasto",INDEX(Budget!$C$7:$C$41,K894)))</f>
        <v/>
      </c>
      <c r="I894" s="60" t="str">
        <f aca="false">IF(AND(B894="",E894=""),"",IF(NOT(ISNUMBER(B894)),"⚠ ADD DATE / AGREGA FECHA",IF(E894="","⚠ ADD AMOUNT / AGREGA MONTO",IF(D894="","⚠ ADD CATEGORY / AGREGA CATEGORÍA",IF(K894=0,"● NEW CATEGORY? / ¿CATEGORÍA NUEVA?","✔ OK")))))</f>
        <v/>
      </c>
      <c r="K894" s="56" t="str">
        <f aca="false">IF(D894="","",IFERROR(MATCH(D894,Budget!$B$7:$B$41,0),0))</f>
        <v/>
      </c>
      <c r="L894" s="56" t="n">
        <f aca="false">IF(AND(ISNUMBER(B894),ISNUMBER(E894),D894&lt;&gt;""),YEAR(B894)*100+MONTH(B894),0)</f>
        <v>0</v>
      </c>
      <c r="M894" s="56" t="n">
        <f aca="false">IF(L894=0,0,YEAR(B894))</f>
        <v>0</v>
      </c>
      <c r="N894" s="56" t="str">
        <f aca="false">IF(L894=0,"",IF(K894=0,"Wants / Gustos",INDEX(Budget!$D$7:$D$41,K894)))</f>
        <v/>
      </c>
    </row>
    <row r="895" customFormat="false" ht="15" hidden="false" customHeight="false" outlineLevel="0" collapsed="false">
      <c r="B895" s="57"/>
      <c r="C895" s="58"/>
      <c r="D895" s="58"/>
      <c r="E895" s="59"/>
      <c r="F895" s="58"/>
      <c r="G895" s="58"/>
      <c r="H895" s="60" t="str">
        <f aca="false">IF(OR(E895="",D895=""),"",IF(K895=0,"Expense / Gasto",INDEX(Budget!$C$7:$C$41,K895)))</f>
        <v/>
      </c>
      <c r="I895" s="60" t="str">
        <f aca="false">IF(AND(B895="",E895=""),"",IF(NOT(ISNUMBER(B895)),"⚠ ADD DATE / AGREGA FECHA",IF(E895="","⚠ ADD AMOUNT / AGREGA MONTO",IF(D895="","⚠ ADD CATEGORY / AGREGA CATEGORÍA",IF(K895=0,"● NEW CATEGORY? / ¿CATEGORÍA NUEVA?","✔ OK")))))</f>
        <v/>
      </c>
      <c r="K895" s="56" t="str">
        <f aca="false">IF(D895="","",IFERROR(MATCH(D895,Budget!$B$7:$B$41,0),0))</f>
        <v/>
      </c>
      <c r="L895" s="56" t="n">
        <f aca="false">IF(AND(ISNUMBER(B895),ISNUMBER(E895),D895&lt;&gt;""),YEAR(B895)*100+MONTH(B895),0)</f>
        <v>0</v>
      </c>
      <c r="M895" s="56" t="n">
        <f aca="false">IF(L895=0,0,YEAR(B895))</f>
        <v>0</v>
      </c>
      <c r="N895" s="56" t="str">
        <f aca="false">IF(L895=0,"",IF(K895=0,"Wants / Gustos",INDEX(Budget!$D$7:$D$41,K895)))</f>
        <v/>
      </c>
    </row>
    <row r="896" customFormat="false" ht="15" hidden="false" customHeight="false" outlineLevel="0" collapsed="false">
      <c r="B896" s="57"/>
      <c r="C896" s="58"/>
      <c r="D896" s="58"/>
      <c r="E896" s="59"/>
      <c r="F896" s="58"/>
      <c r="G896" s="58"/>
      <c r="H896" s="60" t="str">
        <f aca="false">IF(OR(E896="",D896=""),"",IF(K896=0,"Expense / Gasto",INDEX(Budget!$C$7:$C$41,K896)))</f>
        <v/>
      </c>
      <c r="I896" s="60" t="str">
        <f aca="false">IF(AND(B896="",E896=""),"",IF(NOT(ISNUMBER(B896)),"⚠ ADD DATE / AGREGA FECHA",IF(E896="","⚠ ADD AMOUNT / AGREGA MONTO",IF(D896="","⚠ ADD CATEGORY / AGREGA CATEGORÍA",IF(K896=0,"● NEW CATEGORY? / ¿CATEGORÍA NUEVA?","✔ OK")))))</f>
        <v/>
      </c>
      <c r="K896" s="56" t="str">
        <f aca="false">IF(D896="","",IFERROR(MATCH(D896,Budget!$B$7:$B$41,0),0))</f>
        <v/>
      </c>
      <c r="L896" s="56" t="n">
        <f aca="false">IF(AND(ISNUMBER(B896),ISNUMBER(E896),D896&lt;&gt;""),YEAR(B896)*100+MONTH(B896),0)</f>
        <v>0</v>
      </c>
      <c r="M896" s="56" t="n">
        <f aca="false">IF(L896=0,0,YEAR(B896))</f>
        <v>0</v>
      </c>
      <c r="N896" s="56" t="str">
        <f aca="false">IF(L896=0,"",IF(K896=0,"Wants / Gustos",INDEX(Budget!$D$7:$D$41,K896)))</f>
        <v/>
      </c>
    </row>
    <row r="897" customFormat="false" ht="15" hidden="false" customHeight="false" outlineLevel="0" collapsed="false">
      <c r="B897" s="57"/>
      <c r="C897" s="58"/>
      <c r="D897" s="58"/>
      <c r="E897" s="59"/>
      <c r="F897" s="58"/>
      <c r="G897" s="58"/>
      <c r="H897" s="60" t="str">
        <f aca="false">IF(OR(E897="",D897=""),"",IF(K897=0,"Expense / Gasto",INDEX(Budget!$C$7:$C$41,K897)))</f>
        <v/>
      </c>
      <c r="I897" s="60" t="str">
        <f aca="false">IF(AND(B897="",E897=""),"",IF(NOT(ISNUMBER(B897)),"⚠ ADD DATE / AGREGA FECHA",IF(E897="","⚠ ADD AMOUNT / AGREGA MONTO",IF(D897="","⚠ ADD CATEGORY / AGREGA CATEGORÍA",IF(K897=0,"● NEW CATEGORY? / ¿CATEGORÍA NUEVA?","✔ OK")))))</f>
        <v/>
      </c>
      <c r="K897" s="56" t="str">
        <f aca="false">IF(D897="","",IFERROR(MATCH(D897,Budget!$B$7:$B$41,0),0))</f>
        <v/>
      </c>
      <c r="L897" s="56" t="n">
        <f aca="false">IF(AND(ISNUMBER(B897),ISNUMBER(E897),D897&lt;&gt;""),YEAR(B897)*100+MONTH(B897),0)</f>
        <v>0</v>
      </c>
      <c r="M897" s="56" t="n">
        <f aca="false">IF(L897=0,0,YEAR(B897))</f>
        <v>0</v>
      </c>
      <c r="N897" s="56" t="str">
        <f aca="false">IF(L897=0,"",IF(K897=0,"Wants / Gustos",INDEX(Budget!$D$7:$D$41,K897)))</f>
        <v/>
      </c>
    </row>
    <row r="898" customFormat="false" ht="15" hidden="false" customHeight="false" outlineLevel="0" collapsed="false">
      <c r="B898" s="57"/>
      <c r="C898" s="58"/>
      <c r="D898" s="58"/>
      <c r="E898" s="59"/>
      <c r="F898" s="58"/>
      <c r="G898" s="58"/>
      <c r="H898" s="60" t="str">
        <f aca="false">IF(OR(E898="",D898=""),"",IF(K898=0,"Expense / Gasto",INDEX(Budget!$C$7:$C$41,K898)))</f>
        <v/>
      </c>
      <c r="I898" s="60" t="str">
        <f aca="false">IF(AND(B898="",E898=""),"",IF(NOT(ISNUMBER(B898)),"⚠ ADD DATE / AGREGA FECHA",IF(E898="","⚠ ADD AMOUNT / AGREGA MONTO",IF(D898="","⚠ ADD CATEGORY / AGREGA CATEGORÍA",IF(K898=0,"● NEW CATEGORY? / ¿CATEGORÍA NUEVA?","✔ OK")))))</f>
        <v/>
      </c>
      <c r="K898" s="56" t="str">
        <f aca="false">IF(D898="","",IFERROR(MATCH(D898,Budget!$B$7:$B$41,0),0))</f>
        <v/>
      </c>
      <c r="L898" s="56" t="n">
        <f aca="false">IF(AND(ISNUMBER(B898),ISNUMBER(E898),D898&lt;&gt;""),YEAR(B898)*100+MONTH(B898),0)</f>
        <v>0</v>
      </c>
      <c r="M898" s="56" t="n">
        <f aca="false">IF(L898=0,0,YEAR(B898))</f>
        <v>0</v>
      </c>
      <c r="N898" s="56" t="str">
        <f aca="false">IF(L898=0,"",IF(K898=0,"Wants / Gustos",INDEX(Budget!$D$7:$D$41,K898)))</f>
        <v/>
      </c>
    </row>
    <row r="899" customFormat="false" ht="15" hidden="false" customHeight="false" outlineLevel="0" collapsed="false">
      <c r="B899" s="57"/>
      <c r="C899" s="58"/>
      <c r="D899" s="58"/>
      <c r="E899" s="59"/>
      <c r="F899" s="58"/>
      <c r="G899" s="58"/>
      <c r="H899" s="60" t="str">
        <f aca="false">IF(OR(E899="",D899=""),"",IF(K899=0,"Expense / Gasto",INDEX(Budget!$C$7:$C$41,K899)))</f>
        <v/>
      </c>
      <c r="I899" s="60" t="str">
        <f aca="false">IF(AND(B899="",E899=""),"",IF(NOT(ISNUMBER(B899)),"⚠ ADD DATE / AGREGA FECHA",IF(E899="","⚠ ADD AMOUNT / AGREGA MONTO",IF(D899="","⚠ ADD CATEGORY / AGREGA CATEGORÍA",IF(K899=0,"● NEW CATEGORY? / ¿CATEGORÍA NUEVA?","✔ OK")))))</f>
        <v/>
      </c>
      <c r="K899" s="56" t="str">
        <f aca="false">IF(D899="","",IFERROR(MATCH(D899,Budget!$B$7:$B$41,0),0))</f>
        <v/>
      </c>
      <c r="L899" s="56" t="n">
        <f aca="false">IF(AND(ISNUMBER(B899),ISNUMBER(E899),D899&lt;&gt;""),YEAR(B899)*100+MONTH(B899),0)</f>
        <v>0</v>
      </c>
      <c r="M899" s="56" t="n">
        <f aca="false">IF(L899=0,0,YEAR(B899))</f>
        <v>0</v>
      </c>
      <c r="N899" s="56" t="str">
        <f aca="false">IF(L899=0,"",IF(K899=0,"Wants / Gustos",INDEX(Budget!$D$7:$D$41,K899)))</f>
        <v/>
      </c>
    </row>
    <row r="900" customFormat="false" ht="15" hidden="false" customHeight="false" outlineLevel="0" collapsed="false">
      <c r="B900" s="57"/>
      <c r="C900" s="58"/>
      <c r="D900" s="58"/>
      <c r="E900" s="59"/>
      <c r="F900" s="58"/>
      <c r="G900" s="58"/>
      <c r="H900" s="60" t="str">
        <f aca="false">IF(OR(E900="",D900=""),"",IF(K900=0,"Expense / Gasto",INDEX(Budget!$C$7:$C$41,K900)))</f>
        <v/>
      </c>
      <c r="I900" s="60" t="str">
        <f aca="false">IF(AND(B900="",E900=""),"",IF(NOT(ISNUMBER(B900)),"⚠ ADD DATE / AGREGA FECHA",IF(E900="","⚠ ADD AMOUNT / AGREGA MONTO",IF(D900="","⚠ ADD CATEGORY / AGREGA CATEGORÍA",IF(K900=0,"● NEW CATEGORY? / ¿CATEGORÍA NUEVA?","✔ OK")))))</f>
        <v/>
      </c>
      <c r="K900" s="56" t="str">
        <f aca="false">IF(D900="","",IFERROR(MATCH(D900,Budget!$B$7:$B$41,0),0))</f>
        <v/>
      </c>
      <c r="L900" s="56" t="n">
        <f aca="false">IF(AND(ISNUMBER(B900),ISNUMBER(E900),D900&lt;&gt;""),YEAR(B900)*100+MONTH(B900),0)</f>
        <v>0</v>
      </c>
      <c r="M900" s="56" t="n">
        <f aca="false">IF(L900=0,0,YEAR(B900))</f>
        <v>0</v>
      </c>
      <c r="N900" s="56" t="str">
        <f aca="false">IF(L900=0,"",IF(K900=0,"Wants / Gustos",INDEX(Budget!$D$7:$D$41,K900)))</f>
        <v/>
      </c>
    </row>
    <row r="901" customFormat="false" ht="15" hidden="false" customHeight="false" outlineLevel="0" collapsed="false">
      <c r="B901" s="57"/>
      <c r="C901" s="58"/>
      <c r="D901" s="58"/>
      <c r="E901" s="59"/>
      <c r="F901" s="58"/>
      <c r="G901" s="58"/>
      <c r="H901" s="60" t="str">
        <f aca="false">IF(OR(E901="",D901=""),"",IF(K901=0,"Expense / Gasto",INDEX(Budget!$C$7:$C$41,K901)))</f>
        <v/>
      </c>
      <c r="I901" s="60" t="str">
        <f aca="false">IF(AND(B901="",E901=""),"",IF(NOT(ISNUMBER(B901)),"⚠ ADD DATE / AGREGA FECHA",IF(E901="","⚠ ADD AMOUNT / AGREGA MONTO",IF(D901="","⚠ ADD CATEGORY / AGREGA CATEGORÍA",IF(K901=0,"● NEW CATEGORY? / ¿CATEGORÍA NUEVA?","✔ OK")))))</f>
        <v/>
      </c>
      <c r="K901" s="56" t="str">
        <f aca="false">IF(D901="","",IFERROR(MATCH(D901,Budget!$B$7:$B$41,0),0))</f>
        <v/>
      </c>
      <c r="L901" s="56" t="n">
        <f aca="false">IF(AND(ISNUMBER(B901),ISNUMBER(E901),D901&lt;&gt;""),YEAR(B901)*100+MONTH(B901),0)</f>
        <v>0</v>
      </c>
      <c r="M901" s="56" t="n">
        <f aca="false">IF(L901=0,0,YEAR(B901))</f>
        <v>0</v>
      </c>
      <c r="N901" s="56" t="str">
        <f aca="false">IF(L901=0,"",IF(K901=0,"Wants / Gustos",INDEX(Budget!$D$7:$D$41,K901)))</f>
        <v/>
      </c>
    </row>
    <row r="902" customFormat="false" ht="15" hidden="false" customHeight="false" outlineLevel="0" collapsed="false">
      <c r="B902" s="57"/>
      <c r="C902" s="58"/>
      <c r="D902" s="58"/>
      <c r="E902" s="59"/>
      <c r="F902" s="58"/>
      <c r="G902" s="58"/>
      <c r="H902" s="60" t="str">
        <f aca="false">IF(OR(E902="",D902=""),"",IF(K902=0,"Expense / Gasto",INDEX(Budget!$C$7:$C$41,K902)))</f>
        <v/>
      </c>
      <c r="I902" s="60" t="str">
        <f aca="false">IF(AND(B902="",E902=""),"",IF(NOT(ISNUMBER(B902)),"⚠ ADD DATE / AGREGA FECHA",IF(E902="","⚠ ADD AMOUNT / AGREGA MONTO",IF(D902="","⚠ ADD CATEGORY / AGREGA CATEGORÍA",IF(K902=0,"● NEW CATEGORY? / ¿CATEGORÍA NUEVA?","✔ OK")))))</f>
        <v/>
      </c>
      <c r="K902" s="56" t="str">
        <f aca="false">IF(D902="","",IFERROR(MATCH(D902,Budget!$B$7:$B$41,0),0))</f>
        <v/>
      </c>
      <c r="L902" s="56" t="n">
        <f aca="false">IF(AND(ISNUMBER(B902),ISNUMBER(E902),D902&lt;&gt;""),YEAR(B902)*100+MONTH(B902),0)</f>
        <v>0</v>
      </c>
      <c r="M902" s="56" t="n">
        <f aca="false">IF(L902=0,0,YEAR(B902))</f>
        <v>0</v>
      </c>
      <c r="N902" s="56" t="str">
        <f aca="false">IF(L902=0,"",IF(K902=0,"Wants / Gustos",INDEX(Budget!$D$7:$D$41,K902)))</f>
        <v/>
      </c>
    </row>
    <row r="903" customFormat="false" ht="15" hidden="false" customHeight="false" outlineLevel="0" collapsed="false">
      <c r="B903" s="57"/>
      <c r="C903" s="58"/>
      <c r="D903" s="58"/>
      <c r="E903" s="59"/>
      <c r="F903" s="58"/>
      <c r="G903" s="58"/>
      <c r="H903" s="60" t="str">
        <f aca="false">IF(OR(E903="",D903=""),"",IF(K903=0,"Expense / Gasto",INDEX(Budget!$C$7:$C$41,K903)))</f>
        <v/>
      </c>
      <c r="I903" s="60" t="str">
        <f aca="false">IF(AND(B903="",E903=""),"",IF(NOT(ISNUMBER(B903)),"⚠ ADD DATE / AGREGA FECHA",IF(E903="","⚠ ADD AMOUNT / AGREGA MONTO",IF(D903="","⚠ ADD CATEGORY / AGREGA CATEGORÍA",IF(K903=0,"● NEW CATEGORY? / ¿CATEGORÍA NUEVA?","✔ OK")))))</f>
        <v/>
      </c>
      <c r="K903" s="56" t="str">
        <f aca="false">IF(D903="","",IFERROR(MATCH(D903,Budget!$B$7:$B$41,0),0))</f>
        <v/>
      </c>
      <c r="L903" s="56" t="n">
        <f aca="false">IF(AND(ISNUMBER(B903),ISNUMBER(E903),D903&lt;&gt;""),YEAR(B903)*100+MONTH(B903),0)</f>
        <v>0</v>
      </c>
      <c r="M903" s="56" t="n">
        <f aca="false">IF(L903=0,0,YEAR(B903))</f>
        <v>0</v>
      </c>
      <c r="N903" s="56" t="str">
        <f aca="false">IF(L903=0,"",IF(K903=0,"Wants / Gustos",INDEX(Budget!$D$7:$D$41,K903)))</f>
        <v/>
      </c>
    </row>
    <row r="904" customFormat="false" ht="15" hidden="false" customHeight="false" outlineLevel="0" collapsed="false">
      <c r="B904" s="57"/>
      <c r="C904" s="58"/>
      <c r="D904" s="58"/>
      <c r="E904" s="59"/>
      <c r="F904" s="58"/>
      <c r="G904" s="58"/>
      <c r="H904" s="60" t="str">
        <f aca="false">IF(OR(E904="",D904=""),"",IF(K904=0,"Expense / Gasto",INDEX(Budget!$C$7:$C$41,K904)))</f>
        <v/>
      </c>
      <c r="I904" s="60" t="str">
        <f aca="false">IF(AND(B904="",E904=""),"",IF(NOT(ISNUMBER(B904)),"⚠ ADD DATE / AGREGA FECHA",IF(E904="","⚠ ADD AMOUNT / AGREGA MONTO",IF(D904="","⚠ ADD CATEGORY / AGREGA CATEGORÍA",IF(K904=0,"● NEW CATEGORY? / ¿CATEGORÍA NUEVA?","✔ OK")))))</f>
        <v/>
      </c>
      <c r="K904" s="56" t="str">
        <f aca="false">IF(D904="","",IFERROR(MATCH(D904,Budget!$B$7:$B$41,0),0))</f>
        <v/>
      </c>
      <c r="L904" s="56" t="n">
        <f aca="false">IF(AND(ISNUMBER(B904),ISNUMBER(E904),D904&lt;&gt;""),YEAR(B904)*100+MONTH(B904),0)</f>
        <v>0</v>
      </c>
      <c r="M904" s="56" t="n">
        <f aca="false">IF(L904=0,0,YEAR(B904))</f>
        <v>0</v>
      </c>
      <c r="N904" s="56" t="str">
        <f aca="false">IF(L904=0,"",IF(K904=0,"Wants / Gustos",INDEX(Budget!$D$7:$D$41,K904)))</f>
        <v/>
      </c>
    </row>
    <row r="905" customFormat="false" ht="15" hidden="false" customHeight="false" outlineLevel="0" collapsed="false">
      <c r="B905" s="57"/>
      <c r="C905" s="58"/>
      <c r="D905" s="58"/>
      <c r="E905" s="59"/>
      <c r="F905" s="58"/>
      <c r="G905" s="58"/>
      <c r="H905" s="60" t="str">
        <f aca="false">IF(OR(E905="",D905=""),"",IF(K905=0,"Expense / Gasto",INDEX(Budget!$C$7:$C$41,K905)))</f>
        <v/>
      </c>
      <c r="I905" s="60" t="str">
        <f aca="false">IF(AND(B905="",E905=""),"",IF(NOT(ISNUMBER(B905)),"⚠ ADD DATE / AGREGA FECHA",IF(E905="","⚠ ADD AMOUNT / AGREGA MONTO",IF(D905="","⚠ ADD CATEGORY / AGREGA CATEGORÍA",IF(K905=0,"● NEW CATEGORY? / ¿CATEGORÍA NUEVA?","✔ OK")))))</f>
        <v/>
      </c>
      <c r="K905" s="56" t="str">
        <f aca="false">IF(D905="","",IFERROR(MATCH(D905,Budget!$B$7:$B$41,0),0))</f>
        <v/>
      </c>
      <c r="L905" s="56" t="n">
        <f aca="false">IF(AND(ISNUMBER(B905),ISNUMBER(E905),D905&lt;&gt;""),YEAR(B905)*100+MONTH(B905),0)</f>
        <v>0</v>
      </c>
      <c r="M905" s="56" t="n">
        <f aca="false">IF(L905=0,0,YEAR(B905))</f>
        <v>0</v>
      </c>
      <c r="N905" s="56" t="str">
        <f aca="false">IF(L905=0,"",IF(K905=0,"Wants / Gustos",INDEX(Budget!$D$7:$D$41,K905)))</f>
        <v/>
      </c>
    </row>
    <row r="906" customFormat="false" ht="15" hidden="false" customHeight="false" outlineLevel="0" collapsed="false">
      <c r="B906" s="57"/>
      <c r="C906" s="58"/>
      <c r="D906" s="58"/>
      <c r="E906" s="59"/>
      <c r="F906" s="58"/>
      <c r="G906" s="58"/>
      <c r="H906" s="60" t="str">
        <f aca="false">IF(OR(E906="",D906=""),"",IF(K906=0,"Expense / Gasto",INDEX(Budget!$C$7:$C$41,K906)))</f>
        <v/>
      </c>
      <c r="I906" s="60" t="str">
        <f aca="false">IF(AND(B906="",E906=""),"",IF(NOT(ISNUMBER(B906)),"⚠ ADD DATE / AGREGA FECHA",IF(E906="","⚠ ADD AMOUNT / AGREGA MONTO",IF(D906="","⚠ ADD CATEGORY / AGREGA CATEGORÍA",IF(K906=0,"● NEW CATEGORY? / ¿CATEGORÍA NUEVA?","✔ OK")))))</f>
        <v/>
      </c>
      <c r="K906" s="56" t="str">
        <f aca="false">IF(D906="","",IFERROR(MATCH(D906,Budget!$B$7:$B$41,0),0))</f>
        <v/>
      </c>
      <c r="L906" s="56" t="n">
        <f aca="false">IF(AND(ISNUMBER(B906),ISNUMBER(E906),D906&lt;&gt;""),YEAR(B906)*100+MONTH(B906),0)</f>
        <v>0</v>
      </c>
      <c r="M906" s="56" t="n">
        <f aca="false">IF(L906=0,0,YEAR(B906))</f>
        <v>0</v>
      </c>
      <c r="N906" s="56" t="str">
        <f aca="false">IF(L906=0,"",IF(K906=0,"Wants / Gustos",INDEX(Budget!$D$7:$D$41,K906)))</f>
        <v/>
      </c>
    </row>
    <row r="907" customFormat="false" ht="15" hidden="false" customHeight="false" outlineLevel="0" collapsed="false">
      <c r="B907" s="57"/>
      <c r="C907" s="58"/>
      <c r="D907" s="58"/>
      <c r="E907" s="59"/>
      <c r="F907" s="58"/>
      <c r="G907" s="58"/>
      <c r="H907" s="60" t="str">
        <f aca="false">IF(OR(E907="",D907=""),"",IF(K907=0,"Expense / Gasto",INDEX(Budget!$C$7:$C$41,K907)))</f>
        <v/>
      </c>
      <c r="I907" s="60" t="str">
        <f aca="false">IF(AND(B907="",E907=""),"",IF(NOT(ISNUMBER(B907)),"⚠ ADD DATE / AGREGA FECHA",IF(E907="","⚠ ADD AMOUNT / AGREGA MONTO",IF(D907="","⚠ ADD CATEGORY / AGREGA CATEGORÍA",IF(K907=0,"● NEW CATEGORY? / ¿CATEGORÍA NUEVA?","✔ OK")))))</f>
        <v/>
      </c>
      <c r="K907" s="56" t="str">
        <f aca="false">IF(D907="","",IFERROR(MATCH(D907,Budget!$B$7:$B$41,0),0))</f>
        <v/>
      </c>
      <c r="L907" s="56" t="n">
        <f aca="false">IF(AND(ISNUMBER(B907),ISNUMBER(E907),D907&lt;&gt;""),YEAR(B907)*100+MONTH(B907),0)</f>
        <v>0</v>
      </c>
      <c r="M907" s="56" t="n">
        <f aca="false">IF(L907=0,0,YEAR(B907))</f>
        <v>0</v>
      </c>
      <c r="N907" s="56" t="str">
        <f aca="false">IF(L907=0,"",IF(K907=0,"Wants / Gustos",INDEX(Budget!$D$7:$D$41,K907)))</f>
        <v/>
      </c>
    </row>
    <row r="908" customFormat="false" ht="15" hidden="false" customHeight="false" outlineLevel="0" collapsed="false">
      <c r="B908" s="57"/>
      <c r="C908" s="58"/>
      <c r="D908" s="58"/>
      <c r="E908" s="59"/>
      <c r="F908" s="58"/>
      <c r="G908" s="58"/>
      <c r="H908" s="60" t="str">
        <f aca="false">IF(OR(E908="",D908=""),"",IF(K908=0,"Expense / Gasto",INDEX(Budget!$C$7:$C$41,K908)))</f>
        <v/>
      </c>
      <c r="I908" s="60" t="str">
        <f aca="false">IF(AND(B908="",E908=""),"",IF(NOT(ISNUMBER(B908)),"⚠ ADD DATE / AGREGA FECHA",IF(E908="","⚠ ADD AMOUNT / AGREGA MONTO",IF(D908="","⚠ ADD CATEGORY / AGREGA CATEGORÍA",IF(K908=0,"● NEW CATEGORY? / ¿CATEGORÍA NUEVA?","✔ OK")))))</f>
        <v/>
      </c>
      <c r="K908" s="56" t="str">
        <f aca="false">IF(D908="","",IFERROR(MATCH(D908,Budget!$B$7:$B$41,0),0))</f>
        <v/>
      </c>
      <c r="L908" s="56" t="n">
        <f aca="false">IF(AND(ISNUMBER(B908),ISNUMBER(E908),D908&lt;&gt;""),YEAR(B908)*100+MONTH(B908),0)</f>
        <v>0</v>
      </c>
      <c r="M908" s="56" t="n">
        <f aca="false">IF(L908=0,0,YEAR(B908))</f>
        <v>0</v>
      </c>
      <c r="N908" s="56" t="str">
        <f aca="false">IF(L908=0,"",IF(K908=0,"Wants / Gustos",INDEX(Budget!$D$7:$D$41,K908)))</f>
        <v/>
      </c>
    </row>
    <row r="909" customFormat="false" ht="15" hidden="false" customHeight="false" outlineLevel="0" collapsed="false">
      <c r="B909" s="57"/>
      <c r="C909" s="58"/>
      <c r="D909" s="58"/>
      <c r="E909" s="59"/>
      <c r="F909" s="58"/>
      <c r="G909" s="58"/>
      <c r="H909" s="60" t="str">
        <f aca="false">IF(OR(E909="",D909=""),"",IF(K909=0,"Expense / Gasto",INDEX(Budget!$C$7:$C$41,K909)))</f>
        <v/>
      </c>
      <c r="I909" s="60" t="str">
        <f aca="false">IF(AND(B909="",E909=""),"",IF(NOT(ISNUMBER(B909)),"⚠ ADD DATE / AGREGA FECHA",IF(E909="","⚠ ADD AMOUNT / AGREGA MONTO",IF(D909="","⚠ ADD CATEGORY / AGREGA CATEGORÍA",IF(K909=0,"● NEW CATEGORY? / ¿CATEGORÍA NUEVA?","✔ OK")))))</f>
        <v/>
      </c>
      <c r="K909" s="56" t="str">
        <f aca="false">IF(D909="","",IFERROR(MATCH(D909,Budget!$B$7:$B$41,0),0))</f>
        <v/>
      </c>
      <c r="L909" s="56" t="n">
        <f aca="false">IF(AND(ISNUMBER(B909),ISNUMBER(E909),D909&lt;&gt;""),YEAR(B909)*100+MONTH(B909),0)</f>
        <v>0</v>
      </c>
      <c r="M909" s="56" t="n">
        <f aca="false">IF(L909=0,0,YEAR(B909))</f>
        <v>0</v>
      </c>
      <c r="N909" s="56" t="str">
        <f aca="false">IF(L909=0,"",IF(K909=0,"Wants / Gustos",INDEX(Budget!$D$7:$D$41,K909)))</f>
        <v/>
      </c>
    </row>
    <row r="910" customFormat="false" ht="15" hidden="false" customHeight="false" outlineLevel="0" collapsed="false">
      <c r="B910" s="57"/>
      <c r="C910" s="58"/>
      <c r="D910" s="58"/>
      <c r="E910" s="59"/>
      <c r="F910" s="58"/>
      <c r="G910" s="58"/>
      <c r="H910" s="60" t="str">
        <f aca="false">IF(OR(E910="",D910=""),"",IF(K910=0,"Expense / Gasto",INDEX(Budget!$C$7:$C$41,K910)))</f>
        <v/>
      </c>
      <c r="I910" s="60" t="str">
        <f aca="false">IF(AND(B910="",E910=""),"",IF(NOT(ISNUMBER(B910)),"⚠ ADD DATE / AGREGA FECHA",IF(E910="","⚠ ADD AMOUNT / AGREGA MONTO",IF(D910="","⚠ ADD CATEGORY / AGREGA CATEGORÍA",IF(K910=0,"● NEW CATEGORY? / ¿CATEGORÍA NUEVA?","✔ OK")))))</f>
        <v/>
      </c>
      <c r="K910" s="56" t="str">
        <f aca="false">IF(D910="","",IFERROR(MATCH(D910,Budget!$B$7:$B$41,0),0))</f>
        <v/>
      </c>
      <c r="L910" s="56" t="n">
        <f aca="false">IF(AND(ISNUMBER(B910),ISNUMBER(E910),D910&lt;&gt;""),YEAR(B910)*100+MONTH(B910),0)</f>
        <v>0</v>
      </c>
      <c r="M910" s="56" t="n">
        <f aca="false">IF(L910=0,0,YEAR(B910))</f>
        <v>0</v>
      </c>
      <c r="N910" s="56" t="str">
        <f aca="false">IF(L910=0,"",IF(K910=0,"Wants / Gustos",INDEX(Budget!$D$7:$D$41,K910)))</f>
        <v/>
      </c>
    </row>
    <row r="911" customFormat="false" ht="15" hidden="false" customHeight="false" outlineLevel="0" collapsed="false">
      <c r="B911" s="57"/>
      <c r="C911" s="58"/>
      <c r="D911" s="58"/>
      <c r="E911" s="59"/>
      <c r="F911" s="58"/>
      <c r="G911" s="58"/>
      <c r="H911" s="60" t="str">
        <f aca="false">IF(OR(E911="",D911=""),"",IF(K911=0,"Expense / Gasto",INDEX(Budget!$C$7:$C$41,K911)))</f>
        <v/>
      </c>
      <c r="I911" s="60" t="str">
        <f aca="false">IF(AND(B911="",E911=""),"",IF(NOT(ISNUMBER(B911)),"⚠ ADD DATE / AGREGA FECHA",IF(E911="","⚠ ADD AMOUNT / AGREGA MONTO",IF(D911="","⚠ ADD CATEGORY / AGREGA CATEGORÍA",IF(K911=0,"● NEW CATEGORY? / ¿CATEGORÍA NUEVA?","✔ OK")))))</f>
        <v/>
      </c>
      <c r="K911" s="56" t="str">
        <f aca="false">IF(D911="","",IFERROR(MATCH(D911,Budget!$B$7:$B$41,0),0))</f>
        <v/>
      </c>
      <c r="L911" s="56" t="n">
        <f aca="false">IF(AND(ISNUMBER(B911),ISNUMBER(E911),D911&lt;&gt;""),YEAR(B911)*100+MONTH(B911),0)</f>
        <v>0</v>
      </c>
      <c r="M911" s="56" t="n">
        <f aca="false">IF(L911=0,0,YEAR(B911))</f>
        <v>0</v>
      </c>
      <c r="N911" s="56" t="str">
        <f aca="false">IF(L911=0,"",IF(K911=0,"Wants / Gustos",INDEX(Budget!$D$7:$D$41,K911)))</f>
        <v/>
      </c>
    </row>
    <row r="912" customFormat="false" ht="15" hidden="false" customHeight="false" outlineLevel="0" collapsed="false">
      <c r="B912" s="57"/>
      <c r="C912" s="58"/>
      <c r="D912" s="58"/>
      <c r="E912" s="59"/>
      <c r="F912" s="58"/>
      <c r="G912" s="58"/>
      <c r="H912" s="60" t="str">
        <f aca="false">IF(OR(E912="",D912=""),"",IF(K912=0,"Expense / Gasto",INDEX(Budget!$C$7:$C$41,K912)))</f>
        <v/>
      </c>
      <c r="I912" s="60" t="str">
        <f aca="false">IF(AND(B912="",E912=""),"",IF(NOT(ISNUMBER(B912)),"⚠ ADD DATE / AGREGA FECHA",IF(E912="","⚠ ADD AMOUNT / AGREGA MONTO",IF(D912="","⚠ ADD CATEGORY / AGREGA CATEGORÍA",IF(K912=0,"● NEW CATEGORY? / ¿CATEGORÍA NUEVA?","✔ OK")))))</f>
        <v/>
      </c>
      <c r="K912" s="56" t="str">
        <f aca="false">IF(D912="","",IFERROR(MATCH(D912,Budget!$B$7:$B$41,0),0))</f>
        <v/>
      </c>
      <c r="L912" s="56" t="n">
        <f aca="false">IF(AND(ISNUMBER(B912),ISNUMBER(E912),D912&lt;&gt;""),YEAR(B912)*100+MONTH(B912),0)</f>
        <v>0</v>
      </c>
      <c r="M912" s="56" t="n">
        <f aca="false">IF(L912=0,0,YEAR(B912))</f>
        <v>0</v>
      </c>
      <c r="N912" s="56" t="str">
        <f aca="false">IF(L912=0,"",IF(K912=0,"Wants / Gustos",INDEX(Budget!$D$7:$D$41,K912)))</f>
        <v/>
      </c>
    </row>
    <row r="913" customFormat="false" ht="15" hidden="false" customHeight="false" outlineLevel="0" collapsed="false">
      <c r="B913" s="57"/>
      <c r="C913" s="58"/>
      <c r="D913" s="58"/>
      <c r="E913" s="59"/>
      <c r="F913" s="58"/>
      <c r="G913" s="58"/>
      <c r="H913" s="60" t="str">
        <f aca="false">IF(OR(E913="",D913=""),"",IF(K913=0,"Expense / Gasto",INDEX(Budget!$C$7:$C$41,K913)))</f>
        <v/>
      </c>
      <c r="I913" s="60" t="str">
        <f aca="false">IF(AND(B913="",E913=""),"",IF(NOT(ISNUMBER(B913)),"⚠ ADD DATE / AGREGA FECHA",IF(E913="","⚠ ADD AMOUNT / AGREGA MONTO",IF(D913="","⚠ ADD CATEGORY / AGREGA CATEGORÍA",IF(K913=0,"● NEW CATEGORY? / ¿CATEGORÍA NUEVA?","✔ OK")))))</f>
        <v/>
      </c>
      <c r="K913" s="56" t="str">
        <f aca="false">IF(D913="","",IFERROR(MATCH(D913,Budget!$B$7:$B$41,0),0))</f>
        <v/>
      </c>
      <c r="L913" s="56" t="n">
        <f aca="false">IF(AND(ISNUMBER(B913),ISNUMBER(E913),D913&lt;&gt;""),YEAR(B913)*100+MONTH(B913),0)</f>
        <v>0</v>
      </c>
      <c r="M913" s="56" t="n">
        <f aca="false">IF(L913=0,0,YEAR(B913))</f>
        <v>0</v>
      </c>
      <c r="N913" s="56" t="str">
        <f aca="false">IF(L913=0,"",IF(K913=0,"Wants / Gustos",INDEX(Budget!$D$7:$D$41,K913)))</f>
        <v/>
      </c>
    </row>
    <row r="914" customFormat="false" ht="15" hidden="false" customHeight="false" outlineLevel="0" collapsed="false">
      <c r="B914" s="57"/>
      <c r="C914" s="58"/>
      <c r="D914" s="58"/>
      <c r="E914" s="59"/>
      <c r="F914" s="58"/>
      <c r="G914" s="58"/>
      <c r="H914" s="60" t="str">
        <f aca="false">IF(OR(E914="",D914=""),"",IF(K914=0,"Expense / Gasto",INDEX(Budget!$C$7:$C$41,K914)))</f>
        <v/>
      </c>
      <c r="I914" s="60" t="str">
        <f aca="false">IF(AND(B914="",E914=""),"",IF(NOT(ISNUMBER(B914)),"⚠ ADD DATE / AGREGA FECHA",IF(E914="","⚠ ADD AMOUNT / AGREGA MONTO",IF(D914="","⚠ ADD CATEGORY / AGREGA CATEGORÍA",IF(K914=0,"● NEW CATEGORY? / ¿CATEGORÍA NUEVA?","✔ OK")))))</f>
        <v/>
      </c>
      <c r="K914" s="56" t="str">
        <f aca="false">IF(D914="","",IFERROR(MATCH(D914,Budget!$B$7:$B$41,0),0))</f>
        <v/>
      </c>
      <c r="L914" s="56" t="n">
        <f aca="false">IF(AND(ISNUMBER(B914),ISNUMBER(E914),D914&lt;&gt;""),YEAR(B914)*100+MONTH(B914),0)</f>
        <v>0</v>
      </c>
      <c r="M914" s="56" t="n">
        <f aca="false">IF(L914=0,0,YEAR(B914))</f>
        <v>0</v>
      </c>
      <c r="N914" s="56" t="str">
        <f aca="false">IF(L914=0,"",IF(K914=0,"Wants / Gustos",INDEX(Budget!$D$7:$D$41,K914)))</f>
        <v/>
      </c>
    </row>
    <row r="915" customFormat="false" ht="15" hidden="false" customHeight="false" outlineLevel="0" collapsed="false">
      <c r="B915" s="57"/>
      <c r="C915" s="58"/>
      <c r="D915" s="58"/>
      <c r="E915" s="59"/>
      <c r="F915" s="58"/>
      <c r="G915" s="58"/>
      <c r="H915" s="60" t="str">
        <f aca="false">IF(OR(E915="",D915=""),"",IF(K915=0,"Expense / Gasto",INDEX(Budget!$C$7:$C$41,K915)))</f>
        <v/>
      </c>
      <c r="I915" s="60" t="str">
        <f aca="false">IF(AND(B915="",E915=""),"",IF(NOT(ISNUMBER(B915)),"⚠ ADD DATE / AGREGA FECHA",IF(E915="","⚠ ADD AMOUNT / AGREGA MONTO",IF(D915="","⚠ ADD CATEGORY / AGREGA CATEGORÍA",IF(K915=0,"● NEW CATEGORY? / ¿CATEGORÍA NUEVA?","✔ OK")))))</f>
        <v/>
      </c>
      <c r="K915" s="56" t="str">
        <f aca="false">IF(D915="","",IFERROR(MATCH(D915,Budget!$B$7:$B$41,0),0))</f>
        <v/>
      </c>
      <c r="L915" s="56" t="n">
        <f aca="false">IF(AND(ISNUMBER(B915),ISNUMBER(E915),D915&lt;&gt;""),YEAR(B915)*100+MONTH(B915),0)</f>
        <v>0</v>
      </c>
      <c r="M915" s="56" t="n">
        <f aca="false">IF(L915=0,0,YEAR(B915))</f>
        <v>0</v>
      </c>
      <c r="N915" s="56" t="str">
        <f aca="false">IF(L915=0,"",IF(K915=0,"Wants / Gustos",INDEX(Budget!$D$7:$D$41,K915)))</f>
        <v/>
      </c>
    </row>
    <row r="916" customFormat="false" ht="15" hidden="false" customHeight="false" outlineLevel="0" collapsed="false">
      <c r="B916" s="57"/>
      <c r="C916" s="58"/>
      <c r="D916" s="58"/>
      <c r="E916" s="59"/>
      <c r="F916" s="58"/>
      <c r="G916" s="58"/>
      <c r="H916" s="60" t="str">
        <f aca="false">IF(OR(E916="",D916=""),"",IF(K916=0,"Expense / Gasto",INDEX(Budget!$C$7:$C$41,K916)))</f>
        <v/>
      </c>
      <c r="I916" s="60" t="str">
        <f aca="false">IF(AND(B916="",E916=""),"",IF(NOT(ISNUMBER(B916)),"⚠ ADD DATE / AGREGA FECHA",IF(E916="","⚠ ADD AMOUNT / AGREGA MONTO",IF(D916="","⚠ ADD CATEGORY / AGREGA CATEGORÍA",IF(K916=0,"● NEW CATEGORY? / ¿CATEGORÍA NUEVA?","✔ OK")))))</f>
        <v/>
      </c>
      <c r="K916" s="56" t="str">
        <f aca="false">IF(D916="","",IFERROR(MATCH(D916,Budget!$B$7:$B$41,0),0))</f>
        <v/>
      </c>
      <c r="L916" s="56" t="n">
        <f aca="false">IF(AND(ISNUMBER(B916),ISNUMBER(E916),D916&lt;&gt;""),YEAR(B916)*100+MONTH(B916),0)</f>
        <v>0</v>
      </c>
      <c r="M916" s="56" t="n">
        <f aca="false">IF(L916=0,0,YEAR(B916))</f>
        <v>0</v>
      </c>
      <c r="N916" s="56" t="str">
        <f aca="false">IF(L916=0,"",IF(K916=0,"Wants / Gustos",INDEX(Budget!$D$7:$D$41,K916)))</f>
        <v/>
      </c>
    </row>
    <row r="917" customFormat="false" ht="15" hidden="false" customHeight="false" outlineLevel="0" collapsed="false">
      <c r="B917" s="57"/>
      <c r="C917" s="58"/>
      <c r="D917" s="58"/>
      <c r="E917" s="59"/>
      <c r="F917" s="58"/>
      <c r="G917" s="58"/>
      <c r="H917" s="60" t="str">
        <f aca="false">IF(OR(E917="",D917=""),"",IF(K917=0,"Expense / Gasto",INDEX(Budget!$C$7:$C$41,K917)))</f>
        <v/>
      </c>
      <c r="I917" s="60" t="str">
        <f aca="false">IF(AND(B917="",E917=""),"",IF(NOT(ISNUMBER(B917)),"⚠ ADD DATE / AGREGA FECHA",IF(E917="","⚠ ADD AMOUNT / AGREGA MONTO",IF(D917="","⚠ ADD CATEGORY / AGREGA CATEGORÍA",IF(K917=0,"● NEW CATEGORY? / ¿CATEGORÍA NUEVA?","✔ OK")))))</f>
        <v/>
      </c>
      <c r="K917" s="56" t="str">
        <f aca="false">IF(D917="","",IFERROR(MATCH(D917,Budget!$B$7:$B$41,0),0))</f>
        <v/>
      </c>
      <c r="L917" s="56" t="n">
        <f aca="false">IF(AND(ISNUMBER(B917),ISNUMBER(E917),D917&lt;&gt;""),YEAR(B917)*100+MONTH(B917),0)</f>
        <v>0</v>
      </c>
      <c r="M917" s="56" t="n">
        <f aca="false">IF(L917=0,0,YEAR(B917))</f>
        <v>0</v>
      </c>
      <c r="N917" s="56" t="str">
        <f aca="false">IF(L917=0,"",IF(K917=0,"Wants / Gustos",INDEX(Budget!$D$7:$D$41,K917)))</f>
        <v/>
      </c>
    </row>
    <row r="918" customFormat="false" ht="15" hidden="false" customHeight="false" outlineLevel="0" collapsed="false">
      <c r="B918" s="57"/>
      <c r="C918" s="58"/>
      <c r="D918" s="58"/>
      <c r="E918" s="59"/>
      <c r="F918" s="58"/>
      <c r="G918" s="58"/>
      <c r="H918" s="60" t="str">
        <f aca="false">IF(OR(E918="",D918=""),"",IF(K918=0,"Expense / Gasto",INDEX(Budget!$C$7:$C$41,K918)))</f>
        <v/>
      </c>
      <c r="I918" s="60" t="str">
        <f aca="false">IF(AND(B918="",E918=""),"",IF(NOT(ISNUMBER(B918)),"⚠ ADD DATE / AGREGA FECHA",IF(E918="","⚠ ADD AMOUNT / AGREGA MONTO",IF(D918="","⚠ ADD CATEGORY / AGREGA CATEGORÍA",IF(K918=0,"● NEW CATEGORY? / ¿CATEGORÍA NUEVA?","✔ OK")))))</f>
        <v/>
      </c>
      <c r="K918" s="56" t="str">
        <f aca="false">IF(D918="","",IFERROR(MATCH(D918,Budget!$B$7:$B$41,0),0))</f>
        <v/>
      </c>
      <c r="L918" s="56" t="n">
        <f aca="false">IF(AND(ISNUMBER(B918),ISNUMBER(E918),D918&lt;&gt;""),YEAR(B918)*100+MONTH(B918),0)</f>
        <v>0</v>
      </c>
      <c r="M918" s="56" t="n">
        <f aca="false">IF(L918=0,0,YEAR(B918))</f>
        <v>0</v>
      </c>
      <c r="N918" s="56" t="str">
        <f aca="false">IF(L918=0,"",IF(K918=0,"Wants / Gustos",INDEX(Budget!$D$7:$D$41,K918)))</f>
        <v/>
      </c>
    </row>
    <row r="919" customFormat="false" ht="15" hidden="false" customHeight="false" outlineLevel="0" collapsed="false">
      <c r="B919" s="57"/>
      <c r="C919" s="58"/>
      <c r="D919" s="58"/>
      <c r="E919" s="59"/>
      <c r="F919" s="58"/>
      <c r="G919" s="58"/>
      <c r="H919" s="60" t="str">
        <f aca="false">IF(OR(E919="",D919=""),"",IF(K919=0,"Expense / Gasto",INDEX(Budget!$C$7:$C$41,K919)))</f>
        <v/>
      </c>
      <c r="I919" s="60" t="str">
        <f aca="false">IF(AND(B919="",E919=""),"",IF(NOT(ISNUMBER(B919)),"⚠ ADD DATE / AGREGA FECHA",IF(E919="","⚠ ADD AMOUNT / AGREGA MONTO",IF(D919="","⚠ ADD CATEGORY / AGREGA CATEGORÍA",IF(K919=0,"● NEW CATEGORY? / ¿CATEGORÍA NUEVA?","✔ OK")))))</f>
        <v/>
      </c>
      <c r="K919" s="56" t="str">
        <f aca="false">IF(D919="","",IFERROR(MATCH(D919,Budget!$B$7:$B$41,0),0))</f>
        <v/>
      </c>
      <c r="L919" s="56" t="n">
        <f aca="false">IF(AND(ISNUMBER(B919),ISNUMBER(E919),D919&lt;&gt;""),YEAR(B919)*100+MONTH(B919),0)</f>
        <v>0</v>
      </c>
      <c r="M919" s="56" t="n">
        <f aca="false">IF(L919=0,0,YEAR(B919))</f>
        <v>0</v>
      </c>
      <c r="N919" s="56" t="str">
        <f aca="false">IF(L919=0,"",IF(K919=0,"Wants / Gustos",INDEX(Budget!$D$7:$D$41,K919)))</f>
        <v/>
      </c>
    </row>
    <row r="920" customFormat="false" ht="15" hidden="false" customHeight="false" outlineLevel="0" collapsed="false">
      <c r="B920" s="57"/>
      <c r="C920" s="58"/>
      <c r="D920" s="58"/>
      <c r="E920" s="59"/>
      <c r="F920" s="58"/>
      <c r="G920" s="58"/>
      <c r="H920" s="60" t="str">
        <f aca="false">IF(OR(E920="",D920=""),"",IF(K920=0,"Expense / Gasto",INDEX(Budget!$C$7:$C$41,K920)))</f>
        <v/>
      </c>
      <c r="I920" s="60" t="str">
        <f aca="false">IF(AND(B920="",E920=""),"",IF(NOT(ISNUMBER(B920)),"⚠ ADD DATE / AGREGA FECHA",IF(E920="","⚠ ADD AMOUNT / AGREGA MONTO",IF(D920="","⚠ ADD CATEGORY / AGREGA CATEGORÍA",IF(K920=0,"● NEW CATEGORY? / ¿CATEGORÍA NUEVA?","✔ OK")))))</f>
        <v/>
      </c>
      <c r="K920" s="56" t="str">
        <f aca="false">IF(D920="","",IFERROR(MATCH(D920,Budget!$B$7:$B$41,0),0))</f>
        <v/>
      </c>
      <c r="L920" s="56" t="n">
        <f aca="false">IF(AND(ISNUMBER(B920),ISNUMBER(E920),D920&lt;&gt;""),YEAR(B920)*100+MONTH(B920),0)</f>
        <v>0</v>
      </c>
      <c r="M920" s="56" t="n">
        <f aca="false">IF(L920=0,0,YEAR(B920))</f>
        <v>0</v>
      </c>
      <c r="N920" s="56" t="str">
        <f aca="false">IF(L920=0,"",IF(K920=0,"Wants / Gustos",INDEX(Budget!$D$7:$D$41,K920)))</f>
        <v/>
      </c>
    </row>
    <row r="921" customFormat="false" ht="15" hidden="false" customHeight="false" outlineLevel="0" collapsed="false">
      <c r="B921" s="57"/>
      <c r="C921" s="58"/>
      <c r="D921" s="58"/>
      <c r="E921" s="59"/>
      <c r="F921" s="58"/>
      <c r="G921" s="58"/>
      <c r="H921" s="60" t="str">
        <f aca="false">IF(OR(E921="",D921=""),"",IF(K921=0,"Expense / Gasto",INDEX(Budget!$C$7:$C$41,K921)))</f>
        <v/>
      </c>
      <c r="I921" s="60" t="str">
        <f aca="false">IF(AND(B921="",E921=""),"",IF(NOT(ISNUMBER(B921)),"⚠ ADD DATE / AGREGA FECHA",IF(E921="","⚠ ADD AMOUNT / AGREGA MONTO",IF(D921="","⚠ ADD CATEGORY / AGREGA CATEGORÍA",IF(K921=0,"● NEW CATEGORY? / ¿CATEGORÍA NUEVA?","✔ OK")))))</f>
        <v/>
      </c>
      <c r="K921" s="56" t="str">
        <f aca="false">IF(D921="","",IFERROR(MATCH(D921,Budget!$B$7:$B$41,0),0))</f>
        <v/>
      </c>
      <c r="L921" s="56" t="n">
        <f aca="false">IF(AND(ISNUMBER(B921),ISNUMBER(E921),D921&lt;&gt;""),YEAR(B921)*100+MONTH(B921),0)</f>
        <v>0</v>
      </c>
      <c r="M921" s="56" t="n">
        <f aca="false">IF(L921=0,0,YEAR(B921))</f>
        <v>0</v>
      </c>
      <c r="N921" s="56" t="str">
        <f aca="false">IF(L921=0,"",IF(K921=0,"Wants / Gustos",INDEX(Budget!$D$7:$D$41,K921)))</f>
        <v/>
      </c>
    </row>
    <row r="922" customFormat="false" ht="15" hidden="false" customHeight="false" outlineLevel="0" collapsed="false">
      <c r="B922" s="57"/>
      <c r="C922" s="58"/>
      <c r="D922" s="58"/>
      <c r="E922" s="59"/>
      <c r="F922" s="58"/>
      <c r="G922" s="58"/>
      <c r="H922" s="60" t="str">
        <f aca="false">IF(OR(E922="",D922=""),"",IF(K922=0,"Expense / Gasto",INDEX(Budget!$C$7:$C$41,K922)))</f>
        <v/>
      </c>
      <c r="I922" s="60" t="str">
        <f aca="false">IF(AND(B922="",E922=""),"",IF(NOT(ISNUMBER(B922)),"⚠ ADD DATE / AGREGA FECHA",IF(E922="","⚠ ADD AMOUNT / AGREGA MONTO",IF(D922="","⚠ ADD CATEGORY / AGREGA CATEGORÍA",IF(K922=0,"● NEW CATEGORY? / ¿CATEGORÍA NUEVA?","✔ OK")))))</f>
        <v/>
      </c>
      <c r="K922" s="56" t="str">
        <f aca="false">IF(D922="","",IFERROR(MATCH(D922,Budget!$B$7:$B$41,0),0))</f>
        <v/>
      </c>
      <c r="L922" s="56" t="n">
        <f aca="false">IF(AND(ISNUMBER(B922),ISNUMBER(E922),D922&lt;&gt;""),YEAR(B922)*100+MONTH(B922),0)</f>
        <v>0</v>
      </c>
      <c r="M922" s="56" t="n">
        <f aca="false">IF(L922=0,0,YEAR(B922))</f>
        <v>0</v>
      </c>
      <c r="N922" s="56" t="str">
        <f aca="false">IF(L922=0,"",IF(K922=0,"Wants / Gustos",INDEX(Budget!$D$7:$D$41,K922)))</f>
        <v/>
      </c>
    </row>
    <row r="923" customFormat="false" ht="15" hidden="false" customHeight="false" outlineLevel="0" collapsed="false">
      <c r="B923" s="57"/>
      <c r="C923" s="58"/>
      <c r="D923" s="58"/>
      <c r="E923" s="59"/>
      <c r="F923" s="58"/>
      <c r="G923" s="58"/>
      <c r="H923" s="60" t="str">
        <f aca="false">IF(OR(E923="",D923=""),"",IF(K923=0,"Expense / Gasto",INDEX(Budget!$C$7:$C$41,K923)))</f>
        <v/>
      </c>
      <c r="I923" s="60" t="str">
        <f aca="false">IF(AND(B923="",E923=""),"",IF(NOT(ISNUMBER(B923)),"⚠ ADD DATE / AGREGA FECHA",IF(E923="","⚠ ADD AMOUNT / AGREGA MONTO",IF(D923="","⚠ ADD CATEGORY / AGREGA CATEGORÍA",IF(K923=0,"● NEW CATEGORY? / ¿CATEGORÍA NUEVA?","✔ OK")))))</f>
        <v/>
      </c>
      <c r="K923" s="56" t="str">
        <f aca="false">IF(D923="","",IFERROR(MATCH(D923,Budget!$B$7:$B$41,0),0))</f>
        <v/>
      </c>
      <c r="L923" s="56" t="n">
        <f aca="false">IF(AND(ISNUMBER(B923),ISNUMBER(E923),D923&lt;&gt;""),YEAR(B923)*100+MONTH(B923),0)</f>
        <v>0</v>
      </c>
      <c r="M923" s="56" t="n">
        <f aca="false">IF(L923=0,0,YEAR(B923))</f>
        <v>0</v>
      </c>
      <c r="N923" s="56" t="str">
        <f aca="false">IF(L923=0,"",IF(K923=0,"Wants / Gustos",INDEX(Budget!$D$7:$D$41,K923)))</f>
        <v/>
      </c>
    </row>
    <row r="924" customFormat="false" ht="15" hidden="false" customHeight="false" outlineLevel="0" collapsed="false">
      <c r="B924" s="57"/>
      <c r="C924" s="58"/>
      <c r="D924" s="58"/>
      <c r="E924" s="59"/>
      <c r="F924" s="58"/>
      <c r="G924" s="58"/>
      <c r="H924" s="60" t="str">
        <f aca="false">IF(OR(E924="",D924=""),"",IF(K924=0,"Expense / Gasto",INDEX(Budget!$C$7:$C$41,K924)))</f>
        <v/>
      </c>
      <c r="I924" s="60" t="str">
        <f aca="false">IF(AND(B924="",E924=""),"",IF(NOT(ISNUMBER(B924)),"⚠ ADD DATE / AGREGA FECHA",IF(E924="","⚠ ADD AMOUNT / AGREGA MONTO",IF(D924="","⚠ ADD CATEGORY / AGREGA CATEGORÍA",IF(K924=0,"● NEW CATEGORY? / ¿CATEGORÍA NUEVA?","✔ OK")))))</f>
        <v/>
      </c>
      <c r="K924" s="56" t="str">
        <f aca="false">IF(D924="","",IFERROR(MATCH(D924,Budget!$B$7:$B$41,0),0))</f>
        <v/>
      </c>
      <c r="L924" s="56" t="n">
        <f aca="false">IF(AND(ISNUMBER(B924),ISNUMBER(E924),D924&lt;&gt;""),YEAR(B924)*100+MONTH(B924),0)</f>
        <v>0</v>
      </c>
      <c r="M924" s="56" t="n">
        <f aca="false">IF(L924=0,0,YEAR(B924))</f>
        <v>0</v>
      </c>
      <c r="N924" s="56" t="str">
        <f aca="false">IF(L924=0,"",IF(K924=0,"Wants / Gustos",INDEX(Budget!$D$7:$D$41,K924)))</f>
        <v/>
      </c>
    </row>
    <row r="925" customFormat="false" ht="15" hidden="false" customHeight="false" outlineLevel="0" collapsed="false">
      <c r="B925" s="57"/>
      <c r="C925" s="58"/>
      <c r="D925" s="58"/>
      <c r="E925" s="59"/>
      <c r="F925" s="58"/>
      <c r="G925" s="58"/>
      <c r="H925" s="60" t="str">
        <f aca="false">IF(OR(E925="",D925=""),"",IF(K925=0,"Expense / Gasto",INDEX(Budget!$C$7:$C$41,K925)))</f>
        <v/>
      </c>
      <c r="I925" s="60" t="str">
        <f aca="false">IF(AND(B925="",E925=""),"",IF(NOT(ISNUMBER(B925)),"⚠ ADD DATE / AGREGA FECHA",IF(E925="","⚠ ADD AMOUNT / AGREGA MONTO",IF(D925="","⚠ ADD CATEGORY / AGREGA CATEGORÍA",IF(K925=0,"● NEW CATEGORY? / ¿CATEGORÍA NUEVA?","✔ OK")))))</f>
        <v/>
      </c>
      <c r="K925" s="56" t="str">
        <f aca="false">IF(D925="","",IFERROR(MATCH(D925,Budget!$B$7:$B$41,0),0))</f>
        <v/>
      </c>
      <c r="L925" s="56" t="n">
        <f aca="false">IF(AND(ISNUMBER(B925),ISNUMBER(E925),D925&lt;&gt;""),YEAR(B925)*100+MONTH(B925),0)</f>
        <v>0</v>
      </c>
      <c r="M925" s="56" t="n">
        <f aca="false">IF(L925=0,0,YEAR(B925))</f>
        <v>0</v>
      </c>
      <c r="N925" s="56" t="str">
        <f aca="false">IF(L925=0,"",IF(K925=0,"Wants / Gustos",INDEX(Budget!$D$7:$D$41,K925)))</f>
        <v/>
      </c>
    </row>
    <row r="926" customFormat="false" ht="15" hidden="false" customHeight="false" outlineLevel="0" collapsed="false">
      <c r="B926" s="57"/>
      <c r="C926" s="58"/>
      <c r="D926" s="58"/>
      <c r="E926" s="59"/>
      <c r="F926" s="58"/>
      <c r="G926" s="58"/>
      <c r="H926" s="60" t="str">
        <f aca="false">IF(OR(E926="",D926=""),"",IF(K926=0,"Expense / Gasto",INDEX(Budget!$C$7:$C$41,K926)))</f>
        <v/>
      </c>
      <c r="I926" s="60" t="str">
        <f aca="false">IF(AND(B926="",E926=""),"",IF(NOT(ISNUMBER(B926)),"⚠ ADD DATE / AGREGA FECHA",IF(E926="","⚠ ADD AMOUNT / AGREGA MONTO",IF(D926="","⚠ ADD CATEGORY / AGREGA CATEGORÍA",IF(K926=0,"● NEW CATEGORY? / ¿CATEGORÍA NUEVA?","✔ OK")))))</f>
        <v/>
      </c>
      <c r="K926" s="56" t="str">
        <f aca="false">IF(D926="","",IFERROR(MATCH(D926,Budget!$B$7:$B$41,0),0))</f>
        <v/>
      </c>
      <c r="L926" s="56" t="n">
        <f aca="false">IF(AND(ISNUMBER(B926),ISNUMBER(E926),D926&lt;&gt;""),YEAR(B926)*100+MONTH(B926),0)</f>
        <v>0</v>
      </c>
      <c r="M926" s="56" t="n">
        <f aca="false">IF(L926=0,0,YEAR(B926))</f>
        <v>0</v>
      </c>
      <c r="N926" s="56" t="str">
        <f aca="false">IF(L926=0,"",IF(K926=0,"Wants / Gustos",INDEX(Budget!$D$7:$D$41,K926)))</f>
        <v/>
      </c>
    </row>
    <row r="927" customFormat="false" ht="15" hidden="false" customHeight="false" outlineLevel="0" collapsed="false">
      <c r="B927" s="57"/>
      <c r="C927" s="58"/>
      <c r="D927" s="58"/>
      <c r="E927" s="59"/>
      <c r="F927" s="58"/>
      <c r="G927" s="58"/>
      <c r="H927" s="60" t="str">
        <f aca="false">IF(OR(E927="",D927=""),"",IF(K927=0,"Expense / Gasto",INDEX(Budget!$C$7:$C$41,K927)))</f>
        <v/>
      </c>
      <c r="I927" s="60" t="str">
        <f aca="false">IF(AND(B927="",E927=""),"",IF(NOT(ISNUMBER(B927)),"⚠ ADD DATE / AGREGA FECHA",IF(E927="","⚠ ADD AMOUNT / AGREGA MONTO",IF(D927="","⚠ ADD CATEGORY / AGREGA CATEGORÍA",IF(K927=0,"● NEW CATEGORY? / ¿CATEGORÍA NUEVA?","✔ OK")))))</f>
        <v/>
      </c>
      <c r="K927" s="56" t="str">
        <f aca="false">IF(D927="","",IFERROR(MATCH(D927,Budget!$B$7:$B$41,0),0))</f>
        <v/>
      </c>
      <c r="L927" s="56" t="n">
        <f aca="false">IF(AND(ISNUMBER(B927),ISNUMBER(E927),D927&lt;&gt;""),YEAR(B927)*100+MONTH(B927),0)</f>
        <v>0</v>
      </c>
      <c r="M927" s="56" t="n">
        <f aca="false">IF(L927=0,0,YEAR(B927))</f>
        <v>0</v>
      </c>
      <c r="N927" s="56" t="str">
        <f aca="false">IF(L927=0,"",IF(K927=0,"Wants / Gustos",INDEX(Budget!$D$7:$D$41,K927)))</f>
        <v/>
      </c>
    </row>
    <row r="928" customFormat="false" ht="15" hidden="false" customHeight="false" outlineLevel="0" collapsed="false">
      <c r="B928" s="57"/>
      <c r="C928" s="58"/>
      <c r="D928" s="58"/>
      <c r="E928" s="59"/>
      <c r="F928" s="58"/>
      <c r="G928" s="58"/>
      <c r="H928" s="60" t="str">
        <f aca="false">IF(OR(E928="",D928=""),"",IF(K928=0,"Expense / Gasto",INDEX(Budget!$C$7:$C$41,K928)))</f>
        <v/>
      </c>
      <c r="I928" s="60" t="str">
        <f aca="false">IF(AND(B928="",E928=""),"",IF(NOT(ISNUMBER(B928)),"⚠ ADD DATE / AGREGA FECHA",IF(E928="","⚠ ADD AMOUNT / AGREGA MONTO",IF(D928="","⚠ ADD CATEGORY / AGREGA CATEGORÍA",IF(K928=0,"● NEW CATEGORY? / ¿CATEGORÍA NUEVA?","✔ OK")))))</f>
        <v/>
      </c>
      <c r="K928" s="56" t="str">
        <f aca="false">IF(D928="","",IFERROR(MATCH(D928,Budget!$B$7:$B$41,0),0))</f>
        <v/>
      </c>
      <c r="L928" s="56" t="n">
        <f aca="false">IF(AND(ISNUMBER(B928),ISNUMBER(E928),D928&lt;&gt;""),YEAR(B928)*100+MONTH(B928),0)</f>
        <v>0</v>
      </c>
      <c r="M928" s="56" t="n">
        <f aca="false">IF(L928=0,0,YEAR(B928))</f>
        <v>0</v>
      </c>
      <c r="N928" s="56" t="str">
        <f aca="false">IF(L928=0,"",IF(K928=0,"Wants / Gustos",INDEX(Budget!$D$7:$D$41,K928)))</f>
        <v/>
      </c>
    </row>
    <row r="929" customFormat="false" ht="15" hidden="false" customHeight="false" outlineLevel="0" collapsed="false">
      <c r="B929" s="57"/>
      <c r="C929" s="58"/>
      <c r="D929" s="58"/>
      <c r="E929" s="59"/>
      <c r="F929" s="58"/>
      <c r="G929" s="58"/>
      <c r="H929" s="60" t="str">
        <f aca="false">IF(OR(E929="",D929=""),"",IF(K929=0,"Expense / Gasto",INDEX(Budget!$C$7:$C$41,K929)))</f>
        <v/>
      </c>
      <c r="I929" s="60" t="str">
        <f aca="false">IF(AND(B929="",E929=""),"",IF(NOT(ISNUMBER(B929)),"⚠ ADD DATE / AGREGA FECHA",IF(E929="","⚠ ADD AMOUNT / AGREGA MONTO",IF(D929="","⚠ ADD CATEGORY / AGREGA CATEGORÍA",IF(K929=0,"● NEW CATEGORY? / ¿CATEGORÍA NUEVA?","✔ OK")))))</f>
        <v/>
      </c>
      <c r="K929" s="56" t="str">
        <f aca="false">IF(D929="","",IFERROR(MATCH(D929,Budget!$B$7:$B$41,0),0))</f>
        <v/>
      </c>
      <c r="L929" s="56" t="n">
        <f aca="false">IF(AND(ISNUMBER(B929),ISNUMBER(E929),D929&lt;&gt;""),YEAR(B929)*100+MONTH(B929),0)</f>
        <v>0</v>
      </c>
      <c r="M929" s="56" t="n">
        <f aca="false">IF(L929=0,0,YEAR(B929))</f>
        <v>0</v>
      </c>
      <c r="N929" s="56" t="str">
        <f aca="false">IF(L929=0,"",IF(K929=0,"Wants / Gustos",INDEX(Budget!$D$7:$D$41,K929)))</f>
        <v/>
      </c>
    </row>
    <row r="930" customFormat="false" ht="15" hidden="false" customHeight="false" outlineLevel="0" collapsed="false">
      <c r="B930" s="57"/>
      <c r="C930" s="58"/>
      <c r="D930" s="58"/>
      <c r="E930" s="59"/>
      <c r="F930" s="58"/>
      <c r="G930" s="58"/>
      <c r="H930" s="60" t="str">
        <f aca="false">IF(OR(E930="",D930=""),"",IF(K930=0,"Expense / Gasto",INDEX(Budget!$C$7:$C$41,K930)))</f>
        <v/>
      </c>
      <c r="I930" s="60" t="str">
        <f aca="false">IF(AND(B930="",E930=""),"",IF(NOT(ISNUMBER(B930)),"⚠ ADD DATE / AGREGA FECHA",IF(E930="","⚠ ADD AMOUNT / AGREGA MONTO",IF(D930="","⚠ ADD CATEGORY / AGREGA CATEGORÍA",IF(K930=0,"● NEW CATEGORY? / ¿CATEGORÍA NUEVA?","✔ OK")))))</f>
        <v/>
      </c>
      <c r="K930" s="56" t="str">
        <f aca="false">IF(D930="","",IFERROR(MATCH(D930,Budget!$B$7:$B$41,0),0))</f>
        <v/>
      </c>
      <c r="L930" s="56" t="n">
        <f aca="false">IF(AND(ISNUMBER(B930),ISNUMBER(E930),D930&lt;&gt;""),YEAR(B930)*100+MONTH(B930),0)</f>
        <v>0</v>
      </c>
      <c r="M930" s="56" t="n">
        <f aca="false">IF(L930=0,0,YEAR(B930))</f>
        <v>0</v>
      </c>
      <c r="N930" s="56" t="str">
        <f aca="false">IF(L930=0,"",IF(K930=0,"Wants / Gustos",INDEX(Budget!$D$7:$D$41,K930)))</f>
        <v/>
      </c>
    </row>
    <row r="931" customFormat="false" ht="15" hidden="false" customHeight="false" outlineLevel="0" collapsed="false">
      <c r="B931" s="57"/>
      <c r="C931" s="58"/>
      <c r="D931" s="58"/>
      <c r="E931" s="59"/>
      <c r="F931" s="58"/>
      <c r="G931" s="58"/>
      <c r="H931" s="60" t="str">
        <f aca="false">IF(OR(E931="",D931=""),"",IF(K931=0,"Expense / Gasto",INDEX(Budget!$C$7:$C$41,K931)))</f>
        <v/>
      </c>
      <c r="I931" s="60" t="str">
        <f aca="false">IF(AND(B931="",E931=""),"",IF(NOT(ISNUMBER(B931)),"⚠ ADD DATE / AGREGA FECHA",IF(E931="","⚠ ADD AMOUNT / AGREGA MONTO",IF(D931="","⚠ ADD CATEGORY / AGREGA CATEGORÍA",IF(K931=0,"● NEW CATEGORY? / ¿CATEGORÍA NUEVA?","✔ OK")))))</f>
        <v/>
      </c>
      <c r="K931" s="56" t="str">
        <f aca="false">IF(D931="","",IFERROR(MATCH(D931,Budget!$B$7:$B$41,0),0))</f>
        <v/>
      </c>
      <c r="L931" s="56" t="n">
        <f aca="false">IF(AND(ISNUMBER(B931),ISNUMBER(E931),D931&lt;&gt;""),YEAR(B931)*100+MONTH(B931),0)</f>
        <v>0</v>
      </c>
      <c r="M931" s="56" t="n">
        <f aca="false">IF(L931=0,0,YEAR(B931))</f>
        <v>0</v>
      </c>
      <c r="N931" s="56" t="str">
        <f aca="false">IF(L931=0,"",IF(K931=0,"Wants / Gustos",INDEX(Budget!$D$7:$D$41,K931)))</f>
        <v/>
      </c>
    </row>
    <row r="932" customFormat="false" ht="15" hidden="false" customHeight="false" outlineLevel="0" collapsed="false">
      <c r="B932" s="57"/>
      <c r="C932" s="58"/>
      <c r="D932" s="58"/>
      <c r="E932" s="59"/>
      <c r="F932" s="58"/>
      <c r="G932" s="58"/>
      <c r="H932" s="60" t="str">
        <f aca="false">IF(OR(E932="",D932=""),"",IF(K932=0,"Expense / Gasto",INDEX(Budget!$C$7:$C$41,K932)))</f>
        <v/>
      </c>
      <c r="I932" s="60" t="str">
        <f aca="false">IF(AND(B932="",E932=""),"",IF(NOT(ISNUMBER(B932)),"⚠ ADD DATE / AGREGA FECHA",IF(E932="","⚠ ADD AMOUNT / AGREGA MONTO",IF(D932="","⚠ ADD CATEGORY / AGREGA CATEGORÍA",IF(K932=0,"● NEW CATEGORY? / ¿CATEGORÍA NUEVA?","✔ OK")))))</f>
        <v/>
      </c>
      <c r="K932" s="56" t="str">
        <f aca="false">IF(D932="","",IFERROR(MATCH(D932,Budget!$B$7:$B$41,0),0))</f>
        <v/>
      </c>
      <c r="L932" s="56" t="n">
        <f aca="false">IF(AND(ISNUMBER(B932),ISNUMBER(E932),D932&lt;&gt;""),YEAR(B932)*100+MONTH(B932),0)</f>
        <v>0</v>
      </c>
      <c r="M932" s="56" t="n">
        <f aca="false">IF(L932=0,0,YEAR(B932))</f>
        <v>0</v>
      </c>
      <c r="N932" s="56" t="str">
        <f aca="false">IF(L932=0,"",IF(K932=0,"Wants / Gustos",INDEX(Budget!$D$7:$D$41,K932)))</f>
        <v/>
      </c>
    </row>
    <row r="933" customFormat="false" ht="15" hidden="false" customHeight="false" outlineLevel="0" collapsed="false">
      <c r="B933" s="57"/>
      <c r="C933" s="58"/>
      <c r="D933" s="58"/>
      <c r="E933" s="59"/>
      <c r="F933" s="58"/>
      <c r="G933" s="58"/>
      <c r="H933" s="60" t="str">
        <f aca="false">IF(OR(E933="",D933=""),"",IF(K933=0,"Expense / Gasto",INDEX(Budget!$C$7:$C$41,K933)))</f>
        <v/>
      </c>
      <c r="I933" s="60" t="str">
        <f aca="false">IF(AND(B933="",E933=""),"",IF(NOT(ISNUMBER(B933)),"⚠ ADD DATE / AGREGA FECHA",IF(E933="","⚠ ADD AMOUNT / AGREGA MONTO",IF(D933="","⚠ ADD CATEGORY / AGREGA CATEGORÍA",IF(K933=0,"● NEW CATEGORY? / ¿CATEGORÍA NUEVA?","✔ OK")))))</f>
        <v/>
      </c>
      <c r="K933" s="56" t="str">
        <f aca="false">IF(D933="","",IFERROR(MATCH(D933,Budget!$B$7:$B$41,0),0))</f>
        <v/>
      </c>
      <c r="L933" s="56" t="n">
        <f aca="false">IF(AND(ISNUMBER(B933),ISNUMBER(E933),D933&lt;&gt;""),YEAR(B933)*100+MONTH(B933),0)</f>
        <v>0</v>
      </c>
      <c r="M933" s="56" t="n">
        <f aca="false">IF(L933=0,0,YEAR(B933))</f>
        <v>0</v>
      </c>
      <c r="N933" s="56" t="str">
        <f aca="false">IF(L933=0,"",IF(K933=0,"Wants / Gustos",INDEX(Budget!$D$7:$D$41,K933)))</f>
        <v/>
      </c>
    </row>
    <row r="934" customFormat="false" ht="15" hidden="false" customHeight="false" outlineLevel="0" collapsed="false">
      <c r="B934" s="57"/>
      <c r="C934" s="58"/>
      <c r="D934" s="58"/>
      <c r="E934" s="59"/>
      <c r="F934" s="58"/>
      <c r="G934" s="58"/>
      <c r="H934" s="60" t="str">
        <f aca="false">IF(OR(E934="",D934=""),"",IF(K934=0,"Expense / Gasto",INDEX(Budget!$C$7:$C$41,K934)))</f>
        <v/>
      </c>
      <c r="I934" s="60" t="str">
        <f aca="false">IF(AND(B934="",E934=""),"",IF(NOT(ISNUMBER(B934)),"⚠ ADD DATE / AGREGA FECHA",IF(E934="","⚠ ADD AMOUNT / AGREGA MONTO",IF(D934="","⚠ ADD CATEGORY / AGREGA CATEGORÍA",IF(K934=0,"● NEW CATEGORY? / ¿CATEGORÍA NUEVA?","✔ OK")))))</f>
        <v/>
      </c>
      <c r="K934" s="56" t="str">
        <f aca="false">IF(D934="","",IFERROR(MATCH(D934,Budget!$B$7:$B$41,0),0))</f>
        <v/>
      </c>
      <c r="L934" s="56" t="n">
        <f aca="false">IF(AND(ISNUMBER(B934),ISNUMBER(E934),D934&lt;&gt;""),YEAR(B934)*100+MONTH(B934),0)</f>
        <v>0</v>
      </c>
      <c r="M934" s="56" t="n">
        <f aca="false">IF(L934=0,0,YEAR(B934))</f>
        <v>0</v>
      </c>
      <c r="N934" s="56" t="str">
        <f aca="false">IF(L934=0,"",IF(K934=0,"Wants / Gustos",INDEX(Budget!$D$7:$D$41,K934)))</f>
        <v/>
      </c>
    </row>
    <row r="935" customFormat="false" ht="15" hidden="false" customHeight="false" outlineLevel="0" collapsed="false">
      <c r="B935" s="57"/>
      <c r="C935" s="58"/>
      <c r="D935" s="58"/>
      <c r="E935" s="59"/>
      <c r="F935" s="58"/>
      <c r="G935" s="58"/>
      <c r="H935" s="60" t="str">
        <f aca="false">IF(OR(E935="",D935=""),"",IF(K935=0,"Expense / Gasto",INDEX(Budget!$C$7:$C$41,K935)))</f>
        <v/>
      </c>
      <c r="I935" s="60" t="str">
        <f aca="false">IF(AND(B935="",E935=""),"",IF(NOT(ISNUMBER(B935)),"⚠ ADD DATE / AGREGA FECHA",IF(E935="","⚠ ADD AMOUNT / AGREGA MONTO",IF(D935="","⚠ ADD CATEGORY / AGREGA CATEGORÍA",IF(K935=0,"● NEW CATEGORY? / ¿CATEGORÍA NUEVA?","✔ OK")))))</f>
        <v/>
      </c>
      <c r="K935" s="56" t="str">
        <f aca="false">IF(D935="","",IFERROR(MATCH(D935,Budget!$B$7:$B$41,0),0))</f>
        <v/>
      </c>
      <c r="L935" s="56" t="n">
        <f aca="false">IF(AND(ISNUMBER(B935),ISNUMBER(E935),D935&lt;&gt;""),YEAR(B935)*100+MONTH(B935),0)</f>
        <v>0</v>
      </c>
      <c r="M935" s="56" t="n">
        <f aca="false">IF(L935=0,0,YEAR(B935))</f>
        <v>0</v>
      </c>
      <c r="N935" s="56" t="str">
        <f aca="false">IF(L935=0,"",IF(K935=0,"Wants / Gustos",INDEX(Budget!$D$7:$D$41,K935)))</f>
        <v/>
      </c>
    </row>
    <row r="936" customFormat="false" ht="15" hidden="false" customHeight="false" outlineLevel="0" collapsed="false">
      <c r="B936" s="57"/>
      <c r="C936" s="58"/>
      <c r="D936" s="58"/>
      <c r="E936" s="59"/>
      <c r="F936" s="58"/>
      <c r="G936" s="58"/>
      <c r="H936" s="60" t="str">
        <f aca="false">IF(OR(E936="",D936=""),"",IF(K936=0,"Expense / Gasto",INDEX(Budget!$C$7:$C$41,K936)))</f>
        <v/>
      </c>
      <c r="I936" s="60" t="str">
        <f aca="false">IF(AND(B936="",E936=""),"",IF(NOT(ISNUMBER(B936)),"⚠ ADD DATE / AGREGA FECHA",IF(E936="","⚠ ADD AMOUNT / AGREGA MONTO",IF(D936="","⚠ ADD CATEGORY / AGREGA CATEGORÍA",IF(K936=0,"● NEW CATEGORY? / ¿CATEGORÍA NUEVA?","✔ OK")))))</f>
        <v/>
      </c>
      <c r="K936" s="56" t="str">
        <f aca="false">IF(D936="","",IFERROR(MATCH(D936,Budget!$B$7:$B$41,0),0))</f>
        <v/>
      </c>
      <c r="L936" s="56" t="n">
        <f aca="false">IF(AND(ISNUMBER(B936),ISNUMBER(E936),D936&lt;&gt;""),YEAR(B936)*100+MONTH(B936),0)</f>
        <v>0</v>
      </c>
      <c r="M936" s="56" t="n">
        <f aca="false">IF(L936=0,0,YEAR(B936))</f>
        <v>0</v>
      </c>
      <c r="N936" s="56" t="str">
        <f aca="false">IF(L936=0,"",IF(K936=0,"Wants / Gustos",INDEX(Budget!$D$7:$D$41,K936)))</f>
        <v/>
      </c>
    </row>
    <row r="937" customFormat="false" ht="15" hidden="false" customHeight="false" outlineLevel="0" collapsed="false">
      <c r="B937" s="57"/>
      <c r="C937" s="58"/>
      <c r="D937" s="58"/>
      <c r="E937" s="59"/>
      <c r="F937" s="58"/>
      <c r="G937" s="58"/>
      <c r="H937" s="60" t="str">
        <f aca="false">IF(OR(E937="",D937=""),"",IF(K937=0,"Expense / Gasto",INDEX(Budget!$C$7:$C$41,K937)))</f>
        <v/>
      </c>
      <c r="I937" s="60" t="str">
        <f aca="false">IF(AND(B937="",E937=""),"",IF(NOT(ISNUMBER(B937)),"⚠ ADD DATE / AGREGA FECHA",IF(E937="","⚠ ADD AMOUNT / AGREGA MONTO",IF(D937="","⚠ ADD CATEGORY / AGREGA CATEGORÍA",IF(K937=0,"● NEW CATEGORY? / ¿CATEGORÍA NUEVA?","✔ OK")))))</f>
        <v/>
      </c>
      <c r="K937" s="56" t="str">
        <f aca="false">IF(D937="","",IFERROR(MATCH(D937,Budget!$B$7:$B$41,0),0))</f>
        <v/>
      </c>
      <c r="L937" s="56" t="n">
        <f aca="false">IF(AND(ISNUMBER(B937),ISNUMBER(E937),D937&lt;&gt;""),YEAR(B937)*100+MONTH(B937),0)</f>
        <v>0</v>
      </c>
      <c r="M937" s="56" t="n">
        <f aca="false">IF(L937=0,0,YEAR(B937))</f>
        <v>0</v>
      </c>
      <c r="N937" s="56" t="str">
        <f aca="false">IF(L937=0,"",IF(K937=0,"Wants / Gustos",INDEX(Budget!$D$7:$D$41,K937)))</f>
        <v/>
      </c>
    </row>
    <row r="938" customFormat="false" ht="15" hidden="false" customHeight="false" outlineLevel="0" collapsed="false">
      <c r="B938" s="57"/>
      <c r="C938" s="58"/>
      <c r="D938" s="58"/>
      <c r="E938" s="59"/>
      <c r="F938" s="58"/>
      <c r="G938" s="58"/>
      <c r="H938" s="60" t="str">
        <f aca="false">IF(OR(E938="",D938=""),"",IF(K938=0,"Expense / Gasto",INDEX(Budget!$C$7:$C$41,K938)))</f>
        <v/>
      </c>
      <c r="I938" s="60" t="str">
        <f aca="false">IF(AND(B938="",E938=""),"",IF(NOT(ISNUMBER(B938)),"⚠ ADD DATE / AGREGA FECHA",IF(E938="","⚠ ADD AMOUNT / AGREGA MONTO",IF(D938="","⚠ ADD CATEGORY / AGREGA CATEGORÍA",IF(K938=0,"● NEW CATEGORY? / ¿CATEGORÍA NUEVA?","✔ OK")))))</f>
        <v/>
      </c>
      <c r="K938" s="56" t="str">
        <f aca="false">IF(D938="","",IFERROR(MATCH(D938,Budget!$B$7:$B$41,0),0))</f>
        <v/>
      </c>
      <c r="L938" s="56" t="n">
        <f aca="false">IF(AND(ISNUMBER(B938),ISNUMBER(E938),D938&lt;&gt;""),YEAR(B938)*100+MONTH(B938),0)</f>
        <v>0</v>
      </c>
      <c r="M938" s="56" t="n">
        <f aca="false">IF(L938=0,0,YEAR(B938))</f>
        <v>0</v>
      </c>
      <c r="N938" s="56" t="str">
        <f aca="false">IF(L938=0,"",IF(K938=0,"Wants / Gustos",INDEX(Budget!$D$7:$D$41,K938)))</f>
        <v/>
      </c>
    </row>
    <row r="939" customFormat="false" ht="15" hidden="false" customHeight="false" outlineLevel="0" collapsed="false">
      <c r="B939" s="57"/>
      <c r="C939" s="58"/>
      <c r="D939" s="58"/>
      <c r="E939" s="59"/>
      <c r="F939" s="58"/>
      <c r="G939" s="58"/>
      <c r="H939" s="60" t="str">
        <f aca="false">IF(OR(E939="",D939=""),"",IF(K939=0,"Expense / Gasto",INDEX(Budget!$C$7:$C$41,K939)))</f>
        <v/>
      </c>
      <c r="I939" s="60" t="str">
        <f aca="false">IF(AND(B939="",E939=""),"",IF(NOT(ISNUMBER(B939)),"⚠ ADD DATE / AGREGA FECHA",IF(E939="","⚠ ADD AMOUNT / AGREGA MONTO",IF(D939="","⚠ ADD CATEGORY / AGREGA CATEGORÍA",IF(K939=0,"● NEW CATEGORY? / ¿CATEGORÍA NUEVA?","✔ OK")))))</f>
        <v/>
      </c>
      <c r="K939" s="56" t="str">
        <f aca="false">IF(D939="","",IFERROR(MATCH(D939,Budget!$B$7:$B$41,0),0))</f>
        <v/>
      </c>
      <c r="L939" s="56" t="n">
        <f aca="false">IF(AND(ISNUMBER(B939),ISNUMBER(E939),D939&lt;&gt;""),YEAR(B939)*100+MONTH(B939),0)</f>
        <v>0</v>
      </c>
      <c r="M939" s="56" t="n">
        <f aca="false">IF(L939=0,0,YEAR(B939))</f>
        <v>0</v>
      </c>
      <c r="N939" s="56" t="str">
        <f aca="false">IF(L939=0,"",IF(K939=0,"Wants / Gustos",INDEX(Budget!$D$7:$D$41,K939)))</f>
        <v/>
      </c>
    </row>
    <row r="940" customFormat="false" ht="15" hidden="false" customHeight="false" outlineLevel="0" collapsed="false">
      <c r="B940" s="57"/>
      <c r="C940" s="58"/>
      <c r="D940" s="58"/>
      <c r="E940" s="59"/>
      <c r="F940" s="58"/>
      <c r="G940" s="58"/>
      <c r="H940" s="60" t="str">
        <f aca="false">IF(OR(E940="",D940=""),"",IF(K940=0,"Expense / Gasto",INDEX(Budget!$C$7:$C$41,K940)))</f>
        <v/>
      </c>
      <c r="I940" s="60" t="str">
        <f aca="false">IF(AND(B940="",E940=""),"",IF(NOT(ISNUMBER(B940)),"⚠ ADD DATE / AGREGA FECHA",IF(E940="","⚠ ADD AMOUNT / AGREGA MONTO",IF(D940="","⚠ ADD CATEGORY / AGREGA CATEGORÍA",IF(K940=0,"● NEW CATEGORY? / ¿CATEGORÍA NUEVA?","✔ OK")))))</f>
        <v/>
      </c>
      <c r="K940" s="56" t="str">
        <f aca="false">IF(D940="","",IFERROR(MATCH(D940,Budget!$B$7:$B$41,0),0))</f>
        <v/>
      </c>
      <c r="L940" s="56" t="n">
        <f aca="false">IF(AND(ISNUMBER(B940),ISNUMBER(E940),D940&lt;&gt;""),YEAR(B940)*100+MONTH(B940),0)</f>
        <v>0</v>
      </c>
      <c r="M940" s="56" t="n">
        <f aca="false">IF(L940=0,0,YEAR(B940))</f>
        <v>0</v>
      </c>
      <c r="N940" s="56" t="str">
        <f aca="false">IF(L940=0,"",IF(K940=0,"Wants / Gustos",INDEX(Budget!$D$7:$D$41,K940)))</f>
        <v/>
      </c>
    </row>
    <row r="941" customFormat="false" ht="15" hidden="false" customHeight="false" outlineLevel="0" collapsed="false">
      <c r="B941" s="57"/>
      <c r="C941" s="58"/>
      <c r="D941" s="58"/>
      <c r="E941" s="59"/>
      <c r="F941" s="58"/>
      <c r="G941" s="58"/>
      <c r="H941" s="60" t="str">
        <f aca="false">IF(OR(E941="",D941=""),"",IF(K941=0,"Expense / Gasto",INDEX(Budget!$C$7:$C$41,K941)))</f>
        <v/>
      </c>
      <c r="I941" s="60" t="str">
        <f aca="false">IF(AND(B941="",E941=""),"",IF(NOT(ISNUMBER(B941)),"⚠ ADD DATE / AGREGA FECHA",IF(E941="","⚠ ADD AMOUNT / AGREGA MONTO",IF(D941="","⚠ ADD CATEGORY / AGREGA CATEGORÍA",IF(K941=0,"● NEW CATEGORY? / ¿CATEGORÍA NUEVA?","✔ OK")))))</f>
        <v/>
      </c>
      <c r="K941" s="56" t="str">
        <f aca="false">IF(D941="","",IFERROR(MATCH(D941,Budget!$B$7:$B$41,0),0))</f>
        <v/>
      </c>
      <c r="L941" s="56" t="n">
        <f aca="false">IF(AND(ISNUMBER(B941),ISNUMBER(E941),D941&lt;&gt;""),YEAR(B941)*100+MONTH(B941),0)</f>
        <v>0</v>
      </c>
      <c r="M941" s="56" t="n">
        <f aca="false">IF(L941=0,0,YEAR(B941))</f>
        <v>0</v>
      </c>
      <c r="N941" s="56" t="str">
        <f aca="false">IF(L941=0,"",IF(K941=0,"Wants / Gustos",INDEX(Budget!$D$7:$D$41,K941)))</f>
        <v/>
      </c>
    </row>
    <row r="942" customFormat="false" ht="15" hidden="false" customHeight="false" outlineLevel="0" collapsed="false">
      <c r="B942" s="57"/>
      <c r="C942" s="58"/>
      <c r="D942" s="58"/>
      <c r="E942" s="59"/>
      <c r="F942" s="58"/>
      <c r="G942" s="58"/>
      <c r="H942" s="60" t="str">
        <f aca="false">IF(OR(E942="",D942=""),"",IF(K942=0,"Expense / Gasto",INDEX(Budget!$C$7:$C$41,K942)))</f>
        <v/>
      </c>
      <c r="I942" s="60" t="str">
        <f aca="false">IF(AND(B942="",E942=""),"",IF(NOT(ISNUMBER(B942)),"⚠ ADD DATE / AGREGA FECHA",IF(E942="","⚠ ADD AMOUNT / AGREGA MONTO",IF(D942="","⚠ ADD CATEGORY / AGREGA CATEGORÍA",IF(K942=0,"● NEW CATEGORY? / ¿CATEGORÍA NUEVA?","✔ OK")))))</f>
        <v/>
      </c>
      <c r="K942" s="56" t="str">
        <f aca="false">IF(D942="","",IFERROR(MATCH(D942,Budget!$B$7:$B$41,0),0))</f>
        <v/>
      </c>
      <c r="L942" s="56" t="n">
        <f aca="false">IF(AND(ISNUMBER(B942),ISNUMBER(E942),D942&lt;&gt;""),YEAR(B942)*100+MONTH(B942),0)</f>
        <v>0</v>
      </c>
      <c r="M942" s="56" t="n">
        <f aca="false">IF(L942=0,0,YEAR(B942))</f>
        <v>0</v>
      </c>
      <c r="N942" s="56" t="str">
        <f aca="false">IF(L942=0,"",IF(K942=0,"Wants / Gustos",INDEX(Budget!$D$7:$D$41,K942)))</f>
        <v/>
      </c>
    </row>
    <row r="943" customFormat="false" ht="15" hidden="false" customHeight="false" outlineLevel="0" collapsed="false">
      <c r="B943" s="57"/>
      <c r="C943" s="58"/>
      <c r="D943" s="58"/>
      <c r="E943" s="59"/>
      <c r="F943" s="58"/>
      <c r="G943" s="58"/>
      <c r="H943" s="60" t="str">
        <f aca="false">IF(OR(E943="",D943=""),"",IF(K943=0,"Expense / Gasto",INDEX(Budget!$C$7:$C$41,K943)))</f>
        <v/>
      </c>
      <c r="I943" s="60" t="str">
        <f aca="false">IF(AND(B943="",E943=""),"",IF(NOT(ISNUMBER(B943)),"⚠ ADD DATE / AGREGA FECHA",IF(E943="","⚠ ADD AMOUNT / AGREGA MONTO",IF(D943="","⚠ ADD CATEGORY / AGREGA CATEGORÍA",IF(K943=0,"● NEW CATEGORY? / ¿CATEGORÍA NUEVA?","✔ OK")))))</f>
        <v/>
      </c>
      <c r="K943" s="56" t="str">
        <f aca="false">IF(D943="","",IFERROR(MATCH(D943,Budget!$B$7:$B$41,0),0))</f>
        <v/>
      </c>
      <c r="L943" s="56" t="n">
        <f aca="false">IF(AND(ISNUMBER(B943),ISNUMBER(E943),D943&lt;&gt;""),YEAR(B943)*100+MONTH(B943),0)</f>
        <v>0</v>
      </c>
      <c r="M943" s="56" t="n">
        <f aca="false">IF(L943=0,0,YEAR(B943))</f>
        <v>0</v>
      </c>
      <c r="N943" s="56" t="str">
        <f aca="false">IF(L943=0,"",IF(K943=0,"Wants / Gustos",INDEX(Budget!$D$7:$D$41,K943)))</f>
        <v/>
      </c>
    </row>
    <row r="944" customFormat="false" ht="15" hidden="false" customHeight="false" outlineLevel="0" collapsed="false">
      <c r="B944" s="57"/>
      <c r="C944" s="58"/>
      <c r="D944" s="58"/>
      <c r="E944" s="59"/>
      <c r="F944" s="58"/>
      <c r="G944" s="58"/>
      <c r="H944" s="60" t="str">
        <f aca="false">IF(OR(E944="",D944=""),"",IF(K944=0,"Expense / Gasto",INDEX(Budget!$C$7:$C$41,K944)))</f>
        <v/>
      </c>
      <c r="I944" s="60" t="str">
        <f aca="false">IF(AND(B944="",E944=""),"",IF(NOT(ISNUMBER(B944)),"⚠ ADD DATE / AGREGA FECHA",IF(E944="","⚠ ADD AMOUNT / AGREGA MONTO",IF(D944="","⚠ ADD CATEGORY / AGREGA CATEGORÍA",IF(K944=0,"● NEW CATEGORY? / ¿CATEGORÍA NUEVA?","✔ OK")))))</f>
        <v/>
      </c>
      <c r="K944" s="56" t="str">
        <f aca="false">IF(D944="","",IFERROR(MATCH(D944,Budget!$B$7:$B$41,0),0))</f>
        <v/>
      </c>
      <c r="L944" s="56" t="n">
        <f aca="false">IF(AND(ISNUMBER(B944),ISNUMBER(E944),D944&lt;&gt;""),YEAR(B944)*100+MONTH(B944),0)</f>
        <v>0</v>
      </c>
      <c r="M944" s="56" t="n">
        <f aca="false">IF(L944=0,0,YEAR(B944))</f>
        <v>0</v>
      </c>
      <c r="N944" s="56" t="str">
        <f aca="false">IF(L944=0,"",IF(K944=0,"Wants / Gustos",INDEX(Budget!$D$7:$D$41,K944)))</f>
        <v/>
      </c>
    </row>
    <row r="945" customFormat="false" ht="15" hidden="false" customHeight="false" outlineLevel="0" collapsed="false">
      <c r="B945" s="57"/>
      <c r="C945" s="58"/>
      <c r="D945" s="58"/>
      <c r="E945" s="59"/>
      <c r="F945" s="58"/>
      <c r="G945" s="58"/>
      <c r="H945" s="60" t="str">
        <f aca="false">IF(OR(E945="",D945=""),"",IF(K945=0,"Expense / Gasto",INDEX(Budget!$C$7:$C$41,K945)))</f>
        <v/>
      </c>
      <c r="I945" s="60" t="str">
        <f aca="false">IF(AND(B945="",E945=""),"",IF(NOT(ISNUMBER(B945)),"⚠ ADD DATE / AGREGA FECHA",IF(E945="","⚠ ADD AMOUNT / AGREGA MONTO",IF(D945="","⚠ ADD CATEGORY / AGREGA CATEGORÍA",IF(K945=0,"● NEW CATEGORY? / ¿CATEGORÍA NUEVA?","✔ OK")))))</f>
        <v/>
      </c>
      <c r="K945" s="56" t="str">
        <f aca="false">IF(D945="","",IFERROR(MATCH(D945,Budget!$B$7:$B$41,0),0))</f>
        <v/>
      </c>
      <c r="L945" s="56" t="n">
        <f aca="false">IF(AND(ISNUMBER(B945),ISNUMBER(E945),D945&lt;&gt;""),YEAR(B945)*100+MONTH(B945),0)</f>
        <v>0</v>
      </c>
      <c r="M945" s="56" t="n">
        <f aca="false">IF(L945=0,0,YEAR(B945))</f>
        <v>0</v>
      </c>
      <c r="N945" s="56" t="str">
        <f aca="false">IF(L945=0,"",IF(K945=0,"Wants / Gustos",INDEX(Budget!$D$7:$D$41,K945)))</f>
        <v/>
      </c>
    </row>
    <row r="946" customFormat="false" ht="15" hidden="false" customHeight="false" outlineLevel="0" collapsed="false">
      <c r="B946" s="57"/>
      <c r="C946" s="58"/>
      <c r="D946" s="58"/>
      <c r="E946" s="59"/>
      <c r="F946" s="58"/>
      <c r="G946" s="58"/>
      <c r="H946" s="60" t="str">
        <f aca="false">IF(OR(E946="",D946=""),"",IF(K946=0,"Expense / Gasto",INDEX(Budget!$C$7:$C$41,K946)))</f>
        <v/>
      </c>
      <c r="I946" s="60" t="str">
        <f aca="false">IF(AND(B946="",E946=""),"",IF(NOT(ISNUMBER(B946)),"⚠ ADD DATE / AGREGA FECHA",IF(E946="","⚠ ADD AMOUNT / AGREGA MONTO",IF(D946="","⚠ ADD CATEGORY / AGREGA CATEGORÍA",IF(K946=0,"● NEW CATEGORY? / ¿CATEGORÍA NUEVA?","✔ OK")))))</f>
        <v/>
      </c>
      <c r="K946" s="56" t="str">
        <f aca="false">IF(D946="","",IFERROR(MATCH(D946,Budget!$B$7:$B$41,0),0))</f>
        <v/>
      </c>
      <c r="L946" s="56" t="n">
        <f aca="false">IF(AND(ISNUMBER(B946),ISNUMBER(E946),D946&lt;&gt;""),YEAR(B946)*100+MONTH(B946),0)</f>
        <v>0</v>
      </c>
      <c r="M946" s="56" t="n">
        <f aca="false">IF(L946=0,0,YEAR(B946))</f>
        <v>0</v>
      </c>
      <c r="N946" s="56" t="str">
        <f aca="false">IF(L946=0,"",IF(K946=0,"Wants / Gustos",INDEX(Budget!$D$7:$D$41,K946)))</f>
        <v/>
      </c>
    </row>
    <row r="947" customFormat="false" ht="15" hidden="false" customHeight="false" outlineLevel="0" collapsed="false">
      <c r="B947" s="57"/>
      <c r="C947" s="58"/>
      <c r="D947" s="58"/>
      <c r="E947" s="59"/>
      <c r="F947" s="58"/>
      <c r="G947" s="58"/>
      <c r="H947" s="60" t="str">
        <f aca="false">IF(OR(E947="",D947=""),"",IF(K947=0,"Expense / Gasto",INDEX(Budget!$C$7:$C$41,K947)))</f>
        <v/>
      </c>
      <c r="I947" s="60" t="str">
        <f aca="false">IF(AND(B947="",E947=""),"",IF(NOT(ISNUMBER(B947)),"⚠ ADD DATE / AGREGA FECHA",IF(E947="","⚠ ADD AMOUNT / AGREGA MONTO",IF(D947="","⚠ ADD CATEGORY / AGREGA CATEGORÍA",IF(K947=0,"● NEW CATEGORY? / ¿CATEGORÍA NUEVA?","✔ OK")))))</f>
        <v/>
      </c>
      <c r="K947" s="56" t="str">
        <f aca="false">IF(D947="","",IFERROR(MATCH(D947,Budget!$B$7:$B$41,0),0))</f>
        <v/>
      </c>
      <c r="L947" s="56" t="n">
        <f aca="false">IF(AND(ISNUMBER(B947),ISNUMBER(E947),D947&lt;&gt;""),YEAR(B947)*100+MONTH(B947),0)</f>
        <v>0</v>
      </c>
      <c r="M947" s="56" t="n">
        <f aca="false">IF(L947=0,0,YEAR(B947))</f>
        <v>0</v>
      </c>
      <c r="N947" s="56" t="str">
        <f aca="false">IF(L947=0,"",IF(K947=0,"Wants / Gustos",INDEX(Budget!$D$7:$D$41,K947)))</f>
        <v/>
      </c>
    </row>
    <row r="948" customFormat="false" ht="15" hidden="false" customHeight="false" outlineLevel="0" collapsed="false">
      <c r="B948" s="57"/>
      <c r="C948" s="58"/>
      <c r="D948" s="58"/>
      <c r="E948" s="59"/>
      <c r="F948" s="58"/>
      <c r="G948" s="58"/>
      <c r="H948" s="60" t="str">
        <f aca="false">IF(OR(E948="",D948=""),"",IF(K948=0,"Expense / Gasto",INDEX(Budget!$C$7:$C$41,K948)))</f>
        <v/>
      </c>
      <c r="I948" s="60" t="str">
        <f aca="false">IF(AND(B948="",E948=""),"",IF(NOT(ISNUMBER(B948)),"⚠ ADD DATE / AGREGA FECHA",IF(E948="","⚠ ADD AMOUNT / AGREGA MONTO",IF(D948="","⚠ ADD CATEGORY / AGREGA CATEGORÍA",IF(K948=0,"● NEW CATEGORY? / ¿CATEGORÍA NUEVA?","✔ OK")))))</f>
        <v/>
      </c>
      <c r="K948" s="56" t="str">
        <f aca="false">IF(D948="","",IFERROR(MATCH(D948,Budget!$B$7:$B$41,0),0))</f>
        <v/>
      </c>
      <c r="L948" s="56" t="n">
        <f aca="false">IF(AND(ISNUMBER(B948),ISNUMBER(E948),D948&lt;&gt;""),YEAR(B948)*100+MONTH(B948),0)</f>
        <v>0</v>
      </c>
      <c r="M948" s="56" t="n">
        <f aca="false">IF(L948=0,0,YEAR(B948))</f>
        <v>0</v>
      </c>
      <c r="N948" s="56" t="str">
        <f aca="false">IF(L948=0,"",IF(K948=0,"Wants / Gustos",INDEX(Budget!$D$7:$D$41,K948)))</f>
        <v/>
      </c>
    </row>
    <row r="949" customFormat="false" ht="15" hidden="false" customHeight="false" outlineLevel="0" collapsed="false">
      <c r="B949" s="57"/>
      <c r="C949" s="58"/>
      <c r="D949" s="58"/>
      <c r="E949" s="59"/>
      <c r="F949" s="58"/>
      <c r="G949" s="58"/>
      <c r="H949" s="60" t="str">
        <f aca="false">IF(OR(E949="",D949=""),"",IF(K949=0,"Expense / Gasto",INDEX(Budget!$C$7:$C$41,K949)))</f>
        <v/>
      </c>
      <c r="I949" s="60" t="str">
        <f aca="false">IF(AND(B949="",E949=""),"",IF(NOT(ISNUMBER(B949)),"⚠ ADD DATE / AGREGA FECHA",IF(E949="","⚠ ADD AMOUNT / AGREGA MONTO",IF(D949="","⚠ ADD CATEGORY / AGREGA CATEGORÍA",IF(K949=0,"● NEW CATEGORY? / ¿CATEGORÍA NUEVA?","✔ OK")))))</f>
        <v/>
      </c>
      <c r="K949" s="56" t="str">
        <f aca="false">IF(D949="","",IFERROR(MATCH(D949,Budget!$B$7:$B$41,0),0))</f>
        <v/>
      </c>
      <c r="L949" s="56" t="n">
        <f aca="false">IF(AND(ISNUMBER(B949),ISNUMBER(E949),D949&lt;&gt;""),YEAR(B949)*100+MONTH(B949),0)</f>
        <v>0</v>
      </c>
      <c r="M949" s="56" t="n">
        <f aca="false">IF(L949=0,0,YEAR(B949))</f>
        <v>0</v>
      </c>
      <c r="N949" s="56" t="str">
        <f aca="false">IF(L949=0,"",IF(K949=0,"Wants / Gustos",INDEX(Budget!$D$7:$D$41,K949)))</f>
        <v/>
      </c>
    </row>
    <row r="950" customFormat="false" ht="15" hidden="false" customHeight="false" outlineLevel="0" collapsed="false">
      <c r="B950" s="57"/>
      <c r="C950" s="58"/>
      <c r="D950" s="58"/>
      <c r="E950" s="59"/>
      <c r="F950" s="58"/>
      <c r="G950" s="58"/>
      <c r="H950" s="60" t="str">
        <f aca="false">IF(OR(E950="",D950=""),"",IF(K950=0,"Expense / Gasto",INDEX(Budget!$C$7:$C$41,K950)))</f>
        <v/>
      </c>
      <c r="I950" s="60" t="str">
        <f aca="false">IF(AND(B950="",E950=""),"",IF(NOT(ISNUMBER(B950)),"⚠ ADD DATE / AGREGA FECHA",IF(E950="","⚠ ADD AMOUNT / AGREGA MONTO",IF(D950="","⚠ ADD CATEGORY / AGREGA CATEGORÍA",IF(K950=0,"● NEW CATEGORY? / ¿CATEGORÍA NUEVA?","✔ OK")))))</f>
        <v/>
      </c>
      <c r="K950" s="56" t="str">
        <f aca="false">IF(D950="","",IFERROR(MATCH(D950,Budget!$B$7:$B$41,0),0))</f>
        <v/>
      </c>
      <c r="L950" s="56" t="n">
        <f aca="false">IF(AND(ISNUMBER(B950),ISNUMBER(E950),D950&lt;&gt;""),YEAR(B950)*100+MONTH(B950),0)</f>
        <v>0</v>
      </c>
      <c r="M950" s="56" t="n">
        <f aca="false">IF(L950=0,0,YEAR(B950))</f>
        <v>0</v>
      </c>
      <c r="N950" s="56" t="str">
        <f aca="false">IF(L950=0,"",IF(K950=0,"Wants / Gustos",INDEX(Budget!$D$7:$D$41,K950)))</f>
        <v/>
      </c>
    </row>
    <row r="951" customFormat="false" ht="15" hidden="false" customHeight="false" outlineLevel="0" collapsed="false">
      <c r="B951" s="57"/>
      <c r="C951" s="58"/>
      <c r="D951" s="58"/>
      <c r="E951" s="59"/>
      <c r="F951" s="58"/>
      <c r="G951" s="58"/>
      <c r="H951" s="60" t="str">
        <f aca="false">IF(OR(E951="",D951=""),"",IF(K951=0,"Expense / Gasto",INDEX(Budget!$C$7:$C$41,K951)))</f>
        <v/>
      </c>
      <c r="I951" s="60" t="str">
        <f aca="false">IF(AND(B951="",E951=""),"",IF(NOT(ISNUMBER(B951)),"⚠ ADD DATE / AGREGA FECHA",IF(E951="","⚠ ADD AMOUNT / AGREGA MONTO",IF(D951="","⚠ ADD CATEGORY / AGREGA CATEGORÍA",IF(K951=0,"● NEW CATEGORY? / ¿CATEGORÍA NUEVA?","✔ OK")))))</f>
        <v/>
      </c>
      <c r="K951" s="56" t="str">
        <f aca="false">IF(D951="","",IFERROR(MATCH(D951,Budget!$B$7:$B$41,0),0))</f>
        <v/>
      </c>
      <c r="L951" s="56" t="n">
        <f aca="false">IF(AND(ISNUMBER(B951),ISNUMBER(E951),D951&lt;&gt;""),YEAR(B951)*100+MONTH(B951),0)</f>
        <v>0</v>
      </c>
      <c r="M951" s="56" t="n">
        <f aca="false">IF(L951=0,0,YEAR(B951))</f>
        <v>0</v>
      </c>
      <c r="N951" s="56" t="str">
        <f aca="false">IF(L951=0,"",IF(K951=0,"Wants / Gustos",INDEX(Budget!$D$7:$D$41,K951)))</f>
        <v/>
      </c>
    </row>
    <row r="952" customFormat="false" ht="15" hidden="false" customHeight="false" outlineLevel="0" collapsed="false">
      <c r="B952" s="57"/>
      <c r="C952" s="58"/>
      <c r="D952" s="58"/>
      <c r="E952" s="59"/>
      <c r="F952" s="58"/>
      <c r="G952" s="58"/>
      <c r="H952" s="60" t="str">
        <f aca="false">IF(OR(E952="",D952=""),"",IF(K952=0,"Expense / Gasto",INDEX(Budget!$C$7:$C$41,K952)))</f>
        <v/>
      </c>
      <c r="I952" s="60" t="str">
        <f aca="false">IF(AND(B952="",E952=""),"",IF(NOT(ISNUMBER(B952)),"⚠ ADD DATE / AGREGA FECHA",IF(E952="","⚠ ADD AMOUNT / AGREGA MONTO",IF(D952="","⚠ ADD CATEGORY / AGREGA CATEGORÍA",IF(K952=0,"● NEW CATEGORY? / ¿CATEGORÍA NUEVA?","✔ OK")))))</f>
        <v/>
      </c>
      <c r="K952" s="56" t="str">
        <f aca="false">IF(D952="","",IFERROR(MATCH(D952,Budget!$B$7:$B$41,0),0))</f>
        <v/>
      </c>
      <c r="L952" s="56" t="n">
        <f aca="false">IF(AND(ISNUMBER(B952),ISNUMBER(E952),D952&lt;&gt;""),YEAR(B952)*100+MONTH(B952),0)</f>
        <v>0</v>
      </c>
      <c r="M952" s="56" t="n">
        <f aca="false">IF(L952=0,0,YEAR(B952))</f>
        <v>0</v>
      </c>
      <c r="N952" s="56" t="str">
        <f aca="false">IF(L952=0,"",IF(K952=0,"Wants / Gustos",INDEX(Budget!$D$7:$D$41,K952)))</f>
        <v/>
      </c>
    </row>
    <row r="953" customFormat="false" ht="15" hidden="false" customHeight="false" outlineLevel="0" collapsed="false">
      <c r="B953" s="57"/>
      <c r="C953" s="58"/>
      <c r="D953" s="58"/>
      <c r="E953" s="59"/>
      <c r="F953" s="58"/>
      <c r="G953" s="58"/>
      <c r="H953" s="60" t="str">
        <f aca="false">IF(OR(E953="",D953=""),"",IF(K953=0,"Expense / Gasto",INDEX(Budget!$C$7:$C$41,K953)))</f>
        <v/>
      </c>
      <c r="I953" s="60" t="str">
        <f aca="false">IF(AND(B953="",E953=""),"",IF(NOT(ISNUMBER(B953)),"⚠ ADD DATE / AGREGA FECHA",IF(E953="","⚠ ADD AMOUNT / AGREGA MONTO",IF(D953="","⚠ ADD CATEGORY / AGREGA CATEGORÍA",IF(K953=0,"● NEW CATEGORY? / ¿CATEGORÍA NUEVA?","✔ OK")))))</f>
        <v/>
      </c>
      <c r="K953" s="56" t="str">
        <f aca="false">IF(D953="","",IFERROR(MATCH(D953,Budget!$B$7:$B$41,0),0))</f>
        <v/>
      </c>
      <c r="L953" s="56" t="n">
        <f aca="false">IF(AND(ISNUMBER(B953),ISNUMBER(E953),D953&lt;&gt;""),YEAR(B953)*100+MONTH(B953),0)</f>
        <v>0</v>
      </c>
      <c r="M953" s="56" t="n">
        <f aca="false">IF(L953=0,0,YEAR(B953))</f>
        <v>0</v>
      </c>
      <c r="N953" s="56" t="str">
        <f aca="false">IF(L953=0,"",IF(K953=0,"Wants / Gustos",INDEX(Budget!$D$7:$D$41,K953)))</f>
        <v/>
      </c>
    </row>
    <row r="954" customFormat="false" ht="15" hidden="false" customHeight="false" outlineLevel="0" collapsed="false">
      <c r="B954" s="57"/>
      <c r="C954" s="58"/>
      <c r="D954" s="58"/>
      <c r="E954" s="59"/>
      <c r="F954" s="58"/>
      <c r="G954" s="58"/>
      <c r="H954" s="60" t="str">
        <f aca="false">IF(OR(E954="",D954=""),"",IF(K954=0,"Expense / Gasto",INDEX(Budget!$C$7:$C$41,K954)))</f>
        <v/>
      </c>
      <c r="I954" s="60" t="str">
        <f aca="false">IF(AND(B954="",E954=""),"",IF(NOT(ISNUMBER(B954)),"⚠ ADD DATE / AGREGA FECHA",IF(E954="","⚠ ADD AMOUNT / AGREGA MONTO",IF(D954="","⚠ ADD CATEGORY / AGREGA CATEGORÍA",IF(K954=0,"● NEW CATEGORY? / ¿CATEGORÍA NUEVA?","✔ OK")))))</f>
        <v/>
      </c>
      <c r="K954" s="56" t="str">
        <f aca="false">IF(D954="","",IFERROR(MATCH(D954,Budget!$B$7:$B$41,0),0))</f>
        <v/>
      </c>
      <c r="L954" s="56" t="n">
        <f aca="false">IF(AND(ISNUMBER(B954),ISNUMBER(E954),D954&lt;&gt;""),YEAR(B954)*100+MONTH(B954),0)</f>
        <v>0</v>
      </c>
      <c r="M954" s="56" t="n">
        <f aca="false">IF(L954=0,0,YEAR(B954))</f>
        <v>0</v>
      </c>
      <c r="N954" s="56" t="str">
        <f aca="false">IF(L954=0,"",IF(K954=0,"Wants / Gustos",INDEX(Budget!$D$7:$D$41,K954)))</f>
        <v/>
      </c>
    </row>
    <row r="955" customFormat="false" ht="15" hidden="false" customHeight="false" outlineLevel="0" collapsed="false">
      <c r="B955" s="57"/>
      <c r="C955" s="58"/>
      <c r="D955" s="58"/>
      <c r="E955" s="59"/>
      <c r="F955" s="58"/>
      <c r="G955" s="58"/>
      <c r="H955" s="60" t="str">
        <f aca="false">IF(OR(E955="",D955=""),"",IF(K955=0,"Expense / Gasto",INDEX(Budget!$C$7:$C$41,K955)))</f>
        <v/>
      </c>
      <c r="I955" s="60" t="str">
        <f aca="false">IF(AND(B955="",E955=""),"",IF(NOT(ISNUMBER(B955)),"⚠ ADD DATE / AGREGA FECHA",IF(E955="","⚠ ADD AMOUNT / AGREGA MONTO",IF(D955="","⚠ ADD CATEGORY / AGREGA CATEGORÍA",IF(K955=0,"● NEW CATEGORY? / ¿CATEGORÍA NUEVA?","✔ OK")))))</f>
        <v/>
      </c>
      <c r="K955" s="56" t="str">
        <f aca="false">IF(D955="","",IFERROR(MATCH(D955,Budget!$B$7:$B$41,0),0))</f>
        <v/>
      </c>
      <c r="L955" s="56" t="n">
        <f aca="false">IF(AND(ISNUMBER(B955),ISNUMBER(E955),D955&lt;&gt;""),YEAR(B955)*100+MONTH(B955),0)</f>
        <v>0</v>
      </c>
      <c r="M955" s="56" t="n">
        <f aca="false">IF(L955=0,0,YEAR(B955))</f>
        <v>0</v>
      </c>
      <c r="N955" s="56" t="str">
        <f aca="false">IF(L955=0,"",IF(K955=0,"Wants / Gustos",INDEX(Budget!$D$7:$D$41,K955)))</f>
        <v/>
      </c>
    </row>
    <row r="956" customFormat="false" ht="15" hidden="false" customHeight="false" outlineLevel="0" collapsed="false">
      <c r="B956" s="57"/>
      <c r="C956" s="58"/>
      <c r="D956" s="58"/>
      <c r="E956" s="59"/>
      <c r="F956" s="58"/>
      <c r="G956" s="58"/>
      <c r="H956" s="60" t="str">
        <f aca="false">IF(OR(E956="",D956=""),"",IF(K956=0,"Expense / Gasto",INDEX(Budget!$C$7:$C$41,K956)))</f>
        <v/>
      </c>
      <c r="I956" s="60" t="str">
        <f aca="false">IF(AND(B956="",E956=""),"",IF(NOT(ISNUMBER(B956)),"⚠ ADD DATE / AGREGA FECHA",IF(E956="","⚠ ADD AMOUNT / AGREGA MONTO",IF(D956="","⚠ ADD CATEGORY / AGREGA CATEGORÍA",IF(K956=0,"● NEW CATEGORY? / ¿CATEGORÍA NUEVA?","✔ OK")))))</f>
        <v/>
      </c>
      <c r="K956" s="56" t="str">
        <f aca="false">IF(D956="","",IFERROR(MATCH(D956,Budget!$B$7:$B$41,0),0))</f>
        <v/>
      </c>
      <c r="L956" s="56" t="n">
        <f aca="false">IF(AND(ISNUMBER(B956),ISNUMBER(E956),D956&lt;&gt;""),YEAR(B956)*100+MONTH(B956),0)</f>
        <v>0</v>
      </c>
      <c r="M956" s="56" t="n">
        <f aca="false">IF(L956=0,0,YEAR(B956))</f>
        <v>0</v>
      </c>
      <c r="N956" s="56" t="str">
        <f aca="false">IF(L956=0,"",IF(K956=0,"Wants / Gustos",INDEX(Budget!$D$7:$D$41,K956)))</f>
        <v/>
      </c>
    </row>
    <row r="957" customFormat="false" ht="15" hidden="false" customHeight="false" outlineLevel="0" collapsed="false">
      <c r="B957" s="57"/>
      <c r="C957" s="58"/>
      <c r="D957" s="58"/>
      <c r="E957" s="59"/>
      <c r="F957" s="58"/>
      <c r="G957" s="58"/>
      <c r="H957" s="60" t="str">
        <f aca="false">IF(OR(E957="",D957=""),"",IF(K957=0,"Expense / Gasto",INDEX(Budget!$C$7:$C$41,K957)))</f>
        <v/>
      </c>
      <c r="I957" s="60" t="str">
        <f aca="false">IF(AND(B957="",E957=""),"",IF(NOT(ISNUMBER(B957)),"⚠ ADD DATE / AGREGA FECHA",IF(E957="","⚠ ADD AMOUNT / AGREGA MONTO",IF(D957="","⚠ ADD CATEGORY / AGREGA CATEGORÍA",IF(K957=0,"● NEW CATEGORY? / ¿CATEGORÍA NUEVA?","✔ OK")))))</f>
        <v/>
      </c>
      <c r="K957" s="56" t="str">
        <f aca="false">IF(D957="","",IFERROR(MATCH(D957,Budget!$B$7:$B$41,0),0))</f>
        <v/>
      </c>
      <c r="L957" s="56" t="n">
        <f aca="false">IF(AND(ISNUMBER(B957),ISNUMBER(E957),D957&lt;&gt;""),YEAR(B957)*100+MONTH(B957),0)</f>
        <v>0</v>
      </c>
      <c r="M957" s="56" t="n">
        <f aca="false">IF(L957=0,0,YEAR(B957))</f>
        <v>0</v>
      </c>
      <c r="N957" s="56" t="str">
        <f aca="false">IF(L957=0,"",IF(K957=0,"Wants / Gustos",INDEX(Budget!$D$7:$D$41,K957)))</f>
        <v/>
      </c>
    </row>
    <row r="958" customFormat="false" ht="15" hidden="false" customHeight="false" outlineLevel="0" collapsed="false">
      <c r="B958" s="57"/>
      <c r="C958" s="58"/>
      <c r="D958" s="58"/>
      <c r="E958" s="59"/>
      <c r="F958" s="58"/>
      <c r="G958" s="58"/>
      <c r="H958" s="60" t="str">
        <f aca="false">IF(OR(E958="",D958=""),"",IF(K958=0,"Expense / Gasto",INDEX(Budget!$C$7:$C$41,K958)))</f>
        <v/>
      </c>
      <c r="I958" s="60" t="str">
        <f aca="false">IF(AND(B958="",E958=""),"",IF(NOT(ISNUMBER(B958)),"⚠ ADD DATE / AGREGA FECHA",IF(E958="","⚠ ADD AMOUNT / AGREGA MONTO",IF(D958="","⚠ ADD CATEGORY / AGREGA CATEGORÍA",IF(K958=0,"● NEW CATEGORY? / ¿CATEGORÍA NUEVA?","✔ OK")))))</f>
        <v/>
      </c>
      <c r="K958" s="56" t="str">
        <f aca="false">IF(D958="","",IFERROR(MATCH(D958,Budget!$B$7:$B$41,0),0))</f>
        <v/>
      </c>
      <c r="L958" s="56" t="n">
        <f aca="false">IF(AND(ISNUMBER(B958),ISNUMBER(E958),D958&lt;&gt;""),YEAR(B958)*100+MONTH(B958),0)</f>
        <v>0</v>
      </c>
      <c r="M958" s="56" t="n">
        <f aca="false">IF(L958=0,0,YEAR(B958))</f>
        <v>0</v>
      </c>
      <c r="N958" s="56" t="str">
        <f aca="false">IF(L958=0,"",IF(K958=0,"Wants / Gustos",INDEX(Budget!$D$7:$D$41,K958)))</f>
        <v/>
      </c>
    </row>
    <row r="959" customFormat="false" ht="15" hidden="false" customHeight="false" outlineLevel="0" collapsed="false">
      <c r="B959" s="57"/>
      <c r="C959" s="58"/>
      <c r="D959" s="58"/>
      <c r="E959" s="59"/>
      <c r="F959" s="58"/>
      <c r="G959" s="58"/>
      <c r="H959" s="60" t="str">
        <f aca="false">IF(OR(E959="",D959=""),"",IF(K959=0,"Expense / Gasto",INDEX(Budget!$C$7:$C$41,K959)))</f>
        <v/>
      </c>
      <c r="I959" s="60" t="str">
        <f aca="false">IF(AND(B959="",E959=""),"",IF(NOT(ISNUMBER(B959)),"⚠ ADD DATE / AGREGA FECHA",IF(E959="","⚠ ADD AMOUNT / AGREGA MONTO",IF(D959="","⚠ ADD CATEGORY / AGREGA CATEGORÍA",IF(K959=0,"● NEW CATEGORY? / ¿CATEGORÍA NUEVA?","✔ OK")))))</f>
        <v/>
      </c>
      <c r="K959" s="56" t="str">
        <f aca="false">IF(D959="","",IFERROR(MATCH(D959,Budget!$B$7:$B$41,0),0))</f>
        <v/>
      </c>
      <c r="L959" s="56" t="n">
        <f aca="false">IF(AND(ISNUMBER(B959),ISNUMBER(E959),D959&lt;&gt;""),YEAR(B959)*100+MONTH(B959),0)</f>
        <v>0</v>
      </c>
      <c r="M959" s="56" t="n">
        <f aca="false">IF(L959=0,0,YEAR(B959))</f>
        <v>0</v>
      </c>
      <c r="N959" s="56" t="str">
        <f aca="false">IF(L959=0,"",IF(K959=0,"Wants / Gustos",INDEX(Budget!$D$7:$D$41,K959)))</f>
        <v/>
      </c>
    </row>
    <row r="960" customFormat="false" ht="15" hidden="false" customHeight="false" outlineLevel="0" collapsed="false">
      <c r="B960" s="57"/>
      <c r="C960" s="58"/>
      <c r="D960" s="58"/>
      <c r="E960" s="59"/>
      <c r="F960" s="58"/>
      <c r="G960" s="58"/>
      <c r="H960" s="60" t="str">
        <f aca="false">IF(OR(E960="",D960=""),"",IF(K960=0,"Expense / Gasto",INDEX(Budget!$C$7:$C$41,K960)))</f>
        <v/>
      </c>
      <c r="I960" s="60" t="str">
        <f aca="false">IF(AND(B960="",E960=""),"",IF(NOT(ISNUMBER(B960)),"⚠ ADD DATE / AGREGA FECHA",IF(E960="","⚠ ADD AMOUNT / AGREGA MONTO",IF(D960="","⚠ ADD CATEGORY / AGREGA CATEGORÍA",IF(K960=0,"● NEW CATEGORY? / ¿CATEGORÍA NUEVA?","✔ OK")))))</f>
        <v/>
      </c>
      <c r="K960" s="56" t="str">
        <f aca="false">IF(D960="","",IFERROR(MATCH(D960,Budget!$B$7:$B$41,0),0))</f>
        <v/>
      </c>
      <c r="L960" s="56" t="n">
        <f aca="false">IF(AND(ISNUMBER(B960),ISNUMBER(E960),D960&lt;&gt;""),YEAR(B960)*100+MONTH(B960),0)</f>
        <v>0</v>
      </c>
      <c r="M960" s="56" t="n">
        <f aca="false">IF(L960=0,0,YEAR(B960))</f>
        <v>0</v>
      </c>
      <c r="N960" s="56" t="str">
        <f aca="false">IF(L960=0,"",IF(K960=0,"Wants / Gustos",INDEX(Budget!$D$7:$D$41,K960)))</f>
        <v/>
      </c>
    </row>
    <row r="961" customFormat="false" ht="15" hidden="false" customHeight="false" outlineLevel="0" collapsed="false">
      <c r="B961" s="57"/>
      <c r="C961" s="58"/>
      <c r="D961" s="58"/>
      <c r="E961" s="59"/>
      <c r="F961" s="58"/>
      <c r="G961" s="58"/>
      <c r="H961" s="60" t="str">
        <f aca="false">IF(OR(E961="",D961=""),"",IF(K961=0,"Expense / Gasto",INDEX(Budget!$C$7:$C$41,K961)))</f>
        <v/>
      </c>
      <c r="I961" s="60" t="str">
        <f aca="false">IF(AND(B961="",E961=""),"",IF(NOT(ISNUMBER(B961)),"⚠ ADD DATE / AGREGA FECHA",IF(E961="","⚠ ADD AMOUNT / AGREGA MONTO",IF(D961="","⚠ ADD CATEGORY / AGREGA CATEGORÍA",IF(K961=0,"● NEW CATEGORY? / ¿CATEGORÍA NUEVA?","✔ OK")))))</f>
        <v/>
      </c>
      <c r="K961" s="56" t="str">
        <f aca="false">IF(D961="","",IFERROR(MATCH(D961,Budget!$B$7:$B$41,0),0))</f>
        <v/>
      </c>
      <c r="L961" s="56" t="n">
        <f aca="false">IF(AND(ISNUMBER(B961),ISNUMBER(E961),D961&lt;&gt;""),YEAR(B961)*100+MONTH(B961),0)</f>
        <v>0</v>
      </c>
      <c r="M961" s="56" t="n">
        <f aca="false">IF(L961=0,0,YEAR(B961))</f>
        <v>0</v>
      </c>
      <c r="N961" s="56" t="str">
        <f aca="false">IF(L961=0,"",IF(K961=0,"Wants / Gustos",INDEX(Budget!$D$7:$D$41,K961)))</f>
        <v/>
      </c>
    </row>
    <row r="962" customFormat="false" ht="15" hidden="false" customHeight="false" outlineLevel="0" collapsed="false">
      <c r="B962" s="57"/>
      <c r="C962" s="58"/>
      <c r="D962" s="58"/>
      <c r="E962" s="59"/>
      <c r="F962" s="58"/>
      <c r="G962" s="58"/>
      <c r="H962" s="60" t="str">
        <f aca="false">IF(OR(E962="",D962=""),"",IF(K962=0,"Expense / Gasto",INDEX(Budget!$C$7:$C$41,K962)))</f>
        <v/>
      </c>
      <c r="I962" s="60" t="str">
        <f aca="false">IF(AND(B962="",E962=""),"",IF(NOT(ISNUMBER(B962)),"⚠ ADD DATE / AGREGA FECHA",IF(E962="","⚠ ADD AMOUNT / AGREGA MONTO",IF(D962="","⚠ ADD CATEGORY / AGREGA CATEGORÍA",IF(K962=0,"● NEW CATEGORY? / ¿CATEGORÍA NUEVA?","✔ OK")))))</f>
        <v/>
      </c>
      <c r="K962" s="56" t="str">
        <f aca="false">IF(D962="","",IFERROR(MATCH(D962,Budget!$B$7:$B$41,0),0))</f>
        <v/>
      </c>
      <c r="L962" s="56" t="n">
        <f aca="false">IF(AND(ISNUMBER(B962),ISNUMBER(E962),D962&lt;&gt;""),YEAR(B962)*100+MONTH(B962),0)</f>
        <v>0</v>
      </c>
      <c r="M962" s="56" t="n">
        <f aca="false">IF(L962=0,0,YEAR(B962))</f>
        <v>0</v>
      </c>
      <c r="N962" s="56" t="str">
        <f aca="false">IF(L962=0,"",IF(K962=0,"Wants / Gustos",INDEX(Budget!$D$7:$D$41,K962)))</f>
        <v/>
      </c>
    </row>
    <row r="963" customFormat="false" ht="15" hidden="false" customHeight="false" outlineLevel="0" collapsed="false">
      <c r="B963" s="57"/>
      <c r="C963" s="58"/>
      <c r="D963" s="58"/>
      <c r="E963" s="59"/>
      <c r="F963" s="58"/>
      <c r="G963" s="58"/>
      <c r="H963" s="60" t="str">
        <f aca="false">IF(OR(E963="",D963=""),"",IF(K963=0,"Expense / Gasto",INDEX(Budget!$C$7:$C$41,K963)))</f>
        <v/>
      </c>
      <c r="I963" s="60" t="str">
        <f aca="false">IF(AND(B963="",E963=""),"",IF(NOT(ISNUMBER(B963)),"⚠ ADD DATE / AGREGA FECHA",IF(E963="","⚠ ADD AMOUNT / AGREGA MONTO",IF(D963="","⚠ ADD CATEGORY / AGREGA CATEGORÍA",IF(K963=0,"● NEW CATEGORY? / ¿CATEGORÍA NUEVA?","✔ OK")))))</f>
        <v/>
      </c>
      <c r="K963" s="56" t="str">
        <f aca="false">IF(D963="","",IFERROR(MATCH(D963,Budget!$B$7:$B$41,0),0))</f>
        <v/>
      </c>
      <c r="L963" s="56" t="n">
        <f aca="false">IF(AND(ISNUMBER(B963),ISNUMBER(E963),D963&lt;&gt;""),YEAR(B963)*100+MONTH(B963),0)</f>
        <v>0</v>
      </c>
      <c r="M963" s="56" t="n">
        <f aca="false">IF(L963=0,0,YEAR(B963))</f>
        <v>0</v>
      </c>
      <c r="N963" s="56" t="str">
        <f aca="false">IF(L963=0,"",IF(K963=0,"Wants / Gustos",INDEX(Budget!$D$7:$D$41,K963)))</f>
        <v/>
      </c>
    </row>
    <row r="964" customFormat="false" ht="15" hidden="false" customHeight="false" outlineLevel="0" collapsed="false">
      <c r="B964" s="57"/>
      <c r="C964" s="58"/>
      <c r="D964" s="58"/>
      <c r="E964" s="59"/>
      <c r="F964" s="58"/>
      <c r="G964" s="58"/>
      <c r="H964" s="60" t="str">
        <f aca="false">IF(OR(E964="",D964=""),"",IF(K964=0,"Expense / Gasto",INDEX(Budget!$C$7:$C$41,K964)))</f>
        <v/>
      </c>
      <c r="I964" s="60" t="str">
        <f aca="false">IF(AND(B964="",E964=""),"",IF(NOT(ISNUMBER(B964)),"⚠ ADD DATE / AGREGA FECHA",IF(E964="","⚠ ADD AMOUNT / AGREGA MONTO",IF(D964="","⚠ ADD CATEGORY / AGREGA CATEGORÍA",IF(K964=0,"● NEW CATEGORY? / ¿CATEGORÍA NUEVA?","✔ OK")))))</f>
        <v/>
      </c>
      <c r="K964" s="56" t="str">
        <f aca="false">IF(D964="","",IFERROR(MATCH(D964,Budget!$B$7:$B$41,0),0))</f>
        <v/>
      </c>
      <c r="L964" s="56" t="n">
        <f aca="false">IF(AND(ISNUMBER(B964),ISNUMBER(E964),D964&lt;&gt;""),YEAR(B964)*100+MONTH(B964),0)</f>
        <v>0</v>
      </c>
      <c r="M964" s="56" t="n">
        <f aca="false">IF(L964=0,0,YEAR(B964))</f>
        <v>0</v>
      </c>
      <c r="N964" s="56" t="str">
        <f aca="false">IF(L964=0,"",IF(K964=0,"Wants / Gustos",INDEX(Budget!$D$7:$D$41,K964)))</f>
        <v/>
      </c>
    </row>
    <row r="965" customFormat="false" ht="15" hidden="false" customHeight="false" outlineLevel="0" collapsed="false">
      <c r="B965" s="57"/>
      <c r="C965" s="58"/>
      <c r="D965" s="58"/>
      <c r="E965" s="59"/>
      <c r="F965" s="58"/>
      <c r="G965" s="58"/>
      <c r="H965" s="60" t="str">
        <f aca="false">IF(OR(E965="",D965=""),"",IF(K965=0,"Expense / Gasto",INDEX(Budget!$C$7:$C$41,K965)))</f>
        <v/>
      </c>
      <c r="I965" s="60" t="str">
        <f aca="false">IF(AND(B965="",E965=""),"",IF(NOT(ISNUMBER(B965)),"⚠ ADD DATE / AGREGA FECHA",IF(E965="","⚠ ADD AMOUNT / AGREGA MONTO",IF(D965="","⚠ ADD CATEGORY / AGREGA CATEGORÍA",IF(K965=0,"● NEW CATEGORY? / ¿CATEGORÍA NUEVA?","✔ OK")))))</f>
        <v/>
      </c>
      <c r="K965" s="56" t="str">
        <f aca="false">IF(D965="","",IFERROR(MATCH(D965,Budget!$B$7:$B$41,0),0))</f>
        <v/>
      </c>
      <c r="L965" s="56" t="n">
        <f aca="false">IF(AND(ISNUMBER(B965),ISNUMBER(E965),D965&lt;&gt;""),YEAR(B965)*100+MONTH(B965),0)</f>
        <v>0</v>
      </c>
      <c r="M965" s="56" t="n">
        <f aca="false">IF(L965=0,0,YEAR(B965))</f>
        <v>0</v>
      </c>
      <c r="N965" s="56" t="str">
        <f aca="false">IF(L965=0,"",IF(K965=0,"Wants / Gustos",INDEX(Budget!$D$7:$D$41,K965)))</f>
        <v/>
      </c>
    </row>
    <row r="966" customFormat="false" ht="15" hidden="false" customHeight="false" outlineLevel="0" collapsed="false">
      <c r="B966" s="57"/>
      <c r="C966" s="58"/>
      <c r="D966" s="58"/>
      <c r="E966" s="59"/>
      <c r="F966" s="58"/>
      <c r="G966" s="58"/>
      <c r="H966" s="60" t="str">
        <f aca="false">IF(OR(E966="",D966=""),"",IF(K966=0,"Expense / Gasto",INDEX(Budget!$C$7:$C$41,K966)))</f>
        <v/>
      </c>
      <c r="I966" s="60" t="str">
        <f aca="false">IF(AND(B966="",E966=""),"",IF(NOT(ISNUMBER(B966)),"⚠ ADD DATE / AGREGA FECHA",IF(E966="","⚠ ADD AMOUNT / AGREGA MONTO",IF(D966="","⚠ ADD CATEGORY / AGREGA CATEGORÍA",IF(K966=0,"● NEW CATEGORY? / ¿CATEGORÍA NUEVA?","✔ OK")))))</f>
        <v/>
      </c>
      <c r="K966" s="56" t="str">
        <f aca="false">IF(D966="","",IFERROR(MATCH(D966,Budget!$B$7:$B$41,0),0))</f>
        <v/>
      </c>
      <c r="L966" s="56" t="n">
        <f aca="false">IF(AND(ISNUMBER(B966),ISNUMBER(E966),D966&lt;&gt;""),YEAR(B966)*100+MONTH(B966),0)</f>
        <v>0</v>
      </c>
      <c r="M966" s="56" t="n">
        <f aca="false">IF(L966=0,0,YEAR(B966))</f>
        <v>0</v>
      </c>
      <c r="N966" s="56" t="str">
        <f aca="false">IF(L966=0,"",IF(K966=0,"Wants / Gustos",INDEX(Budget!$D$7:$D$41,K966)))</f>
        <v/>
      </c>
    </row>
    <row r="967" customFormat="false" ht="15" hidden="false" customHeight="false" outlineLevel="0" collapsed="false">
      <c r="B967" s="57"/>
      <c r="C967" s="58"/>
      <c r="D967" s="58"/>
      <c r="E967" s="59"/>
      <c r="F967" s="58"/>
      <c r="G967" s="58"/>
      <c r="H967" s="60" t="str">
        <f aca="false">IF(OR(E967="",D967=""),"",IF(K967=0,"Expense / Gasto",INDEX(Budget!$C$7:$C$41,K967)))</f>
        <v/>
      </c>
      <c r="I967" s="60" t="str">
        <f aca="false">IF(AND(B967="",E967=""),"",IF(NOT(ISNUMBER(B967)),"⚠ ADD DATE / AGREGA FECHA",IF(E967="","⚠ ADD AMOUNT / AGREGA MONTO",IF(D967="","⚠ ADD CATEGORY / AGREGA CATEGORÍA",IF(K967=0,"● NEW CATEGORY? / ¿CATEGORÍA NUEVA?","✔ OK")))))</f>
        <v/>
      </c>
      <c r="K967" s="56" t="str">
        <f aca="false">IF(D967="","",IFERROR(MATCH(D967,Budget!$B$7:$B$41,0),0))</f>
        <v/>
      </c>
      <c r="L967" s="56" t="n">
        <f aca="false">IF(AND(ISNUMBER(B967),ISNUMBER(E967),D967&lt;&gt;""),YEAR(B967)*100+MONTH(B967),0)</f>
        <v>0</v>
      </c>
      <c r="M967" s="56" t="n">
        <f aca="false">IF(L967=0,0,YEAR(B967))</f>
        <v>0</v>
      </c>
      <c r="N967" s="56" t="str">
        <f aca="false">IF(L967=0,"",IF(K967=0,"Wants / Gustos",INDEX(Budget!$D$7:$D$41,K967)))</f>
        <v/>
      </c>
    </row>
    <row r="968" customFormat="false" ht="15" hidden="false" customHeight="false" outlineLevel="0" collapsed="false">
      <c r="B968" s="57"/>
      <c r="C968" s="58"/>
      <c r="D968" s="58"/>
      <c r="E968" s="59"/>
      <c r="F968" s="58"/>
      <c r="G968" s="58"/>
      <c r="H968" s="60" t="str">
        <f aca="false">IF(OR(E968="",D968=""),"",IF(K968=0,"Expense / Gasto",INDEX(Budget!$C$7:$C$41,K968)))</f>
        <v/>
      </c>
      <c r="I968" s="60" t="str">
        <f aca="false">IF(AND(B968="",E968=""),"",IF(NOT(ISNUMBER(B968)),"⚠ ADD DATE / AGREGA FECHA",IF(E968="","⚠ ADD AMOUNT / AGREGA MONTO",IF(D968="","⚠ ADD CATEGORY / AGREGA CATEGORÍA",IF(K968=0,"● NEW CATEGORY? / ¿CATEGORÍA NUEVA?","✔ OK")))))</f>
        <v/>
      </c>
      <c r="K968" s="56" t="str">
        <f aca="false">IF(D968="","",IFERROR(MATCH(D968,Budget!$B$7:$B$41,0),0))</f>
        <v/>
      </c>
      <c r="L968" s="56" t="n">
        <f aca="false">IF(AND(ISNUMBER(B968),ISNUMBER(E968),D968&lt;&gt;""),YEAR(B968)*100+MONTH(B968),0)</f>
        <v>0</v>
      </c>
      <c r="M968" s="56" t="n">
        <f aca="false">IF(L968=0,0,YEAR(B968))</f>
        <v>0</v>
      </c>
      <c r="N968" s="56" t="str">
        <f aca="false">IF(L968=0,"",IF(K968=0,"Wants / Gustos",INDEX(Budget!$D$7:$D$41,K968)))</f>
        <v/>
      </c>
    </row>
    <row r="969" customFormat="false" ht="15" hidden="false" customHeight="false" outlineLevel="0" collapsed="false">
      <c r="B969" s="57"/>
      <c r="C969" s="58"/>
      <c r="D969" s="58"/>
      <c r="E969" s="59"/>
      <c r="F969" s="58"/>
      <c r="G969" s="58"/>
      <c r="H969" s="60" t="str">
        <f aca="false">IF(OR(E969="",D969=""),"",IF(K969=0,"Expense / Gasto",INDEX(Budget!$C$7:$C$41,K969)))</f>
        <v/>
      </c>
      <c r="I969" s="60" t="str">
        <f aca="false">IF(AND(B969="",E969=""),"",IF(NOT(ISNUMBER(B969)),"⚠ ADD DATE / AGREGA FECHA",IF(E969="","⚠ ADD AMOUNT / AGREGA MONTO",IF(D969="","⚠ ADD CATEGORY / AGREGA CATEGORÍA",IF(K969=0,"● NEW CATEGORY? / ¿CATEGORÍA NUEVA?","✔ OK")))))</f>
        <v/>
      </c>
      <c r="K969" s="56" t="str">
        <f aca="false">IF(D969="","",IFERROR(MATCH(D969,Budget!$B$7:$B$41,0),0))</f>
        <v/>
      </c>
      <c r="L969" s="56" t="n">
        <f aca="false">IF(AND(ISNUMBER(B969),ISNUMBER(E969),D969&lt;&gt;""),YEAR(B969)*100+MONTH(B969),0)</f>
        <v>0</v>
      </c>
      <c r="M969" s="56" t="n">
        <f aca="false">IF(L969=0,0,YEAR(B969))</f>
        <v>0</v>
      </c>
      <c r="N969" s="56" t="str">
        <f aca="false">IF(L969=0,"",IF(K969=0,"Wants / Gustos",INDEX(Budget!$D$7:$D$41,K969)))</f>
        <v/>
      </c>
    </row>
    <row r="970" customFormat="false" ht="15" hidden="false" customHeight="false" outlineLevel="0" collapsed="false">
      <c r="B970" s="57"/>
      <c r="C970" s="58"/>
      <c r="D970" s="58"/>
      <c r="E970" s="59"/>
      <c r="F970" s="58"/>
      <c r="G970" s="58"/>
      <c r="H970" s="60" t="str">
        <f aca="false">IF(OR(E970="",D970=""),"",IF(K970=0,"Expense / Gasto",INDEX(Budget!$C$7:$C$41,K970)))</f>
        <v/>
      </c>
      <c r="I970" s="60" t="str">
        <f aca="false">IF(AND(B970="",E970=""),"",IF(NOT(ISNUMBER(B970)),"⚠ ADD DATE / AGREGA FECHA",IF(E970="","⚠ ADD AMOUNT / AGREGA MONTO",IF(D970="","⚠ ADD CATEGORY / AGREGA CATEGORÍA",IF(K970=0,"● NEW CATEGORY? / ¿CATEGORÍA NUEVA?","✔ OK")))))</f>
        <v/>
      </c>
      <c r="K970" s="56" t="str">
        <f aca="false">IF(D970="","",IFERROR(MATCH(D970,Budget!$B$7:$B$41,0),0))</f>
        <v/>
      </c>
      <c r="L970" s="56" t="n">
        <f aca="false">IF(AND(ISNUMBER(B970),ISNUMBER(E970),D970&lt;&gt;""),YEAR(B970)*100+MONTH(B970),0)</f>
        <v>0</v>
      </c>
      <c r="M970" s="56" t="n">
        <f aca="false">IF(L970=0,0,YEAR(B970))</f>
        <v>0</v>
      </c>
      <c r="N970" s="56" t="str">
        <f aca="false">IF(L970=0,"",IF(K970=0,"Wants / Gustos",INDEX(Budget!$D$7:$D$41,K970)))</f>
        <v/>
      </c>
    </row>
    <row r="971" customFormat="false" ht="15" hidden="false" customHeight="false" outlineLevel="0" collapsed="false">
      <c r="B971" s="57"/>
      <c r="C971" s="58"/>
      <c r="D971" s="58"/>
      <c r="E971" s="59"/>
      <c r="F971" s="58"/>
      <c r="G971" s="58"/>
      <c r="H971" s="60" t="str">
        <f aca="false">IF(OR(E971="",D971=""),"",IF(K971=0,"Expense / Gasto",INDEX(Budget!$C$7:$C$41,K971)))</f>
        <v/>
      </c>
      <c r="I971" s="60" t="str">
        <f aca="false">IF(AND(B971="",E971=""),"",IF(NOT(ISNUMBER(B971)),"⚠ ADD DATE / AGREGA FECHA",IF(E971="","⚠ ADD AMOUNT / AGREGA MONTO",IF(D971="","⚠ ADD CATEGORY / AGREGA CATEGORÍA",IF(K971=0,"● NEW CATEGORY? / ¿CATEGORÍA NUEVA?","✔ OK")))))</f>
        <v/>
      </c>
      <c r="K971" s="56" t="str">
        <f aca="false">IF(D971="","",IFERROR(MATCH(D971,Budget!$B$7:$B$41,0),0))</f>
        <v/>
      </c>
      <c r="L971" s="56" t="n">
        <f aca="false">IF(AND(ISNUMBER(B971),ISNUMBER(E971),D971&lt;&gt;""),YEAR(B971)*100+MONTH(B971),0)</f>
        <v>0</v>
      </c>
      <c r="M971" s="56" t="n">
        <f aca="false">IF(L971=0,0,YEAR(B971))</f>
        <v>0</v>
      </c>
      <c r="N971" s="56" t="str">
        <f aca="false">IF(L971=0,"",IF(K971=0,"Wants / Gustos",INDEX(Budget!$D$7:$D$41,K971)))</f>
        <v/>
      </c>
    </row>
    <row r="972" customFormat="false" ht="15" hidden="false" customHeight="false" outlineLevel="0" collapsed="false">
      <c r="B972" s="57"/>
      <c r="C972" s="58"/>
      <c r="D972" s="58"/>
      <c r="E972" s="59"/>
      <c r="F972" s="58"/>
      <c r="G972" s="58"/>
      <c r="H972" s="60" t="str">
        <f aca="false">IF(OR(E972="",D972=""),"",IF(K972=0,"Expense / Gasto",INDEX(Budget!$C$7:$C$41,K972)))</f>
        <v/>
      </c>
      <c r="I972" s="60" t="str">
        <f aca="false">IF(AND(B972="",E972=""),"",IF(NOT(ISNUMBER(B972)),"⚠ ADD DATE / AGREGA FECHA",IF(E972="","⚠ ADD AMOUNT / AGREGA MONTO",IF(D972="","⚠ ADD CATEGORY / AGREGA CATEGORÍA",IF(K972=0,"● NEW CATEGORY? / ¿CATEGORÍA NUEVA?","✔ OK")))))</f>
        <v/>
      </c>
      <c r="K972" s="56" t="str">
        <f aca="false">IF(D972="","",IFERROR(MATCH(D972,Budget!$B$7:$B$41,0),0))</f>
        <v/>
      </c>
      <c r="L972" s="56" t="n">
        <f aca="false">IF(AND(ISNUMBER(B972),ISNUMBER(E972),D972&lt;&gt;""),YEAR(B972)*100+MONTH(B972),0)</f>
        <v>0</v>
      </c>
      <c r="M972" s="56" t="n">
        <f aca="false">IF(L972=0,0,YEAR(B972))</f>
        <v>0</v>
      </c>
      <c r="N972" s="56" t="str">
        <f aca="false">IF(L972=0,"",IF(K972=0,"Wants / Gustos",INDEX(Budget!$D$7:$D$41,K972)))</f>
        <v/>
      </c>
    </row>
    <row r="973" customFormat="false" ht="15" hidden="false" customHeight="false" outlineLevel="0" collapsed="false">
      <c r="B973" s="57"/>
      <c r="C973" s="58"/>
      <c r="D973" s="58"/>
      <c r="E973" s="59"/>
      <c r="F973" s="58"/>
      <c r="G973" s="58"/>
      <c r="H973" s="60" t="str">
        <f aca="false">IF(OR(E973="",D973=""),"",IF(K973=0,"Expense / Gasto",INDEX(Budget!$C$7:$C$41,K973)))</f>
        <v/>
      </c>
      <c r="I973" s="60" t="str">
        <f aca="false">IF(AND(B973="",E973=""),"",IF(NOT(ISNUMBER(B973)),"⚠ ADD DATE / AGREGA FECHA",IF(E973="","⚠ ADD AMOUNT / AGREGA MONTO",IF(D973="","⚠ ADD CATEGORY / AGREGA CATEGORÍA",IF(K973=0,"● NEW CATEGORY? / ¿CATEGORÍA NUEVA?","✔ OK")))))</f>
        <v/>
      </c>
      <c r="K973" s="56" t="str">
        <f aca="false">IF(D973="","",IFERROR(MATCH(D973,Budget!$B$7:$B$41,0),0))</f>
        <v/>
      </c>
      <c r="L973" s="56" t="n">
        <f aca="false">IF(AND(ISNUMBER(B973),ISNUMBER(E973),D973&lt;&gt;""),YEAR(B973)*100+MONTH(B973),0)</f>
        <v>0</v>
      </c>
      <c r="M973" s="56" t="n">
        <f aca="false">IF(L973=0,0,YEAR(B973))</f>
        <v>0</v>
      </c>
      <c r="N973" s="56" t="str">
        <f aca="false">IF(L973=0,"",IF(K973=0,"Wants / Gustos",INDEX(Budget!$D$7:$D$41,K973)))</f>
        <v/>
      </c>
    </row>
    <row r="974" customFormat="false" ht="15" hidden="false" customHeight="false" outlineLevel="0" collapsed="false">
      <c r="B974" s="57"/>
      <c r="C974" s="58"/>
      <c r="D974" s="58"/>
      <c r="E974" s="59"/>
      <c r="F974" s="58"/>
      <c r="G974" s="58"/>
      <c r="H974" s="60" t="str">
        <f aca="false">IF(OR(E974="",D974=""),"",IF(K974=0,"Expense / Gasto",INDEX(Budget!$C$7:$C$41,K974)))</f>
        <v/>
      </c>
      <c r="I974" s="60" t="str">
        <f aca="false">IF(AND(B974="",E974=""),"",IF(NOT(ISNUMBER(B974)),"⚠ ADD DATE / AGREGA FECHA",IF(E974="","⚠ ADD AMOUNT / AGREGA MONTO",IF(D974="","⚠ ADD CATEGORY / AGREGA CATEGORÍA",IF(K974=0,"● NEW CATEGORY? / ¿CATEGORÍA NUEVA?","✔ OK")))))</f>
        <v/>
      </c>
      <c r="K974" s="56" t="str">
        <f aca="false">IF(D974="","",IFERROR(MATCH(D974,Budget!$B$7:$B$41,0),0))</f>
        <v/>
      </c>
      <c r="L974" s="56" t="n">
        <f aca="false">IF(AND(ISNUMBER(B974),ISNUMBER(E974),D974&lt;&gt;""),YEAR(B974)*100+MONTH(B974),0)</f>
        <v>0</v>
      </c>
      <c r="M974" s="56" t="n">
        <f aca="false">IF(L974=0,0,YEAR(B974))</f>
        <v>0</v>
      </c>
      <c r="N974" s="56" t="str">
        <f aca="false">IF(L974=0,"",IF(K974=0,"Wants / Gustos",INDEX(Budget!$D$7:$D$41,K974)))</f>
        <v/>
      </c>
    </row>
    <row r="975" customFormat="false" ht="15" hidden="false" customHeight="false" outlineLevel="0" collapsed="false">
      <c r="B975" s="57"/>
      <c r="C975" s="58"/>
      <c r="D975" s="58"/>
      <c r="E975" s="59"/>
      <c r="F975" s="58"/>
      <c r="G975" s="58"/>
      <c r="H975" s="60" t="str">
        <f aca="false">IF(OR(E975="",D975=""),"",IF(K975=0,"Expense / Gasto",INDEX(Budget!$C$7:$C$41,K975)))</f>
        <v/>
      </c>
      <c r="I975" s="60" t="str">
        <f aca="false">IF(AND(B975="",E975=""),"",IF(NOT(ISNUMBER(B975)),"⚠ ADD DATE / AGREGA FECHA",IF(E975="","⚠ ADD AMOUNT / AGREGA MONTO",IF(D975="","⚠ ADD CATEGORY / AGREGA CATEGORÍA",IF(K975=0,"● NEW CATEGORY? / ¿CATEGORÍA NUEVA?","✔ OK")))))</f>
        <v/>
      </c>
      <c r="K975" s="56" t="str">
        <f aca="false">IF(D975="","",IFERROR(MATCH(D975,Budget!$B$7:$B$41,0),0))</f>
        <v/>
      </c>
      <c r="L975" s="56" t="n">
        <f aca="false">IF(AND(ISNUMBER(B975),ISNUMBER(E975),D975&lt;&gt;""),YEAR(B975)*100+MONTH(B975),0)</f>
        <v>0</v>
      </c>
      <c r="M975" s="56" t="n">
        <f aca="false">IF(L975=0,0,YEAR(B975))</f>
        <v>0</v>
      </c>
      <c r="N975" s="56" t="str">
        <f aca="false">IF(L975=0,"",IF(K975=0,"Wants / Gustos",INDEX(Budget!$D$7:$D$41,K975)))</f>
        <v/>
      </c>
    </row>
    <row r="976" customFormat="false" ht="15" hidden="false" customHeight="false" outlineLevel="0" collapsed="false">
      <c r="B976" s="57"/>
      <c r="C976" s="58"/>
      <c r="D976" s="58"/>
      <c r="E976" s="59"/>
      <c r="F976" s="58"/>
      <c r="G976" s="58"/>
      <c r="H976" s="60" t="str">
        <f aca="false">IF(OR(E976="",D976=""),"",IF(K976=0,"Expense / Gasto",INDEX(Budget!$C$7:$C$41,K976)))</f>
        <v/>
      </c>
      <c r="I976" s="60" t="str">
        <f aca="false">IF(AND(B976="",E976=""),"",IF(NOT(ISNUMBER(B976)),"⚠ ADD DATE / AGREGA FECHA",IF(E976="","⚠ ADD AMOUNT / AGREGA MONTO",IF(D976="","⚠ ADD CATEGORY / AGREGA CATEGORÍA",IF(K976=0,"● NEW CATEGORY? / ¿CATEGORÍA NUEVA?","✔ OK")))))</f>
        <v/>
      </c>
      <c r="K976" s="56" t="str">
        <f aca="false">IF(D976="","",IFERROR(MATCH(D976,Budget!$B$7:$B$41,0),0))</f>
        <v/>
      </c>
      <c r="L976" s="56" t="n">
        <f aca="false">IF(AND(ISNUMBER(B976),ISNUMBER(E976),D976&lt;&gt;""),YEAR(B976)*100+MONTH(B976),0)</f>
        <v>0</v>
      </c>
      <c r="M976" s="56" t="n">
        <f aca="false">IF(L976=0,0,YEAR(B976))</f>
        <v>0</v>
      </c>
      <c r="N976" s="56" t="str">
        <f aca="false">IF(L976=0,"",IF(K976=0,"Wants / Gustos",INDEX(Budget!$D$7:$D$41,K976)))</f>
        <v/>
      </c>
    </row>
    <row r="977" customFormat="false" ht="15" hidden="false" customHeight="false" outlineLevel="0" collapsed="false">
      <c r="B977" s="57"/>
      <c r="C977" s="58"/>
      <c r="D977" s="58"/>
      <c r="E977" s="59"/>
      <c r="F977" s="58"/>
      <c r="G977" s="58"/>
      <c r="H977" s="60" t="str">
        <f aca="false">IF(OR(E977="",D977=""),"",IF(K977=0,"Expense / Gasto",INDEX(Budget!$C$7:$C$41,K977)))</f>
        <v/>
      </c>
      <c r="I977" s="60" t="str">
        <f aca="false">IF(AND(B977="",E977=""),"",IF(NOT(ISNUMBER(B977)),"⚠ ADD DATE / AGREGA FECHA",IF(E977="","⚠ ADD AMOUNT / AGREGA MONTO",IF(D977="","⚠ ADD CATEGORY / AGREGA CATEGORÍA",IF(K977=0,"● NEW CATEGORY? / ¿CATEGORÍA NUEVA?","✔ OK")))))</f>
        <v/>
      </c>
      <c r="K977" s="56" t="str">
        <f aca="false">IF(D977="","",IFERROR(MATCH(D977,Budget!$B$7:$B$41,0),0))</f>
        <v/>
      </c>
      <c r="L977" s="56" t="n">
        <f aca="false">IF(AND(ISNUMBER(B977),ISNUMBER(E977),D977&lt;&gt;""),YEAR(B977)*100+MONTH(B977),0)</f>
        <v>0</v>
      </c>
      <c r="M977" s="56" t="n">
        <f aca="false">IF(L977=0,0,YEAR(B977))</f>
        <v>0</v>
      </c>
      <c r="N977" s="56" t="str">
        <f aca="false">IF(L977=0,"",IF(K977=0,"Wants / Gustos",INDEX(Budget!$D$7:$D$41,K977)))</f>
        <v/>
      </c>
    </row>
    <row r="978" customFormat="false" ht="15" hidden="false" customHeight="false" outlineLevel="0" collapsed="false">
      <c r="B978" s="57"/>
      <c r="C978" s="58"/>
      <c r="D978" s="58"/>
      <c r="E978" s="59"/>
      <c r="F978" s="58"/>
      <c r="G978" s="58"/>
      <c r="H978" s="60" t="str">
        <f aca="false">IF(OR(E978="",D978=""),"",IF(K978=0,"Expense / Gasto",INDEX(Budget!$C$7:$C$41,K978)))</f>
        <v/>
      </c>
      <c r="I978" s="60" t="str">
        <f aca="false">IF(AND(B978="",E978=""),"",IF(NOT(ISNUMBER(B978)),"⚠ ADD DATE / AGREGA FECHA",IF(E978="","⚠ ADD AMOUNT / AGREGA MONTO",IF(D978="","⚠ ADD CATEGORY / AGREGA CATEGORÍA",IF(K978=0,"● NEW CATEGORY? / ¿CATEGORÍA NUEVA?","✔ OK")))))</f>
        <v/>
      </c>
      <c r="K978" s="56" t="str">
        <f aca="false">IF(D978="","",IFERROR(MATCH(D978,Budget!$B$7:$B$41,0),0))</f>
        <v/>
      </c>
      <c r="L978" s="56" t="n">
        <f aca="false">IF(AND(ISNUMBER(B978),ISNUMBER(E978),D978&lt;&gt;""),YEAR(B978)*100+MONTH(B978),0)</f>
        <v>0</v>
      </c>
      <c r="M978" s="56" t="n">
        <f aca="false">IF(L978=0,0,YEAR(B978))</f>
        <v>0</v>
      </c>
      <c r="N978" s="56" t="str">
        <f aca="false">IF(L978=0,"",IF(K978=0,"Wants / Gustos",INDEX(Budget!$D$7:$D$41,K978)))</f>
        <v/>
      </c>
    </row>
    <row r="979" customFormat="false" ht="15" hidden="false" customHeight="false" outlineLevel="0" collapsed="false">
      <c r="B979" s="57"/>
      <c r="C979" s="58"/>
      <c r="D979" s="58"/>
      <c r="E979" s="59"/>
      <c r="F979" s="58"/>
      <c r="G979" s="58"/>
      <c r="H979" s="60" t="str">
        <f aca="false">IF(OR(E979="",D979=""),"",IF(K979=0,"Expense / Gasto",INDEX(Budget!$C$7:$C$41,K979)))</f>
        <v/>
      </c>
      <c r="I979" s="60" t="str">
        <f aca="false">IF(AND(B979="",E979=""),"",IF(NOT(ISNUMBER(B979)),"⚠ ADD DATE / AGREGA FECHA",IF(E979="","⚠ ADD AMOUNT / AGREGA MONTO",IF(D979="","⚠ ADD CATEGORY / AGREGA CATEGORÍA",IF(K979=0,"● NEW CATEGORY? / ¿CATEGORÍA NUEVA?","✔ OK")))))</f>
        <v/>
      </c>
      <c r="K979" s="56" t="str">
        <f aca="false">IF(D979="","",IFERROR(MATCH(D979,Budget!$B$7:$B$41,0),0))</f>
        <v/>
      </c>
      <c r="L979" s="56" t="n">
        <f aca="false">IF(AND(ISNUMBER(B979),ISNUMBER(E979),D979&lt;&gt;""),YEAR(B979)*100+MONTH(B979),0)</f>
        <v>0</v>
      </c>
      <c r="M979" s="56" t="n">
        <f aca="false">IF(L979=0,0,YEAR(B979))</f>
        <v>0</v>
      </c>
      <c r="N979" s="56" t="str">
        <f aca="false">IF(L979=0,"",IF(K979=0,"Wants / Gustos",INDEX(Budget!$D$7:$D$41,K979)))</f>
        <v/>
      </c>
    </row>
    <row r="980" customFormat="false" ht="15" hidden="false" customHeight="false" outlineLevel="0" collapsed="false">
      <c r="B980" s="57"/>
      <c r="C980" s="58"/>
      <c r="D980" s="58"/>
      <c r="E980" s="59"/>
      <c r="F980" s="58"/>
      <c r="G980" s="58"/>
      <c r="H980" s="60" t="str">
        <f aca="false">IF(OR(E980="",D980=""),"",IF(K980=0,"Expense / Gasto",INDEX(Budget!$C$7:$C$41,K980)))</f>
        <v/>
      </c>
      <c r="I980" s="60" t="str">
        <f aca="false">IF(AND(B980="",E980=""),"",IF(NOT(ISNUMBER(B980)),"⚠ ADD DATE / AGREGA FECHA",IF(E980="","⚠ ADD AMOUNT / AGREGA MONTO",IF(D980="","⚠ ADD CATEGORY / AGREGA CATEGORÍA",IF(K980=0,"● NEW CATEGORY? / ¿CATEGORÍA NUEVA?","✔ OK")))))</f>
        <v/>
      </c>
      <c r="K980" s="56" t="str">
        <f aca="false">IF(D980="","",IFERROR(MATCH(D980,Budget!$B$7:$B$41,0),0))</f>
        <v/>
      </c>
      <c r="L980" s="56" t="n">
        <f aca="false">IF(AND(ISNUMBER(B980),ISNUMBER(E980),D980&lt;&gt;""),YEAR(B980)*100+MONTH(B980),0)</f>
        <v>0</v>
      </c>
      <c r="M980" s="56" t="n">
        <f aca="false">IF(L980=0,0,YEAR(B980))</f>
        <v>0</v>
      </c>
      <c r="N980" s="56" t="str">
        <f aca="false">IF(L980=0,"",IF(K980=0,"Wants / Gustos",INDEX(Budget!$D$7:$D$41,K980)))</f>
        <v/>
      </c>
    </row>
    <row r="981" customFormat="false" ht="15" hidden="false" customHeight="false" outlineLevel="0" collapsed="false">
      <c r="B981" s="57"/>
      <c r="C981" s="58"/>
      <c r="D981" s="58"/>
      <c r="E981" s="59"/>
      <c r="F981" s="58"/>
      <c r="G981" s="58"/>
      <c r="H981" s="60" t="str">
        <f aca="false">IF(OR(E981="",D981=""),"",IF(K981=0,"Expense / Gasto",INDEX(Budget!$C$7:$C$41,K981)))</f>
        <v/>
      </c>
      <c r="I981" s="60" t="str">
        <f aca="false">IF(AND(B981="",E981=""),"",IF(NOT(ISNUMBER(B981)),"⚠ ADD DATE / AGREGA FECHA",IF(E981="","⚠ ADD AMOUNT / AGREGA MONTO",IF(D981="","⚠ ADD CATEGORY / AGREGA CATEGORÍA",IF(K981=0,"● NEW CATEGORY? / ¿CATEGORÍA NUEVA?","✔ OK")))))</f>
        <v/>
      </c>
      <c r="K981" s="56" t="str">
        <f aca="false">IF(D981="","",IFERROR(MATCH(D981,Budget!$B$7:$B$41,0),0))</f>
        <v/>
      </c>
      <c r="L981" s="56" t="n">
        <f aca="false">IF(AND(ISNUMBER(B981),ISNUMBER(E981),D981&lt;&gt;""),YEAR(B981)*100+MONTH(B981),0)</f>
        <v>0</v>
      </c>
      <c r="M981" s="56" t="n">
        <f aca="false">IF(L981=0,0,YEAR(B981))</f>
        <v>0</v>
      </c>
      <c r="N981" s="56" t="str">
        <f aca="false">IF(L981=0,"",IF(K981=0,"Wants / Gustos",INDEX(Budget!$D$7:$D$41,K981)))</f>
        <v/>
      </c>
    </row>
    <row r="982" customFormat="false" ht="15" hidden="false" customHeight="false" outlineLevel="0" collapsed="false">
      <c r="B982" s="57"/>
      <c r="C982" s="58"/>
      <c r="D982" s="58"/>
      <c r="E982" s="59"/>
      <c r="F982" s="58"/>
      <c r="G982" s="58"/>
      <c r="H982" s="60" t="str">
        <f aca="false">IF(OR(E982="",D982=""),"",IF(K982=0,"Expense / Gasto",INDEX(Budget!$C$7:$C$41,K982)))</f>
        <v/>
      </c>
      <c r="I982" s="60" t="str">
        <f aca="false">IF(AND(B982="",E982=""),"",IF(NOT(ISNUMBER(B982)),"⚠ ADD DATE / AGREGA FECHA",IF(E982="","⚠ ADD AMOUNT / AGREGA MONTO",IF(D982="","⚠ ADD CATEGORY / AGREGA CATEGORÍA",IF(K982=0,"● NEW CATEGORY? / ¿CATEGORÍA NUEVA?","✔ OK")))))</f>
        <v/>
      </c>
      <c r="K982" s="56" t="str">
        <f aca="false">IF(D982="","",IFERROR(MATCH(D982,Budget!$B$7:$B$41,0),0))</f>
        <v/>
      </c>
      <c r="L982" s="56" t="n">
        <f aca="false">IF(AND(ISNUMBER(B982),ISNUMBER(E982),D982&lt;&gt;""),YEAR(B982)*100+MONTH(B982),0)</f>
        <v>0</v>
      </c>
      <c r="M982" s="56" t="n">
        <f aca="false">IF(L982=0,0,YEAR(B982))</f>
        <v>0</v>
      </c>
      <c r="N982" s="56" t="str">
        <f aca="false">IF(L982=0,"",IF(K982=0,"Wants / Gustos",INDEX(Budget!$D$7:$D$41,K982)))</f>
        <v/>
      </c>
    </row>
    <row r="983" customFormat="false" ht="15" hidden="false" customHeight="false" outlineLevel="0" collapsed="false">
      <c r="B983" s="57"/>
      <c r="C983" s="58"/>
      <c r="D983" s="58"/>
      <c r="E983" s="59"/>
      <c r="F983" s="58"/>
      <c r="G983" s="58"/>
      <c r="H983" s="60" t="str">
        <f aca="false">IF(OR(E983="",D983=""),"",IF(K983=0,"Expense / Gasto",INDEX(Budget!$C$7:$C$41,K983)))</f>
        <v/>
      </c>
      <c r="I983" s="60" t="str">
        <f aca="false">IF(AND(B983="",E983=""),"",IF(NOT(ISNUMBER(B983)),"⚠ ADD DATE / AGREGA FECHA",IF(E983="","⚠ ADD AMOUNT / AGREGA MONTO",IF(D983="","⚠ ADD CATEGORY / AGREGA CATEGORÍA",IF(K983=0,"● NEW CATEGORY? / ¿CATEGORÍA NUEVA?","✔ OK")))))</f>
        <v/>
      </c>
      <c r="K983" s="56" t="str">
        <f aca="false">IF(D983="","",IFERROR(MATCH(D983,Budget!$B$7:$B$41,0),0))</f>
        <v/>
      </c>
      <c r="L983" s="56" t="n">
        <f aca="false">IF(AND(ISNUMBER(B983),ISNUMBER(E983),D983&lt;&gt;""),YEAR(B983)*100+MONTH(B983),0)</f>
        <v>0</v>
      </c>
      <c r="M983" s="56" t="n">
        <f aca="false">IF(L983=0,0,YEAR(B983))</f>
        <v>0</v>
      </c>
      <c r="N983" s="56" t="str">
        <f aca="false">IF(L983=0,"",IF(K983=0,"Wants / Gustos",INDEX(Budget!$D$7:$D$41,K983)))</f>
        <v/>
      </c>
    </row>
    <row r="984" customFormat="false" ht="15" hidden="false" customHeight="false" outlineLevel="0" collapsed="false">
      <c r="B984" s="57"/>
      <c r="C984" s="58"/>
      <c r="D984" s="58"/>
      <c r="E984" s="59"/>
      <c r="F984" s="58"/>
      <c r="G984" s="58"/>
      <c r="H984" s="60" t="str">
        <f aca="false">IF(OR(E984="",D984=""),"",IF(K984=0,"Expense / Gasto",INDEX(Budget!$C$7:$C$41,K984)))</f>
        <v/>
      </c>
      <c r="I984" s="60" t="str">
        <f aca="false">IF(AND(B984="",E984=""),"",IF(NOT(ISNUMBER(B984)),"⚠ ADD DATE / AGREGA FECHA",IF(E984="","⚠ ADD AMOUNT / AGREGA MONTO",IF(D984="","⚠ ADD CATEGORY / AGREGA CATEGORÍA",IF(K984=0,"● NEW CATEGORY? / ¿CATEGORÍA NUEVA?","✔ OK")))))</f>
        <v/>
      </c>
      <c r="K984" s="56" t="str">
        <f aca="false">IF(D984="","",IFERROR(MATCH(D984,Budget!$B$7:$B$41,0),0))</f>
        <v/>
      </c>
      <c r="L984" s="56" t="n">
        <f aca="false">IF(AND(ISNUMBER(B984),ISNUMBER(E984),D984&lt;&gt;""),YEAR(B984)*100+MONTH(B984),0)</f>
        <v>0</v>
      </c>
      <c r="M984" s="56" t="n">
        <f aca="false">IF(L984=0,0,YEAR(B984))</f>
        <v>0</v>
      </c>
      <c r="N984" s="56" t="str">
        <f aca="false">IF(L984=0,"",IF(K984=0,"Wants / Gustos",INDEX(Budget!$D$7:$D$41,K984)))</f>
        <v/>
      </c>
    </row>
    <row r="985" customFormat="false" ht="15" hidden="false" customHeight="false" outlineLevel="0" collapsed="false">
      <c r="B985" s="57"/>
      <c r="C985" s="58"/>
      <c r="D985" s="58"/>
      <c r="E985" s="59"/>
      <c r="F985" s="58"/>
      <c r="G985" s="58"/>
      <c r="H985" s="60" t="str">
        <f aca="false">IF(OR(E985="",D985=""),"",IF(K985=0,"Expense / Gasto",INDEX(Budget!$C$7:$C$41,K985)))</f>
        <v/>
      </c>
      <c r="I985" s="60" t="str">
        <f aca="false">IF(AND(B985="",E985=""),"",IF(NOT(ISNUMBER(B985)),"⚠ ADD DATE / AGREGA FECHA",IF(E985="","⚠ ADD AMOUNT / AGREGA MONTO",IF(D985="","⚠ ADD CATEGORY / AGREGA CATEGORÍA",IF(K985=0,"● NEW CATEGORY? / ¿CATEGORÍA NUEVA?","✔ OK")))))</f>
        <v/>
      </c>
      <c r="K985" s="56" t="str">
        <f aca="false">IF(D985="","",IFERROR(MATCH(D985,Budget!$B$7:$B$41,0),0))</f>
        <v/>
      </c>
      <c r="L985" s="56" t="n">
        <f aca="false">IF(AND(ISNUMBER(B985),ISNUMBER(E985),D985&lt;&gt;""),YEAR(B985)*100+MONTH(B985),0)</f>
        <v>0</v>
      </c>
      <c r="M985" s="56" t="n">
        <f aca="false">IF(L985=0,0,YEAR(B985))</f>
        <v>0</v>
      </c>
      <c r="N985" s="56" t="str">
        <f aca="false">IF(L985=0,"",IF(K985=0,"Wants / Gustos",INDEX(Budget!$D$7:$D$41,K985)))</f>
        <v/>
      </c>
    </row>
    <row r="986" customFormat="false" ht="15" hidden="false" customHeight="false" outlineLevel="0" collapsed="false">
      <c r="B986" s="57"/>
      <c r="C986" s="58"/>
      <c r="D986" s="58"/>
      <c r="E986" s="59"/>
      <c r="F986" s="58"/>
      <c r="G986" s="58"/>
      <c r="H986" s="60" t="str">
        <f aca="false">IF(OR(E986="",D986=""),"",IF(K986=0,"Expense / Gasto",INDEX(Budget!$C$7:$C$41,K986)))</f>
        <v/>
      </c>
      <c r="I986" s="60" t="str">
        <f aca="false">IF(AND(B986="",E986=""),"",IF(NOT(ISNUMBER(B986)),"⚠ ADD DATE / AGREGA FECHA",IF(E986="","⚠ ADD AMOUNT / AGREGA MONTO",IF(D986="","⚠ ADD CATEGORY / AGREGA CATEGORÍA",IF(K986=0,"● NEW CATEGORY? / ¿CATEGORÍA NUEVA?","✔ OK")))))</f>
        <v/>
      </c>
      <c r="K986" s="56" t="str">
        <f aca="false">IF(D986="","",IFERROR(MATCH(D986,Budget!$B$7:$B$41,0),0))</f>
        <v/>
      </c>
      <c r="L986" s="56" t="n">
        <f aca="false">IF(AND(ISNUMBER(B986),ISNUMBER(E986),D986&lt;&gt;""),YEAR(B986)*100+MONTH(B986),0)</f>
        <v>0</v>
      </c>
      <c r="M986" s="56" t="n">
        <f aca="false">IF(L986=0,0,YEAR(B986))</f>
        <v>0</v>
      </c>
      <c r="N986" s="56" t="str">
        <f aca="false">IF(L986=0,"",IF(K986=0,"Wants / Gustos",INDEX(Budget!$D$7:$D$41,K986)))</f>
        <v/>
      </c>
    </row>
    <row r="987" customFormat="false" ht="15" hidden="false" customHeight="false" outlineLevel="0" collapsed="false">
      <c r="B987" s="57"/>
      <c r="C987" s="58"/>
      <c r="D987" s="58"/>
      <c r="E987" s="59"/>
      <c r="F987" s="58"/>
      <c r="G987" s="58"/>
      <c r="H987" s="60" t="str">
        <f aca="false">IF(OR(E987="",D987=""),"",IF(K987=0,"Expense / Gasto",INDEX(Budget!$C$7:$C$41,K987)))</f>
        <v/>
      </c>
      <c r="I987" s="60" t="str">
        <f aca="false">IF(AND(B987="",E987=""),"",IF(NOT(ISNUMBER(B987)),"⚠ ADD DATE / AGREGA FECHA",IF(E987="","⚠ ADD AMOUNT / AGREGA MONTO",IF(D987="","⚠ ADD CATEGORY / AGREGA CATEGORÍA",IF(K987=0,"● NEW CATEGORY? / ¿CATEGORÍA NUEVA?","✔ OK")))))</f>
        <v/>
      </c>
      <c r="K987" s="56" t="str">
        <f aca="false">IF(D987="","",IFERROR(MATCH(D987,Budget!$B$7:$B$41,0),0))</f>
        <v/>
      </c>
      <c r="L987" s="56" t="n">
        <f aca="false">IF(AND(ISNUMBER(B987),ISNUMBER(E987),D987&lt;&gt;""),YEAR(B987)*100+MONTH(B987),0)</f>
        <v>0</v>
      </c>
      <c r="M987" s="56" t="n">
        <f aca="false">IF(L987=0,0,YEAR(B987))</f>
        <v>0</v>
      </c>
      <c r="N987" s="56" t="str">
        <f aca="false">IF(L987=0,"",IF(K987=0,"Wants / Gustos",INDEX(Budget!$D$7:$D$41,K987)))</f>
        <v/>
      </c>
    </row>
    <row r="988" customFormat="false" ht="15" hidden="false" customHeight="false" outlineLevel="0" collapsed="false">
      <c r="B988" s="57"/>
      <c r="C988" s="58"/>
      <c r="D988" s="58"/>
      <c r="E988" s="59"/>
      <c r="F988" s="58"/>
      <c r="G988" s="58"/>
      <c r="H988" s="60" t="str">
        <f aca="false">IF(OR(E988="",D988=""),"",IF(K988=0,"Expense / Gasto",INDEX(Budget!$C$7:$C$41,K988)))</f>
        <v/>
      </c>
      <c r="I988" s="60" t="str">
        <f aca="false">IF(AND(B988="",E988=""),"",IF(NOT(ISNUMBER(B988)),"⚠ ADD DATE / AGREGA FECHA",IF(E988="","⚠ ADD AMOUNT / AGREGA MONTO",IF(D988="","⚠ ADD CATEGORY / AGREGA CATEGORÍA",IF(K988=0,"● NEW CATEGORY? / ¿CATEGORÍA NUEVA?","✔ OK")))))</f>
        <v/>
      </c>
      <c r="K988" s="56" t="str">
        <f aca="false">IF(D988="","",IFERROR(MATCH(D988,Budget!$B$7:$B$41,0),0))</f>
        <v/>
      </c>
      <c r="L988" s="56" t="n">
        <f aca="false">IF(AND(ISNUMBER(B988),ISNUMBER(E988),D988&lt;&gt;""),YEAR(B988)*100+MONTH(B988),0)</f>
        <v>0</v>
      </c>
      <c r="M988" s="56" t="n">
        <f aca="false">IF(L988=0,0,YEAR(B988))</f>
        <v>0</v>
      </c>
      <c r="N988" s="56" t="str">
        <f aca="false">IF(L988=0,"",IF(K988=0,"Wants / Gustos",INDEX(Budget!$D$7:$D$41,K988)))</f>
        <v/>
      </c>
    </row>
    <row r="989" customFormat="false" ht="15" hidden="false" customHeight="false" outlineLevel="0" collapsed="false">
      <c r="B989" s="57"/>
      <c r="C989" s="58"/>
      <c r="D989" s="58"/>
      <c r="E989" s="59"/>
      <c r="F989" s="58"/>
      <c r="G989" s="58"/>
      <c r="H989" s="60" t="str">
        <f aca="false">IF(OR(E989="",D989=""),"",IF(K989=0,"Expense / Gasto",INDEX(Budget!$C$7:$C$41,K989)))</f>
        <v/>
      </c>
      <c r="I989" s="60" t="str">
        <f aca="false">IF(AND(B989="",E989=""),"",IF(NOT(ISNUMBER(B989)),"⚠ ADD DATE / AGREGA FECHA",IF(E989="","⚠ ADD AMOUNT / AGREGA MONTO",IF(D989="","⚠ ADD CATEGORY / AGREGA CATEGORÍA",IF(K989=0,"● NEW CATEGORY? / ¿CATEGORÍA NUEVA?","✔ OK")))))</f>
        <v/>
      </c>
      <c r="K989" s="56" t="str">
        <f aca="false">IF(D989="","",IFERROR(MATCH(D989,Budget!$B$7:$B$41,0),0))</f>
        <v/>
      </c>
      <c r="L989" s="56" t="n">
        <f aca="false">IF(AND(ISNUMBER(B989),ISNUMBER(E989),D989&lt;&gt;""),YEAR(B989)*100+MONTH(B989),0)</f>
        <v>0</v>
      </c>
      <c r="M989" s="56" t="n">
        <f aca="false">IF(L989=0,0,YEAR(B989))</f>
        <v>0</v>
      </c>
      <c r="N989" s="56" t="str">
        <f aca="false">IF(L989=0,"",IF(K989=0,"Wants / Gustos",INDEX(Budget!$D$7:$D$41,K989)))</f>
        <v/>
      </c>
    </row>
    <row r="990" customFormat="false" ht="15" hidden="false" customHeight="false" outlineLevel="0" collapsed="false">
      <c r="B990" s="57"/>
      <c r="C990" s="58"/>
      <c r="D990" s="58"/>
      <c r="E990" s="59"/>
      <c r="F990" s="58"/>
      <c r="G990" s="58"/>
      <c r="H990" s="60" t="str">
        <f aca="false">IF(OR(E990="",D990=""),"",IF(K990=0,"Expense / Gasto",INDEX(Budget!$C$7:$C$41,K990)))</f>
        <v/>
      </c>
      <c r="I990" s="60" t="str">
        <f aca="false">IF(AND(B990="",E990=""),"",IF(NOT(ISNUMBER(B990)),"⚠ ADD DATE / AGREGA FECHA",IF(E990="","⚠ ADD AMOUNT / AGREGA MONTO",IF(D990="","⚠ ADD CATEGORY / AGREGA CATEGORÍA",IF(K990=0,"● NEW CATEGORY? / ¿CATEGORÍA NUEVA?","✔ OK")))))</f>
        <v/>
      </c>
      <c r="K990" s="56" t="str">
        <f aca="false">IF(D990="","",IFERROR(MATCH(D990,Budget!$B$7:$B$41,0),0))</f>
        <v/>
      </c>
      <c r="L990" s="56" t="n">
        <f aca="false">IF(AND(ISNUMBER(B990),ISNUMBER(E990),D990&lt;&gt;""),YEAR(B990)*100+MONTH(B990),0)</f>
        <v>0</v>
      </c>
      <c r="M990" s="56" t="n">
        <f aca="false">IF(L990=0,0,YEAR(B990))</f>
        <v>0</v>
      </c>
      <c r="N990" s="56" t="str">
        <f aca="false">IF(L990=0,"",IF(K990=0,"Wants / Gustos",INDEX(Budget!$D$7:$D$41,K990)))</f>
        <v/>
      </c>
    </row>
    <row r="991" customFormat="false" ht="15" hidden="false" customHeight="false" outlineLevel="0" collapsed="false">
      <c r="B991" s="57"/>
      <c r="C991" s="58"/>
      <c r="D991" s="58"/>
      <c r="E991" s="59"/>
      <c r="F991" s="58"/>
      <c r="G991" s="58"/>
      <c r="H991" s="60" t="str">
        <f aca="false">IF(OR(E991="",D991=""),"",IF(K991=0,"Expense / Gasto",INDEX(Budget!$C$7:$C$41,K991)))</f>
        <v/>
      </c>
      <c r="I991" s="60" t="str">
        <f aca="false">IF(AND(B991="",E991=""),"",IF(NOT(ISNUMBER(B991)),"⚠ ADD DATE / AGREGA FECHA",IF(E991="","⚠ ADD AMOUNT / AGREGA MONTO",IF(D991="","⚠ ADD CATEGORY / AGREGA CATEGORÍA",IF(K991=0,"● NEW CATEGORY? / ¿CATEGORÍA NUEVA?","✔ OK")))))</f>
        <v/>
      </c>
      <c r="K991" s="56" t="str">
        <f aca="false">IF(D991="","",IFERROR(MATCH(D991,Budget!$B$7:$B$41,0),0))</f>
        <v/>
      </c>
      <c r="L991" s="56" t="n">
        <f aca="false">IF(AND(ISNUMBER(B991),ISNUMBER(E991),D991&lt;&gt;""),YEAR(B991)*100+MONTH(B991),0)</f>
        <v>0</v>
      </c>
      <c r="M991" s="56" t="n">
        <f aca="false">IF(L991=0,0,YEAR(B991))</f>
        <v>0</v>
      </c>
      <c r="N991" s="56" t="str">
        <f aca="false">IF(L991=0,"",IF(K991=0,"Wants / Gustos",INDEX(Budget!$D$7:$D$41,K991)))</f>
        <v/>
      </c>
    </row>
    <row r="992" customFormat="false" ht="15" hidden="false" customHeight="false" outlineLevel="0" collapsed="false">
      <c r="B992" s="57"/>
      <c r="C992" s="58"/>
      <c r="D992" s="58"/>
      <c r="E992" s="59"/>
      <c r="F992" s="58"/>
      <c r="G992" s="58"/>
      <c r="H992" s="60" t="str">
        <f aca="false">IF(OR(E992="",D992=""),"",IF(K992=0,"Expense / Gasto",INDEX(Budget!$C$7:$C$41,K992)))</f>
        <v/>
      </c>
      <c r="I992" s="60" t="str">
        <f aca="false">IF(AND(B992="",E992=""),"",IF(NOT(ISNUMBER(B992)),"⚠ ADD DATE / AGREGA FECHA",IF(E992="","⚠ ADD AMOUNT / AGREGA MONTO",IF(D992="","⚠ ADD CATEGORY / AGREGA CATEGORÍA",IF(K992=0,"● NEW CATEGORY? / ¿CATEGORÍA NUEVA?","✔ OK")))))</f>
        <v/>
      </c>
      <c r="K992" s="56" t="str">
        <f aca="false">IF(D992="","",IFERROR(MATCH(D992,Budget!$B$7:$B$41,0),0))</f>
        <v/>
      </c>
      <c r="L992" s="56" t="n">
        <f aca="false">IF(AND(ISNUMBER(B992),ISNUMBER(E992),D992&lt;&gt;""),YEAR(B992)*100+MONTH(B992),0)</f>
        <v>0</v>
      </c>
      <c r="M992" s="56" t="n">
        <f aca="false">IF(L992=0,0,YEAR(B992))</f>
        <v>0</v>
      </c>
      <c r="N992" s="56" t="str">
        <f aca="false">IF(L992=0,"",IF(K992=0,"Wants / Gustos",INDEX(Budget!$D$7:$D$41,K992)))</f>
        <v/>
      </c>
    </row>
    <row r="993" customFormat="false" ht="15" hidden="false" customHeight="false" outlineLevel="0" collapsed="false">
      <c r="B993" s="57"/>
      <c r="C993" s="58"/>
      <c r="D993" s="58"/>
      <c r="E993" s="59"/>
      <c r="F993" s="58"/>
      <c r="G993" s="58"/>
      <c r="H993" s="60" t="str">
        <f aca="false">IF(OR(E993="",D993=""),"",IF(K993=0,"Expense / Gasto",INDEX(Budget!$C$7:$C$41,K993)))</f>
        <v/>
      </c>
      <c r="I993" s="60" t="str">
        <f aca="false">IF(AND(B993="",E993=""),"",IF(NOT(ISNUMBER(B993)),"⚠ ADD DATE / AGREGA FECHA",IF(E993="","⚠ ADD AMOUNT / AGREGA MONTO",IF(D993="","⚠ ADD CATEGORY / AGREGA CATEGORÍA",IF(K993=0,"● NEW CATEGORY? / ¿CATEGORÍA NUEVA?","✔ OK")))))</f>
        <v/>
      </c>
      <c r="K993" s="56" t="str">
        <f aca="false">IF(D993="","",IFERROR(MATCH(D993,Budget!$B$7:$B$41,0),0))</f>
        <v/>
      </c>
      <c r="L993" s="56" t="n">
        <f aca="false">IF(AND(ISNUMBER(B993),ISNUMBER(E993),D993&lt;&gt;""),YEAR(B993)*100+MONTH(B993),0)</f>
        <v>0</v>
      </c>
      <c r="M993" s="56" t="n">
        <f aca="false">IF(L993=0,0,YEAR(B993))</f>
        <v>0</v>
      </c>
      <c r="N993" s="56" t="str">
        <f aca="false">IF(L993=0,"",IF(K993=0,"Wants / Gustos",INDEX(Budget!$D$7:$D$41,K993)))</f>
        <v/>
      </c>
    </row>
    <row r="994" customFormat="false" ht="15" hidden="false" customHeight="false" outlineLevel="0" collapsed="false">
      <c r="B994" s="57"/>
      <c r="C994" s="58"/>
      <c r="D994" s="58"/>
      <c r="E994" s="59"/>
      <c r="F994" s="58"/>
      <c r="G994" s="58"/>
      <c r="H994" s="60" t="str">
        <f aca="false">IF(OR(E994="",D994=""),"",IF(K994=0,"Expense / Gasto",INDEX(Budget!$C$7:$C$41,K994)))</f>
        <v/>
      </c>
      <c r="I994" s="60" t="str">
        <f aca="false">IF(AND(B994="",E994=""),"",IF(NOT(ISNUMBER(B994)),"⚠ ADD DATE / AGREGA FECHA",IF(E994="","⚠ ADD AMOUNT / AGREGA MONTO",IF(D994="","⚠ ADD CATEGORY / AGREGA CATEGORÍA",IF(K994=0,"● NEW CATEGORY? / ¿CATEGORÍA NUEVA?","✔ OK")))))</f>
        <v/>
      </c>
      <c r="K994" s="56" t="str">
        <f aca="false">IF(D994="","",IFERROR(MATCH(D994,Budget!$B$7:$B$41,0),0))</f>
        <v/>
      </c>
      <c r="L994" s="56" t="n">
        <f aca="false">IF(AND(ISNUMBER(B994),ISNUMBER(E994),D994&lt;&gt;""),YEAR(B994)*100+MONTH(B994),0)</f>
        <v>0</v>
      </c>
      <c r="M994" s="56" t="n">
        <f aca="false">IF(L994=0,0,YEAR(B994))</f>
        <v>0</v>
      </c>
      <c r="N994" s="56" t="str">
        <f aca="false">IF(L994=0,"",IF(K994=0,"Wants / Gustos",INDEX(Budget!$D$7:$D$41,K994)))</f>
        <v/>
      </c>
    </row>
    <row r="995" customFormat="false" ht="15" hidden="false" customHeight="false" outlineLevel="0" collapsed="false">
      <c r="B995" s="57"/>
      <c r="C995" s="58"/>
      <c r="D995" s="58"/>
      <c r="E995" s="59"/>
      <c r="F995" s="58"/>
      <c r="G995" s="58"/>
      <c r="H995" s="60" t="str">
        <f aca="false">IF(OR(E995="",D995=""),"",IF(K995=0,"Expense / Gasto",INDEX(Budget!$C$7:$C$41,K995)))</f>
        <v/>
      </c>
      <c r="I995" s="60" t="str">
        <f aca="false">IF(AND(B995="",E995=""),"",IF(NOT(ISNUMBER(B995)),"⚠ ADD DATE / AGREGA FECHA",IF(E995="","⚠ ADD AMOUNT / AGREGA MONTO",IF(D995="","⚠ ADD CATEGORY / AGREGA CATEGORÍA",IF(K995=0,"● NEW CATEGORY? / ¿CATEGORÍA NUEVA?","✔ OK")))))</f>
        <v/>
      </c>
      <c r="K995" s="56" t="str">
        <f aca="false">IF(D995="","",IFERROR(MATCH(D995,Budget!$B$7:$B$41,0),0))</f>
        <v/>
      </c>
      <c r="L995" s="56" t="n">
        <f aca="false">IF(AND(ISNUMBER(B995),ISNUMBER(E995),D995&lt;&gt;""),YEAR(B995)*100+MONTH(B995),0)</f>
        <v>0</v>
      </c>
      <c r="M995" s="56" t="n">
        <f aca="false">IF(L995=0,0,YEAR(B995))</f>
        <v>0</v>
      </c>
      <c r="N995" s="56" t="str">
        <f aca="false">IF(L995=0,"",IF(K995=0,"Wants / Gustos",INDEX(Budget!$D$7:$D$41,K995)))</f>
        <v/>
      </c>
    </row>
    <row r="996" customFormat="false" ht="15" hidden="false" customHeight="false" outlineLevel="0" collapsed="false">
      <c r="B996" s="57"/>
      <c r="C996" s="58"/>
      <c r="D996" s="58"/>
      <c r="E996" s="59"/>
      <c r="F996" s="58"/>
      <c r="G996" s="58"/>
      <c r="H996" s="60" t="str">
        <f aca="false">IF(OR(E996="",D996=""),"",IF(K996=0,"Expense / Gasto",INDEX(Budget!$C$7:$C$41,K996)))</f>
        <v/>
      </c>
      <c r="I996" s="60" t="str">
        <f aca="false">IF(AND(B996="",E996=""),"",IF(NOT(ISNUMBER(B996)),"⚠ ADD DATE / AGREGA FECHA",IF(E996="","⚠ ADD AMOUNT / AGREGA MONTO",IF(D996="","⚠ ADD CATEGORY / AGREGA CATEGORÍA",IF(K996=0,"● NEW CATEGORY? / ¿CATEGORÍA NUEVA?","✔ OK")))))</f>
        <v/>
      </c>
      <c r="K996" s="56" t="str">
        <f aca="false">IF(D996="","",IFERROR(MATCH(D996,Budget!$B$7:$B$41,0),0))</f>
        <v/>
      </c>
      <c r="L996" s="56" t="n">
        <f aca="false">IF(AND(ISNUMBER(B996),ISNUMBER(E996),D996&lt;&gt;""),YEAR(B996)*100+MONTH(B996),0)</f>
        <v>0</v>
      </c>
      <c r="M996" s="56" t="n">
        <f aca="false">IF(L996=0,0,YEAR(B996))</f>
        <v>0</v>
      </c>
      <c r="N996" s="56" t="str">
        <f aca="false">IF(L996=0,"",IF(K996=0,"Wants / Gustos",INDEX(Budget!$D$7:$D$41,K996)))</f>
        <v/>
      </c>
    </row>
    <row r="997" customFormat="false" ht="15" hidden="false" customHeight="false" outlineLevel="0" collapsed="false">
      <c r="B997" s="57"/>
      <c r="C997" s="58"/>
      <c r="D997" s="58"/>
      <c r="E997" s="59"/>
      <c r="F997" s="58"/>
      <c r="G997" s="58"/>
      <c r="H997" s="60" t="str">
        <f aca="false">IF(OR(E997="",D997=""),"",IF(K997=0,"Expense / Gasto",INDEX(Budget!$C$7:$C$41,K997)))</f>
        <v/>
      </c>
      <c r="I997" s="60" t="str">
        <f aca="false">IF(AND(B997="",E997=""),"",IF(NOT(ISNUMBER(B997)),"⚠ ADD DATE / AGREGA FECHA",IF(E997="","⚠ ADD AMOUNT / AGREGA MONTO",IF(D997="","⚠ ADD CATEGORY / AGREGA CATEGORÍA",IF(K997=0,"● NEW CATEGORY? / ¿CATEGORÍA NUEVA?","✔ OK")))))</f>
        <v/>
      </c>
      <c r="K997" s="56" t="str">
        <f aca="false">IF(D997="","",IFERROR(MATCH(D997,Budget!$B$7:$B$41,0),0))</f>
        <v/>
      </c>
      <c r="L997" s="56" t="n">
        <f aca="false">IF(AND(ISNUMBER(B997),ISNUMBER(E997),D997&lt;&gt;""),YEAR(B997)*100+MONTH(B997),0)</f>
        <v>0</v>
      </c>
      <c r="M997" s="56" t="n">
        <f aca="false">IF(L997=0,0,YEAR(B997))</f>
        <v>0</v>
      </c>
      <c r="N997" s="56" t="str">
        <f aca="false">IF(L997=0,"",IF(K997=0,"Wants / Gustos",INDEX(Budget!$D$7:$D$41,K997)))</f>
        <v/>
      </c>
    </row>
    <row r="998" customFormat="false" ht="15" hidden="false" customHeight="false" outlineLevel="0" collapsed="false">
      <c r="B998" s="57"/>
      <c r="C998" s="58"/>
      <c r="D998" s="58"/>
      <c r="E998" s="59"/>
      <c r="F998" s="58"/>
      <c r="G998" s="58"/>
      <c r="H998" s="60" t="str">
        <f aca="false">IF(OR(E998="",D998=""),"",IF(K998=0,"Expense / Gasto",INDEX(Budget!$C$7:$C$41,K998)))</f>
        <v/>
      </c>
      <c r="I998" s="60" t="str">
        <f aca="false">IF(AND(B998="",E998=""),"",IF(NOT(ISNUMBER(B998)),"⚠ ADD DATE / AGREGA FECHA",IF(E998="","⚠ ADD AMOUNT / AGREGA MONTO",IF(D998="","⚠ ADD CATEGORY / AGREGA CATEGORÍA",IF(K998=0,"● NEW CATEGORY? / ¿CATEGORÍA NUEVA?","✔ OK")))))</f>
        <v/>
      </c>
      <c r="K998" s="56" t="str">
        <f aca="false">IF(D998="","",IFERROR(MATCH(D998,Budget!$B$7:$B$41,0),0))</f>
        <v/>
      </c>
      <c r="L998" s="56" t="n">
        <f aca="false">IF(AND(ISNUMBER(B998),ISNUMBER(E998),D998&lt;&gt;""),YEAR(B998)*100+MONTH(B998),0)</f>
        <v>0</v>
      </c>
      <c r="M998" s="56" t="n">
        <f aca="false">IF(L998=0,0,YEAR(B998))</f>
        <v>0</v>
      </c>
      <c r="N998" s="56" t="str">
        <f aca="false">IF(L998=0,"",IF(K998=0,"Wants / Gustos",INDEX(Budget!$D$7:$D$41,K998)))</f>
        <v/>
      </c>
    </row>
    <row r="999" customFormat="false" ht="15" hidden="false" customHeight="false" outlineLevel="0" collapsed="false">
      <c r="B999" s="57"/>
      <c r="C999" s="58"/>
      <c r="D999" s="58"/>
      <c r="E999" s="59"/>
      <c r="F999" s="58"/>
      <c r="G999" s="58"/>
      <c r="H999" s="60" t="str">
        <f aca="false">IF(OR(E999="",D999=""),"",IF(K999=0,"Expense / Gasto",INDEX(Budget!$C$7:$C$41,K999)))</f>
        <v/>
      </c>
      <c r="I999" s="60" t="str">
        <f aca="false">IF(AND(B999="",E999=""),"",IF(NOT(ISNUMBER(B999)),"⚠ ADD DATE / AGREGA FECHA",IF(E999="","⚠ ADD AMOUNT / AGREGA MONTO",IF(D999="","⚠ ADD CATEGORY / AGREGA CATEGORÍA",IF(K999=0,"● NEW CATEGORY? / ¿CATEGORÍA NUEVA?","✔ OK")))))</f>
        <v/>
      </c>
      <c r="K999" s="56" t="str">
        <f aca="false">IF(D999="","",IFERROR(MATCH(D999,Budget!$B$7:$B$41,0),0))</f>
        <v/>
      </c>
      <c r="L999" s="56" t="n">
        <f aca="false">IF(AND(ISNUMBER(B999),ISNUMBER(E999),D999&lt;&gt;""),YEAR(B999)*100+MONTH(B999),0)</f>
        <v>0</v>
      </c>
      <c r="M999" s="56" t="n">
        <f aca="false">IF(L999=0,0,YEAR(B999))</f>
        <v>0</v>
      </c>
      <c r="N999" s="56" t="str">
        <f aca="false">IF(L999=0,"",IF(K999=0,"Wants / Gustos",INDEX(Budget!$D$7:$D$41,K999)))</f>
        <v/>
      </c>
    </row>
    <row r="1000" customFormat="false" ht="15" hidden="false" customHeight="false" outlineLevel="0" collapsed="false">
      <c r="B1000" s="57"/>
      <c r="C1000" s="58"/>
      <c r="D1000" s="58"/>
      <c r="E1000" s="59"/>
      <c r="F1000" s="58"/>
      <c r="G1000" s="58"/>
      <c r="H1000" s="60" t="str">
        <f aca="false">IF(OR(E1000="",D1000=""),"",IF(K1000=0,"Expense / Gasto",INDEX(Budget!$C$7:$C$41,K1000)))</f>
        <v/>
      </c>
      <c r="I1000" s="60" t="str">
        <f aca="false">IF(AND(B1000="",E1000=""),"",IF(NOT(ISNUMBER(B1000)),"⚠ ADD DATE / AGREGA FECHA",IF(E1000="","⚠ ADD AMOUNT / AGREGA MONTO",IF(D1000="","⚠ ADD CATEGORY / AGREGA CATEGORÍA",IF(K1000=0,"● NEW CATEGORY? / ¿CATEGORÍA NUEVA?","✔ OK")))))</f>
        <v/>
      </c>
      <c r="K1000" s="56" t="str">
        <f aca="false">IF(D1000="","",IFERROR(MATCH(D1000,Budget!$B$7:$B$41,0),0))</f>
        <v/>
      </c>
      <c r="L1000" s="56" t="n">
        <f aca="false">IF(AND(ISNUMBER(B1000),ISNUMBER(E1000),D1000&lt;&gt;""),YEAR(B1000)*100+MONTH(B1000),0)</f>
        <v>0</v>
      </c>
      <c r="M1000" s="56" t="n">
        <f aca="false">IF(L1000=0,0,YEAR(B1000))</f>
        <v>0</v>
      </c>
      <c r="N1000" s="56" t="str">
        <f aca="false">IF(L1000=0,"",IF(K1000=0,"Wants / Gustos",INDEX(Budget!$D$7:$D$41,K1000)))</f>
        <v/>
      </c>
    </row>
    <row r="1001" customFormat="false" ht="15" hidden="false" customHeight="false" outlineLevel="0" collapsed="false">
      <c r="B1001" s="57"/>
      <c r="C1001" s="58"/>
      <c r="D1001" s="58"/>
      <c r="E1001" s="59"/>
      <c r="F1001" s="58"/>
      <c r="G1001" s="58"/>
      <c r="H1001" s="60" t="str">
        <f aca="false">IF(OR(E1001="",D1001=""),"",IF(K1001=0,"Expense / Gasto",INDEX(Budget!$C$7:$C$41,K1001)))</f>
        <v/>
      </c>
      <c r="I1001" s="60" t="str">
        <f aca="false">IF(AND(B1001="",E1001=""),"",IF(NOT(ISNUMBER(B1001)),"⚠ ADD DATE / AGREGA FECHA",IF(E1001="","⚠ ADD AMOUNT / AGREGA MONTO",IF(D1001="","⚠ ADD CATEGORY / AGREGA CATEGORÍA",IF(K1001=0,"● NEW CATEGORY? / ¿CATEGORÍA NUEVA?","✔ OK")))))</f>
        <v/>
      </c>
      <c r="K1001" s="56" t="str">
        <f aca="false">IF(D1001="","",IFERROR(MATCH(D1001,Budget!$B$7:$B$41,0),0))</f>
        <v/>
      </c>
      <c r="L1001" s="56" t="n">
        <f aca="false">IF(AND(ISNUMBER(B1001),ISNUMBER(E1001),D1001&lt;&gt;""),YEAR(B1001)*100+MONTH(B1001),0)</f>
        <v>0</v>
      </c>
      <c r="M1001" s="56" t="n">
        <f aca="false">IF(L1001=0,0,YEAR(B1001))</f>
        <v>0</v>
      </c>
      <c r="N1001" s="56" t="str">
        <f aca="false">IF(L1001=0,"",IF(K1001=0,"Wants / Gustos",INDEX(Budget!$D$7:$D$41,K1001)))</f>
        <v/>
      </c>
    </row>
    <row r="1002" customFormat="false" ht="15" hidden="false" customHeight="false" outlineLevel="0" collapsed="false">
      <c r="B1002" s="57"/>
      <c r="C1002" s="58"/>
      <c r="D1002" s="58"/>
      <c r="E1002" s="59"/>
      <c r="F1002" s="58"/>
      <c r="G1002" s="58"/>
      <c r="H1002" s="60" t="str">
        <f aca="false">IF(OR(E1002="",D1002=""),"",IF(K1002=0,"Expense / Gasto",INDEX(Budget!$C$7:$C$41,K1002)))</f>
        <v/>
      </c>
      <c r="I1002" s="60" t="str">
        <f aca="false">IF(AND(B1002="",E1002=""),"",IF(NOT(ISNUMBER(B1002)),"⚠ ADD DATE / AGREGA FECHA",IF(E1002="","⚠ ADD AMOUNT / AGREGA MONTO",IF(D1002="","⚠ ADD CATEGORY / AGREGA CATEGORÍA",IF(K1002=0,"● NEW CATEGORY? / ¿CATEGORÍA NUEVA?","✔ OK")))))</f>
        <v/>
      </c>
      <c r="K1002" s="56" t="str">
        <f aca="false">IF(D1002="","",IFERROR(MATCH(D1002,Budget!$B$7:$B$41,0),0))</f>
        <v/>
      </c>
      <c r="L1002" s="56" t="n">
        <f aca="false">IF(AND(ISNUMBER(B1002),ISNUMBER(E1002),D1002&lt;&gt;""),YEAR(B1002)*100+MONTH(B1002),0)</f>
        <v>0</v>
      </c>
      <c r="M1002" s="56" t="n">
        <f aca="false">IF(L1002=0,0,YEAR(B1002))</f>
        <v>0</v>
      </c>
      <c r="N1002" s="56" t="str">
        <f aca="false">IF(L1002=0,"",IF(K1002=0,"Wants / Gustos",INDEX(Budget!$D$7:$D$41,K1002)))</f>
        <v/>
      </c>
    </row>
    <row r="1003" customFormat="false" ht="15" hidden="false" customHeight="false" outlineLevel="0" collapsed="false">
      <c r="B1003" s="57"/>
      <c r="C1003" s="58"/>
      <c r="D1003" s="58"/>
      <c r="E1003" s="59"/>
      <c r="F1003" s="58"/>
      <c r="G1003" s="58"/>
      <c r="H1003" s="60" t="str">
        <f aca="false">IF(OR(E1003="",D1003=""),"",IF(K1003=0,"Expense / Gasto",INDEX(Budget!$C$7:$C$41,K1003)))</f>
        <v/>
      </c>
      <c r="I1003" s="60" t="str">
        <f aca="false">IF(AND(B1003="",E1003=""),"",IF(NOT(ISNUMBER(B1003)),"⚠ ADD DATE / AGREGA FECHA",IF(E1003="","⚠ ADD AMOUNT / AGREGA MONTO",IF(D1003="","⚠ ADD CATEGORY / AGREGA CATEGORÍA",IF(K1003=0,"● NEW CATEGORY? / ¿CATEGORÍA NUEVA?","✔ OK")))))</f>
        <v/>
      </c>
      <c r="K1003" s="56" t="str">
        <f aca="false">IF(D1003="","",IFERROR(MATCH(D1003,Budget!$B$7:$B$41,0),0))</f>
        <v/>
      </c>
      <c r="L1003" s="56" t="n">
        <f aca="false">IF(AND(ISNUMBER(B1003),ISNUMBER(E1003),D1003&lt;&gt;""),YEAR(B1003)*100+MONTH(B1003),0)</f>
        <v>0</v>
      </c>
      <c r="M1003" s="56" t="n">
        <f aca="false">IF(L1003=0,0,YEAR(B1003))</f>
        <v>0</v>
      </c>
      <c r="N1003" s="56" t="str">
        <f aca="false">IF(L1003=0,"",IF(K1003=0,"Wants / Gustos",INDEX(Budget!$D$7:$D$41,K1003)))</f>
        <v/>
      </c>
    </row>
    <row r="1004" customFormat="false" ht="15" hidden="false" customHeight="false" outlineLevel="0" collapsed="false">
      <c r="B1004" s="57"/>
      <c r="C1004" s="58"/>
      <c r="D1004" s="58"/>
      <c r="E1004" s="59"/>
      <c r="F1004" s="58"/>
      <c r="G1004" s="58"/>
      <c r="H1004" s="60" t="str">
        <f aca="false">IF(OR(E1004="",D1004=""),"",IF(K1004=0,"Expense / Gasto",INDEX(Budget!$C$7:$C$41,K1004)))</f>
        <v/>
      </c>
      <c r="I1004" s="60" t="str">
        <f aca="false">IF(AND(B1004="",E1004=""),"",IF(NOT(ISNUMBER(B1004)),"⚠ ADD DATE / AGREGA FECHA",IF(E1004="","⚠ ADD AMOUNT / AGREGA MONTO",IF(D1004="","⚠ ADD CATEGORY / AGREGA CATEGORÍA",IF(K1004=0,"● NEW CATEGORY? / ¿CATEGORÍA NUEVA?","✔ OK")))))</f>
        <v/>
      </c>
      <c r="K1004" s="56" t="str">
        <f aca="false">IF(D1004="","",IFERROR(MATCH(D1004,Budget!$B$7:$B$41,0),0))</f>
        <v/>
      </c>
      <c r="L1004" s="56" t="n">
        <f aca="false">IF(AND(ISNUMBER(B1004),ISNUMBER(E1004),D1004&lt;&gt;""),YEAR(B1004)*100+MONTH(B1004),0)</f>
        <v>0</v>
      </c>
      <c r="M1004" s="56" t="n">
        <f aca="false">IF(L1004=0,0,YEAR(B1004))</f>
        <v>0</v>
      </c>
      <c r="N1004" s="56" t="str">
        <f aca="false">IF(L1004=0,"",IF(K1004=0,"Wants / Gustos",INDEX(Budget!$D$7:$D$41,K1004)))</f>
        <v/>
      </c>
    </row>
    <row r="1005" customFormat="false" ht="15" hidden="false" customHeight="false" outlineLevel="0" collapsed="false">
      <c r="B1005" s="57"/>
      <c r="C1005" s="58"/>
      <c r="D1005" s="58"/>
      <c r="E1005" s="59"/>
      <c r="F1005" s="58"/>
      <c r="G1005" s="58"/>
      <c r="H1005" s="60" t="str">
        <f aca="false">IF(OR(E1005="",D1005=""),"",IF(K1005=0,"Expense / Gasto",INDEX(Budget!$C$7:$C$41,K1005)))</f>
        <v/>
      </c>
      <c r="I1005" s="60" t="str">
        <f aca="false">IF(AND(B1005="",E1005=""),"",IF(NOT(ISNUMBER(B1005)),"⚠ ADD DATE / AGREGA FECHA",IF(E1005="","⚠ ADD AMOUNT / AGREGA MONTO",IF(D1005="","⚠ ADD CATEGORY / AGREGA CATEGORÍA",IF(K1005=0,"● NEW CATEGORY? / ¿CATEGORÍA NUEVA?","✔ OK")))))</f>
        <v/>
      </c>
      <c r="K1005" s="56" t="str">
        <f aca="false">IF(D1005="","",IFERROR(MATCH(D1005,Budget!$B$7:$B$41,0),0))</f>
        <v/>
      </c>
      <c r="L1005" s="56" t="n">
        <f aca="false">IF(AND(ISNUMBER(B1005),ISNUMBER(E1005),D1005&lt;&gt;""),YEAR(B1005)*100+MONTH(B1005),0)</f>
        <v>0</v>
      </c>
      <c r="M1005" s="56" t="n">
        <f aca="false">IF(L1005=0,0,YEAR(B1005))</f>
        <v>0</v>
      </c>
      <c r="N1005" s="56" t="str">
        <f aca="false">IF(L1005=0,"",IF(K1005=0,"Wants / Gustos",INDEX(Budget!$D$7:$D$41,K1005)))</f>
        <v/>
      </c>
    </row>
  </sheetData>
  <autoFilter ref="B5:I1005"/>
  <mergeCells count="3">
    <mergeCell ref="B1:I1"/>
    <mergeCell ref="B2:I2"/>
    <mergeCell ref="B3:I3"/>
  </mergeCells>
  <conditionalFormatting sqref="H6:H1005">
    <cfRule type="containsText" priority="2" operator="containsText" aboveAverage="0" equalAverage="0" bottom="0" percent="0" rank="0" text="Income" dxfId="4">
      <formula>NOT(ISERROR(SEARCH("Income",H6)))</formula>
    </cfRule>
  </conditionalFormatting>
  <conditionalFormatting sqref="I6:I1005">
    <cfRule type="containsText" priority="3" operator="containsText" aboveAverage="0" equalAverage="0" bottom="0" percent="0" rank="0" text="⚠" dxfId="0">
      <formula>NOT(ISERROR(SEARCH("⚠",I6)))</formula>
    </cfRule>
    <cfRule type="containsText" priority="4" operator="containsText" aboveAverage="0" equalAverage="0" bottom="0" percent="0" rank="0" text="NEW" dxfId="3">
      <formula>NOT(ISERROR(SEARCH("NEW",I6)))</formula>
    </cfRule>
    <cfRule type="containsText" priority="5" operator="containsText" aboveAverage="0" equalAverage="0" bottom="0" percent="0" rank="0" text="OK" dxfId="13">
      <formula>NOT(ISERROR(SEARCH("OK",I6)))</formula>
    </cfRule>
  </conditionalFormatting>
  <dataValidations count="4">
    <dataValidation allowBlank="true" error="Enter a number ≥ 0.&#10;Escribe un número ≥ 0." errorStyle="stop" errorTitle="Number / Número" operator="greaterThanOrEqual" showDropDown="false" showErrorMessage="false" showInputMessage="false" sqref="E6:E1005" type="decimal">
      <formula1>0</formula1>
      <formula2>0</formula2>
    </dataValidation>
    <dataValidation allowBlank="true" error="Enter a valid date (e.g. 2026-03-15).&#10;Escribe una fecha válida (ej. 2026-03-15)." errorStyle="stop" errorTitle="Date / Fecha" operator="greaterThan" showDropDown="false" showErrorMessage="false" showInputMessage="false" sqref="B6:B1005" type="date">
      <formula1>36526</formula1>
      <formula2>0</formula2>
    </dataValidation>
    <dataValidation allowBlank="true" error="Choose an option from the list.&#10;Elige una opción de la lista." errorStyle="stop" errorTitle="Category / Categoría" operator="between" showDropDown="false" showErrorMessage="false" showInputMessage="false" sqref="D6:D1005" type="list">
      <formula1>Budget!$B$7:$B$41</formula1>
      <formula2>0</formula2>
    </dataValidation>
    <dataValidation allowBlank="true" error="Choose an option from the list.&#10;Elige una opción de la lista." errorStyle="stop" errorTitle="Payment / Pago" operator="between" showDropDown="false" showErrorMessage="false" showInputMessage="false" sqref="F6:F1005" type="list">
      <formula1>"Debit / Débito,Credit / Crédito,Cash / Efectivo,Transfer / Transferencia,Other / 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</row>
    <row r="2" customFormat="false" ht="30" hidden="false" customHeight="true" outlineLevel="0" collapsed="false">
      <c r="A2" s="1"/>
      <c r="B2" s="15" t="s">
        <v>133</v>
      </c>
      <c r="C2" s="15"/>
      <c r="D2" s="15"/>
      <c r="E2" s="15"/>
      <c r="F2" s="15"/>
    </row>
    <row r="3" customFormat="false" ht="19.5" hidden="false" customHeight="true" outlineLevel="0" collapsed="false">
      <c r="A3" s="1"/>
      <c r="B3" s="16" t="s">
        <v>134</v>
      </c>
      <c r="C3" s="16"/>
      <c r="D3" s="16"/>
      <c r="E3" s="16"/>
      <c r="F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</row>
    <row r="6" customFormat="false" ht="36" hidden="false" customHeight="true" outlineLevel="0" collapsed="false">
      <c r="B6" s="37" t="s">
        <v>45</v>
      </c>
      <c r="C6" s="37" t="s">
        <v>88</v>
      </c>
      <c r="D6" s="37" t="s">
        <v>135</v>
      </c>
      <c r="E6" s="37" t="s">
        <v>136</v>
      </c>
      <c r="F6" s="37" t="s">
        <v>87</v>
      </c>
    </row>
    <row r="7" customFormat="false" ht="15" hidden="false" customHeight="false" outlineLevel="0" collapsed="false">
      <c r="B7" s="61" t="s">
        <v>95</v>
      </c>
      <c r="C7" s="62" t="s">
        <v>137</v>
      </c>
      <c r="D7" s="61" t="s">
        <v>138</v>
      </c>
      <c r="E7" s="63" t="n">
        <v>3400</v>
      </c>
      <c r="F7" s="61"/>
    </row>
    <row r="8" customFormat="false" ht="15" hidden="false" customHeight="false" outlineLevel="0" collapsed="false">
      <c r="B8" s="61" t="s">
        <v>103</v>
      </c>
      <c r="C8" s="62" t="s">
        <v>137</v>
      </c>
      <c r="D8" s="61" t="s">
        <v>138</v>
      </c>
      <c r="E8" s="63" t="n">
        <v>2200</v>
      </c>
      <c r="F8" s="61"/>
    </row>
    <row r="9" customFormat="false" ht="15" hidden="false" customHeight="false" outlineLevel="0" collapsed="false">
      <c r="B9" s="61" t="s">
        <v>130</v>
      </c>
      <c r="C9" s="62" t="s">
        <v>137</v>
      </c>
      <c r="D9" s="61" t="s">
        <v>138</v>
      </c>
      <c r="E9" s="63" t="n">
        <v>300</v>
      </c>
      <c r="F9" s="61"/>
    </row>
    <row r="10" customFormat="false" ht="15" hidden="false" customHeight="false" outlineLevel="0" collapsed="false">
      <c r="B10" s="61" t="s">
        <v>139</v>
      </c>
      <c r="C10" s="62" t="s">
        <v>137</v>
      </c>
      <c r="D10" s="61" t="s">
        <v>138</v>
      </c>
      <c r="E10" s="63" t="n">
        <v>0</v>
      </c>
      <c r="F10" s="61"/>
    </row>
    <row r="11" customFormat="false" ht="15" hidden="false" customHeight="false" outlineLevel="0" collapsed="false">
      <c r="B11" s="61"/>
      <c r="C11" s="62" t="s">
        <v>137</v>
      </c>
      <c r="D11" s="61" t="s">
        <v>138</v>
      </c>
      <c r="E11" s="63"/>
      <c r="F11" s="61"/>
    </row>
    <row r="12" customFormat="false" ht="15" hidden="false" customHeight="false" outlineLevel="0" collapsed="false">
      <c r="B12" s="61" t="s">
        <v>98</v>
      </c>
      <c r="C12" s="64" t="s">
        <v>140</v>
      </c>
      <c r="D12" s="61" t="s">
        <v>56</v>
      </c>
      <c r="E12" s="63" t="n">
        <v>1650</v>
      </c>
      <c r="F12" s="61"/>
    </row>
    <row r="13" customFormat="false" ht="15" hidden="false" customHeight="false" outlineLevel="0" collapsed="false">
      <c r="B13" s="61" t="s">
        <v>108</v>
      </c>
      <c r="C13" s="64" t="s">
        <v>140</v>
      </c>
      <c r="D13" s="61" t="s">
        <v>56</v>
      </c>
      <c r="E13" s="63" t="n">
        <v>220</v>
      </c>
      <c r="F13" s="61"/>
    </row>
    <row r="14" customFormat="false" ht="15" hidden="false" customHeight="false" outlineLevel="0" collapsed="false">
      <c r="B14" s="61" t="s">
        <v>105</v>
      </c>
      <c r="C14" s="64" t="s">
        <v>140</v>
      </c>
      <c r="D14" s="61" t="s">
        <v>56</v>
      </c>
      <c r="E14" s="63" t="n">
        <v>650</v>
      </c>
      <c r="F14" s="61"/>
    </row>
    <row r="15" customFormat="false" ht="15" hidden="false" customHeight="false" outlineLevel="0" collapsed="false">
      <c r="B15" s="61" t="s">
        <v>141</v>
      </c>
      <c r="C15" s="64" t="s">
        <v>140</v>
      </c>
      <c r="D15" s="61" t="s">
        <v>56</v>
      </c>
      <c r="E15" s="63" t="n">
        <v>180</v>
      </c>
      <c r="F15" s="61"/>
    </row>
    <row r="16" customFormat="false" ht="15" hidden="false" customHeight="false" outlineLevel="0" collapsed="false">
      <c r="B16" s="61" t="s">
        <v>110</v>
      </c>
      <c r="C16" s="64" t="s">
        <v>140</v>
      </c>
      <c r="D16" s="61" t="s">
        <v>56</v>
      </c>
      <c r="E16" s="63" t="n">
        <v>200</v>
      </c>
      <c r="F16" s="61"/>
    </row>
    <row r="17" customFormat="false" ht="15" hidden="false" customHeight="false" outlineLevel="0" collapsed="false">
      <c r="B17" s="61" t="s">
        <v>112</v>
      </c>
      <c r="C17" s="64" t="s">
        <v>140</v>
      </c>
      <c r="D17" s="61" t="s">
        <v>56</v>
      </c>
      <c r="E17" s="63" t="n">
        <v>260</v>
      </c>
      <c r="F17" s="61"/>
    </row>
    <row r="18" customFormat="false" ht="15" hidden="false" customHeight="false" outlineLevel="0" collapsed="false">
      <c r="B18" s="61" t="s">
        <v>119</v>
      </c>
      <c r="C18" s="64" t="s">
        <v>140</v>
      </c>
      <c r="D18" s="61" t="s">
        <v>56</v>
      </c>
      <c r="E18" s="63" t="n">
        <v>140</v>
      </c>
      <c r="F18" s="61"/>
    </row>
    <row r="19" customFormat="false" ht="15" hidden="false" customHeight="false" outlineLevel="0" collapsed="false">
      <c r="B19" s="61" t="s">
        <v>142</v>
      </c>
      <c r="C19" s="64" t="s">
        <v>140</v>
      </c>
      <c r="D19" s="61" t="s">
        <v>56</v>
      </c>
      <c r="E19" s="63" t="n">
        <v>120</v>
      </c>
      <c r="F19" s="61"/>
    </row>
    <row r="20" customFormat="false" ht="15" hidden="false" customHeight="false" outlineLevel="0" collapsed="false">
      <c r="B20" s="61" t="s">
        <v>117</v>
      </c>
      <c r="C20" s="64" t="s">
        <v>140</v>
      </c>
      <c r="D20" s="61" t="s">
        <v>56</v>
      </c>
      <c r="E20" s="63" t="n">
        <v>300</v>
      </c>
      <c r="F20" s="61"/>
    </row>
    <row r="21" customFormat="false" ht="15" hidden="false" customHeight="false" outlineLevel="0" collapsed="false">
      <c r="B21" s="61" t="s">
        <v>121</v>
      </c>
      <c r="C21" s="64" t="s">
        <v>140</v>
      </c>
      <c r="D21" s="61" t="s">
        <v>56</v>
      </c>
      <c r="E21" s="63" t="n">
        <v>250</v>
      </c>
      <c r="F21" s="61"/>
    </row>
    <row r="22" customFormat="false" ht="15" hidden="false" customHeight="false" outlineLevel="0" collapsed="false">
      <c r="B22" s="61" t="s">
        <v>115</v>
      </c>
      <c r="C22" s="64" t="s">
        <v>140</v>
      </c>
      <c r="D22" s="61" t="s">
        <v>57</v>
      </c>
      <c r="E22" s="63" t="n">
        <v>220</v>
      </c>
      <c r="F22" s="61"/>
    </row>
    <row r="23" customFormat="false" ht="15" hidden="false" customHeight="false" outlineLevel="0" collapsed="false">
      <c r="B23" s="61" t="s">
        <v>143</v>
      </c>
      <c r="C23" s="64" t="s">
        <v>140</v>
      </c>
      <c r="D23" s="61" t="s">
        <v>57</v>
      </c>
      <c r="E23" s="63" t="n">
        <v>100</v>
      </c>
      <c r="F23" s="61"/>
    </row>
    <row r="24" customFormat="false" ht="15" hidden="false" customHeight="false" outlineLevel="0" collapsed="false">
      <c r="B24" s="61" t="s">
        <v>128</v>
      </c>
      <c r="C24" s="64" t="s">
        <v>140</v>
      </c>
      <c r="D24" s="61" t="s">
        <v>57</v>
      </c>
      <c r="E24" s="63" t="n">
        <v>150</v>
      </c>
      <c r="F24" s="61"/>
    </row>
    <row r="25" customFormat="false" ht="15" hidden="false" customHeight="false" outlineLevel="0" collapsed="false">
      <c r="B25" s="61" t="s">
        <v>101</v>
      </c>
      <c r="C25" s="64" t="s">
        <v>140</v>
      </c>
      <c r="D25" s="61" t="s">
        <v>57</v>
      </c>
      <c r="E25" s="63" t="n">
        <v>45</v>
      </c>
      <c r="F25" s="61"/>
    </row>
    <row r="26" customFormat="false" ht="15" hidden="false" customHeight="false" outlineLevel="0" collapsed="false">
      <c r="B26" s="61" t="s">
        <v>144</v>
      </c>
      <c r="C26" s="64" t="s">
        <v>140</v>
      </c>
      <c r="D26" s="61" t="s">
        <v>57</v>
      </c>
      <c r="E26" s="63" t="n">
        <v>60</v>
      </c>
      <c r="F26" s="61"/>
    </row>
    <row r="27" customFormat="false" ht="15" hidden="false" customHeight="false" outlineLevel="0" collapsed="false">
      <c r="B27" s="61" t="s">
        <v>145</v>
      </c>
      <c r="C27" s="64" t="s">
        <v>140</v>
      </c>
      <c r="D27" s="61" t="s">
        <v>57</v>
      </c>
      <c r="E27" s="63" t="n">
        <v>80</v>
      </c>
      <c r="F27" s="61"/>
    </row>
    <row r="28" customFormat="false" ht="15" hidden="false" customHeight="false" outlineLevel="0" collapsed="false">
      <c r="B28" s="61" t="s">
        <v>132</v>
      </c>
      <c r="C28" s="64" t="s">
        <v>140</v>
      </c>
      <c r="D28" s="61" t="s">
        <v>57</v>
      </c>
      <c r="E28" s="63" t="n">
        <v>100</v>
      </c>
      <c r="F28" s="61"/>
    </row>
    <row r="29" customFormat="false" ht="15" hidden="false" customHeight="false" outlineLevel="0" collapsed="false">
      <c r="B29" s="61" t="s">
        <v>146</v>
      </c>
      <c r="C29" s="64" t="s">
        <v>140</v>
      </c>
      <c r="D29" s="61" t="s">
        <v>57</v>
      </c>
      <c r="E29" s="63" t="n">
        <v>50</v>
      </c>
      <c r="F29" s="61"/>
    </row>
    <row r="30" customFormat="false" ht="15" hidden="false" customHeight="false" outlineLevel="0" collapsed="false">
      <c r="B30" s="61" t="s">
        <v>124</v>
      </c>
      <c r="C30" s="64" t="s">
        <v>140</v>
      </c>
      <c r="D30" s="61" t="s">
        <v>58</v>
      </c>
      <c r="E30" s="63" t="n">
        <v>575</v>
      </c>
      <c r="F30" s="61"/>
    </row>
    <row r="31" customFormat="false" ht="15" hidden="false" customHeight="false" outlineLevel="0" collapsed="false">
      <c r="B31" s="61" t="s">
        <v>126</v>
      </c>
      <c r="C31" s="64" t="s">
        <v>140</v>
      </c>
      <c r="D31" s="61" t="s">
        <v>58</v>
      </c>
      <c r="E31" s="63" t="n">
        <v>200</v>
      </c>
      <c r="F31" s="61"/>
    </row>
    <row r="32" customFormat="false" ht="15" hidden="false" customHeight="false" outlineLevel="0" collapsed="false">
      <c r="B32" s="61" t="s">
        <v>147</v>
      </c>
      <c r="C32" s="64" t="s">
        <v>140</v>
      </c>
      <c r="D32" s="61" t="s">
        <v>58</v>
      </c>
      <c r="E32" s="63" t="n">
        <v>150</v>
      </c>
      <c r="F32" s="61"/>
    </row>
    <row r="33" customFormat="false" ht="15" hidden="false" customHeight="false" outlineLevel="0" collapsed="false">
      <c r="B33" s="61" t="s">
        <v>148</v>
      </c>
      <c r="C33" s="64" t="s">
        <v>140</v>
      </c>
      <c r="D33" s="61" t="s">
        <v>58</v>
      </c>
      <c r="E33" s="63" t="n">
        <v>100</v>
      </c>
      <c r="F33" s="61"/>
    </row>
    <row r="34" customFormat="false" ht="15" hidden="false" customHeight="false" outlineLevel="0" collapsed="false">
      <c r="B34" s="61" t="s">
        <v>96</v>
      </c>
      <c r="C34" s="64" t="s">
        <v>140</v>
      </c>
      <c r="D34" s="61" t="s">
        <v>57</v>
      </c>
      <c r="E34" s="63" t="n">
        <v>50</v>
      </c>
      <c r="F34" s="61"/>
    </row>
    <row r="35" customFormat="false" ht="15" hidden="false" customHeight="false" outlineLevel="0" collapsed="false">
      <c r="B35" s="61"/>
      <c r="C35" s="64" t="s">
        <v>140</v>
      </c>
      <c r="D35" s="61"/>
      <c r="E35" s="63"/>
      <c r="F35" s="61"/>
    </row>
    <row r="36" customFormat="false" ht="15" hidden="false" customHeight="false" outlineLevel="0" collapsed="false">
      <c r="B36" s="61"/>
      <c r="C36" s="64" t="s">
        <v>140</v>
      </c>
      <c r="D36" s="61"/>
      <c r="E36" s="63"/>
      <c r="F36" s="61"/>
    </row>
    <row r="37" customFormat="false" ht="15" hidden="false" customHeight="false" outlineLevel="0" collapsed="false">
      <c r="B37" s="61"/>
      <c r="C37" s="64" t="s">
        <v>140</v>
      </c>
      <c r="D37" s="61"/>
      <c r="E37" s="63"/>
      <c r="F37" s="61"/>
    </row>
    <row r="38" customFormat="false" ht="15" hidden="false" customHeight="false" outlineLevel="0" collapsed="false">
      <c r="B38" s="61"/>
      <c r="C38" s="64" t="s">
        <v>140</v>
      </c>
      <c r="D38" s="61"/>
      <c r="E38" s="63"/>
      <c r="F38" s="61"/>
    </row>
    <row r="39" customFormat="false" ht="15" hidden="false" customHeight="false" outlineLevel="0" collapsed="false">
      <c r="B39" s="61"/>
      <c r="C39" s="64" t="s">
        <v>140</v>
      </c>
      <c r="D39" s="61"/>
      <c r="E39" s="63"/>
      <c r="F39" s="61"/>
    </row>
    <row r="40" customFormat="false" ht="15" hidden="false" customHeight="false" outlineLevel="0" collapsed="false">
      <c r="B40" s="61"/>
      <c r="C40" s="64" t="s">
        <v>140</v>
      </c>
      <c r="D40" s="61"/>
      <c r="E40" s="63"/>
      <c r="F40" s="61"/>
    </row>
    <row r="41" customFormat="false" ht="15" hidden="false" customHeight="false" outlineLevel="0" collapsed="false">
      <c r="B41" s="61"/>
      <c r="C41" s="64" t="s">
        <v>140</v>
      </c>
      <c r="D41" s="61"/>
      <c r="E41" s="63"/>
      <c r="F41" s="61"/>
    </row>
    <row r="42" customFormat="false" ht="15" hidden="false" customHeight="false" outlineLevel="0" collapsed="false">
      <c r="B42" s="65" t="s">
        <v>149</v>
      </c>
      <c r="C42" s="65"/>
      <c r="D42" s="65"/>
      <c r="E42" s="50" t="n">
        <f aca="false">SUM(E7:E11)</f>
        <v>5900</v>
      </c>
    </row>
    <row r="43" customFormat="false" ht="15" hidden="false" customHeight="false" outlineLevel="0" collapsed="false">
      <c r="B43" s="65" t="s">
        <v>150</v>
      </c>
      <c r="C43" s="65"/>
      <c r="D43" s="65"/>
      <c r="E43" s="50" t="n">
        <f aca="false">SUM(E12:E41)</f>
        <v>5850</v>
      </c>
    </row>
    <row r="44" customFormat="false" ht="15" hidden="false" customHeight="false" outlineLevel="0" collapsed="false">
      <c r="B44" s="66" t="s">
        <v>151</v>
      </c>
      <c r="C44" s="66"/>
      <c r="D44" s="66"/>
      <c r="E44" s="67" t="n">
        <f aca="false">E42-E43</f>
        <v>50</v>
      </c>
    </row>
    <row r="46" customFormat="false" ht="15" hidden="false" customHeight="false" outlineLevel="0" collapsed="false">
      <c r="B46" s="20" t="s">
        <v>152</v>
      </c>
    </row>
  </sheetData>
  <mergeCells count="6">
    <mergeCell ref="B1:F1"/>
    <mergeCell ref="B2:F2"/>
    <mergeCell ref="B3:F3"/>
    <mergeCell ref="B42:D42"/>
    <mergeCell ref="B43:D43"/>
    <mergeCell ref="B44:D44"/>
  </mergeCells>
  <dataValidations count="2">
    <dataValidation allowBlank="true" error="Choose an option from the list.&#10;Elige una opción de la lista." errorStyle="stop" errorTitle="Group / Grupo" operator="between" showDropDown="false" showErrorMessage="false" showInputMessage="false" sqref="D12:D41" type="list">
      <formula1>"Needs / Necesidades,Wants / Gustos,Savings &amp; Debt / Ahorro y Deuda"</formula1>
      <formula2>0</formula2>
    </dataValidation>
    <dataValidation allowBlank="true" error="Enter a number ≥ 0.&#10;Escribe un número ≥ 0." errorStyle="stop" errorTitle="Number / Número" operator="greaterThanOrEqual" showDropDown="false" showErrorMessage="false" showInputMessage="false" sqref="E7:E4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true" outlineLevel="0" max="12" min="12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</row>
    <row r="2" customFormat="false" ht="30" hidden="false" customHeight="true" outlineLevel="0" collapsed="false">
      <c r="A2" s="1"/>
      <c r="B2" s="15" t="s">
        <v>153</v>
      </c>
      <c r="C2" s="15"/>
      <c r="D2" s="15"/>
      <c r="E2" s="15"/>
      <c r="F2" s="15"/>
      <c r="G2" s="15"/>
      <c r="H2" s="15"/>
      <c r="I2" s="15"/>
      <c r="J2" s="15"/>
    </row>
    <row r="3" customFormat="false" ht="19.5" hidden="false" customHeight="true" outlineLevel="0" collapsed="false">
      <c r="A3" s="1"/>
      <c r="B3" s="16" t="s">
        <v>154</v>
      </c>
      <c r="C3" s="16"/>
      <c r="D3" s="16"/>
      <c r="E3" s="16"/>
      <c r="F3" s="16"/>
      <c r="G3" s="16"/>
      <c r="H3" s="16"/>
      <c r="I3" s="16"/>
      <c r="J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48" hidden="false" customHeight="true" outlineLevel="0" collapsed="false">
      <c r="B5" s="37" t="s">
        <v>155</v>
      </c>
      <c r="C5" s="37" t="s">
        <v>156</v>
      </c>
      <c r="D5" s="37" t="s">
        <v>157</v>
      </c>
      <c r="E5" s="37" t="s">
        <v>158</v>
      </c>
      <c r="F5" s="37" t="s">
        <v>159</v>
      </c>
      <c r="G5" s="37" t="s">
        <v>160</v>
      </c>
      <c r="H5" s="37" t="s">
        <v>161</v>
      </c>
      <c r="I5" s="37" t="s">
        <v>162</v>
      </c>
      <c r="J5" s="37" t="s">
        <v>163</v>
      </c>
      <c r="L5" s="56" t="s">
        <v>164</v>
      </c>
    </row>
    <row r="6" customFormat="false" ht="15" hidden="false" customHeight="false" outlineLevel="0" collapsed="false">
      <c r="B6" s="58" t="s">
        <v>126</v>
      </c>
      <c r="C6" s="59" t="n">
        <v>3000</v>
      </c>
      <c r="D6" s="59" t="n">
        <v>1250</v>
      </c>
      <c r="E6" s="57" t="n">
        <v>46568</v>
      </c>
      <c r="F6" s="68" t="n">
        <f aca="false">IF(OR(B6="",C6=""),"",MAX(0,C6-IF(D6="",0,D6)))</f>
        <v>1750</v>
      </c>
      <c r="G6" s="69" t="n">
        <f aca="false">IF(F6="","",IF(C6=0,0,MIN(1,IF(D6="",0,D6)/C6)))</f>
        <v>0.416666666666667</v>
      </c>
      <c r="H6" s="70" t="str">
        <f aca="false">IF(G6="","",REPT("█",ROUND(G6*10,0))&amp;REPT("░",10-ROUND(G6*10,0)))</f>
        <v>████░░░░░░</v>
      </c>
      <c r="I6" s="71" t="n">
        <f aca="true">IF(OR(F6="",NOT(ISNUMBER(E6))),"",MAX(1,(YEAR(E6)-YEAR(TODAY()))*12+MONTH(E6)-MONTH(TODAY())))</f>
        <v>8</v>
      </c>
      <c r="J6" s="68" t="n">
        <f aca="false">IF(OR(F6="",I6=""),"",F6/I6)</f>
        <v>218.75</v>
      </c>
      <c r="L6" s="56" t="n">
        <f aca="false">IF(F6="",0,1)</f>
        <v>1</v>
      </c>
    </row>
    <row r="7" customFormat="false" ht="15" hidden="false" customHeight="false" outlineLevel="0" collapsed="false">
      <c r="B7" s="58" t="s">
        <v>165</v>
      </c>
      <c r="C7" s="59" t="n">
        <v>1800</v>
      </c>
      <c r="D7" s="59" t="n">
        <v>600</v>
      </c>
      <c r="E7" s="57" t="n">
        <v>46447</v>
      </c>
      <c r="F7" s="68" t="n">
        <f aca="false">IF(OR(B7="",C7=""),"",MAX(0,C7-IF(D7="",0,D7)))</f>
        <v>1200</v>
      </c>
      <c r="G7" s="69" t="n">
        <f aca="false">IF(F7="","",IF(C7=0,0,MIN(1,IF(D7="",0,D7)/C7)))</f>
        <v>0.333333333333333</v>
      </c>
      <c r="H7" s="70" t="str">
        <f aca="false">IF(G7="","",REPT("█",ROUND(G7*10,0))&amp;REPT("░",10-ROUND(G7*10,0)))</f>
        <v>███░░░░░░░</v>
      </c>
      <c r="I7" s="71" t="n">
        <f aca="true">IF(OR(F7="",NOT(ISNUMBER(E7))),"",MAX(1,(YEAR(E7)-YEAR(TODAY()))*12+MONTH(E7)-MONTH(TODAY())))</f>
        <v>5</v>
      </c>
      <c r="J7" s="68" t="n">
        <f aca="false">IF(OR(F7="",I7=""),"",F7/I7)</f>
        <v>240</v>
      </c>
      <c r="L7" s="56" t="n">
        <f aca="false">IF(F7="",0,1)</f>
        <v>1</v>
      </c>
    </row>
    <row r="8" customFormat="false" ht="15" hidden="false" customHeight="false" outlineLevel="0" collapsed="false">
      <c r="B8" s="58" t="s">
        <v>166</v>
      </c>
      <c r="C8" s="59" t="n">
        <v>5000</v>
      </c>
      <c r="D8" s="59" t="n">
        <v>900</v>
      </c>
      <c r="E8" s="57" t="n">
        <v>46753</v>
      </c>
      <c r="F8" s="68" t="n">
        <f aca="false">IF(OR(B8="",C8=""),"",MAX(0,C8-IF(D8="",0,D8)))</f>
        <v>4100</v>
      </c>
      <c r="G8" s="69" t="n">
        <f aca="false">IF(F8="","",IF(C8=0,0,MIN(1,IF(D8="",0,D8)/C8)))</f>
        <v>0.18</v>
      </c>
      <c r="H8" s="70" t="str">
        <f aca="false">IF(G8="","",REPT("█",ROUND(G8*10,0))&amp;REPT("░",10-ROUND(G8*10,0)))</f>
        <v>██░░░░░░░░</v>
      </c>
      <c r="I8" s="71" t="n">
        <f aca="true">IF(OR(F8="",NOT(ISNUMBER(E8))),"",MAX(1,(YEAR(E8)-YEAR(TODAY()))*12+MONTH(E8)-MONTH(TODAY())))</f>
        <v>15</v>
      </c>
      <c r="J8" s="68" t="n">
        <f aca="false">IF(OR(F8="",I8=""),"",F8/I8)</f>
        <v>273.333333333333</v>
      </c>
      <c r="L8" s="56" t="n">
        <f aca="false">IF(F8="",0,1)</f>
        <v>1</v>
      </c>
    </row>
    <row r="9" customFormat="false" ht="15" hidden="false" customHeight="false" outlineLevel="0" collapsed="false">
      <c r="B9" s="58" t="s">
        <v>167</v>
      </c>
      <c r="C9" s="59" t="n">
        <v>600</v>
      </c>
      <c r="D9" s="59" t="n">
        <v>250</v>
      </c>
      <c r="E9" s="57" t="n">
        <v>46371</v>
      </c>
      <c r="F9" s="68" t="n">
        <f aca="false">IF(OR(B9="",C9=""),"",MAX(0,C9-IF(D9="",0,D9)))</f>
        <v>350</v>
      </c>
      <c r="G9" s="69" t="n">
        <f aca="false">IF(F9="","",IF(C9=0,0,MIN(1,IF(D9="",0,D9)/C9)))</f>
        <v>0.416666666666667</v>
      </c>
      <c r="H9" s="70" t="str">
        <f aca="false">IF(G9="","",REPT("█",ROUND(G9*10,0))&amp;REPT("░",10-ROUND(G9*10,0)))</f>
        <v>████░░░░░░</v>
      </c>
      <c r="I9" s="71" t="n">
        <f aca="true">IF(OR(F9="",NOT(ISNUMBER(E9))),"",MAX(1,(YEAR(E9)-YEAR(TODAY()))*12+MONTH(E9)-MONTH(TODAY())))</f>
        <v>2</v>
      </c>
      <c r="J9" s="68" t="n">
        <f aca="false">IF(OR(F9="",I9=""),"",F9/I9)</f>
        <v>175</v>
      </c>
      <c r="L9" s="56" t="n">
        <f aca="false">IF(F9="",0,1)</f>
        <v>1</v>
      </c>
    </row>
    <row r="10" customFormat="false" ht="15" hidden="false" customHeight="false" outlineLevel="0" collapsed="false">
      <c r="B10" s="58"/>
      <c r="C10" s="59"/>
      <c r="D10" s="59"/>
      <c r="E10" s="57"/>
      <c r="F10" s="68" t="str">
        <f aca="false">IF(OR(B10="",C10=""),"",MAX(0,C10-IF(D10="",0,D10)))</f>
        <v/>
      </c>
      <c r="G10" s="69" t="str">
        <f aca="false">IF(F10="","",IF(C10=0,0,MIN(1,IF(D10="",0,D10)/C10)))</f>
        <v/>
      </c>
      <c r="H10" s="70" t="str">
        <f aca="false">IF(G10="","",REPT("█",ROUND(G10*10,0))&amp;REPT("░",10-ROUND(G10*10,0)))</f>
        <v/>
      </c>
      <c r="I10" s="71" t="str">
        <f aca="true">IF(OR(F10="",NOT(ISNUMBER(E10))),"",MAX(1,(YEAR(E10)-YEAR(TODAY()))*12+MONTH(E10)-MONTH(TODAY())))</f>
        <v/>
      </c>
      <c r="J10" s="68" t="str">
        <f aca="false">IF(OR(F10="",I10=""),"",F10/I10)</f>
        <v/>
      </c>
      <c r="L10" s="56" t="n">
        <f aca="false">IF(F10="",0,1)</f>
        <v>0</v>
      </c>
    </row>
    <row r="11" customFormat="false" ht="15" hidden="false" customHeight="false" outlineLevel="0" collapsed="false">
      <c r="B11" s="58"/>
      <c r="C11" s="59"/>
      <c r="D11" s="59"/>
      <c r="E11" s="57"/>
      <c r="F11" s="68" t="str">
        <f aca="false">IF(OR(B11="",C11=""),"",MAX(0,C11-IF(D11="",0,D11)))</f>
        <v/>
      </c>
      <c r="G11" s="69" t="str">
        <f aca="false">IF(F11="","",IF(C11=0,0,MIN(1,IF(D11="",0,D11)/C11)))</f>
        <v/>
      </c>
      <c r="H11" s="70" t="str">
        <f aca="false">IF(G11="","",REPT("█",ROUND(G11*10,0))&amp;REPT("░",10-ROUND(G11*10,0)))</f>
        <v/>
      </c>
      <c r="I11" s="71" t="str">
        <f aca="true">IF(OR(F11="",NOT(ISNUMBER(E11))),"",MAX(1,(YEAR(E11)-YEAR(TODAY()))*12+MONTH(E11)-MONTH(TODAY())))</f>
        <v/>
      </c>
      <c r="J11" s="68" t="str">
        <f aca="false">IF(OR(F11="",I11=""),"",F11/I11)</f>
        <v/>
      </c>
      <c r="L11" s="56" t="n">
        <f aca="false">IF(F11="",0,1)</f>
        <v>0</v>
      </c>
    </row>
    <row r="12" customFormat="false" ht="15" hidden="false" customHeight="false" outlineLevel="0" collapsed="false">
      <c r="B12" s="58"/>
      <c r="C12" s="59"/>
      <c r="D12" s="59"/>
      <c r="E12" s="57"/>
      <c r="F12" s="68" t="str">
        <f aca="false">IF(OR(B12="",C12=""),"",MAX(0,C12-IF(D12="",0,D12)))</f>
        <v/>
      </c>
      <c r="G12" s="69" t="str">
        <f aca="false">IF(F12="","",IF(C12=0,0,MIN(1,IF(D12="",0,D12)/C12)))</f>
        <v/>
      </c>
      <c r="H12" s="70" t="str">
        <f aca="false">IF(G12="","",REPT("█",ROUND(G12*10,0))&amp;REPT("░",10-ROUND(G12*10,0)))</f>
        <v/>
      </c>
      <c r="I12" s="71" t="str">
        <f aca="true">IF(OR(F12="",NOT(ISNUMBER(E12))),"",MAX(1,(YEAR(E12)-YEAR(TODAY()))*12+MONTH(E12)-MONTH(TODAY())))</f>
        <v/>
      </c>
      <c r="J12" s="68" t="str">
        <f aca="false">IF(OR(F12="",I12=""),"",F12/I12)</f>
        <v/>
      </c>
      <c r="L12" s="56" t="n">
        <f aca="false">IF(F12="",0,1)</f>
        <v>0</v>
      </c>
    </row>
    <row r="13" customFormat="false" ht="15" hidden="false" customHeight="false" outlineLevel="0" collapsed="false">
      <c r="B13" s="58"/>
      <c r="C13" s="59"/>
      <c r="D13" s="59"/>
      <c r="E13" s="57"/>
      <c r="F13" s="68" t="str">
        <f aca="false">IF(OR(B13="",C13=""),"",MAX(0,C13-IF(D13="",0,D13)))</f>
        <v/>
      </c>
      <c r="G13" s="69" t="str">
        <f aca="false">IF(F13="","",IF(C13=0,0,MIN(1,IF(D13="",0,D13)/C13)))</f>
        <v/>
      </c>
      <c r="H13" s="70" t="str">
        <f aca="false">IF(G13="","",REPT("█",ROUND(G13*10,0))&amp;REPT("░",10-ROUND(G13*10,0)))</f>
        <v/>
      </c>
      <c r="I13" s="71" t="str">
        <f aca="true">IF(OR(F13="",NOT(ISNUMBER(E13))),"",MAX(1,(YEAR(E13)-YEAR(TODAY()))*12+MONTH(E13)-MONTH(TODAY())))</f>
        <v/>
      </c>
      <c r="J13" s="68" t="str">
        <f aca="false">IF(OR(F13="",I13=""),"",F13/I13)</f>
        <v/>
      </c>
      <c r="L13" s="56" t="n">
        <f aca="false">IF(F13="",0,1)</f>
        <v>0</v>
      </c>
    </row>
    <row r="14" customFormat="false" ht="15" hidden="false" customHeight="false" outlineLevel="0" collapsed="false">
      <c r="B14" s="58"/>
      <c r="C14" s="59"/>
      <c r="D14" s="59"/>
      <c r="E14" s="57"/>
      <c r="F14" s="68" t="str">
        <f aca="false">IF(OR(B14="",C14=""),"",MAX(0,C14-IF(D14="",0,D14)))</f>
        <v/>
      </c>
      <c r="G14" s="69" t="str">
        <f aca="false">IF(F14="","",IF(C14=0,0,MIN(1,IF(D14="",0,D14)/C14)))</f>
        <v/>
      </c>
      <c r="H14" s="70" t="str">
        <f aca="false">IF(G14="","",REPT("█",ROUND(G14*10,0))&amp;REPT("░",10-ROUND(G14*10,0)))</f>
        <v/>
      </c>
      <c r="I14" s="71" t="str">
        <f aca="true">IF(OR(F14="",NOT(ISNUMBER(E14))),"",MAX(1,(YEAR(E14)-YEAR(TODAY()))*12+MONTH(E14)-MONTH(TODAY())))</f>
        <v/>
      </c>
      <c r="J14" s="68" t="str">
        <f aca="false">IF(OR(F14="",I14=""),"",F14/I14)</f>
        <v/>
      </c>
      <c r="L14" s="56" t="n">
        <f aca="false">IF(F14="",0,1)</f>
        <v>0</v>
      </c>
    </row>
    <row r="15" customFormat="false" ht="15" hidden="false" customHeight="false" outlineLevel="0" collapsed="false">
      <c r="B15" s="58"/>
      <c r="C15" s="59"/>
      <c r="D15" s="59"/>
      <c r="E15" s="57"/>
      <c r="F15" s="68" t="str">
        <f aca="false">IF(OR(B15="",C15=""),"",MAX(0,C15-IF(D15="",0,D15)))</f>
        <v/>
      </c>
      <c r="G15" s="69" t="str">
        <f aca="false">IF(F15="","",IF(C15=0,0,MIN(1,IF(D15="",0,D15)/C15)))</f>
        <v/>
      </c>
      <c r="H15" s="70" t="str">
        <f aca="false">IF(G15="","",REPT("█",ROUND(G15*10,0))&amp;REPT("░",10-ROUND(G15*10,0)))</f>
        <v/>
      </c>
      <c r="I15" s="71" t="str">
        <f aca="true">IF(OR(F15="",NOT(ISNUMBER(E15))),"",MAX(1,(YEAR(E15)-YEAR(TODAY()))*12+MONTH(E15)-MONTH(TODAY())))</f>
        <v/>
      </c>
      <c r="J15" s="68" t="str">
        <f aca="false">IF(OR(F15="",I15=""),"",F15/I15)</f>
        <v/>
      </c>
      <c r="L15" s="56" t="n">
        <f aca="false">IF(F15="",0,1)</f>
        <v>0</v>
      </c>
    </row>
    <row r="16" customFormat="false" ht="15" hidden="false" customHeight="false" outlineLevel="0" collapsed="false">
      <c r="B16" s="58"/>
      <c r="C16" s="59"/>
      <c r="D16" s="59"/>
      <c r="E16" s="57"/>
      <c r="F16" s="68" t="str">
        <f aca="false">IF(OR(B16="",C16=""),"",MAX(0,C16-IF(D16="",0,D16)))</f>
        <v/>
      </c>
      <c r="G16" s="69" t="str">
        <f aca="false">IF(F16="","",IF(C16=0,0,MIN(1,IF(D16="",0,D16)/C16)))</f>
        <v/>
      </c>
      <c r="H16" s="70" t="str">
        <f aca="false">IF(G16="","",REPT("█",ROUND(G16*10,0))&amp;REPT("░",10-ROUND(G16*10,0)))</f>
        <v/>
      </c>
      <c r="I16" s="71" t="str">
        <f aca="true">IF(OR(F16="",NOT(ISNUMBER(E16))),"",MAX(1,(YEAR(E16)-YEAR(TODAY()))*12+MONTH(E16)-MONTH(TODAY())))</f>
        <v/>
      </c>
      <c r="J16" s="68" t="str">
        <f aca="false">IF(OR(F16="",I16=""),"",F16/I16)</f>
        <v/>
      </c>
      <c r="L16" s="56" t="n">
        <f aca="false">IF(F16="",0,1)</f>
        <v>0</v>
      </c>
    </row>
    <row r="17" customFormat="false" ht="15" hidden="false" customHeight="false" outlineLevel="0" collapsed="false">
      <c r="B17" s="58"/>
      <c r="C17" s="59"/>
      <c r="D17" s="59"/>
      <c r="E17" s="57"/>
      <c r="F17" s="68" t="str">
        <f aca="false">IF(OR(B17="",C17=""),"",MAX(0,C17-IF(D17="",0,D17)))</f>
        <v/>
      </c>
      <c r="G17" s="69" t="str">
        <f aca="false">IF(F17="","",IF(C17=0,0,MIN(1,IF(D17="",0,D17)/C17)))</f>
        <v/>
      </c>
      <c r="H17" s="70" t="str">
        <f aca="false">IF(G17="","",REPT("█",ROUND(G17*10,0))&amp;REPT("░",10-ROUND(G17*10,0)))</f>
        <v/>
      </c>
      <c r="I17" s="71" t="str">
        <f aca="true">IF(OR(F17="",NOT(ISNUMBER(E17))),"",MAX(1,(YEAR(E17)-YEAR(TODAY()))*12+MONTH(E17)-MONTH(TODAY())))</f>
        <v/>
      </c>
      <c r="J17" s="68" t="str">
        <f aca="false">IF(OR(F17="",I17=""),"",F17/I17)</f>
        <v/>
      </c>
      <c r="L17" s="56" t="n">
        <f aca="false">IF(F17="",0,1)</f>
        <v>0</v>
      </c>
    </row>
    <row r="18" customFormat="false" ht="15" hidden="false" customHeight="false" outlineLevel="0" collapsed="false">
      <c r="B18" s="58"/>
      <c r="C18" s="59"/>
      <c r="D18" s="59"/>
      <c r="E18" s="57"/>
      <c r="F18" s="68" t="str">
        <f aca="false">IF(OR(B18="",C18=""),"",MAX(0,C18-IF(D18="",0,D18)))</f>
        <v/>
      </c>
      <c r="G18" s="69" t="str">
        <f aca="false">IF(F18="","",IF(C18=0,0,MIN(1,IF(D18="",0,D18)/C18)))</f>
        <v/>
      </c>
      <c r="H18" s="70" t="str">
        <f aca="false">IF(G18="","",REPT("█",ROUND(G18*10,0))&amp;REPT("░",10-ROUND(G18*10,0)))</f>
        <v/>
      </c>
      <c r="I18" s="71" t="str">
        <f aca="true">IF(OR(F18="",NOT(ISNUMBER(E18))),"",MAX(1,(YEAR(E18)-YEAR(TODAY()))*12+MONTH(E18)-MONTH(TODAY())))</f>
        <v/>
      </c>
      <c r="J18" s="68" t="str">
        <f aca="false">IF(OR(F18="",I18=""),"",F18/I18)</f>
        <v/>
      </c>
      <c r="L18" s="56" t="n">
        <f aca="false">IF(F18="",0,1)</f>
        <v>0</v>
      </c>
    </row>
    <row r="19" customFormat="false" ht="15" hidden="false" customHeight="false" outlineLevel="0" collapsed="false">
      <c r="B19" s="58"/>
      <c r="C19" s="59"/>
      <c r="D19" s="59"/>
      <c r="E19" s="57"/>
      <c r="F19" s="68" t="str">
        <f aca="false">IF(OR(B19="",C19=""),"",MAX(0,C19-IF(D19="",0,D19)))</f>
        <v/>
      </c>
      <c r="G19" s="69" t="str">
        <f aca="false">IF(F19="","",IF(C19=0,0,MIN(1,IF(D19="",0,D19)/C19)))</f>
        <v/>
      </c>
      <c r="H19" s="70" t="str">
        <f aca="false">IF(G19="","",REPT("█",ROUND(G19*10,0))&amp;REPT("░",10-ROUND(G19*10,0)))</f>
        <v/>
      </c>
      <c r="I19" s="71" t="str">
        <f aca="true">IF(OR(F19="",NOT(ISNUMBER(E19))),"",MAX(1,(YEAR(E19)-YEAR(TODAY()))*12+MONTH(E19)-MONTH(TODAY())))</f>
        <v/>
      </c>
      <c r="J19" s="68" t="str">
        <f aca="false">IF(OR(F19="",I19=""),"",F19/I19)</f>
        <v/>
      </c>
      <c r="L19" s="56" t="n">
        <f aca="false">IF(F19="",0,1)</f>
        <v>0</v>
      </c>
    </row>
    <row r="20" customFormat="false" ht="15" hidden="false" customHeight="false" outlineLevel="0" collapsed="false">
      <c r="B20" s="58"/>
      <c r="C20" s="59"/>
      <c r="D20" s="59"/>
      <c r="E20" s="57"/>
      <c r="F20" s="68" t="str">
        <f aca="false">IF(OR(B20="",C20=""),"",MAX(0,C20-IF(D20="",0,D20)))</f>
        <v/>
      </c>
      <c r="G20" s="69" t="str">
        <f aca="false">IF(F20="","",IF(C20=0,0,MIN(1,IF(D20="",0,D20)/C20)))</f>
        <v/>
      </c>
      <c r="H20" s="70" t="str">
        <f aca="false">IF(G20="","",REPT("█",ROUND(G20*10,0))&amp;REPT("░",10-ROUND(G20*10,0)))</f>
        <v/>
      </c>
      <c r="I20" s="71" t="str">
        <f aca="true">IF(OR(F20="",NOT(ISNUMBER(E20))),"",MAX(1,(YEAR(E20)-YEAR(TODAY()))*12+MONTH(E20)-MONTH(TODAY())))</f>
        <v/>
      </c>
      <c r="J20" s="68" t="str">
        <f aca="false">IF(OR(F20="",I20=""),"",F20/I20)</f>
        <v/>
      </c>
      <c r="L20" s="56" t="n">
        <f aca="false">IF(F20="",0,1)</f>
        <v>0</v>
      </c>
    </row>
    <row r="21" customFormat="false" ht="15" hidden="false" customHeight="false" outlineLevel="0" collapsed="false">
      <c r="B21" s="58"/>
      <c r="C21" s="59"/>
      <c r="D21" s="59"/>
      <c r="E21" s="57"/>
      <c r="F21" s="68" t="str">
        <f aca="false">IF(OR(B21="",C21=""),"",MAX(0,C21-IF(D21="",0,D21)))</f>
        <v/>
      </c>
      <c r="G21" s="69" t="str">
        <f aca="false">IF(F21="","",IF(C21=0,0,MIN(1,IF(D21="",0,D21)/C21)))</f>
        <v/>
      </c>
      <c r="H21" s="70" t="str">
        <f aca="false">IF(G21="","",REPT("█",ROUND(G21*10,0))&amp;REPT("░",10-ROUND(G21*10,0)))</f>
        <v/>
      </c>
      <c r="I21" s="71" t="str">
        <f aca="true">IF(OR(F21="",NOT(ISNUMBER(E21))),"",MAX(1,(YEAR(E21)-YEAR(TODAY()))*12+MONTH(E21)-MONTH(TODAY())))</f>
        <v/>
      </c>
      <c r="J21" s="68" t="str">
        <f aca="false">IF(OR(F21="",I21=""),"",F21/I21)</f>
        <v/>
      </c>
      <c r="L21" s="56" t="n">
        <f aca="false">IF(F21="",0,1)</f>
        <v>0</v>
      </c>
    </row>
    <row r="22" customFormat="false" ht="15" hidden="false" customHeight="false" outlineLevel="0" collapsed="false">
      <c r="B22" s="58"/>
      <c r="C22" s="59"/>
      <c r="D22" s="59"/>
      <c r="E22" s="57"/>
      <c r="F22" s="68" t="str">
        <f aca="false">IF(OR(B22="",C22=""),"",MAX(0,C22-IF(D22="",0,D22)))</f>
        <v/>
      </c>
      <c r="G22" s="69" t="str">
        <f aca="false">IF(F22="","",IF(C22=0,0,MIN(1,IF(D22="",0,D22)/C22)))</f>
        <v/>
      </c>
      <c r="H22" s="70" t="str">
        <f aca="false">IF(G22="","",REPT("█",ROUND(G22*10,0))&amp;REPT("░",10-ROUND(G22*10,0)))</f>
        <v/>
      </c>
      <c r="I22" s="71" t="str">
        <f aca="true">IF(OR(F22="",NOT(ISNUMBER(E22))),"",MAX(1,(YEAR(E22)-YEAR(TODAY()))*12+MONTH(E22)-MONTH(TODAY())))</f>
        <v/>
      </c>
      <c r="J22" s="68" t="str">
        <f aca="false">IF(OR(F22="",I22=""),"",F22/I22)</f>
        <v/>
      </c>
      <c r="L22" s="56" t="n">
        <f aca="false">IF(F22="",0,1)</f>
        <v>0</v>
      </c>
    </row>
    <row r="23" customFormat="false" ht="15" hidden="false" customHeight="false" outlineLevel="0" collapsed="false">
      <c r="B23" s="58"/>
      <c r="C23" s="59"/>
      <c r="D23" s="59"/>
      <c r="E23" s="57"/>
      <c r="F23" s="68" t="str">
        <f aca="false">IF(OR(B23="",C23=""),"",MAX(0,C23-IF(D23="",0,D23)))</f>
        <v/>
      </c>
      <c r="G23" s="69" t="str">
        <f aca="false">IF(F23="","",IF(C23=0,0,MIN(1,IF(D23="",0,D23)/C23)))</f>
        <v/>
      </c>
      <c r="H23" s="70" t="str">
        <f aca="false">IF(G23="","",REPT("█",ROUND(G23*10,0))&amp;REPT("░",10-ROUND(G23*10,0)))</f>
        <v/>
      </c>
      <c r="I23" s="71" t="str">
        <f aca="true">IF(OR(F23="",NOT(ISNUMBER(E23))),"",MAX(1,(YEAR(E23)-YEAR(TODAY()))*12+MONTH(E23)-MONTH(TODAY())))</f>
        <v/>
      </c>
      <c r="J23" s="68" t="str">
        <f aca="false">IF(OR(F23="",I23=""),"",F23/I23)</f>
        <v/>
      </c>
      <c r="L23" s="56" t="n">
        <f aca="false">IF(F23="",0,1)</f>
        <v>0</v>
      </c>
    </row>
    <row r="24" customFormat="false" ht="15" hidden="false" customHeight="false" outlineLevel="0" collapsed="false">
      <c r="B24" s="58"/>
      <c r="C24" s="59"/>
      <c r="D24" s="59"/>
      <c r="E24" s="57"/>
      <c r="F24" s="68" t="str">
        <f aca="false">IF(OR(B24="",C24=""),"",MAX(0,C24-IF(D24="",0,D24)))</f>
        <v/>
      </c>
      <c r="G24" s="69" t="str">
        <f aca="false">IF(F24="","",IF(C24=0,0,MIN(1,IF(D24="",0,D24)/C24)))</f>
        <v/>
      </c>
      <c r="H24" s="70" t="str">
        <f aca="false">IF(G24="","",REPT("█",ROUND(G24*10,0))&amp;REPT("░",10-ROUND(G24*10,0)))</f>
        <v/>
      </c>
      <c r="I24" s="71" t="str">
        <f aca="true">IF(OR(F24="",NOT(ISNUMBER(E24))),"",MAX(1,(YEAR(E24)-YEAR(TODAY()))*12+MONTH(E24)-MONTH(TODAY())))</f>
        <v/>
      </c>
      <c r="J24" s="68" t="str">
        <f aca="false">IF(OR(F24="",I24=""),"",F24/I24)</f>
        <v/>
      </c>
      <c r="L24" s="56" t="n">
        <f aca="false">IF(F24="",0,1)</f>
        <v>0</v>
      </c>
    </row>
    <row r="25" customFormat="false" ht="15" hidden="false" customHeight="false" outlineLevel="0" collapsed="false">
      <c r="B25" s="58"/>
      <c r="C25" s="59"/>
      <c r="D25" s="59"/>
      <c r="E25" s="57"/>
      <c r="F25" s="68" t="str">
        <f aca="false">IF(OR(B25="",C25=""),"",MAX(0,C25-IF(D25="",0,D25)))</f>
        <v/>
      </c>
      <c r="G25" s="69" t="str">
        <f aca="false">IF(F25="","",IF(C25=0,0,MIN(1,IF(D25="",0,D25)/C25)))</f>
        <v/>
      </c>
      <c r="H25" s="70" t="str">
        <f aca="false">IF(G25="","",REPT("█",ROUND(G25*10,0))&amp;REPT("░",10-ROUND(G25*10,0)))</f>
        <v/>
      </c>
      <c r="I25" s="71" t="str">
        <f aca="true">IF(OR(F25="",NOT(ISNUMBER(E25))),"",MAX(1,(YEAR(E25)-YEAR(TODAY()))*12+MONTH(E25)-MONTH(TODAY())))</f>
        <v/>
      </c>
      <c r="J25" s="68" t="str">
        <f aca="false">IF(OR(F25="",I25=""),"",F25/I25)</f>
        <v/>
      </c>
      <c r="L25" s="56" t="n">
        <f aca="false">IF(F25="",0,1)</f>
        <v>0</v>
      </c>
    </row>
  </sheetData>
  <mergeCells count="3">
    <mergeCell ref="B1:J1"/>
    <mergeCell ref="B2:J2"/>
    <mergeCell ref="B3:J3"/>
  </mergeCells>
  <dataValidations count="2">
    <dataValidation allowBlank="true" error="Enter a number ≥ 0.&#10;Escribe un número ≥ 0." errorStyle="stop" errorTitle="Number / Número" operator="greaterThanOrEqual" showDropDown="false" showErrorMessage="false" showInputMessage="false" sqref="C6:D25" type="decimal">
      <formula1>0</formula1>
      <formula2>0</formula2>
    </dataValidation>
    <dataValidation allowBlank="true" error="Enter a valid date (e.g. 2026-03-15).&#10;Escribe una fecha válida (ej. 2026-03-15)." errorStyle="stop" errorTitle="Date / Fecha" operator="greaterThan" showDropDown="false" showErrorMessage="false" showInputMessage="false" sqref="E6:E2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10" min="9" style="0" width="13"/>
    <col collapsed="false" customWidth="true" hidden="false" outlineLevel="0" max="12" min="11" style="0" width="14"/>
    <col collapsed="false" customWidth="true" hidden="true" outlineLevel="0" max="16" min="14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30" hidden="false" customHeight="true" outlineLevel="0" collapsed="false">
      <c r="A2" s="1"/>
      <c r="B2" s="15" t="s">
        <v>168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19.5" hidden="false" customHeight="true" outlineLevel="0" collapsed="false">
      <c r="A3" s="1"/>
      <c r="B3" s="16" t="s">
        <v>169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48" hidden="false" customHeight="true" outlineLevel="0" collapsed="false">
      <c r="B5" s="37" t="s">
        <v>170</v>
      </c>
      <c r="C5" s="37" t="s">
        <v>171</v>
      </c>
      <c r="D5" s="37" t="s">
        <v>172</v>
      </c>
      <c r="E5" s="37" t="s">
        <v>173</v>
      </c>
      <c r="F5" s="37" t="s">
        <v>174</v>
      </c>
      <c r="G5" s="37" t="s">
        <v>175</v>
      </c>
      <c r="H5" s="37" t="s">
        <v>176</v>
      </c>
      <c r="I5" s="37" t="s">
        <v>177</v>
      </c>
      <c r="J5" s="37" t="s">
        <v>178</v>
      </c>
      <c r="K5" s="37" t="s">
        <v>179</v>
      </c>
      <c r="L5" s="37" t="s">
        <v>180</v>
      </c>
      <c r="N5" s="56" t="s">
        <v>181</v>
      </c>
      <c r="O5" s="56" t="s">
        <v>182</v>
      </c>
      <c r="P5" s="56" t="s">
        <v>183</v>
      </c>
    </row>
    <row r="6" customFormat="false" ht="15" hidden="false" customHeight="false" outlineLevel="0" collapsed="false">
      <c r="B6" s="58" t="s">
        <v>184</v>
      </c>
      <c r="C6" s="59" t="n">
        <v>2400</v>
      </c>
      <c r="D6" s="72" t="n">
        <v>0.2499</v>
      </c>
      <c r="E6" s="59" t="n">
        <v>75</v>
      </c>
      <c r="F6" s="59" t="n">
        <v>50</v>
      </c>
      <c r="G6" s="68" t="n">
        <f aca="false">IF(OR(B6="",C6=""),"",IF(E6="",0,E6)+IF(F6="",0,F6))</f>
        <v>125</v>
      </c>
      <c r="H6" s="60" t="n">
        <f aca="false">IF(G6="","",IF(C6&lt;=0,0,IF(G6&lt;=C6*IF(D6="",0,D6)/12,"⚠ Payment too low / Pago muy bajo",ROUNDUP(NPER(IF(D6="",0,D6)/12,-G6,C6),0))))</f>
        <v>25</v>
      </c>
      <c r="I6" s="73" t="n">
        <f aca="true">IF(OR(H6="",NOT(ISNUMBER(H6))),"",EDATE(TODAY(),H6))</f>
        <v>47058</v>
      </c>
      <c r="J6" s="68" t="n">
        <f aca="false">IF(OR(H6="",NOT(ISNUMBER(H6))),"",IF(H6=0,0,MAX(0,G6*NPER(IF(D6="",0,D6)/12,-G6,C6)-C6)))</f>
        <v>696.380109012108</v>
      </c>
      <c r="K6" s="60" t="n">
        <f aca="false">IF(N6=0,"",COUNTIF($O$6:$O$25,"&lt;"&amp;O6)+1)</f>
        <v>2</v>
      </c>
      <c r="L6" s="60" t="n">
        <f aca="false">IF(N6=0,"",COUNTIF($P$6:$P$25,"&gt;"&amp;P6)+1)</f>
        <v>1</v>
      </c>
      <c r="N6" s="56" t="n">
        <f aca="false">IF(OR(B6="",C6="",C6&lt;=0),0,1)</f>
        <v>1</v>
      </c>
      <c r="O6" s="56" t="n">
        <f aca="false">IF(N6=1,C6+ROW()/1000000,"")</f>
        <v>2400.000006</v>
      </c>
      <c r="P6" s="74" t="n">
        <f aca="false">IF(N6=1,IF(D6="",0,D6)-ROW()/1000000,"")</f>
        <v>0.249894</v>
      </c>
    </row>
    <row r="7" customFormat="false" ht="15" hidden="false" customHeight="false" outlineLevel="0" collapsed="false">
      <c r="B7" s="58" t="s">
        <v>185</v>
      </c>
      <c r="C7" s="59" t="n">
        <v>9800</v>
      </c>
      <c r="D7" s="72" t="n">
        <v>0.075</v>
      </c>
      <c r="E7" s="59" t="n">
        <v>310</v>
      </c>
      <c r="F7" s="59" t="n">
        <v>0</v>
      </c>
      <c r="G7" s="68" t="n">
        <f aca="false">IF(OR(B7="",C7=""),"",IF(E7="",0,E7)+IF(F7="",0,F7))</f>
        <v>310</v>
      </c>
      <c r="H7" s="60" t="n">
        <f aca="false">IF(G7="","",IF(C7&lt;=0,0,IF(G7&lt;=C7*IF(D7="",0,D7)/12,"⚠ Payment too low / Pago muy bajo",ROUNDUP(NPER(IF(D7="",0,D7)/12,-G7,C7),0))))</f>
        <v>36</v>
      </c>
      <c r="I7" s="73" t="n">
        <f aca="true">IF(OR(H7="",NOT(ISNUMBER(H7))),"",EDATE(TODAY(),H7))</f>
        <v>47392</v>
      </c>
      <c r="J7" s="68" t="n">
        <f aca="false">IF(OR(H7="",NOT(ISNUMBER(H7))),"",IF(H7=0,0,MAX(0,G7*NPER(IF(D7="",0,D7)/12,-G7,C7)-C7)))</f>
        <v>1152.23028105753</v>
      </c>
      <c r="K7" s="60" t="n">
        <f aca="false">IF(N7=0,"",COUNTIF($O$6:$O$25,"&lt;"&amp;O7)+1)</f>
        <v>3</v>
      </c>
      <c r="L7" s="60" t="n">
        <f aca="false">IF(N7=0,"",COUNTIF($P$6:$P$25,"&gt;"&amp;P7)+1)</f>
        <v>2</v>
      </c>
      <c r="N7" s="56" t="n">
        <f aca="false">IF(OR(B7="",C7="",C7&lt;=0),0,1)</f>
        <v>1</v>
      </c>
      <c r="O7" s="56" t="n">
        <f aca="false">IF(N7=1,C7+ROW()/1000000,"")</f>
        <v>9800.000007</v>
      </c>
      <c r="P7" s="74" t="n">
        <f aca="false">IF(N7=1,IF(D7="",0,D7)-ROW()/1000000,"")</f>
        <v>0.074993</v>
      </c>
    </row>
    <row r="8" customFormat="false" ht="15" hidden="false" customHeight="false" outlineLevel="0" collapsed="false">
      <c r="B8" s="58" t="s">
        <v>186</v>
      </c>
      <c r="C8" s="59" t="n">
        <v>650</v>
      </c>
      <c r="D8" s="72" t="n">
        <v>0</v>
      </c>
      <c r="E8" s="59" t="n">
        <v>50</v>
      </c>
      <c r="F8" s="59" t="n">
        <v>0</v>
      </c>
      <c r="G8" s="68" t="n">
        <f aca="false">IF(OR(B8="",C8=""),"",IF(E8="",0,E8)+IF(F8="",0,F8))</f>
        <v>50</v>
      </c>
      <c r="H8" s="60" t="n">
        <f aca="false">IF(G8="","",IF(C8&lt;=0,0,IF(G8&lt;=C8*IF(D8="",0,D8)/12,"⚠ Payment too low / Pago muy bajo",ROUNDUP(NPER(IF(D8="",0,D8)/12,-G8,C8),0))))</f>
        <v>13</v>
      </c>
      <c r="I8" s="73" t="n">
        <f aca="true">IF(OR(H8="",NOT(ISNUMBER(H8))),"",EDATE(TODAY(),H8))</f>
        <v>46692</v>
      </c>
      <c r="J8" s="68" t="n">
        <f aca="false">IF(OR(H8="",NOT(ISNUMBER(H8))),"",IF(H8=0,0,MAX(0,G8*NPER(IF(D8="",0,D8)/12,-G8,C8)-C8)))</f>
        <v>0</v>
      </c>
      <c r="K8" s="60" t="n">
        <f aca="false">IF(N8=0,"",COUNTIF($O$6:$O$25,"&lt;"&amp;O8)+1)</f>
        <v>1</v>
      </c>
      <c r="L8" s="60" t="n">
        <f aca="false">IF(N8=0,"",COUNTIF($P$6:$P$25,"&gt;"&amp;P8)+1)</f>
        <v>4</v>
      </c>
      <c r="N8" s="56" t="n">
        <f aca="false">IF(OR(B8="",C8="",C8&lt;=0),0,1)</f>
        <v>1</v>
      </c>
      <c r="O8" s="56" t="n">
        <f aca="false">IF(N8=1,C8+ROW()/1000000,"")</f>
        <v>650.000008</v>
      </c>
      <c r="P8" s="74" t="n">
        <f aca="false">IF(N8=1,IF(D8="",0,D8)-ROW()/1000000,"")</f>
        <v>-8E-006</v>
      </c>
    </row>
    <row r="9" customFormat="false" ht="15" hidden="false" customHeight="false" outlineLevel="0" collapsed="false">
      <c r="B9" s="58" t="s">
        <v>187</v>
      </c>
      <c r="C9" s="59" t="n">
        <v>12000</v>
      </c>
      <c r="D9" s="72" t="n">
        <v>0.055</v>
      </c>
      <c r="E9" s="59" t="n">
        <v>140</v>
      </c>
      <c r="F9" s="59" t="n">
        <v>0</v>
      </c>
      <c r="G9" s="68" t="n">
        <f aca="false">IF(OR(B9="",C9=""),"",IF(E9="",0,E9)+IF(F9="",0,F9))</f>
        <v>140</v>
      </c>
      <c r="H9" s="60" t="n">
        <f aca="false">IF(G9="","",IF(C9&lt;=0,0,IF(G9&lt;=C9*IF(D9="",0,D9)/12,"⚠ Payment too low / Pago muy bajo",ROUNDUP(NPER(IF(D9="",0,D9)/12,-G9,C9),0))))</f>
        <v>110</v>
      </c>
      <c r="I9" s="73" t="n">
        <f aca="true">IF(OR(H9="",NOT(ISNUMBER(H9))),"",EDATE(TODAY(),H9))</f>
        <v>49644</v>
      </c>
      <c r="J9" s="68" t="n">
        <f aca="false">IF(OR(H9="",NOT(ISNUMBER(H9))),"",IF(H9=0,0,MAX(0,G9*NPER(IF(D9="",0,D9)/12,-G9,C9)-C9)))</f>
        <v>3276.81474370242</v>
      </c>
      <c r="K9" s="60" t="n">
        <f aca="false">IF(N9=0,"",COUNTIF($O$6:$O$25,"&lt;"&amp;O9)+1)</f>
        <v>4</v>
      </c>
      <c r="L9" s="60" t="n">
        <f aca="false">IF(N9=0,"",COUNTIF($P$6:$P$25,"&gt;"&amp;P9)+1)</f>
        <v>3</v>
      </c>
      <c r="N9" s="56" t="n">
        <f aca="false">IF(OR(B9="",C9="",C9&lt;=0),0,1)</f>
        <v>1</v>
      </c>
      <c r="O9" s="56" t="n">
        <f aca="false">IF(N9=1,C9+ROW()/1000000,"")</f>
        <v>12000.000009</v>
      </c>
      <c r="P9" s="74" t="n">
        <f aca="false">IF(N9=1,IF(D9="",0,D9)-ROW()/1000000,"")</f>
        <v>0.054991</v>
      </c>
    </row>
    <row r="10" customFormat="false" ht="15" hidden="false" customHeight="false" outlineLevel="0" collapsed="false">
      <c r="B10" s="58"/>
      <c r="C10" s="59"/>
      <c r="D10" s="72"/>
      <c r="E10" s="59"/>
      <c r="F10" s="59"/>
      <c r="G10" s="68" t="str">
        <f aca="false">IF(OR(B10="",C10=""),"",IF(E10="",0,E10)+IF(F10="",0,F10))</f>
        <v/>
      </c>
      <c r="H10" s="60" t="str">
        <f aca="false">IF(G10="","",IF(C10&lt;=0,0,IF(G10&lt;=C10*IF(D10="",0,D10)/12,"⚠ Payment too low / Pago muy bajo",ROUNDUP(NPER(IF(D10="",0,D10)/12,-G10,C10),0))))</f>
        <v/>
      </c>
      <c r="I10" s="73" t="str">
        <f aca="true">IF(OR(H10="",NOT(ISNUMBER(H10))),"",EDATE(TODAY(),H10))</f>
        <v/>
      </c>
      <c r="J10" s="68" t="str">
        <f aca="false">IF(OR(H10="",NOT(ISNUMBER(H10))),"",IF(H10=0,0,MAX(0,G10*NPER(IF(D10="",0,D10)/12,-G10,C10)-C10)))</f>
        <v/>
      </c>
      <c r="K10" s="60" t="str">
        <f aca="false">IF(N10=0,"",COUNTIF($O$6:$O$25,"&lt;"&amp;O10)+1)</f>
        <v/>
      </c>
      <c r="L10" s="60" t="str">
        <f aca="false">IF(N10=0,"",COUNTIF($P$6:$P$25,"&gt;"&amp;P10)+1)</f>
        <v/>
      </c>
      <c r="N10" s="56" t="n">
        <f aca="false">IF(OR(B10="",C10="",C10&lt;=0),0,1)</f>
        <v>0</v>
      </c>
      <c r="O10" s="56" t="str">
        <f aca="false">IF(N10=1,C10+ROW()/1000000,"")</f>
        <v/>
      </c>
      <c r="P10" s="56" t="str">
        <f aca="false">IF(N10=1,IF(D10="",0,D10)-ROW()/1000000,"")</f>
        <v/>
      </c>
    </row>
    <row r="11" customFormat="false" ht="15" hidden="false" customHeight="false" outlineLevel="0" collapsed="false">
      <c r="B11" s="58"/>
      <c r="C11" s="59"/>
      <c r="D11" s="72"/>
      <c r="E11" s="59"/>
      <c r="F11" s="59"/>
      <c r="G11" s="68" t="str">
        <f aca="false">IF(OR(B11="",C11=""),"",IF(E11="",0,E11)+IF(F11="",0,F11))</f>
        <v/>
      </c>
      <c r="H11" s="60" t="str">
        <f aca="false">IF(G11="","",IF(C11&lt;=0,0,IF(G11&lt;=C11*IF(D11="",0,D11)/12,"⚠ Payment too low / Pago muy bajo",ROUNDUP(NPER(IF(D11="",0,D11)/12,-G11,C11),0))))</f>
        <v/>
      </c>
      <c r="I11" s="73" t="str">
        <f aca="true">IF(OR(H11="",NOT(ISNUMBER(H11))),"",EDATE(TODAY(),H11))</f>
        <v/>
      </c>
      <c r="J11" s="68" t="str">
        <f aca="false">IF(OR(H11="",NOT(ISNUMBER(H11))),"",IF(H11=0,0,MAX(0,G11*NPER(IF(D11="",0,D11)/12,-G11,C11)-C11)))</f>
        <v/>
      </c>
      <c r="K11" s="60" t="str">
        <f aca="false">IF(N11=0,"",COUNTIF($O$6:$O$25,"&lt;"&amp;O11)+1)</f>
        <v/>
      </c>
      <c r="L11" s="60" t="str">
        <f aca="false">IF(N11=0,"",COUNTIF($P$6:$P$25,"&gt;"&amp;P11)+1)</f>
        <v/>
      </c>
      <c r="N11" s="56" t="n">
        <f aca="false">IF(OR(B11="",C11="",C11&lt;=0),0,1)</f>
        <v>0</v>
      </c>
      <c r="O11" s="56" t="str">
        <f aca="false">IF(N11=1,C11+ROW()/1000000,"")</f>
        <v/>
      </c>
      <c r="P11" s="56" t="str">
        <f aca="false">IF(N11=1,IF(D11="",0,D11)-ROW()/1000000,"")</f>
        <v/>
      </c>
    </row>
    <row r="12" customFormat="false" ht="15" hidden="false" customHeight="false" outlineLevel="0" collapsed="false">
      <c r="B12" s="58"/>
      <c r="C12" s="59"/>
      <c r="D12" s="72"/>
      <c r="E12" s="59"/>
      <c r="F12" s="59"/>
      <c r="G12" s="68" t="str">
        <f aca="false">IF(OR(B12="",C12=""),"",IF(E12="",0,E12)+IF(F12="",0,F12))</f>
        <v/>
      </c>
      <c r="H12" s="60" t="str">
        <f aca="false">IF(G12="","",IF(C12&lt;=0,0,IF(G12&lt;=C12*IF(D12="",0,D12)/12,"⚠ Payment too low / Pago muy bajo",ROUNDUP(NPER(IF(D12="",0,D12)/12,-G12,C12),0))))</f>
        <v/>
      </c>
      <c r="I12" s="73" t="str">
        <f aca="true">IF(OR(H12="",NOT(ISNUMBER(H12))),"",EDATE(TODAY(),H12))</f>
        <v/>
      </c>
      <c r="J12" s="68" t="str">
        <f aca="false">IF(OR(H12="",NOT(ISNUMBER(H12))),"",IF(H12=0,0,MAX(0,G12*NPER(IF(D12="",0,D12)/12,-G12,C12)-C12)))</f>
        <v/>
      </c>
      <c r="K12" s="60" t="str">
        <f aca="false">IF(N12=0,"",COUNTIF($O$6:$O$25,"&lt;"&amp;O12)+1)</f>
        <v/>
      </c>
      <c r="L12" s="60" t="str">
        <f aca="false">IF(N12=0,"",COUNTIF($P$6:$P$25,"&gt;"&amp;P12)+1)</f>
        <v/>
      </c>
      <c r="N12" s="56" t="n">
        <f aca="false">IF(OR(B12="",C12="",C12&lt;=0),0,1)</f>
        <v>0</v>
      </c>
      <c r="O12" s="56" t="str">
        <f aca="false">IF(N12=1,C12+ROW()/1000000,"")</f>
        <v/>
      </c>
      <c r="P12" s="56" t="str">
        <f aca="false">IF(N12=1,IF(D12="",0,D12)-ROW()/1000000,"")</f>
        <v/>
      </c>
    </row>
    <row r="13" customFormat="false" ht="15" hidden="false" customHeight="false" outlineLevel="0" collapsed="false">
      <c r="B13" s="58"/>
      <c r="C13" s="59"/>
      <c r="D13" s="72"/>
      <c r="E13" s="59"/>
      <c r="F13" s="59"/>
      <c r="G13" s="68" t="str">
        <f aca="false">IF(OR(B13="",C13=""),"",IF(E13="",0,E13)+IF(F13="",0,F13))</f>
        <v/>
      </c>
      <c r="H13" s="60" t="str">
        <f aca="false">IF(G13="","",IF(C13&lt;=0,0,IF(G13&lt;=C13*IF(D13="",0,D13)/12,"⚠ Payment too low / Pago muy bajo",ROUNDUP(NPER(IF(D13="",0,D13)/12,-G13,C13),0))))</f>
        <v/>
      </c>
      <c r="I13" s="73" t="str">
        <f aca="true">IF(OR(H13="",NOT(ISNUMBER(H13))),"",EDATE(TODAY(),H13))</f>
        <v/>
      </c>
      <c r="J13" s="68" t="str">
        <f aca="false">IF(OR(H13="",NOT(ISNUMBER(H13))),"",IF(H13=0,0,MAX(0,G13*NPER(IF(D13="",0,D13)/12,-G13,C13)-C13)))</f>
        <v/>
      </c>
      <c r="K13" s="60" t="str">
        <f aca="false">IF(N13=0,"",COUNTIF($O$6:$O$25,"&lt;"&amp;O13)+1)</f>
        <v/>
      </c>
      <c r="L13" s="60" t="str">
        <f aca="false">IF(N13=0,"",COUNTIF($P$6:$P$25,"&gt;"&amp;P13)+1)</f>
        <v/>
      </c>
      <c r="N13" s="56" t="n">
        <f aca="false">IF(OR(B13="",C13="",C13&lt;=0),0,1)</f>
        <v>0</v>
      </c>
      <c r="O13" s="56" t="str">
        <f aca="false">IF(N13=1,C13+ROW()/1000000,"")</f>
        <v/>
      </c>
      <c r="P13" s="56" t="str">
        <f aca="false">IF(N13=1,IF(D13="",0,D13)-ROW()/1000000,"")</f>
        <v/>
      </c>
    </row>
    <row r="14" customFormat="false" ht="15" hidden="false" customHeight="false" outlineLevel="0" collapsed="false">
      <c r="B14" s="58"/>
      <c r="C14" s="59"/>
      <c r="D14" s="72"/>
      <c r="E14" s="59"/>
      <c r="F14" s="59"/>
      <c r="G14" s="68" t="str">
        <f aca="false">IF(OR(B14="",C14=""),"",IF(E14="",0,E14)+IF(F14="",0,F14))</f>
        <v/>
      </c>
      <c r="H14" s="60" t="str">
        <f aca="false">IF(G14="","",IF(C14&lt;=0,0,IF(G14&lt;=C14*IF(D14="",0,D14)/12,"⚠ Payment too low / Pago muy bajo",ROUNDUP(NPER(IF(D14="",0,D14)/12,-G14,C14),0))))</f>
        <v/>
      </c>
      <c r="I14" s="73" t="str">
        <f aca="true">IF(OR(H14="",NOT(ISNUMBER(H14))),"",EDATE(TODAY(),H14))</f>
        <v/>
      </c>
      <c r="J14" s="68" t="str">
        <f aca="false">IF(OR(H14="",NOT(ISNUMBER(H14))),"",IF(H14=0,0,MAX(0,G14*NPER(IF(D14="",0,D14)/12,-G14,C14)-C14)))</f>
        <v/>
      </c>
      <c r="K14" s="60" t="str">
        <f aca="false">IF(N14=0,"",COUNTIF($O$6:$O$25,"&lt;"&amp;O14)+1)</f>
        <v/>
      </c>
      <c r="L14" s="60" t="str">
        <f aca="false">IF(N14=0,"",COUNTIF($P$6:$P$25,"&gt;"&amp;P14)+1)</f>
        <v/>
      </c>
      <c r="N14" s="56" t="n">
        <f aca="false">IF(OR(B14="",C14="",C14&lt;=0),0,1)</f>
        <v>0</v>
      </c>
      <c r="O14" s="56" t="str">
        <f aca="false">IF(N14=1,C14+ROW()/1000000,"")</f>
        <v/>
      </c>
      <c r="P14" s="56" t="str">
        <f aca="false">IF(N14=1,IF(D14="",0,D14)-ROW()/1000000,"")</f>
        <v/>
      </c>
    </row>
    <row r="15" customFormat="false" ht="15" hidden="false" customHeight="false" outlineLevel="0" collapsed="false">
      <c r="B15" s="58"/>
      <c r="C15" s="59"/>
      <c r="D15" s="72"/>
      <c r="E15" s="59"/>
      <c r="F15" s="59"/>
      <c r="G15" s="68" t="str">
        <f aca="false">IF(OR(B15="",C15=""),"",IF(E15="",0,E15)+IF(F15="",0,F15))</f>
        <v/>
      </c>
      <c r="H15" s="60" t="str">
        <f aca="false">IF(G15="","",IF(C15&lt;=0,0,IF(G15&lt;=C15*IF(D15="",0,D15)/12,"⚠ Payment too low / Pago muy bajo",ROUNDUP(NPER(IF(D15="",0,D15)/12,-G15,C15),0))))</f>
        <v/>
      </c>
      <c r="I15" s="73" t="str">
        <f aca="true">IF(OR(H15="",NOT(ISNUMBER(H15))),"",EDATE(TODAY(),H15))</f>
        <v/>
      </c>
      <c r="J15" s="68" t="str">
        <f aca="false">IF(OR(H15="",NOT(ISNUMBER(H15))),"",IF(H15=0,0,MAX(0,G15*NPER(IF(D15="",0,D15)/12,-G15,C15)-C15)))</f>
        <v/>
      </c>
      <c r="K15" s="60" t="str">
        <f aca="false">IF(N15=0,"",COUNTIF($O$6:$O$25,"&lt;"&amp;O15)+1)</f>
        <v/>
      </c>
      <c r="L15" s="60" t="str">
        <f aca="false">IF(N15=0,"",COUNTIF($P$6:$P$25,"&gt;"&amp;P15)+1)</f>
        <v/>
      </c>
      <c r="N15" s="56" t="n">
        <f aca="false">IF(OR(B15="",C15="",C15&lt;=0),0,1)</f>
        <v>0</v>
      </c>
      <c r="O15" s="56" t="str">
        <f aca="false">IF(N15=1,C15+ROW()/1000000,"")</f>
        <v/>
      </c>
      <c r="P15" s="56" t="str">
        <f aca="false">IF(N15=1,IF(D15="",0,D15)-ROW()/1000000,"")</f>
        <v/>
      </c>
    </row>
    <row r="16" customFormat="false" ht="15" hidden="false" customHeight="false" outlineLevel="0" collapsed="false">
      <c r="B16" s="58"/>
      <c r="C16" s="59"/>
      <c r="D16" s="72"/>
      <c r="E16" s="59"/>
      <c r="F16" s="59"/>
      <c r="G16" s="68" t="str">
        <f aca="false">IF(OR(B16="",C16=""),"",IF(E16="",0,E16)+IF(F16="",0,F16))</f>
        <v/>
      </c>
      <c r="H16" s="60" t="str">
        <f aca="false">IF(G16="","",IF(C16&lt;=0,0,IF(G16&lt;=C16*IF(D16="",0,D16)/12,"⚠ Payment too low / Pago muy bajo",ROUNDUP(NPER(IF(D16="",0,D16)/12,-G16,C16),0))))</f>
        <v/>
      </c>
      <c r="I16" s="73" t="str">
        <f aca="true">IF(OR(H16="",NOT(ISNUMBER(H16))),"",EDATE(TODAY(),H16))</f>
        <v/>
      </c>
      <c r="J16" s="68" t="str">
        <f aca="false">IF(OR(H16="",NOT(ISNUMBER(H16))),"",IF(H16=0,0,MAX(0,G16*NPER(IF(D16="",0,D16)/12,-G16,C16)-C16)))</f>
        <v/>
      </c>
      <c r="K16" s="60" t="str">
        <f aca="false">IF(N16=0,"",COUNTIF($O$6:$O$25,"&lt;"&amp;O16)+1)</f>
        <v/>
      </c>
      <c r="L16" s="60" t="str">
        <f aca="false">IF(N16=0,"",COUNTIF($P$6:$P$25,"&gt;"&amp;P16)+1)</f>
        <v/>
      </c>
      <c r="N16" s="56" t="n">
        <f aca="false">IF(OR(B16="",C16="",C16&lt;=0),0,1)</f>
        <v>0</v>
      </c>
      <c r="O16" s="56" t="str">
        <f aca="false">IF(N16=1,C16+ROW()/1000000,"")</f>
        <v/>
      </c>
      <c r="P16" s="56" t="str">
        <f aca="false">IF(N16=1,IF(D16="",0,D16)-ROW()/1000000,"")</f>
        <v/>
      </c>
    </row>
    <row r="17" customFormat="false" ht="15" hidden="false" customHeight="false" outlineLevel="0" collapsed="false">
      <c r="B17" s="58"/>
      <c r="C17" s="59"/>
      <c r="D17" s="72"/>
      <c r="E17" s="59"/>
      <c r="F17" s="59"/>
      <c r="G17" s="68" t="str">
        <f aca="false">IF(OR(B17="",C17=""),"",IF(E17="",0,E17)+IF(F17="",0,F17))</f>
        <v/>
      </c>
      <c r="H17" s="60" t="str">
        <f aca="false">IF(G17="","",IF(C17&lt;=0,0,IF(G17&lt;=C17*IF(D17="",0,D17)/12,"⚠ Payment too low / Pago muy bajo",ROUNDUP(NPER(IF(D17="",0,D17)/12,-G17,C17),0))))</f>
        <v/>
      </c>
      <c r="I17" s="73" t="str">
        <f aca="true">IF(OR(H17="",NOT(ISNUMBER(H17))),"",EDATE(TODAY(),H17))</f>
        <v/>
      </c>
      <c r="J17" s="68" t="str">
        <f aca="false">IF(OR(H17="",NOT(ISNUMBER(H17))),"",IF(H17=0,0,MAX(0,G17*NPER(IF(D17="",0,D17)/12,-G17,C17)-C17)))</f>
        <v/>
      </c>
      <c r="K17" s="60" t="str">
        <f aca="false">IF(N17=0,"",COUNTIF($O$6:$O$25,"&lt;"&amp;O17)+1)</f>
        <v/>
      </c>
      <c r="L17" s="60" t="str">
        <f aca="false">IF(N17=0,"",COUNTIF($P$6:$P$25,"&gt;"&amp;P17)+1)</f>
        <v/>
      </c>
      <c r="N17" s="56" t="n">
        <f aca="false">IF(OR(B17="",C17="",C17&lt;=0),0,1)</f>
        <v>0</v>
      </c>
      <c r="O17" s="56" t="str">
        <f aca="false">IF(N17=1,C17+ROW()/1000000,"")</f>
        <v/>
      </c>
      <c r="P17" s="56" t="str">
        <f aca="false">IF(N17=1,IF(D17="",0,D17)-ROW()/1000000,"")</f>
        <v/>
      </c>
    </row>
    <row r="18" customFormat="false" ht="15" hidden="false" customHeight="false" outlineLevel="0" collapsed="false">
      <c r="B18" s="58"/>
      <c r="C18" s="59"/>
      <c r="D18" s="72"/>
      <c r="E18" s="59"/>
      <c r="F18" s="59"/>
      <c r="G18" s="68" t="str">
        <f aca="false">IF(OR(B18="",C18=""),"",IF(E18="",0,E18)+IF(F18="",0,F18))</f>
        <v/>
      </c>
      <c r="H18" s="60" t="str">
        <f aca="false">IF(G18="","",IF(C18&lt;=0,0,IF(G18&lt;=C18*IF(D18="",0,D18)/12,"⚠ Payment too low / Pago muy bajo",ROUNDUP(NPER(IF(D18="",0,D18)/12,-G18,C18),0))))</f>
        <v/>
      </c>
      <c r="I18" s="73" t="str">
        <f aca="true">IF(OR(H18="",NOT(ISNUMBER(H18))),"",EDATE(TODAY(),H18))</f>
        <v/>
      </c>
      <c r="J18" s="68" t="str">
        <f aca="false">IF(OR(H18="",NOT(ISNUMBER(H18))),"",IF(H18=0,0,MAX(0,G18*NPER(IF(D18="",0,D18)/12,-G18,C18)-C18)))</f>
        <v/>
      </c>
      <c r="K18" s="60" t="str">
        <f aca="false">IF(N18=0,"",COUNTIF($O$6:$O$25,"&lt;"&amp;O18)+1)</f>
        <v/>
      </c>
      <c r="L18" s="60" t="str">
        <f aca="false">IF(N18=0,"",COUNTIF($P$6:$P$25,"&gt;"&amp;P18)+1)</f>
        <v/>
      </c>
      <c r="N18" s="56" t="n">
        <f aca="false">IF(OR(B18="",C18="",C18&lt;=0),0,1)</f>
        <v>0</v>
      </c>
      <c r="O18" s="56" t="str">
        <f aca="false">IF(N18=1,C18+ROW()/1000000,"")</f>
        <v/>
      </c>
      <c r="P18" s="56" t="str">
        <f aca="false">IF(N18=1,IF(D18="",0,D18)-ROW()/1000000,"")</f>
        <v/>
      </c>
    </row>
    <row r="19" customFormat="false" ht="15" hidden="false" customHeight="false" outlineLevel="0" collapsed="false">
      <c r="B19" s="58"/>
      <c r="C19" s="59"/>
      <c r="D19" s="72"/>
      <c r="E19" s="59"/>
      <c r="F19" s="59"/>
      <c r="G19" s="68" t="str">
        <f aca="false">IF(OR(B19="",C19=""),"",IF(E19="",0,E19)+IF(F19="",0,F19))</f>
        <v/>
      </c>
      <c r="H19" s="60" t="str">
        <f aca="false">IF(G19="","",IF(C19&lt;=0,0,IF(G19&lt;=C19*IF(D19="",0,D19)/12,"⚠ Payment too low / Pago muy bajo",ROUNDUP(NPER(IF(D19="",0,D19)/12,-G19,C19),0))))</f>
        <v/>
      </c>
      <c r="I19" s="73" t="str">
        <f aca="true">IF(OR(H19="",NOT(ISNUMBER(H19))),"",EDATE(TODAY(),H19))</f>
        <v/>
      </c>
      <c r="J19" s="68" t="str">
        <f aca="false">IF(OR(H19="",NOT(ISNUMBER(H19))),"",IF(H19=0,0,MAX(0,G19*NPER(IF(D19="",0,D19)/12,-G19,C19)-C19)))</f>
        <v/>
      </c>
      <c r="K19" s="60" t="str">
        <f aca="false">IF(N19=0,"",COUNTIF($O$6:$O$25,"&lt;"&amp;O19)+1)</f>
        <v/>
      </c>
      <c r="L19" s="60" t="str">
        <f aca="false">IF(N19=0,"",COUNTIF($P$6:$P$25,"&gt;"&amp;P19)+1)</f>
        <v/>
      </c>
      <c r="N19" s="56" t="n">
        <f aca="false">IF(OR(B19="",C19="",C19&lt;=0),0,1)</f>
        <v>0</v>
      </c>
      <c r="O19" s="56" t="str">
        <f aca="false">IF(N19=1,C19+ROW()/1000000,"")</f>
        <v/>
      </c>
      <c r="P19" s="56" t="str">
        <f aca="false">IF(N19=1,IF(D19="",0,D19)-ROW()/1000000,"")</f>
        <v/>
      </c>
    </row>
    <row r="20" customFormat="false" ht="15" hidden="false" customHeight="false" outlineLevel="0" collapsed="false">
      <c r="B20" s="58"/>
      <c r="C20" s="59"/>
      <c r="D20" s="72"/>
      <c r="E20" s="59"/>
      <c r="F20" s="59"/>
      <c r="G20" s="68" t="str">
        <f aca="false">IF(OR(B20="",C20=""),"",IF(E20="",0,E20)+IF(F20="",0,F20))</f>
        <v/>
      </c>
      <c r="H20" s="60" t="str">
        <f aca="false">IF(G20="","",IF(C20&lt;=0,0,IF(G20&lt;=C20*IF(D20="",0,D20)/12,"⚠ Payment too low / Pago muy bajo",ROUNDUP(NPER(IF(D20="",0,D20)/12,-G20,C20),0))))</f>
        <v/>
      </c>
      <c r="I20" s="73" t="str">
        <f aca="true">IF(OR(H20="",NOT(ISNUMBER(H20))),"",EDATE(TODAY(),H20))</f>
        <v/>
      </c>
      <c r="J20" s="68" t="str">
        <f aca="false">IF(OR(H20="",NOT(ISNUMBER(H20))),"",IF(H20=0,0,MAX(0,G20*NPER(IF(D20="",0,D20)/12,-G20,C20)-C20)))</f>
        <v/>
      </c>
      <c r="K20" s="60" t="str">
        <f aca="false">IF(N20=0,"",COUNTIF($O$6:$O$25,"&lt;"&amp;O20)+1)</f>
        <v/>
      </c>
      <c r="L20" s="60" t="str">
        <f aca="false">IF(N20=0,"",COUNTIF($P$6:$P$25,"&gt;"&amp;P20)+1)</f>
        <v/>
      </c>
      <c r="N20" s="56" t="n">
        <f aca="false">IF(OR(B20="",C20="",C20&lt;=0),0,1)</f>
        <v>0</v>
      </c>
      <c r="O20" s="56" t="str">
        <f aca="false">IF(N20=1,C20+ROW()/1000000,"")</f>
        <v/>
      </c>
      <c r="P20" s="56" t="str">
        <f aca="false">IF(N20=1,IF(D20="",0,D20)-ROW()/1000000,"")</f>
        <v/>
      </c>
    </row>
    <row r="21" customFormat="false" ht="15" hidden="false" customHeight="false" outlineLevel="0" collapsed="false">
      <c r="B21" s="58"/>
      <c r="C21" s="59"/>
      <c r="D21" s="72"/>
      <c r="E21" s="59"/>
      <c r="F21" s="59"/>
      <c r="G21" s="68" t="str">
        <f aca="false">IF(OR(B21="",C21=""),"",IF(E21="",0,E21)+IF(F21="",0,F21))</f>
        <v/>
      </c>
      <c r="H21" s="60" t="str">
        <f aca="false">IF(G21="","",IF(C21&lt;=0,0,IF(G21&lt;=C21*IF(D21="",0,D21)/12,"⚠ Payment too low / Pago muy bajo",ROUNDUP(NPER(IF(D21="",0,D21)/12,-G21,C21),0))))</f>
        <v/>
      </c>
      <c r="I21" s="73" t="str">
        <f aca="true">IF(OR(H21="",NOT(ISNUMBER(H21))),"",EDATE(TODAY(),H21))</f>
        <v/>
      </c>
      <c r="J21" s="68" t="str">
        <f aca="false">IF(OR(H21="",NOT(ISNUMBER(H21))),"",IF(H21=0,0,MAX(0,G21*NPER(IF(D21="",0,D21)/12,-G21,C21)-C21)))</f>
        <v/>
      </c>
      <c r="K21" s="60" t="str">
        <f aca="false">IF(N21=0,"",COUNTIF($O$6:$O$25,"&lt;"&amp;O21)+1)</f>
        <v/>
      </c>
      <c r="L21" s="60" t="str">
        <f aca="false">IF(N21=0,"",COUNTIF($P$6:$P$25,"&gt;"&amp;P21)+1)</f>
        <v/>
      </c>
      <c r="N21" s="56" t="n">
        <f aca="false">IF(OR(B21="",C21="",C21&lt;=0),0,1)</f>
        <v>0</v>
      </c>
      <c r="O21" s="56" t="str">
        <f aca="false">IF(N21=1,C21+ROW()/1000000,"")</f>
        <v/>
      </c>
      <c r="P21" s="56" t="str">
        <f aca="false">IF(N21=1,IF(D21="",0,D21)-ROW()/1000000,"")</f>
        <v/>
      </c>
    </row>
    <row r="22" customFormat="false" ht="15" hidden="false" customHeight="false" outlineLevel="0" collapsed="false">
      <c r="B22" s="58"/>
      <c r="C22" s="59"/>
      <c r="D22" s="72"/>
      <c r="E22" s="59"/>
      <c r="F22" s="59"/>
      <c r="G22" s="68" t="str">
        <f aca="false">IF(OR(B22="",C22=""),"",IF(E22="",0,E22)+IF(F22="",0,F22))</f>
        <v/>
      </c>
      <c r="H22" s="60" t="str">
        <f aca="false">IF(G22="","",IF(C22&lt;=0,0,IF(G22&lt;=C22*IF(D22="",0,D22)/12,"⚠ Payment too low / Pago muy bajo",ROUNDUP(NPER(IF(D22="",0,D22)/12,-G22,C22),0))))</f>
        <v/>
      </c>
      <c r="I22" s="73" t="str">
        <f aca="true">IF(OR(H22="",NOT(ISNUMBER(H22))),"",EDATE(TODAY(),H22))</f>
        <v/>
      </c>
      <c r="J22" s="68" t="str">
        <f aca="false">IF(OR(H22="",NOT(ISNUMBER(H22))),"",IF(H22=0,0,MAX(0,G22*NPER(IF(D22="",0,D22)/12,-G22,C22)-C22)))</f>
        <v/>
      </c>
      <c r="K22" s="60" t="str">
        <f aca="false">IF(N22=0,"",COUNTIF($O$6:$O$25,"&lt;"&amp;O22)+1)</f>
        <v/>
      </c>
      <c r="L22" s="60" t="str">
        <f aca="false">IF(N22=0,"",COUNTIF($P$6:$P$25,"&gt;"&amp;P22)+1)</f>
        <v/>
      </c>
      <c r="N22" s="56" t="n">
        <f aca="false">IF(OR(B22="",C22="",C22&lt;=0),0,1)</f>
        <v>0</v>
      </c>
      <c r="O22" s="56" t="str">
        <f aca="false">IF(N22=1,C22+ROW()/1000000,"")</f>
        <v/>
      </c>
      <c r="P22" s="56" t="str">
        <f aca="false">IF(N22=1,IF(D22="",0,D22)-ROW()/1000000,"")</f>
        <v/>
      </c>
    </row>
    <row r="23" customFormat="false" ht="15" hidden="false" customHeight="false" outlineLevel="0" collapsed="false">
      <c r="B23" s="58"/>
      <c r="C23" s="59"/>
      <c r="D23" s="72"/>
      <c r="E23" s="59"/>
      <c r="F23" s="59"/>
      <c r="G23" s="68" t="str">
        <f aca="false">IF(OR(B23="",C23=""),"",IF(E23="",0,E23)+IF(F23="",0,F23))</f>
        <v/>
      </c>
      <c r="H23" s="60" t="str">
        <f aca="false">IF(G23="","",IF(C23&lt;=0,0,IF(G23&lt;=C23*IF(D23="",0,D23)/12,"⚠ Payment too low / Pago muy bajo",ROUNDUP(NPER(IF(D23="",0,D23)/12,-G23,C23),0))))</f>
        <v/>
      </c>
      <c r="I23" s="73" t="str">
        <f aca="true">IF(OR(H23="",NOT(ISNUMBER(H23))),"",EDATE(TODAY(),H23))</f>
        <v/>
      </c>
      <c r="J23" s="68" t="str">
        <f aca="false">IF(OR(H23="",NOT(ISNUMBER(H23))),"",IF(H23=0,0,MAX(0,G23*NPER(IF(D23="",0,D23)/12,-G23,C23)-C23)))</f>
        <v/>
      </c>
      <c r="K23" s="60" t="str">
        <f aca="false">IF(N23=0,"",COUNTIF($O$6:$O$25,"&lt;"&amp;O23)+1)</f>
        <v/>
      </c>
      <c r="L23" s="60" t="str">
        <f aca="false">IF(N23=0,"",COUNTIF($P$6:$P$25,"&gt;"&amp;P23)+1)</f>
        <v/>
      </c>
      <c r="N23" s="56" t="n">
        <f aca="false">IF(OR(B23="",C23="",C23&lt;=0),0,1)</f>
        <v>0</v>
      </c>
      <c r="O23" s="56" t="str">
        <f aca="false">IF(N23=1,C23+ROW()/1000000,"")</f>
        <v/>
      </c>
      <c r="P23" s="56" t="str">
        <f aca="false">IF(N23=1,IF(D23="",0,D23)-ROW()/1000000,"")</f>
        <v/>
      </c>
    </row>
    <row r="24" customFormat="false" ht="15" hidden="false" customHeight="false" outlineLevel="0" collapsed="false">
      <c r="B24" s="58"/>
      <c r="C24" s="59"/>
      <c r="D24" s="72"/>
      <c r="E24" s="59"/>
      <c r="F24" s="59"/>
      <c r="G24" s="68" t="str">
        <f aca="false">IF(OR(B24="",C24=""),"",IF(E24="",0,E24)+IF(F24="",0,F24))</f>
        <v/>
      </c>
      <c r="H24" s="60" t="str">
        <f aca="false">IF(G24="","",IF(C24&lt;=0,0,IF(G24&lt;=C24*IF(D24="",0,D24)/12,"⚠ Payment too low / Pago muy bajo",ROUNDUP(NPER(IF(D24="",0,D24)/12,-G24,C24),0))))</f>
        <v/>
      </c>
      <c r="I24" s="73" t="str">
        <f aca="true">IF(OR(H24="",NOT(ISNUMBER(H24))),"",EDATE(TODAY(),H24))</f>
        <v/>
      </c>
      <c r="J24" s="68" t="str">
        <f aca="false">IF(OR(H24="",NOT(ISNUMBER(H24))),"",IF(H24=0,0,MAX(0,G24*NPER(IF(D24="",0,D24)/12,-G24,C24)-C24)))</f>
        <v/>
      </c>
      <c r="K24" s="60" t="str">
        <f aca="false">IF(N24=0,"",COUNTIF($O$6:$O$25,"&lt;"&amp;O24)+1)</f>
        <v/>
      </c>
      <c r="L24" s="60" t="str">
        <f aca="false">IF(N24=0,"",COUNTIF($P$6:$P$25,"&gt;"&amp;P24)+1)</f>
        <v/>
      </c>
      <c r="N24" s="56" t="n">
        <f aca="false">IF(OR(B24="",C24="",C24&lt;=0),0,1)</f>
        <v>0</v>
      </c>
      <c r="O24" s="56" t="str">
        <f aca="false">IF(N24=1,C24+ROW()/1000000,"")</f>
        <v/>
      </c>
      <c r="P24" s="56" t="str">
        <f aca="false">IF(N24=1,IF(D24="",0,D24)-ROW()/1000000,"")</f>
        <v/>
      </c>
    </row>
    <row r="25" customFormat="false" ht="15" hidden="false" customHeight="false" outlineLevel="0" collapsed="false">
      <c r="B25" s="58"/>
      <c r="C25" s="59"/>
      <c r="D25" s="72"/>
      <c r="E25" s="59"/>
      <c r="F25" s="59"/>
      <c r="G25" s="68" t="str">
        <f aca="false">IF(OR(B25="",C25=""),"",IF(E25="",0,E25)+IF(F25="",0,F25))</f>
        <v/>
      </c>
      <c r="H25" s="60" t="str">
        <f aca="false">IF(G25="","",IF(C25&lt;=0,0,IF(G25&lt;=C25*IF(D25="",0,D25)/12,"⚠ Payment too low / Pago muy bajo",ROUNDUP(NPER(IF(D25="",0,D25)/12,-G25,C25),0))))</f>
        <v/>
      </c>
      <c r="I25" s="73" t="str">
        <f aca="true">IF(OR(H25="",NOT(ISNUMBER(H25))),"",EDATE(TODAY(),H25))</f>
        <v/>
      </c>
      <c r="J25" s="68" t="str">
        <f aca="false">IF(OR(H25="",NOT(ISNUMBER(H25))),"",IF(H25=0,0,MAX(0,G25*NPER(IF(D25="",0,D25)/12,-G25,C25)-C25)))</f>
        <v/>
      </c>
      <c r="K25" s="60" t="str">
        <f aca="false">IF(N25=0,"",COUNTIF($O$6:$O$25,"&lt;"&amp;O25)+1)</f>
        <v/>
      </c>
      <c r="L25" s="60" t="str">
        <f aca="false">IF(N25=0,"",COUNTIF($P$6:$P$25,"&gt;"&amp;P25)+1)</f>
        <v/>
      </c>
      <c r="N25" s="56" t="n">
        <f aca="false">IF(OR(B25="",C25="",C25&lt;=0),0,1)</f>
        <v>0</v>
      </c>
      <c r="O25" s="56" t="str">
        <f aca="false">IF(N25=1,C25+ROW()/1000000,"")</f>
        <v/>
      </c>
      <c r="P25" s="56" t="str">
        <f aca="false">IF(N25=1,IF(D25="",0,D25)-ROW()/1000000,"")</f>
        <v/>
      </c>
    </row>
    <row r="27" customFormat="false" ht="15" hidden="false" customHeight="false" outlineLevel="0" collapsed="false">
      <c r="B27" s="65" t="s">
        <v>188</v>
      </c>
      <c r="C27" s="65"/>
      <c r="D27" s="65"/>
      <c r="E27" s="65"/>
      <c r="F27" s="65"/>
      <c r="G27" s="50" t="n">
        <f aca="false">SUM(C6:C25)</f>
        <v>24850</v>
      </c>
    </row>
    <row r="28" customFormat="false" ht="15" hidden="false" customHeight="false" outlineLevel="0" collapsed="false">
      <c r="B28" s="65" t="s">
        <v>189</v>
      </c>
      <c r="C28" s="65"/>
      <c r="D28" s="65"/>
      <c r="E28" s="65"/>
      <c r="F28" s="65"/>
      <c r="G28" s="50" t="n">
        <f aca="false">SUM(G6:G25)</f>
        <v>625</v>
      </c>
    </row>
    <row r="29" customFormat="false" ht="15" hidden="false" customHeight="false" outlineLevel="0" collapsed="false">
      <c r="B29" s="65" t="s">
        <v>190</v>
      </c>
      <c r="C29" s="65"/>
      <c r="D29" s="65"/>
      <c r="E29" s="65"/>
      <c r="F29" s="65"/>
      <c r="G29" s="50" t="n">
        <f aca="false">SUM(J6:J25)</f>
        <v>5125.42513377206</v>
      </c>
    </row>
  </sheetData>
  <mergeCells count="6">
    <mergeCell ref="B1:L1"/>
    <mergeCell ref="B2:L2"/>
    <mergeCell ref="B3:L3"/>
    <mergeCell ref="B27:F27"/>
    <mergeCell ref="B28:F28"/>
    <mergeCell ref="B29:F29"/>
  </mergeCells>
  <conditionalFormatting sqref="H6:H25">
    <cfRule type="containsText" priority="2" operator="containsText" aboveAverage="0" equalAverage="0" bottom="0" percent="0" rank="0" text="⚠" dxfId="0">
      <formula>NOT(ISERROR(SEARCH("⚠",H6)))</formula>
    </cfRule>
  </conditionalFormatting>
  <conditionalFormatting sqref="K6:L25">
    <cfRule type="containsText" priority="3" operator="containsText" aboveAverage="0" equalAverage="0" bottom="0" percent="0" rank="0" text="1" dxfId="14">
      <formula>NOT(ISERROR(SEARCH("1",K6)))</formula>
    </cfRule>
  </conditionalFormatting>
  <dataValidations count="2">
    <dataValidation allowBlank="true" error="Enter a number ≥ 0.&#10;Escribe un número ≥ 0." errorStyle="stop" errorTitle="Number / Número" operator="greaterThanOrEqual" showDropDown="false" showErrorMessage="false" showInputMessage="false" sqref="C6:C25 E6:F25" type="decimal">
      <formula1>0</formula1>
      <formula2>0</formula2>
    </dataValidation>
    <dataValidation allowBlank="true" error="Enter the yearly rate, e.g. 24.99%.&#10;Escribe la tasa anual, ej. 24.99%." errorStyle="stop" errorTitle="APR" operator="between" showDropDown="false" showErrorMessage="false" showInputMessage="false" sqref="D6:D2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4" min="3" style="0" width="58"/>
    <col collapsed="false" customWidth="true" hidden="false" outlineLevel="0" max="5" min="5" style="0" width="2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</row>
    <row r="2" customFormat="false" ht="30" hidden="false" customHeight="true" outlineLevel="0" collapsed="false">
      <c r="A2" s="1"/>
      <c r="B2" s="15" t="s">
        <v>191</v>
      </c>
      <c r="C2" s="15"/>
      <c r="D2" s="15"/>
      <c r="E2" s="15"/>
    </row>
    <row r="3" customFormat="false" ht="19.5" hidden="false" customHeight="true" outlineLevel="0" collapsed="false">
      <c r="A3" s="1"/>
      <c r="B3" s="16" t="s">
        <v>192</v>
      </c>
      <c r="C3" s="16"/>
      <c r="D3" s="16"/>
      <c r="E3" s="16"/>
    </row>
    <row r="4" customFormat="false" ht="3.75" hidden="false" customHeight="true" outlineLevel="0" collapsed="false">
      <c r="A4" s="7"/>
      <c r="B4" s="7"/>
      <c r="C4" s="7"/>
      <c r="D4" s="7"/>
      <c r="E4" s="7"/>
    </row>
    <row r="6" customFormat="false" ht="21.75" hidden="false" customHeight="true" outlineLevel="0" collapsed="false">
      <c r="B6" s="37" t="s">
        <v>193</v>
      </c>
      <c r="C6" s="37" t="s">
        <v>194</v>
      </c>
      <c r="D6" s="37" t="s">
        <v>195</v>
      </c>
    </row>
    <row r="7" customFormat="false" ht="49.5" hidden="false" customHeight="true" outlineLevel="0" collapsed="false">
      <c r="B7" s="75" t="n">
        <v>1</v>
      </c>
      <c r="C7" s="76" t="s">
        <v>196</v>
      </c>
      <c r="D7" s="76" t="s">
        <v>197</v>
      </c>
    </row>
    <row r="8" customFormat="false" ht="63.75" hidden="false" customHeight="true" outlineLevel="0" collapsed="false">
      <c r="B8" s="75" t="n">
        <v>2</v>
      </c>
      <c r="C8" s="77" t="s">
        <v>198</v>
      </c>
      <c r="D8" s="77" t="s">
        <v>199</v>
      </c>
    </row>
    <row r="9" customFormat="false" ht="36" hidden="false" customHeight="true" outlineLevel="0" collapsed="false">
      <c r="B9" s="75" t="n">
        <v>3</v>
      </c>
      <c r="C9" s="76" t="s">
        <v>200</v>
      </c>
      <c r="D9" s="76" t="s">
        <v>201</v>
      </c>
    </row>
    <row r="10" customFormat="false" ht="49.5" hidden="false" customHeight="true" outlineLevel="0" collapsed="false">
      <c r="B10" s="75" t="n">
        <v>4</v>
      </c>
      <c r="C10" s="77" t="s">
        <v>202</v>
      </c>
      <c r="D10" s="77" t="s">
        <v>203</v>
      </c>
    </row>
    <row r="11" customFormat="false" ht="36" hidden="false" customHeight="true" outlineLevel="0" collapsed="false">
      <c r="B11" s="75" t="n">
        <v>5</v>
      </c>
      <c r="C11" s="76" t="s">
        <v>204</v>
      </c>
      <c r="D11" s="76" t="s">
        <v>205</v>
      </c>
    </row>
    <row r="12" customFormat="false" ht="49.5" hidden="false" customHeight="true" outlineLevel="0" collapsed="false">
      <c r="B12" s="75" t="n">
        <v>6</v>
      </c>
      <c r="C12" s="77" t="s">
        <v>206</v>
      </c>
      <c r="D12" s="77" t="s">
        <v>207</v>
      </c>
    </row>
    <row r="13" customFormat="false" ht="49.5" hidden="false" customHeight="true" outlineLevel="0" collapsed="false">
      <c r="B13" s="75" t="n">
        <v>7</v>
      </c>
      <c r="C13" s="76" t="s">
        <v>208</v>
      </c>
      <c r="D13" s="76" t="s">
        <v>209</v>
      </c>
    </row>
    <row r="14" customFormat="false" ht="49.5" hidden="false" customHeight="true" outlineLevel="0" collapsed="false">
      <c r="B14" s="75" t="n">
        <v>8</v>
      </c>
      <c r="C14" s="77" t="s">
        <v>210</v>
      </c>
      <c r="D14" s="77" t="s">
        <v>211</v>
      </c>
    </row>
    <row r="15" customFormat="false" ht="36" hidden="false" customHeight="true" outlineLevel="0" collapsed="false">
      <c r="B15" s="75" t="n">
        <v>9</v>
      </c>
      <c r="C15" s="76" t="s">
        <v>212</v>
      </c>
      <c r="D15" s="76" t="s">
        <v>213</v>
      </c>
    </row>
    <row r="16" customFormat="false" ht="49.5" hidden="false" customHeight="true" outlineLevel="0" collapsed="false">
      <c r="B16" s="75" t="n">
        <v>10</v>
      </c>
      <c r="C16" s="77" t="s">
        <v>214</v>
      </c>
      <c r="D16" s="77" t="s">
        <v>215</v>
      </c>
    </row>
    <row r="18" customFormat="false" ht="15" hidden="false" customHeight="false" outlineLevel="0" collapsed="false">
      <c r="B18" s="78" t="s">
        <v>216</v>
      </c>
      <c r="C18" s="78"/>
      <c r="D18" s="78"/>
    </row>
    <row r="19" customFormat="false" ht="18" hidden="false" customHeight="true" outlineLevel="0" collapsed="false">
      <c r="B19" s="79"/>
      <c r="C19" s="80" t="s">
        <v>217</v>
      </c>
      <c r="D19" s="80" t="s">
        <v>218</v>
      </c>
    </row>
    <row r="20" customFormat="false" ht="18" hidden="false" customHeight="true" outlineLevel="0" collapsed="false">
      <c r="B20" s="81"/>
      <c r="C20" s="80" t="s">
        <v>219</v>
      </c>
      <c r="D20" s="80" t="s">
        <v>220</v>
      </c>
    </row>
    <row r="21" customFormat="false" ht="18" hidden="false" customHeight="true" outlineLevel="0" collapsed="false">
      <c r="B21" s="82"/>
      <c r="C21" s="80" t="s">
        <v>221</v>
      </c>
      <c r="D21" s="80" t="s">
        <v>222</v>
      </c>
    </row>
    <row r="23" customFormat="false" ht="15" hidden="false" customHeight="false" outlineLevel="0" collapsed="false">
      <c r="B23" s="78" t="s">
        <v>223</v>
      </c>
      <c r="C23" s="78"/>
      <c r="D23" s="78"/>
    </row>
    <row r="24" customFormat="false" ht="49.5" hidden="false" customHeight="true" outlineLevel="0" collapsed="false">
      <c r="B24" s="83"/>
      <c r="C24" s="80" t="s">
        <v>224</v>
      </c>
      <c r="D24" s="80" t="s">
        <v>225</v>
      </c>
    </row>
    <row r="25" customFormat="false" ht="49.5" hidden="false" customHeight="true" outlineLevel="0" collapsed="false">
      <c r="B25" s="83"/>
      <c r="C25" s="80" t="s">
        <v>226</v>
      </c>
      <c r="D25" s="80" t="s">
        <v>227</v>
      </c>
    </row>
    <row r="26" customFormat="false" ht="63.75" hidden="false" customHeight="true" outlineLevel="0" collapsed="false">
      <c r="B26" s="83"/>
      <c r="C26" s="80" t="s">
        <v>228</v>
      </c>
      <c r="D26" s="80" t="s">
        <v>229</v>
      </c>
    </row>
    <row r="27" customFormat="false" ht="36" hidden="false" customHeight="true" outlineLevel="0" collapsed="false">
      <c r="B27" s="83"/>
      <c r="C27" s="80" t="s">
        <v>230</v>
      </c>
      <c r="D27" s="80" t="s">
        <v>231</v>
      </c>
    </row>
    <row r="29" customFormat="false" ht="15" hidden="false" customHeight="false" outlineLevel="0" collapsed="false">
      <c r="B29" s="78" t="s">
        <v>232</v>
      </c>
      <c r="C29" s="78"/>
      <c r="D29" s="78"/>
    </row>
    <row r="30" customFormat="false" ht="36" hidden="false" customHeight="true" outlineLevel="0" collapsed="false">
      <c r="B30" s="83"/>
      <c r="C30" s="80" t="s">
        <v>233</v>
      </c>
      <c r="D30" s="80" t="s">
        <v>234</v>
      </c>
    </row>
    <row r="31" customFormat="false" ht="49.5" hidden="false" customHeight="true" outlineLevel="0" collapsed="false">
      <c r="B31" s="83"/>
      <c r="C31" s="80" t="s">
        <v>235</v>
      </c>
      <c r="D31" s="80" t="s">
        <v>236</v>
      </c>
    </row>
    <row r="32" customFormat="false" ht="91.5" hidden="false" customHeight="true" outlineLevel="0" collapsed="false">
      <c r="B32" s="83"/>
      <c r="C32" s="80" t="s">
        <v>237</v>
      </c>
      <c r="D32" s="80" t="s">
        <v>238</v>
      </c>
    </row>
  </sheetData>
  <mergeCells count="6">
    <mergeCell ref="B1:E1"/>
    <mergeCell ref="B2:E2"/>
    <mergeCell ref="B3:E3"/>
    <mergeCell ref="B18:D18"/>
    <mergeCell ref="B23:D23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2026-10-01T00:33:13Z</dcterms:created>
  <dc:creator>ProfitTrack</dc:creator>
  <dc:description/>
  <dc:language>en-US</dc:language>
  <cp:lastModifiedBy/>
  <dcterms:modified xsi:type="dcterms:W3CDTF">2026-10-01T00:33:17Z</dcterms:modified>
  <cp:revision>1</cp:revision>
  <dc:subject/>
  <dc:title>ProfitTrack Budget — Bilingual Monthly Budget Planner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