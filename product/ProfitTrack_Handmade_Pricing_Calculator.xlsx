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2.vml" ContentType="application/vnd.openxmlformats-officedocument.vmlDrawing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Calculator" sheetId="2" state="visible" r:id="rId4"/>
    <sheet name="Product List" sheetId="3" state="visible" r:id="rId5"/>
    <sheet name="Settings" sheetId="4" state="visible" r:id="rId6"/>
    <sheet name="Materials" sheetId="5" state="visible" r:id="rId7"/>
    <sheet name="Quick Start Guide" sheetId="6" state="visible" r:id="rId8"/>
  </sheets>
  <definedNames>
    <definedName function="false" hidden="false" localSheetId="2" name="_xlnm.Print_Titles" vbProcedure="false">'Product List'!$11:$11</definedName>
    <definedName function="false" hidden="true" localSheetId="2" name="_xlnm._FilterDatabase" vbProcedure="false">'Product List'!$B$11:$R$211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Pick a material from your Materials sheet. Not in the list? Type its name and fill 'Your Cost'.
Elige un material de tu hoja Materiales. ¿No está? Escribe el nombre y llena 'Tu Costo'.</t>
        </r>
      </text>
    </comment>
    <comment ref="C25" authorId="0">
      <text>
        <r>
          <rPr>
            <sz val="10"/>
            <rFont val="Arial"/>
            <family val="2"/>
          </rPr>
          <t xml:space="preserve">Filled from Settings – type a different rate for this product if you like.
Viene de Configuración – puedes escribir otra tarifa.</t>
        </r>
      </text>
    </comment>
    <comment ref="C30" authorId="0">
      <text>
        <r>
          <rPr>
            <sz val="10"/>
            <rFont val="Arial"/>
            <family val="2"/>
          </rPr>
          <t xml:space="preserve">Offering free shipping? Leave 0 – the label cost is then built into your price.
¿Envío gratis? Deja 0 – el costo de la etiqueta se incluye en el precio.</t>
        </r>
      </text>
    </comment>
    <comment ref="I7" authorId="0">
      <text>
        <r>
          <rPr>
            <sz val="10"/>
            <rFont val="Arial"/>
            <family val="2"/>
          </rPr>
          <t xml:space="preserve">Below this price you lose money.
Debajo de este precio pierdes dinero.</t>
        </r>
      </text>
    </comment>
    <comment ref="I9" authorId="0">
      <text>
        <r>
          <rPr>
            <sz val="10"/>
            <rFont val="Arial"/>
            <family val="2"/>
          </rPr>
          <t xml:space="preserve">Covers all costs, Etsy fees and your target margin.
Cubre costos, comisiones y tu margen objetivo.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2" authorId="0">
      <text>
        <r>
          <rPr>
            <sz val="10"/>
            <rFont val="Arial"/>
            <family val="2"/>
          </rPr>
          <t xml:space="preserve">Rows 12–19 are EXAMPLES – replace them with your products.
Las filas 12–19 son EJEMPLOS – reemplázalas con tus productos.</t>
        </r>
      </text>
    </comment>
    <comment ref="H11" authorId="0">
      <text>
        <r>
          <rPr>
            <sz val="10"/>
            <rFont val="Arial"/>
            <family val="2"/>
          </rPr>
          <t xml:space="preserve">Blank = your default target margin from Settings.
Vacío = tu margen objetivo de Configuración.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Rows 6–17 are EXAMPLES – replace them with your own supplies.
Las filas 6–17 son EJEMPLOS – reemplázalas con tus materiales.</t>
        </r>
      </text>
    </comment>
  </commentList>
</comments>
</file>

<file path=xl/sharedStrings.xml><?xml version="1.0" encoding="utf-8"?>
<sst xmlns="http://schemas.openxmlformats.org/spreadsheetml/2006/main" count="234" uniqueCount="214">
  <si>
    <t xml:space="preserve">MAKER TOOLKIT  •  KIT PARA CREADORES</t>
  </si>
  <si>
    <t xml:space="preserve">ProfitTrack</t>
  </si>
  <si>
    <t xml:space="preserve">Handmade Pricing Calculator</t>
  </si>
  <si>
    <t xml:space="preserve">Calculadora de Precios para Productos Hechos a Mano</t>
  </si>
  <si>
    <t xml:space="preserve">Etsy  •  Shopify  •  Craft Fairs  •  Markets  •  Ferias y Mercados</t>
  </si>
  <si>
    <t xml:space="preserve">WHAT'S INSIDE  /  CONTENIDO   (click to open • clic para abrir)</t>
  </si>
  <si>
    <t xml:space="preserve">🧮  Calculator / Calculadora</t>
  </si>
  <si>
    <t xml:space="preserve">Price one product in detail – materials, time, fees, profit / Calcula un producto en detalle</t>
  </si>
  <si>
    <t xml:space="preserve">📋  Product List / Lista de Productos</t>
  </si>
  <si>
    <t xml:space="preserve">Price your whole shop at once &amp; check every margin / Todo tu catálogo y sus márgenes</t>
  </si>
  <si>
    <t xml:space="preserve">🧵  Materials / Materiales</t>
  </si>
  <si>
    <t xml:space="preserve">Your supply library – cost per unit calculated / Tu lista de materiales – costo por unidad automático</t>
  </si>
  <si>
    <t xml:space="preserve">⚙️  Settings / Configuración</t>
  </si>
  <si>
    <t xml:space="preserve">Hourly rate, Etsy fees, rounding / Tarifa por hora, comisiones de Etsy, redondeo</t>
  </si>
  <si>
    <t xml:space="preserve">🚀  Quick Start Guide / Guía Rápida</t>
  </si>
  <si>
    <t xml:space="preserve">Step-by-step setup in 5 minutes / Configuración paso a paso en 5 minutos</t>
  </si>
  <si>
    <t xml:space="preserve">💻 PC / Mac  •  📱 iPhone / Android  —  Excel • Google Sheets   |   Computadora y celular — Excel • Google Sheets</t>
  </si>
  <si>
    <t xml:space="preserve">Start here → Quick Start Guide   |   Empieza aquí → Guía Rápida</t>
  </si>
  <si>
    <t xml:space="preserve">© ProfitTrack  •  v1.0  •  For personal use only – do not resell or redistribute / Solo para uso personal – prohibida su reventa o distribución</t>
  </si>
  <si>
    <t xml:space="preserve">Pricing Calculator  /  Calculadora de Precios</t>
  </si>
  <si>
    <t xml:space="preserve">Price one product in detail. Type in the light-teal cells – everything else is calculated.  •  Calcula un producto en detalle. Escribe en las celdas verde claro – lo demás se calcula solo.</t>
  </si>
  <si>
    <t xml:space="preserve">1 · Product  /  Producto</t>
  </si>
  <si>
    <t xml:space="preserve">Your Prices  /  Tus Precios</t>
  </si>
  <si>
    <t xml:space="preserve">Product name / Nombre del producto</t>
  </si>
  <si>
    <t xml:space="preserve">Soy Candle – 8 oz Amber Jar</t>
  </si>
  <si>
    <t xml:space="preserve">BREAK-EVEN PRICE
Precio mínimo (sin ganancia)</t>
  </si>
  <si>
    <t xml:space="preserve">2 · Materials  /  Materiales</t>
  </si>
  <si>
    <t xml:space="preserve">RECOMMENDED PRICE
Precio recomendado</t>
  </si>
  <si>
    <t xml:space="preserve">Material (pick from list)
Material (elige de la lista)</t>
  </si>
  <si>
    <t xml:space="preserve">Qty Used
Cantidad</t>
  </si>
  <si>
    <t xml:space="preserve">Unit
Unidad</t>
  </si>
  <si>
    <t xml:space="preserve">Library Cost
Costo de Lista</t>
  </si>
  <si>
    <t xml:space="preserve">Your Cost (optional)
Tu Costo (opcional)</t>
  </si>
  <si>
    <t xml:space="preserve">Line Cost
Costo</t>
  </si>
  <si>
    <t xml:space="preserve">Soy wax</t>
  </si>
  <si>
    <t xml:space="preserve">Etsy fees at this price / Comisiones de Etsy</t>
  </si>
  <si>
    <t xml:space="preserve">Fragrance oil</t>
  </si>
  <si>
    <t xml:space="preserve">Your profit per sale / Tu ganancia por venta</t>
  </si>
  <si>
    <t xml:space="preserve">Cotton wick</t>
  </si>
  <si>
    <t xml:space="preserve">Profit margin / Margen de ganancia</t>
  </si>
  <si>
    <t xml:space="preserve">Amber jar 8 oz</t>
  </si>
  <si>
    <t xml:space="preserve">You earn per hour (profit + labor) / Ganas por hora</t>
  </si>
  <si>
    <t xml:space="preserve">Product label</t>
  </si>
  <si>
    <t xml:space="preserve">Test Your Own Price  /  Prueba tu Precio</t>
  </si>
  <si>
    <t xml:space="preserve">Your price / Tu precio</t>
  </si>
  <si>
    <t xml:space="preserve">Etsy fees / Comisiones</t>
  </si>
  <si>
    <t xml:space="preserve">Profit per sale / Ganancia por venta</t>
  </si>
  <si>
    <t xml:space="preserve">MATERIALS TOTAL / TOTAL MATERIALES</t>
  </si>
  <si>
    <t xml:space="preserve">Profit margin / Margen</t>
  </si>
  <si>
    <t xml:space="preserve">You earn per hour / Ganas por hora</t>
  </si>
  <si>
    <t xml:space="preserve">3 · Time &amp; Other Costs  /  Tiempo y Otros Costos</t>
  </si>
  <si>
    <t xml:space="preserve">Minutes to make one / Minutos para hacer uno</t>
  </si>
  <si>
    <t xml:space="preserve">Hourly rate / Tarifa por hora</t>
  </si>
  <si>
    <t xml:space="preserve">Classic Formula  /  Fórmula Clásica</t>
  </si>
  <si>
    <t xml:space="preserve">Labor cost / Costo de mano de obra</t>
  </si>
  <si>
    <t xml:space="preserve">Wholesale = cost × 2 / Mayoreo = costo × 2</t>
  </si>
  <si>
    <t xml:space="preserve">Packaging / Empaque</t>
  </si>
  <si>
    <t xml:space="preserve">Retail = wholesale × 2 / Menudeo = mayoreo × 2</t>
  </si>
  <si>
    <t xml:space="preserve">Overhead per item / Gastos generales</t>
  </si>
  <si>
    <t xml:space="preserve">Profit at retail after Etsy fees / Ganancia al menudeo</t>
  </si>
  <si>
    <t xml:space="preserve">Shipping label you pay / Etiqueta de envío que pagas</t>
  </si>
  <si>
    <t xml:space="preserve">Compare: the classic 2×2 formula ignores Etsy fees and your time. The recommended price above includes both.
Compara: la fórmula clásica ignora las comisiones y tu tiempo. El precio recomendado incluye ambos.</t>
  </si>
  <si>
    <t xml:space="preserve">Shipping you charge the buyer (0 = free) / Envío que cobras</t>
  </si>
  <si>
    <t xml:space="preserve">TOTAL COST / COSTO TOTAL</t>
  </si>
  <si>
    <t xml:space="preserve">4 · Your Target  /  Tu Objetivo</t>
  </si>
  <si>
    <t xml:space="preserve">Target profit margin / Margen objetivo</t>
  </si>
  <si>
    <t xml:space="preserve">Etsy % fees (from Settings) / Comisiones % de Etsy</t>
  </si>
  <si>
    <t xml:space="preserve">Etsy fixed fees per order / Comisiones fijas por pedido</t>
  </si>
  <si>
    <t xml:space="preserve">Product List  /  Lista de Productos</t>
  </si>
  <si>
    <t xml:space="preserve">Price your whole shop. Uses your hourly rate and Etsy fees from Settings.  •  Calcula todo tu catálogo con tu tarifa y las comisiones de Configuración.</t>
  </si>
  <si>
    <t xml:space="preserve">PRODUCTS PRICED</t>
  </si>
  <si>
    <t xml:space="preserve">AVERAGE MARGIN</t>
  </si>
  <si>
    <t xml:space="preserve">BELOW TARGET</t>
  </si>
  <si>
    <t xml:space="preserve">LOSING MONEY</t>
  </si>
  <si>
    <t xml:space="preserve">Productos con Precio</t>
  </si>
  <si>
    <t xml:space="preserve">Margen Promedio</t>
  </si>
  <si>
    <t xml:space="preserve">Debajo del Objetivo</t>
  </si>
  <si>
    <t xml:space="preserve">Perdiendo Dinero</t>
  </si>
  <si>
    <t xml:space="preserve">weighted by price / ponderado</t>
  </si>
  <si>
    <t xml:space="preserve">raise these prices / sube estos precios</t>
  </si>
  <si>
    <t xml:space="preserve">fix these first / arregla estos primero</t>
  </si>
  <si>
    <t xml:space="preserve">Product
Producto</t>
  </si>
  <si>
    <t xml:space="preserve">Materials $
Materiales $</t>
  </si>
  <si>
    <t xml:space="preserve">Minutes
Minutos</t>
  </si>
  <si>
    <t xml:space="preserve">Packaging $
Empaque $</t>
  </si>
  <si>
    <t xml:space="preserve">Ship Label $
Etiqueta $</t>
  </si>
  <si>
    <t xml:space="preserve">Ship Charged $
Envío Cobrado $</t>
  </si>
  <si>
    <t xml:space="preserve">Target Margin
Margen Objetivo</t>
  </si>
  <si>
    <t xml:space="preserve">Total Cost
Costo Total</t>
  </si>
  <si>
    <t xml:space="preserve">Break-even
Precio Mínimo</t>
  </si>
  <si>
    <t xml:space="preserve">Recommended
Recomendado</t>
  </si>
  <si>
    <t xml:space="preserve">Profit @ Rec.
Ganancia</t>
  </si>
  <si>
    <t xml:space="preserve">Your Price
Tu Precio</t>
  </si>
  <si>
    <t xml:space="preserve">Etsy Fees
Comisiones</t>
  </si>
  <si>
    <t xml:space="preserve">Your Profit
Tu Ganancia</t>
  </si>
  <si>
    <t xml:space="preserve">Your Margin
Tu Margen</t>
  </si>
  <si>
    <t xml:space="preserve">$ / Hour
$ / Hora</t>
  </si>
  <si>
    <t xml:space="preserve">Status
Estado</t>
  </si>
  <si>
    <t xml:space="preserve">Helper – do not edit: priced</t>
  </si>
  <si>
    <t xml:space="preserve">Helper – do not edit: margin</t>
  </si>
  <si>
    <t xml:space="preserve">Helper – do not edit: below target</t>
  </si>
  <si>
    <t xml:space="preserve">Helper – do not edit: losing</t>
  </si>
  <si>
    <t xml:space="preserve">Helper – do not edit: price</t>
  </si>
  <si>
    <t xml:space="preserve">Helper – do not edit: profit</t>
  </si>
  <si>
    <t xml:space="preserve">Helper – do not edit: listed</t>
  </si>
  <si>
    <t xml:space="preserve">Soy Candle 8 oz</t>
  </si>
  <si>
    <t xml:space="preserve">Beaded Drop Earrings</t>
  </si>
  <si>
    <t xml:space="preserve">Merino Crochet Beanie</t>
  </si>
  <si>
    <t xml:space="preserve">Vinyl Sticker Pack (5)</t>
  </si>
  <si>
    <t xml:space="preserve">Personalized Wood Sign</t>
  </si>
  <si>
    <t xml:space="preserve">Goat Milk Soap Bar</t>
  </si>
  <si>
    <t xml:space="preserve">Resin Keychain</t>
  </si>
  <si>
    <t xml:space="preserve">Embroidered Tote Bag</t>
  </si>
  <si>
    <t xml:space="preserve">Settings  /  Configuración</t>
  </si>
  <si>
    <t xml:space="preserve">Your rate, Etsy fees and rounding.  •  Tu tarifa, comisiones de Etsy y redondeo.</t>
  </si>
  <si>
    <t xml:space="preserve">Your Numbers &amp; Etsy Fees  /  Tus Números y Comisiones</t>
  </si>
  <si>
    <t xml:space="preserve">Your hourly rate ($ / hour) / Tu tarifa por hora</t>
  </si>
  <si>
    <t xml:space="preserve">Pay yourself! What is one hour of your time worth?</t>
  </si>
  <si>
    <t xml:space="preserve">Overhead per item ($) / Gastos generales por artículo</t>
  </si>
  <si>
    <t xml:space="preserve">Electricity, tools wear, software… spread per item.</t>
  </si>
  <si>
    <t xml:space="preserve">Default target profit margin / Margen de ganancia objetivo</t>
  </si>
  <si>
    <t xml:space="preserve">Profit as a % of the price, after all costs and fees.</t>
  </si>
  <si>
    <t xml:space="preserve">Etsy transaction fee / Comisión de transacción</t>
  </si>
  <si>
    <t xml:space="preserve">Etsy US: 6.5% of item price + shipping charged.</t>
  </si>
  <si>
    <t xml:space="preserve">Payment processing fee % / Procesamiento de pago %</t>
  </si>
  <si>
    <t xml:space="preserve">Etsy Payments US: 3% + $0.25 per order.</t>
  </si>
  <si>
    <t xml:space="preserve">Payment processing fixed ($) / Procesamiento fijo</t>
  </si>
  <si>
    <t xml:space="preserve">Listing fee ($) / Tarifa de publicación</t>
  </si>
  <si>
    <t xml:space="preserve">$0.20 per listing / renewal.</t>
  </si>
  <si>
    <t xml:space="preserve">Offsite Ads fee / Anuncios externos</t>
  </si>
  <si>
    <t xml:space="preserve">15% (12% if you sell $10k+/year) – only on sales from Offsite Ads.</t>
  </si>
  <si>
    <t xml:space="preserve">Include Offsite Ads in prices? / ¿Incluir anuncios externos?</t>
  </si>
  <si>
    <t xml:space="preserve">No</t>
  </si>
  <si>
    <t xml:space="preserve">Choose Yes to price safely for Offsite Ads sales.</t>
  </si>
  <si>
    <t xml:space="preserve">Round prices to .99? / ¿Redondear precios a .99?</t>
  </si>
  <si>
    <t xml:space="preserve">Yes / Sí</t>
  </si>
  <si>
    <t xml:space="preserve">Yes: $23.41 → $23.99</t>
  </si>
  <si>
    <t xml:space="preserve">Etsy fees shown are for US sellers (2026). Fees change and differ by country – check Etsy's Fees &amp; Payments Policy and update these cells.
Las comisiones son para vendedores de EE. UU. (2026). Cambian y varían por país – revisa la política de Etsy y actualiza estas celdas.</t>
  </si>
  <si>
    <t xml:space="preserve">Materials Library  /  Lista de Materiales</t>
  </si>
  <si>
    <t xml:space="preserve">Enter what you paid for a pack and how many units it has – the cost per unit is calculated.  •  Escribe lo que pagaste por el paquete y cuántas unidades trae – el costo por unidad se calcula solo.</t>
  </si>
  <si>
    <t xml:space="preserve">Material
Material</t>
  </si>
  <si>
    <t xml:space="preserve">Supplier
Proveedor</t>
  </si>
  <si>
    <t xml:space="preserve">Pack Price
Precio del Paquete</t>
  </si>
  <si>
    <t xml:space="preserve">Units in Pack
Unidades</t>
  </si>
  <si>
    <t xml:space="preserve">Cost per Unit
Costo por Unidad</t>
  </si>
  <si>
    <t xml:space="preserve">Notes
Notas</t>
  </si>
  <si>
    <t xml:space="preserve">CandleScience</t>
  </si>
  <si>
    <t xml:space="preserve">oz</t>
  </si>
  <si>
    <t xml:space="preserve">Amazon</t>
  </si>
  <si>
    <t xml:space="preserve">each</t>
  </si>
  <si>
    <t xml:space="preserve">Uline</t>
  </si>
  <si>
    <t xml:space="preserve">Sticker Mule</t>
  </si>
  <si>
    <t xml:space="preserve">Sterling silver ear wires</t>
  </si>
  <si>
    <t xml:space="preserve">Rio Grande</t>
  </si>
  <si>
    <t xml:space="preserve">pair</t>
  </si>
  <si>
    <t xml:space="preserve">Glass beads</t>
  </si>
  <si>
    <t xml:space="preserve">Fire Mountain</t>
  </si>
  <si>
    <t xml:space="preserve">Merino yarn</t>
  </si>
  <si>
    <t xml:space="preserve">LoveCrafts</t>
  </si>
  <si>
    <t xml:space="preserve">skein</t>
  </si>
  <si>
    <t xml:space="preserve">Vinyl sticker paper</t>
  </si>
  <si>
    <t xml:space="preserve">Cricut</t>
  </si>
  <si>
    <t xml:space="preserve">sheet</t>
  </si>
  <si>
    <t xml:space="preserve">Kraft gift box</t>
  </si>
  <si>
    <t xml:space="preserve">Tissue paper</t>
  </si>
  <si>
    <t xml:space="preserve">Dollar Tree</t>
  </si>
  <si>
    <t xml:space="preserve">Thank-you card</t>
  </si>
  <si>
    <t xml:space="preserve">Vistaprint</t>
  </si>
  <si>
    <t xml:space="preserve">Quick Start Guide  /  Guía Rápida</t>
  </si>
  <si>
    <t xml:space="preserve">Up and running in 5 minutes.  •  Listo en 5 minutos.</t>
  </si>
  <si>
    <t xml:space="preserve">#</t>
  </si>
  <si>
    <t xml:space="preserve">ENGLISH</t>
  </si>
  <si>
    <t xml:space="preserve">ESPAÑOL</t>
  </si>
  <si>
    <t xml:space="preserve">Open Settings: enter your hourly rate and overhead per item, choose your default target margin, and check the Etsy fees (US 2026 rates are filled in).</t>
  </si>
  <si>
    <t xml:space="preserve">Abre Settings (Configuración): escribe tu tarifa por hora y gastos generales, elige tu margen objetivo y revisa las comisiones de Etsy (tarifas de EE. UU. 2026 ya incluidas).</t>
  </si>
  <si>
    <t xml:space="preserve">Fill the Materials sheet with your supplies: what you paid for a pack and how many units it has. The cost per unit is calculated for you. Replace the example rows.</t>
  </si>
  <si>
    <t xml:space="preserve">Llena la hoja Materials con tus materiales: lo que pagaste por el paquete y cuántas unidades trae. El costo por unidad se calcula solo. Reemplaza los ejemplos.</t>
  </si>
  <si>
    <t xml:space="preserve">Calculator – price one product in detail: pick each material from the list and enter the quantity used. Not in your list? Type the name and fill 'Your Cost'.</t>
  </si>
  <si>
    <t xml:space="preserve">Calculator – calcula un producto en detalle: elige cada material de la lista y escribe la cantidad usada. ¿No está? Escribe el nombre y llena 'Tu Costo'.</t>
  </si>
  <si>
    <t xml:space="preserve">Add your time (minutes), packaging, shipping label cost and what you charge for shipping (0 = free shipping, built into the price).</t>
  </si>
  <si>
    <t xml:space="preserve">Agrega tu tiempo (minutos), empaque, costo de la etiqueta y lo que cobras de envío (0 = envío gratis, incluido en el precio).</t>
  </si>
  <si>
    <t xml:space="preserve">Read your prices: Break-even (no profit), Recommended (covers costs, Etsy fees and your target margin, rounded to .99), your profit per sale and what you earn per hour.</t>
  </si>
  <si>
    <t xml:space="preserve">Lee tus precios: Mínimo (sin ganancia), Recomendado (cubre costos, comisiones y tu margen, redondeado a .99), tu ganancia por venta y cuánto ganas por hora.</t>
  </si>
  <si>
    <t xml:space="preserve">Test Your Own Price: type any price to see the fees, profit, margin and a ✔ / ● / ⚠ verdict instantly.</t>
  </si>
  <si>
    <t xml:space="preserve">Prueba tu Precio: escribe cualquier precio y verás comisiones, ganancia, margen y un veredicto ✔ / ● / ⚠ al instante.</t>
  </si>
  <si>
    <t xml:space="preserve">Product List – price your whole shop: one row per product with materials $, minutes, packaging and shipping. Enter your current price to see your real margin and $ per hour.</t>
  </si>
  <si>
    <t xml:space="preserve">Product List – todo tu catálogo: una fila por producto con materiales $, minutos, empaque y envío. Escribe tu precio actual para ver tu margen real y $ por hora.</t>
  </si>
  <si>
    <t xml:space="preserve">Fix the red ⚠ LOSING MONEY products first, then raise the ● BELOW TARGET ones. The summary cards at the top count them for you.</t>
  </si>
  <si>
    <t xml:space="preserve">Arregla primero los productos ⚠ PIERDES DINERO y luego sube los ● DEBAJO DEL OBJETIVO. Las tarjetas de arriba los cuentan por ti.</t>
  </si>
  <si>
    <t xml:space="preserve">Selling through Offsite Ads? Set 'Include Offsite Ads' to Yes in Settings to price safely for those sales.</t>
  </si>
  <si>
    <t xml:space="preserve">¿Vendes con Anuncios Externos? Cambia 'Incluir anuncios externos' a Sí en Configuración para cubrir esas ventas.</t>
  </si>
  <si>
    <t xml:space="preserve">Google Sheets: upload to Google Drive → Open with Google Sheets → File → Save as Google Sheets. Tip: save a blank copy first.</t>
  </si>
  <si>
    <t xml:space="preserve">Google Sheets: súbelo a Google Drive → Abrir con Google Sheets → Archivo → Guardar como Hojas de cálculo de Google. Consejo: guarda una copia en blanco.</t>
  </si>
  <si>
    <t xml:space="preserve">Color Legend  /  Leyenda de Colores</t>
  </si>
  <si>
    <t xml:space="preserve">Light teal = type your data here</t>
  </si>
  <si>
    <t xml:space="preserve">Verde claro = escribe tus datos aquí</t>
  </si>
  <si>
    <t xml:space="preserve">Grey = automatic formula – don't type here</t>
  </si>
  <si>
    <t xml:space="preserve">Gris = fórmula automática – no escribas aquí</t>
  </si>
  <si>
    <t xml:space="preserve">Yellow = settings you can change</t>
  </si>
  <si>
    <t xml:space="preserve">Amarillo = ajustes que puedes cambiar</t>
  </si>
  <si>
    <t xml:space="preserve">FAQ  /  Preguntas Frecuentes</t>
  </si>
  <si>
    <t xml:space="preserve">Q: What's the difference between markup and margin?  A: Margin is profit as a % of the price. A 30% margin on a $30 item means $9 profit after all costs and fees.</t>
  </si>
  <si>
    <t xml:space="preserve">P: ¿Diferencia entre markup y margen?  R: El margen es la ganancia como % del precio. Un margen de 30% en un artículo de $30 son $9 de ganancia después de costos y comisiones.</t>
  </si>
  <si>
    <t xml:space="preserve">Q: Do I include shipping?  A: Yes – the label you pay is a cost. If you charge the buyer for shipping, enter it too: Etsy charges fees on it, and the calculator handles that.</t>
  </si>
  <si>
    <t xml:space="preserve">P: ¿Incluyo el envío?  R: Sí – la etiqueta que pagas es un costo. Si cobras envío, escríbelo también: Etsy cobra comisión sobre él y la calculadora lo considera.</t>
  </si>
  <si>
    <t xml:space="preserve">Q: I sell outside the US.  A: Change the fee cells in Settings to your country's Etsy rates. Prices are shown with a $ sign but work for any currency.</t>
  </si>
  <si>
    <t xml:space="preserve">P: Vendo fuera de EE. UU.  R: Cambia las comisiones en Settings a las de tu país. Los precios muestran $ pero funcionan con cualquier moneda.</t>
  </si>
  <si>
    <t xml:space="preserve">Phone, Tablet &amp; Computer  /  Celular, Tableta y Computadora</t>
  </si>
  <si>
    <t xml:space="preserve">💻 Computer (Windows / Mac): open in Microsoft Excel, or in Google Sheets from any browser. Everything works.</t>
  </si>
  <si>
    <t xml:space="preserve">💻 Computadora (Windows / Mac): ábrelo en Microsoft Excel o en Google Sheets desde cualquier navegador. Todo funciona.</t>
  </si>
  <si>
    <t xml:space="preserve">📱 iPhone, iPad &amp; Android — RECOMMENDED: the free Microsoft Excel app or the free Google Sheets app. Formulas, dropdowns, charts and alerts all work.</t>
  </si>
  <si>
    <t xml:space="preserve">📱 iPhone, iPad y Android — RECOMENDADO: la app gratuita Microsoft Excel o la app gratuita Google Sheets. Fórmulas, listas, gráficas y alertas funcionan.</t>
  </si>
  <si>
    <t xml:space="preserve">🍎 Apple Numbers: formulas, Dashboard, charts and alerts work, but Numbers removes dropdown lists from Excel files (you'll see a message – this is normal). Type the option exactly as listed, or re-add a menu: select the cells → Format → Cell → Data Format → Pop-Up Menu.</t>
  </si>
  <si>
    <t xml:space="preserve">🍎 Apple Numbers: las fórmulas, el Panel, las gráficas y las alertas funcionan, pero Numbers elimina las listas desplegables de los archivos de Excel (verás un aviso – es normal). Escribe la opción tal como aparece, o vuelve a crear el menú: selecciona las celdas → Formato → Celda → Formato de datos → Menú desplegable.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</si>
</sst>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0"/>
    <numFmt numFmtId="166" formatCode="#,##0.##"/>
    <numFmt numFmtId="167" formatCode="\$#,##0.000"/>
    <numFmt numFmtId="168" formatCode="\$#,##0.00;[RED]&quot;-$&quot;#,##0.00;\-"/>
    <numFmt numFmtId="169" formatCode="0.0%;[RED]\-0.0%;\-"/>
    <numFmt numFmtId="170" formatCode="0"/>
    <numFmt numFmtId="171" formatCode="0%"/>
    <numFmt numFmtId="172" formatCode="0.0%"/>
    <numFmt numFmtId="173" formatCode="#,##0"/>
    <numFmt numFmtId="174" formatCode="0&quot; products listed / productos en la lista&quot;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4B8A6"/>
      <name val="Arial"/>
      <family val="0"/>
      <charset val="1"/>
    </font>
    <font>
      <b val="true"/>
      <sz val="48"/>
      <color rgb="FFFFFFFF"/>
      <name val="Arial"/>
      <family val="0"/>
      <charset val="1"/>
    </font>
    <font>
      <b val="true"/>
      <sz val="18"/>
      <color rgb="FFCCFBF1"/>
      <name val="Arial"/>
      <family val="0"/>
      <charset val="1"/>
    </font>
    <font>
      <i val="true"/>
      <sz val="14"/>
      <color rgb="FFC7D2FE"/>
      <name val="Arial"/>
      <family val="0"/>
      <charset val="1"/>
    </font>
    <font>
      <sz val="10"/>
      <color rgb="FF94A3B8"/>
      <name val="Arial"/>
      <family val="0"/>
      <charset val="1"/>
    </font>
    <font>
      <b val="true"/>
      <sz val="12"/>
      <color rgb="FF14B8A6"/>
      <name val="Arial"/>
      <family val="0"/>
      <charset val="1"/>
    </font>
    <font>
      <b val="true"/>
      <u val="single"/>
      <sz val="13"/>
      <color rgb="FFFFFFFF"/>
      <name val="Arial"/>
      <family val="0"/>
      <charset val="1"/>
    </font>
    <font>
      <sz val="9"/>
      <color rgb="FF94A3B8"/>
      <name val="Arial"/>
      <family val="0"/>
      <charset val="1"/>
    </font>
    <font>
      <b val="true"/>
      <u val="single"/>
      <sz val="11"/>
      <color rgb="FF14B8A6"/>
      <name val="Arial"/>
      <family val="0"/>
      <charset val="1"/>
    </font>
    <font>
      <sz val="8"/>
      <color rgb="FF64748B"/>
      <name val="Arial"/>
      <family val="0"/>
      <charset val="1"/>
    </font>
    <font>
      <b val="true"/>
      <sz val="9"/>
      <color rgb="FF14B8A6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10"/>
      <color rgb="FFC7D2FE"/>
      <name val="Arial"/>
      <family val="0"/>
      <charset val="1"/>
    </font>
    <font>
      <b val="true"/>
      <sz val="12"/>
      <color rgb="FF0B1F3A"/>
      <name val="Arial"/>
      <family val="0"/>
      <charset val="1"/>
    </font>
    <font>
      <b val="true"/>
      <sz val="10"/>
      <color rgb="FF0B1F3A"/>
      <name val="Arial"/>
      <family val="0"/>
      <charset val="1"/>
    </font>
    <font>
      <b val="true"/>
      <sz val="11"/>
      <color rgb="FF1E3A8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0"/>
      <color rgb="FF0B1F3A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9"/>
      <color rgb="FFDC2626"/>
      <name val="Arial"/>
      <family val="0"/>
      <charset val="1"/>
    </font>
    <font>
      <b val="true"/>
      <sz val="8"/>
      <color rgb="FFDC2626"/>
      <name val="Arial"/>
      <family val="0"/>
      <charset val="1"/>
    </font>
    <font>
      <b val="true"/>
      <sz val="11"/>
      <color rgb="FF0B1F3A"/>
      <name val="Arial"/>
      <family val="0"/>
      <charset val="1"/>
    </font>
    <font>
      <i val="true"/>
      <sz val="8"/>
      <color rgb="FF475569"/>
      <name val="Arial"/>
      <family val="0"/>
      <charset val="1"/>
    </font>
    <font>
      <sz val="10"/>
      <name val="Arial"/>
      <family val="2"/>
    </font>
    <font>
      <i val="true"/>
      <sz val="8"/>
      <color rgb="FFC7D2FE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sz val="7"/>
      <color rgb="FFFFFFFF"/>
      <name val="Arial"/>
      <family val="0"/>
      <charset val="1"/>
    </font>
    <font>
      <sz val="8"/>
      <color rgb="FF94A3B8"/>
      <name val="Arial"/>
      <family val="0"/>
      <charset val="1"/>
    </font>
    <font>
      <sz val="10"/>
      <color rgb="FF1E3A8A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475569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B1F3A"/>
        <bgColor rgb="FF16325C"/>
      </patternFill>
    </fill>
    <fill>
      <patternFill patternType="solid">
        <fgColor rgb="FF14B8A6"/>
        <bgColor rgb="FF00CCFF"/>
      </patternFill>
    </fill>
    <fill>
      <patternFill patternType="solid">
        <fgColor rgb="FFF0FDFA"/>
        <bgColor rgb="FFF1F5F9"/>
      </patternFill>
    </fill>
    <fill>
      <patternFill patternType="solid">
        <fgColor rgb="FF16325C"/>
        <bgColor rgb="FF1E3A8A"/>
      </patternFill>
    </fill>
    <fill>
      <patternFill patternType="solid">
        <fgColor rgb="FF0F766E"/>
        <bgColor rgb="FF008080"/>
      </patternFill>
    </fill>
    <fill>
      <patternFill patternType="solid">
        <fgColor rgb="FFF1F5F9"/>
        <bgColor rgb="FFF0FDFA"/>
      </patternFill>
    </fill>
    <fill>
      <patternFill patternType="solid">
        <fgColor rgb="FFCCFBF1"/>
        <bgColor rgb="FFDCFCE7"/>
      </patternFill>
    </fill>
    <fill>
      <patternFill patternType="solid">
        <fgColor rgb="FFFEF9C3"/>
        <bgColor rgb="FFFEF3C7"/>
      </patternFill>
    </fill>
    <fill>
      <patternFill patternType="solid">
        <fgColor rgb="FFFFFFFF"/>
        <bgColor rgb="FFF0FDFA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4B8A6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general" vertical="center" textRotation="0" wrapText="true" indent="1" shrinkToFit="false"/>
      <protection locked="true" hidden="false"/>
    </xf>
    <xf numFmtId="165" fontId="2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0" xfId="0" applyFont="true" applyBorder="false" applyAlignment="true" applyProtection="false">
      <alignment horizontal="general" vertical="center" textRotation="0" wrapText="true" indent="1" shrinkToFit="false"/>
      <protection locked="true" hidden="false"/>
    </xf>
    <xf numFmtId="165" fontId="2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25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3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3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36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36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9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9" fillId="9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19" fillId="9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9" fillId="9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3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36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6" fillId="1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ont>
        <name val="Arial"/>
        <charset val="1"/>
        <family val="0"/>
        <b val="1"/>
        <color rgb="FFDC2626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B45309"/>
      </font>
      <fill>
        <patternFill>
          <bgColor rgb="FFFEF3C7"/>
        </patternFill>
      </fill>
    </dxf>
    <dxf>
      <font>
        <name val="Arial"/>
        <charset val="1"/>
        <family val="0"/>
        <b val="1"/>
        <color rgb="FF15803D"/>
      </font>
      <fill>
        <patternFill>
          <bgColor rgb="FFDCFCE7"/>
        </patternFill>
      </fill>
    </dxf>
    <dxf>
      <fill>
        <patternFill patternType="solid">
          <fgColor rgb="FF16325C"/>
          <bgColor rgb="FF000000"/>
        </patternFill>
      </fill>
    </dxf>
    <dxf>
      <fill>
        <patternFill patternType="solid">
          <fgColor rgb="FFF0FDFA"/>
          <bgColor rgb="FF000000"/>
        </patternFill>
      </fill>
    </dxf>
    <dxf>
      <fill>
        <patternFill patternType="solid">
          <fgColor rgb="FF1E3A8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15803D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DC2626"/>
          <bgColor rgb="FF000000"/>
        </patternFill>
      </fill>
    </dxf>
    <dxf>
      <font>
        <name val="Arial"/>
        <charset val="1"/>
        <family val="0"/>
        <color rgb="FF15803D"/>
      </font>
      <fill>
        <patternFill>
          <bgColor rgb="FFDCFCE7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F766E"/>
      <rgbColor rgb="FFCBD5E1"/>
      <rgbColor rgb="FF808080"/>
      <rgbColor rgb="FF9999FF"/>
      <rgbColor rgb="FF993366"/>
      <rgbColor rgb="FFFEF9C3"/>
      <rgbColor rgb="FFCCFBF1"/>
      <rgbColor rgb="FF660066"/>
      <rgbColor rgb="FFFF8080"/>
      <rgbColor rgb="FF0066CC"/>
      <rgbColor rgb="FFC7D2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FCE7"/>
      <rgbColor rgb="FFF0FDFA"/>
      <rgbColor rgb="FFFEF3C7"/>
      <rgbColor rgb="FFF1F5F9"/>
      <rgbColor rgb="FFFF99CC"/>
      <rgbColor rgb="FFCC99FF"/>
      <rgbColor rgb="FFFEE2E2"/>
      <rgbColor rgb="FF3366FF"/>
      <rgbColor rgb="FF14B8A6"/>
      <rgbColor rgb="FF99CC00"/>
      <rgbColor rgb="FFFFCC00"/>
      <rgbColor rgb="FFFF9900"/>
      <rgbColor rgb="FFFF6600"/>
      <rgbColor rgb="FF64748B"/>
      <rgbColor rgb="FF94A3B8"/>
      <rgbColor rgb="FF16325C"/>
      <rgbColor rgb="FF339966"/>
      <rgbColor rgb="FF0B1F3A"/>
      <rgbColor rgb="FF333300"/>
      <rgbColor rgb="FFB45309"/>
      <rgbColor rgb="FF993366"/>
      <rgbColor rgb="FF1E3A8A"/>
      <rgbColor rgb="FF47556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ProfitTrack_Handmade_Pricing_Calculator.xlsx" TargetMode="External"/><Relationship Id="rId2" Type="http://schemas.openxmlformats.org/officeDocument/2006/relationships/hyperlink" Target="ProfitTrack_Handmade_Pricing_Calculator.xlsx" TargetMode="External"/><Relationship Id="rId3" Type="http://schemas.openxmlformats.org/officeDocument/2006/relationships/hyperlink" Target="ProfitTrack_Handmade_Pricing_Calculator.xlsx" TargetMode="External"/><Relationship Id="rId4" Type="http://schemas.openxmlformats.org/officeDocument/2006/relationships/hyperlink" Target="ProfitTrack_Handmade_Pricing_Calculator.xlsx" TargetMode="External"/><Relationship Id="rId5" Type="http://schemas.openxmlformats.org/officeDocument/2006/relationships/hyperlink" Target="ProfitTrack_Handmade_Pricing_Calculator.xlsx" TargetMode="External"/><Relationship Id="rId6" Type="http://schemas.openxmlformats.org/officeDocument/2006/relationships/hyperlink" Target="ProfitTrack_Handmade_Pricing_Calculator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A"/>
    <pageSetUpPr fitToPage="true"/>
  </sheetPr>
  <dimension ref="A1:L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2" min="1" style="0" width="11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5" hidden="false" customHeight="true" outlineLevel="0" collapsed="false">
      <c r="A4" s="1"/>
      <c r="B4" s="2" t="s">
        <v>0</v>
      </c>
      <c r="C4" s="2"/>
      <c r="D4" s="2"/>
      <c r="E4" s="2"/>
      <c r="F4" s="2"/>
      <c r="G4" s="2"/>
      <c r="H4" s="2"/>
      <c r="I4" s="2"/>
      <c r="J4" s="2"/>
      <c r="K4" s="2"/>
      <c r="L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customFormat="false" ht="21.75" hidden="false" customHeight="true" outlineLevel="0" collapsed="false">
      <c r="A6" s="1"/>
      <c r="B6" s="3" t="s">
        <v>1</v>
      </c>
      <c r="C6" s="3"/>
      <c r="D6" s="3"/>
      <c r="E6" s="3"/>
      <c r="F6" s="3"/>
      <c r="G6" s="3"/>
      <c r="H6" s="3"/>
      <c r="I6" s="3"/>
      <c r="J6" s="3"/>
      <c r="K6" s="3"/>
      <c r="L6" s="1"/>
    </row>
    <row r="7" customFormat="false" ht="21.75" hidden="false" customHeight="true" outlineLevel="0" collapsed="false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1"/>
    </row>
    <row r="8" customFormat="false" ht="21.75" hidden="false" customHeight="true" outlineLevel="0" collapsed="false">
      <c r="A8" s="1"/>
      <c r="B8" s="3"/>
      <c r="C8" s="3"/>
      <c r="D8" s="3"/>
      <c r="E8" s="3"/>
      <c r="F8" s="3"/>
      <c r="G8" s="3"/>
      <c r="H8" s="3"/>
      <c r="I8" s="3"/>
      <c r="J8" s="3"/>
      <c r="K8" s="3"/>
      <c r="L8" s="1"/>
    </row>
    <row r="9" customFormat="false" ht="27.75" hidden="false" customHeight="true" outlineLevel="0" collapsed="false">
      <c r="A9" s="1"/>
      <c r="B9" s="4" t="s">
        <v>2</v>
      </c>
      <c r="C9" s="4"/>
      <c r="D9" s="4"/>
      <c r="E9" s="4"/>
      <c r="F9" s="4"/>
      <c r="G9" s="4"/>
      <c r="H9" s="4"/>
      <c r="I9" s="4"/>
      <c r="J9" s="4"/>
      <c r="K9" s="4"/>
      <c r="L9" s="1"/>
    </row>
    <row r="10" customFormat="false" ht="21.75" hidden="false" customHeight="true" outlineLevel="0" collapsed="false">
      <c r="A10" s="1"/>
      <c r="B10" s="5" t="s">
        <v>3</v>
      </c>
      <c r="C10" s="5"/>
      <c r="D10" s="5"/>
      <c r="E10" s="5"/>
      <c r="F10" s="5"/>
      <c r="G10" s="5"/>
      <c r="H10" s="5"/>
      <c r="I10" s="5"/>
      <c r="J10" s="5"/>
      <c r="K10" s="5"/>
      <c r="L10" s="1"/>
    </row>
    <row r="11" customFormat="false" ht="15" hidden="false" customHeight="true" outlineLevel="0" collapsed="false">
      <c r="A11" s="1"/>
      <c r="B11" s="6" t="s">
        <v>4</v>
      </c>
      <c r="C11" s="6"/>
      <c r="D11" s="6"/>
      <c r="E11" s="6"/>
      <c r="F11" s="6"/>
      <c r="G11" s="6"/>
      <c r="H11" s="6"/>
      <c r="I11" s="6"/>
      <c r="J11" s="6"/>
      <c r="K11" s="6"/>
      <c r="L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customFormat="false" ht="4.5" hidden="false" customHeight="tru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customFormat="false" ht="15" hidden="false" customHeight="true" outlineLevel="0" collapsed="false">
      <c r="A15" s="1"/>
      <c r="B15" s="8" t="s">
        <v>5</v>
      </c>
      <c r="C15" s="8"/>
      <c r="D15" s="8"/>
      <c r="E15" s="8"/>
      <c r="F15" s="8"/>
      <c r="G15" s="8"/>
      <c r="H15" s="8"/>
      <c r="I15" s="8"/>
      <c r="J15" s="8"/>
      <c r="K15" s="8"/>
      <c r="L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customFormat="false" ht="21.75" hidden="false" customHeight="true" outlineLevel="0" collapsed="false">
      <c r="A17" s="1"/>
      <c r="B17" s="1"/>
      <c r="C17" s="9" t="s">
        <v>6</v>
      </c>
      <c r="D17" s="9"/>
      <c r="E17" s="9"/>
      <c r="F17" s="9"/>
      <c r="G17" s="9"/>
      <c r="H17" s="9"/>
      <c r="I17" s="9"/>
      <c r="J17" s="9"/>
      <c r="K17" s="1"/>
      <c r="L17" s="1"/>
    </row>
    <row r="18" customFormat="false" ht="25.5" hidden="false" customHeight="true" outlineLevel="0" collapsed="false">
      <c r="A18" s="1"/>
      <c r="B18" s="1"/>
      <c r="C18" s="10" t="s">
        <v>7</v>
      </c>
      <c r="D18" s="10"/>
      <c r="E18" s="10"/>
      <c r="F18" s="10"/>
      <c r="G18" s="10"/>
      <c r="H18" s="10"/>
      <c r="I18" s="10"/>
      <c r="J18" s="10"/>
      <c r="K18" s="1"/>
      <c r="L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customFormat="false" ht="21.75" hidden="false" customHeight="true" outlineLevel="0" collapsed="false">
      <c r="A20" s="1"/>
      <c r="B20" s="1"/>
      <c r="C20" s="9" t="s">
        <v>8</v>
      </c>
      <c r="D20" s="9"/>
      <c r="E20" s="9"/>
      <c r="F20" s="9"/>
      <c r="G20" s="9"/>
      <c r="H20" s="9"/>
      <c r="I20" s="9"/>
      <c r="J20" s="9"/>
      <c r="K20" s="1"/>
      <c r="L20" s="1"/>
    </row>
    <row r="21" customFormat="false" ht="25.5" hidden="false" customHeight="true" outlineLevel="0" collapsed="false">
      <c r="A21" s="1"/>
      <c r="B21" s="1"/>
      <c r="C21" s="10" t="s">
        <v>9</v>
      </c>
      <c r="D21" s="10"/>
      <c r="E21" s="10"/>
      <c r="F21" s="10"/>
      <c r="G21" s="10"/>
      <c r="H21" s="10"/>
      <c r="I21" s="10"/>
      <c r="J21" s="10"/>
      <c r="K21" s="1"/>
      <c r="L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customFormat="false" ht="21.75" hidden="false" customHeight="true" outlineLevel="0" collapsed="false">
      <c r="A23" s="1"/>
      <c r="B23" s="1"/>
      <c r="C23" s="9" t="s">
        <v>10</v>
      </c>
      <c r="D23" s="9"/>
      <c r="E23" s="9"/>
      <c r="F23" s="9"/>
      <c r="G23" s="9"/>
      <c r="H23" s="9"/>
      <c r="I23" s="9"/>
      <c r="J23" s="9"/>
      <c r="K23" s="1"/>
      <c r="L23" s="1"/>
    </row>
    <row r="24" customFormat="false" ht="25.5" hidden="false" customHeight="true" outlineLevel="0" collapsed="false">
      <c r="A24" s="1"/>
      <c r="B24" s="1"/>
      <c r="C24" s="10" t="s">
        <v>11</v>
      </c>
      <c r="D24" s="10"/>
      <c r="E24" s="10"/>
      <c r="F24" s="10"/>
      <c r="G24" s="10"/>
      <c r="H24" s="10"/>
      <c r="I24" s="10"/>
      <c r="J24" s="10"/>
      <c r="K24" s="1"/>
      <c r="L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customFormat="false" ht="21.75" hidden="false" customHeight="true" outlineLevel="0" collapsed="false">
      <c r="A26" s="1"/>
      <c r="B26" s="1"/>
      <c r="C26" s="9" t="s">
        <v>12</v>
      </c>
      <c r="D26" s="9"/>
      <c r="E26" s="9"/>
      <c r="F26" s="9"/>
      <c r="G26" s="9"/>
      <c r="H26" s="9"/>
      <c r="I26" s="9"/>
      <c r="J26" s="9"/>
      <c r="K26" s="1"/>
      <c r="L26" s="1"/>
    </row>
    <row r="27" customFormat="false" ht="25.5" hidden="false" customHeight="true" outlineLevel="0" collapsed="false">
      <c r="A27" s="1"/>
      <c r="B27" s="1"/>
      <c r="C27" s="10" t="s">
        <v>13</v>
      </c>
      <c r="D27" s="10"/>
      <c r="E27" s="10"/>
      <c r="F27" s="10"/>
      <c r="G27" s="10"/>
      <c r="H27" s="10"/>
      <c r="I27" s="10"/>
      <c r="J27" s="10"/>
      <c r="K27" s="1"/>
      <c r="L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customFormat="false" ht="21.75" hidden="false" customHeight="true" outlineLevel="0" collapsed="false">
      <c r="A29" s="1"/>
      <c r="B29" s="1"/>
      <c r="C29" s="9" t="s">
        <v>14</v>
      </c>
      <c r="D29" s="9"/>
      <c r="E29" s="9"/>
      <c r="F29" s="9"/>
      <c r="G29" s="9"/>
      <c r="H29" s="9"/>
      <c r="I29" s="9"/>
      <c r="J29" s="9"/>
      <c r="K29" s="1"/>
      <c r="L29" s="1"/>
    </row>
    <row r="30" customFormat="false" ht="25.5" hidden="false" customHeight="true" outlineLevel="0" collapsed="false">
      <c r="A30" s="1"/>
      <c r="B30" s="1"/>
      <c r="C30" s="10" t="s">
        <v>15</v>
      </c>
      <c r="D30" s="10"/>
      <c r="E30" s="10"/>
      <c r="F30" s="10"/>
      <c r="G30" s="10"/>
      <c r="H30" s="10"/>
      <c r="I30" s="10"/>
      <c r="J30" s="10"/>
      <c r="K30" s="1"/>
      <c r="L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customFormat="false" ht="15" hidden="false" customHeight="true" outlineLevel="0" collapsed="false">
      <c r="A33" s="1"/>
      <c r="B33" s="11" t="s">
        <v>16</v>
      </c>
      <c r="C33" s="11"/>
      <c r="D33" s="11"/>
      <c r="E33" s="11"/>
      <c r="F33" s="11"/>
      <c r="G33" s="11"/>
      <c r="H33" s="11"/>
      <c r="I33" s="11"/>
      <c r="J33" s="11"/>
      <c r="K33" s="11"/>
      <c r="L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customFormat="false" ht="15" hidden="false" customHeight="true" outlineLevel="0" collapsed="false">
      <c r="A35" s="1"/>
      <c r="B35" s="12" t="s">
        <v>17</v>
      </c>
      <c r="C35" s="12"/>
      <c r="D35" s="12"/>
      <c r="E35" s="12"/>
      <c r="F35" s="12"/>
      <c r="G35" s="12"/>
      <c r="H35" s="12"/>
      <c r="I35" s="12"/>
      <c r="J35" s="12"/>
      <c r="K35" s="12"/>
      <c r="L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customFormat="false" ht="15" hidden="false" customHeight="true" outlineLevel="0" collapsed="false">
      <c r="A38" s="1"/>
      <c r="B38" s="13" t="s">
        <v>18</v>
      </c>
      <c r="C38" s="13"/>
      <c r="D38" s="13"/>
      <c r="E38" s="13"/>
      <c r="F38" s="13"/>
      <c r="G38" s="13"/>
      <c r="H38" s="13"/>
      <c r="I38" s="13"/>
      <c r="J38" s="13"/>
      <c r="K38" s="13"/>
      <c r="L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</sheetData>
  <mergeCells count="19">
    <mergeCell ref="B4:K4"/>
    <mergeCell ref="B6:K8"/>
    <mergeCell ref="B9:K9"/>
    <mergeCell ref="B10:K10"/>
    <mergeCell ref="B11:K11"/>
    <mergeCell ref="B15:K15"/>
    <mergeCell ref="C17:J17"/>
    <mergeCell ref="C18:J18"/>
    <mergeCell ref="C20:J20"/>
    <mergeCell ref="C21:J21"/>
    <mergeCell ref="C23:J23"/>
    <mergeCell ref="C24:J24"/>
    <mergeCell ref="C26:J26"/>
    <mergeCell ref="C27:J27"/>
    <mergeCell ref="C29:J29"/>
    <mergeCell ref="C30:J30"/>
    <mergeCell ref="B33:K33"/>
    <mergeCell ref="B35:K35"/>
    <mergeCell ref="B38:K38"/>
  </mergeCells>
  <hyperlinks>
    <hyperlink ref="C17" r:id="rId1" location="'Calculator'!A1" display="🧮  Calculator / Calculadora"/>
    <hyperlink ref="C20" r:id="rId2" location="'Product%20List'!A1" display="📋  Product List / Lista de Productos"/>
    <hyperlink ref="C23" r:id="rId3" location="'Materials'!A1" display="🧵  Materials / Materiales"/>
    <hyperlink ref="C26" r:id="rId4" location="'Settings'!A1" display="⚙️  Settings / Configuración"/>
    <hyperlink ref="C29" r:id="rId5" location="'Quick%20Start%20Guide'!A1" display="🚀  Quick Start Guide / Guía Rápida"/>
    <hyperlink ref="B35" r:id="rId6" location="'Quick%20Start%20Guide'!A1" display="Start here → Quick Start Guide   |   Empieza aquí → Guía Rápid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B8A6"/>
    <pageSetUpPr fitToPage="true"/>
  </sheetPr>
  <dimension ref="A1:J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3"/>
    <col collapsed="false" customWidth="true" hidden="false" outlineLevel="0" max="9" min="9" style="0" width="36"/>
    <col collapsed="false" customWidth="true" hidden="false" outlineLevel="0" max="10" min="10" style="0" width="18"/>
  </cols>
  <sheetData>
    <row r="1" customFormat="false" ht="18" hidden="false" customHeight="true" outlineLevel="0" collapsed="false">
      <c r="A1" s="1"/>
      <c r="B1" s="14" t="s">
        <v>1</v>
      </c>
      <c r="C1" s="14"/>
      <c r="D1" s="14"/>
      <c r="E1" s="14"/>
      <c r="F1" s="14"/>
      <c r="G1" s="14"/>
      <c r="H1" s="14"/>
      <c r="I1" s="14"/>
      <c r="J1" s="14"/>
    </row>
    <row r="2" customFormat="false" ht="30" hidden="false" customHeight="true" outlineLevel="0" collapsed="false">
      <c r="A2" s="1"/>
      <c r="B2" s="15" t="s">
        <v>19</v>
      </c>
      <c r="C2" s="15"/>
      <c r="D2" s="15"/>
      <c r="E2" s="15"/>
      <c r="F2" s="15"/>
      <c r="G2" s="15"/>
      <c r="H2" s="15"/>
      <c r="I2" s="15"/>
      <c r="J2" s="15"/>
    </row>
    <row r="3" customFormat="false" ht="19.5" hidden="false" customHeight="true" outlineLevel="0" collapsed="false">
      <c r="A3" s="1"/>
      <c r="B3" s="16" t="s">
        <v>20</v>
      </c>
      <c r="C3" s="16"/>
      <c r="D3" s="16"/>
      <c r="E3" s="16"/>
      <c r="F3" s="16"/>
      <c r="G3" s="16"/>
      <c r="H3" s="16"/>
      <c r="I3" s="16"/>
      <c r="J3" s="16"/>
    </row>
    <row r="4" customFormat="false" ht="3.75" hidden="false" customHeight="true" outlineLevel="0" collapsed="false">
      <c r="A4" s="7"/>
      <c r="B4" s="7"/>
      <c r="C4" s="7"/>
      <c r="D4" s="7"/>
      <c r="E4" s="7"/>
      <c r="F4" s="7"/>
      <c r="G4" s="7"/>
      <c r="H4" s="7"/>
      <c r="I4" s="7"/>
      <c r="J4" s="7"/>
    </row>
    <row r="6" customFormat="false" ht="15" hidden="false" customHeight="false" outlineLevel="0" collapsed="false">
      <c r="B6" s="17" t="s">
        <v>21</v>
      </c>
      <c r="C6" s="17"/>
      <c r="D6" s="17"/>
      <c r="E6" s="17"/>
      <c r="F6" s="17"/>
      <c r="G6" s="17"/>
      <c r="I6" s="17" t="s">
        <v>22</v>
      </c>
      <c r="J6" s="17"/>
    </row>
    <row r="7" customFormat="false" ht="43.5" hidden="false" customHeight="true" outlineLevel="0" collapsed="false">
      <c r="B7" s="18" t="s">
        <v>23</v>
      </c>
      <c r="C7" s="19" t="s">
        <v>24</v>
      </c>
      <c r="D7" s="19"/>
      <c r="E7" s="19"/>
      <c r="F7" s="19"/>
      <c r="G7" s="19"/>
      <c r="I7" s="20" t="s">
        <v>25</v>
      </c>
      <c r="J7" s="21" t="n">
        <f aca="false">MAX(0,($C$31+$C$36-$C$30*(1-$C$35))/(1-$C$35))</f>
        <v>17.2360773480663</v>
      </c>
    </row>
    <row r="9" customFormat="false" ht="43.5" hidden="false" customHeight="true" outlineLevel="0" collapsed="false">
      <c r="B9" s="17" t="s">
        <v>26</v>
      </c>
      <c r="C9" s="17"/>
      <c r="D9" s="17"/>
      <c r="E9" s="17"/>
      <c r="F9" s="17"/>
      <c r="G9" s="17"/>
      <c r="I9" s="22" t="s">
        <v>27</v>
      </c>
      <c r="J9" s="23" t="n">
        <f aca="false">IF(1-$C$35-$C$34&lt;=0,0,MAX(0,IF(Settings!$C$16="Yes / Sí",IF(ROUNDUP(($C$31+$C$36-$C$30*(1-$C$35))/(1-$C$35-$C$34),0)-0.01&gt;=($C$31+$C$36-$C$30*(1-$C$35))/(1-$C$35-$C$34),ROUNDUP(($C$31+$C$36-$C$30*(1-$C$35))/(1-$C$35-$C$34),0)-0.01,ROUNDUP(($C$31+$C$36-$C$30*(1-$C$35))/(1-$C$35-$C$34),0)+0.99),ROUNDUP(($C$31+$C$36-$C$30*(1-$C$35))/(1-$C$35-$C$34),2))))</f>
        <v>25.99</v>
      </c>
    </row>
    <row r="10" customFormat="false" ht="36" hidden="false" customHeight="true" outlineLevel="0" collapsed="false">
      <c r="B10" s="24" t="s">
        <v>28</v>
      </c>
      <c r="C10" s="24" t="s">
        <v>29</v>
      </c>
      <c r="D10" s="24" t="s">
        <v>30</v>
      </c>
      <c r="E10" s="24" t="s">
        <v>31</v>
      </c>
      <c r="F10" s="24" t="s">
        <v>32</v>
      </c>
      <c r="G10" s="24" t="s">
        <v>33</v>
      </c>
    </row>
    <row r="11" customFormat="false" ht="15" hidden="false" customHeight="false" outlineLevel="0" collapsed="false">
      <c r="B11" s="25" t="s">
        <v>34</v>
      </c>
      <c r="C11" s="26" t="n">
        <v>7</v>
      </c>
      <c r="D11" s="27" t="str">
        <f aca="false">IF(B11="","",IFERROR(INDEX(Materials!$F$6:$F$205,MATCH(B11,Materials!$B$6:$B$205,0)),""))</f>
        <v>oz</v>
      </c>
      <c r="E11" s="28" t="n">
        <f aca="false">IF(B11="","",IFERROR(INDEX(Materials!$G$6:$G$205,MATCH(B11,Materials!$B$6:$B$205,0)),""))</f>
        <v>0.28125</v>
      </c>
      <c r="F11" s="29"/>
      <c r="G11" s="30" t="n">
        <f aca="false">IF(OR(B11="",C11=""),"",IF(F11&lt;&gt;"",C11*F11,IF(E11="","",C11*E11)))</f>
        <v>1.96875</v>
      </c>
      <c r="I11" s="31" t="s">
        <v>35</v>
      </c>
      <c r="J11" s="32" t="n">
        <f aca="false">IF($J$9=0,0,(($J$9+$C$30)*$C$35+$C$36))</f>
        <v>2.91905</v>
      </c>
    </row>
    <row r="12" customFormat="false" ht="15" hidden="false" customHeight="false" outlineLevel="0" collapsed="false">
      <c r="B12" s="25" t="s">
        <v>36</v>
      </c>
      <c r="C12" s="26" t="n">
        <v>0.6</v>
      </c>
      <c r="D12" s="27" t="str">
        <f aca="false">IF(B12="","",IFERROR(INDEX(Materials!$F$6:$F$205,MATCH(B12,Materials!$B$6:$B$205,0)),""))</f>
        <v>oz</v>
      </c>
      <c r="E12" s="28" t="n">
        <f aca="false">IF(B12="","",IFERROR(INDEX(Materials!$G$6:$G$205,MATCH(B12,Materials!$B$6:$B$205,0)),""))</f>
        <v>1.1</v>
      </c>
      <c r="F12" s="29"/>
      <c r="G12" s="30" t="n">
        <f aca="false">IF(OR(B12="",C12=""),"",IF(F12&lt;&gt;"",C12*F12,IF(E12="","",C12*E12)))</f>
        <v>0.66</v>
      </c>
      <c r="I12" s="31" t="s">
        <v>37</v>
      </c>
      <c r="J12" s="32" t="n">
        <f aca="false">IF($J$9=0,0,($J$9+$C$30-(($J$9+$C$30)*$C$35+$C$36)-$C$31))</f>
        <v>7.9223</v>
      </c>
    </row>
    <row r="13" customFormat="false" ht="15" hidden="false" customHeight="false" outlineLevel="0" collapsed="false">
      <c r="B13" s="25" t="s">
        <v>38</v>
      </c>
      <c r="C13" s="26" t="n">
        <v>1</v>
      </c>
      <c r="D13" s="27" t="str">
        <f aca="false">IF(B13="","",IFERROR(INDEX(Materials!$F$6:$F$205,MATCH(B13,Materials!$B$6:$B$205,0)),""))</f>
        <v>each</v>
      </c>
      <c r="E13" s="28" t="n">
        <f aca="false">IF(B13="","",IFERROR(INDEX(Materials!$G$6:$G$205,MATCH(B13,Materials!$B$6:$B$205,0)),""))</f>
        <v>0.1199</v>
      </c>
      <c r="F13" s="29"/>
      <c r="G13" s="30" t="n">
        <f aca="false">IF(OR(B13="",C13=""),"",IF(F13&lt;&gt;"",C13*F13,IF(E13="","",C13*E13)))</f>
        <v>0.1199</v>
      </c>
      <c r="I13" s="31" t="s">
        <v>39</v>
      </c>
      <c r="J13" s="33" t="n">
        <f aca="false">IF($J$9=0,0,J12/$J$9)</f>
        <v>0.304821085032705</v>
      </c>
    </row>
    <row r="14" customFormat="false" ht="15" hidden="false" customHeight="false" outlineLevel="0" collapsed="false">
      <c r="B14" s="25" t="s">
        <v>40</v>
      </c>
      <c r="C14" s="26" t="n">
        <v>1</v>
      </c>
      <c r="D14" s="27" t="str">
        <f aca="false">IF(B14="","",IFERROR(INDEX(Materials!$F$6:$F$205,MATCH(B14,Materials!$B$6:$B$205,0)),""))</f>
        <v>each</v>
      </c>
      <c r="E14" s="28" t="n">
        <f aca="false">IF(B14="","",IFERROR(INDEX(Materials!$G$6:$G$205,MATCH(B14,Materials!$B$6:$B$205,0)),""))</f>
        <v>1.45</v>
      </c>
      <c r="F14" s="29"/>
      <c r="G14" s="30" t="n">
        <f aca="false">IF(OR(B14="",C14=""),"",IF(F14&lt;&gt;"",C14*F14,IF(E14="","",C14*E14)))</f>
        <v>1.45</v>
      </c>
      <c r="I14" s="31" t="s">
        <v>41</v>
      </c>
      <c r="J14" s="32" t="n">
        <f aca="false">IF(OR(C24="",C24=0),0,(J12+C26)/(C24/60))</f>
        <v>59.6115</v>
      </c>
    </row>
    <row r="15" customFormat="false" ht="15" hidden="false" customHeight="false" outlineLevel="0" collapsed="false">
      <c r="B15" s="25" t="s">
        <v>42</v>
      </c>
      <c r="C15" s="26" t="n">
        <v>1</v>
      </c>
      <c r="D15" s="27" t="str">
        <f aca="false">IF(B15="","",IFERROR(INDEX(Materials!$F$6:$F$205,MATCH(B15,Materials!$B$6:$B$205,0)),""))</f>
        <v>each</v>
      </c>
      <c r="E15" s="28" t="n">
        <f aca="false">IF(B15="","",IFERROR(INDEX(Materials!$G$6:$G$205,MATCH(B15,Materials!$B$6:$B$205,0)),""))</f>
        <v>0.15</v>
      </c>
      <c r="F15" s="29"/>
      <c r="G15" s="30" t="n">
        <f aca="false">IF(OR(B15="",C15=""),"",IF(F15&lt;&gt;"",C15*F15,IF(E15="","",C15*E15)))</f>
        <v>0.15</v>
      </c>
      <c r="I15" s="34" t="str">
        <f aca="false">IF(1-$C$35-$C$34&lt;=0,"⚠ Target margin too high for these fees / Margen objetivo demasiado alto","")</f>
        <v/>
      </c>
    </row>
    <row r="16" customFormat="false" ht="15" hidden="false" customHeight="false" outlineLevel="0" collapsed="false">
      <c r="B16" s="25"/>
      <c r="C16" s="26"/>
      <c r="D16" s="27" t="str">
        <f aca="false">IF(B16="","",IFERROR(INDEX(Materials!$F$6:$F$205,MATCH(B16,Materials!$B$6:$B$205,0)),""))</f>
        <v/>
      </c>
      <c r="E16" s="28" t="str">
        <f aca="false">IF(B16="","",IFERROR(INDEX(Materials!$G$6:$G$205,MATCH(B16,Materials!$B$6:$B$205,0)),""))</f>
        <v/>
      </c>
      <c r="F16" s="29"/>
      <c r="G16" s="30" t="str">
        <f aca="false">IF(OR(B16="",C16=""),"",IF(F16&lt;&gt;"",C16*F16,IF(E16="","",C16*E16)))</f>
        <v/>
      </c>
      <c r="I16" s="35" t="str">
        <f aca="false">IF(AND(B16&lt;&gt;"",E16="",F16=""),"⚠ Not in Materials – type Your Cost / Escribe tu costo","")</f>
        <v/>
      </c>
    </row>
    <row r="17" customFormat="false" ht="15" hidden="false" customHeight="false" outlineLevel="0" collapsed="false">
      <c r="B17" s="25"/>
      <c r="C17" s="26"/>
      <c r="D17" s="27" t="str">
        <f aca="false">IF(B17="","",IFERROR(INDEX(Materials!$F$6:$F$205,MATCH(B17,Materials!$B$6:$B$205,0)),""))</f>
        <v/>
      </c>
      <c r="E17" s="28" t="str">
        <f aca="false">IF(B17="","",IFERROR(INDEX(Materials!$G$6:$G$205,MATCH(B17,Materials!$B$6:$B$205,0)),""))</f>
        <v/>
      </c>
      <c r="F17" s="29"/>
      <c r="G17" s="30" t="str">
        <f aca="false">IF(OR(B17="",C17=""),"",IF(F17&lt;&gt;"",C17*F17,IF(E17="","",C17*E17)))</f>
        <v/>
      </c>
      <c r="I17" s="17" t="s">
        <v>43</v>
      </c>
      <c r="J17" s="17"/>
    </row>
    <row r="18" customFormat="false" ht="15" hidden="false" customHeight="false" outlineLevel="0" collapsed="false">
      <c r="B18" s="25"/>
      <c r="C18" s="26"/>
      <c r="D18" s="27" t="str">
        <f aca="false">IF(B18="","",IFERROR(INDEX(Materials!$F$6:$F$205,MATCH(B18,Materials!$B$6:$B$205,0)),""))</f>
        <v/>
      </c>
      <c r="E18" s="28" t="str">
        <f aca="false">IF(B18="","",IFERROR(INDEX(Materials!$G$6:$G$205,MATCH(B18,Materials!$B$6:$B$205,0)),""))</f>
        <v/>
      </c>
      <c r="F18" s="29"/>
      <c r="G18" s="30" t="str">
        <f aca="false">IF(OR(B18="",C18=""),"",IF(F18&lt;&gt;"",C18*F18,IF(E18="","",C18*E18)))</f>
        <v/>
      </c>
      <c r="I18" s="36" t="s">
        <v>44</v>
      </c>
      <c r="J18" s="37" t="n">
        <v>29.99</v>
      </c>
    </row>
    <row r="19" customFormat="false" ht="15" hidden="false" customHeight="false" outlineLevel="0" collapsed="false">
      <c r="B19" s="25"/>
      <c r="C19" s="26"/>
      <c r="D19" s="27" t="str">
        <f aca="false">IF(B19="","",IFERROR(INDEX(Materials!$F$6:$F$205,MATCH(B19,Materials!$B$6:$B$205,0)),""))</f>
        <v/>
      </c>
      <c r="E19" s="28" t="str">
        <f aca="false">IF(B19="","",IFERROR(INDEX(Materials!$G$6:$G$205,MATCH(B19,Materials!$B$6:$B$205,0)),""))</f>
        <v/>
      </c>
      <c r="F19" s="29"/>
      <c r="G19" s="30" t="str">
        <f aca="false">IF(OR(B19="",C19=""),"",IF(F19&lt;&gt;"",C19*F19,IF(E19="","",C19*E19)))</f>
        <v/>
      </c>
      <c r="I19" s="31" t="s">
        <v>45</v>
      </c>
      <c r="J19" s="32" t="n">
        <f aca="false">IF($J$18="",0,(($J$18+$C$30)*$C$35+$C$36))</f>
        <v>3.29905</v>
      </c>
    </row>
    <row r="20" customFormat="false" ht="15" hidden="false" customHeight="false" outlineLevel="0" collapsed="false">
      <c r="B20" s="25"/>
      <c r="C20" s="26"/>
      <c r="D20" s="27" t="str">
        <f aca="false">IF(B20="","",IFERROR(INDEX(Materials!$F$6:$F$205,MATCH(B20,Materials!$B$6:$B$205,0)),""))</f>
        <v/>
      </c>
      <c r="E20" s="28" t="str">
        <f aca="false">IF(B20="","",IFERROR(INDEX(Materials!$G$6:$G$205,MATCH(B20,Materials!$B$6:$B$205,0)),""))</f>
        <v/>
      </c>
      <c r="F20" s="29"/>
      <c r="G20" s="30" t="str">
        <f aca="false">IF(OR(B20="",C20=""),"",IF(F20&lt;&gt;"",C20*F20,IF(E20="","",C20*E20)))</f>
        <v/>
      </c>
      <c r="I20" s="31" t="s">
        <v>46</v>
      </c>
      <c r="J20" s="32" t="n">
        <f aca="false">IF($J$18="",0,($J$18+$C$30-(($J$18+$C$30)*$C$35+$C$36)-$C$31))</f>
        <v>11.5423</v>
      </c>
    </row>
    <row r="21" customFormat="false" ht="15" hidden="false" customHeight="false" outlineLevel="0" collapsed="false">
      <c r="B21" s="18" t="s">
        <v>47</v>
      </c>
      <c r="C21" s="38"/>
      <c r="D21" s="38"/>
      <c r="E21" s="38"/>
      <c r="F21" s="38"/>
      <c r="G21" s="32" t="n">
        <f aca="false">SUM(G11:G20)</f>
        <v>4.34865</v>
      </c>
      <c r="I21" s="31" t="s">
        <v>48</v>
      </c>
      <c r="J21" s="33" t="n">
        <f aca="false">IF(OR($J$18="",$J$18=0),0,J20/$J$18)</f>
        <v>0.384871623874625</v>
      </c>
    </row>
    <row r="22" customFormat="false" ht="15" hidden="false" customHeight="false" outlineLevel="0" collapsed="false">
      <c r="I22" s="31" t="s">
        <v>49</v>
      </c>
      <c r="J22" s="32" t="n">
        <f aca="false">IF(OR(C24="",C24=0,J18=""),0,(J20+C26)/(C24/60))</f>
        <v>77.7115</v>
      </c>
    </row>
    <row r="23" customFormat="false" ht="27.75" hidden="false" customHeight="true" outlineLevel="0" collapsed="false">
      <c r="B23" s="17" t="s">
        <v>50</v>
      </c>
      <c r="C23" s="17"/>
      <c r="D23" s="17"/>
      <c r="E23" s="17"/>
      <c r="F23" s="17"/>
      <c r="G23" s="17"/>
      <c r="I23" s="39" t="str">
        <f aca="false">IF($J$18="","",IF(J20&lt;0,"⚠ LOSING MONEY / PIERDES DINERO",IF(J21&lt;$C$34,"● BELOW YOUR TARGET / DEBAJO DE TU OBJETIVO","✔ ON TARGET / EN TU OBJETIVO")))</f>
        <v>✔ ON TARGET / EN TU OBJETIVO</v>
      </c>
      <c r="J23" s="39"/>
    </row>
    <row r="24" customFormat="false" ht="15" hidden="false" customHeight="false" outlineLevel="0" collapsed="false">
      <c r="B24" s="40" t="s">
        <v>51</v>
      </c>
      <c r="C24" s="41" t="n">
        <v>12</v>
      </c>
      <c r="D24" s="41"/>
    </row>
    <row r="25" customFormat="false" ht="15" hidden="false" customHeight="false" outlineLevel="0" collapsed="false">
      <c r="B25" s="40" t="s">
        <v>52</v>
      </c>
      <c r="C25" s="42" t="n">
        <f aca="false">Settings!$C$7</f>
        <v>20</v>
      </c>
      <c r="D25" s="42"/>
      <c r="I25" s="17" t="s">
        <v>53</v>
      </c>
      <c r="J25" s="17"/>
    </row>
    <row r="26" customFormat="false" ht="15" hidden="false" customHeight="false" outlineLevel="0" collapsed="false">
      <c r="B26" s="40" t="s">
        <v>54</v>
      </c>
      <c r="C26" s="43" t="n">
        <f aca="false">IF(C24="",0,C24/60*C25)</f>
        <v>4</v>
      </c>
      <c r="D26" s="43"/>
      <c r="I26" s="31" t="s">
        <v>55</v>
      </c>
      <c r="J26" s="30" t="n">
        <f aca="false">$C$31*2</f>
        <v>30.2973</v>
      </c>
    </row>
    <row r="27" customFormat="false" ht="15" hidden="false" customHeight="false" outlineLevel="0" collapsed="false">
      <c r="B27" s="40" t="s">
        <v>56</v>
      </c>
      <c r="C27" s="44" t="n">
        <v>0.8</v>
      </c>
      <c r="D27" s="44"/>
      <c r="I27" s="31" t="s">
        <v>57</v>
      </c>
      <c r="J27" s="30" t="n">
        <f aca="false">$C$31*4</f>
        <v>60.5946</v>
      </c>
    </row>
    <row r="28" customFormat="false" ht="15" hidden="false" customHeight="false" outlineLevel="0" collapsed="false">
      <c r="B28" s="40" t="s">
        <v>58</v>
      </c>
      <c r="C28" s="44" t="n">
        <f aca="false">Settings!$C$8</f>
        <v>0.5</v>
      </c>
      <c r="D28" s="44"/>
      <c r="I28" s="31" t="s">
        <v>59</v>
      </c>
      <c r="J28" s="30" t="n">
        <f aca="false">(J27+$C$30-((J27+$C$30)*$C$35+$C$36)-$C$31)</f>
        <v>39.239463</v>
      </c>
    </row>
    <row r="29" customFormat="false" ht="23.85" hidden="false" customHeight="true" outlineLevel="0" collapsed="false">
      <c r="B29" s="40" t="s">
        <v>60</v>
      </c>
      <c r="C29" s="44" t="n">
        <v>5.5</v>
      </c>
      <c r="D29" s="44"/>
      <c r="I29" s="45" t="s">
        <v>61</v>
      </c>
      <c r="J29" s="45"/>
    </row>
    <row r="30" customFormat="false" ht="23.85" hidden="false" customHeight="false" outlineLevel="0" collapsed="false">
      <c r="B30" s="40" t="s">
        <v>62</v>
      </c>
      <c r="C30" s="44" t="n">
        <v>0</v>
      </c>
      <c r="D30" s="44"/>
      <c r="I30" s="45"/>
      <c r="J30" s="45"/>
    </row>
    <row r="31" customFormat="false" ht="15" hidden="false" customHeight="false" outlineLevel="0" collapsed="false">
      <c r="B31" s="18" t="s">
        <v>63</v>
      </c>
      <c r="C31" s="46" t="n">
        <f aca="false">G21+C26+C27+C28+C29</f>
        <v>15.14865</v>
      </c>
      <c r="D31" s="46"/>
      <c r="I31" s="45"/>
      <c r="J31" s="45"/>
    </row>
    <row r="33" customFormat="false" ht="15" hidden="false" customHeight="false" outlineLevel="0" collapsed="false">
      <c r="B33" s="17" t="s">
        <v>64</v>
      </c>
      <c r="C33" s="17"/>
      <c r="D33" s="17"/>
      <c r="E33" s="17"/>
      <c r="F33" s="17"/>
      <c r="G33" s="17"/>
    </row>
    <row r="34" customFormat="false" ht="15" hidden="false" customHeight="false" outlineLevel="0" collapsed="false">
      <c r="B34" s="40" t="s">
        <v>65</v>
      </c>
      <c r="C34" s="47" t="n">
        <f aca="false">Settings!$C$9</f>
        <v>0.3</v>
      </c>
      <c r="D34" s="47"/>
    </row>
    <row r="35" customFormat="false" ht="15" hidden="false" customHeight="false" outlineLevel="0" collapsed="false">
      <c r="B35" s="40" t="s">
        <v>66</v>
      </c>
      <c r="C35" s="48" t="n">
        <f aca="false">(Settings!$C$10+Settings!$C$11+IF(Settings!$C$15="Yes / Sí",Settings!$C$14,0))</f>
        <v>0.095</v>
      </c>
      <c r="D35" s="48"/>
    </row>
    <row r="36" customFormat="false" ht="23.85" hidden="false" customHeight="false" outlineLevel="0" collapsed="false">
      <c r="B36" s="40" t="s">
        <v>67</v>
      </c>
      <c r="C36" s="43" t="n">
        <f aca="false">(Settings!$C$12+Settings!$C$13)</f>
        <v>0.45</v>
      </c>
      <c r="D36" s="43"/>
    </row>
  </sheetData>
  <mergeCells count="25">
    <mergeCell ref="B1:J1"/>
    <mergeCell ref="B2:J2"/>
    <mergeCell ref="B3:J3"/>
    <mergeCell ref="B6:G6"/>
    <mergeCell ref="I6:J6"/>
    <mergeCell ref="C7:G7"/>
    <mergeCell ref="B9:G9"/>
    <mergeCell ref="I17:J17"/>
    <mergeCell ref="C21:F21"/>
    <mergeCell ref="B23:G23"/>
    <mergeCell ref="I23:J23"/>
    <mergeCell ref="C24:D24"/>
    <mergeCell ref="C25:D25"/>
    <mergeCell ref="I25:J25"/>
    <mergeCell ref="C26:D26"/>
    <mergeCell ref="C27:D27"/>
    <mergeCell ref="C28:D28"/>
    <mergeCell ref="C29:D29"/>
    <mergeCell ref="I29:J31"/>
    <mergeCell ref="C30:D30"/>
    <mergeCell ref="C31:D31"/>
    <mergeCell ref="B33:G33"/>
    <mergeCell ref="C34:D34"/>
    <mergeCell ref="C35:D35"/>
    <mergeCell ref="C36:D36"/>
  </mergeCells>
  <conditionalFormatting sqref="I23">
    <cfRule type="containsText" priority="2" operator="containsText" aboveAverage="0" equalAverage="0" bottom="0" percent="0" rank="0" text="LOSING" dxfId="0">
      <formula>NOT(ISERROR(SEARCH("LOSING",I23)))</formula>
    </cfRule>
    <cfRule type="containsText" priority="3" operator="containsText" aboveAverage="0" equalAverage="0" bottom="0" percent="0" rank="0" text="BELOW" dxfId="1">
      <formula>NOT(ISERROR(SEARCH("BELOW",I23)))</formula>
    </cfRule>
    <cfRule type="containsText" priority="4" operator="containsText" aboveAverage="0" equalAverage="0" bottom="0" percent="0" rank="0" text="ON TARGET" dxfId="2">
      <formula>NOT(ISERROR(SEARCH("ON TARGET",I23)))</formula>
    </cfRule>
  </conditionalFormatting>
  <dataValidations count="3">
    <dataValidation allowBlank="true" error="Enter a number ≥ 0.&#10;Escribe un número ≥ 0." errorStyle="stop" errorTitle="Number / Número" operator="greaterThanOrEqual" showDropDown="false" showErrorMessage="false" showInputMessage="false" sqref="C11:C19 F11:F20 J18 C20 C24:C25 C27:C30" type="decimal">
      <formula1>0</formula1>
      <formula2>0</formula2>
    </dataValidation>
    <dataValidation allowBlank="true" error="Choose an option from the list.&#10;Elige una opción de la lista." errorStyle="stop" errorTitle="Material" operator="between" showDropDown="false" showErrorMessage="false" showInputMessage="false" sqref="B11:B20" type="list">
      <formula1>Materials!$B$6:$B$205</formula1>
      <formula2>0</formula2>
    </dataValidation>
    <dataValidation allowBlank="true" error="Enter 0%–85%.&#10;Escribe 0%–85%." errorStyle="stop" errorTitle="Margin / Margen" operator="between" showDropDown="false" showErrorMessage="false" showInputMessage="false" sqref="C34" type="decimal">
      <formula1>0</formula1>
      <formula2>0.85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B8A6"/>
    <pageSetUpPr fitToPage="true"/>
  </sheetPr>
  <dimension ref="A1:Z2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10" min="7" style="0" width="12"/>
    <col collapsed="false" customWidth="true" hidden="false" outlineLevel="0" max="11" min="11" style="0" width="13"/>
    <col collapsed="false" customWidth="true" hidden="false" outlineLevel="0" max="13" min="12" style="0" width="12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false" outlineLevel="0" max="17" min="16" style="0" width="11"/>
    <col collapsed="false" customWidth="true" hidden="false" outlineLevel="0" max="18" min="18" style="0" width="30"/>
    <col collapsed="false" customWidth="true" hidden="true" outlineLevel="0" max="26" min="20" style="0" width="13"/>
  </cols>
  <sheetData>
    <row r="1" customFormat="false" ht="18" hidden="false" customHeight="true" outlineLevel="0" collapsed="false">
      <c r="A1" s="1"/>
      <c r="B1" s="14" t="s">
        <v>1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customFormat="false" ht="30" hidden="false" customHeight="true" outlineLevel="0" collapsed="false">
      <c r="A2" s="1"/>
      <c r="B2" s="15" t="s">
        <v>68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customFormat="false" ht="19.5" hidden="false" customHeight="true" outlineLevel="0" collapsed="false">
      <c r="A3" s="1"/>
      <c r="B3" s="16" t="s">
        <v>69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customFormat="false" ht="3.75" hidden="false" customHeight="true" outlineLevel="0" collapsed="false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6" customFormat="false" ht="19.5" hidden="false" customHeight="true" outlineLevel="0" collapsed="false">
      <c r="B6" s="49" t="s">
        <v>70</v>
      </c>
      <c r="C6" s="49"/>
      <c r="E6" s="49" t="s">
        <v>71</v>
      </c>
      <c r="F6" s="49"/>
      <c r="G6" s="49"/>
      <c r="I6" s="49" t="s">
        <v>72</v>
      </c>
      <c r="J6" s="49"/>
      <c r="K6" s="49"/>
      <c r="M6" s="49" t="s">
        <v>73</v>
      </c>
      <c r="N6" s="49"/>
      <c r="O6" s="49"/>
    </row>
    <row r="7" customFormat="false" ht="15.75" hidden="false" customHeight="true" outlineLevel="0" collapsed="false">
      <c r="B7" s="50" t="s">
        <v>74</v>
      </c>
      <c r="C7" s="50"/>
      <c r="E7" s="50" t="s">
        <v>75</v>
      </c>
      <c r="F7" s="50"/>
      <c r="G7" s="50"/>
      <c r="I7" s="50" t="s">
        <v>76</v>
      </c>
      <c r="J7" s="50"/>
      <c r="K7" s="50"/>
      <c r="M7" s="50" t="s">
        <v>77</v>
      </c>
      <c r="N7" s="50"/>
      <c r="O7" s="50"/>
    </row>
    <row r="8" customFormat="false" ht="37.5" hidden="false" customHeight="true" outlineLevel="0" collapsed="false">
      <c r="B8" s="51" t="n">
        <f aca="false">SUM($T$12:$T$211)</f>
        <v>8</v>
      </c>
      <c r="C8" s="51"/>
      <c r="E8" s="52" t="n">
        <f aca="false">IF(SUM($X$12:$X$211)=0,0,SUM($Y$12:$Y$211)/SUM($X$12:$X$211))</f>
        <v>0.0634861481902928</v>
      </c>
      <c r="F8" s="52"/>
      <c r="G8" s="52"/>
      <c r="I8" s="51" t="n">
        <f aca="false">SUM($V$12:$V$211)</f>
        <v>2</v>
      </c>
      <c r="J8" s="51"/>
      <c r="K8" s="51"/>
      <c r="M8" s="51" t="n">
        <f aca="false">SUM($W$12:$W$211)</f>
        <v>2</v>
      </c>
      <c r="N8" s="51"/>
      <c r="O8" s="51"/>
    </row>
    <row r="9" customFormat="false" ht="18" hidden="false" customHeight="true" outlineLevel="0" collapsed="false">
      <c r="B9" s="53" t="n">
        <f aca="false">SUM($Z$12:$Z$211)</f>
        <v>8</v>
      </c>
      <c r="C9" s="53"/>
      <c r="E9" s="54" t="s">
        <v>78</v>
      </c>
      <c r="F9" s="54"/>
      <c r="G9" s="54"/>
      <c r="I9" s="54" t="s">
        <v>79</v>
      </c>
      <c r="J9" s="54"/>
      <c r="K9" s="54"/>
      <c r="M9" s="54" t="s">
        <v>80</v>
      </c>
      <c r="N9" s="54"/>
      <c r="O9" s="54"/>
    </row>
    <row r="11" customFormat="false" ht="48" hidden="false" customHeight="true" outlineLevel="0" collapsed="false">
      <c r="B11" s="24" t="s">
        <v>81</v>
      </c>
      <c r="C11" s="24" t="s">
        <v>82</v>
      </c>
      <c r="D11" s="24" t="s">
        <v>83</v>
      </c>
      <c r="E11" s="24" t="s">
        <v>84</v>
      </c>
      <c r="F11" s="24" t="s">
        <v>85</v>
      </c>
      <c r="G11" s="24" t="s">
        <v>86</v>
      </c>
      <c r="H11" s="24" t="s">
        <v>87</v>
      </c>
      <c r="I11" s="24" t="s">
        <v>88</v>
      </c>
      <c r="J11" s="24" t="s">
        <v>89</v>
      </c>
      <c r="K11" s="24" t="s">
        <v>90</v>
      </c>
      <c r="L11" s="24" t="s">
        <v>91</v>
      </c>
      <c r="M11" s="24" t="s">
        <v>92</v>
      </c>
      <c r="N11" s="24" t="s">
        <v>93</v>
      </c>
      <c r="O11" s="24" t="s">
        <v>94</v>
      </c>
      <c r="P11" s="24" t="s">
        <v>95</v>
      </c>
      <c r="Q11" s="24" t="s">
        <v>96</v>
      </c>
      <c r="R11" s="24" t="s">
        <v>97</v>
      </c>
      <c r="T11" s="55" t="s">
        <v>98</v>
      </c>
      <c r="U11" s="55" t="s">
        <v>99</v>
      </c>
      <c r="V11" s="55" t="s">
        <v>100</v>
      </c>
      <c r="W11" s="55" t="s">
        <v>101</v>
      </c>
      <c r="X11" s="55" t="s">
        <v>102</v>
      </c>
      <c r="Y11" s="55" t="s">
        <v>103</v>
      </c>
      <c r="Z11" s="55" t="s">
        <v>104</v>
      </c>
    </row>
    <row r="12" customFormat="false" ht="15" hidden="false" customHeight="false" outlineLevel="0" collapsed="false">
      <c r="B12" s="56" t="s">
        <v>105</v>
      </c>
      <c r="C12" s="57" t="n">
        <v>4.35</v>
      </c>
      <c r="D12" s="58" t="n">
        <v>12</v>
      </c>
      <c r="E12" s="57" t="n">
        <v>0.8</v>
      </c>
      <c r="F12" s="57" t="n">
        <v>5.5</v>
      </c>
      <c r="G12" s="57" t="n">
        <v>0</v>
      </c>
      <c r="H12" s="59"/>
      <c r="I12" s="60" t="n">
        <f aca="false">IF(B12="","",C12+IF(D12="",0,D12/60*Settings!$C$7)+E12+F12+Settings!$C$8)</f>
        <v>15.15</v>
      </c>
      <c r="J12" s="60" t="n">
        <f aca="false">IF(B12="","",MAX(0,($I12+(Settings!$C$12+Settings!$C$13)-$G12*(1-(Settings!$C$10+Settings!$C$11+IF(Settings!$C$15="Yes / Sí",Settings!$C$14,0))))/(1-(Settings!$C$10+Settings!$C$11+IF(Settings!$C$15="Yes / Sí",Settings!$C$14,0)))))</f>
        <v>17.2375690607735</v>
      </c>
      <c r="K12" s="60" t="n">
        <f aca="false">IF(B12="","",IF(1-(Settings!$C$10+Settings!$C$11+IF(Settings!$C$15="Yes / Sí",Settings!$C$14,0))-IF(H12="",Settings!$C$9,H12)&lt;=0,0,MAX(0,IF(Settings!$C$16="Yes / Sí",IF(ROUNDUP(($I12+(Settings!$C$12+Settings!$C$13)-$G12*(1-(Settings!$C$10+Settings!$C$11+IF(Settings!$C$15="Yes / Sí",Settings!$C$14,0))))/(1-(Settings!$C$10+Settings!$C$11+IF(Settings!$C$15="Yes / Sí",Settings!$C$14,0))-IF(H12="",Settings!$C$9,H12)),0)-0.01&gt;=($I12+(Settings!$C$12+Settings!$C$13)-$G12*(1-(Settings!$C$10+Settings!$C$11+IF(Settings!$C$15="Yes / Sí",Settings!$C$14,0))))/(1-(Settings!$C$10+Settings!$C$11+IF(Settings!$C$15="Yes / Sí",Settings!$C$14,0))-IF(H12="",Settings!$C$9,H12)),ROUNDUP(($I12+(Settings!$C$12+Settings!$C$13)-$G12*(1-(Settings!$C$10+Settings!$C$11+IF(Settings!$C$15="Yes / Sí",Settings!$C$14,0))))/(1-(Settings!$C$10+Settings!$C$11+IF(Settings!$C$15="Yes / Sí",Settings!$C$14,0))-IF(H12="",Settings!$C$9,H12)),0)-0.01,ROUNDUP(($I12+(Settings!$C$12+Settings!$C$13)-$G12*(1-(Settings!$C$10+Settings!$C$11+IF(Settings!$C$15="Yes / Sí",Settings!$C$14,0))))/(1-(Settings!$C$10+Settings!$C$11+IF(Settings!$C$15="Yes / Sí",Settings!$C$14,0))-IF(H12="",Settings!$C$9,H12)),0)+0.99),ROUNDUP(($I12+(Settings!$C$12+Settings!$C$13)-$G12*(1-(Settings!$C$10+Settings!$C$11+IF(Settings!$C$15="Yes / Sí",Settings!$C$14,0))))/(1-(Settings!$C$10+Settings!$C$11+IF(Settings!$C$15="Yes / Sí",Settings!$C$14,0))-IF(H12="",Settings!$C$9,H12)),2)))))</f>
        <v>25.99</v>
      </c>
      <c r="L12" s="60" t="n">
        <f aca="false">IF(OR(B12="",K12=0),"",(K12+$G12-((K12+$G12)*(Settings!$C$10+Settings!$C$11+IF(Settings!$C$15="Yes / Sí",Settings!$C$14,0))+(Settings!$C$12+Settings!$C$13))-$I12))</f>
        <v>7.92095</v>
      </c>
      <c r="M12" s="57" t="n">
        <v>29.99</v>
      </c>
      <c r="N12" s="60" t="n">
        <f aca="false">IF(OR(B12="",M12=""),"",((M12+$G12)*(Settings!$C$10+Settings!$C$11+IF(Settings!$C$15="Yes / Sí",Settings!$C$14,0))+(Settings!$C$12+Settings!$C$13)))</f>
        <v>3.29905</v>
      </c>
      <c r="O12" s="60" t="n">
        <f aca="false">IF(OR(B12="",M12=""),"",(M12+$G12-((M12+$G12)*(Settings!$C$10+Settings!$C$11+IF(Settings!$C$15="Yes / Sí",Settings!$C$14,0))+(Settings!$C$12+Settings!$C$13))-$I12))</f>
        <v>11.54095</v>
      </c>
      <c r="P12" s="61" t="n">
        <f aca="false">IF(O12="","",IF(M12=0,0,O12/M12))</f>
        <v>0.384826608869623</v>
      </c>
      <c r="Q12" s="60" t="n">
        <f aca="false">IF(OR(O12="",D12="",D12=0),"",(O12+D12/60*Settings!$C$7)/(D12/60))</f>
        <v>77.70475</v>
      </c>
      <c r="R12" s="62" t="str">
        <f aca="false">IF(B12="","",IF(M12="","Enter your price / Escribe tu precio",IF(O12&lt;0,"⚠ LOSING MONEY / PIERDES",IF(P12&lt;IF(H12="",Settings!$C$9,H12),"● BELOW TARGET / DEBAJO","✔ ON TARGET / EN OBJETIVO"))))</f>
        <v>✔ ON TARGET / EN OBJETIVO</v>
      </c>
      <c r="T12" s="55" t="n">
        <f aca="false">IF(B12="",0,IF(M12="",0,1))</f>
        <v>1</v>
      </c>
      <c r="U12" s="63" t="n">
        <f aca="false">IF(T12=1,P12,0)</f>
        <v>0.384826608869623</v>
      </c>
      <c r="V12" s="55" t="n">
        <f aca="false">IF(T12=1,IF(O12&lt;0,0,IF(P12&lt;IF(H12="",Settings!$C$9,H12),1,0)),0)</f>
        <v>0</v>
      </c>
      <c r="W12" s="55" t="n">
        <f aca="false">IF(T12=1,IF(O12&lt;0,1,0),0)</f>
        <v>0</v>
      </c>
      <c r="X12" s="64" t="n">
        <f aca="false">IF(T12=1,M12,0)</f>
        <v>29.99</v>
      </c>
      <c r="Y12" s="64" t="n">
        <f aca="false">IF(T12=1,O12,0)</f>
        <v>11.54095</v>
      </c>
      <c r="Z12" s="55" t="n">
        <f aca="false">IF(B12="",0,1)</f>
        <v>1</v>
      </c>
    </row>
    <row r="13" customFormat="false" ht="15" hidden="false" customHeight="false" outlineLevel="0" collapsed="false">
      <c r="B13" s="56" t="s">
        <v>106</v>
      </c>
      <c r="C13" s="57" t="n">
        <v>2.1</v>
      </c>
      <c r="D13" s="58" t="n">
        <v>25</v>
      </c>
      <c r="E13" s="57" t="n">
        <v>0.6</v>
      </c>
      <c r="F13" s="57" t="n">
        <v>4.2</v>
      </c>
      <c r="G13" s="57" t="n">
        <v>0</v>
      </c>
      <c r="H13" s="59"/>
      <c r="I13" s="60" t="n">
        <f aca="false">IF(B13="","",C13+IF(D13="",0,D13/60*Settings!$C$7)+E13+F13+Settings!$C$8)</f>
        <v>15.7333333333333</v>
      </c>
      <c r="J13" s="60" t="n">
        <f aca="false">IF(B13="","",MAX(0,($I13+(Settings!$C$12+Settings!$C$13)-$G13*(1-(Settings!$C$10+Settings!$C$11+IF(Settings!$C$15="Yes / Sí",Settings!$C$14,0))))/(1-(Settings!$C$10+Settings!$C$11+IF(Settings!$C$15="Yes / Sí",Settings!$C$14,0)))))</f>
        <v>17.8821362799263</v>
      </c>
      <c r="K13" s="60" t="n">
        <f aca="false">IF(B13="","",IF(1-(Settings!$C$10+Settings!$C$11+IF(Settings!$C$15="Yes / Sí",Settings!$C$14,0))-IF(H13="",Settings!$C$9,H13)&lt;=0,0,MAX(0,IF(Settings!$C$16="Yes / Sí",IF(ROUNDUP(($I13+(Settings!$C$12+Settings!$C$13)-$G13*(1-(Settings!$C$10+Settings!$C$11+IF(Settings!$C$15="Yes / Sí",Settings!$C$14,0))))/(1-(Settings!$C$10+Settings!$C$11+IF(Settings!$C$15="Yes / Sí",Settings!$C$14,0))-IF(H13="",Settings!$C$9,H13)),0)-0.01&gt;=($I13+(Settings!$C$12+Settings!$C$13)-$G13*(1-(Settings!$C$10+Settings!$C$11+IF(Settings!$C$15="Yes / Sí",Settings!$C$14,0))))/(1-(Settings!$C$10+Settings!$C$11+IF(Settings!$C$15="Yes / Sí",Settings!$C$14,0))-IF(H13="",Settings!$C$9,H13)),ROUNDUP(($I13+(Settings!$C$12+Settings!$C$13)-$G13*(1-(Settings!$C$10+Settings!$C$11+IF(Settings!$C$15="Yes / Sí",Settings!$C$14,0))))/(1-(Settings!$C$10+Settings!$C$11+IF(Settings!$C$15="Yes / Sí",Settings!$C$14,0))-IF(H13="",Settings!$C$9,H13)),0)-0.01,ROUNDUP(($I13+(Settings!$C$12+Settings!$C$13)-$G13*(1-(Settings!$C$10+Settings!$C$11+IF(Settings!$C$15="Yes / Sí",Settings!$C$14,0))))/(1-(Settings!$C$10+Settings!$C$11+IF(Settings!$C$15="Yes / Sí",Settings!$C$14,0))-IF(H13="",Settings!$C$9,H13)),0)+0.99),ROUNDUP(($I13+(Settings!$C$12+Settings!$C$13)-$G13*(1-(Settings!$C$10+Settings!$C$11+IF(Settings!$C$15="Yes / Sí",Settings!$C$14,0))))/(1-(Settings!$C$10+Settings!$C$11+IF(Settings!$C$15="Yes / Sí",Settings!$C$14,0))-IF(H13="",Settings!$C$9,H13)),2)))))</f>
        <v>26.99</v>
      </c>
      <c r="L13" s="60" t="n">
        <f aca="false">IF(OR(B13="",K13=0),"",(K13+$G13-((K13+$G13)*(Settings!$C$10+Settings!$C$11+IF(Settings!$C$15="Yes / Sí",Settings!$C$14,0))+(Settings!$C$12+Settings!$C$13))-$I13))</f>
        <v>8.24261666666666</v>
      </c>
      <c r="M13" s="57" t="n">
        <v>28</v>
      </c>
      <c r="N13" s="60" t="n">
        <f aca="false">IF(OR(B13="",M13=""),"",((M13+$G13)*(Settings!$C$10+Settings!$C$11+IF(Settings!$C$15="Yes / Sí",Settings!$C$14,0))+(Settings!$C$12+Settings!$C$13)))</f>
        <v>3.11</v>
      </c>
      <c r="O13" s="60" t="n">
        <f aca="false">IF(OR(B13="",M13=""),"",(M13+$G13-((M13+$G13)*(Settings!$C$10+Settings!$C$11+IF(Settings!$C$15="Yes / Sí",Settings!$C$14,0))+(Settings!$C$12+Settings!$C$13))-$I13))</f>
        <v>9.15666666666667</v>
      </c>
      <c r="P13" s="61" t="n">
        <f aca="false">IF(O13="","",IF(M13=0,0,O13/M13))</f>
        <v>0.32702380952381</v>
      </c>
      <c r="Q13" s="60" t="n">
        <f aca="false">IF(OR(O13="",D13="",D13=0),"",(O13+D13/60*Settings!$C$7)/(D13/60))</f>
        <v>41.976</v>
      </c>
      <c r="R13" s="62" t="str">
        <f aca="false">IF(B13="","",IF(M13="","Enter your price / Escribe tu precio",IF(O13&lt;0,"⚠ LOSING MONEY / PIERDES",IF(P13&lt;IF(H13="",Settings!$C$9,H13),"● BELOW TARGET / DEBAJO","✔ ON TARGET / EN OBJETIVO"))))</f>
        <v>✔ ON TARGET / EN OBJETIVO</v>
      </c>
      <c r="T13" s="55" t="n">
        <f aca="false">IF(B13="",0,IF(M13="",0,1))</f>
        <v>1</v>
      </c>
      <c r="U13" s="63" t="n">
        <f aca="false">IF(T13=1,P13,0)</f>
        <v>0.32702380952381</v>
      </c>
      <c r="V13" s="55" t="n">
        <f aca="false">IF(T13=1,IF(O13&lt;0,0,IF(P13&lt;IF(H13="",Settings!$C$9,H13),1,0)),0)</f>
        <v>0</v>
      </c>
      <c r="W13" s="55" t="n">
        <f aca="false">IF(T13=1,IF(O13&lt;0,1,0),0)</f>
        <v>0</v>
      </c>
      <c r="X13" s="64" t="n">
        <f aca="false">IF(T13=1,M13,0)</f>
        <v>28</v>
      </c>
      <c r="Y13" s="64" t="n">
        <f aca="false">IF(T13=1,O13,0)</f>
        <v>9.15666666666667</v>
      </c>
      <c r="Z13" s="55" t="n">
        <f aca="false">IF(B13="",0,1)</f>
        <v>1</v>
      </c>
    </row>
    <row r="14" customFormat="false" ht="15" hidden="false" customHeight="false" outlineLevel="0" collapsed="false">
      <c r="B14" s="56" t="s">
        <v>107</v>
      </c>
      <c r="C14" s="57" t="n">
        <v>9.5</v>
      </c>
      <c r="D14" s="58" t="n">
        <v>150</v>
      </c>
      <c r="E14" s="57" t="n">
        <v>1</v>
      </c>
      <c r="F14" s="57" t="n">
        <v>5.8</v>
      </c>
      <c r="G14" s="57" t="n">
        <v>0</v>
      </c>
      <c r="H14" s="59"/>
      <c r="I14" s="60" t="n">
        <f aca="false">IF(B14="","",C14+IF(D14="",0,D14/60*Settings!$C$7)+E14+F14+Settings!$C$8)</f>
        <v>66.8</v>
      </c>
      <c r="J14" s="60" t="n">
        <f aca="false">IF(B14="","",MAX(0,($I14+(Settings!$C$12+Settings!$C$13)-$G14*(1-(Settings!$C$10+Settings!$C$11+IF(Settings!$C$15="Yes / Sí",Settings!$C$14,0))))/(1-(Settings!$C$10+Settings!$C$11+IF(Settings!$C$15="Yes / Sí",Settings!$C$14,0)))))</f>
        <v>74.3093922651934</v>
      </c>
      <c r="K14" s="60" t="n">
        <f aca="false">IF(B14="","",IF(1-(Settings!$C$10+Settings!$C$11+IF(Settings!$C$15="Yes / Sí",Settings!$C$14,0))-IF(H14="",Settings!$C$9,H14)&lt;=0,0,MAX(0,IF(Settings!$C$16="Yes / Sí",IF(ROUNDUP(($I14+(Settings!$C$12+Settings!$C$13)-$G14*(1-(Settings!$C$10+Settings!$C$11+IF(Settings!$C$15="Yes / Sí",Settings!$C$14,0))))/(1-(Settings!$C$10+Settings!$C$11+IF(Settings!$C$15="Yes / Sí",Settings!$C$14,0))-IF(H14="",Settings!$C$9,H14)),0)-0.01&gt;=($I14+(Settings!$C$12+Settings!$C$13)-$G14*(1-(Settings!$C$10+Settings!$C$11+IF(Settings!$C$15="Yes / Sí",Settings!$C$14,0))))/(1-(Settings!$C$10+Settings!$C$11+IF(Settings!$C$15="Yes / Sí",Settings!$C$14,0))-IF(H14="",Settings!$C$9,H14)),ROUNDUP(($I14+(Settings!$C$12+Settings!$C$13)-$G14*(1-(Settings!$C$10+Settings!$C$11+IF(Settings!$C$15="Yes / Sí",Settings!$C$14,0))))/(1-(Settings!$C$10+Settings!$C$11+IF(Settings!$C$15="Yes / Sí",Settings!$C$14,0))-IF(H14="",Settings!$C$9,H14)),0)-0.01,ROUNDUP(($I14+(Settings!$C$12+Settings!$C$13)-$G14*(1-(Settings!$C$10+Settings!$C$11+IF(Settings!$C$15="Yes / Sí",Settings!$C$14,0))))/(1-(Settings!$C$10+Settings!$C$11+IF(Settings!$C$15="Yes / Sí",Settings!$C$14,0))-IF(H14="",Settings!$C$9,H14)),0)+0.99),ROUNDUP(($I14+(Settings!$C$12+Settings!$C$13)-$G14*(1-(Settings!$C$10+Settings!$C$11+IF(Settings!$C$15="Yes / Sí",Settings!$C$14,0))))/(1-(Settings!$C$10+Settings!$C$11+IF(Settings!$C$15="Yes / Sí",Settings!$C$14,0))-IF(H14="",Settings!$C$9,H14)),2)))))</f>
        <v>111.99</v>
      </c>
      <c r="L14" s="60" t="n">
        <f aca="false">IF(OR(B14="",K14=0),"",(K14+$G14-((K14+$G14)*(Settings!$C$10+Settings!$C$11+IF(Settings!$C$15="Yes / Sí",Settings!$C$14,0))+(Settings!$C$12+Settings!$C$13))-$I14))</f>
        <v>34.10095</v>
      </c>
      <c r="M14" s="57" t="n">
        <v>45</v>
      </c>
      <c r="N14" s="60" t="n">
        <f aca="false">IF(OR(B14="",M14=""),"",((M14+$G14)*(Settings!$C$10+Settings!$C$11+IF(Settings!$C$15="Yes / Sí",Settings!$C$14,0))+(Settings!$C$12+Settings!$C$13)))</f>
        <v>4.725</v>
      </c>
      <c r="O14" s="60" t="n">
        <f aca="false">IF(OR(B14="",M14=""),"",(M14+$G14-((M14+$G14)*(Settings!$C$10+Settings!$C$11+IF(Settings!$C$15="Yes / Sí",Settings!$C$14,0))+(Settings!$C$12+Settings!$C$13))-$I14))</f>
        <v>-26.525</v>
      </c>
      <c r="P14" s="61" t="n">
        <f aca="false">IF(O14="","",IF(M14=0,0,O14/M14))</f>
        <v>-0.589444444444444</v>
      </c>
      <c r="Q14" s="60" t="n">
        <f aca="false">IF(OR(O14="",D14="",D14=0),"",(O14+D14/60*Settings!$C$7)/(D14/60))</f>
        <v>9.39</v>
      </c>
      <c r="R14" s="62" t="str">
        <f aca="false">IF(B14="","",IF(M14="","Enter your price / Escribe tu precio",IF(O14&lt;0,"⚠ LOSING MONEY / PIERDES",IF(P14&lt;IF(H14="",Settings!$C$9,H14),"● BELOW TARGET / DEBAJO","✔ ON TARGET / EN OBJETIVO"))))</f>
        <v>⚠ LOSING MONEY / PIERDES</v>
      </c>
      <c r="T14" s="55" t="n">
        <f aca="false">IF(B14="",0,IF(M14="",0,1))</f>
        <v>1</v>
      </c>
      <c r="U14" s="63" t="n">
        <f aca="false">IF(T14=1,P14,0)</f>
        <v>-0.589444444444444</v>
      </c>
      <c r="V14" s="55" t="n">
        <f aca="false">IF(T14=1,IF(O14&lt;0,0,IF(P14&lt;IF(H14="",Settings!$C$9,H14),1,0)),0)</f>
        <v>0</v>
      </c>
      <c r="W14" s="55" t="n">
        <f aca="false">IF(T14=1,IF(O14&lt;0,1,0),0)</f>
        <v>1</v>
      </c>
      <c r="X14" s="64" t="n">
        <f aca="false">IF(T14=1,M14,0)</f>
        <v>45</v>
      </c>
      <c r="Y14" s="64" t="n">
        <f aca="false">IF(T14=1,O14,0)</f>
        <v>-26.525</v>
      </c>
      <c r="Z14" s="55" t="n">
        <f aca="false">IF(B14="",0,1)</f>
        <v>1</v>
      </c>
    </row>
    <row r="15" customFormat="false" ht="15" hidden="false" customHeight="false" outlineLevel="0" collapsed="false">
      <c r="B15" s="56" t="s">
        <v>108</v>
      </c>
      <c r="C15" s="57" t="n">
        <v>1.2</v>
      </c>
      <c r="D15" s="58" t="n">
        <v>10</v>
      </c>
      <c r="E15" s="57" t="n">
        <v>0.3</v>
      </c>
      <c r="F15" s="57" t="n">
        <v>1</v>
      </c>
      <c r="G15" s="57" t="n">
        <v>0</v>
      </c>
      <c r="H15" s="59"/>
      <c r="I15" s="60" t="n">
        <f aca="false">IF(B15="","",C15+IF(D15="",0,D15/60*Settings!$C$7)+E15+F15+Settings!$C$8)</f>
        <v>6.33333333333333</v>
      </c>
      <c r="J15" s="60" t="n">
        <f aca="false">IF(B15="","",MAX(0,($I15+(Settings!$C$12+Settings!$C$13)-$G15*(1-(Settings!$C$10+Settings!$C$11+IF(Settings!$C$15="Yes / Sí",Settings!$C$14,0))))/(1-(Settings!$C$10+Settings!$C$11+IF(Settings!$C$15="Yes / Sí",Settings!$C$14,0)))))</f>
        <v>7.49539594843462</v>
      </c>
      <c r="K15" s="60" t="n">
        <f aca="false">IF(B15="","",IF(1-(Settings!$C$10+Settings!$C$11+IF(Settings!$C$15="Yes / Sí",Settings!$C$14,0))-IF(H15="",Settings!$C$9,H15)&lt;=0,0,MAX(0,IF(Settings!$C$16="Yes / Sí",IF(ROUNDUP(($I15+(Settings!$C$12+Settings!$C$13)-$G15*(1-(Settings!$C$10+Settings!$C$11+IF(Settings!$C$15="Yes / Sí",Settings!$C$14,0))))/(1-(Settings!$C$10+Settings!$C$11+IF(Settings!$C$15="Yes / Sí",Settings!$C$14,0))-IF(H15="",Settings!$C$9,H15)),0)-0.01&gt;=($I15+(Settings!$C$12+Settings!$C$13)-$G15*(1-(Settings!$C$10+Settings!$C$11+IF(Settings!$C$15="Yes / Sí",Settings!$C$14,0))))/(1-(Settings!$C$10+Settings!$C$11+IF(Settings!$C$15="Yes / Sí",Settings!$C$14,0))-IF(H15="",Settings!$C$9,H15)),ROUNDUP(($I15+(Settings!$C$12+Settings!$C$13)-$G15*(1-(Settings!$C$10+Settings!$C$11+IF(Settings!$C$15="Yes / Sí",Settings!$C$14,0))))/(1-(Settings!$C$10+Settings!$C$11+IF(Settings!$C$15="Yes / Sí",Settings!$C$14,0))-IF(H15="",Settings!$C$9,H15)),0)-0.01,ROUNDUP(($I15+(Settings!$C$12+Settings!$C$13)-$G15*(1-(Settings!$C$10+Settings!$C$11+IF(Settings!$C$15="Yes / Sí",Settings!$C$14,0))))/(1-(Settings!$C$10+Settings!$C$11+IF(Settings!$C$15="Yes / Sí",Settings!$C$14,0))-IF(H15="",Settings!$C$9,H15)),0)+0.99),ROUNDUP(($I15+(Settings!$C$12+Settings!$C$13)-$G15*(1-(Settings!$C$10+Settings!$C$11+IF(Settings!$C$15="Yes / Sí",Settings!$C$14,0))))/(1-(Settings!$C$10+Settings!$C$11+IF(Settings!$C$15="Yes / Sí",Settings!$C$14,0))-IF(H15="",Settings!$C$9,H15)),2)))))</f>
        <v>11.99</v>
      </c>
      <c r="L15" s="60" t="n">
        <f aca="false">IF(OR(B15="",K15=0),"",(K15+$G15-((K15+$G15)*(Settings!$C$10+Settings!$C$11+IF(Settings!$C$15="Yes / Sí",Settings!$C$14,0))+(Settings!$C$12+Settings!$C$13))-$I15))</f>
        <v>4.06761666666667</v>
      </c>
      <c r="M15" s="57" t="n">
        <v>12</v>
      </c>
      <c r="N15" s="60" t="n">
        <f aca="false">IF(OR(B15="",M15=""),"",((M15+$G15)*(Settings!$C$10+Settings!$C$11+IF(Settings!$C$15="Yes / Sí",Settings!$C$14,0))+(Settings!$C$12+Settings!$C$13)))</f>
        <v>1.59</v>
      </c>
      <c r="O15" s="60" t="n">
        <f aca="false">IF(OR(B15="",M15=""),"",(M15+$G15-((M15+$G15)*(Settings!$C$10+Settings!$C$11+IF(Settings!$C$15="Yes / Sí",Settings!$C$14,0))+(Settings!$C$12+Settings!$C$13))-$I15))</f>
        <v>4.07666666666667</v>
      </c>
      <c r="P15" s="61" t="n">
        <f aca="false">IF(O15="","",IF(M15=0,0,O15/M15))</f>
        <v>0.339722222222222</v>
      </c>
      <c r="Q15" s="60" t="n">
        <f aca="false">IF(OR(O15="",D15="",D15=0),"",(O15+D15/60*Settings!$C$7)/(D15/60))</f>
        <v>44.46</v>
      </c>
      <c r="R15" s="62" t="str">
        <f aca="false">IF(B15="","",IF(M15="","Enter your price / Escribe tu precio",IF(O15&lt;0,"⚠ LOSING MONEY / PIERDES",IF(P15&lt;IF(H15="",Settings!$C$9,H15),"● BELOW TARGET / DEBAJO","✔ ON TARGET / EN OBJETIVO"))))</f>
        <v>✔ ON TARGET / EN OBJETIVO</v>
      </c>
      <c r="T15" s="55" t="n">
        <f aca="false">IF(B15="",0,IF(M15="",0,1))</f>
        <v>1</v>
      </c>
      <c r="U15" s="63" t="n">
        <f aca="false">IF(T15=1,P15,0)</f>
        <v>0.339722222222222</v>
      </c>
      <c r="V15" s="55" t="n">
        <f aca="false">IF(T15=1,IF(O15&lt;0,0,IF(P15&lt;IF(H15="",Settings!$C$9,H15),1,0)),0)</f>
        <v>0</v>
      </c>
      <c r="W15" s="55" t="n">
        <f aca="false">IF(T15=1,IF(O15&lt;0,1,0),0)</f>
        <v>0</v>
      </c>
      <c r="X15" s="64" t="n">
        <f aca="false">IF(T15=1,M15,0)</f>
        <v>12</v>
      </c>
      <c r="Y15" s="64" t="n">
        <f aca="false">IF(T15=1,O15,0)</f>
        <v>4.07666666666667</v>
      </c>
      <c r="Z15" s="55" t="n">
        <f aca="false">IF(B15="",0,1)</f>
        <v>1</v>
      </c>
    </row>
    <row r="16" customFormat="false" ht="15" hidden="false" customHeight="false" outlineLevel="0" collapsed="false">
      <c r="B16" s="56" t="s">
        <v>109</v>
      </c>
      <c r="C16" s="57" t="n">
        <v>6.75</v>
      </c>
      <c r="D16" s="58" t="n">
        <v>60</v>
      </c>
      <c r="E16" s="57" t="n">
        <v>2.5</v>
      </c>
      <c r="F16" s="57" t="n">
        <v>9.5</v>
      </c>
      <c r="G16" s="57" t="n">
        <v>0</v>
      </c>
      <c r="H16" s="59" t="n">
        <v>0.35</v>
      </c>
      <c r="I16" s="60" t="n">
        <f aca="false">IF(B16="","",C16+IF(D16="",0,D16/60*Settings!$C$7)+E16+F16+Settings!$C$8)</f>
        <v>39.25</v>
      </c>
      <c r="J16" s="60" t="n">
        <f aca="false">IF(B16="","",MAX(0,($I16+(Settings!$C$12+Settings!$C$13)-$G16*(1-(Settings!$C$10+Settings!$C$11+IF(Settings!$C$15="Yes / Sí",Settings!$C$14,0))))/(1-(Settings!$C$10+Settings!$C$11+IF(Settings!$C$15="Yes / Sí",Settings!$C$14,0)))))</f>
        <v>43.8674033149171</v>
      </c>
      <c r="K16" s="60" t="n">
        <f aca="false">IF(B16="","",IF(1-(Settings!$C$10+Settings!$C$11+IF(Settings!$C$15="Yes / Sí",Settings!$C$14,0))-IF(H16="",Settings!$C$9,H16)&lt;=0,0,MAX(0,IF(Settings!$C$16="Yes / Sí",IF(ROUNDUP(($I16+(Settings!$C$12+Settings!$C$13)-$G16*(1-(Settings!$C$10+Settings!$C$11+IF(Settings!$C$15="Yes / Sí",Settings!$C$14,0))))/(1-(Settings!$C$10+Settings!$C$11+IF(Settings!$C$15="Yes / Sí",Settings!$C$14,0))-IF(H16="",Settings!$C$9,H16)),0)-0.01&gt;=($I16+(Settings!$C$12+Settings!$C$13)-$G16*(1-(Settings!$C$10+Settings!$C$11+IF(Settings!$C$15="Yes / Sí",Settings!$C$14,0))))/(1-(Settings!$C$10+Settings!$C$11+IF(Settings!$C$15="Yes / Sí",Settings!$C$14,0))-IF(H16="",Settings!$C$9,H16)),ROUNDUP(($I16+(Settings!$C$12+Settings!$C$13)-$G16*(1-(Settings!$C$10+Settings!$C$11+IF(Settings!$C$15="Yes / Sí",Settings!$C$14,0))))/(1-(Settings!$C$10+Settings!$C$11+IF(Settings!$C$15="Yes / Sí",Settings!$C$14,0))-IF(H16="",Settings!$C$9,H16)),0)-0.01,ROUNDUP(($I16+(Settings!$C$12+Settings!$C$13)-$G16*(1-(Settings!$C$10+Settings!$C$11+IF(Settings!$C$15="Yes / Sí",Settings!$C$14,0))))/(1-(Settings!$C$10+Settings!$C$11+IF(Settings!$C$15="Yes / Sí",Settings!$C$14,0))-IF(H16="",Settings!$C$9,H16)),0)+0.99),ROUNDUP(($I16+(Settings!$C$12+Settings!$C$13)-$G16*(1-(Settings!$C$10+Settings!$C$11+IF(Settings!$C$15="Yes / Sí",Settings!$C$14,0))))/(1-(Settings!$C$10+Settings!$C$11+IF(Settings!$C$15="Yes / Sí",Settings!$C$14,0))-IF(H16="",Settings!$C$9,H16)),2)))))</f>
        <v>71.99</v>
      </c>
      <c r="L16" s="60" t="n">
        <f aca="false">IF(OR(B16="",K16=0),"",(K16+$G16-((K16+$G16)*(Settings!$C$10+Settings!$C$11+IF(Settings!$C$15="Yes / Sí",Settings!$C$14,0))+(Settings!$C$12+Settings!$C$13))-$I16))</f>
        <v>25.45095</v>
      </c>
      <c r="M16" s="57" t="n">
        <v>49</v>
      </c>
      <c r="N16" s="60" t="n">
        <f aca="false">IF(OR(B16="",M16=""),"",((M16+$G16)*(Settings!$C$10+Settings!$C$11+IF(Settings!$C$15="Yes / Sí",Settings!$C$14,0))+(Settings!$C$12+Settings!$C$13)))</f>
        <v>5.105</v>
      </c>
      <c r="O16" s="60" t="n">
        <f aca="false">IF(OR(B16="",M16=""),"",(M16+$G16-((M16+$G16)*(Settings!$C$10+Settings!$C$11+IF(Settings!$C$15="Yes / Sí",Settings!$C$14,0))+(Settings!$C$12+Settings!$C$13))-$I16))</f>
        <v>4.645</v>
      </c>
      <c r="P16" s="61" t="n">
        <f aca="false">IF(O16="","",IF(M16=0,0,O16/M16))</f>
        <v>0.0947959183673469</v>
      </c>
      <c r="Q16" s="60" t="n">
        <f aca="false">IF(OR(O16="",D16="",D16=0),"",(O16+D16/60*Settings!$C$7)/(D16/60))</f>
        <v>24.645</v>
      </c>
      <c r="R16" s="62" t="str">
        <f aca="false">IF(B16="","",IF(M16="","Enter your price / Escribe tu precio",IF(O16&lt;0,"⚠ LOSING MONEY / PIERDES",IF(P16&lt;IF(H16="",Settings!$C$9,H16),"● BELOW TARGET / DEBAJO","✔ ON TARGET / EN OBJETIVO"))))</f>
        <v>● BELOW TARGET / DEBAJO</v>
      </c>
      <c r="T16" s="55" t="n">
        <f aca="false">IF(B16="",0,IF(M16="",0,1))</f>
        <v>1</v>
      </c>
      <c r="U16" s="63" t="n">
        <f aca="false">IF(T16=1,P16,0)</f>
        <v>0.0947959183673469</v>
      </c>
      <c r="V16" s="55" t="n">
        <f aca="false">IF(T16=1,IF(O16&lt;0,0,IF(P16&lt;IF(H16="",Settings!$C$9,H16),1,0)),0)</f>
        <v>1</v>
      </c>
      <c r="W16" s="55" t="n">
        <f aca="false">IF(T16=1,IF(O16&lt;0,1,0),0)</f>
        <v>0</v>
      </c>
      <c r="X16" s="64" t="n">
        <f aca="false">IF(T16=1,M16,0)</f>
        <v>49</v>
      </c>
      <c r="Y16" s="64" t="n">
        <f aca="false">IF(T16=1,O16,0)</f>
        <v>4.645</v>
      </c>
      <c r="Z16" s="55" t="n">
        <f aca="false">IF(B16="",0,1)</f>
        <v>1</v>
      </c>
    </row>
    <row r="17" customFormat="false" ht="15" hidden="false" customHeight="false" outlineLevel="0" collapsed="false">
      <c r="B17" s="56" t="s">
        <v>110</v>
      </c>
      <c r="C17" s="57" t="n">
        <v>1.35</v>
      </c>
      <c r="D17" s="58" t="n">
        <v>8</v>
      </c>
      <c r="E17" s="57" t="n">
        <v>0.4</v>
      </c>
      <c r="F17" s="57" t="n">
        <v>4.5</v>
      </c>
      <c r="G17" s="57" t="n">
        <v>4.5</v>
      </c>
      <c r="H17" s="59"/>
      <c r="I17" s="60" t="n">
        <f aca="false">IF(B17="","",C17+IF(D17="",0,D17/60*Settings!$C$7)+E17+F17+Settings!$C$8)</f>
        <v>9.41666666666667</v>
      </c>
      <c r="J17" s="60" t="n">
        <f aca="false">IF(B17="","",MAX(0,($I17+(Settings!$C$12+Settings!$C$13)-$G17*(1-(Settings!$C$10+Settings!$C$11+IF(Settings!$C$15="Yes / Sí",Settings!$C$14,0))))/(1-(Settings!$C$10+Settings!$C$11+IF(Settings!$C$15="Yes / Sí",Settings!$C$14,0)))))</f>
        <v>6.402394106814</v>
      </c>
      <c r="K17" s="60" t="n">
        <f aca="false">IF(B17="","",IF(1-(Settings!$C$10+Settings!$C$11+IF(Settings!$C$15="Yes / Sí",Settings!$C$14,0))-IF(H17="",Settings!$C$9,H17)&lt;=0,0,MAX(0,IF(Settings!$C$16="Yes / Sí",IF(ROUNDUP(($I17+(Settings!$C$12+Settings!$C$13)-$G17*(1-(Settings!$C$10+Settings!$C$11+IF(Settings!$C$15="Yes / Sí",Settings!$C$14,0))))/(1-(Settings!$C$10+Settings!$C$11+IF(Settings!$C$15="Yes / Sí",Settings!$C$14,0))-IF(H17="",Settings!$C$9,H17)),0)-0.01&gt;=($I17+(Settings!$C$12+Settings!$C$13)-$G17*(1-(Settings!$C$10+Settings!$C$11+IF(Settings!$C$15="Yes / Sí",Settings!$C$14,0))))/(1-(Settings!$C$10+Settings!$C$11+IF(Settings!$C$15="Yes / Sí",Settings!$C$14,0))-IF(H17="",Settings!$C$9,H17)),ROUNDUP(($I17+(Settings!$C$12+Settings!$C$13)-$G17*(1-(Settings!$C$10+Settings!$C$11+IF(Settings!$C$15="Yes / Sí",Settings!$C$14,0))))/(1-(Settings!$C$10+Settings!$C$11+IF(Settings!$C$15="Yes / Sí",Settings!$C$14,0))-IF(H17="",Settings!$C$9,H17)),0)-0.01,ROUNDUP(($I17+(Settings!$C$12+Settings!$C$13)-$G17*(1-(Settings!$C$10+Settings!$C$11+IF(Settings!$C$15="Yes / Sí",Settings!$C$14,0))))/(1-(Settings!$C$10+Settings!$C$11+IF(Settings!$C$15="Yes / Sí",Settings!$C$14,0))-IF(H17="",Settings!$C$9,H17)),0)+0.99),ROUNDUP(($I17+(Settings!$C$12+Settings!$C$13)-$G17*(1-(Settings!$C$10+Settings!$C$11+IF(Settings!$C$15="Yes / Sí",Settings!$C$14,0))))/(1-(Settings!$C$10+Settings!$C$11+IF(Settings!$C$15="Yes / Sí",Settings!$C$14,0))-IF(H17="",Settings!$C$9,H17)),2)))))</f>
        <v>9.99</v>
      </c>
      <c r="L17" s="60" t="n">
        <f aca="false">IF(OR(B17="",K17=0),"",(K17+$G17-((K17+$G17)*(Settings!$C$10+Settings!$C$11+IF(Settings!$C$15="Yes / Sí",Settings!$C$14,0))+(Settings!$C$12+Settings!$C$13))-$I17))</f>
        <v>3.24678333333333</v>
      </c>
      <c r="M17" s="57" t="n">
        <v>10.5</v>
      </c>
      <c r="N17" s="60" t="n">
        <f aca="false">IF(OR(B17="",M17=""),"",((M17+$G17)*(Settings!$C$10+Settings!$C$11+IF(Settings!$C$15="Yes / Sí",Settings!$C$14,0))+(Settings!$C$12+Settings!$C$13)))</f>
        <v>1.875</v>
      </c>
      <c r="O17" s="60" t="n">
        <f aca="false">IF(OR(B17="",M17=""),"",(M17+$G17-((M17+$G17)*(Settings!$C$10+Settings!$C$11+IF(Settings!$C$15="Yes / Sí",Settings!$C$14,0))+(Settings!$C$12+Settings!$C$13))-$I17))</f>
        <v>3.70833333333333</v>
      </c>
      <c r="P17" s="61" t="n">
        <f aca="false">IF(O17="","",IF(M17=0,0,O17/M17))</f>
        <v>0.353174603174603</v>
      </c>
      <c r="Q17" s="60" t="n">
        <f aca="false">IF(OR(O17="",D17="",D17=0),"",(O17+D17/60*Settings!$C$7)/(D17/60))</f>
        <v>47.8125</v>
      </c>
      <c r="R17" s="62" t="str">
        <f aca="false">IF(B17="","",IF(M17="","Enter your price / Escribe tu precio",IF(O17&lt;0,"⚠ LOSING MONEY / PIERDES",IF(P17&lt;IF(H17="",Settings!$C$9,H17),"● BELOW TARGET / DEBAJO","✔ ON TARGET / EN OBJETIVO"))))</f>
        <v>✔ ON TARGET / EN OBJETIVO</v>
      </c>
      <c r="T17" s="55" t="n">
        <f aca="false">IF(B17="",0,IF(M17="",0,1))</f>
        <v>1</v>
      </c>
      <c r="U17" s="63" t="n">
        <f aca="false">IF(T17=1,P17,0)</f>
        <v>0.353174603174603</v>
      </c>
      <c r="V17" s="55" t="n">
        <f aca="false">IF(T17=1,IF(O17&lt;0,0,IF(P17&lt;IF(H17="",Settings!$C$9,H17),1,0)),0)</f>
        <v>0</v>
      </c>
      <c r="W17" s="55" t="n">
        <f aca="false">IF(T17=1,IF(O17&lt;0,1,0),0)</f>
        <v>0</v>
      </c>
      <c r="X17" s="64" t="n">
        <f aca="false">IF(T17=1,M17,0)</f>
        <v>10.5</v>
      </c>
      <c r="Y17" s="64" t="n">
        <f aca="false">IF(T17=1,O17,0)</f>
        <v>3.70833333333333</v>
      </c>
      <c r="Z17" s="55" t="n">
        <f aca="false">IF(B17="",0,1)</f>
        <v>1</v>
      </c>
    </row>
    <row r="18" customFormat="false" ht="15" hidden="false" customHeight="false" outlineLevel="0" collapsed="false">
      <c r="B18" s="56" t="s">
        <v>111</v>
      </c>
      <c r="C18" s="57" t="n">
        <v>1.8</v>
      </c>
      <c r="D18" s="58" t="n">
        <v>20</v>
      </c>
      <c r="E18" s="57" t="n">
        <v>0.3</v>
      </c>
      <c r="F18" s="57" t="n">
        <v>4.2</v>
      </c>
      <c r="G18" s="57" t="n">
        <v>0</v>
      </c>
      <c r="H18" s="59"/>
      <c r="I18" s="60" t="n">
        <f aca="false">IF(B18="","",C18+IF(D18="",0,D18/60*Settings!$C$7)+E18+F18+Settings!$C$8)</f>
        <v>13.4666666666667</v>
      </c>
      <c r="J18" s="60" t="n">
        <f aca="false">IF(B18="","",MAX(0,($I18+(Settings!$C$12+Settings!$C$13)-$G18*(1-(Settings!$C$10+Settings!$C$11+IF(Settings!$C$15="Yes / Sí",Settings!$C$14,0))))/(1-(Settings!$C$10+Settings!$C$11+IF(Settings!$C$15="Yes / Sí",Settings!$C$14,0)))))</f>
        <v>15.377532228361</v>
      </c>
      <c r="K18" s="60" t="n">
        <f aca="false">IF(B18="","",IF(1-(Settings!$C$10+Settings!$C$11+IF(Settings!$C$15="Yes / Sí",Settings!$C$14,0))-IF(H18="",Settings!$C$9,H18)&lt;=0,0,MAX(0,IF(Settings!$C$16="Yes / Sí",IF(ROUNDUP(($I18+(Settings!$C$12+Settings!$C$13)-$G18*(1-(Settings!$C$10+Settings!$C$11+IF(Settings!$C$15="Yes / Sí",Settings!$C$14,0))))/(1-(Settings!$C$10+Settings!$C$11+IF(Settings!$C$15="Yes / Sí",Settings!$C$14,0))-IF(H18="",Settings!$C$9,H18)),0)-0.01&gt;=($I18+(Settings!$C$12+Settings!$C$13)-$G18*(1-(Settings!$C$10+Settings!$C$11+IF(Settings!$C$15="Yes / Sí",Settings!$C$14,0))))/(1-(Settings!$C$10+Settings!$C$11+IF(Settings!$C$15="Yes / Sí",Settings!$C$14,0))-IF(H18="",Settings!$C$9,H18)),ROUNDUP(($I18+(Settings!$C$12+Settings!$C$13)-$G18*(1-(Settings!$C$10+Settings!$C$11+IF(Settings!$C$15="Yes / Sí",Settings!$C$14,0))))/(1-(Settings!$C$10+Settings!$C$11+IF(Settings!$C$15="Yes / Sí",Settings!$C$14,0))-IF(H18="",Settings!$C$9,H18)),0)-0.01,ROUNDUP(($I18+(Settings!$C$12+Settings!$C$13)-$G18*(1-(Settings!$C$10+Settings!$C$11+IF(Settings!$C$15="Yes / Sí",Settings!$C$14,0))))/(1-(Settings!$C$10+Settings!$C$11+IF(Settings!$C$15="Yes / Sí",Settings!$C$14,0))-IF(H18="",Settings!$C$9,H18)),0)+0.99),ROUNDUP(($I18+(Settings!$C$12+Settings!$C$13)-$G18*(1-(Settings!$C$10+Settings!$C$11+IF(Settings!$C$15="Yes / Sí",Settings!$C$14,0))))/(1-(Settings!$C$10+Settings!$C$11+IF(Settings!$C$15="Yes / Sí",Settings!$C$14,0))-IF(H18="",Settings!$C$9,H18)),2)))))</f>
        <v>23.99</v>
      </c>
      <c r="L18" s="60" t="n">
        <f aca="false">IF(OR(B18="",K18=0),"",(K18+$G18-((K18+$G18)*(Settings!$C$10+Settings!$C$11+IF(Settings!$C$15="Yes / Sí",Settings!$C$14,0))+(Settings!$C$12+Settings!$C$13))-$I18))</f>
        <v>7.79428333333333</v>
      </c>
      <c r="M18" s="57" t="n">
        <v>12</v>
      </c>
      <c r="N18" s="60" t="n">
        <f aca="false">IF(OR(B18="",M18=""),"",((M18+$G18)*(Settings!$C$10+Settings!$C$11+IF(Settings!$C$15="Yes / Sí",Settings!$C$14,0))+(Settings!$C$12+Settings!$C$13)))</f>
        <v>1.59</v>
      </c>
      <c r="O18" s="60" t="n">
        <f aca="false">IF(OR(B18="",M18=""),"",(M18+$G18-((M18+$G18)*(Settings!$C$10+Settings!$C$11+IF(Settings!$C$15="Yes / Sí",Settings!$C$14,0))+(Settings!$C$12+Settings!$C$13))-$I18))</f>
        <v>-3.05666666666667</v>
      </c>
      <c r="P18" s="61" t="n">
        <f aca="false">IF(O18="","",IF(M18=0,0,O18/M18))</f>
        <v>-0.254722222222222</v>
      </c>
      <c r="Q18" s="60" t="n">
        <f aca="false">IF(OR(O18="",D18="",D18=0),"",(O18+D18/60*Settings!$C$7)/(D18/60))</f>
        <v>10.83</v>
      </c>
      <c r="R18" s="62" t="str">
        <f aca="false">IF(B18="","",IF(M18="","Enter your price / Escribe tu precio",IF(O18&lt;0,"⚠ LOSING MONEY / PIERDES",IF(P18&lt;IF(H18="",Settings!$C$9,H18),"● BELOW TARGET / DEBAJO","✔ ON TARGET / EN OBJETIVO"))))</f>
        <v>⚠ LOSING MONEY / PIERDES</v>
      </c>
      <c r="T18" s="55" t="n">
        <f aca="false">IF(B18="",0,IF(M18="",0,1))</f>
        <v>1</v>
      </c>
      <c r="U18" s="63" t="n">
        <f aca="false">IF(T18=1,P18,0)</f>
        <v>-0.254722222222222</v>
      </c>
      <c r="V18" s="55" t="n">
        <f aca="false">IF(T18=1,IF(O18&lt;0,0,IF(P18&lt;IF(H18="",Settings!$C$9,H18),1,0)),0)</f>
        <v>0</v>
      </c>
      <c r="W18" s="55" t="n">
        <f aca="false">IF(T18=1,IF(O18&lt;0,1,0),0)</f>
        <v>1</v>
      </c>
      <c r="X18" s="64" t="n">
        <f aca="false">IF(T18=1,M18,0)</f>
        <v>12</v>
      </c>
      <c r="Y18" s="64" t="n">
        <f aca="false">IF(T18=1,O18,0)</f>
        <v>-3.05666666666667</v>
      </c>
      <c r="Z18" s="55" t="n">
        <f aca="false">IF(B18="",0,1)</f>
        <v>1</v>
      </c>
    </row>
    <row r="19" customFormat="false" ht="15" hidden="false" customHeight="false" outlineLevel="0" collapsed="false">
      <c r="B19" s="56" t="s">
        <v>112</v>
      </c>
      <c r="C19" s="57" t="n">
        <v>4.2</v>
      </c>
      <c r="D19" s="58" t="n">
        <v>45</v>
      </c>
      <c r="E19" s="57" t="n">
        <v>0.8</v>
      </c>
      <c r="F19" s="57" t="n">
        <v>6.1</v>
      </c>
      <c r="G19" s="57" t="n">
        <v>0</v>
      </c>
      <c r="H19" s="59"/>
      <c r="I19" s="60" t="n">
        <f aca="false">IF(B19="","",C19+IF(D19="",0,D19/60*Settings!$C$7)+E19+F19+Settings!$C$8)</f>
        <v>26.6</v>
      </c>
      <c r="J19" s="60" t="n">
        <f aca="false">IF(B19="","",MAX(0,($I19+(Settings!$C$12+Settings!$C$13)-$G19*(1-(Settings!$C$10+Settings!$C$11+IF(Settings!$C$15="Yes / Sí",Settings!$C$14,0))))/(1-(Settings!$C$10+Settings!$C$11+IF(Settings!$C$15="Yes / Sí",Settings!$C$14,0)))))</f>
        <v>29.8895027624309</v>
      </c>
      <c r="K19" s="60" t="n">
        <f aca="false">IF(B19="","",IF(1-(Settings!$C$10+Settings!$C$11+IF(Settings!$C$15="Yes / Sí",Settings!$C$14,0))-IF(H19="",Settings!$C$9,H19)&lt;=0,0,MAX(0,IF(Settings!$C$16="Yes / Sí",IF(ROUNDUP(($I19+(Settings!$C$12+Settings!$C$13)-$G19*(1-(Settings!$C$10+Settings!$C$11+IF(Settings!$C$15="Yes / Sí",Settings!$C$14,0))))/(1-(Settings!$C$10+Settings!$C$11+IF(Settings!$C$15="Yes / Sí",Settings!$C$14,0))-IF(H19="",Settings!$C$9,H19)),0)-0.01&gt;=($I19+(Settings!$C$12+Settings!$C$13)-$G19*(1-(Settings!$C$10+Settings!$C$11+IF(Settings!$C$15="Yes / Sí",Settings!$C$14,0))))/(1-(Settings!$C$10+Settings!$C$11+IF(Settings!$C$15="Yes / Sí",Settings!$C$14,0))-IF(H19="",Settings!$C$9,H19)),ROUNDUP(($I19+(Settings!$C$12+Settings!$C$13)-$G19*(1-(Settings!$C$10+Settings!$C$11+IF(Settings!$C$15="Yes / Sí",Settings!$C$14,0))))/(1-(Settings!$C$10+Settings!$C$11+IF(Settings!$C$15="Yes / Sí",Settings!$C$14,0))-IF(H19="",Settings!$C$9,H19)),0)-0.01,ROUNDUP(($I19+(Settings!$C$12+Settings!$C$13)-$G19*(1-(Settings!$C$10+Settings!$C$11+IF(Settings!$C$15="Yes / Sí",Settings!$C$14,0))))/(1-(Settings!$C$10+Settings!$C$11+IF(Settings!$C$15="Yes / Sí",Settings!$C$14,0))-IF(H19="",Settings!$C$9,H19)),0)+0.99),ROUNDUP(($I19+(Settings!$C$12+Settings!$C$13)-$G19*(1-(Settings!$C$10+Settings!$C$11+IF(Settings!$C$15="Yes / Sí",Settings!$C$14,0))))/(1-(Settings!$C$10+Settings!$C$11+IF(Settings!$C$15="Yes / Sí",Settings!$C$14,0))-IF(H19="",Settings!$C$9,H19)),2)))))</f>
        <v>44.99</v>
      </c>
      <c r="L19" s="60" t="n">
        <f aca="false">IF(OR(B19="",K19=0),"",(K19+$G19-((K19+$G19)*(Settings!$C$10+Settings!$C$11+IF(Settings!$C$15="Yes / Sí",Settings!$C$14,0))+(Settings!$C$12+Settings!$C$13))-$I19))</f>
        <v>13.66595</v>
      </c>
      <c r="M19" s="57" t="n">
        <v>42</v>
      </c>
      <c r="N19" s="60" t="n">
        <f aca="false">IF(OR(B19="",M19=""),"",((M19+$G19)*(Settings!$C$10+Settings!$C$11+IF(Settings!$C$15="Yes / Sí",Settings!$C$14,0))+(Settings!$C$12+Settings!$C$13)))</f>
        <v>4.44</v>
      </c>
      <c r="O19" s="60" t="n">
        <f aca="false">IF(OR(B19="",M19=""),"",(M19+$G19-((M19+$G19)*(Settings!$C$10+Settings!$C$11+IF(Settings!$C$15="Yes / Sí",Settings!$C$14,0))+(Settings!$C$12+Settings!$C$13))-$I19))</f>
        <v>10.96</v>
      </c>
      <c r="P19" s="61" t="n">
        <f aca="false">IF(O19="","",IF(M19=0,0,O19/M19))</f>
        <v>0.260952380952381</v>
      </c>
      <c r="Q19" s="60" t="n">
        <f aca="false">IF(OR(O19="",D19="",D19=0),"",(O19+D19/60*Settings!$C$7)/(D19/60))</f>
        <v>34.6133333333333</v>
      </c>
      <c r="R19" s="62" t="str">
        <f aca="false">IF(B19="","",IF(M19="","Enter your price / Escribe tu precio",IF(O19&lt;0,"⚠ LOSING MONEY / PIERDES",IF(P19&lt;IF(H19="",Settings!$C$9,H19),"● BELOW TARGET / DEBAJO","✔ ON TARGET / EN OBJETIVO"))))</f>
        <v>● BELOW TARGET / DEBAJO</v>
      </c>
      <c r="T19" s="55" t="n">
        <f aca="false">IF(B19="",0,IF(M19="",0,1))</f>
        <v>1</v>
      </c>
      <c r="U19" s="63" t="n">
        <f aca="false">IF(T19=1,P19,0)</f>
        <v>0.260952380952381</v>
      </c>
      <c r="V19" s="55" t="n">
        <f aca="false">IF(T19=1,IF(O19&lt;0,0,IF(P19&lt;IF(H19="",Settings!$C$9,H19),1,0)),0)</f>
        <v>1</v>
      </c>
      <c r="W19" s="55" t="n">
        <f aca="false">IF(T19=1,IF(O19&lt;0,1,0),0)</f>
        <v>0</v>
      </c>
      <c r="X19" s="64" t="n">
        <f aca="false">IF(T19=1,M19,0)</f>
        <v>42</v>
      </c>
      <c r="Y19" s="64" t="n">
        <f aca="false">IF(T19=1,O19,0)</f>
        <v>10.96</v>
      </c>
      <c r="Z19" s="55" t="n">
        <f aca="false">IF(B19="",0,1)</f>
        <v>1</v>
      </c>
    </row>
    <row r="20" customFormat="false" ht="15" hidden="false" customHeight="false" outlineLevel="0" collapsed="false">
      <c r="B20" s="56"/>
      <c r="C20" s="57"/>
      <c r="D20" s="58"/>
      <c r="E20" s="57"/>
      <c r="F20" s="57"/>
      <c r="G20" s="57"/>
      <c r="H20" s="59"/>
      <c r="I20" s="60" t="str">
        <f aca="false">IF(B20="","",C20+IF(D20="",0,D20/60*Settings!$C$7)+E20+F20+Settings!$C$8)</f>
        <v/>
      </c>
      <c r="J20" s="60" t="str">
        <f aca="false">IF(B20="","",MAX(0,($I20+(Settings!$C$12+Settings!$C$13)-$G20*(1-(Settings!$C$10+Settings!$C$11+IF(Settings!$C$15="Yes / Sí",Settings!$C$14,0))))/(1-(Settings!$C$10+Settings!$C$11+IF(Settings!$C$15="Yes / Sí",Settings!$C$14,0)))))</f>
        <v/>
      </c>
      <c r="K20" s="60" t="str">
        <f aca="false">IF(B20="","",IF(1-(Settings!$C$10+Settings!$C$11+IF(Settings!$C$15="Yes / Sí",Settings!$C$14,0))-IF(H20="",Settings!$C$9,H20)&lt;=0,0,MAX(0,IF(Settings!$C$16="Yes / Sí",IF(ROUNDUP(($I20+(Settings!$C$12+Settings!$C$13)-$G20*(1-(Settings!$C$10+Settings!$C$11+IF(Settings!$C$15="Yes / Sí",Settings!$C$14,0))))/(1-(Settings!$C$10+Settings!$C$11+IF(Settings!$C$15="Yes / Sí",Settings!$C$14,0))-IF(H20="",Settings!$C$9,H20)),0)-0.01&gt;=($I20+(Settings!$C$12+Settings!$C$13)-$G20*(1-(Settings!$C$10+Settings!$C$11+IF(Settings!$C$15="Yes / Sí",Settings!$C$14,0))))/(1-(Settings!$C$10+Settings!$C$11+IF(Settings!$C$15="Yes / Sí",Settings!$C$14,0))-IF(H20="",Settings!$C$9,H20)),ROUNDUP(($I20+(Settings!$C$12+Settings!$C$13)-$G20*(1-(Settings!$C$10+Settings!$C$11+IF(Settings!$C$15="Yes / Sí",Settings!$C$14,0))))/(1-(Settings!$C$10+Settings!$C$11+IF(Settings!$C$15="Yes / Sí",Settings!$C$14,0))-IF(H20="",Settings!$C$9,H20)),0)-0.01,ROUNDUP(($I20+(Settings!$C$12+Settings!$C$13)-$G20*(1-(Settings!$C$10+Settings!$C$11+IF(Settings!$C$15="Yes / Sí",Settings!$C$14,0))))/(1-(Settings!$C$10+Settings!$C$11+IF(Settings!$C$15="Yes / Sí",Settings!$C$14,0))-IF(H20="",Settings!$C$9,H20)),0)+0.99),ROUNDUP(($I20+(Settings!$C$12+Settings!$C$13)-$G20*(1-(Settings!$C$10+Settings!$C$11+IF(Settings!$C$15="Yes / Sí",Settings!$C$14,0))))/(1-(Settings!$C$10+Settings!$C$11+IF(Settings!$C$15="Yes / Sí",Settings!$C$14,0))-IF(H20="",Settings!$C$9,H20)),2)))))</f>
        <v/>
      </c>
      <c r="L20" s="60" t="str">
        <f aca="false">IF(OR(B20="",K20=0),"",(K20+$G20-((K20+$G20)*(Settings!$C$10+Settings!$C$11+IF(Settings!$C$15="Yes / Sí",Settings!$C$14,0))+(Settings!$C$12+Settings!$C$13))-$I20))</f>
        <v/>
      </c>
      <c r="M20" s="57"/>
      <c r="N20" s="60" t="str">
        <f aca="false">IF(OR(B20="",M20=""),"",((M20+$G20)*(Settings!$C$10+Settings!$C$11+IF(Settings!$C$15="Yes / Sí",Settings!$C$14,0))+(Settings!$C$12+Settings!$C$13)))</f>
        <v/>
      </c>
      <c r="O20" s="60" t="str">
        <f aca="false">IF(OR(B20="",M20=""),"",(M20+$G20-((M20+$G20)*(Settings!$C$10+Settings!$C$11+IF(Settings!$C$15="Yes / Sí",Settings!$C$14,0))+(Settings!$C$12+Settings!$C$13))-$I20))</f>
        <v/>
      </c>
      <c r="P20" s="61" t="str">
        <f aca="false">IF(O20="","",IF(M20=0,0,O20/M20))</f>
        <v/>
      </c>
      <c r="Q20" s="60" t="str">
        <f aca="false">IF(OR(O20="",D20="",D20=0),"",(O20+D20/60*Settings!$C$7)/(D20/60))</f>
        <v/>
      </c>
      <c r="R20" s="62" t="str">
        <f aca="false">IF(B20="","",IF(M20="","Enter your price / Escribe tu precio",IF(O20&lt;0,"⚠ LOSING MONEY / PIERDES",IF(P20&lt;IF(H20="",Settings!$C$9,H20),"● BELOW TARGET / DEBAJO","✔ ON TARGET / EN OBJETIVO"))))</f>
        <v/>
      </c>
      <c r="T20" s="55" t="n">
        <f aca="false">IF(B20="",0,IF(M20="",0,1))</f>
        <v>0</v>
      </c>
      <c r="U20" s="55" t="n">
        <f aca="false">IF(T20=1,P20,0)</f>
        <v>0</v>
      </c>
      <c r="V20" s="55" t="n">
        <f aca="false">IF(T20=1,IF(O20&lt;0,0,IF(P20&lt;IF(H20="",Settings!$C$9,H20),1,0)),0)</f>
        <v>0</v>
      </c>
      <c r="W20" s="55" t="n">
        <f aca="false">IF(T20=1,IF(O20&lt;0,1,0),0)</f>
        <v>0</v>
      </c>
      <c r="X20" s="55" t="n">
        <f aca="false">IF(T20=1,M20,0)</f>
        <v>0</v>
      </c>
      <c r="Y20" s="55" t="n">
        <f aca="false">IF(T20=1,O20,0)</f>
        <v>0</v>
      </c>
      <c r="Z20" s="55" t="n">
        <f aca="false">IF(B20="",0,1)</f>
        <v>0</v>
      </c>
    </row>
    <row r="21" customFormat="false" ht="15" hidden="false" customHeight="false" outlineLevel="0" collapsed="false">
      <c r="B21" s="56"/>
      <c r="C21" s="57"/>
      <c r="D21" s="58"/>
      <c r="E21" s="57"/>
      <c r="F21" s="57"/>
      <c r="G21" s="57"/>
      <c r="H21" s="59"/>
      <c r="I21" s="60" t="str">
        <f aca="false">IF(B21="","",C21+IF(D21="",0,D21/60*Settings!$C$7)+E21+F21+Settings!$C$8)</f>
        <v/>
      </c>
      <c r="J21" s="60" t="str">
        <f aca="false">IF(B21="","",MAX(0,($I21+(Settings!$C$12+Settings!$C$13)-$G21*(1-(Settings!$C$10+Settings!$C$11+IF(Settings!$C$15="Yes / Sí",Settings!$C$14,0))))/(1-(Settings!$C$10+Settings!$C$11+IF(Settings!$C$15="Yes / Sí",Settings!$C$14,0)))))</f>
        <v/>
      </c>
      <c r="K21" s="60" t="str">
        <f aca="false">IF(B21="","",IF(1-(Settings!$C$10+Settings!$C$11+IF(Settings!$C$15="Yes / Sí",Settings!$C$14,0))-IF(H21="",Settings!$C$9,H21)&lt;=0,0,MAX(0,IF(Settings!$C$16="Yes / Sí",IF(ROUNDUP(($I21+(Settings!$C$12+Settings!$C$13)-$G21*(1-(Settings!$C$10+Settings!$C$11+IF(Settings!$C$15="Yes / Sí",Settings!$C$14,0))))/(1-(Settings!$C$10+Settings!$C$11+IF(Settings!$C$15="Yes / Sí",Settings!$C$14,0))-IF(H21="",Settings!$C$9,H21)),0)-0.01&gt;=($I21+(Settings!$C$12+Settings!$C$13)-$G21*(1-(Settings!$C$10+Settings!$C$11+IF(Settings!$C$15="Yes / Sí",Settings!$C$14,0))))/(1-(Settings!$C$10+Settings!$C$11+IF(Settings!$C$15="Yes / Sí",Settings!$C$14,0))-IF(H21="",Settings!$C$9,H21)),ROUNDUP(($I21+(Settings!$C$12+Settings!$C$13)-$G21*(1-(Settings!$C$10+Settings!$C$11+IF(Settings!$C$15="Yes / Sí",Settings!$C$14,0))))/(1-(Settings!$C$10+Settings!$C$11+IF(Settings!$C$15="Yes / Sí",Settings!$C$14,0))-IF(H21="",Settings!$C$9,H21)),0)-0.01,ROUNDUP(($I21+(Settings!$C$12+Settings!$C$13)-$G21*(1-(Settings!$C$10+Settings!$C$11+IF(Settings!$C$15="Yes / Sí",Settings!$C$14,0))))/(1-(Settings!$C$10+Settings!$C$11+IF(Settings!$C$15="Yes / Sí",Settings!$C$14,0))-IF(H21="",Settings!$C$9,H21)),0)+0.99),ROUNDUP(($I21+(Settings!$C$12+Settings!$C$13)-$G21*(1-(Settings!$C$10+Settings!$C$11+IF(Settings!$C$15="Yes / Sí",Settings!$C$14,0))))/(1-(Settings!$C$10+Settings!$C$11+IF(Settings!$C$15="Yes / Sí",Settings!$C$14,0))-IF(H21="",Settings!$C$9,H21)),2)))))</f>
        <v/>
      </c>
      <c r="L21" s="60" t="str">
        <f aca="false">IF(OR(B21="",K21=0),"",(K21+$G21-((K21+$G21)*(Settings!$C$10+Settings!$C$11+IF(Settings!$C$15="Yes / Sí",Settings!$C$14,0))+(Settings!$C$12+Settings!$C$13))-$I21))</f>
        <v/>
      </c>
      <c r="M21" s="57"/>
      <c r="N21" s="60" t="str">
        <f aca="false">IF(OR(B21="",M21=""),"",((M21+$G21)*(Settings!$C$10+Settings!$C$11+IF(Settings!$C$15="Yes / Sí",Settings!$C$14,0))+(Settings!$C$12+Settings!$C$13)))</f>
        <v/>
      </c>
      <c r="O21" s="60" t="str">
        <f aca="false">IF(OR(B21="",M21=""),"",(M21+$G21-((M21+$G21)*(Settings!$C$10+Settings!$C$11+IF(Settings!$C$15="Yes / Sí",Settings!$C$14,0))+(Settings!$C$12+Settings!$C$13))-$I21))</f>
        <v/>
      </c>
      <c r="P21" s="61" t="str">
        <f aca="false">IF(O21="","",IF(M21=0,0,O21/M21))</f>
        <v/>
      </c>
      <c r="Q21" s="60" t="str">
        <f aca="false">IF(OR(O21="",D21="",D21=0),"",(O21+D21/60*Settings!$C$7)/(D21/60))</f>
        <v/>
      </c>
      <c r="R21" s="62" t="str">
        <f aca="false">IF(B21="","",IF(M21="","Enter your price / Escribe tu precio",IF(O21&lt;0,"⚠ LOSING MONEY / PIERDES",IF(P21&lt;IF(H21="",Settings!$C$9,H21),"● BELOW TARGET / DEBAJO","✔ ON TARGET / EN OBJETIVO"))))</f>
        <v/>
      </c>
      <c r="T21" s="55" t="n">
        <f aca="false">IF(B21="",0,IF(M21="",0,1))</f>
        <v>0</v>
      </c>
      <c r="U21" s="55" t="n">
        <f aca="false">IF(T21=1,P21,0)</f>
        <v>0</v>
      </c>
      <c r="V21" s="55" t="n">
        <f aca="false">IF(T21=1,IF(O21&lt;0,0,IF(P21&lt;IF(H21="",Settings!$C$9,H21),1,0)),0)</f>
        <v>0</v>
      </c>
      <c r="W21" s="55" t="n">
        <f aca="false">IF(T21=1,IF(O21&lt;0,1,0),0)</f>
        <v>0</v>
      </c>
      <c r="X21" s="55" t="n">
        <f aca="false">IF(T21=1,M21,0)</f>
        <v>0</v>
      </c>
      <c r="Y21" s="55" t="n">
        <f aca="false">IF(T21=1,O21,0)</f>
        <v>0</v>
      </c>
      <c r="Z21" s="55" t="n">
        <f aca="false">IF(B21="",0,1)</f>
        <v>0</v>
      </c>
    </row>
    <row r="22" customFormat="false" ht="15" hidden="false" customHeight="false" outlineLevel="0" collapsed="false">
      <c r="B22" s="56"/>
      <c r="C22" s="57"/>
      <c r="D22" s="58"/>
      <c r="E22" s="57"/>
      <c r="F22" s="57"/>
      <c r="G22" s="57"/>
      <c r="H22" s="59"/>
      <c r="I22" s="60" t="str">
        <f aca="false">IF(B22="","",C22+IF(D22="",0,D22/60*Settings!$C$7)+E22+F22+Settings!$C$8)</f>
        <v/>
      </c>
      <c r="J22" s="60" t="str">
        <f aca="false">IF(B22="","",MAX(0,($I22+(Settings!$C$12+Settings!$C$13)-$G22*(1-(Settings!$C$10+Settings!$C$11+IF(Settings!$C$15="Yes / Sí",Settings!$C$14,0))))/(1-(Settings!$C$10+Settings!$C$11+IF(Settings!$C$15="Yes / Sí",Settings!$C$14,0)))))</f>
        <v/>
      </c>
      <c r="K22" s="60" t="str">
        <f aca="false">IF(B22="","",IF(1-(Settings!$C$10+Settings!$C$11+IF(Settings!$C$15="Yes / Sí",Settings!$C$14,0))-IF(H22="",Settings!$C$9,H22)&lt;=0,0,MAX(0,IF(Settings!$C$16="Yes / Sí",IF(ROUNDUP(($I22+(Settings!$C$12+Settings!$C$13)-$G22*(1-(Settings!$C$10+Settings!$C$11+IF(Settings!$C$15="Yes / Sí",Settings!$C$14,0))))/(1-(Settings!$C$10+Settings!$C$11+IF(Settings!$C$15="Yes / Sí",Settings!$C$14,0))-IF(H22="",Settings!$C$9,H22)),0)-0.01&gt;=($I22+(Settings!$C$12+Settings!$C$13)-$G22*(1-(Settings!$C$10+Settings!$C$11+IF(Settings!$C$15="Yes / Sí",Settings!$C$14,0))))/(1-(Settings!$C$10+Settings!$C$11+IF(Settings!$C$15="Yes / Sí",Settings!$C$14,0))-IF(H22="",Settings!$C$9,H22)),ROUNDUP(($I22+(Settings!$C$12+Settings!$C$13)-$G22*(1-(Settings!$C$10+Settings!$C$11+IF(Settings!$C$15="Yes / Sí",Settings!$C$14,0))))/(1-(Settings!$C$10+Settings!$C$11+IF(Settings!$C$15="Yes / Sí",Settings!$C$14,0))-IF(H22="",Settings!$C$9,H22)),0)-0.01,ROUNDUP(($I22+(Settings!$C$12+Settings!$C$13)-$G22*(1-(Settings!$C$10+Settings!$C$11+IF(Settings!$C$15="Yes / Sí",Settings!$C$14,0))))/(1-(Settings!$C$10+Settings!$C$11+IF(Settings!$C$15="Yes / Sí",Settings!$C$14,0))-IF(H22="",Settings!$C$9,H22)),0)+0.99),ROUNDUP(($I22+(Settings!$C$12+Settings!$C$13)-$G22*(1-(Settings!$C$10+Settings!$C$11+IF(Settings!$C$15="Yes / Sí",Settings!$C$14,0))))/(1-(Settings!$C$10+Settings!$C$11+IF(Settings!$C$15="Yes / Sí",Settings!$C$14,0))-IF(H22="",Settings!$C$9,H22)),2)))))</f>
        <v/>
      </c>
      <c r="L22" s="60" t="str">
        <f aca="false">IF(OR(B22="",K22=0),"",(K22+$G22-((K22+$G22)*(Settings!$C$10+Settings!$C$11+IF(Settings!$C$15="Yes / Sí",Settings!$C$14,0))+(Settings!$C$12+Settings!$C$13))-$I22))</f>
        <v/>
      </c>
      <c r="M22" s="57"/>
      <c r="N22" s="60" t="str">
        <f aca="false">IF(OR(B22="",M22=""),"",((M22+$G22)*(Settings!$C$10+Settings!$C$11+IF(Settings!$C$15="Yes / Sí",Settings!$C$14,0))+(Settings!$C$12+Settings!$C$13)))</f>
        <v/>
      </c>
      <c r="O22" s="60" t="str">
        <f aca="false">IF(OR(B22="",M22=""),"",(M22+$G22-((M22+$G22)*(Settings!$C$10+Settings!$C$11+IF(Settings!$C$15="Yes / Sí",Settings!$C$14,0))+(Settings!$C$12+Settings!$C$13))-$I22))</f>
        <v/>
      </c>
      <c r="P22" s="61" t="str">
        <f aca="false">IF(O22="","",IF(M22=0,0,O22/M22))</f>
        <v/>
      </c>
      <c r="Q22" s="60" t="str">
        <f aca="false">IF(OR(O22="",D22="",D22=0),"",(O22+D22/60*Settings!$C$7)/(D22/60))</f>
        <v/>
      </c>
      <c r="R22" s="62" t="str">
        <f aca="false">IF(B22="","",IF(M22="","Enter your price / Escribe tu precio",IF(O22&lt;0,"⚠ LOSING MONEY / PIERDES",IF(P22&lt;IF(H22="",Settings!$C$9,H22),"● BELOW TARGET / DEBAJO","✔ ON TARGET / EN OBJETIVO"))))</f>
        <v/>
      </c>
      <c r="T22" s="55" t="n">
        <f aca="false">IF(B22="",0,IF(M22="",0,1))</f>
        <v>0</v>
      </c>
      <c r="U22" s="55" t="n">
        <f aca="false">IF(T22=1,P22,0)</f>
        <v>0</v>
      </c>
      <c r="V22" s="55" t="n">
        <f aca="false">IF(T22=1,IF(O22&lt;0,0,IF(P22&lt;IF(H22="",Settings!$C$9,H22),1,0)),0)</f>
        <v>0</v>
      </c>
      <c r="W22" s="55" t="n">
        <f aca="false">IF(T22=1,IF(O22&lt;0,1,0),0)</f>
        <v>0</v>
      </c>
      <c r="X22" s="55" t="n">
        <f aca="false">IF(T22=1,M22,0)</f>
        <v>0</v>
      </c>
      <c r="Y22" s="55" t="n">
        <f aca="false">IF(T22=1,O22,0)</f>
        <v>0</v>
      </c>
      <c r="Z22" s="55" t="n">
        <f aca="false">IF(B22="",0,1)</f>
        <v>0</v>
      </c>
    </row>
    <row r="23" customFormat="false" ht="15" hidden="false" customHeight="false" outlineLevel="0" collapsed="false">
      <c r="B23" s="56"/>
      <c r="C23" s="57"/>
      <c r="D23" s="58"/>
      <c r="E23" s="57"/>
      <c r="F23" s="57"/>
      <c r="G23" s="57"/>
      <c r="H23" s="59"/>
      <c r="I23" s="60" t="str">
        <f aca="false">IF(B23="","",C23+IF(D23="",0,D23/60*Settings!$C$7)+E23+F23+Settings!$C$8)</f>
        <v/>
      </c>
      <c r="J23" s="60" t="str">
        <f aca="false">IF(B23="","",MAX(0,($I23+(Settings!$C$12+Settings!$C$13)-$G23*(1-(Settings!$C$10+Settings!$C$11+IF(Settings!$C$15="Yes / Sí",Settings!$C$14,0))))/(1-(Settings!$C$10+Settings!$C$11+IF(Settings!$C$15="Yes / Sí",Settings!$C$14,0)))))</f>
        <v/>
      </c>
      <c r="K23" s="60" t="str">
        <f aca="false">IF(B23="","",IF(1-(Settings!$C$10+Settings!$C$11+IF(Settings!$C$15="Yes / Sí",Settings!$C$14,0))-IF(H23="",Settings!$C$9,H23)&lt;=0,0,MAX(0,IF(Settings!$C$16="Yes / Sí",IF(ROUNDUP(($I23+(Settings!$C$12+Settings!$C$13)-$G23*(1-(Settings!$C$10+Settings!$C$11+IF(Settings!$C$15="Yes / Sí",Settings!$C$14,0))))/(1-(Settings!$C$10+Settings!$C$11+IF(Settings!$C$15="Yes / Sí",Settings!$C$14,0))-IF(H23="",Settings!$C$9,H23)),0)-0.01&gt;=($I23+(Settings!$C$12+Settings!$C$13)-$G23*(1-(Settings!$C$10+Settings!$C$11+IF(Settings!$C$15="Yes / Sí",Settings!$C$14,0))))/(1-(Settings!$C$10+Settings!$C$11+IF(Settings!$C$15="Yes / Sí",Settings!$C$14,0))-IF(H23="",Settings!$C$9,H23)),ROUNDUP(($I23+(Settings!$C$12+Settings!$C$13)-$G23*(1-(Settings!$C$10+Settings!$C$11+IF(Settings!$C$15="Yes / Sí",Settings!$C$14,0))))/(1-(Settings!$C$10+Settings!$C$11+IF(Settings!$C$15="Yes / Sí",Settings!$C$14,0))-IF(H23="",Settings!$C$9,H23)),0)-0.01,ROUNDUP(($I23+(Settings!$C$12+Settings!$C$13)-$G23*(1-(Settings!$C$10+Settings!$C$11+IF(Settings!$C$15="Yes / Sí",Settings!$C$14,0))))/(1-(Settings!$C$10+Settings!$C$11+IF(Settings!$C$15="Yes / Sí",Settings!$C$14,0))-IF(H23="",Settings!$C$9,H23)),0)+0.99),ROUNDUP(($I23+(Settings!$C$12+Settings!$C$13)-$G23*(1-(Settings!$C$10+Settings!$C$11+IF(Settings!$C$15="Yes / Sí",Settings!$C$14,0))))/(1-(Settings!$C$10+Settings!$C$11+IF(Settings!$C$15="Yes / Sí",Settings!$C$14,0))-IF(H23="",Settings!$C$9,H23)),2)))))</f>
        <v/>
      </c>
      <c r="L23" s="60" t="str">
        <f aca="false">IF(OR(B23="",K23=0),"",(K23+$G23-((K23+$G23)*(Settings!$C$10+Settings!$C$11+IF(Settings!$C$15="Yes / Sí",Settings!$C$14,0))+(Settings!$C$12+Settings!$C$13))-$I23))</f>
        <v/>
      </c>
      <c r="M23" s="57"/>
      <c r="N23" s="60" t="str">
        <f aca="false">IF(OR(B23="",M23=""),"",((M23+$G23)*(Settings!$C$10+Settings!$C$11+IF(Settings!$C$15="Yes / Sí",Settings!$C$14,0))+(Settings!$C$12+Settings!$C$13)))</f>
        <v/>
      </c>
      <c r="O23" s="60" t="str">
        <f aca="false">IF(OR(B23="",M23=""),"",(M23+$G23-((M23+$G23)*(Settings!$C$10+Settings!$C$11+IF(Settings!$C$15="Yes / Sí",Settings!$C$14,0))+(Settings!$C$12+Settings!$C$13))-$I23))</f>
        <v/>
      </c>
      <c r="P23" s="61" t="str">
        <f aca="false">IF(O23="","",IF(M23=0,0,O23/M23))</f>
        <v/>
      </c>
      <c r="Q23" s="60" t="str">
        <f aca="false">IF(OR(O23="",D23="",D23=0),"",(O23+D23/60*Settings!$C$7)/(D23/60))</f>
        <v/>
      </c>
      <c r="R23" s="62" t="str">
        <f aca="false">IF(B23="","",IF(M23="","Enter your price / Escribe tu precio",IF(O23&lt;0,"⚠ LOSING MONEY / PIERDES",IF(P23&lt;IF(H23="",Settings!$C$9,H23),"● BELOW TARGET / DEBAJO","✔ ON TARGET / EN OBJETIVO"))))</f>
        <v/>
      </c>
      <c r="T23" s="55" t="n">
        <f aca="false">IF(B23="",0,IF(M23="",0,1))</f>
        <v>0</v>
      </c>
      <c r="U23" s="55" t="n">
        <f aca="false">IF(T23=1,P23,0)</f>
        <v>0</v>
      </c>
      <c r="V23" s="55" t="n">
        <f aca="false">IF(T23=1,IF(O23&lt;0,0,IF(P23&lt;IF(H23="",Settings!$C$9,H23),1,0)),0)</f>
        <v>0</v>
      </c>
      <c r="W23" s="55" t="n">
        <f aca="false">IF(T23=1,IF(O23&lt;0,1,0),0)</f>
        <v>0</v>
      </c>
      <c r="X23" s="55" t="n">
        <f aca="false">IF(T23=1,M23,0)</f>
        <v>0</v>
      </c>
      <c r="Y23" s="55" t="n">
        <f aca="false">IF(T23=1,O23,0)</f>
        <v>0</v>
      </c>
      <c r="Z23" s="55" t="n">
        <f aca="false">IF(B23="",0,1)</f>
        <v>0</v>
      </c>
    </row>
    <row r="24" customFormat="false" ht="15" hidden="false" customHeight="false" outlineLevel="0" collapsed="false">
      <c r="B24" s="56"/>
      <c r="C24" s="57"/>
      <c r="D24" s="58"/>
      <c r="E24" s="57"/>
      <c r="F24" s="57"/>
      <c r="G24" s="57"/>
      <c r="H24" s="59"/>
      <c r="I24" s="60" t="str">
        <f aca="false">IF(B24="","",C24+IF(D24="",0,D24/60*Settings!$C$7)+E24+F24+Settings!$C$8)</f>
        <v/>
      </c>
      <c r="J24" s="60" t="str">
        <f aca="false">IF(B24="","",MAX(0,($I24+(Settings!$C$12+Settings!$C$13)-$G24*(1-(Settings!$C$10+Settings!$C$11+IF(Settings!$C$15="Yes / Sí",Settings!$C$14,0))))/(1-(Settings!$C$10+Settings!$C$11+IF(Settings!$C$15="Yes / Sí",Settings!$C$14,0)))))</f>
        <v/>
      </c>
      <c r="K24" s="60" t="str">
        <f aca="false">IF(B24="","",IF(1-(Settings!$C$10+Settings!$C$11+IF(Settings!$C$15="Yes / Sí",Settings!$C$14,0))-IF(H24="",Settings!$C$9,H24)&lt;=0,0,MAX(0,IF(Settings!$C$16="Yes / Sí",IF(ROUNDUP(($I24+(Settings!$C$12+Settings!$C$13)-$G24*(1-(Settings!$C$10+Settings!$C$11+IF(Settings!$C$15="Yes / Sí",Settings!$C$14,0))))/(1-(Settings!$C$10+Settings!$C$11+IF(Settings!$C$15="Yes / Sí",Settings!$C$14,0))-IF(H24="",Settings!$C$9,H24)),0)-0.01&gt;=($I24+(Settings!$C$12+Settings!$C$13)-$G24*(1-(Settings!$C$10+Settings!$C$11+IF(Settings!$C$15="Yes / Sí",Settings!$C$14,0))))/(1-(Settings!$C$10+Settings!$C$11+IF(Settings!$C$15="Yes / Sí",Settings!$C$14,0))-IF(H24="",Settings!$C$9,H24)),ROUNDUP(($I24+(Settings!$C$12+Settings!$C$13)-$G24*(1-(Settings!$C$10+Settings!$C$11+IF(Settings!$C$15="Yes / Sí",Settings!$C$14,0))))/(1-(Settings!$C$10+Settings!$C$11+IF(Settings!$C$15="Yes / Sí",Settings!$C$14,0))-IF(H24="",Settings!$C$9,H24)),0)-0.01,ROUNDUP(($I24+(Settings!$C$12+Settings!$C$13)-$G24*(1-(Settings!$C$10+Settings!$C$11+IF(Settings!$C$15="Yes / Sí",Settings!$C$14,0))))/(1-(Settings!$C$10+Settings!$C$11+IF(Settings!$C$15="Yes / Sí",Settings!$C$14,0))-IF(H24="",Settings!$C$9,H24)),0)+0.99),ROUNDUP(($I24+(Settings!$C$12+Settings!$C$13)-$G24*(1-(Settings!$C$10+Settings!$C$11+IF(Settings!$C$15="Yes / Sí",Settings!$C$14,0))))/(1-(Settings!$C$10+Settings!$C$11+IF(Settings!$C$15="Yes / Sí",Settings!$C$14,0))-IF(H24="",Settings!$C$9,H24)),2)))))</f>
        <v/>
      </c>
      <c r="L24" s="60" t="str">
        <f aca="false">IF(OR(B24="",K24=0),"",(K24+$G24-((K24+$G24)*(Settings!$C$10+Settings!$C$11+IF(Settings!$C$15="Yes / Sí",Settings!$C$14,0))+(Settings!$C$12+Settings!$C$13))-$I24))</f>
        <v/>
      </c>
      <c r="M24" s="57"/>
      <c r="N24" s="60" t="str">
        <f aca="false">IF(OR(B24="",M24=""),"",((M24+$G24)*(Settings!$C$10+Settings!$C$11+IF(Settings!$C$15="Yes / Sí",Settings!$C$14,0))+(Settings!$C$12+Settings!$C$13)))</f>
        <v/>
      </c>
      <c r="O24" s="60" t="str">
        <f aca="false">IF(OR(B24="",M24=""),"",(M24+$G24-((M24+$G24)*(Settings!$C$10+Settings!$C$11+IF(Settings!$C$15="Yes / Sí",Settings!$C$14,0))+(Settings!$C$12+Settings!$C$13))-$I24))</f>
        <v/>
      </c>
      <c r="P24" s="61" t="str">
        <f aca="false">IF(O24="","",IF(M24=0,0,O24/M24))</f>
        <v/>
      </c>
      <c r="Q24" s="60" t="str">
        <f aca="false">IF(OR(O24="",D24="",D24=0),"",(O24+D24/60*Settings!$C$7)/(D24/60))</f>
        <v/>
      </c>
      <c r="R24" s="62" t="str">
        <f aca="false">IF(B24="","",IF(M24="","Enter your price / Escribe tu precio",IF(O24&lt;0,"⚠ LOSING MONEY / PIERDES",IF(P24&lt;IF(H24="",Settings!$C$9,H24),"● BELOW TARGET / DEBAJO","✔ ON TARGET / EN OBJETIVO"))))</f>
        <v/>
      </c>
      <c r="T24" s="55" t="n">
        <f aca="false">IF(B24="",0,IF(M24="",0,1))</f>
        <v>0</v>
      </c>
      <c r="U24" s="55" t="n">
        <f aca="false">IF(T24=1,P24,0)</f>
        <v>0</v>
      </c>
      <c r="V24" s="55" t="n">
        <f aca="false">IF(T24=1,IF(O24&lt;0,0,IF(P24&lt;IF(H24="",Settings!$C$9,H24),1,0)),0)</f>
        <v>0</v>
      </c>
      <c r="W24" s="55" t="n">
        <f aca="false">IF(T24=1,IF(O24&lt;0,1,0),0)</f>
        <v>0</v>
      </c>
      <c r="X24" s="55" t="n">
        <f aca="false">IF(T24=1,M24,0)</f>
        <v>0</v>
      </c>
      <c r="Y24" s="55" t="n">
        <f aca="false">IF(T24=1,O24,0)</f>
        <v>0</v>
      </c>
      <c r="Z24" s="55" t="n">
        <f aca="false">IF(B24="",0,1)</f>
        <v>0</v>
      </c>
    </row>
    <row r="25" customFormat="false" ht="15" hidden="false" customHeight="false" outlineLevel="0" collapsed="false">
      <c r="B25" s="56"/>
      <c r="C25" s="57"/>
      <c r="D25" s="58"/>
      <c r="E25" s="57"/>
      <c r="F25" s="57"/>
      <c r="G25" s="57"/>
      <c r="H25" s="59"/>
      <c r="I25" s="60" t="str">
        <f aca="false">IF(B25="","",C25+IF(D25="",0,D25/60*Settings!$C$7)+E25+F25+Settings!$C$8)</f>
        <v/>
      </c>
      <c r="J25" s="60" t="str">
        <f aca="false">IF(B25="","",MAX(0,($I25+(Settings!$C$12+Settings!$C$13)-$G25*(1-(Settings!$C$10+Settings!$C$11+IF(Settings!$C$15="Yes / Sí",Settings!$C$14,0))))/(1-(Settings!$C$10+Settings!$C$11+IF(Settings!$C$15="Yes / Sí",Settings!$C$14,0)))))</f>
        <v/>
      </c>
      <c r="K25" s="60" t="str">
        <f aca="false">IF(B25="","",IF(1-(Settings!$C$10+Settings!$C$11+IF(Settings!$C$15="Yes / Sí",Settings!$C$14,0))-IF(H25="",Settings!$C$9,H25)&lt;=0,0,MAX(0,IF(Settings!$C$16="Yes / Sí",IF(ROUNDUP(($I25+(Settings!$C$12+Settings!$C$13)-$G25*(1-(Settings!$C$10+Settings!$C$11+IF(Settings!$C$15="Yes / Sí",Settings!$C$14,0))))/(1-(Settings!$C$10+Settings!$C$11+IF(Settings!$C$15="Yes / Sí",Settings!$C$14,0))-IF(H25="",Settings!$C$9,H25)),0)-0.01&gt;=($I25+(Settings!$C$12+Settings!$C$13)-$G25*(1-(Settings!$C$10+Settings!$C$11+IF(Settings!$C$15="Yes / Sí",Settings!$C$14,0))))/(1-(Settings!$C$10+Settings!$C$11+IF(Settings!$C$15="Yes / Sí",Settings!$C$14,0))-IF(H25="",Settings!$C$9,H25)),ROUNDUP(($I25+(Settings!$C$12+Settings!$C$13)-$G25*(1-(Settings!$C$10+Settings!$C$11+IF(Settings!$C$15="Yes / Sí",Settings!$C$14,0))))/(1-(Settings!$C$10+Settings!$C$11+IF(Settings!$C$15="Yes / Sí",Settings!$C$14,0))-IF(H25="",Settings!$C$9,H25)),0)-0.01,ROUNDUP(($I25+(Settings!$C$12+Settings!$C$13)-$G25*(1-(Settings!$C$10+Settings!$C$11+IF(Settings!$C$15="Yes / Sí",Settings!$C$14,0))))/(1-(Settings!$C$10+Settings!$C$11+IF(Settings!$C$15="Yes / Sí",Settings!$C$14,0))-IF(H25="",Settings!$C$9,H25)),0)+0.99),ROUNDUP(($I25+(Settings!$C$12+Settings!$C$13)-$G25*(1-(Settings!$C$10+Settings!$C$11+IF(Settings!$C$15="Yes / Sí",Settings!$C$14,0))))/(1-(Settings!$C$10+Settings!$C$11+IF(Settings!$C$15="Yes / Sí",Settings!$C$14,0))-IF(H25="",Settings!$C$9,H25)),2)))))</f>
        <v/>
      </c>
      <c r="L25" s="60" t="str">
        <f aca="false">IF(OR(B25="",K25=0),"",(K25+$G25-((K25+$G25)*(Settings!$C$10+Settings!$C$11+IF(Settings!$C$15="Yes / Sí",Settings!$C$14,0))+(Settings!$C$12+Settings!$C$13))-$I25))</f>
        <v/>
      </c>
      <c r="M25" s="57"/>
      <c r="N25" s="60" t="str">
        <f aca="false">IF(OR(B25="",M25=""),"",((M25+$G25)*(Settings!$C$10+Settings!$C$11+IF(Settings!$C$15="Yes / Sí",Settings!$C$14,0))+(Settings!$C$12+Settings!$C$13)))</f>
        <v/>
      </c>
      <c r="O25" s="60" t="str">
        <f aca="false">IF(OR(B25="",M25=""),"",(M25+$G25-((M25+$G25)*(Settings!$C$10+Settings!$C$11+IF(Settings!$C$15="Yes / Sí",Settings!$C$14,0))+(Settings!$C$12+Settings!$C$13))-$I25))</f>
        <v/>
      </c>
      <c r="P25" s="61" t="str">
        <f aca="false">IF(O25="","",IF(M25=0,0,O25/M25))</f>
        <v/>
      </c>
      <c r="Q25" s="60" t="str">
        <f aca="false">IF(OR(O25="",D25="",D25=0),"",(O25+D25/60*Settings!$C$7)/(D25/60))</f>
        <v/>
      </c>
      <c r="R25" s="62" t="str">
        <f aca="false">IF(B25="","",IF(M25="","Enter your price / Escribe tu precio",IF(O25&lt;0,"⚠ LOSING MONEY / PIERDES",IF(P25&lt;IF(H25="",Settings!$C$9,H25),"● BELOW TARGET / DEBAJO","✔ ON TARGET / EN OBJETIVO"))))</f>
        <v/>
      </c>
      <c r="T25" s="55" t="n">
        <f aca="false">IF(B25="",0,IF(M25="",0,1))</f>
        <v>0</v>
      </c>
      <c r="U25" s="55" t="n">
        <f aca="false">IF(T25=1,P25,0)</f>
        <v>0</v>
      </c>
      <c r="V25" s="55" t="n">
        <f aca="false">IF(T25=1,IF(O25&lt;0,0,IF(P25&lt;IF(H25="",Settings!$C$9,H25),1,0)),0)</f>
        <v>0</v>
      </c>
      <c r="W25" s="55" t="n">
        <f aca="false">IF(T25=1,IF(O25&lt;0,1,0),0)</f>
        <v>0</v>
      </c>
      <c r="X25" s="55" t="n">
        <f aca="false">IF(T25=1,M25,0)</f>
        <v>0</v>
      </c>
      <c r="Y25" s="55" t="n">
        <f aca="false">IF(T25=1,O25,0)</f>
        <v>0</v>
      </c>
      <c r="Z25" s="55" t="n">
        <f aca="false">IF(B25="",0,1)</f>
        <v>0</v>
      </c>
    </row>
    <row r="26" customFormat="false" ht="15" hidden="false" customHeight="false" outlineLevel="0" collapsed="false">
      <c r="B26" s="56"/>
      <c r="C26" s="57"/>
      <c r="D26" s="58"/>
      <c r="E26" s="57"/>
      <c r="F26" s="57"/>
      <c r="G26" s="57"/>
      <c r="H26" s="59"/>
      <c r="I26" s="60" t="str">
        <f aca="false">IF(B26="","",C26+IF(D26="",0,D26/60*Settings!$C$7)+E26+F26+Settings!$C$8)</f>
        <v/>
      </c>
      <c r="J26" s="60" t="str">
        <f aca="false">IF(B26="","",MAX(0,($I26+(Settings!$C$12+Settings!$C$13)-$G26*(1-(Settings!$C$10+Settings!$C$11+IF(Settings!$C$15="Yes / Sí",Settings!$C$14,0))))/(1-(Settings!$C$10+Settings!$C$11+IF(Settings!$C$15="Yes / Sí",Settings!$C$14,0)))))</f>
        <v/>
      </c>
      <c r="K26" s="60" t="str">
        <f aca="false">IF(B26="","",IF(1-(Settings!$C$10+Settings!$C$11+IF(Settings!$C$15="Yes / Sí",Settings!$C$14,0))-IF(H26="",Settings!$C$9,H26)&lt;=0,0,MAX(0,IF(Settings!$C$16="Yes / Sí",IF(ROUNDUP(($I26+(Settings!$C$12+Settings!$C$13)-$G26*(1-(Settings!$C$10+Settings!$C$11+IF(Settings!$C$15="Yes / Sí",Settings!$C$14,0))))/(1-(Settings!$C$10+Settings!$C$11+IF(Settings!$C$15="Yes / Sí",Settings!$C$14,0))-IF(H26="",Settings!$C$9,H26)),0)-0.01&gt;=($I26+(Settings!$C$12+Settings!$C$13)-$G26*(1-(Settings!$C$10+Settings!$C$11+IF(Settings!$C$15="Yes / Sí",Settings!$C$14,0))))/(1-(Settings!$C$10+Settings!$C$11+IF(Settings!$C$15="Yes / Sí",Settings!$C$14,0))-IF(H26="",Settings!$C$9,H26)),ROUNDUP(($I26+(Settings!$C$12+Settings!$C$13)-$G26*(1-(Settings!$C$10+Settings!$C$11+IF(Settings!$C$15="Yes / Sí",Settings!$C$14,0))))/(1-(Settings!$C$10+Settings!$C$11+IF(Settings!$C$15="Yes / Sí",Settings!$C$14,0))-IF(H26="",Settings!$C$9,H26)),0)-0.01,ROUNDUP(($I26+(Settings!$C$12+Settings!$C$13)-$G26*(1-(Settings!$C$10+Settings!$C$11+IF(Settings!$C$15="Yes / Sí",Settings!$C$14,0))))/(1-(Settings!$C$10+Settings!$C$11+IF(Settings!$C$15="Yes / Sí",Settings!$C$14,0))-IF(H26="",Settings!$C$9,H26)),0)+0.99),ROUNDUP(($I26+(Settings!$C$12+Settings!$C$13)-$G26*(1-(Settings!$C$10+Settings!$C$11+IF(Settings!$C$15="Yes / Sí",Settings!$C$14,0))))/(1-(Settings!$C$10+Settings!$C$11+IF(Settings!$C$15="Yes / Sí",Settings!$C$14,0))-IF(H26="",Settings!$C$9,H26)),2)))))</f>
        <v/>
      </c>
      <c r="L26" s="60" t="str">
        <f aca="false">IF(OR(B26="",K26=0),"",(K26+$G26-((K26+$G26)*(Settings!$C$10+Settings!$C$11+IF(Settings!$C$15="Yes / Sí",Settings!$C$14,0))+(Settings!$C$12+Settings!$C$13))-$I26))</f>
        <v/>
      </c>
      <c r="M26" s="57"/>
      <c r="N26" s="60" t="str">
        <f aca="false">IF(OR(B26="",M26=""),"",((M26+$G26)*(Settings!$C$10+Settings!$C$11+IF(Settings!$C$15="Yes / Sí",Settings!$C$14,0))+(Settings!$C$12+Settings!$C$13)))</f>
        <v/>
      </c>
      <c r="O26" s="60" t="str">
        <f aca="false">IF(OR(B26="",M26=""),"",(M26+$G26-((M26+$G26)*(Settings!$C$10+Settings!$C$11+IF(Settings!$C$15="Yes / Sí",Settings!$C$14,0))+(Settings!$C$12+Settings!$C$13))-$I26))</f>
        <v/>
      </c>
      <c r="P26" s="61" t="str">
        <f aca="false">IF(O26="","",IF(M26=0,0,O26/M26))</f>
        <v/>
      </c>
      <c r="Q26" s="60" t="str">
        <f aca="false">IF(OR(O26="",D26="",D26=0),"",(O26+D26/60*Settings!$C$7)/(D26/60))</f>
        <v/>
      </c>
      <c r="R26" s="62" t="str">
        <f aca="false">IF(B26="","",IF(M26="","Enter your price / Escribe tu precio",IF(O26&lt;0,"⚠ LOSING MONEY / PIERDES",IF(P26&lt;IF(H26="",Settings!$C$9,H26),"● BELOW TARGET / DEBAJO","✔ ON TARGET / EN OBJETIVO"))))</f>
        <v/>
      </c>
      <c r="T26" s="55" t="n">
        <f aca="false">IF(B26="",0,IF(M26="",0,1))</f>
        <v>0</v>
      </c>
      <c r="U26" s="55" t="n">
        <f aca="false">IF(T26=1,P26,0)</f>
        <v>0</v>
      </c>
      <c r="V26" s="55" t="n">
        <f aca="false">IF(T26=1,IF(O26&lt;0,0,IF(P26&lt;IF(H26="",Settings!$C$9,H26),1,0)),0)</f>
        <v>0</v>
      </c>
      <c r="W26" s="55" t="n">
        <f aca="false">IF(T26=1,IF(O26&lt;0,1,0),0)</f>
        <v>0</v>
      </c>
      <c r="X26" s="55" t="n">
        <f aca="false">IF(T26=1,M26,0)</f>
        <v>0</v>
      </c>
      <c r="Y26" s="55" t="n">
        <f aca="false">IF(T26=1,O26,0)</f>
        <v>0</v>
      </c>
      <c r="Z26" s="55" t="n">
        <f aca="false">IF(B26="",0,1)</f>
        <v>0</v>
      </c>
    </row>
    <row r="27" customFormat="false" ht="15" hidden="false" customHeight="false" outlineLevel="0" collapsed="false">
      <c r="B27" s="56"/>
      <c r="C27" s="57"/>
      <c r="D27" s="58"/>
      <c r="E27" s="57"/>
      <c r="F27" s="57"/>
      <c r="G27" s="57"/>
      <c r="H27" s="59"/>
      <c r="I27" s="60" t="str">
        <f aca="false">IF(B27="","",C27+IF(D27="",0,D27/60*Settings!$C$7)+E27+F27+Settings!$C$8)</f>
        <v/>
      </c>
      <c r="J27" s="60" t="str">
        <f aca="false">IF(B27="","",MAX(0,($I27+(Settings!$C$12+Settings!$C$13)-$G27*(1-(Settings!$C$10+Settings!$C$11+IF(Settings!$C$15="Yes / Sí",Settings!$C$14,0))))/(1-(Settings!$C$10+Settings!$C$11+IF(Settings!$C$15="Yes / Sí",Settings!$C$14,0)))))</f>
        <v/>
      </c>
      <c r="K27" s="60" t="str">
        <f aca="false">IF(B27="","",IF(1-(Settings!$C$10+Settings!$C$11+IF(Settings!$C$15="Yes / Sí",Settings!$C$14,0))-IF(H27="",Settings!$C$9,H27)&lt;=0,0,MAX(0,IF(Settings!$C$16="Yes / Sí",IF(ROUNDUP(($I27+(Settings!$C$12+Settings!$C$13)-$G27*(1-(Settings!$C$10+Settings!$C$11+IF(Settings!$C$15="Yes / Sí",Settings!$C$14,0))))/(1-(Settings!$C$10+Settings!$C$11+IF(Settings!$C$15="Yes / Sí",Settings!$C$14,0))-IF(H27="",Settings!$C$9,H27)),0)-0.01&gt;=($I27+(Settings!$C$12+Settings!$C$13)-$G27*(1-(Settings!$C$10+Settings!$C$11+IF(Settings!$C$15="Yes / Sí",Settings!$C$14,0))))/(1-(Settings!$C$10+Settings!$C$11+IF(Settings!$C$15="Yes / Sí",Settings!$C$14,0))-IF(H27="",Settings!$C$9,H27)),ROUNDUP(($I27+(Settings!$C$12+Settings!$C$13)-$G27*(1-(Settings!$C$10+Settings!$C$11+IF(Settings!$C$15="Yes / Sí",Settings!$C$14,0))))/(1-(Settings!$C$10+Settings!$C$11+IF(Settings!$C$15="Yes / Sí",Settings!$C$14,0))-IF(H27="",Settings!$C$9,H27)),0)-0.01,ROUNDUP(($I27+(Settings!$C$12+Settings!$C$13)-$G27*(1-(Settings!$C$10+Settings!$C$11+IF(Settings!$C$15="Yes / Sí",Settings!$C$14,0))))/(1-(Settings!$C$10+Settings!$C$11+IF(Settings!$C$15="Yes / Sí",Settings!$C$14,0))-IF(H27="",Settings!$C$9,H27)),0)+0.99),ROUNDUP(($I27+(Settings!$C$12+Settings!$C$13)-$G27*(1-(Settings!$C$10+Settings!$C$11+IF(Settings!$C$15="Yes / Sí",Settings!$C$14,0))))/(1-(Settings!$C$10+Settings!$C$11+IF(Settings!$C$15="Yes / Sí",Settings!$C$14,0))-IF(H27="",Settings!$C$9,H27)),2)))))</f>
        <v/>
      </c>
      <c r="L27" s="60" t="str">
        <f aca="false">IF(OR(B27="",K27=0),"",(K27+$G27-((K27+$G27)*(Settings!$C$10+Settings!$C$11+IF(Settings!$C$15="Yes / Sí",Settings!$C$14,0))+(Settings!$C$12+Settings!$C$13))-$I27))</f>
        <v/>
      </c>
      <c r="M27" s="57"/>
      <c r="N27" s="60" t="str">
        <f aca="false">IF(OR(B27="",M27=""),"",((M27+$G27)*(Settings!$C$10+Settings!$C$11+IF(Settings!$C$15="Yes / Sí",Settings!$C$14,0))+(Settings!$C$12+Settings!$C$13)))</f>
        <v/>
      </c>
      <c r="O27" s="60" t="str">
        <f aca="false">IF(OR(B27="",M27=""),"",(M27+$G27-((M27+$G27)*(Settings!$C$10+Settings!$C$11+IF(Settings!$C$15="Yes / Sí",Settings!$C$14,0))+(Settings!$C$12+Settings!$C$13))-$I27))</f>
        <v/>
      </c>
      <c r="P27" s="61" t="str">
        <f aca="false">IF(O27="","",IF(M27=0,0,O27/M27))</f>
        <v/>
      </c>
      <c r="Q27" s="60" t="str">
        <f aca="false">IF(OR(O27="",D27="",D27=0),"",(O27+D27/60*Settings!$C$7)/(D27/60))</f>
        <v/>
      </c>
      <c r="R27" s="62" t="str">
        <f aca="false">IF(B27="","",IF(M27="","Enter your price / Escribe tu precio",IF(O27&lt;0,"⚠ LOSING MONEY / PIERDES",IF(P27&lt;IF(H27="",Settings!$C$9,H27),"● BELOW TARGET / DEBAJO","✔ ON TARGET / EN OBJETIVO"))))</f>
        <v/>
      </c>
      <c r="T27" s="55" t="n">
        <f aca="false">IF(B27="",0,IF(M27="",0,1))</f>
        <v>0</v>
      </c>
      <c r="U27" s="55" t="n">
        <f aca="false">IF(T27=1,P27,0)</f>
        <v>0</v>
      </c>
      <c r="V27" s="55" t="n">
        <f aca="false">IF(T27=1,IF(O27&lt;0,0,IF(P27&lt;IF(H27="",Settings!$C$9,H27),1,0)),0)</f>
        <v>0</v>
      </c>
      <c r="W27" s="55" t="n">
        <f aca="false">IF(T27=1,IF(O27&lt;0,1,0),0)</f>
        <v>0</v>
      </c>
      <c r="X27" s="55" t="n">
        <f aca="false">IF(T27=1,M27,0)</f>
        <v>0</v>
      </c>
      <c r="Y27" s="55" t="n">
        <f aca="false">IF(T27=1,O27,0)</f>
        <v>0</v>
      </c>
      <c r="Z27" s="55" t="n">
        <f aca="false">IF(B27="",0,1)</f>
        <v>0</v>
      </c>
    </row>
    <row r="28" customFormat="false" ht="15" hidden="false" customHeight="false" outlineLevel="0" collapsed="false">
      <c r="B28" s="56"/>
      <c r="C28" s="57"/>
      <c r="D28" s="58"/>
      <c r="E28" s="57"/>
      <c r="F28" s="57"/>
      <c r="G28" s="57"/>
      <c r="H28" s="59"/>
      <c r="I28" s="60" t="str">
        <f aca="false">IF(B28="","",C28+IF(D28="",0,D28/60*Settings!$C$7)+E28+F28+Settings!$C$8)</f>
        <v/>
      </c>
      <c r="J28" s="60" t="str">
        <f aca="false">IF(B28="","",MAX(0,($I28+(Settings!$C$12+Settings!$C$13)-$G28*(1-(Settings!$C$10+Settings!$C$11+IF(Settings!$C$15="Yes / Sí",Settings!$C$14,0))))/(1-(Settings!$C$10+Settings!$C$11+IF(Settings!$C$15="Yes / Sí",Settings!$C$14,0)))))</f>
        <v/>
      </c>
      <c r="K28" s="60" t="str">
        <f aca="false">IF(B28="","",IF(1-(Settings!$C$10+Settings!$C$11+IF(Settings!$C$15="Yes / Sí",Settings!$C$14,0))-IF(H28="",Settings!$C$9,H28)&lt;=0,0,MAX(0,IF(Settings!$C$16="Yes / Sí",IF(ROUNDUP(($I28+(Settings!$C$12+Settings!$C$13)-$G28*(1-(Settings!$C$10+Settings!$C$11+IF(Settings!$C$15="Yes / Sí",Settings!$C$14,0))))/(1-(Settings!$C$10+Settings!$C$11+IF(Settings!$C$15="Yes / Sí",Settings!$C$14,0))-IF(H28="",Settings!$C$9,H28)),0)-0.01&gt;=($I28+(Settings!$C$12+Settings!$C$13)-$G28*(1-(Settings!$C$10+Settings!$C$11+IF(Settings!$C$15="Yes / Sí",Settings!$C$14,0))))/(1-(Settings!$C$10+Settings!$C$11+IF(Settings!$C$15="Yes / Sí",Settings!$C$14,0))-IF(H28="",Settings!$C$9,H28)),ROUNDUP(($I28+(Settings!$C$12+Settings!$C$13)-$G28*(1-(Settings!$C$10+Settings!$C$11+IF(Settings!$C$15="Yes / Sí",Settings!$C$14,0))))/(1-(Settings!$C$10+Settings!$C$11+IF(Settings!$C$15="Yes / Sí",Settings!$C$14,0))-IF(H28="",Settings!$C$9,H28)),0)-0.01,ROUNDUP(($I28+(Settings!$C$12+Settings!$C$13)-$G28*(1-(Settings!$C$10+Settings!$C$11+IF(Settings!$C$15="Yes / Sí",Settings!$C$14,0))))/(1-(Settings!$C$10+Settings!$C$11+IF(Settings!$C$15="Yes / Sí",Settings!$C$14,0))-IF(H28="",Settings!$C$9,H28)),0)+0.99),ROUNDUP(($I28+(Settings!$C$12+Settings!$C$13)-$G28*(1-(Settings!$C$10+Settings!$C$11+IF(Settings!$C$15="Yes / Sí",Settings!$C$14,0))))/(1-(Settings!$C$10+Settings!$C$11+IF(Settings!$C$15="Yes / Sí",Settings!$C$14,0))-IF(H28="",Settings!$C$9,H28)),2)))))</f>
        <v/>
      </c>
      <c r="L28" s="60" t="str">
        <f aca="false">IF(OR(B28="",K28=0),"",(K28+$G28-((K28+$G28)*(Settings!$C$10+Settings!$C$11+IF(Settings!$C$15="Yes / Sí",Settings!$C$14,0))+(Settings!$C$12+Settings!$C$13))-$I28))</f>
        <v/>
      </c>
      <c r="M28" s="57"/>
      <c r="N28" s="60" t="str">
        <f aca="false">IF(OR(B28="",M28=""),"",((M28+$G28)*(Settings!$C$10+Settings!$C$11+IF(Settings!$C$15="Yes / Sí",Settings!$C$14,0))+(Settings!$C$12+Settings!$C$13)))</f>
        <v/>
      </c>
      <c r="O28" s="60" t="str">
        <f aca="false">IF(OR(B28="",M28=""),"",(M28+$G28-((M28+$G28)*(Settings!$C$10+Settings!$C$11+IF(Settings!$C$15="Yes / Sí",Settings!$C$14,0))+(Settings!$C$12+Settings!$C$13))-$I28))</f>
        <v/>
      </c>
      <c r="P28" s="61" t="str">
        <f aca="false">IF(O28="","",IF(M28=0,0,O28/M28))</f>
        <v/>
      </c>
      <c r="Q28" s="60" t="str">
        <f aca="false">IF(OR(O28="",D28="",D28=0),"",(O28+D28/60*Settings!$C$7)/(D28/60))</f>
        <v/>
      </c>
      <c r="R28" s="62" t="str">
        <f aca="false">IF(B28="","",IF(M28="","Enter your price / Escribe tu precio",IF(O28&lt;0,"⚠ LOSING MONEY / PIERDES",IF(P28&lt;IF(H28="",Settings!$C$9,H28),"● BELOW TARGET / DEBAJO","✔ ON TARGET / EN OBJETIVO"))))</f>
        <v/>
      </c>
      <c r="T28" s="55" t="n">
        <f aca="false">IF(B28="",0,IF(M28="",0,1))</f>
        <v>0</v>
      </c>
      <c r="U28" s="55" t="n">
        <f aca="false">IF(T28=1,P28,0)</f>
        <v>0</v>
      </c>
      <c r="V28" s="55" t="n">
        <f aca="false">IF(T28=1,IF(O28&lt;0,0,IF(P28&lt;IF(H28="",Settings!$C$9,H28),1,0)),0)</f>
        <v>0</v>
      </c>
      <c r="W28" s="55" t="n">
        <f aca="false">IF(T28=1,IF(O28&lt;0,1,0),0)</f>
        <v>0</v>
      </c>
      <c r="X28" s="55" t="n">
        <f aca="false">IF(T28=1,M28,0)</f>
        <v>0</v>
      </c>
      <c r="Y28" s="55" t="n">
        <f aca="false">IF(T28=1,O28,0)</f>
        <v>0</v>
      </c>
      <c r="Z28" s="55" t="n">
        <f aca="false">IF(B28="",0,1)</f>
        <v>0</v>
      </c>
    </row>
    <row r="29" customFormat="false" ht="15" hidden="false" customHeight="false" outlineLevel="0" collapsed="false">
      <c r="B29" s="56"/>
      <c r="C29" s="57"/>
      <c r="D29" s="58"/>
      <c r="E29" s="57"/>
      <c r="F29" s="57"/>
      <c r="G29" s="57"/>
      <c r="H29" s="59"/>
      <c r="I29" s="60" t="str">
        <f aca="false">IF(B29="","",C29+IF(D29="",0,D29/60*Settings!$C$7)+E29+F29+Settings!$C$8)</f>
        <v/>
      </c>
      <c r="J29" s="60" t="str">
        <f aca="false">IF(B29="","",MAX(0,($I29+(Settings!$C$12+Settings!$C$13)-$G29*(1-(Settings!$C$10+Settings!$C$11+IF(Settings!$C$15="Yes / Sí",Settings!$C$14,0))))/(1-(Settings!$C$10+Settings!$C$11+IF(Settings!$C$15="Yes / Sí",Settings!$C$14,0)))))</f>
        <v/>
      </c>
      <c r="K29" s="60" t="str">
        <f aca="false">IF(B29="","",IF(1-(Settings!$C$10+Settings!$C$11+IF(Settings!$C$15="Yes / Sí",Settings!$C$14,0))-IF(H29="",Settings!$C$9,H29)&lt;=0,0,MAX(0,IF(Settings!$C$16="Yes / Sí",IF(ROUNDUP(($I29+(Settings!$C$12+Settings!$C$13)-$G29*(1-(Settings!$C$10+Settings!$C$11+IF(Settings!$C$15="Yes / Sí",Settings!$C$14,0))))/(1-(Settings!$C$10+Settings!$C$11+IF(Settings!$C$15="Yes / Sí",Settings!$C$14,0))-IF(H29="",Settings!$C$9,H29)),0)-0.01&gt;=($I29+(Settings!$C$12+Settings!$C$13)-$G29*(1-(Settings!$C$10+Settings!$C$11+IF(Settings!$C$15="Yes / Sí",Settings!$C$14,0))))/(1-(Settings!$C$10+Settings!$C$11+IF(Settings!$C$15="Yes / Sí",Settings!$C$14,0))-IF(H29="",Settings!$C$9,H29)),ROUNDUP(($I29+(Settings!$C$12+Settings!$C$13)-$G29*(1-(Settings!$C$10+Settings!$C$11+IF(Settings!$C$15="Yes / Sí",Settings!$C$14,0))))/(1-(Settings!$C$10+Settings!$C$11+IF(Settings!$C$15="Yes / Sí",Settings!$C$14,0))-IF(H29="",Settings!$C$9,H29)),0)-0.01,ROUNDUP(($I29+(Settings!$C$12+Settings!$C$13)-$G29*(1-(Settings!$C$10+Settings!$C$11+IF(Settings!$C$15="Yes / Sí",Settings!$C$14,0))))/(1-(Settings!$C$10+Settings!$C$11+IF(Settings!$C$15="Yes / Sí",Settings!$C$14,0))-IF(H29="",Settings!$C$9,H29)),0)+0.99),ROUNDUP(($I29+(Settings!$C$12+Settings!$C$13)-$G29*(1-(Settings!$C$10+Settings!$C$11+IF(Settings!$C$15="Yes / Sí",Settings!$C$14,0))))/(1-(Settings!$C$10+Settings!$C$11+IF(Settings!$C$15="Yes / Sí",Settings!$C$14,0))-IF(H29="",Settings!$C$9,H29)),2)))))</f>
        <v/>
      </c>
      <c r="L29" s="60" t="str">
        <f aca="false">IF(OR(B29="",K29=0),"",(K29+$G29-((K29+$G29)*(Settings!$C$10+Settings!$C$11+IF(Settings!$C$15="Yes / Sí",Settings!$C$14,0))+(Settings!$C$12+Settings!$C$13))-$I29))</f>
        <v/>
      </c>
      <c r="M29" s="57"/>
      <c r="N29" s="60" t="str">
        <f aca="false">IF(OR(B29="",M29=""),"",((M29+$G29)*(Settings!$C$10+Settings!$C$11+IF(Settings!$C$15="Yes / Sí",Settings!$C$14,0))+(Settings!$C$12+Settings!$C$13)))</f>
        <v/>
      </c>
      <c r="O29" s="60" t="str">
        <f aca="false">IF(OR(B29="",M29=""),"",(M29+$G29-((M29+$G29)*(Settings!$C$10+Settings!$C$11+IF(Settings!$C$15="Yes / Sí",Settings!$C$14,0))+(Settings!$C$12+Settings!$C$13))-$I29))</f>
        <v/>
      </c>
      <c r="P29" s="61" t="str">
        <f aca="false">IF(O29="","",IF(M29=0,0,O29/M29))</f>
        <v/>
      </c>
      <c r="Q29" s="60" t="str">
        <f aca="false">IF(OR(O29="",D29="",D29=0),"",(O29+D29/60*Settings!$C$7)/(D29/60))</f>
        <v/>
      </c>
      <c r="R29" s="62" t="str">
        <f aca="false">IF(B29="","",IF(M29="","Enter your price / Escribe tu precio",IF(O29&lt;0,"⚠ LOSING MONEY / PIERDES",IF(P29&lt;IF(H29="",Settings!$C$9,H29),"● BELOW TARGET / DEBAJO","✔ ON TARGET / EN OBJETIVO"))))</f>
        <v/>
      </c>
      <c r="T29" s="55" t="n">
        <f aca="false">IF(B29="",0,IF(M29="",0,1))</f>
        <v>0</v>
      </c>
      <c r="U29" s="55" t="n">
        <f aca="false">IF(T29=1,P29,0)</f>
        <v>0</v>
      </c>
      <c r="V29" s="55" t="n">
        <f aca="false">IF(T29=1,IF(O29&lt;0,0,IF(P29&lt;IF(H29="",Settings!$C$9,H29),1,0)),0)</f>
        <v>0</v>
      </c>
      <c r="W29" s="55" t="n">
        <f aca="false">IF(T29=1,IF(O29&lt;0,1,0),0)</f>
        <v>0</v>
      </c>
      <c r="X29" s="55" t="n">
        <f aca="false">IF(T29=1,M29,0)</f>
        <v>0</v>
      </c>
      <c r="Y29" s="55" t="n">
        <f aca="false">IF(T29=1,O29,0)</f>
        <v>0</v>
      </c>
      <c r="Z29" s="55" t="n">
        <f aca="false">IF(B29="",0,1)</f>
        <v>0</v>
      </c>
    </row>
    <row r="30" customFormat="false" ht="15" hidden="false" customHeight="false" outlineLevel="0" collapsed="false">
      <c r="B30" s="56"/>
      <c r="C30" s="57"/>
      <c r="D30" s="58"/>
      <c r="E30" s="57"/>
      <c r="F30" s="57"/>
      <c r="G30" s="57"/>
      <c r="H30" s="59"/>
      <c r="I30" s="60" t="str">
        <f aca="false">IF(B30="","",C30+IF(D30="",0,D30/60*Settings!$C$7)+E30+F30+Settings!$C$8)</f>
        <v/>
      </c>
      <c r="J30" s="60" t="str">
        <f aca="false">IF(B30="","",MAX(0,($I30+(Settings!$C$12+Settings!$C$13)-$G30*(1-(Settings!$C$10+Settings!$C$11+IF(Settings!$C$15="Yes / Sí",Settings!$C$14,0))))/(1-(Settings!$C$10+Settings!$C$11+IF(Settings!$C$15="Yes / Sí",Settings!$C$14,0)))))</f>
        <v/>
      </c>
      <c r="K30" s="60" t="str">
        <f aca="false">IF(B30="","",IF(1-(Settings!$C$10+Settings!$C$11+IF(Settings!$C$15="Yes / Sí",Settings!$C$14,0))-IF(H30="",Settings!$C$9,H30)&lt;=0,0,MAX(0,IF(Settings!$C$16="Yes / Sí",IF(ROUNDUP(($I30+(Settings!$C$12+Settings!$C$13)-$G30*(1-(Settings!$C$10+Settings!$C$11+IF(Settings!$C$15="Yes / Sí",Settings!$C$14,0))))/(1-(Settings!$C$10+Settings!$C$11+IF(Settings!$C$15="Yes / Sí",Settings!$C$14,0))-IF(H30="",Settings!$C$9,H30)),0)-0.01&gt;=($I30+(Settings!$C$12+Settings!$C$13)-$G30*(1-(Settings!$C$10+Settings!$C$11+IF(Settings!$C$15="Yes / Sí",Settings!$C$14,0))))/(1-(Settings!$C$10+Settings!$C$11+IF(Settings!$C$15="Yes / Sí",Settings!$C$14,0))-IF(H30="",Settings!$C$9,H30)),ROUNDUP(($I30+(Settings!$C$12+Settings!$C$13)-$G30*(1-(Settings!$C$10+Settings!$C$11+IF(Settings!$C$15="Yes / Sí",Settings!$C$14,0))))/(1-(Settings!$C$10+Settings!$C$11+IF(Settings!$C$15="Yes / Sí",Settings!$C$14,0))-IF(H30="",Settings!$C$9,H30)),0)-0.01,ROUNDUP(($I30+(Settings!$C$12+Settings!$C$13)-$G30*(1-(Settings!$C$10+Settings!$C$11+IF(Settings!$C$15="Yes / Sí",Settings!$C$14,0))))/(1-(Settings!$C$10+Settings!$C$11+IF(Settings!$C$15="Yes / Sí",Settings!$C$14,0))-IF(H30="",Settings!$C$9,H30)),0)+0.99),ROUNDUP(($I30+(Settings!$C$12+Settings!$C$13)-$G30*(1-(Settings!$C$10+Settings!$C$11+IF(Settings!$C$15="Yes / Sí",Settings!$C$14,0))))/(1-(Settings!$C$10+Settings!$C$11+IF(Settings!$C$15="Yes / Sí",Settings!$C$14,0))-IF(H30="",Settings!$C$9,H30)),2)))))</f>
        <v/>
      </c>
      <c r="L30" s="60" t="str">
        <f aca="false">IF(OR(B30="",K30=0),"",(K30+$G30-((K30+$G30)*(Settings!$C$10+Settings!$C$11+IF(Settings!$C$15="Yes / Sí",Settings!$C$14,0))+(Settings!$C$12+Settings!$C$13))-$I30))</f>
        <v/>
      </c>
      <c r="M30" s="57"/>
      <c r="N30" s="60" t="str">
        <f aca="false">IF(OR(B30="",M30=""),"",((M30+$G30)*(Settings!$C$10+Settings!$C$11+IF(Settings!$C$15="Yes / Sí",Settings!$C$14,0))+(Settings!$C$12+Settings!$C$13)))</f>
        <v/>
      </c>
      <c r="O30" s="60" t="str">
        <f aca="false">IF(OR(B30="",M30=""),"",(M30+$G30-((M30+$G30)*(Settings!$C$10+Settings!$C$11+IF(Settings!$C$15="Yes / Sí",Settings!$C$14,0))+(Settings!$C$12+Settings!$C$13))-$I30))</f>
        <v/>
      </c>
      <c r="P30" s="61" t="str">
        <f aca="false">IF(O30="","",IF(M30=0,0,O30/M30))</f>
        <v/>
      </c>
      <c r="Q30" s="60" t="str">
        <f aca="false">IF(OR(O30="",D30="",D30=0),"",(O30+D30/60*Settings!$C$7)/(D30/60))</f>
        <v/>
      </c>
      <c r="R30" s="62" t="str">
        <f aca="false">IF(B30="","",IF(M30="","Enter your price / Escribe tu precio",IF(O30&lt;0,"⚠ LOSING MONEY / PIERDES",IF(P30&lt;IF(H30="",Settings!$C$9,H30),"● BELOW TARGET / DEBAJO","✔ ON TARGET / EN OBJETIVO"))))</f>
        <v/>
      </c>
      <c r="T30" s="55" t="n">
        <f aca="false">IF(B30="",0,IF(M30="",0,1))</f>
        <v>0</v>
      </c>
      <c r="U30" s="55" t="n">
        <f aca="false">IF(T30=1,P30,0)</f>
        <v>0</v>
      </c>
      <c r="V30" s="55" t="n">
        <f aca="false">IF(T30=1,IF(O30&lt;0,0,IF(P30&lt;IF(H30="",Settings!$C$9,H30),1,0)),0)</f>
        <v>0</v>
      </c>
      <c r="W30" s="55" t="n">
        <f aca="false">IF(T30=1,IF(O30&lt;0,1,0),0)</f>
        <v>0</v>
      </c>
      <c r="X30" s="55" t="n">
        <f aca="false">IF(T30=1,M30,0)</f>
        <v>0</v>
      </c>
      <c r="Y30" s="55" t="n">
        <f aca="false">IF(T30=1,O30,0)</f>
        <v>0</v>
      </c>
      <c r="Z30" s="55" t="n">
        <f aca="false">IF(B30="",0,1)</f>
        <v>0</v>
      </c>
    </row>
    <row r="31" customFormat="false" ht="15" hidden="false" customHeight="false" outlineLevel="0" collapsed="false">
      <c r="B31" s="56"/>
      <c r="C31" s="57"/>
      <c r="D31" s="58"/>
      <c r="E31" s="57"/>
      <c r="F31" s="57"/>
      <c r="G31" s="57"/>
      <c r="H31" s="59"/>
      <c r="I31" s="60" t="str">
        <f aca="false">IF(B31="","",C31+IF(D31="",0,D31/60*Settings!$C$7)+E31+F31+Settings!$C$8)</f>
        <v/>
      </c>
      <c r="J31" s="60" t="str">
        <f aca="false">IF(B31="","",MAX(0,($I31+(Settings!$C$12+Settings!$C$13)-$G31*(1-(Settings!$C$10+Settings!$C$11+IF(Settings!$C$15="Yes / Sí",Settings!$C$14,0))))/(1-(Settings!$C$10+Settings!$C$11+IF(Settings!$C$15="Yes / Sí",Settings!$C$14,0)))))</f>
        <v/>
      </c>
      <c r="K31" s="60" t="str">
        <f aca="false">IF(B31="","",IF(1-(Settings!$C$10+Settings!$C$11+IF(Settings!$C$15="Yes / Sí",Settings!$C$14,0))-IF(H31="",Settings!$C$9,H31)&lt;=0,0,MAX(0,IF(Settings!$C$16="Yes / Sí",IF(ROUNDUP(($I31+(Settings!$C$12+Settings!$C$13)-$G31*(1-(Settings!$C$10+Settings!$C$11+IF(Settings!$C$15="Yes / Sí",Settings!$C$14,0))))/(1-(Settings!$C$10+Settings!$C$11+IF(Settings!$C$15="Yes / Sí",Settings!$C$14,0))-IF(H31="",Settings!$C$9,H31)),0)-0.01&gt;=($I31+(Settings!$C$12+Settings!$C$13)-$G31*(1-(Settings!$C$10+Settings!$C$11+IF(Settings!$C$15="Yes / Sí",Settings!$C$14,0))))/(1-(Settings!$C$10+Settings!$C$11+IF(Settings!$C$15="Yes / Sí",Settings!$C$14,0))-IF(H31="",Settings!$C$9,H31)),ROUNDUP(($I31+(Settings!$C$12+Settings!$C$13)-$G31*(1-(Settings!$C$10+Settings!$C$11+IF(Settings!$C$15="Yes / Sí",Settings!$C$14,0))))/(1-(Settings!$C$10+Settings!$C$11+IF(Settings!$C$15="Yes / Sí",Settings!$C$14,0))-IF(H31="",Settings!$C$9,H31)),0)-0.01,ROUNDUP(($I31+(Settings!$C$12+Settings!$C$13)-$G31*(1-(Settings!$C$10+Settings!$C$11+IF(Settings!$C$15="Yes / Sí",Settings!$C$14,0))))/(1-(Settings!$C$10+Settings!$C$11+IF(Settings!$C$15="Yes / Sí",Settings!$C$14,0))-IF(H31="",Settings!$C$9,H31)),0)+0.99),ROUNDUP(($I31+(Settings!$C$12+Settings!$C$13)-$G31*(1-(Settings!$C$10+Settings!$C$11+IF(Settings!$C$15="Yes / Sí",Settings!$C$14,0))))/(1-(Settings!$C$10+Settings!$C$11+IF(Settings!$C$15="Yes / Sí",Settings!$C$14,0))-IF(H31="",Settings!$C$9,H31)),2)))))</f>
        <v/>
      </c>
      <c r="L31" s="60" t="str">
        <f aca="false">IF(OR(B31="",K31=0),"",(K31+$G31-((K31+$G31)*(Settings!$C$10+Settings!$C$11+IF(Settings!$C$15="Yes / Sí",Settings!$C$14,0))+(Settings!$C$12+Settings!$C$13))-$I31))</f>
        <v/>
      </c>
      <c r="M31" s="57"/>
      <c r="N31" s="60" t="str">
        <f aca="false">IF(OR(B31="",M31=""),"",((M31+$G31)*(Settings!$C$10+Settings!$C$11+IF(Settings!$C$15="Yes / Sí",Settings!$C$14,0))+(Settings!$C$12+Settings!$C$13)))</f>
        <v/>
      </c>
      <c r="O31" s="60" t="str">
        <f aca="false">IF(OR(B31="",M31=""),"",(M31+$G31-((M31+$G31)*(Settings!$C$10+Settings!$C$11+IF(Settings!$C$15="Yes / Sí",Settings!$C$14,0))+(Settings!$C$12+Settings!$C$13))-$I31))</f>
        <v/>
      </c>
      <c r="P31" s="61" t="str">
        <f aca="false">IF(O31="","",IF(M31=0,0,O31/M31))</f>
        <v/>
      </c>
      <c r="Q31" s="60" t="str">
        <f aca="false">IF(OR(O31="",D31="",D31=0),"",(O31+D31/60*Settings!$C$7)/(D31/60))</f>
        <v/>
      </c>
      <c r="R31" s="62" t="str">
        <f aca="false">IF(B31="","",IF(M31="","Enter your price / Escribe tu precio",IF(O31&lt;0,"⚠ LOSING MONEY / PIERDES",IF(P31&lt;IF(H31="",Settings!$C$9,H31),"● BELOW TARGET / DEBAJO","✔ ON TARGET / EN OBJETIVO"))))</f>
        <v/>
      </c>
      <c r="T31" s="55" t="n">
        <f aca="false">IF(B31="",0,IF(M31="",0,1))</f>
        <v>0</v>
      </c>
      <c r="U31" s="55" t="n">
        <f aca="false">IF(T31=1,P31,0)</f>
        <v>0</v>
      </c>
      <c r="V31" s="55" t="n">
        <f aca="false">IF(T31=1,IF(O31&lt;0,0,IF(P31&lt;IF(H31="",Settings!$C$9,H31),1,0)),0)</f>
        <v>0</v>
      </c>
      <c r="W31" s="55" t="n">
        <f aca="false">IF(T31=1,IF(O31&lt;0,1,0),0)</f>
        <v>0</v>
      </c>
      <c r="X31" s="55" t="n">
        <f aca="false">IF(T31=1,M31,0)</f>
        <v>0</v>
      </c>
      <c r="Y31" s="55" t="n">
        <f aca="false">IF(T31=1,O31,0)</f>
        <v>0</v>
      </c>
      <c r="Z31" s="55" t="n">
        <f aca="false">IF(B31="",0,1)</f>
        <v>0</v>
      </c>
    </row>
    <row r="32" customFormat="false" ht="15" hidden="false" customHeight="false" outlineLevel="0" collapsed="false">
      <c r="B32" s="56"/>
      <c r="C32" s="57"/>
      <c r="D32" s="58"/>
      <c r="E32" s="57"/>
      <c r="F32" s="57"/>
      <c r="G32" s="57"/>
      <c r="H32" s="59"/>
      <c r="I32" s="60" t="str">
        <f aca="false">IF(B32="","",C32+IF(D32="",0,D32/60*Settings!$C$7)+E32+F32+Settings!$C$8)</f>
        <v/>
      </c>
      <c r="J32" s="60" t="str">
        <f aca="false">IF(B32="","",MAX(0,($I32+(Settings!$C$12+Settings!$C$13)-$G32*(1-(Settings!$C$10+Settings!$C$11+IF(Settings!$C$15="Yes / Sí",Settings!$C$14,0))))/(1-(Settings!$C$10+Settings!$C$11+IF(Settings!$C$15="Yes / Sí",Settings!$C$14,0)))))</f>
        <v/>
      </c>
      <c r="K32" s="60" t="str">
        <f aca="false">IF(B32="","",IF(1-(Settings!$C$10+Settings!$C$11+IF(Settings!$C$15="Yes / Sí",Settings!$C$14,0))-IF(H32="",Settings!$C$9,H32)&lt;=0,0,MAX(0,IF(Settings!$C$16="Yes / Sí",IF(ROUNDUP(($I32+(Settings!$C$12+Settings!$C$13)-$G32*(1-(Settings!$C$10+Settings!$C$11+IF(Settings!$C$15="Yes / Sí",Settings!$C$14,0))))/(1-(Settings!$C$10+Settings!$C$11+IF(Settings!$C$15="Yes / Sí",Settings!$C$14,0))-IF(H32="",Settings!$C$9,H32)),0)-0.01&gt;=($I32+(Settings!$C$12+Settings!$C$13)-$G32*(1-(Settings!$C$10+Settings!$C$11+IF(Settings!$C$15="Yes / Sí",Settings!$C$14,0))))/(1-(Settings!$C$10+Settings!$C$11+IF(Settings!$C$15="Yes / Sí",Settings!$C$14,0))-IF(H32="",Settings!$C$9,H32)),ROUNDUP(($I32+(Settings!$C$12+Settings!$C$13)-$G32*(1-(Settings!$C$10+Settings!$C$11+IF(Settings!$C$15="Yes / Sí",Settings!$C$14,0))))/(1-(Settings!$C$10+Settings!$C$11+IF(Settings!$C$15="Yes / Sí",Settings!$C$14,0))-IF(H32="",Settings!$C$9,H32)),0)-0.01,ROUNDUP(($I32+(Settings!$C$12+Settings!$C$13)-$G32*(1-(Settings!$C$10+Settings!$C$11+IF(Settings!$C$15="Yes / Sí",Settings!$C$14,0))))/(1-(Settings!$C$10+Settings!$C$11+IF(Settings!$C$15="Yes / Sí",Settings!$C$14,0))-IF(H32="",Settings!$C$9,H32)),0)+0.99),ROUNDUP(($I32+(Settings!$C$12+Settings!$C$13)-$G32*(1-(Settings!$C$10+Settings!$C$11+IF(Settings!$C$15="Yes / Sí",Settings!$C$14,0))))/(1-(Settings!$C$10+Settings!$C$11+IF(Settings!$C$15="Yes / Sí",Settings!$C$14,0))-IF(H32="",Settings!$C$9,H32)),2)))))</f>
        <v/>
      </c>
      <c r="L32" s="60" t="str">
        <f aca="false">IF(OR(B32="",K32=0),"",(K32+$G32-((K32+$G32)*(Settings!$C$10+Settings!$C$11+IF(Settings!$C$15="Yes / Sí",Settings!$C$14,0))+(Settings!$C$12+Settings!$C$13))-$I32))</f>
        <v/>
      </c>
      <c r="M32" s="57"/>
      <c r="N32" s="60" t="str">
        <f aca="false">IF(OR(B32="",M32=""),"",((M32+$G32)*(Settings!$C$10+Settings!$C$11+IF(Settings!$C$15="Yes / Sí",Settings!$C$14,0))+(Settings!$C$12+Settings!$C$13)))</f>
        <v/>
      </c>
      <c r="O32" s="60" t="str">
        <f aca="false">IF(OR(B32="",M32=""),"",(M32+$G32-((M32+$G32)*(Settings!$C$10+Settings!$C$11+IF(Settings!$C$15="Yes / Sí",Settings!$C$14,0))+(Settings!$C$12+Settings!$C$13))-$I32))</f>
        <v/>
      </c>
      <c r="P32" s="61" t="str">
        <f aca="false">IF(O32="","",IF(M32=0,0,O32/M32))</f>
        <v/>
      </c>
      <c r="Q32" s="60" t="str">
        <f aca="false">IF(OR(O32="",D32="",D32=0),"",(O32+D32/60*Settings!$C$7)/(D32/60))</f>
        <v/>
      </c>
      <c r="R32" s="62" t="str">
        <f aca="false">IF(B32="","",IF(M32="","Enter your price / Escribe tu precio",IF(O32&lt;0,"⚠ LOSING MONEY / PIERDES",IF(P32&lt;IF(H32="",Settings!$C$9,H32),"● BELOW TARGET / DEBAJO","✔ ON TARGET / EN OBJETIVO"))))</f>
        <v/>
      </c>
      <c r="T32" s="55" t="n">
        <f aca="false">IF(B32="",0,IF(M32="",0,1))</f>
        <v>0</v>
      </c>
      <c r="U32" s="55" t="n">
        <f aca="false">IF(T32=1,P32,0)</f>
        <v>0</v>
      </c>
      <c r="V32" s="55" t="n">
        <f aca="false">IF(T32=1,IF(O32&lt;0,0,IF(P32&lt;IF(H32="",Settings!$C$9,H32),1,0)),0)</f>
        <v>0</v>
      </c>
      <c r="W32" s="55" t="n">
        <f aca="false">IF(T32=1,IF(O32&lt;0,1,0),0)</f>
        <v>0</v>
      </c>
      <c r="X32" s="55" t="n">
        <f aca="false">IF(T32=1,M32,0)</f>
        <v>0</v>
      </c>
      <c r="Y32" s="55" t="n">
        <f aca="false">IF(T32=1,O32,0)</f>
        <v>0</v>
      </c>
      <c r="Z32" s="55" t="n">
        <f aca="false">IF(B32="",0,1)</f>
        <v>0</v>
      </c>
    </row>
    <row r="33" customFormat="false" ht="15" hidden="false" customHeight="false" outlineLevel="0" collapsed="false">
      <c r="B33" s="56"/>
      <c r="C33" s="57"/>
      <c r="D33" s="58"/>
      <c r="E33" s="57"/>
      <c r="F33" s="57"/>
      <c r="G33" s="57"/>
      <c r="H33" s="59"/>
      <c r="I33" s="60" t="str">
        <f aca="false">IF(B33="","",C33+IF(D33="",0,D33/60*Settings!$C$7)+E33+F33+Settings!$C$8)</f>
        <v/>
      </c>
      <c r="J33" s="60" t="str">
        <f aca="false">IF(B33="","",MAX(0,($I33+(Settings!$C$12+Settings!$C$13)-$G33*(1-(Settings!$C$10+Settings!$C$11+IF(Settings!$C$15="Yes / Sí",Settings!$C$14,0))))/(1-(Settings!$C$10+Settings!$C$11+IF(Settings!$C$15="Yes / Sí",Settings!$C$14,0)))))</f>
        <v/>
      </c>
      <c r="K33" s="60" t="str">
        <f aca="false">IF(B33="","",IF(1-(Settings!$C$10+Settings!$C$11+IF(Settings!$C$15="Yes / Sí",Settings!$C$14,0))-IF(H33="",Settings!$C$9,H33)&lt;=0,0,MAX(0,IF(Settings!$C$16="Yes / Sí",IF(ROUNDUP(($I33+(Settings!$C$12+Settings!$C$13)-$G33*(1-(Settings!$C$10+Settings!$C$11+IF(Settings!$C$15="Yes / Sí",Settings!$C$14,0))))/(1-(Settings!$C$10+Settings!$C$11+IF(Settings!$C$15="Yes / Sí",Settings!$C$14,0))-IF(H33="",Settings!$C$9,H33)),0)-0.01&gt;=($I33+(Settings!$C$12+Settings!$C$13)-$G33*(1-(Settings!$C$10+Settings!$C$11+IF(Settings!$C$15="Yes / Sí",Settings!$C$14,0))))/(1-(Settings!$C$10+Settings!$C$11+IF(Settings!$C$15="Yes / Sí",Settings!$C$14,0))-IF(H33="",Settings!$C$9,H33)),ROUNDUP(($I33+(Settings!$C$12+Settings!$C$13)-$G33*(1-(Settings!$C$10+Settings!$C$11+IF(Settings!$C$15="Yes / Sí",Settings!$C$14,0))))/(1-(Settings!$C$10+Settings!$C$11+IF(Settings!$C$15="Yes / Sí",Settings!$C$14,0))-IF(H33="",Settings!$C$9,H33)),0)-0.01,ROUNDUP(($I33+(Settings!$C$12+Settings!$C$13)-$G33*(1-(Settings!$C$10+Settings!$C$11+IF(Settings!$C$15="Yes / Sí",Settings!$C$14,0))))/(1-(Settings!$C$10+Settings!$C$11+IF(Settings!$C$15="Yes / Sí",Settings!$C$14,0))-IF(H33="",Settings!$C$9,H33)),0)+0.99),ROUNDUP(($I33+(Settings!$C$12+Settings!$C$13)-$G33*(1-(Settings!$C$10+Settings!$C$11+IF(Settings!$C$15="Yes / Sí",Settings!$C$14,0))))/(1-(Settings!$C$10+Settings!$C$11+IF(Settings!$C$15="Yes / Sí",Settings!$C$14,0))-IF(H33="",Settings!$C$9,H33)),2)))))</f>
        <v/>
      </c>
      <c r="L33" s="60" t="str">
        <f aca="false">IF(OR(B33="",K33=0),"",(K33+$G33-((K33+$G33)*(Settings!$C$10+Settings!$C$11+IF(Settings!$C$15="Yes / Sí",Settings!$C$14,0))+(Settings!$C$12+Settings!$C$13))-$I33))</f>
        <v/>
      </c>
      <c r="M33" s="57"/>
      <c r="N33" s="60" t="str">
        <f aca="false">IF(OR(B33="",M33=""),"",((M33+$G33)*(Settings!$C$10+Settings!$C$11+IF(Settings!$C$15="Yes / Sí",Settings!$C$14,0))+(Settings!$C$12+Settings!$C$13)))</f>
        <v/>
      </c>
      <c r="O33" s="60" t="str">
        <f aca="false">IF(OR(B33="",M33=""),"",(M33+$G33-((M33+$G33)*(Settings!$C$10+Settings!$C$11+IF(Settings!$C$15="Yes / Sí",Settings!$C$14,0))+(Settings!$C$12+Settings!$C$13))-$I33))</f>
        <v/>
      </c>
      <c r="P33" s="61" t="str">
        <f aca="false">IF(O33="","",IF(M33=0,0,O33/M33))</f>
        <v/>
      </c>
      <c r="Q33" s="60" t="str">
        <f aca="false">IF(OR(O33="",D33="",D33=0),"",(O33+D33/60*Settings!$C$7)/(D33/60))</f>
        <v/>
      </c>
      <c r="R33" s="62" t="str">
        <f aca="false">IF(B33="","",IF(M33="","Enter your price / Escribe tu precio",IF(O33&lt;0,"⚠ LOSING MONEY / PIERDES",IF(P33&lt;IF(H33="",Settings!$C$9,H33),"● BELOW TARGET / DEBAJO","✔ ON TARGET / EN OBJETIVO"))))</f>
        <v/>
      </c>
      <c r="T33" s="55" t="n">
        <f aca="false">IF(B33="",0,IF(M33="",0,1))</f>
        <v>0</v>
      </c>
      <c r="U33" s="55" t="n">
        <f aca="false">IF(T33=1,P33,0)</f>
        <v>0</v>
      </c>
      <c r="V33" s="55" t="n">
        <f aca="false">IF(T33=1,IF(O33&lt;0,0,IF(P33&lt;IF(H33="",Settings!$C$9,H33),1,0)),0)</f>
        <v>0</v>
      </c>
      <c r="W33" s="55" t="n">
        <f aca="false">IF(T33=1,IF(O33&lt;0,1,0),0)</f>
        <v>0</v>
      </c>
      <c r="X33" s="55" t="n">
        <f aca="false">IF(T33=1,M33,0)</f>
        <v>0</v>
      </c>
      <c r="Y33" s="55" t="n">
        <f aca="false">IF(T33=1,O33,0)</f>
        <v>0</v>
      </c>
      <c r="Z33" s="55" t="n">
        <f aca="false">IF(B33="",0,1)</f>
        <v>0</v>
      </c>
    </row>
    <row r="34" customFormat="false" ht="15" hidden="false" customHeight="false" outlineLevel="0" collapsed="false">
      <c r="B34" s="56"/>
      <c r="C34" s="57"/>
      <c r="D34" s="58"/>
      <c r="E34" s="57"/>
      <c r="F34" s="57"/>
      <c r="G34" s="57"/>
      <c r="H34" s="59"/>
      <c r="I34" s="60" t="str">
        <f aca="false">IF(B34="","",C34+IF(D34="",0,D34/60*Settings!$C$7)+E34+F34+Settings!$C$8)</f>
        <v/>
      </c>
      <c r="J34" s="60" t="str">
        <f aca="false">IF(B34="","",MAX(0,($I34+(Settings!$C$12+Settings!$C$13)-$G34*(1-(Settings!$C$10+Settings!$C$11+IF(Settings!$C$15="Yes / Sí",Settings!$C$14,0))))/(1-(Settings!$C$10+Settings!$C$11+IF(Settings!$C$15="Yes / Sí",Settings!$C$14,0)))))</f>
        <v/>
      </c>
      <c r="K34" s="60" t="str">
        <f aca="false">IF(B34="","",IF(1-(Settings!$C$10+Settings!$C$11+IF(Settings!$C$15="Yes / Sí",Settings!$C$14,0))-IF(H34="",Settings!$C$9,H34)&lt;=0,0,MAX(0,IF(Settings!$C$16="Yes / Sí",IF(ROUNDUP(($I34+(Settings!$C$12+Settings!$C$13)-$G34*(1-(Settings!$C$10+Settings!$C$11+IF(Settings!$C$15="Yes / Sí",Settings!$C$14,0))))/(1-(Settings!$C$10+Settings!$C$11+IF(Settings!$C$15="Yes / Sí",Settings!$C$14,0))-IF(H34="",Settings!$C$9,H34)),0)-0.01&gt;=($I34+(Settings!$C$12+Settings!$C$13)-$G34*(1-(Settings!$C$10+Settings!$C$11+IF(Settings!$C$15="Yes / Sí",Settings!$C$14,0))))/(1-(Settings!$C$10+Settings!$C$11+IF(Settings!$C$15="Yes / Sí",Settings!$C$14,0))-IF(H34="",Settings!$C$9,H34)),ROUNDUP(($I34+(Settings!$C$12+Settings!$C$13)-$G34*(1-(Settings!$C$10+Settings!$C$11+IF(Settings!$C$15="Yes / Sí",Settings!$C$14,0))))/(1-(Settings!$C$10+Settings!$C$11+IF(Settings!$C$15="Yes / Sí",Settings!$C$14,0))-IF(H34="",Settings!$C$9,H34)),0)-0.01,ROUNDUP(($I34+(Settings!$C$12+Settings!$C$13)-$G34*(1-(Settings!$C$10+Settings!$C$11+IF(Settings!$C$15="Yes / Sí",Settings!$C$14,0))))/(1-(Settings!$C$10+Settings!$C$11+IF(Settings!$C$15="Yes / Sí",Settings!$C$14,0))-IF(H34="",Settings!$C$9,H34)),0)+0.99),ROUNDUP(($I34+(Settings!$C$12+Settings!$C$13)-$G34*(1-(Settings!$C$10+Settings!$C$11+IF(Settings!$C$15="Yes / Sí",Settings!$C$14,0))))/(1-(Settings!$C$10+Settings!$C$11+IF(Settings!$C$15="Yes / Sí",Settings!$C$14,0))-IF(H34="",Settings!$C$9,H34)),2)))))</f>
        <v/>
      </c>
      <c r="L34" s="60" t="str">
        <f aca="false">IF(OR(B34="",K34=0),"",(K34+$G34-((K34+$G34)*(Settings!$C$10+Settings!$C$11+IF(Settings!$C$15="Yes / Sí",Settings!$C$14,0))+(Settings!$C$12+Settings!$C$13))-$I34))</f>
        <v/>
      </c>
      <c r="M34" s="57"/>
      <c r="N34" s="60" t="str">
        <f aca="false">IF(OR(B34="",M34=""),"",((M34+$G34)*(Settings!$C$10+Settings!$C$11+IF(Settings!$C$15="Yes / Sí",Settings!$C$14,0))+(Settings!$C$12+Settings!$C$13)))</f>
        <v/>
      </c>
      <c r="O34" s="60" t="str">
        <f aca="false">IF(OR(B34="",M34=""),"",(M34+$G34-((M34+$G34)*(Settings!$C$10+Settings!$C$11+IF(Settings!$C$15="Yes / Sí",Settings!$C$14,0))+(Settings!$C$12+Settings!$C$13))-$I34))</f>
        <v/>
      </c>
      <c r="P34" s="61" t="str">
        <f aca="false">IF(O34="","",IF(M34=0,0,O34/M34))</f>
        <v/>
      </c>
      <c r="Q34" s="60" t="str">
        <f aca="false">IF(OR(O34="",D34="",D34=0),"",(O34+D34/60*Settings!$C$7)/(D34/60))</f>
        <v/>
      </c>
      <c r="R34" s="62" t="str">
        <f aca="false">IF(B34="","",IF(M34="","Enter your price / Escribe tu precio",IF(O34&lt;0,"⚠ LOSING MONEY / PIERDES",IF(P34&lt;IF(H34="",Settings!$C$9,H34),"● BELOW TARGET / DEBAJO","✔ ON TARGET / EN OBJETIVO"))))</f>
        <v/>
      </c>
      <c r="T34" s="55" t="n">
        <f aca="false">IF(B34="",0,IF(M34="",0,1))</f>
        <v>0</v>
      </c>
      <c r="U34" s="55" t="n">
        <f aca="false">IF(T34=1,P34,0)</f>
        <v>0</v>
      </c>
      <c r="V34" s="55" t="n">
        <f aca="false">IF(T34=1,IF(O34&lt;0,0,IF(P34&lt;IF(H34="",Settings!$C$9,H34),1,0)),0)</f>
        <v>0</v>
      </c>
      <c r="W34" s="55" t="n">
        <f aca="false">IF(T34=1,IF(O34&lt;0,1,0),0)</f>
        <v>0</v>
      </c>
      <c r="X34" s="55" t="n">
        <f aca="false">IF(T34=1,M34,0)</f>
        <v>0</v>
      </c>
      <c r="Y34" s="55" t="n">
        <f aca="false">IF(T34=1,O34,0)</f>
        <v>0</v>
      </c>
      <c r="Z34" s="55" t="n">
        <f aca="false">IF(B34="",0,1)</f>
        <v>0</v>
      </c>
    </row>
    <row r="35" customFormat="false" ht="15" hidden="false" customHeight="false" outlineLevel="0" collapsed="false">
      <c r="B35" s="56"/>
      <c r="C35" s="57"/>
      <c r="D35" s="58"/>
      <c r="E35" s="57"/>
      <c r="F35" s="57"/>
      <c r="G35" s="57"/>
      <c r="H35" s="59"/>
      <c r="I35" s="60" t="str">
        <f aca="false">IF(B35="","",C35+IF(D35="",0,D35/60*Settings!$C$7)+E35+F35+Settings!$C$8)</f>
        <v/>
      </c>
      <c r="J35" s="60" t="str">
        <f aca="false">IF(B35="","",MAX(0,($I35+(Settings!$C$12+Settings!$C$13)-$G35*(1-(Settings!$C$10+Settings!$C$11+IF(Settings!$C$15="Yes / Sí",Settings!$C$14,0))))/(1-(Settings!$C$10+Settings!$C$11+IF(Settings!$C$15="Yes / Sí",Settings!$C$14,0)))))</f>
        <v/>
      </c>
      <c r="K35" s="60" t="str">
        <f aca="false">IF(B35="","",IF(1-(Settings!$C$10+Settings!$C$11+IF(Settings!$C$15="Yes / Sí",Settings!$C$14,0))-IF(H35="",Settings!$C$9,H35)&lt;=0,0,MAX(0,IF(Settings!$C$16="Yes / Sí",IF(ROUNDUP(($I35+(Settings!$C$12+Settings!$C$13)-$G35*(1-(Settings!$C$10+Settings!$C$11+IF(Settings!$C$15="Yes / Sí",Settings!$C$14,0))))/(1-(Settings!$C$10+Settings!$C$11+IF(Settings!$C$15="Yes / Sí",Settings!$C$14,0))-IF(H35="",Settings!$C$9,H35)),0)-0.01&gt;=($I35+(Settings!$C$12+Settings!$C$13)-$G35*(1-(Settings!$C$10+Settings!$C$11+IF(Settings!$C$15="Yes / Sí",Settings!$C$14,0))))/(1-(Settings!$C$10+Settings!$C$11+IF(Settings!$C$15="Yes / Sí",Settings!$C$14,0))-IF(H35="",Settings!$C$9,H35)),ROUNDUP(($I35+(Settings!$C$12+Settings!$C$13)-$G35*(1-(Settings!$C$10+Settings!$C$11+IF(Settings!$C$15="Yes / Sí",Settings!$C$14,0))))/(1-(Settings!$C$10+Settings!$C$11+IF(Settings!$C$15="Yes / Sí",Settings!$C$14,0))-IF(H35="",Settings!$C$9,H35)),0)-0.01,ROUNDUP(($I35+(Settings!$C$12+Settings!$C$13)-$G35*(1-(Settings!$C$10+Settings!$C$11+IF(Settings!$C$15="Yes / Sí",Settings!$C$14,0))))/(1-(Settings!$C$10+Settings!$C$11+IF(Settings!$C$15="Yes / Sí",Settings!$C$14,0))-IF(H35="",Settings!$C$9,H35)),0)+0.99),ROUNDUP(($I35+(Settings!$C$12+Settings!$C$13)-$G35*(1-(Settings!$C$10+Settings!$C$11+IF(Settings!$C$15="Yes / Sí",Settings!$C$14,0))))/(1-(Settings!$C$10+Settings!$C$11+IF(Settings!$C$15="Yes / Sí",Settings!$C$14,0))-IF(H35="",Settings!$C$9,H35)),2)))))</f>
        <v/>
      </c>
      <c r="L35" s="60" t="str">
        <f aca="false">IF(OR(B35="",K35=0),"",(K35+$G35-((K35+$G35)*(Settings!$C$10+Settings!$C$11+IF(Settings!$C$15="Yes / Sí",Settings!$C$14,0))+(Settings!$C$12+Settings!$C$13))-$I35))</f>
        <v/>
      </c>
      <c r="M35" s="57"/>
      <c r="N35" s="60" t="str">
        <f aca="false">IF(OR(B35="",M35=""),"",((M35+$G35)*(Settings!$C$10+Settings!$C$11+IF(Settings!$C$15="Yes / Sí",Settings!$C$14,0))+(Settings!$C$12+Settings!$C$13)))</f>
        <v/>
      </c>
      <c r="O35" s="60" t="str">
        <f aca="false">IF(OR(B35="",M35=""),"",(M35+$G35-((M35+$G35)*(Settings!$C$10+Settings!$C$11+IF(Settings!$C$15="Yes / Sí",Settings!$C$14,0))+(Settings!$C$12+Settings!$C$13))-$I35))</f>
        <v/>
      </c>
      <c r="P35" s="61" t="str">
        <f aca="false">IF(O35="","",IF(M35=0,0,O35/M35))</f>
        <v/>
      </c>
      <c r="Q35" s="60" t="str">
        <f aca="false">IF(OR(O35="",D35="",D35=0),"",(O35+D35/60*Settings!$C$7)/(D35/60))</f>
        <v/>
      </c>
      <c r="R35" s="62" t="str">
        <f aca="false">IF(B35="","",IF(M35="","Enter your price / Escribe tu precio",IF(O35&lt;0,"⚠ LOSING MONEY / PIERDES",IF(P35&lt;IF(H35="",Settings!$C$9,H35),"● BELOW TARGET / DEBAJO","✔ ON TARGET / EN OBJETIVO"))))</f>
        <v/>
      </c>
      <c r="T35" s="55" t="n">
        <f aca="false">IF(B35="",0,IF(M35="",0,1))</f>
        <v>0</v>
      </c>
      <c r="U35" s="55" t="n">
        <f aca="false">IF(T35=1,P35,0)</f>
        <v>0</v>
      </c>
      <c r="V35" s="55" t="n">
        <f aca="false">IF(T35=1,IF(O35&lt;0,0,IF(P35&lt;IF(H35="",Settings!$C$9,H35),1,0)),0)</f>
        <v>0</v>
      </c>
      <c r="W35" s="55" t="n">
        <f aca="false">IF(T35=1,IF(O35&lt;0,1,0),0)</f>
        <v>0</v>
      </c>
      <c r="X35" s="55" t="n">
        <f aca="false">IF(T35=1,M35,0)</f>
        <v>0</v>
      </c>
      <c r="Y35" s="55" t="n">
        <f aca="false">IF(T35=1,O35,0)</f>
        <v>0</v>
      </c>
      <c r="Z35" s="55" t="n">
        <f aca="false">IF(B35="",0,1)</f>
        <v>0</v>
      </c>
    </row>
    <row r="36" customFormat="false" ht="15" hidden="false" customHeight="false" outlineLevel="0" collapsed="false">
      <c r="B36" s="56"/>
      <c r="C36" s="57"/>
      <c r="D36" s="58"/>
      <c r="E36" s="57"/>
      <c r="F36" s="57"/>
      <c r="G36" s="57"/>
      <c r="H36" s="59"/>
      <c r="I36" s="60" t="str">
        <f aca="false">IF(B36="","",C36+IF(D36="",0,D36/60*Settings!$C$7)+E36+F36+Settings!$C$8)</f>
        <v/>
      </c>
      <c r="J36" s="60" t="str">
        <f aca="false">IF(B36="","",MAX(0,($I36+(Settings!$C$12+Settings!$C$13)-$G36*(1-(Settings!$C$10+Settings!$C$11+IF(Settings!$C$15="Yes / Sí",Settings!$C$14,0))))/(1-(Settings!$C$10+Settings!$C$11+IF(Settings!$C$15="Yes / Sí",Settings!$C$14,0)))))</f>
        <v/>
      </c>
      <c r="K36" s="60" t="str">
        <f aca="false">IF(B36="","",IF(1-(Settings!$C$10+Settings!$C$11+IF(Settings!$C$15="Yes / Sí",Settings!$C$14,0))-IF(H36="",Settings!$C$9,H36)&lt;=0,0,MAX(0,IF(Settings!$C$16="Yes / Sí",IF(ROUNDUP(($I36+(Settings!$C$12+Settings!$C$13)-$G36*(1-(Settings!$C$10+Settings!$C$11+IF(Settings!$C$15="Yes / Sí",Settings!$C$14,0))))/(1-(Settings!$C$10+Settings!$C$11+IF(Settings!$C$15="Yes / Sí",Settings!$C$14,0))-IF(H36="",Settings!$C$9,H36)),0)-0.01&gt;=($I36+(Settings!$C$12+Settings!$C$13)-$G36*(1-(Settings!$C$10+Settings!$C$11+IF(Settings!$C$15="Yes / Sí",Settings!$C$14,0))))/(1-(Settings!$C$10+Settings!$C$11+IF(Settings!$C$15="Yes / Sí",Settings!$C$14,0))-IF(H36="",Settings!$C$9,H36)),ROUNDUP(($I36+(Settings!$C$12+Settings!$C$13)-$G36*(1-(Settings!$C$10+Settings!$C$11+IF(Settings!$C$15="Yes / Sí",Settings!$C$14,0))))/(1-(Settings!$C$10+Settings!$C$11+IF(Settings!$C$15="Yes / Sí",Settings!$C$14,0))-IF(H36="",Settings!$C$9,H36)),0)-0.01,ROUNDUP(($I36+(Settings!$C$12+Settings!$C$13)-$G36*(1-(Settings!$C$10+Settings!$C$11+IF(Settings!$C$15="Yes / Sí",Settings!$C$14,0))))/(1-(Settings!$C$10+Settings!$C$11+IF(Settings!$C$15="Yes / Sí",Settings!$C$14,0))-IF(H36="",Settings!$C$9,H36)),0)+0.99),ROUNDUP(($I36+(Settings!$C$12+Settings!$C$13)-$G36*(1-(Settings!$C$10+Settings!$C$11+IF(Settings!$C$15="Yes / Sí",Settings!$C$14,0))))/(1-(Settings!$C$10+Settings!$C$11+IF(Settings!$C$15="Yes / Sí",Settings!$C$14,0))-IF(H36="",Settings!$C$9,H36)),2)))))</f>
        <v/>
      </c>
      <c r="L36" s="60" t="str">
        <f aca="false">IF(OR(B36="",K36=0),"",(K36+$G36-((K36+$G36)*(Settings!$C$10+Settings!$C$11+IF(Settings!$C$15="Yes / Sí",Settings!$C$14,0))+(Settings!$C$12+Settings!$C$13))-$I36))</f>
        <v/>
      </c>
      <c r="M36" s="57"/>
      <c r="N36" s="60" t="str">
        <f aca="false">IF(OR(B36="",M36=""),"",((M36+$G36)*(Settings!$C$10+Settings!$C$11+IF(Settings!$C$15="Yes / Sí",Settings!$C$14,0))+(Settings!$C$12+Settings!$C$13)))</f>
        <v/>
      </c>
      <c r="O36" s="60" t="str">
        <f aca="false">IF(OR(B36="",M36=""),"",(M36+$G36-((M36+$G36)*(Settings!$C$10+Settings!$C$11+IF(Settings!$C$15="Yes / Sí",Settings!$C$14,0))+(Settings!$C$12+Settings!$C$13))-$I36))</f>
        <v/>
      </c>
      <c r="P36" s="61" t="str">
        <f aca="false">IF(O36="","",IF(M36=0,0,O36/M36))</f>
        <v/>
      </c>
      <c r="Q36" s="60" t="str">
        <f aca="false">IF(OR(O36="",D36="",D36=0),"",(O36+D36/60*Settings!$C$7)/(D36/60))</f>
        <v/>
      </c>
      <c r="R36" s="62" t="str">
        <f aca="false">IF(B36="","",IF(M36="","Enter your price / Escribe tu precio",IF(O36&lt;0,"⚠ LOSING MONEY / PIERDES",IF(P36&lt;IF(H36="",Settings!$C$9,H36),"● BELOW TARGET / DEBAJO","✔ ON TARGET / EN OBJETIVO"))))</f>
        <v/>
      </c>
      <c r="T36" s="55" t="n">
        <f aca="false">IF(B36="",0,IF(M36="",0,1))</f>
        <v>0</v>
      </c>
      <c r="U36" s="55" t="n">
        <f aca="false">IF(T36=1,P36,0)</f>
        <v>0</v>
      </c>
      <c r="V36" s="55" t="n">
        <f aca="false">IF(T36=1,IF(O36&lt;0,0,IF(P36&lt;IF(H36="",Settings!$C$9,H36),1,0)),0)</f>
        <v>0</v>
      </c>
      <c r="W36" s="55" t="n">
        <f aca="false">IF(T36=1,IF(O36&lt;0,1,0),0)</f>
        <v>0</v>
      </c>
      <c r="X36" s="55" t="n">
        <f aca="false">IF(T36=1,M36,0)</f>
        <v>0</v>
      </c>
      <c r="Y36" s="55" t="n">
        <f aca="false">IF(T36=1,O36,0)</f>
        <v>0</v>
      </c>
      <c r="Z36" s="55" t="n">
        <f aca="false">IF(B36="",0,1)</f>
        <v>0</v>
      </c>
    </row>
    <row r="37" customFormat="false" ht="15" hidden="false" customHeight="false" outlineLevel="0" collapsed="false">
      <c r="B37" s="56"/>
      <c r="C37" s="57"/>
      <c r="D37" s="58"/>
      <c r="E37" s="57"/>
      <c r="F37" s="57"/>
      <c r="G37" s="57"/>
      <c r="H37" s="59"/>
      <c r="I37" s="60" t="str">
        <f aca="false">IF(B37="","",C37+IF(D37="",0,D37/60*Settings!$C$7)+E37+F37+Settings!$C$8)</f>
        <v/>
      </c>
      <c r="J37" s="60" t="str">
        <f aca="false">IF(B37="","",MAX(0,($I37+(Settings!$C$12+Settings!$C$13)-$G37*(1-(Settings!$C$10+Settings!$C$11+IF(Settings!$C$15="Yes / Sí",Settings!$C$14,0))))/(1-(Settings!$C$10+Settings!$C$11+IF(Settings!$C$15="Yes / Sí",Settings!$C$14,0)))))</f>
        <v/>
      </c>
      <c r="K37" s="60" t="str">
        <f aca="false">IF(B37="","",IF(1-(Settings!$C$10+Settings!$C$11+IF(Settings!$C$15="Yes / Sí",Settings!$C$14,0))-IF(H37="",Settings!$C$9,H37)&lt;=0,0,MAX(0,IF(Settings!$C$16="Yes / Sí",IF(ROUNDUP(($I37+(Settings!$C$12+Settings!$C$13)-$G37*(1-(Settings!$C$10+Settings!$C$11+IF(Settings!$C$15="Yes / Sí",Settings!$C$14,0))))/(1-(Settings!$C$10+Settings!$C$11+IF(Settings!$C$15="Yes / Sí",Settings!$C$14,0))-IF(H37="",Settings!$C$9,H37)),0)-0.01&gt;=($I37+(Settings!$C$12+Settings!$C$13)-$G37*(1-(Settings!$C$10+Settings!$C$11+IF(Settings!$C$15="Yes / Sí",Settings!$C$14,0))))/(1-(Settings!$C$10+Settings!$C$11+IF(Settings!$C$15="Yes / Sí",Settings!$C$14,0))-IF(H37="",Settings!$C$9,H37)),ROUNDUP(($I37+(Settings!$C$12+Settings!$C$13)-$G37*(1-(Settings!$C$10+Settings!$C$11+IF(Settings!$C$15="Yes / Sí",Settings!$C$14,0))))/(1-(Settings!$C$10+Settings!$C$11+IF(Settings!$C$15="Yes / Sí",Settings!$C$14,0))-IF(H37="",Settings!$C$9,H37)),0)-0.01,ROUNDUP(($I37+(Settings!$C$12+Settings!$C$13)-$G37*(1-(Settings!$C$10+Settings!$C$11+IF(Settings!$C$15="Yes / Sí",Settings!$C$14,0))))/(1-(Settings!$C$10+Settings!$C$11+IF(Settings!$C$15="Yes / Sí",Settings!$C$14,0))-IF(H37="",Settings!$C$9,H37)),0)+0.99),ROUNDUP(($I37+(Settings!$C$12+Settings!$C$13)-$G37*(1-(Settings!$C$10+Settings!$C$11+IF(Settings!$C$15="Yes / Sí",Settings!$C$14,0))))/(1-(Settings!$C$10+Settings!$C$11+IF(Settings!$C$15="Yes / Sí",Settings!$C$14,0))-IF(H37="",Settings!$C$9,H37)),2)))))</f>
        <v/>
      </c>
      <c r="L37" s="60" t="str">
        <f aca="false">IF(OR(B37="",K37=0),"",(K37+$G37-((K37+$G37)*(Settings!$C$10+Settings!$C$11+IF(Settings!$C$15="Yes / Sí",Settings!$C$14,0))+(Settings!$C$12+Settings!$C$13))-$I37))</f>
        <v/>
      </c>
      <c r="M37" s="57"/>
      <c r="N37" s="60" t="str">
        <f aca="false">IF(OR(B37="",M37=""),"",((M37+$G37)*(Settings!$C$10+Settings!$C$11+IF(Settings!$C$15="Yes / Sí",Settings!$C$14,0))+(Settings!$C$12+Settings!$C$13)))</f>
        <v/>
      </c>
      <c r="O37" s="60" t="str">
        <f aca="false">IF(OR(B37="",M37=""),"",(M37+$G37-((M37+$G37)*(Settings!$C$10+Settings!$C$11+IF(Settings!$C$15="Yes / Sí",Settings!$C$14,0))+(Settings!$C$12+Settings!$C$13))-$I37))</f>
        <v/>
      </c>
      <c r="P37" s="61" t="str">
        <f aca="false">IF(O37="","",IF(M37=0,0,O37/M37))</f>
        <v/>
      </c>
      <c r="Q37" s="60" t="str">
        <f aca="false">IF(OR(O37="",D37="",D37=0),"",(O37+D37/60*Settings!$C$7)/(D37/60))</f>
        <v/>
      </c>
      <c r="R37" s="62" t="str">
        <f aca="false">IF(B37="","",IF(M37="","Enter your price / Escribe tu precio",IF(O37&lt;0,"⚠ LOSING MONEY / PIERDES",IF(P37&lt;IF(H37="",Settings!$C$9,H37),"● BELOW TARGET / DEBAJO","✔ ON TARGET / EN OBJETIVO"))))</f>
        <v/>
      </c>
      <c r="T37" s="55" t="n">
        <f aca="false">IF(B37="",0,IF(M37="",0,1))</f>
        <v>0</v>
      </c>
      <c r="U37" s="55" t="n">
        <f aca="false">IF(T37=1,P37,0)</f>
        <v>0</v>
      </c>
      <c r="V37" s="55" t="n">
        <f aca="false">IF(T37=1,IF(O37&lt;0,0,IF(P37&lt;IF(H37="",Settings!$C$9,H37),1,0)),0)</f>
        <v>0</v>
      </c>
      <c r="W37" s="55" t="n">
        <f aca="false">IF(T37=1,IF(O37&lt;0,1,0),0)</f>
        <v>0</v>
      </c>
      <c r="X37" s="55" t="n">
        <f aca="false">IF(T37=1,M37,0)</f>
        <v>0</v>
      </c>
      <c r="Y37" s="55" t="n">
        <f aca="false">IF(T37=1,O37,0)</f>
        <v>0</v>
      </c>
      <c r="Z37" s="55" t="n">
        <f aca="false">IF(B37="",0,1)</f>
        <v>0</v>
      </c>
    </row>
    <row r="38" customFormat="false" ht="15" hidden="false" customHeight="false" outlineLevel="0" collapsed="false">
      <c r="B38" s="56"/>
      <c r="C38" s="57"/>
      <c r="D38" s="58"/>
      <c r="E38" s="57"/>
      <c r="F38" s="57"/>
      <c r="G38" s="57"/>
      <c r="H38" s="59"/>
      <c r="I38" s="60" t="str">
        <f aca="false">IF(B38="","",C38+IF(D38="",0,D38/60*Settings!$C$7)+E38+F38+Settings!$C$8)</f>
        <v/>
      </c>
      <c r="J38" s="60" t="str">
        <f aca="false">IF(B38="","",MAX(0,($I38+(Settings!$C$12+Settings!$C$13)-$G38*(1-(Settings!$C$10+Settings!$C$11+IF(Settings!$C$15="Yes / Sí",Settings!$C$14,0))))/(1-(Settings!$C$10+Settings!$C$11+IF(Settings!$C$15="Yes / Sí",Settings!$C$14,0)))))</f>
        <v/>
      </c>
      <c r="K38" s="60" t="str">
        <f aca="false">IF(B38="","",IF(1-(Settings!$C$10+Settings!$C$11+IF(Settings!$C$15="Yes / Sí",Settings!$C$14,0))-IF(H38="",Settings!$C$9,H38)&lt;=0,0,MAX(0,IF(Settings!$C$16="Yes / Sí",IF(ROUNDUP(($I38+(Settings!$C$12+Settings!$C$13)-$G38*(1-(Settings!$C$10+Settings!$C$11+IF(Settings!$C$15="Yes / Sí",Settings!$C$14,0))))/(1-(Settings!$C$10+Settings!$C$11+IF(Settings!$C$15="Yes / Sí",Settings!$C$14,0))-IF(H38="",Settings!$C$9,H38)),0)-0.01&gt;=($I38+(Settings!$C$12+Settings!$C$13)-$G38*(1-(Settings!$C$10+Settings!$C$11+IF(Settings!$C$15="Yes / Sí",Settings!$C$14,0))))/(1-(Settings!$C$10+Settings!$C$11+IF(Settings!$C$15="Yes / Sí",Settings!$C$14,0))-IF(H38="",Settings!$C$9,H38)),ROUNDUP(($I38+(Settings!$C$12+Settings!$C$13)-$G38*(1-(Settings!$C$10+Settings!$C$11+IF(Settings!$C$15="Yes / Sí",Settings!$C$14,0))))/(1-(Settings!$C$10+Settings!$C$11+IF(Settings!$C$15="Yes / Sí",Settings!$C$14,0))-IF(H38="",Settings!$C$9,H38)),0)-0.01,ROUNDUP(($I38+(Settings!$C$12+Settings!$C$13)-$G38*(1-(Settings!$C$10+Settings!$C$11+IF(Settings!$C$15="Yes / Sí",Settings!$C$14,0))))/(1-(Settings!$C$10+Settings!$C$11+IF(Settings!$C$15="Yes / Sí",Settings!$C$14,0))-IF(H38="",Settings!$C$9,H38)),0)+0.99),ROUNDUP(($I38+(Settings!$C$12+Settings!$C$13)-$G38*(1-(Settings!$C$10+Settings!$C$11+IF(Settings!$C$15="Yes / Sí",Settings!$C$14,0))))/(1-(Settings!$C$10+Settings!$C$11+IF(Settings!$C$15="Yes / Sí",Settings!$C$14,0))-IF(H38="",Settings!$C$9,H38)),2)))))</f>
        <v/>
      </c>
      <c r="L38" s="60" t="str">
        <f aca="false">IF(OR(B38="",K38=0),"",(K38+$G38-((K38+$G38)*(Settings!$C$10+Settings!$C$11+IF(Settings!$C$15="Yes / Sí",Settings!$C$14,0))+(Settings!$C$12+Settings!$C$13))-$I38))</f>
        <v/>
      </c>
      <c r="M38" s="57"/>
      <c r="N38" s="60" t="str">
        <f aca="false">IF(OR(B38="",M38=""),"",((M38+$G38)*(Settings!$C$10+Settings!$C$11+IF(Settings!$C$15="Yes / Sí",Settings!$C$14,0))+(Settings!$C$12+Settings!$C$13)))</f>
        <v/>
      </c>
      <c r="O38" s="60" t="str">
        <f aca="false">IF(OR(B38="",M38=""),"",(M38+$G38-((M38+$G38)*(Settings!$C$10+Settings!$C$11+IF(Settings!$C$15="Yes / Sí",Settings!$C$14,0))+(Settings!$C$12+Settings!$C$13))-$I38))</f>
        <v/>
      </c>
      <c r="P38" s="61" t="str">
        <f aca="false">IF(O38="","",IF(M38=0,0,O38/M38))</f>
        <v/>
      </c>
      <c r="Q38" s="60" t="str">
        <f aca="false">IF(OR(O38="",D38="",D38=0),"",(O38+D38/60*Settings!$C$7)/(D38/60))</f>
        <v/>
      </c>
      <c r="R38" s="62" t="str">
        <f aca="false">IF(B38="","",IF(M38="","Enter your price / Escribe tu precio",IF(O38&lt;0,"⚠ LOSING MONEY / PIERDES",IF(P38&lt;IF(H38="",Settings!$C$9,H38),"● BELOW TARGET / DEBAJO","✔ ON TARGET / EN OBJETIVO"))))</f>
        <v/>
      </c>
      <c r="T38" s="55" t="n">
        <f aca="false">IF(B38="",0,IF(M38="",0,1))</f>
        <v>0</v>
      </c>
      <c r="U38" s="55" t="n">
        <f aca="false">IF(T38=1,P38,0)</f>
        <v>0</v>
      </c>
      <c r="V38" s="55" t="n">
        <f aca="false">IF(T38=1,IF(O38&lt;0,0,IF(P38&lt;IF(H38="",Settings!$C$9,H38),1,0)),0)</f>
        <v>0</v>
      </c>
      <c r="W38" s="55" t="n">
        <f aca="false">IF(T38=1,IF(O38&lt;0,1,0),0)</f>
        <v>0</v>
      </c>
      <c r="X38" s="55" t="n">
        <f aca="false">IF(T38=1,M38,0)</f>
        <v>0</v>
      </c>
      <c r="Y38" s="55" t="n">
        <f aca="false">IF(T38=1,O38,0)</f>
        <v>0</v>
      </c>
      <c r="Z38" s="55" t="n">
        <f aca="false">IF(B38="",0,1)</f>
        <v>0</v>
      </c>
    </row>
    <row r="39" customFormat="false" ht="15" hidden="false" customHeight="false" outlineLevel="0" collapsed="false">
      <c r="B39" s="56"/>
      <c r="C39" s="57"/>
      <c r="D39" s="58"/>
      <c r="E39" s="57"/>
      <c r="F39" s="57"/>
      <c r="G39" s="57"/>
      <c r="H39" s="59"/>
      <c r="I39" s="60" t="str">
        <f aca="false">IF(B39="","",C39+IF(D39="",0,D39/60*Settings!$C$7)+E39+F39+Settings!$C$8)</f>
        <v/>
      </c>
      <c r="J39" s="60" t="str">
        <f aca="false">IF(B39="","",MAX(0,($I39+(Settings!$C$12+Settings!$C$13)-$G39*(1-(Settings!$C$10+Settings!$C$11+IF(Settings!$C$15="Yes / Sí",Settings!$C$14,0))))/(1-(Settings!$C$10+Settings!$C$11+IF(Settings!$C$15="Yes / Sí",Settings!$C$14,0)))))</f>
        <v/>
      </c>
      <c r="K39" s="60" t="str">
        <f aca="false">IF(B39="","",IF(1-(Settings!$C$10+Settings!$C$11+IF(Settings!$C$15="Yes / Sí",Settings!$C$14,0))-IF(H39="",Settings!$C$9,H39)&lt;=0,0,MAX(0,IF(Settings!$C$16="Yes / Sí",IF(ROUNDUP(($I39+(Settings!$C$12+Settings!$C$13)-$G39*(1-(Settings!$C$10+Settings!$C$11+IF(Settings!$C$15="Yes / Sí",Settings!$C$14,0))))/(1-(Settings!$C$10+Settings!$C$11+IF(Settings!$C$15="Yes / Sí",Settings!$C$14,0))-IF(H39="",Settings!$C$9,H39)),0)-0.01&gt;=($I39+(Settings!$C$12+Settings!$C$13)-$G39*(1-(Settings!$C$10+Settings!$C$11+IF(Settings!$C$15="Yes / Sí",Settings!$C$14,0))))/(1-(Settings!$C$10+Settings!$C$11+IF(Settings!$C$15="Yes / Sí",Settings!$C$14,0))-IF(H39="",Settings!$C$9,H39)),ROUNDUP(($I39+(Settings!$C$12+Settings!$C$13)-$G39*(1-(Settings!$C$10+Settings!$C$11+IF(Settings!$C$15="Yes / Sí",Settings!$C$14,0))))/(1-(Settings!$C$10+Settings!$C$11+IF(Settings!$C$15="Yes / Sí",Settings!$C$14,0))-IF(H39="",Settings!$C$9,H39)),0)-0.01,ROUNDUP(($I39+(Settings!$C$12+Settings!$C$13)-$G39*(1-(Settings!$C$10+Settings!$C$11+IF(Settings!$C$15="Yes / Sí",Settings!$C$14,0))))/(1-(Settings!$C$10+Settings!$C$11+IF(Settings!$C$15="Yes / Sí",Settings!$C$14,0))-IF(H39="",Settings!$C$9,H39)),0)+0.99),ROUNDUP(($I39+(Settings!$C$12+Settings!$C$13)-$G39*(1-(Settings!$C$10+Settings!$C$11+IF(Settings!$C$15="Yes / Sí",Settings!$C$14,0))))/(1-(Settings!$C$10+Settings!$C$11+IF(Settings!$C$15="Yes / Sí",Settings!$C$14,0))-IF(H39="",Settings!$C$9,H39)),2)))))</f>
        <v/>
      </c>
      <c r="L39" s="60" t="str">
        <f aca="false">IF(OR(B39="",K39=0),"",(K39+$G39-((K39+$G39)*(Settings!$C$10+Settings!$C$11+IF(Settings!$C$15="Yes / Sí",Settings!$C$14,0))+(Settings!$C$12+Settings!$C$13))-$I39))</f>
        <v/>
      </c>
      <c r="M39" s="57"/>
      <c r="N39" s="60" t="str">
        <f aca="false">IF(OR(B39="",M39=""),"",((M39+$G39)*(Settings!$C$10+Settings!$C$11+IF(Settings!$C$15="Yes / Sí",Settings!$C$14,0))+(Settings!$C$12+Settings!$C$13)))</f>
        <v/>
      </c>
      <c r="O39" s="60" t="str">
        <f aca="false">IF(OR(B39="",M39=""),"",(M39+$G39-((M39+$G39)*(Settings!$C$10+Settings!$C$11+IF(Settings!$C$15="Yes / Sí",Settings!$C$14,0))+(Settings!$C$12+Settings!$C$13))-$I39))</f>
        <v/>
      </c>
      <c r="P39" s="61" t="str">
        <f aca="false">IF(O39="","",IF(M39=0,0,O39/M39))</f>
        <v/>
      </c>
      <c r="Q39" s="60" t="str">
        <f aca="false">IF(OR(O39="",D39="",D39=0),"",(O39+D39/60*Settings!$C$7)/(D39/60))</f>
        <v/>
      </c>
      <c r="R39" s="62" t="str">
        <f aca="false">IF(B39="","",IF(M39="","Enter your price / Escribe tu precio",IF(O39&lt;0,"⚠ LOSING MONEY / PIERDES",IF(P39&lt;IF(H39="",Settings!$C$9,H39),"● BELOW TARGET / DEBAJO","✔ ON TARGET / EN OBJETIVO"))))</f>
        <v/>
      </c>
      <c r="T39" s="55" t="n">
        <f aca="false">IF(B39="",0,IF(M39="",0,1))</f>
        <v>0</v>
      </c>
      <c r="U39" s="55" t="n">
        <f aca="false">IF(T39=1,P39,0)</f>
        <v>0</v>
      </c>
      <c r="V39" s="55" t="n">
        <f aca="false">IF(T39=1,IF(O39&lt;0,0,IF(P39&lt;IF(H39="",Settings!$C$9,H39),1,0)),0)</f>
        <v>0</v>
      </c>
      <c r="W39" s="55" t="n">
        <f aca="false">IF(T39=1,IF(O39&lt;0,1,0),0)</f>
        <v>0</v>
      </c>
      <c r="X39" s="55" t="n">
        <f aca="false">IF(T39=1,M39,0)</f>
        <v>0</v>
      </c>
      <c r="Y39" s="55" t="n">
        <f aca="false">IF(T39=1,O39,0)</f>
        <v>0</v>
      </c>
      <c r="Z39" s="55" t="n">
        <f aca="false">IF(B39="",0,1)</f>
        <v>0</v>
      </c>
    </row>
    <row r="40" customFormat="false" ht="15" hidden="false" customHeight="false" outlineLevel="0" collapsed="false">
      <c r="B40" s="56"/>
      <c r="C40" s="57"/>
      <c r="D40" s="58"/>
      <c r="E40" s="57"/>
      <c r="F40" s="57"/>
      <c r="G40" s="57"/>
      <c r="H40" s="59"/>
      <c r="I40" s="60" t="str">
        <f aca="false">IF(B40="","",C40+IF(D40="",0,D40/60*Settings!$C$7)+E40+F40+Settings!$C$8)</f>
        <v/>
      </c>
      <c r="J40" s="60" t="str">
        <f aca="false">IF(B40="","",MAX(0,($I40+(Settings!$C$12+Settings!$C$13)-$G40*(1-(Settings!$C$10+Settings!$C$11+IF(Settings!$C$15="Yes / Sí",Settings!$C$14,0))))/(1-(Settings!$C$10+Settings!$C$11+IF(Settings!$C$15="Yes / Sí",Settings!$C$14,0)))))</f>
        <v/>
      </c>
      <c r="K40" s="60" t="str">
        <f aca="false">IF(B40="","",IF(1-(Settings!$C$10+Settings!$C$11+IF(Settings!$C$15="Yes / Sí",Settings!$C$14,0))-IF(H40="",Settings!$C$9,H40)&lt;=0,0,MAX(0,IF(Settings!$C$16="Yes / Sí",IF(ROUNDUP(($I40+(Settings!$C$12+Settings!$C$13)-$G40*(1-(Settings!$C$10+Settings!$C$11+IF(Settings!$C$15="Yes / Sí",Settings!$C$14,0))))/(1-(Settings!$C$10+Settings!$C$11+IF(Settings!$C$15="Yes / Sí",Settings!$C$14,0))-IF(H40="",Settings!$C$9,H40)),0)-0.01&gt;=($I40+(Settings!$C$12+Settings!$C$13)-$G40*(1-(Settings!$C$10+Settings!$C$11+IF(Settings!$C$15="Yes / Sí",Settings!$C$14,0))))/(1-(Settings!$C$10+Settings!$C$11+IF(Settings!$C$15="Yes / Sí",Settings!$C$14,0))-IF(H40="",Settings!$C$9,H40)),ROUNDUP(($I40+(Settings!$C$12+Settings!$C$13)-$G40*(1-(Settings!$C$10+Settings!$C$11+IF(Settings!$C$15="Yes / Sí",Settings!$C$14,0))))/(1-(Settings!$C$10+Settings!$C$11+IF(Settings!$C$15="Yes / Sí",Settings!$C$14,0))-IF(H40="",Settings!$C$9,H40)),0)-0.01,ROUNDUP(($I40+(Settings!$C$12+Settings!$C$13)-$G40*(1-(Settings!$C$10+Settings!$C$11+IF(Settings!$C$15="Yes / Sí",Settings!$C$14,0))))/(1-(Settings!$C$10+Settings!$C$11+IF(Settings!$C$15="Yes / Sí",Settings!$C$14,0))-IF(H40="",Settings!$C$9,H40)),0)+0.99),ROUNDUP(($I40+(Settings!$C$12+Settings!$C$13)-$G40*(1-(Settings!$C$10+Settings!$C$11+IF(Settings!$C$15="Yes / Sí",Settings!$C$14,0))))/(1-(Settings!$C$10+Settings!$C$11+IF(Settings!$C$15="Yes / Sí",Settings!$C$14,0))-IF(H40="",Settings!$C$9,H40)),2)))))</f>
        <v/>
      </c>
      <c r="L40" s="60" t="str">
        <f aca="false">IF(OR(B40="",K40=0),"",(K40+$G40-((K40+$G40)*(Settings!$C$10+Settings!$C$11+IF(Settings!$C$15="Yes / Sí",Settings!$C$14,0))+(Settings!$C$12+Settings!$C$13))-$I40))</f>
        <v/>
      </c>
      <c r="M40" s="57"/>
      <c r="N40" s="60" t="str">
        <f aca="false">IF(OR(B40="",M40=""),"",((M40+$G40)*(Settings!$C$10+Settings!$C$11+IF(Settings!$C$15="Yes / Sí",Settings!$C$14,0))+(Settings!$C$12+Settings!$C$13)))</f>
        <v/>
      </c>
      <c r="O40" s="60" t="str">
        <f aca="false">IF(OR(B40="",M40=""),"",(M40+$G40-((M40+$G40)*(Settings!$C$10+Settings!$C$11+IF(Settings!$C$15="Yes / Sí",Settings!$C$14,0))+(Settings!$C$12+Settings!$C$13))-$I40))</f>
        <v/>
      </c>
      <c r="P40" s="61" t="str">
        <f aca="false">IF(O40="","",IF(M40=0,0,O40/M40))</f>
        <v/>
      </c>
      <c r="Q40" s="60" t="str">
        <f aca="false">IF(OR(O40="",D40="",D40=0),"",(O40+D40/60*Settings!$C$7)/(D40/60))</f>
        <v/>
      </c>
      <c r="R40" s="62" t="str">
        <f aca="false">IF(B40="","",IF(M40="","Enter your price / Escribe tu precio",IF(O40&lt;0,"⚠ LOSING MONEY / PIERDES",IF(P40&lt;IF(H40="",Settings!$C$9,H40),"● BELOW TARGET / DEBAJO","✔ ON TARGET / EN OBJETIVO"))))</f>
        <v/>
      </c>
      <c r="T40" s="55" t="n">
        <f aca="false">IF(B40="",0,IF(M40="",0,1))</f>
        <v>0</v>
      </c>
      <c r="U40" s="55" t="n">
        <f aca="false">IF(T40=1,P40,0)</f>
        <v>0</v>
      </c>
      <c r="V40" s="55" t="n">
        <f aca="false">IF(T40=1,IF(O40&lt;0,0,IF(P40&lt;IF(H40="",Settings!$C$9,H40),1,0)),0)</f>
        <v>0</v>
      </c>
      <c r="W40" s="55" t="n">
        <f aca="false">IF(T40=1,IF(O40&lt;0,1,0),0)</f>
        <v>0</v>
      </c>
      <c r="X40" s="55" t="n">
        <f aca="false">IF(T40=1,M40,0)</f>
        <v>0</v>
      </c>
      <c r="Y40" s="55" t="n">
        <f aca="false">IF(T40=1,O40,0)</f>
        <v>0</v>
      </c>
      <c r="Z40" s="55" t="n">
        <f aca="false">IF(B40="",0,1)</f>
        <v>0</v>
      </c>
    </row>
    <row r="41" customFormat="false" ht="15" hidden="false" customHeight="false" outlineLevel="0" collapsed="false">
      <c r="B41" s="56"/>
      <c r="C41" s="57"/>
      <c r="D41" s="58"/>
      <c r="E41" s="57"/>
      <c r="F41" s="57"/>
      <c r="G41" s="57"/>
      <c r="H41" s="59"/>
      <c r="I41" s="60" t="str">
        <f aca="false">IF(B41="","",C41+IF(D41="",0,D41/60*Settings!$C$7)+E41+F41+Settings!$C$8)</f>
        <v/>
      </c>
      <c r="J41" s="60" t="str">
        <f aca="false">IF(B41="","",MAX(0,($I41+(Settings!$C$12+Settings!$C$13)-$G41*(1-(Settings!$C$10+Settings!$C$11+IF(Settings!$C$15="Yes / Sí",Settings!$C$14,0))))/(1-(Settings!$C$10+Settings!$C$11+IF(Settings!$C$15="Yes / Sí",Settings!$C$14,0)))))</f>
        <v/>
      </c>
      <c r="K41" s="60" t="str">
        <f aca="false">IF(B41="","",IF(1-(Settings!$C$10+Settings!$C$11+IF(Settings!$C$15="Yes / Sí",Settings!$C$14,0))-IF(H41="",Settings!$C$9,H41)&lt;=0,0,MAX(0,IF(Settings!$C$16="Yes / Sí",IF(ROUNDUP(($I41+(Settings!$C$12+Settings!$C$13)-$G41*(1-(Settings!$C$10+Settings!$C$11+IF(Settings!$C$15="Yes / Sí",Settings!$C$14,0))))/(1-(Settings!$C$10+Settings!$C$11+IF(Settings!$C$15="Yes / Sí",Settings!$C$14,0))-IF(H41="",Settings!$C$9,H41)),0)-0.01&gt;=($I41+(Settings!$C$12+Settings!$C$13)-$G41*(1-(Settings!$C$10+Settings!$C$11+IF(Settings!$C$15="Yes / Sí",Settings!$C$14,0))))/(1-(Settings!$C$10+Settings!$C$11+IF(Settings!$C$15="Yes / Sí",Settings!$C$14,0))-IF(H41="",Settings!$C$9,H41)),ROUNDUP(($I41+(Settings!$C$12+Settings!$C$13)-$G41*(1-(Settings!$C$10+Settings!$C$11+IF(Settings!$C$15="Yes / Sí",Settings!$C$14,0))))/(1-(Settings!$C$10+Settings!$C$11+IF(Settings!$C$15="Yes / Sí",Settings!$C$14,0))-IF(H41="",Settings!$C$9,H41)),0)-0.01,ROUNDUP(($I41+(Settings!$C$12+Settings!$C$13)-$G41*(1-(Settings!$C$10+Settings!$C$11+IF(Settings!$C$15="Yes / Sí",Settings!$C$14,0))))/(1-(Settings!$C$10+Settings!$C$11+IF(Settings!$C$15="Yes / Sí",Settings!$C$14,0))-IF(H41="",Settings!$C$9,H41)),0)+0.99),ROUNDUP(($I41+(Settings!$C$12+Settings!$C$13)-$G41*(1-(Settings!$C$10+Settings!$C$11+IF(Settings!$C$15="Yes / Sí",Settings!$C$14,0))))/(1-(Settings!$C$10+Settings!$C$11+IF(Settings!$C$15="Yes / Sí",Settings!$C$14,0))-IF(H41="",Settings!$C$9,H41)),2)))))</f>
        <v/>
      </c>
      <c r="L41" s="60" t="str">
        <f aca="false">IF(OR(B41="",K41=0),"",(K41+$G41-((K41+$G41)*(Settings!$C$10+Settings!$C$11+IF(Settings!$C$15="Yes / Sí",Settings!$C$14,0))+(Settings!$C$12+Settings!$C$13))-$I41))</f>
        <v/>
      </c>
      <c r="M41" s="57"/>
      <c r="N41" s="60" t="str">
        <f aca="false">IF(OR(B41="",M41=""),"",((M41+$G41)*(Settings!$C$10+Settings!$C$11+IF(Settings!$C$15="Yes / Sí",Settings!$C$14,0))+(Settings!$C$12+Settings!$C$13)))</f>
        <v/>
      </c>
      <c r="O41" s="60" t="str">
        <f aca="false">IF(OR(B41="",M41=""),"",(M41+$G41-((M41+$G41)*(Settings!$C$10+Settings!$C$11+IF(Settings!$C$15="Yes / Sí",Settings!$C$14,0))+(Settings!$C$12+Settings!$C$13))-$I41))</f>
        <v/>
      </c>
      <c r="P41" s="61" t="str">
        <f aca="false">IF(O41="","",IF(M41=0,0,O41/M41))</f>
        <v/>
      </c>
      <c r="Q41" s="60" t="str">
        <f aca="false">IF(OR(O41="",D41="",D41=0),"",(O41+D41/60*Settings!$C$7)/(D41/60))</f>
        <v/>
      </c>
      <c r="R41" s="62" t="str">
        <f aca="false">IF(B41="","",IF(M41="","Enter your price / Escribe tu precio",IF(O41&lt;0,"⚠ LOSING MONEY / PIERDES",IF(P41&lt;IF(H41="",Settings!$C$9,H41),"● BELOW TARGET / DEBAJO","✔ ON TARGET / EN OBJETIVO"))))</f>
        <v/>
      </c>
      <c r="T41" s="55" t="n">
        <f aca="false">IF(B41="",0,IF(M41="",0,1))</f>
        <v>0</v>
      </c>
      <c r="U41" s="55" t="n">
        <f aca="false">IF(T41=1,P41,0)</f>
        <v>0</v>
      </c>
      <c r="V41" s="55" t="n">
        <f aca="false">IF(T41=1,IF(O41&lt;0,0,IF(P41&lt;IF(H41="",Settings!$C$9,H41),1,0)),0)</f>
        <v>0</v>
      </c>
      <c r="W41" s="55" t="n">
        <f aca="false">IF(T41=1,IF(O41&lt;0,1,0),0)</f>
        <v>0</v>
      </c>
      <c r="X41" s="55" t="n">
        <f aca="false">IF(T41=1,M41,0)</f>
        <v>0</v>
      </c>
      <c r="Y41" s="55" t="n">
        <f aca="false">IF(T41=1,O41,0)</f>
        <v>0</v>
      </c>
      <c r="Z41" s="55" t="n">
        <f aca="false">IF(B41="",0,1)</f>
        <v>0</v>
      </c>
    </row>
    <row r="42" customFormat="false" ht="15" hidden="false" customHeight="false" outlineLevel="0" collapsed="false">
      <c r="B42" s="56"/>
      <c r="C42" s="57"/>
      <c r="D42" s="58"/>
      <c r="E42" s="57"/>
      <c r="F42" s="57"/>
      <c r="G42" s="57"/>
      <c r="H42" s="59"/>
      <c r="I42" s="60" t="str">
        <f aca="false">IF(B42="","",C42+IF(D42="",0,D42/60*Settings!$C$7)+E42+F42+Settings!$C$8)</f>
        <v/>
      </c>
      <c r="J42" s="60" t="str">
        <f aca="false">IF(B42="","",MAX(0,($I42+(Settings!$C$12+Settings!$C$13)-$G42*(1-(Settings!$C$10+Settings!$C$11+IF(Settings!$C$15="Yes / Sí",Settings!$C$14,0))))/(1-(Settings!$C$10+Settings!$C$11+IF(Settings!$C$15="Yes / Sí",Settings!$C$14,0)))))</f>
        <v/>
      </c>
      <c r="K42" s="60" t="str">
        <f aca="false">IF(B42="","",IF(1-(Settings!$C$10+Settings!$C$11+IF(Settings!$C$15="Yes / Sí",Settings!$C$14,0))-IF(H42="",Settings!$C$9,H42)&lt;=0,0,MAX(0,IF(Settings!$C$16="Yes / Sí",IF(ROUNDUP(($I42+(Settings!$C$12+Settings!$C$13)-$G42*(1-(Settings!$C$10+Settings!$C$11+IF(Settings!$C$15="Yes / Sí",Settings!$C$14,0))))/(1-(Settings!$C$10+Settings!$C$11+IF(Settings!$C$15="Yes / Sí",Settings!$C$14,0))-IF(H42="",Settings!$C$9,H42)),0)-0.01&gt;=($I42+(Settings!$C$12+Settings!$C$13)-$G42*(1-(Settings!$C$10+Settings!$C$11+IF(Settings!$C$15="Yes / Sí",Settings!$C$14,0))))/(1-(Settings!$C$10+Settings!$C$11+IF(Settings!$C$15="Yes / Sí",Settings!$C$14,0))-IF(H42="",Settings!$C$9,H42)),ROUNDUP(($I42+(Settings!$C$12+Settings!$C$13)-$G42*(1-(Settings!$C$10+Settings!$C$11+IF(Settings!$C$15="Yes / Sí",Settings!$C$14,0))))/(1-(Settings!$C$10+Settings!$C$11+IF(Settings!$C$15="Yes / Sí",Settings!$C$14,0))-IF(H42="",Settings!$C$9,H42)),0)-0.01,ROUNDUP(($I42+(Settings!$C$12+Settings!$C$13)-$G42*(1-(Settings!$C$10+Settings!$C$11+IF(Settings!$C$15="Yes / Sí",Settings!$C$14,0))))/(1-(Settings!$C$10+Settings!$C$11+IF(Settings!$C$15="Yes / Sí",Settings!$C$14,0))-IF(H42="",Settings!$C$9,H42)),0)+0.99),ROUNDUP(($I42+(Settings!$C$12+Settings!$C$13)-$G42*(1-(Settings!$C$10+Settings!$C$11+IF(Settings!$C$15="Yes / Sí",Settings!$C$14,0))))/(1-(Settings!$C$10+Settings!$C$11+IF(Settings!$C$15="Yes / Sí",Settings!$C$14,0))-IF(H42="",Settings!$C$9,H42)),2)))))</f>
        <v/>
      </c>
      <c r="L42" s="60" t="str">
        <f aca="false">IF(OR(B42="",K42=0),"",(K42+$G42-((K42+$G42)*(Settings!$C$10+Settings!$C$11+IF(Settings!$C$15="Yes / Sí",Settings!$C$14,0))+(Settings!$C$12+Settings!$C$13))-$I42))</f>
        <v/>
      </c>
      <c r="M42" s="57"/>
      <c r="N42" s="60" t="str">
        <f aca="false">IF(OR(B42="",M42=""),"",((M42+$G42)*(Settings!$C$10+Settings!$C$11+IF(Settings!$C$15="Yes / Sí",Settings!$C$14,0))+(Settings!$C$12+Settings!$C$13)))</f>
        <v/>
      </c>
      <c r="O42" s="60" t="str">
        <f aca="false">IF(OR(B42="",M42=""),"",(M42+$G42-((M42+$G42)*(Settings!$C$10+Settings!$C$11+IF(Settings!$C$15="Yes / Sí",Settings!$C$14,0))+(Settings!$C$12+Settings!$C$13))-$I42))</f>
        <v/>
      </c>
      <c r="P42" s="61" t="str">
        <f aca="false">IF(O42="","",IF(M42=0,0,O42/M42))</f>
        <v/>
      </c>
      <c r="Q42" s="60" t="str">
        <f aca="false">IF(OR(O42="",D42="",D42=0),"",(O42+D42/60*Settings!$C$7)/(D42/60))</f>
        <v/>
      </c>
      <c r="R42" s="62" t="str">
        <f aca="false">IF(B42="","",IF(M42="","Enter your price / Escribe tu precio",IF(O42&lt;0,"⚠ LOSING MONEY / PIERDES",IF(P42&lt;IF(H42="",Settings!$C$9,H42),"● BELOW TARGET / DEBAJO","✔ ON TARGET / EN OBJETIVO"))))</f>
        <v/>
      </c>
      <c r="T42" s="55" t="n">
        <f aca="false">IF(B42="",0,IF(M42="",0,1))</f>
        <v>0</v>
      </c>
      <c r="U42" s="55" t="n">
        <f aca="false">IF(T42=1,P42,0)</f>
        <v>0</v>
      </c>
      <c r="V42" s="55" t="n">
        <f aca="false">IF(T42=1,IF(O42&lt;0,0,IF(P42&lt;IF(H42="",Settings!$C$9,H42),1,0)),0)</f>
        <v>0</v>
      </c>
      <c r="W42" s="55" t="n">
        <f aca="false">IF(T42=1,IF(O42&lt;0,1,0),0)</f>
        <v>0</v>
      </c>
      <c r="X42" s="55" t="n">
        <f aca="false">IF(T42=1,M42,0)</f>
        <v>0</v>
      </c>
      <c r="Y42" s="55" t="n">
        <f aca="false">IF(T42=1,O42,0)</f>
        <v>0</v>
      </c>
      <c r="Z42" s="55" t="n">
        <f aca="false">IF(B42="",0,1)</f>
        <v>0</v>
      </c>
    </row>
    <row r="43" customFormat="false" ht="15" hidden="false" customHeight="false" outlineLevel="0" collapsed="false">
      <c r="B43" s="56"/>
      <c r="C43" s="57"/>
      <c r="D43" s="58"/>
      <c r="E43" s="57"/>
      <c r="F43" s="57"/>
      <c r="G43" s="57"/>
      <c r="H43" s="59"/>
      <c r="I43" s="60" t="str">
        <f aca="false">IF(B43="","",C43+IF(D43="",0,D43/60*Settings!$C$7)+E43+F43+Settings!$C$8)</f>
        <v/>
      </c>
      <c r="J43" s="60" t="str">
        <f aca="false">IF(B43="","",MAX(0,($I43+(Settings!$C$12+Settings!$C$13)-$G43*(1-(Settings!$C$10+Settings!$C$11+IF(Settings!$C$15="Yes / Sí",Settings!$C$14,0))))/(1-(Settings!$C$10+Settings!$C$11+IF(Settings!$C$15="Yes / Sí",Settings!$C$14,0)))))</f>
        <v/>
      </c>
      <c r="K43" s="60" t="str">
        <f aca="false">IF(B43="","",IF(1-(Settings!$C$10+Settings!$C$11+IF(Settings!$C$15="Yes / Sí",Settings!$C$14,0))-IF(H43="",Settings!$C$9,H43)&lt;=0,0,MAX(0,IF(Settings!$C$16="Yes / Sí",IF(ROUNDUP(($I43+(Settings!$C$12+Settings!$C$13)-$G43*(1-(Settings!$C$10+Settings!$C$11+IF(Settings!$C$15="Yes / Sí",Settings!$C$14,0))))/(1-(Settings!$C$10+Settings!$C$11+IF(Settings!$C$15="Yes / Sí",Settings!$C$14,0))-IF(H43="",Settings!$C$9,H43)),0)-0.01&gt;=($I43+(Settings!$C$12+Settings!$C$13)-$G43*(1-(Settings!$C$10+Settings!$C$11+IF(Settings!$C$15="Yes / Sí",Settings!$C$14,0))))/(1-(Settings!$C$10+Settings!$C$11+IF(Settings!$C$15="Yes / Sí",Settings!$C$14,0))-IF(H43="",Settings!$C$9,H43)),ROUNDUP(($I43+(Settings!$C$12+Settings!$C$13)-$G43*(1-(Settings!$C$10+Settings!$C$11+IF(Settings!$C$15="Yes / Sí",Settings!$C$14,0))))/(1-(Settings!$C$10+Settings!$C$11+IF(Settings!$C$15="Yes / Sí",Settings!$C$14,0))-IF(H43="",Settings!$C$9,H43)),0)-0.01,ROUNDUP(($I43+(Settings!$C$12+Settings!$C$13)-$G43*(1-(Settings!$C$10+Settings!$C$11+IF(Settings!$C$15="Yes / Sí",Settings!$C$14,0))))/(1-(Settings!$C$10+Settings!$C$11+IF(Settings!$C$15="Yes / Sí",Settings!$C$14,0))-IF(H43="",Settings!$C$9,H43)),0)+0.99),ROUNDUP(($I43+(Settings!$C$12+Settings!$C$13)-$G43*(1-(Settings!$C$10+Settings!$C$11+IF(Settings!$C$15="Yes / Sí",Settings!$C$14,0))))/(1-(Settings!$C$10+Settings!$C$11+IF(Settings!$C$15="Yes / Sí",Settings!$C$14,0))-IF(H43="",Settings!$C$9,H43)),2)))))</f>
        <v/>
      </c>
      <c r="L43" s="60" t="str">
        <f aca="false">IF(OR(B43="",K43=0),"",(K43+$G43-((K43+$G43)*(Settings!$C$10+Settings!$C$11+IF(Settings!$C$15="Yes / Sí",Settings!$C$14,0))+(Settings!$C$12+Settings!$C$13))-$I43))</f>
        <v/>
      </c>
      <c r="M43" s="57"/>
      <c r="N43" s="60" t="str">
        <f aca="false">IF(OR(B43="",M43=""),"",((M43+$G43)*(Settings!$C$10+Settings!$C$11+IF(Settings!$C$15="Yes / Sí",Settings!$C$14,0))+(Settings!$C$12+Settings!$C$13)))</f>
        <v/>
      </c>
      <c r="O43" s="60" t="str">
        <f aca="false">IF(OR(B43="",M43=""),"",(M43+$G43-((M43+$G43)*(Settings!$C$10+Settings!$C$11+IF(Settings!$C$15="Yes / Sí",Settings!$C$14,0))+(Settings!$C$12+Settings!$C$13))-$I43))</f>
        <v/>
      </c>
      <c r="P43" s="61" t="str">
        <f aca="false">IF(O43="","",IF(M43=0,0,O43/M43))</f>
        <v/>
      </c>
      <c r="Q43" s="60" t="str">
        <f aca="false">IF(OR(O43="",D43="",D43=0),"",(O43+D43/60*Settings!$C$7)/(D43/60))</f>
        <v/>
      </c>
      <c r="R43" s="62" t="str">
        <f aca="false">IF(B43="","",IF(M43="","Enter your price / Escribe tu precio",IF(O43&lt;0,"⚠ LOSING MONEY / PIERDES",IF(P43&lt;IF(H43="",Settings!$C$9,H43),"● BELOW TARGET / DEBAJO","✔ ON TARGET / EN OBJETIVO"))))</f>
        <v/>
      </c>
      <c r="T43" s="55" t="n">
        <f aca="false">IF(B43="",0,IF(M43="",0,1))</f>
        <v>0</v>
      </c>
      <c r="U43" s="55" t="n">
        <f aca="false">IF(T43=1,P43,0)</f>
        <v>0</v>
      </c>
      <c r="V43" s="55" t="n">
        <f aca="false">IF(T43=1,IF(O43&lt;0,0,IF(P43&lt;IF(H43="",Settings!$C$9,H43),1,0)),0)</f>
        <v>0</v>
      </c>
      <c r="W43" s="55" t="n">
        <f aca="false">IF(T43=1,IF(O43&lt;0,1,0),0)</f>
        <v>0</v>
      </c>
      <c r="X43" s="55" t="n">
        <f aca="false">IF(T43=1,M43,0)</f>
        <v>0</v>
      </c>
      <c r="Y43" s="55" t="n">
        <f aca="false">IF(T43=1,O43,0)</f>
        <v>0</v>
      </c>
      <c r="Z43" s="55" t="n">
        <f aca="false">IF(B43="",0,1)</f>
        <v>0</v>
      </c>
    </row>
    <row r="44" customFormat="false" ht="15" hidden="false" customHeight="false" outlineLevel="0" collapsed="false">
      <c r="B44" s="56"/>
      <c r="C44" s="57"/>
      <c r="D44" s="58"/>
      <c r="E44" s="57"/>
      <c r="F44" s="57"/>
      <c r="G44" s="57"/>
      <c r="H44" s="59"/>
      <c r="I44" s="60" t="str">
        <f aca="false">IF(B44="","",C44+IF(D44="",0,D44/60*Settings!$C$7)+E44+F44+Settings!$C$8)</f>
        <v/>
      </c>
      <c r="J44" s="60" t="str">
        <f aca="false">IF(B44="","",MAX(0,($I44+(Settings!$C$12+Settings!$C$13)-$G44*(1-(Settings!$C$10+Settings!$C$11+IF(Settings!$C$15="Yes / Sí",Settings!$C$14,0))))/(1-(Settings!$C$10+Settings!$C$11+IF(Settings!$C$15="Yes / Sí",Settings!$C$14,0)))))</f>
        <v/>
      </c>
      <c r="K44" s="60" t="str">
        <f aca="false">IF(B44="","",IF(1-(Settings!$C$10+Settings!$C$11+IF(Settings!$C$15="Yes / Sí",Settings!$C$14,0))-IF(H44="",Settings!$C$9,H44)&lt;=0,0,MAX(0,IF(Settings!$C$16="Yes / Sí",IF(ROUNDUP(($I44+(Settings!$C$12+Settings!$C$13)-$G44*(1-(Settings!$C$10+Settings!$C$11+IF(Settings!$C$15="Yes / Sí",Settings!$C$14,0))))/(1-(Settings!$C$10+Settings!$C$11+IF(Settings!$C$15="Yes / Sí",Settings!$C$14,0))-IF(H44="",Settings!$C$9,H44)),0)-0.01&gt;=($I44+(Settings!$C$12+Settings!$C$13)-$G44*(1-(Settings!$C$10+Settings!$C$11+IF(Settings!$C$15="Yes / Sí",Settings!$C$14,0))))/(1-(Settings!$C$10+Settings!$C$11+IF(Settings!$C$15="Yes / Sí",Settings!$C$14,0))-IF(H44="",Settings!$C$9,H44)),ROUNDUP(($I44+(Settings!$C$12+Settings!$C$13)-$G44*(1-(Settings!$C$10+Settings!$C$11+IF(Settings!$C$15="Yes / Sí",Settings!$C$14,0))))/(1-(Settings!$C$10+Settings!$C$11+IF(Settings!$C$15="Yes / Sí",Settings!$C$14,0))-IF(H44="",Settings!$C$9,H44)),0)-0.01,ROUNDUP(($I44+(Settings!$C$12+Settings!$C$13)-$G44*(1-(Settings!$C$10+Settings!$C$11+IF(Settings!$C$15="Yes / Sí",Settings!$C$14,0))))/(1-(Settings!$C$10+Settings!$C$11+IF(Settings!$C$15="Yes / Sí",Settings!$C$14,0))-IF(H44="",Settings!$C$9,H44)),0)+0.99),ROUNDUP(($I44+(Settings!$C$12+Settings!$C$13)-$G44*(1-(Settings!$C$10+Settings!$C$11+IF(Settings!$C$15="Yes / Sí",Settings!$C$14,0))))/(1-(Settings!$C$10+Settings!$C$11+IF(Settings!$C$15="Yes / Sí",Settings!$C$14,0))-IF(H44="",Settings!$C$9,H44)),2)))))</f>
        <v/>
      </c>
      <c r="L44" s="60" t="str">
        <f aca="false">IF(OR(B44="",K44=0),"",(K44+$G44-((K44+$G44)*(Settings!$C$10+Settings!$C$11+IF(Settings!$C$15="Yes / Sí",Settings!$C$14,0))+(Settings!$C$12+Settings!$C$13))-$I44))</f>
        <v/>
      </c>
      <c r="M44" s="57"/>
      <c r="N44" s="60" t="str">
        <f aca="false">IF(OR(B44="",M44=""),"",((M44+$G44)*(Settings!$C$10+Settings!$C$11+IF(Settings!$C$15="Yes / Sí",Settings!$C$14,0))+(Settings!$C$12+Settings!$C$13)))</f>
        <v/>
      </c>
      <c r="O44" s="60" t="str">
        <f aca="false">IF(OR(B44="",M44=""),"",(M44+$G44-((M44+$G44)*(Settings!$C$10+Settings!$C$11+IF(Settings!$C$15="Yes / Sí",Settings!$C$14,0))+(Settings!$C$12+Settings!$C$13))-$I44))</f>
        <v/>
      </c>
      <c r="P44" s="61" t="str">
        <f aca="false">IF(O44="","",IF(M44=0,0,O44/M44))</f>
        <v/>
      </c>
      <c r="Q44" s="60" t="str">
        <f aca="false">IF(OR(O44="",D44="",D44=0),"",(O44+D44/60*Settings!$C$7)/(D44/60))</f>
        <v/>
      </c>
      <c r="R44" s="62" t="str">
        <f aca="false">IF(B44="","",IF(M44="","Enter your price / Escribe tu precio",IF(O44&lt;0,"⚠ LOSING MONEY / PIERDES",IF(P44&lt;IF(H44="",Settings!$C$9,H44),"● BELOW TARGET / DEBAJO","✔ ON TARGET / EN OBJETIVO"))))</f>
        <v/>
      </c>
      <c r="T44" s="55" t="n">
        <f aca="false">IF(B44="",0,IF(M44="",0,1))</f>
        <v>0</v>
      </c>
      <c r="U44" s="55" t="n">
        <f aca="false">IF(T44=1,P44,0)</f>
        <v>0</v>
      </c>
      <c r="V44" s="55" t="n">
        <f aca="false">IF(T44=1,IF(O44&lt;0,0,IF(P44&lt;IF(H44="",Settings!$C$9,H44),1,0)),0)</f>
        <v>0</v>
      </c>
      <c r="W44" s="55" t="n">
        <f aca="false">IF(T44=1,IF(O44&lt;0,1,0),0)</f>
        <v>0</v>
      </c>
      <c r="X44" s="55" t="n">
        <f aca="false">IF(T44=1,M44,0)</f>
        <v>0</v>
      </c>
      <c r="Y44" s="55" t="n">
        <f aca="false">IF(T44=1,O44,0)</f>
        <v>0</v>
      </c>
      <c r="Z44" s="55" t="n">
        <f aca="false">IF(B44="",0,1)</f>
        <v>0</v>
      </c>
    </row>
    <row r="45" customFormat="false" ht="15" hidden="false" customHeight="false" outlineLevel="0" collapsed="false">
      <c r="B45" s="56"/>
      <c r="C45" s="57"/>
      <c r="D45" s="58"/>
      <c r="E45" s="57"/>
      <c r="F45" s="57"/>
      <c r="G45" s="57"/>
      <c r="H45" s="59"/>
      <c r="I45" s="60" t="str">
        <f aca="false">IF(B45="","",C45+IF(D45="",0,D45/60*Settings!$C$7)+E45+F45+Settings!$C$8)</f>
        <v/>
      </c>
      <c r="J45" s="60" t="str">
        <f aca="false">IF(B45="","",MAX(0,($I45+(Settings!$C$12+Settings!$C$13)-$G45*(1-(Settings!$C$10+Settings!$C$11+IF(Settings!$C$15="Yes / Sí",Settings!$C$14,0))))/(1-(Settings!$C$10+Settings!$C$11+IF(Settings!$C$15="Yes / Sí",Settings!$C$14,0)))))</f>
        <v/>
      </c>
      <c r="K45" s="60" t="str">
        <f aca="false">IF(B45="","",IF(1-(Settings!$C$10+Settings!$C$11+IF(Settings!$C$15="Yes / Sí",Settings!$C$14,0))-IF(H45="",Settings!$C$9,H45)&lt;=0,0,MAX(0,IF(Settings!$C$16="Yes / Sí",IF(ROUNDUP(($I45+(Settings!$C$12+Settings!$C$13)-$G45*(1-(Settings!$C$10+Settings!$C$11+IF(Settings!$C$15="Yes / Sí",Settings!$C$14,0))))/(1-(Settings!$C$10+Settings!$C$11+IF(Settings!$C$15="Yes / Sí",Settings!$C$14,0))-IF(H45="",Settings!$C$9,H45)),0)-0.01&gt;=($I45+(Settings!$C$12+Settings!$C$13)-$G45*(1-(Settings!$C$10+Settings!$C$11+IF(Settings!$C$15="Yes / Sí",Settings!$C$14,0))))/(1-(Settings!$C$10+Settings!$C$11+IF(Settings!$C$15="Yes / Sí",Settings!$C$14,0))-IF(H45="",Settings!$C$9,H45)),ROUNDUP(($I45+(Settings!$C$12+Settings!$C$13)-$G45*(1-(Settings!$C$10+Settings!$C$11+IF(Settings!$C$15="Yes / Sí",Settings!$C$14,0))))/(1-(Settings!$C$10+Settings!$C$11+IF(Settings!$C$15="Yes / Sí",Settings!$C$14,0))-IF(H45="",Settings!$C$9,H45)),0)-0.01,ROUNDUP(($I45+(Settings!$C$12+Settings!$C$13)-$G45*(1-(Settings!$C$10+Settings!$C$11+IF(Settings!$C$15="Yes / Sí",Settings!$C$14,0))))/(1-(Settings!$C$10+Settings!$C$11+IF(Settings!$C$15="Yes / Sí",Settings!$C$14,0))-IF(H45="",Settings!$C$9,H45)),0)+0.99),ROUNDUP(($I45+(Settings!$C$12+Settings!$C$13)-$G45*(1-(Settings!$C$10+Settings!$C$11+IF(Settings!$C$15="Yes / Sí",Settings!$C$14,0))))/(1-(Settings!$C$10+Settings!$C$11+IF(Settings!$C$15="Yes / Sí",Settings!$C$14,0))-IF(H45="",Settings!$C$9,H45)),2)))))</f>
        <v/>
      </c>
      <c r="L45" s="60" t="str">
        <f aca="false">IF(OR(B45="",K45=0),"",(K45+$G45-((K45+$G45)*(Settings!$C$10+Settings!$C$11+IF(Settings!$C$15="Yes / Sí",Settings!$C$14,0))+(Settings!$C$12+Settings!$C$13))-$I45))</f>
        <v/>
      </c>
      <c r="M45" s="57"/>
      <c r="N45" s="60" t="str">
        <f aca="false">IF(OR(B45="",M45=""),"",((M45+$G45)*(Settings!$C$10+Settings!$C$11+IF(Settings!$C$15="Yes / Sí",Settings!$C$14,0))+(Settings!$C$12+Settings!$C$13)))</f>
        <v/>
      </c>
      <c r="O45" s="60" t="str">
        <f aca="false">IF(OR(B45="",M45=""),"",(M45+$G45-((M45+$G45)*(Settings!$C$10+Settings!$C$11+IF(Settings!$C$15="Yes / Sí",Settings!$C$14,0))+(Settings!$C$12+Settings!$C$13))-$I45))</f>
        <v/>
      </c>
      <c r="P45" s="61" t="str">
        <f aca="false">IF(O45="","",IF(M45=0,0,O45/M45))</f>
        <v/>
      </c>
      <c r="Q45" s="60" t="str">
        <f aca="false">IF(OR(O45="",D45="",D45=0),"",(O45+D45/60*Settings!$C$7)/(D45/60))</f>
        <v/>
      </c>
      <c r="R45" s="62" t="str">
        <f aca="false">IF(B45="","",IF(M45="","Enter your price / Escribe tu precio",IF(O45&lt;0,"⚠ LOSING MONEY / PIERDES",IF(P45&lt;IF(H45="",Settings!$C$9,H45),"● BELOW TARGET / DEBAJO","✔ ON TARGET / EN OBJETIVO"))))</f>
        <v/>
      </c>
      <c r="T45" s="55" t="n">
        <f aca="false">IF(B45="",0,IF(M45="",0,1))</f>
        <v>0</v>
      </c>
      <c r="U45" s="55" t="n">
        <f aca="false">IF(T45=1,P45,0)</f>
        <v>0</v>
      </c>
      <c r="V45" s="55" t="n">
        <f aca="false">IF(T45=1,IF(O45&lt;0,0,IF(P45&lt;IF(H45="",Settings!$C$9,H45),1,0)),0)</f>
        <v>0</v>
      </c>
      <c r="W45" s="55" t="n">
        <f aca="false">IF(T45=1,IF(O45&lt;0,1,0),0)</f>
        <v>0</v>
      </c>
      <c r="X45" s="55" t="n">
        <f aca="false">IF(T45=1,M45,0)</f>
        <v>0</v>
      </c>
      <c r="Y45" s="55" t="n">
        <f aca="false">IF(T45=1,O45,0)</f>
        <v>0</v>
      </c>
      <c r="Z45" s="55" t="n">
        <f aca="false">IF(B45="",0,1)</f>
        <v>0</v>
      </c>
    </row>
    <row r="46" customFormat="false" ht="15" hidden="false" customHeight="false" outlineLevel="0" collapsed="false">
      <c r="B46" s="56"/>
      <c r="C46" s="57"/>
      <c r="D46" s="58"/>
      <c r="E46" s="57"/>
      <c r="F46" s="57"/>
      <c r="G46" s="57"/>
      <c r="H46" s="59"/>
      <c r="I46" s="60" t="str">
        <f aca="false">IF(B46="","",C46+IF(D46="",0,D46/60*Settings!$C$7)+E46+F46+Settings!$C$8)</f>
        <v/>
      </c>
      <c r="J46" s="60" t="str">
        <f aca="false">IF(B46="","",MAX(0,($I46+(Settings!$C$12+Settings!$C$13)-$G46*(1-(Settings!$C$10+Settings!$C$11+IF(Settings!$C$15="Yes / Sí",Settings!$C$14,0))))/(1-(Settings!$C$10+Settings!$C$11+IF(Settings!$C$15="Yes / Sí",Settings!$C$14,0)))))</f>
        <v/>
      </c>
      <c r="K46" s="60" t="str">
        <f aca="false">IF(B46="","",IF(1-(Settings!$C$10+Settings!$C$11+IF(Settings!$C$15="Yes / Sí",Settings!$C$14,0))-IF(H46="",Settings!$C$9,H46)&lt;=0,0,MAX(0,IF(Settings!$C$16="Yes / Sí",IF(ROUNDUP(($I46+(Settings!$C$12+Settings!$C$13)-$G46*(1-(Settings!$C$10+Settings!$C$11+IF(Settings!$C$15="Yes / Sí",Settings!$C$14,0))))/(1-(Settings!$C$10+Settings!$C$11+IF(Settings!$C$15="Yes / Sí",Settings!$C$14,0))-IF(H46="",Settings!$C$9,H46)),0)-0.01&gt;=($I46+(Settings!$C$12+Settings!$C$13)-$G46*(1-(Settings!$C$10+Settings!$C$11+IF(Settings!$C$15="Yes / Sí",Settings!$C$14,0))))/(1-(Settings!$C$10+Settings!$C$11+IF(Settings!$C$15="Yes / Sí",Settings!$C$14,0))-IF(H46="",Settings!$C$9,H46)),ROUNDUP(($I46+(Settings!$C$12+Settings!$C$13)-$G46*(1-(Settings!$C$10+Settings!$C$11+IF(Settings!$C$15="Yes / Sí",Settings!$C$14,0))))/(1-(Settings!$C$10+Settings!$C$11+IF(Settings!$C$15="Yes / Sí",Settings!$C$14,0))-IF(H46="",Settings!$C$9,H46)),0)-0.01,ROUNDUP(($I46+(Settings!$C$12+Settings!$C$13)-$G46*(1-(Settings!$C$10+Settings!$C$11+IF(Settings!$C$15="Yes / Sí",Settings!$C$14,0))))/(1-(Settings!$C$10+Settings!$C$11+IF(Settings!$C$15="Yes / Sí",Settings!$C$14,0))-IF(H46="",Settings!$C$9,H46)),0)+0.99),ROUNDUP(($I46+(Settings!$C$12+Settings!$C$13)-$G46*(1-(Settings!$C$10+Settings!$C$11+IF(Settings!$C$15="Yes / Sí",Settings!$C$14,0))))/(1-(Settings!$C$10+Settings!$C$11+IF(Settings!$C$15="Yes / Sí",Settings!$C$14,0))-IF(H46="",Settings!$C$9,H46)),2)))))</f>
        <v/>
      </c>
      <c r="L46" s="60" t="str">
        <f aca="false">IF(OR(B46="",K46=0),"",(K46+$G46-((K46+$G46)*(Settings!$C$10+Settings!$C$11+IF(Settings!$C$15="Yes / Sí",Settings!$C$14,0))+(Settings!$C$12+Settings!$C$13))-$I46))</f>
        <v/>
      </c>
      <c r="M46" s="57"/>
      <c r="N46" s="60" t="str">
        <f aca="false">IF(OR(B46="",M46=""),"",((M46+$G46)*(Settings!$C$10+Settings!$C$11+IF(Settings!$C$15="Yes / Sí",Settings!$C$14,0))+(Settings!$C$12+Settings!$C$13)))</f>
        <v/>
      </c>
      <c r="O46" s="60" t="str">
        <f aca="false">IF(OR(B46="",M46=""),"",(M46+$G46-((M46+$G46)*(Settings!$C$10+Settings!$C$11+IF(Settings!$C$15="Yes / Sí",Settings!$C$14,0))+(Settings!$C$12+Settings!$C$13))-$I46))</f>
        <v/>
      </c>
      <c r="P46" s="61" t="str">
        <f aca="false">IF(O46="","",IF(M46=0,0,O46/M46))</f>
        <v/>
      </c>
      <c r="Q46" s="60" t="str">
        <f aca="false">IF(OR(O46="",D46="",D46=0),"",(O46+D46/60*Settings!$C$7)/(D46/60))</f>
        <v/>
      </c>
      <c r="R46" s="62" t="str">
        <f aca="false">IF(B46="","",IF(M46="","Enter your price / Escribe tu precio",IF(O46&lt;0,"⚠ LOSING MONEY / PIERDES",IF(P46&lt;IF(H46="",Settings!$C$9,H46),"● BELOW TARGET / DEBAJO","✔ ON TARGET / EN OBJETIVO"))))</f>
        <v/>
      </c>
      <c r="T46" s="55" t="n">
        <f aca="false">IF(B46="",0,IF(M46="",0,1))</f>
        <v>0</v>
      </c>
      <c r="U46" s="55" t="n">
        <f aca="false">IF(T46=1,P46,0)</f>
        <v>0</v>
      </c>
      <c r="V46" s="55" t="n">
        <f aca="false">IF(T46=1,IF(O46&lt;0,0,IF(P46&lt;IF(H46="",Settings!$C$9,H46),1,0)),0)</f>
        <v>0</v>
      </c>
      <c r="W46" s="55" t="n">
        <f aca="false">IF(T46=1,IF(O46&lt;0,1,0),0)</f>
        <v>0</v>
      </c>
      <c r="X46" s="55" t="n">
        <f aca="false">IF(T46=1,M46,0)</f>
        <v>0</v>
      </c>
      <c r="Y46" s="55" t="n">
        <f aca="false">IF(T46=1,O46,0)</f>
        <v>0</v>
      </c>
      <c r="Z46" s="55" t="n">
        <f aca="false">IF(B46="",0,1)</f>
        <v>0</v>
      </c>
    </row>
    <row r="47" customFormat="false" ht="15" hidden="false" customHeight="false" outlineLevel="0" collapsed="false">
      <c r="B47" s="56"/>
      <c r="C47" s="57"/>
      <c r="D47" s="58"/>
      <c r="E47" s="57"/>
      <c r="F47" s="57"/>
      <c r="G47" s="57"/>
      <c r="H47" s="59"/>
      <c r="I47" s="60" t="str">
        <f aca="false">IF(B47="","",C47+IF(D47="",0,D47/60*Settings!$C$7)+E47+F47+Settings!$C$8)</f>
        <v/>
      </c>
      <c r="J47" s="60" t="str">
        <f aca="false">IF(B47="","",MAX(0,($I47+(Settings!$C$12+Settings!$C$13)-$G47*(1-(Settings!$C$10+Settings!$C$11+IF(Settings!$C$15="Yes / Sí",Settings!$C$14,0))))/(1-(Settings!$C$10+Settings!$C$11+IF(Settings!$C$15="Yes / Sí",Settings!$C$14,0)))))</f>
        <v/>
      </c>
      <c r="K47" s="60" t="str">
        <f aca="false">IF(B47="","",IF(1-(Settings!$C$10+Settings!$C$11+IF(Settings!$C$15="Yes / Sí",Settings!$C$14,0))-IF(H47="",Settings!$C$9,H47)&lt;=0,0,MAX(0,IF(Settings!$C$16="Yes / Sí",IF(ROUNDUP(($I47+(Settings!$C$12+Settings!$C$13)-$G47*(1-(Settings!$C$10+Settings!$C$11+IF(Settings!$C$15="Yes / Sí",Settings!$C$14,0))))/(1-(Settings!$C$10+Settings!$C$11+IF(Settings!$C$15="Yes / Sí",Settings!$C$14,0))-IF(H47="",Settings!$C$9,H47)),0)-0.01&gt;=($I47+(Settings!$C$12+Settings!$C$13)-$G47*(1-(Settings!$C$10+Settings!$C$11+IF(Settings!$C$15="Yes / Sí",Settings!$C$14,0))))/(1-(Settings!$C$10+Settings!$C$11+IF(Settings!$C$15="Yes / Sí",Settings!$C$14,0))-IF(H47="",Settings!$C$9,H47)),ROUNDUP(($I47+(Settings!$C$12+Settings!$C$13)-$G47*(1-(Settings!$C$10+Settings!$C$11+IF(Settings!$C$15="Yes / Sí",Settings!$C$14,0))))/(1-(Settings!$C$10+Settings!$C$11+IF(Settings!$C$15="Yes / Sí",Settings!$C$14,0))-IF(H47="",Settings!$C$9,H47)),0)-0.01,ROUNDUP(($I47+(Settings!$C$12+Settings!$C$13)-$G47*(1-(Settings!$C$10+Settings!$C$11+IF(Settings!$C$15="Yes / Sí",Settings!$C$14,0))))/(1-(Settings!$C$10+Settings!$C$11+IF(Settings!$C$15="Yes / Sí",Settings!$C$14,0))-IF(H47="",Settings!$C$9,H47)),0)+0.99),ROUNDUP(($I47+(Settings!$C$12+Settings!$C$13)-$G47*(1-(Settings!$C$10+Settings!$C$11+IF(Settings!$C$15="Yes / Sí",Settings!$C$14,0))))/(1-(Settings!$C$10+Settings!$C$11+IF(Settings!$C$15="Yes / Sí",Settings!$C$14,0))-IF(H47="",Settings!$C$9,H47)),2)))))</f>
        <v/>
      </c>
      <c r="L47" s="60" t="str">
        <f aca="false">IF(OR(B47="",K47=0),"",(K47+$G47-((K47+$G47)*(Settings!$C$10+Settings!$C$11+IF(Settings!$C$15="Yes / Sí",Settings!$C$14,0))+(Settings!$C$12+Settings!$C$13))-$I47))</f>
        <v/>
      </c>
      <c r="M47" s="57"/>
      <c r="N47" s="60" t="str">
        <f aca="false">IF(OR(B47="",M47=""),"",((M47+$G47)*(Settings!$C$10+Settings!$C$11+IF(Settings!$C$15="Yes / Sí",Settings!$C$14,0))+(Settings!$C$12+Settings!$C$13)))</f>
        <v/>
      </c>
      <c r="O47" s="60" t="str">
        <f aca="false">IF(OR(B47="",M47=""),"",(M47+$G47-((M47+$G47)*(Settings!$C$10+Settings!$C$11+IF(Settings!$C$15="Yes / Sí",Settings!$C$14,0))+(Settings!$C$12+Settings!$C$13))-$I47))</f>
        <v/>
      </c>
      <c r="P47" s="61" t="str">
        <f aca="false">IF(O47="","",IF(M47=0,0,O47/M47))</f>
        <v/>
      </c>
      <c r="Q47" s="60" t="str">
        <f aca="false">IF(OR(O47="",D47="",D47=0),"",(O47+D47/60*Settings!$C$7)/(D47/60))</f>
        <v/>
      </c>
      <c r="R47" s="62" t="str">
        <f aca="false">IF(B47="","",IF(M47="","Enter your price / Escribe tu precio",IF(O47&lt;0,"⚠ LOSING MONEY / PIERDES",IF(P47&lt;IF(H47="",Settings!$C$9,H47),"● BELOW TARGET / DEBAJO","✔ ON TARGET / EN OBJETIVO"))))</f>
        <v/>
      </c>
      <c r="T47" s="55" t="n">
        <f aca="false">IF(B47="",0,IF(M47="",0,1))</f>
        <v>0</v>
      </c>
      <c r="U47" s="55" t="n">
        <f aca="false">IF(T47=1,P47,0)</f>
        <v>0</v>
      </c>
      <c r="V47" s="55" t="n">
        <f aca="false">IF(T47=1,IF(O47&lt;0,0,IF(P47&lt;IF(H47="",Settings!$C$9,H47),1,0)),0)</f>
        <v>0</v>
      </c>
      <c r="W47" s="55" t="n">
        <f aca="false">IF(T47=1,IF(O47&lt;0,1,0),0)</f>
        <v>0</v>
      </c>
      <c r="X47" s="55" t="n">
        <f aca="false">IF(T47=1,M47,0)</f>
        <v>0</v>
      </c>
      <c r="Y47" s="55" t="n">
        <f aca="false">IF(T47=1,O47,0)</f>
        <v>0</v>
      </c>
      <c r="Z47" s="55" t="n">
        <f aca="false">IF(B47="",0,1)</f>
        <v>0</v>
      </c>
    </row>
    <row r="48" customFormat="false" ht="15" hidden="false" customHeight="false" outlineLevel="0" collapsed="false">
      <c r="B48" s="56"/>
      <c r="C48" s="57"/>
      <c r="D48" s="58"/>
      <c r="E48" s="57"/>
      <c r="F48" s="57"/>
      <c r="G48" s="57"/>
      <c r="H48" s="59"/>
      <c r="I48" s="60" t="str">
        <f aca="false">IF(B48="","",C48+IF(D48="",0,D48/60*Settings!$C$7)+E48+F48+Settings!$C$8)</f>
        <v/>
      </c>
      <c r="J48" s="60" t="str">
        <f aca="false">IF(B48="","",MAX(0,($I48+(Settings!$C$12+Settings!$C$13)-$G48*(1-(Settings!$C$10+Settings!$C$11+IF(Settings!$C$15="Yes / Sí",Settings!$C$14,0))))/(1-(Settings!$C$10+Settings!$C$11+IF(Settings!$C$15="Yes / Sí",Settings!$C$14,0)))))</f>
        <v/>
      </c>
      <c r="K48" s="60" t="str">
        <f aca="false">IF(B48="","",IF(1-(Settings!$C$10+Settings!$C$11+IF(Settings!$C$15="Yes / Sí",Settings!$C$14,0))-IF(H48="",Settings!$C$9,H48)&lt;=0,0,MAX(0,IF(Settings!$C$16="Yes / Sí",IF(ROUNDUP(($I48+(Settings!$C$12+Settings!$C$13)-$G48*(1-(Settings!$C$10+Settings!$C$11+IF(Settings!$C$15="Yes / Sí",Settings!$C$14,0))))/(1-(Settings!$C$10+Settings!$C$11+IF(Settings!$C$15="Yes / Sí",Settings!$C$14,0))-IF(H48="",Settings!$C$9,H48)),0)-0.01&gt;=($I48+(Settings!$C$12+Settings!$C$13)-$G48*(1-(Settings!$C$10+Settings!$C$11+IF(Settings!$C$15="Yes / Sí",Settings!$C$14,0))))/(1-(Settings!$C$10+Settings!$C$11+IF(Settings!$C$15="Yes / Sí",Settings!$C$14,0))-IF(H48="",Settings!$C$9,H48)),ROUNDUP(($I48+(Settings!$C$12+Settings!$C$13)-$G48*(1-(Settings!$C$10+Settings!$C$11+IF(Settings!$C$15="Yes / Sí",Settings!$C$14,0))))/(1-(Settings!$C$10+Settings!$C$11+IF(Settings!$C$15="Yes / Sí",Settings!$C$14,0))-IF(H48="",Settings!$C$9,H48)),0)-0.01,ROUNDUP(($I48+(Settings!$C$12+Settings!$C$13)-$G48*(1-(Settings!$C$10+Settings!$C$11+IF(Settings!$C$15="Yes / Sí",Settings!$C$14,0))))/(1-(Settings!$C$10+Settings!$C$11+IF(Settings!$C$15="Yes / Sí",Settings!$C$14,0))-IF(H48="",Settings!$C$9,H48)),0)+0.99),ROUNDUP(($I48+(Settings!$C$12+Settings!$C$13)-$G48*(1-(Settings!$C$10+Settings!$C$11+IF(Settings!$C$15="Yes / Sí",Settings!$C$14,0))))/(1-(Settings!$C$10+Settings!$C$11+IF(Settings!$C$15="Yes / Sí",Settings!$C$14,0))-IF(H48="",Settings!$C$9,H48)),2)))))</f>
        <v/>
      </c>
      <c r="L48" s="60" t="str">
        <f aca="false">IF(OR(B48="",K48=0),"",(K48+$G48-((K48+$G48)*(Settings!$C$10+Settings!$C$11+IF(Settings!$C$15="Yes / Sí",Settings!$C$14,0))+(Settings!$C$12+Settings!$C$13))-$I48))</f>
        <v/>
      </c>
      <c r="M48" s="57"/>
      <c r="N48" s="60" t="str">
        <f aca="false">IF(OR(B48="",M48=""),"",((M48+$G48)*(Settings!$C$10+Settings!$C$11+IF(Settings!$C$15="Yes / Sí",Settings!$C$14,0))+(Settings!$C$12+Settings!$C$13)))</f>
        <v/>
      </c>
      <c r="O48" s="60" t="str">
        <f aca="false">IF(OR(B48="",M48=""),"",(M48+$G48-((M48+$G48)*(Settings!$C$10+Settings!$C$11+IF(Settings!$C$15="Yes / Sí",Settings!$C$14,0))+(Settings!$C$12+Settings!$C$13))-$I48))</f>
        <v/>
      </c>
      <c r="P48" s="61" t="str">
        <f aca="false">IF(O48="","",IF(M48=0,0,O48/M48))</f>
        <v/>
      </c>
      <c r="Q48" s="60" t="str">
        <f aca="false">IF(OR(O48="",D48="",D48=0),"",(O48+D48/60*Settings!$C$7)/(D48/60))</f>
        <v/>
      </c>
      <c r="R48" s="62" t="str">
        <f aca="false">IF(B48="","",IF(M48="","Enter your price / Escribe tu precio",IF(O48&lt;0,"⚠ LOSING MONEY / PIERDES",IF(P48&lt;IF(H48="",Settings!$C$9,H48),"● BELOW TARGET / DEBAJO","✔ ON TARGET / EN OBJETIVO"))))</f>
        <v/>
      </c>
      <c r="T48" s="55" t="n">
        <f aca="false">IF(B48="",0,IF(M48="",0,1))</f>
        <v>0</v>
      </c>
      <c r="U48" s="55" t="n">
        <f aca="false">IF(T48=1,P48,0)</f>
        <v>0</v>
      </c>
      <c r="V48" s="55" t="n">
        <f aca="false">IF(T48=1,IF(O48&lt;0,0,IF(P48&lt;IF(H48="",Settings!$C$9,H48),1,0)),0)</f>
        <v>0</v>
      </c>
      <c r="W48" s="55" t="n">
        <f aca="false">IF(T48=1,IF(O48&lt;0,1,0),0)</f>
        <v>0</v>
      </c>
      <c r="X48" s="55" t="n">
        <f aca="false">IF(T48=1,M48,0)</f>
        <v>0</v>
      </c>
      <c r="Y48" s="55" t="n">
        <f aca="false">IF(T48=1,O48,0)</f>
        <v>0</v>
      </c>
      <c r="Z48" s="55" t="n">
        <f aca="false">IF(B48="",0,1)</f>
        <v>0</v>
      </c>
    </row>
    <row r="49" customFormat="false" ht="15" hidden="false" customHeight="false" outlineLevel="0" collapsed="false">
      <c r="B49" s="56"/>
      <c r="C49" s="57"/>
      <c r="D49" s="58"/>
      <c r="E49" s="57"/>
      <c r="F49" s="57"/>
      <c r="G49" s="57"/>
      <c r="H49" s="59"/>
      <c r="I49" s="60" t="str">
        <f aca="false">IF(B49="","",C49+IF(D49="",0,D49/60*Settings!$C$7)+E49+F49+Settings!$C$8)</f>
        <v/>
      </c>
      <c r="J49" s="60" t="str">
        <f aca="false">IF(B49="","",MAX(0,($I49+(Settings!$C$12+Settings!$C$13)-$G49*(1-(Settings!$C$10+Settings!$C$11+IF(Settings!$C$15="Yes / Sí",Settings!$C$14,0))))/(1-(Settings!$C$10+Settings!$C$11+IF(Settings!$C$15="Yes / Sí",Settings!$C$14,0)))))</f>
        <v/>
      </c>
      <c r="K49" s="60" t="str">
        <f aca="false">IF(B49="","",IF(1-(Settings!$C$10+Settings!$C$11+IF(Settings!$C$15="Yes / Sí",Settings!$C$14,0))-IF(H49="",Settings!$C$9,H49)&lt;=0,0,MAX(0,IF(Settings!$C$16="Yes / Sí",IF(ROUNDUP(($I49+(Settings!$C$12+Settings!$C$13)-$G49*(1-(Settings!$C$10+Settings!$C$11+IF(Settings!$C$15="Yes / Sí",Settings!$C$14,0))))/(1-(Settings!$C$10+Settings!$C$11+IF(Settings!$C$15="Yes / Sí",Settings!$C$14,0))-IF(H49="",Settings!$C$9,H49)),0)-0.01&gt;=($I49+(Settings!$C$12+Settings!$C$13)-$G49*(1-(Settings!$C$10+Settings!$C$11+IF(Settings!$C$15="Yes / Sí",Settings!$C$14,0))))/(1-(Settings!$C$10+Settings!$C$11+IF(Settings!$C$15="Yes / Sí",Settings!$C$14,0))-IF(H49="",Settings!$C$9,H49)),ROUNDUP(($I49+(Settings!$C$12+Settings!$C$13)-$G49*(1-(Settings!$C$10+Settings!$C$11+IF(Settings!$C$15="Yes / Sí",Settings!$C$14,0))))/(1-(Settings!$C$10+Settings!$C$11+IF(Settings!$C$15="Yes / Sí",Settings!$C$14,0))-IF(H49="",Settings!$C$9,H49)),0)-0.01,ROUNDUP(($I49+(Settings!$C$12+Settings!$C$13)-$G49*(1-(Settings!$C$10+Settings!$C$11+IF(Settings!$C$15="Yes / Sí",Settings!$C$14,0))))/(1-(Settings!$C$10+Settings!$C$11+IF(Settings!$C$15="Yes / Sí",Settings!$C$14,0))-IF(H49="",Settings!$C$9,H49)),0)+0.99),ROUNDUP(($I49+(Settings!$C$12+Settings!$C$13)-$G49*(1-(Settings!$C$10+Settings!$C$11+IF(Settings!$C$15="Yes / Sí",Settings!$C$14,0))))/(1-(Settings!$C$10+Settings!$C$11+IF(Settings!$C$15="Yes / Sí",Settings!$C$14,0))-IF(H49="",Settings!$C$9,H49)),2)))))</f>
        <v/>
      </c>
      <c r="L49" s="60" t="str">
        <f aca="false">IF(OR(B49="",K49=0),"",(K49+$G49-((K49+$G49)*(Settings!$C$10+Settings!$C$11+IF(Settings!$C$15="Yes / Sí",Settings!$C$14,0))+(Settings!$C$12+Settings!$C$13))-$I49))</f>
        <v/>
      </c>
      <c r="M49" s="57"/>
      <c r="N49" s="60" t="str">
        <f aca="false">IF(OR(B49="",M49=""),"",((M49+$G49)*(Settings!$C$10+Settings!$C$11+IF(Settings!$C$15="Yes / Sí",Settings!$C$14,0))+(Settings!$C$12+Settings!$C$13)))</f>
        <v/>
      </c>
      <c r="O49" s="60" t="str">
        <f aca="false">IF(OR(B49="",M49=""),"",(M49+$G49-((M49+$G49)*(Settings!$C$10+Settings!$C$11+IF(Settings!$C$15="Yes / Sí",Settings!$C$14,0))+(Settings!$C$12+Settings!$C$13))-$I49))</f>
        <v/>
      </c>
      <c r="P49" s="61" t="str">
        <f aca="false">IF(O49="","",IF(M49=0,0,O49/M49))</f>
        <v/>
      </c>
      <c r="Q49" s="60" t="str">
        <f aca="false">IF(OR(O49="",D49="",D49=0),"",(O49+D49/60*Settings!$C$7)/(D49/60))</f>
        <v/>
      </c>
      <c r="R49" s="62" t="str">
        <f aca="false">IF(B49="","",IF(M49="","Enter your price / Escribe tu precio",IF(O49&lt;0,"⚠ LOSING MONEY / PIERDES",IF(P49&lt;IF(H49="",Settings!$C$9,H49),"● BELOW TARGET / DEBAJO","✔ ON TARGET / EN OBJETIVO"))))</f>
        <v/>
      </c>
      <c r="T49" s="55" t="n">
        <f aca="false">IF(B49="",0,IF(M49="",0,1))</f>
        <v>0</v>
      </c>
      <c r="U49" s="55" t="n">
        <f aca="false">IF(T49=1,P49,0)</f>
        <v>0</v>
      </c>
      <c r="V49" s="55" t="n">
        <f aca="false">IF(T49=1,IF(O49&lt;0,0,IF(P49&lt;IF(H49="",Settings!$C$9,H49),1,0)),0)</f>
        <v>0</v>
      </c>
      <c r="W49" s="55" t="n">
        <f aca="false">IF(T49=1,IF(O49&lt;0,1,0),0)</f>
        <v>0</v>
      </c>
      <c r="X49" s="55" t="n">
        <f aca="false">IF(T49=1,M49,0)</f>
        <v>0</v>
      </c>
      <c r="Y49" s="55" t="n">
        <f aca="false">IF(T49=1,O49,0)</f>
        <v>0</v>
      </c>
      <c r="Z49" s="55" t="n">
        <f aca="false">IF(B49="",0,1)</f>
        <v>0</v>
      </c>
    </row>
    <row r="50" customFormat="false" ht="15" hidden="false" customHeight="false" outlineLevel="0" collapsed="false">
      <c r="B50" s="56"/>
      <c r="C50" s="57"/>
      <c r="D50" s="58"/>
      <c r="E50" s="57"/>
      <c r="F50" s="57"/>
      <c r="G50" s="57"/>
      <c r="H50" s="59"/>
      <c r="I50" s="60" t="str">
        <f aca="false">IF(B50="","",C50+IF(D50="",0,D50/60*Settings!$C$7)+E50+F50+Settings!$C$8)</f>
        <v/>
      </c>
      <c r="J50" s="60" t="str">
        <f aca="false">IF(B50="","",MAX(0,($I50+(Settings!$C$12+Settings!$C$13)-$G50*(1-(Settings!$C$10+Settings!$C$11+IF(Settings!$C$15="Yes / Sí",Settings!$C$14,0))))/(1-(Settings!$C$10+Settings!$C$11+IF(Settings!$C$15="Yes / Sí",Settings!$C$14,0)))))</f>
        <v/>
      </c>
      <c r="K50" s="60" t="str">
        <f aca="false">IF(B50="","",IF(1-(Settings!$C$10+Settings!$C$11+IF(Settings!$C$15="Yes / Sí",Settings!$C$14,0))-IF(H50="",Settings!$C$9,H50)&lt;=0,0,MAX(0,IF(Settings!$C$16="Yes / Sí",IF(ROUNDUP(($I50+(Settings!$C$12+Settings!$C$13)-$G50*(1-(Settings!$C$10+Settings!$C$11+IF(Settings!$C$15="Yes / Sí",Settings!$C$14,0))))/(1-(Settings!$C$10+Settings!$C$11+IF(Settings!$C$15="Yes / Sí",Settings!$C$14,0))-IF(H50="",Settings!$C$9,H50)),0)-0.01&gt;=($I50+(Settings!$C$12+Settings!$C$13)-$G50*(1-(Settings!$C$10+Settings!$C$11+IF(Settings!$C$15="Yes / Sí",Settings!$C$14,0))))/(1-(Settings!$C$10+Settings!$C$11+IF(Settings!$C$15="Yes / Sí",Settings!$C$14,0))-IF(H50="",Settings!$C$9,H50)),ROUNDUP(($I50+(Settings!$C$12+Settings!$C$13)-$G50*(1-(Settings!$C$10+Settings!$C$11+IF(Settings!$C$15="Yes / Sí",Settings!$C$14,0))))/(1-(Settings!$C$10+Settings!$C$11+IF(Settings!$C$15="Yes / Sí",Settings!$C$14,0))-IF(H50="",Settings!$C$9,H50)),0)-0.01,ROUNDUP(($I50+(Settings!$C$12+Settings!$C$13)-$G50*(1-(Settings!$C$10+Settings!$C$11+IF(Settings!$C$15="Yes / Sí",Settings!$C$14,0))))/(1-(Settings!$C$10+Settings!$C$11+IF(Settings!$C$15="Yes / Sí",Settings!$C$14,0))-IF(H50="",Settings!$C$9,H50)),0)+0.99),ROUNDUP(($I50+(Settings!$C$12+Settings!$C$13)-$G50*(1-(Settings!$C$10+Settings!$C$11+IF(Settings!$C$15="Yes / Sí",Settings!$C$14,0))))/(1-(Settings!$C$10+Settings!$C$11+IF(Settings!$C$15="Yes / Sí",Settings!$C$14,0))-IF(H50="",Settings!$C$9,H50)),2)))))</f>
        <v/>
      </c>
      <c r="L50" s="60" t="str">
        <f aca="false">IF(OR(B50="",K50=0),"",(K50+$G50-((K50+$G50)*(Settings!$C$10+Settings!$C$11+IF(Settings!$C$15="Yes / Sí",Settings!$C$14,0))+(Settings!$C$12+Settings!$C$13))-$I50))</f>
        <v/>
      </c>
      <c r="M50" s="57"/>
      <c r="N50" s="60" t="str">
        <f aca="false">IF(OR(B50="",M50=""),"",((M50+$G50)*(Settings!$C$10+Settings!$C$11+IF(Settings!$C$15="Yes / Sí",Settings!$C$14,0))+(Settings!$C$12+Settings!$C$13)))</f>
        <v/>
      </c>
      <c r="O50" s="60" t="str">
        <f aca="false">IF(OR(B50="",M50=""),"",(M50+$G50-((M50+$G50)*(Settings!$C$10+Settings!$C$11+IF(Settings!$C$15="Yes / Sí",Settings!$C$14,0))+(Settings!$C$12+Settings!$C$13))-$I50))</f>
        <v/>
      </c>
      <c r="P50" s="61" t="str">
        <f aca="false">IF(O50="","",IF(M50=0,0,O50/M50))</f>
        <v/>
      </c>
      <c r="Q50" s="60" t="str">
        <f aca="false">IF(OR(O50="",D50="",D50=0),"",(O50+D50/60*Settings!$C$7)/(D50/60))</f>
        <v/>
      </c>
      <c r="R50" s="62" t="str">
        <f aca="false">IF(B50="","",IF(M50="","Enter your price / Escribe tu precio",IF(O50&lt;0,"⚠ LOSING MONEY / PIERDES",IF(P50&lt;IF(H50="",Settings!$C$9,H50),"● BELOW TARGET / DEBAJO","✔ ON TARGET / EN OBJETIVO"))))</f>
        <v/>
      </c>
      <c r="T50" s="55" t="n">
        <f aca="false">IF(B50="",0,IF(M50="",0,1))</f>
        <v>0</v>
      </c>
      <c r="U50" s="55" t="n">
        <f aca="false">IF(T50=1,P50,0)</f>
        <v>0</v>
      </c>
      <c r="V50" s="55" t="n">
        <f aca="false">IF(T50=1,IF(O50&lt;0,0,IF(P50&lt;IF(H50="",Settings!$C$9,H50),1,0)),0)</f>
        <v>0</v>
      </c>
      <c r="W50" s="55" t="n">
        <f aca="false">IF(T50=1,IF(O50&lt;0,1,0),0)</f>
        <v>0</v>
      </c>
      <c r="X50" s="55" t="n">
        <f aca="false">IF(T50=1,M50,0)</f>
        <v>0</v>
      </c>
      <c r="Y50" s="55" t="n">
        <f aca="false">IF(T50=1,O50,0)</f>
        <v>0</v>
      </c>
      <c r="Z50" s="55" t="n">
        <f aca="false">IF(B50="",0,1)</f>
        <v>0</v>
      </c>
    </row>
    <row r="51" customFormat="false" ht="15" hidden="false" customHeight="false" outlineLevel="0" collapsed="false">
      <c r="B51" s="56"/>
      <c r="C51" s="57"/>
      <c r="D51" s="58"/>
      <c r="E51" s="57"/>
      <c r="F51" s="57"/>
      <c r="G51" s="57"/>
      <c r="H51" s="59"/>
      <c r="I51" s="60" t="str">
        <f aca="false">IF(B51="","",C51+IF(D51="",0,D51/60*Settings!$C$7)+E51+F51+Settings!$C$8)</f>
        <v/>
      </c>
      <c r="J51" s="60" t="str">
        <f aca="false">IF(B51="","",MAX(0,($I51+(Settings!$C$12+Settings!$C$13)-$G51*(1-(Settings!$C$10+Settings!$C$11+IF(Settings!$C$15="Yes / Sí",Settings!$C$14,0))))/(1-(Settings!$C$10+Settings!$C$11+IF(Settings!$C$15="Yes / Sí",Settings!$C$14,0)))))</f>
        <v/>
      </c>
      <c r="K51" s="60" t="str">
        <f aca="false">IF(B51="","",IF(1-(Settings!$C$10+Settings!$C$11+IF(Settings!$C$15="Yes / Sí",Settings!$C$14,0))-IF(H51="",Settings!$C$9,H51)&lt;=0,0,MAX(0,IF(Settings!$C$16="Yes / Sí",IF(ROUNDUP(($I51+(Settings!$C$12+Settings!$C$13)-$G51*(1-(Settings!$C$10+Settings!$C$11+IF(Settings!$C$15="Yes / Sí",Settings!$C$14,0))))/(1-(Settings!$C$10+Settings!$C$11+IF(Settings!$C$15="Yes / Sí",Settings!$C$14,0))-IF(H51="",Settings!$C$9,H51)),0)-0.01&gt;=($I51+(Settings!$C$12+Settings!$C$13)-$G51*(1-(Settings!$C$10+Settings!$C$11+IF(Settings!$C$15="Yes / Sí",Settings!$C$14,0))))/(1-(Settings!$C$10+Settings!$C$11+IF(Settings!$C$15="Yes / Sí",Settings!$C$14,0))-IF(H51="",Settings!$C$9,H51)),ROUNDUP(($I51+(Settings!$C$12+Settings!$C$13)-$G51*(1-(Settings!$C$10+Settings!$C$11+IF(Settings!$C$15="Yes / Sí",Settings!$C$14,0))))/(1-(Settings!$C$10+Settings!$C$11+IF(Settings!$C$15="Yes / Sí",Settings!$C$14,0))-IF(H51="",Settings!$C$9,H51)),0)-0.01,ROUNDUP(($I51+(Settings!$C$12+Settings!$C$13)-$G51*(1-(Settings!$C$10+Settings!$C$11+IF(Settings!$C$15="Yes / Sí",Settings!$C$14,0))))/(1-(Settings!$C$10+Settings!$C$11+IF(Settings!$C$15="Yes / Sí",Settings!$C$14,0))-IF(H51="",Settings!$C$9,H51)),0)+0.99),ROUNDUP(($I51+(Settings!$C$12+Settings!$C$13)-$G51*(1-(Settings!$C$10+Settings!$C$11+IF(Settings!$C$15="Yes / Sí",Settings!$C$14,0))))/(1-(Settings!$C$10+Settings!$C$11+IF(Settings!$C$15="Yes / Sí",Settings!$C$14,0))-IF(H51="",Settings!$C$9,H51)),2)))))</f>
        <v/>
      </c>
      <c r="L51" s="60" t="str">
        <f aca="false">IF(OR(B51="",K51=0),"",(K51+$G51-((K51+$G51)*(Settings!$C$10+Settings!$C$11+IF(Settings!$C$15="Yes / Sí",Settings!$C$14,0))+(Settings!$C$12+Settings!$C$13))-$I51))</f>
        <v/>
      </c>
      <c r="M51" s="57"/>
      <c r="N51" s="60" t="str">
        <f aca="false">IF(OR(B51="",M51=""),"",((M51+$G51)*(Settings!$C$10+Settings!$C$11+IF(Settings!$C$15="Yes / Sí",Settings!$C$14,0))+(Settings!$C$12+Settings!$C$13)))</f>
        <v/>
      </c>
      <c r="O51" s="60" t="str">
        <f aca="false">IF(OR(B51="",M51=""),"",(M51+$G51-((M51+$G51)*(Settings!$C$10+Settings!$C$11+IF(Settings!$C$15="Yes / Sí",Settings!$C$14,0))+(Settings!$C$12+Settings!$C$13))-$I51))</f>
        <v/>
      </c>
      <c r="P51" s="61" t="str">
        <f aca="false">IF(O51="","",IF(M51=0,0,O51/M51))</f>
        <v/>
      </c>
      <c r="Q51" s="60" t="str">
        <f aca="false">IF(OR(O51="",D51="",D51=0),"",(O51+D51/60*Settings!$C$7)/(D51/60))</f>
        <v/>
      </c>
      <c r="R51" s="62" t="str">
        <f aca="false">IF(B51="","",IF(M51="","Enter your price / Escribe tu precio",IF(O51&lt;0,"⚠ LOSING MONEY / PIERDES",IF(P51&lt;IF(H51="",Settings!$C$9,H51),"● BELOW TARGET / DEBAJO","✔ ON TARGET / EN OBJETIVO"))))</f>
        <v/>
      </c>
      <c r="T51" s="55" t="n">
        <f aca="false">IF(B51="",0,IF(M51="",0,1))</f>
        <v>0</v>
      </c>
      <c r="U51" s="55" t="n">
        <f aca="false">IF(T51=1,P51,0)</f>
        <v>0</v>
      </c>
      <c r="V51" s="55" t="n">
        <f aca="false">IF(T51=1,IF(O51&lt;0,0,IF(P51&lt;IF(H51="",Settings!$C$9,H51),1,0)),0)</f>
        <v>0</v>
      </c>
      <c r="W51" s="55" t="n">
        <f aca="false">IF(T51=1,IF(O51&lt;0,1,0),0)</f>
        <v>0</v>
      </c>
      <c r="X51" s="55" t="n">
        <f aca="false">IF(T51=1,M51,0)</f>
        <v>0</v>
      </c>
      <c r="Y51" s="55" t="n">
        <f aca="false">IF(T51=1,O51,0)</f>
        <v>0</v>
      </c>
      <c r="Z51" s="55" t="n">
        <f aca="false">IF(B51="",0,1)</f>
        <v>0</v>
      </c>
    </row>
    <row r="52" customFormat="false" ht="15" hidden="false" customHeight="false" outlineLevel="0" collapsed="false">
      <c r="B52" s="56"/>
      <c r="C52" s="57"/>
      <c r="D52" s="58"/>
      <c r="E52" s="57"/>
      <c r="F52" s="57"/>
      <c r="G52" s="57"/>
      <c r="H52" s="59"/>
      <c r="I52" s="60" t="str">
        <f aca="false">IF(B52="","",C52+IF(D52="",0,D52/60*Settings!$C$7)+E52+F52+Settings!$C$8)</f>
        <v/>
      </c>
      <c r="J52" s="60" t="str">
        <f aca="false">IF(B52="","",MAX(0,($I52+(Settings!$C$12+Settings!$C$13)-$G52*(1-(Settings!$C$10+Settings!$C$11+IF(Settings!$C$15="Yes / Sí",Settings!$C$14,0))))/(1-(Settings!$C$10+Settings!$C$11+IF(Settings!$C$15="Yes / Sí",Settings!$C$14,0)))))</f>
        <v/>
      </c>
      <c r="K52" s="60" t="str">
        <f aca="false">IF(B52="","",IF(1-(Settings!$C$10+Settings!$C$11+IF(Settings!$C$15="Yes / Sí",Settings!$C$14,0))-IF(H52="",Settings!$C$9,H52)&lt;=0,0,MAX(0,IF(Settings!$C$16="Yes / Sí",IF(ROUNDUP(($I52+(Settings!$C$12+Settings!$C$13)-$G52*(1-(Settings!$C$10+Settings!$C$11+IF(Settings!$C$15="Yes / Sí",Settings!$C$14,0))))/(1-(Settings!$C$10+Settings!$C$11+IF(Settings!$C$15="Yes / Sí",Settings!$C$14,0))-IF(H52="",Settings!$C$9,H52)),0)-0.01&gt;=($I52+(Settings!$C$12+Settings!$C$13)-$G52*(1-(Settings!$C$10+Settings!$C$11+IF(Settings!$C$15="Yes / Sí",Settings!$C$14,0))))/(1-(Settings!$C$10+Settings!$C$11+IF(Settings!$C$15="Yes / Sí",Settings!$C$14,0))-IF(H52="",Settings!$C$9,H52)),ROUNDUP(($I52+(Settings!$C$12+Settings!$C$13)-$G52*(1-(Settings!$C$10+Settings!$C$11+IF(Settings!$C$15="Yes / Sí",Settings!$C$14,0))))/(1-(Settings!$C$10+Settings!$C$11+IF(Settings!$C$15="Yes / Sí",Settings!$C$14,0))-IF(H52="",Settings!$C$9,H52)),0)-0.01,ROUNDUP(($I52+(Settings!$C$12+Settings!$C$13)-$G52*(1-(Settings!$C$10+Settings!$C$11+IF(Settings!$C$15="Yes / Sí",Settings!$C$14,0))))/(1-(Settings!$C$10+Settings!$C$11+IF(Settings!$C$15="Yes / Sí",Settings!$C$14,0))-IF(H52="",Settings!$C$9,H52)),0)+0.99),ROUNDUP(($I52+(Settings!$C$12+Settings!$C$13)-$G52*(1-(Settings!$C$10+Settings!$C$11+IF(Settings!$C$15="Yes / Sí",Settings!$C$14,0))))/(1-(Settings!$C$10+Settings!$C$11+IF(Settings!$C$15="Yes / Sí",Settings!$C$14,0))-IF(H52="",Settings!$C$9,H52)),2)))))</f>
        <v/>
      </c>
      <c r="L52" s="60" t="str">
        <f aca="false">IF(OR(B52="",K52=0),"",(K52+$G52-((K52+$G52)*(Settings!$C$10+Settings!$C$11+IF(Settings!$C$15="Yes / Sí",Settings!$C$14,0))+(Settings!$C$12+Settings!$C$13))-$I52))</f>
        <v/>
      </c>
      <c r="M52" s="57"/>
      <c r="N52" s="60" t="str">
        <f aca="false">IF(OR(B52="",M52=""),"",((M52+$G52)*(Settings!$C$10+Settings!$C$11+IF(Settings!$C$15="Yes / Sí",Settings!$C$14,0))+(Settings!$C$12+Settings!$C$13)))</f>
        <v/>
      </c>
      <c r="O52" s="60" t="str">
        <f aca="false">IF(OR(B52="",M52=""),"",(M52+$G52-((M52+$G52)*(Settings!$C$10+Settings!$C$11+IF(Settings!$C$15="Yes / Sí",Settings!$C$14,0))+(Settings!$C$12+Settings!$C$13))-$I52))</f>
        <v/>
      </c>
      <c r="P52" s="61" t="str">
        <f aca="false">IF(O52="","",IF(M52=0,0,O52/M52))</f>
        <v/>
      </c>
      <c r="Q52" s="60" t="str">
        <f aca="false">IF(OR(O52="",D52="",D52=0),"",(O52+D52/60*Settings!$C$7)/(D52/60))</f>
        <v/>
      </c>
      <c r="R52" s="62" t="str">
        <f aca="false">IF(B52="","",IF(M52="","Enter your price / Escribe tu precio",IF(O52&lt;0,"⚠ LOSING MONEY / PIERDES",IF(P52&lt;IF(H52="",Settings!$C$9,H52),"● BELOW TARGET / DEBAJO","✔ ON TARGET / EN OBJETIVO"))))</f>
        <v/>
      </c>
      <c r="T52" s="55" t="n">
        <f aca="false">IF(B52="",0,IF(M52="",0,1))</f>
        <v>0</v>
      </c>
      <c r="U52" s="55" t="n">
        <f aca="false">IF(T52=1,P52,0)</f>
        <v>0</v>
      </c>
      <c r="V52" s="55" t="n">
        <f aca="false">IF(T52=1,IF(O52&lt;0,0,IF(P52&lt;IF(H52="",Settings!$C$9,H52),1,0)),0)</f>
        <v>0</v>
      </c>
      <c r="W52" s="55" t="n">
        <f aca="false">IF(T52=1,IF(O52&lt;0,1,0),0)</f>
        <v>0</v>
      </c>
      <c r="X52" s="55" t="n">
        <f aca="false">IF(T52=1,M52,0)</f>
        <v>0</v>
      </c>
      <c r="Y52" s="55" t="n">
        <f aca="false">IF(T52=1,O52,0)</f>
        <v>0</v>
      </c>
      <c r="Z52" s="55" t="n">
        <f aca="false">IF(B52="",0,1)</f>
        <v>0</v>
      </c>
    </row>
    <row r="53" customFormat="false" ht="15" hidden="false" customHeight="false" outlineLevel="0" collapsed="false">
      <c r="B53" s="56"/>
      <c r="C53" s="57"/>
      <c r="D53" s="58"/>
      <c r="E53" s="57"/>
      <c r="F53" s="57"/>
      <c r="G53" s="57"/>
      <c r="H53" s="59"/>
      <c r="I53" s="60" t="str">
        <f aca="false">IF(B53="","",C53+IF(D53="",0,D53/60*Settings!$C$7)+E53+F53+Settings!$C$8)</f>
        <v/>
      </c>
      <c r="J53" s="60" t="str">
        <f aca="false">IF(B53="","",MAX(0,($I53+(Settings!$C$12+Settings!$C$13)-$G53*(1-(Settings!$C$10+Settings!$C$11+IF(Settings!$C$15="Yes / Sí",Settings!$C$14,0))))/(1-(Settings!$C$10+Settings!$C$11+IF(Settings!$C$15="Yes / Sí",Settings!$C$14,0)))))</f>
        <v/>
      </c>
      <c r="K53" s="60" t="str">
        <f aca="false">IF(B53="","",IF(1-(Settings!$C$10+Settings!$C$11+IF(Settings!$C$15="Yes / Sí",Settings!$C$14,0))-IF(H53="",Settings!$C$9,H53)&lt;=0,0,MAX(0,IF(Settings!$C$16="Yes / Sí",IF(ROUNDUP(($I53+(Settings!$C$12+Settings!$C$13)-$G53*(1-(Settings!$C$10+Settings!$C$11+IF(Settings!$C$15="Yes / Sí",Settings!$C$14,0))))/(1-(Settings!$C$10+Settings!$C$11+IF(Settings!$C$15="Yes / Sí",Settings!$C$14,0))-IF(H53="",Settings!$C$9,H53)),0)-0.01&gt;=($I53+(Settings!$C$12+Settings!$C$13)-$G53*(1-(Settings!$C$10+Settings!$C$11+IF(Settings!$C$15="Yes / Sí",Settings!$C$14,0))))/(1-(Settings!$C$10+Settings!$C$11+IF(Settings!$C$15="Yes / Sí",Settings!$C$14,0))-IF(H53="",Settings!$C$9,H53)),ROUNDUP(($I53+(Settings!$C$12+Settings!$C$13)-$G53*(1-(Settings!$C$10+Settings!$C$11+IF(Settings!$C$15="Yes / Sí",Settings!$C$14,0))))/(1-(Settings!$C$10+Settings!$C$11+IF(Settings!$C$15="Yes / Sí",Settings!$C$14,0))-IF(H53="",Settings!$C$9,H53)),0)-0.01,ROUNDUP(($I53+(Settings!$C$12+Settings!$C$13)-$G53*(1-(Settings!$C$10+Settings!$C$11+IF(Settings!$C$15="Yes / Sí",Settings!$C$14,0))))/(1-(Settings!$C$10+Settings!$C$11+IF(Settings!$C$15="Yes / Sí",Settings!$C$14,0))-IF(H53="",Settings!$C$9,H53)),0)+0.99),ROUNDUP(($I53+(Settings!$C$12+Settings!$C$13)-$G53*(1-(Settings!$C$10+Settings!$C$11+IF(Settings!$C$15="Yes / Sí",Settings!$C$14,0))))/(1-(Settings!$C$10+Settings!$C$11+IF(Settings!$C$15="Yes / Sí",Settings!$C$14,0))-IF(H53="",Settings!$C$9,H53)),2)))))</f>
        <v/>
      </c>
      <c r="L53" s="60" t="str">
        <f aca="false">IF(OR(B53="",K53=0),"",(K53+$G53-((K53+$G53)*(Settings!$C$10+Settings!$C$11+IF(Settings!$C$15="Yes / Sí",Settings!$C$14,0))+(Settings!$C$12+Settings!$C$13))-$I53))</f>
        <v/>
      </c>
      <c r="M53" s="57"/>
      <c r="N53" s="60" t="str">
        <f aca="false">IF(OR(B53="",M53=""),"",((M53+$G53)*(Settings!$C$10+Settings!$C$11+IF(Settings!$C$15="Yes / Sí",Settings!$C$14,0))+(Settings!$C$12+Settings!$C$13)))</f>
        <v/>
      </c>
      <c r="O53" s="60" t="str">
        <f aca="false">IF(OR(B53="",M53=""),"",(M53+$G53-((M53+$G53)*(Settings!$C$10+Settings!$C$11+IF(Settings!$C$15="Yes / Sí",Settings!$C$14,0))+(Settings!$C$12+Settings!$C$13))-$I53))</f>
        <v/>
      </c>
      <c r="P53" s="61" t="str">
        <f aca="false">IF(O53="","",IF(M53=0,0,O53/M53))</f>
        <v/>
      </c>
      <c r="Q53" s="60" t="str">
        <f aca="false">IF(OR(O53="",D53="",D53=0),"",(O53+D53/60*Settings!$C$7)/(D53/60))</f>
        <v/>
      </c>
      <c r="R53" s="62" t="str">
        <f aca="false">IF(B53="","",IF(M53="","Enter your price / Escribe tu precio",IF(O53&lt;0,"⚠ LOSING MONEY / PIERDES",IF(P53&lt;IF(H53="",Settings!$C$9,H53),"● BELOW TARGET / DEBAJO","✔ ON TARGET / EN OBJETIVO"))))</f>
        <v/>
      </c>
      <c r="T53" s="55" t="n">
        <f aca="false">IF(B53="",0,IF(M53="",0,1))</f>
        <v>0</v>
      </c>
      <c r="U53" s="55" t="n">
        <f aca="false">IF(T53=1,P53,0)</f>
        <v>0</v>
      </c>
      <c r="V53" s="55" t="n">
        <f aca="false">IF(T53=1,IF(O53&lt;0,0,IF(P53&lt;IF(H53="",Settings!$C$9,H53),1,0)),0)</f>
        <v>0</v>
      </c>
      <c r="W53" s="55" t="n">
        <f aca="false">IF(T53=1,IF(O53&lt;0,1,0),0)</f>
        <v>0</v>
      </c>
      <c r="X53" s="55" t="n">
        <f aca="false">IF(T53=1,M53,0)</f>
        <v>0</v>
      </c>
      <c r="Y53" s="55" t="n">
        <f aca="false">IF(T53=1,O53,0)</f>
        <v>0</v>
      </c>
      <c r="Z53" s="55" t="n">
        <f aca="false">IF(B53="",0,1)</f>
        <v>0</v>
      </c>
    </row>
    <row r="54" customFormat="false" ht="15" hidden="false" customHeight="false" outlineLevel="0" collapsed="false">
      <c r="B54" s="56"/>
      <c r="C54" s="57"/>
      <c r="D54" s="58"/>
      <c r="E54" s="57"/>
      <c r="F54" s="57"/>
      <c r="G54" s="57"/>
      <c r="H54" s="59"/>
      <c r="I54" s="60" t="str">
        <f aca="false">IF(B54="","",C54+IF(D54="",0,D54/60*Settings!$C$7)+E54+F54+Settings!$C$8)</f>
        <v/>
      </c>
      <c r="J54" s="60" t="str">
        <f aca="false">IF(B54="","",MAX(0,($I54+(Settings!$C$12+Settings!$C$13)-$G54*(1-(Settings!$C$10+Settings!$C$11+IF(Settings!$C$15="Yes / Sí",Settings!$C$14,0))))/(1-(Settings!$C$10+Settings!$C$11+IF(Settings!$C$15="Yes / Sí",Settings!$C$14,0)))))</f>
        <v/>
      </c>
      <c r="K54" s="60" t="str">
        <f aca="false">IF(B54="","",IF(1-(Settings!$C$10+Settings!$C$11+IF(Settings!$C$15="Yes / Sí",Settings!$C$14,0))-IF(H54="",Settings!$C$9,H54)&lt;=0,0,MAX(0,IF(Settings!$C$16="Yes / Sí",IF(ROUNDUP(($I54+(Settings!$C$12+Settings!$C$13)-$G54*(1-(Settings!$C$10+Settings!$C$11+IF(Settings!$C$15="Yes / Sí",Settings!$C$14,0))))/(1-(Settings!$C$10+Settings!$C$11+IF(Settings!$C$15="Yes / Sí",Settings!$C$14,0))-IF(H54="",Settings!$C$9,H54)),0)-0.01&gt;=($I54+(Settings!$C$12+Settings!$C$13)-$G54*(1-(Settings!$C$10+Settings!$C$11+IF(Settings!$C$15="Yes / Sí",Settings!$C$14,0))))/(1-(Settings!$C$10+Settings!$C$11+IF(Settings!$C$15="Yes / Sí",Settings!$C$14,0))-IF(H54="",Settings!$C$9,H54)),ROUNDUP(($I54+(Settings!$C$12+Settings!$C$13)-$G54*(1-(Settings!$C$10+Settings!$C$11+IF(Settings!$C$15="Yes / Sí",Settings!$C$14,0))))/(1-(Settings!$C$10+Settings!$C$11+IF(Settings!$C$15="Yes / Sí",Settings!$C$14,0))-IF(H54="",Settings!$C$9,H54)),0)-0.01,ROUNDUP(($I54+(Settings!$C$12+Settings!$C$13)-$G54*(1-(Settings!$C$10+Settings!$C$11+IF(Settings!$C$15="Yes / Sí",Settings!$C$14,0))))/(1-(Settings!$C$10+Settings!$C$11+IF(Settings!$C$15="Yes / Sí",Settings!$C$14,0))-IF(H54="",Settings!$C$9,H54)),0)+0.99),ROUNDUP(($I54+(Settings!$C$12+Settings!$C$13)-$G54*(1-(Settings!$C$10+Settings!$C$11+IF(Settings!$C$15="Yes / Sí",Settings!$C$14,0))))/(1-(Settings!$C$10+Settings!$C$11+IF(Settings!$C$15="Yes / Sí",Settings!$C$14,0))-IF(H54="",Settings!$C$9,H54)),2)))))</f>
        <v/>
      </c>
      <c r="L54" s="60" t="str">
        <f aca="false">IF(OR(B54="",K54=0),"",(K54+$G54-((K54+$G54)*(Settings!$C$10+Settings!$C$11+IF(Settings!$C$15="Yes / Sí",Settings!$C$14,0))+(Settings!$C$12+Settings!$C$13))-$I54))</f>
        <v/>
      </c>
      <c r="M54" s="57"/>
      <c r="N54" s="60" t="str">
        <f aca="false">IF(OR(B54="",M54=""),"",((M54+$G54)*(Settings!$C$10+Settings!$C$11+IF(Settings!$C$15="Yes / Sí",Settings!$C$14,0))+(Settings!$C$12+Settings!$C$13)))</f>
        <v/>
      </c>
      <c r="O54" s="60" t="str">
        <f aca="false">IF(OR(B54="",M54=""),"",(M54+$G54-((M54+$G54)*(Settings!$C$10+Settings!$C$11+IF(Settings!$C$15="Yes / Sí",Settings!$C$14,0))+(Settings!$C$12+Settings!$C$13))-$I54))</f>
        <v/>
      </c>
      <c r="P54" s="61" t="str">
        <f aca="false">IF(O54="","",IF(M54=0,0,O54/M54))</f>
        <v/>
      </c>
      <c r="Q54" s="60" t="str">
        <f aca="false">IF(OR(O54="",D54="",D54=0),"",(O54+D54/60*Settings!$C$7)/(D54/60))</f>
        <v/>
      </c>
      <c r="R54" s="62" t="str">
        <f aca="false">IF(B54="","",IF(M54="","Enter your price / Escribe tu precio",IF(O54&lt;0,"⚠ LOSING MONEY / PIERDES",IF(P54&lt;IF(H54="",Settings!$C$9,H54),"● BELOW TARGET / DEBAJO","✔ ON TARGET / EN OBJETIVO"))))</f>
        <v/>
      </c>
      <c r="T54" s="55" t="n">
        <f aca="false">IF(B54="",0,IF(M54="",0,1))</f>
        <v>0</v>
      </c>
      <c r="U54" s="55" t="n">
        <f aca="false">IF(T54=1,P54,0)</f>
        <v>0</v>
      </c>
      <c r="V54" s="55" t="n">
        <f aca="false">IF(T54=1,IF(O54&lt;0,0,IF(P54&lt;IF(H54="",Settings!$C$9,H54),1,0)),0)</f>
        <v>0</v>
      </c>
      <c r="W54" s="55" t="n">
        <f aca="false">IF(T54=1,IF(O54&lt;0,1,0),0)</f>
        <v>0</v>
      </c>
      <c r="X54" s="55" t="n">
        <f aca="false">IF(T54=1,M54,0)</f>
        <v>0</v>
      </c>
      <c r="Y54" s="55" t="n">
        <f aca="false">IF(T54=1,O54,0)</f>
        <v>0</v>
      </c>
      <c r="Z54" s="55" t="n">
        <f aca="false">IF(B54="",0,1)</f>
        <v>0</v>
      </c>
    </row>
    <row r="55" customFormat="false" ht="15" hidden="false" customHeight="false" outlineLevel="0" collapsed="false">
      <c r="B55" s="56"/>
      <c r="C55" s="57"/>
      <c r="D55" s="58"/>
      <c r="E55" s="57"/>
      <c r="F55" s="57"/>
      <c r="G55" s="57"/>
      <c r="H55" s="59"/>
      <c r="I55" s="60" t="str">
        <f aca="false">IF(B55="","",C55+IF(D55="",0,D55/60*Settings!$C$7)+E55+F55+Settings!$C$8)</f>
        <v/>
      </c>
      <c r="J55" s="60" t="str">
        <f aca="false">IF(B55="","",MAX(0,($I55+(Settings!$C$12+Settings!$C$13)-$G55*(1-(Settings!$C$10+Settings!$C$11+IF(Settings!$C$15="Yes / Sí",Settings!$C$14,0))))/(1-(Settings!$C$10+Settings!$C$11+IF(Settings!$C$15="Yes / Sí",Settings!$C$14,0)))))</f>
        <v/>
      </c>
      <c r="K55" s="60" t="str">
        <f aca="false">IF(B55="","",IF(1-(Settings!$C$10+Settings!$C$11+IF(Settings!$C$15="Yes / Sí",Settings!$C$14,0))-IF(H55="",Settings!$C$9,H55)&lt;=0,0,MAX(0,IF(Settings!$C$16="Yes / Sí",IF(ROUNDUP(($I55+(Settings!$C$12+Settings!$C$13)-$G55*(1-(Settings!$C$10+Settings!$C$11+IF(Settings!$C$15="Yes / Sí",Settings!$C$14,0))))/(1-(Settings!$C$10+Settings!$C$11+IF(Settings!$C$15="Yes / Sí",Settings!$C$14,0))-IF(H55="",Settings!$C$9,H55)),0)-0.01&gt;=($I55+(Settings!$C$12+Settings!$C$13)-$G55*(1-(Settings!$C$10+Settings!$C$11+IF(Settings!$C$15="Yes / Sí",Settings!$C$14,0))))/(1-(Settings!$C$10+Settings!$C$11+IF(Settings!$C$15="Yes / Sí",Settings!$C$14,0))-IF(H55="",Settings!$C$9,H55)),ROUNDUP(($I55+(Settings!$C$12+Settings!$C$13)-$G55*(1-(Settings!$C$10+Settings!$C$11+IF(Settings!$C$15="Yes / Sí",Settings!$C$14,0))))/(1-(Settings!$C$10+Settings!$C$11+IF(Settings!$C$15="Yes / Sí",Settings!$C$14,0))-IF(H55="",Settings!$C$9,H55)),0)-0.01,ROUNDUP(($I55+(Settings!$C$12+Settings!$C$13)-$G55*(1-(Settings!$C$10+Settings!$C$11+IF(Settings!$C$15="Yes / Sí",Settings!$C$14,0))))/(1-(Settings!$C$10+Settings!$C$11+IF(Settings!$C$15="Yes / Sí",Settings!$C$14,0))-IF(H55="",Settings!$C$9,H55)),0)+0.99),ROUNDUP(($I55+(Settings!$C$12+Settings!$C$13)-$G55*(1-(Settings!$C$10+Settings!$C$11+IF(Settings!$C$15="Yes / Sí",Settings!$C$14,0))))/(1-(Settings!$C$10+Settings!$C$11+IF(Settings!$C$15="Yes / Sí",Settings!$C$14,0))-IF(H55="",Settings!$C$9,H55)),2)))))</f>
        <v/>
      </c>
      <c r="L55" s="60" t="str">
        <f aca="false">IF(OR(B55="",K55=0),"",(K55+$G55-((K55+$G55)*(Settings!$C$10+Settings!$C$11+IF(Settings!$C$15="Yes / Sí",Settings!$C$14,0))+(Settings!$C$12+Settings!$C$13))-$I55))</f>
        <v/>
      </c>
      <c r="M55" s="57"/>
      <c r="N55" s="60" t="str">
        <f aca="false">IF(OR(B55="",M55=""),"",((M55+$G55)*(Settings!$C$10+Settings!$C$11+IF(Settings!$C$15="Yes / Sí",Settings!$C$14,0))+(Settings!$C$12+Settings!$C$13)))</f>
        <v/>
      </c>
      <c r="O55" s="60" t="str">
        <f aca="false">IF(OR(B55="",M55=""),"",(M55+$G55-((M55+$G55)*(Settings!$C$10+Settings!$C$11+IF(Settings!$C$15="Yes / Sí",Settings!$C$14,0))+(Settings!$C$12+Settings!$C$13))-$I55))</f>
        <v/>
      </c>
      <c r="P55" s="61" t="str">
        <f aca="false">IF(O55="","",IF(M55=0,0,O55/M55))</f>
        <v/>
      </c>
      <c r="Q55" s="60" t="str">
        <f aca="false">IF(OR(O55="",D55="",D55=0),"",(O55+D55/60*Settings!$C$7)/(D55/60))</f>
        <v/>
      </c>
      <c r="R55" s="62" t="str">
        <f aca="false">IF(B55="","",IF(M55="","Enter your price / Escribe tu precio",IF(O55&lt;0,"⚠ LOSING MONEY / PIERDES",IF(P55&lt;IF(H55="",Settings!$C$9,H55),"● BELOW TARGET / DEBAJO","✔ ON TARGET / EN OBJETIVO"))))</f>
        <v/>
      </c>
      <c r="T55" s="55" t="n">
        <f aca="false">IF(B55="",0,IF(M55="",0,1))</f>
        <v>0</v>
      </c>
      <c r="U55" s="55" t="n">
        <f aca="false">IF(T55=1,P55,0)</f>
        <v>0</v>
      </c>
      <c r="V55" s="55" t="n">
        <f aca="false">IF(T55=1,IF(O55&lt;0,0,IF(P55&lt;IF(H55="",Settings!$C$9,H55),1,0)),0)</f>
        <v>0</v>
      </c>
      <c r="W55" s="55" t="n">
        <f aca="false">IF(T55=1,IF(O55&lt;0,1,0),0)</f>
        <v>0</v>
      </c>
      <c r="X55" s="55" t="n">
        <f aca="false">IF(T55=1,M55,0)</f>
        <v>0</v>
      </c>
      <c r="Y55" s="55" t="n">
        <f aca="false">IF(T55=1,O55,0)</f>
        <v>0</v>
      </c>
      <c r="Z55" s="55" t="n">
        <f aca="false">IF(B55="",0,1)</f>
        <v>0</v>
      </c>
    </row>
    <row r="56" customFormat="false" ht="15" hidden="false" customHeight="false" outlineLevel="0" collapsed="false">
      <c r="B56" s="56"/>
      <c r="C56" s="57"/>
      <c r="D56" s="58"/>
      <c r="E56" s="57"/>
      <c r="F56" s="57"/>
      <c r="G56" s="57"/>
      <c r="H56" s="59"/>
      <c r="I56" s="60" t="str">
        <f aca="false">IF(B56="","",C56+IF(D56="",0,D56/60*Settings!$C$7)+E56+F56+Settings!$C$8)</f>
        <v/>
      </c>
      <c r="J56" s="60" t="str">
        <f aca="false">IF(B56="","",MAX(0,($I56+(Settings!$C$12+Settings!$C$13)-$G56*(1-(Settings!$C$10+Settings!$C$11+IF(Settings!$C$15="Yes / Sí",Settings!$C$14,0))))/(1-(Settings!$C$10+Settings!$C$11+IF(Settings!$C$15="Yes / Sí",Settings!$C$14,0)))))</f>
        <v/>
      </c>
      <c r="K56" s="60" t="str">
        <f aca="false">IF(B56="","",IF(1-(Settings!$C$10+Settings!$C$11+IF(Settings!$C$15="Yes / Sí",Settings!$C$14,0))-IF(H56="",Settings!$C$9,H56)&lt;=0,0,MAX(0,IF(Settings!$C$16="Yes / Sí",IF(ROUNDUP(($I56+(Settings!$C$12+Settings!$C$13)-$G56*(1-(Settings!$C$10+Settings!$C$11+IF(Settings!$C$15="Yes / Sí",Settings!$C$14,0))))/(1-(Settings!$C$10+Settings!$C$11+IF(Settings!$C$15="Yes / Sí",Settings!$C$14,0))-IF(H56="",Settings!$C$9,H56)),0)-0.01&gt;=($I56+(Settings!$C$12+Settings!$C$13)-$G56*(1-(Settings!$C$10+Settings!$C$11+IF(Settings!$C$15="Yes / Sí",Settings!$C$14,0))))/(1-(Settings!$C$10+Settings!$C$11+IF(Settings!$C$15="Yes / Sí",Settings!$C$14,0))-IF(H56="",Settings!$C$9,H56)),ROUNDUP(($I56+(Settings!$C$12+Settings!$C$13)-$G56*(1-(Settings!$C$10+Settings!$C$11+IF(Settings!$C$15="Yes / Sí",Settings!$C$14,0))))/(1-(Settings!$C$10+Settings!$C$11+IF(Settings!$C$15="Yes / Sí",Settings!$C$14,0))-IF(H56="",Settings!$C$9,H56)),0)-0.01,ROUNDUP(($I56+(Settings!$C$12+Settings!$C$13)-$G56*(1-(Settings!$C$10+Settings!$C$11+IF(Settings!$C$15="Yes / Sí",Settings!$C$14,0))))/(1-(Settings!$C$10+Settings!$C$11+IF(Settings!$C$15="Yes / Sí",Settings!$C$14,0))-IF(H56="",Settings!$C$9,H56)),0)+0.99),ROUNDUP(($I56+(Settings!$C$12+Settings!$C$13)-$G56*(1-(Settings!$C$10+Settings!$C$11+IF(Settings!$C$15="Yes / Sí",Settings!$C$14,0))))/(1-(Settings!$C$10+Settings!$C$11+IF(Settings!$C$15="Yes / Sí",Settings!$C$14,0))-IF(H56="",Settings!$C$9,H56)),2)))))</f>
        <v/>
      </c>
      <c r="L56" s="60" t="str">
        <f aca="false">IF(OR(B56="",K56=0),"",(K56+$G56-((K56+$G56)*(Settings!$C$10+Settings!$C$11+IF(Settings!$C$15="Yes / Sí",Settings!$C$14,0))+(Settings!$C$12+Settings!$C$13))-$I56))</f>
        <v/>
      </c>
      <c r="M56" s="57"/>
      <c r="N56" s="60" t="str">
        <f aca="false">IF(OR(B56="",M56=""),"",((M56+$G56)*(Settings!$C$10+Settings!$C$11+IF(Settings!$C$15="Yes / Sí",Settings!$C$14,0))+(Settings!$C$12+Settings!$C$13)))</f>
        <v/>
      </c>
      <c r="O56" s="60" t="str">
        <f aca="false">IF(OR(B56="",M56=""),"",(M56+$G56-((M56+$G56)*(Settings!$C$10+Settings!$C$11+IF(Settings!$C$15="Yes / Sí",Settings!$C$14,0))+(Settings!$C$12+Settings!$C$13))-$I56))</f>
        <v/>
      </c>
      <c r="P56" s="61" t="str">
        <f aca="false">IF(O56="","",IF(M56=0,0,O56/M56))</f>
        <v/>
      </c>
      <c r="Q56" s="60" t="str">
        <f aca="false">IF(OR(O56="",D56="",D56=0),"",(O56+D56/60*Settings!$C$7)/(D56/60))</f>
        <v/>
      </c>
      <c r="R56" s="62" t="str">
        <f aca="false">IF(B56="","",IF(M56="","Enter your price / Escribe tu precio",IF(O56&lt;0,"⚠ LOSING MONEY / PIERDES",IF(P56&lt;IF(H56="",Settings!$C$9,H56),"● BELOW TARGET / DEBAJO","✔ ON TARGET / EN OBJETIVO"))))</f>
        <v/>
      </c>
      <c r="T56" s="55" t="n">
        <f aca="false">IF(B56="",0,IF(M56="",0,1))</f>
        <v>0</v>
      </c>
      <c r="U56" s="55" t="n">
        <f aca="false">IF(T56=1,P56,0)</f>
        <v>0</v>
      </c>
      <c r="V56" s="55" t="n">
        <f aca="false">IF(T56=1,IF(O56&lt;0,0,IF(P56&lt;IF(H56="",Settings!$C$9,H56),1,0)),0)</f>
        <v>0</v>
      </c>
      <c r="W56" s="55" t="n">
        <f aca="false">IF(T56=1,IF(O56&lt;0,1,0),0)</f>
        <v>0</v>
      </c>
      <c r="X56" s="55" t="n">
        <f aca="false">IF(T56=1,M56,0)</f>
        <v>0</v>
      </c>
      <c r="Y56" s="55" t="n">
        <f aca="false">IF(T56=1,O56,0)</f>
        <v>0</v>
      </c>
      <c r="Z56" s="55" t="n">
        <f aca="false">IF(B56="",0,1)</f>
        <v>0</v>
      </c>
    </row>
    <row r="57" customFormat="false" ht="15" hidden="false" customHeight="false" outlineLevel="0" collapsed="false">
      <c r="B57" s="56"/>
      <c r="C57" s="57"/>
      <c r="D57" s="58"/>
      <c r="E57" s="57"/>
      <c r="F57" s="57"/>
      <c r="G57" s="57"/>
      <c r="H57" s="59"/>
      <c r="I57" s="60" t="str">
        <f aca="false">IF(B57="","",C57+IF(D57="",0,D57/60*Settings!$C$7)+E57+F57+Settings!$C$8)</f>
        <v/>
      </c>
      <c r="J57" s="60" t="str">
        <f aca="false">IF(B57="","",MAX(0,($I57+(Settings!$C$12+Settings!$C$13)-$G57*(1-(Settings!$C$10+Settings!$C$11+IF(Settings!$C$15="Yes / Sí",Settings!$C$14,0))))/(1-(Settings!$C$10+Settings!$C$11+IF(Settings!$C$15="Yes / Sí",Settings!$C$14,0)))))</f>
        <v/>
      </c>
      <c r="K57" s="60" t="str">
        <f aca="false">IF(B57="","",IF(1-(Settings!$C$10+Settings!$C$11+IF(Settings!$C$15="Yes / Sí",Settings!$C$14,0))-IF(H57="",Settings!$C$9,H57)&lt;=0,0,MAX(0,IF(Settings!$C$16="Yes / Sí",IF(ROUNDUP(($I57+(Settings!$C$12+Settings!$C$13)-$G57*(1-(Settings!$C$10+Settings!$C$11+IF(Settings!$C$15="Yes / Sí",Settings!$C$14,0))))/(1-(Settings!$C$10+Settings!$C$11+IF(Settings!$C$15="Yes / Sí",Settings!$C$14,0))-IF(H57="",Settings!$C$9,H57)),0)-0.01&gt;=($I57+(Settings!$C$12+Settings!$C$13)-$G57*(1-(Settings!$C$10+Settings!$C$11+IF(Settings!$C$15="Yes / Sí",Settings!$C$14,0))))/(1-(Settings!$C$10+Settings!$C$11+IF(Settings!$C$15="Yes / Sí",Settings!$C$14,0))-IF(H57="",Settings!$C$9,H57)),ROUNDUP(($I57+(Settings!$C$12+Settings!$C$13)-$G57*(1-(Settings!$C$10+Settings!$C$11+IF(Settings!$C$15="Yes / Sí",Settings!$C$14,0))))/(1-(Settings!$C$10+Settings!$C$11+IF(Settings!$C$15="Yes / Sí",Settings!$C$14,0))-IF(H57="",Settings!$C$9,H57)),0)-0.01,ROUNDUP(($I57+(Settings!$C$12+Settings!$C$13)-$G57*(1-(Settings!$C$10+Settings!$C$11+IF(Settings!$C$15="Yes / Sí",Settings!$C$14,0))))/(1-(Settings!$C$10+Settings!$C$11+IF(Settings!$C$15="Yes / Sí",Settings!$C$14,0))-IF(H57="",Settings!$C$9,H57)),0)+0.99),ROUNDUP(($I57+(Settings!$C$12+Settings!$C$13)-$G57*(1-(Settings!$C$10+Settings!$C$11+IF(Settings!$C$15="Yes / Sí",Settings!$C$14,0))))/(1-(Settings!$C$10+Settings!$C$11+IF(Settings!$C$15="Yes / Sí",Settings!$C$14,0))-IF(H57="",Settings!$C$9,H57)),2)))))</f>
        <v/>
      </c>
      <c r="L57" s="60" t="str">
        <f aca="false">IF(OR(B57="",K57=0),"",(K57+$G57-((K57+$G57)*(Settings!$C$10+Settings!$C$11+IF(Settings!$C$15="Yes / Sí",Settings!$C$14,0))+(Settings!$C$12+Settings!$C$13))-$I57))</f>
        <v/>
      </c>
      <c r="M57" s="57"/>
      <c r="N57" s="60" t="str">
        <f aca="false">IF(OR(B57="",M57=""),"",((M57+$G57)*(Settings!$C$10+Settings!$C$11+IF(Settings!$C$15="Yes / Sí",Settings!$C$14,0))+(Settings!$C$12+Settings!$C$13)))</f>
        <v/>
      </c>
      <c r="O57" s="60" t="str">
        <f aca="false">IF(OR(B57="",M57=""),"",(M57+$G57-((M57+$G57)*(Settings!$C$10+Settings!$C$11+IF(Settings!$C$15="Yes / Sí",Settings!$C$14,0))+(Settings!$C$12+Settings!$C$13))-$I57))</f>
        <v/>
      </c>
      <c r="P57" s="61" t="str">
        <f aca="false">IF(O57="","",IF(M57=0,0,O57/M57))</f>
        <v/>
      </c>
      <c r="Q57" s="60" t="str">
        <f aca="false">IF(OR(O57="",D57="",D57=0),"",(O57+D57/60*Settings!$C$7)/(D57/60))</f>
        <v/>
      </c>
      <c r="R57" s="62" t="str">
        <f aca="false">IF(B57="","",IF(M57="","Enter your price / Escribe tu precio",IF(O57&lt;0,"⚠ LOSING MONEY / PIERDES",IF(P57&lt;IF(H57="",Settings!$C$9,H57),"● BELOW TARGET / DEBAJO","✔ ON TARGET / EN OBJETIVO"))))</f>
        <v/>
      </c>
      <c r="T57" s="55" t="n">
        <f aca="false">IF(B57="",0,IF(M57="",0,1))</f>
        <v>0</v>
      </c>
      <c r="U57" s="55" t="n">
        <f aca="false">IF(T57=1,P57,0)</f>
        <v>0</v>
      </c>
      <c r="V57" s="55" t="n">
        <f aca="false">IF(T57=1,IF(O57&lt;0,0,IF(P57&lt;IF(H57="",Settings!$C$9,H57),1,0)),0)</f>
        <v>0</v>
      </c>
      <c r="W57" s="55" t="n">
        <f aca="false">IF(T57=1,IF(O57&lt;0,1,0),0)</f>
        <v>0</v>
      </c>
      <c r="X57" s="55" t="n">
        <f aca="false">IF(T57=1,M57,0)</f>
        <v>0</v>
      </c>
      <c r="Y57" s="55" t="n">
        <f aca="false">IF(T57=1,O57,0)</f>
        <v>0</v>
      </c>
      <c r="Z57" s="55" t="n">
        <f aca="false">IF(B57="",0,1)</f>
        <v>0</v>
      </c>
    </row>
    <row r="58" customFormat="false" ht="15" hidden="false" customHeight="false" outlineLevel="0" collapsed="false">
      <c r="B58" s="56"/>
      <c r="C58" s="57"/>
      <c r="D58" s="58"/>
      <c r="E58" s="57"/>
      <c r="F58" s="57"/>
      <c r="G58" s="57"/>
      <c r="H58" s="59"/>
      <c r="I58" s="60" t="str">
        <f aca="false">IF(B58="","",C58+IF(D58="",0,D58/60*Settings!$C$7)+E58+F58+Settings!$C$8)</f>
        <v/>
      </c>
      <c r="J58" s="60" t="str">
        <f aca="false">IF(B58="","",MAX(0,($I58+(Settings!$C$12+Settings!$C$13)-$G58*(1-(Settings!$C$10+Settings!$C$11+IF(Settings!$C$15="Yes / Sí",Settings!$C$14,0))))/(1-(Settings!$C$10+Settings!$C$11+IF(Settings!$C$15="Yes / Sí",Settings!$C$14,0)))))</f>
        <v/>
      </c>
      <c r="K58" s="60" t="str">
        <f aca="false">IF(B58="","",IF(1-(Settings!$C$10+Settings!$C$11+IF(Settings!$C$15="Yes / Sí",Settings!$C$14,0))-IF(H58="",Settings!$C$9,H58)&lt;=0,0,MAX(0,IF(Settings!$C$16="Yes / Sí",IF(ROUNDUP(($I58+(Settings!$C$12+Settings!$C$13)-$G58*(1-(Settings!$C$10+Settings!$C$11+IF(Settings!$C$15="Yes / Sí",Settings!$C$14,0))))/(1-(Settings!$C$10+Settings!$C$11+IF(Settings!$C$15="Yes / Sí",Settings!$C$14,0))-IF(H58="",Settings!$C$9,H58)),0)-0.01&gt;=($I58+(Settings!$C$12+Settings!$C$13)-$G58*(1-(Settings!$C$10+Settings!$C$11+IF(Settings!$C$15="Yes / Sí",Settings!$C$14,0))))/(1-(Settings!$C$10+Settings!$C$11+IF(Settings!$C$15="Yes / Sí",Settings!$C$14,0))-IF(H58="",Settings!$C$9,H58)),ROUNDUP(($I58+(Settings!$C$12+Settings!$C$13)-$G58*(1-(Settings!$C$10+Settings!$C$11+IF(Settings!$C$15="Yes / Sí",Settings!$C$14,0))))/(1-(Settings!$C$10+Settings!$C$11+IF(Settings!$C$15="Yes / Sí",Settings!$C$14,0))-IF(H58="",Settings!$C$9,H58)),0)-0.01,ROUNDUP(($I58+(Settings!$C$12+Settings!$C$13)-$G58*(1-(Settings!$C$10+Settings!$C$11+IF(Settings!$C$15="Yes / Sí",Settings!$C$14,0))))/(1-(Settings!$C$10+Settings!$C$11+IF(Settings!$C$15="Yes / Sí",Settings!$C$14,0))-IF(H58="",Settings!$C$9,H58)),0)+0.99),ROUNDUP(($I58+(Settings!$C$12+Settings!$C$13)-$G58*(1-(Settings!$C$10+Settings!$C$11+IF(Settings!$C$15="Yes / Sí",Settings!$C$14,0))))/(1-(Settings!$C$10+Settings!$C$11+IF(Settings!$C$15="Yes / Sí",Settings!$C$14,0))-IF(H58="",Settings!$C$9,H58)),2)))))</f>
        <v/>
      </c>
      <c r="L58" s="60" t="str">
        <f aca="false">IF(OR(B58="",K58=0),"",(K58+$G58-((K58+$G58)*(Settings!$C$10+Settings!$C$11+IF(Settings!$C$15="Yes / Sí",Settings!$C$14,0))+(Settings!$C$12+Settings!$C$13))-$I58))</f>
        <v/>
      </c>
      <c r="M58" s="57"/>
      <c r="N58" s="60" t="str">
        <f aca="false">IF(OR(B58="",M58=""),"",((M58+$G58)*(Settings!$C$10+Settings!$C$11+IF(Settings!$C$15="Yes / Sí",Settings!$C$14,0))+(Settings!$C$12+Settings!$C$13)))</f>
        <v/>
      </c>
      <c r="O58" s="60" t="str">
        <f aca="false">IF(OR(B58="",M58=""),"",(M58+$G58-((M58+$G58)*(Settings!$C$10+Settings!$C$11+IF(Settings!$C$15="Yes / Sí",Settings!$C$14,0))+(Settings!$C$12+Settings!$C$13))-$I58))</f>
        <v/>
      </c>
      <c r="P58" s="61" t="str">
        <f aca="false">IF(O58="","",IF(M58=0,0,O58/M58))</f>
        <v/>
      </c>
      <c r="Q58" s="60" t="str">
        <f aca="false">IF(OR(O58="",D58="",D58=0),"",(O58+D58/60*Settings!$C$7)/(D58/60))</f>
        <v/>
      </c>
      <c r="R58" s="62" t="str">
        <f aca="false">IF(B58="","",IF(M58="","Enter your price / Escribe tu precio",IF(O58&lt;0,"⚠ LOSING MONEY / PIERDES",IF(P58&lt;IF(H58="",Settings!$C$9,H58),"● BELOW TARGET / DEBAJO","✔ ON TARGET / EN OBJETIVO"))))</f>
        <v/>
      </c>
      <c r="T58" s="55" t="n">
        <f aca="false">IF(B58="",0,IF(M58="",0,1))</f>
        <v>0</v>
      </c>
      <c r="U58" s="55" t="n">
        <f aca="false">IF(T58=1,P58,0)</f>
        <v>0</v>
      </c>
      <c r="V58" s="55" t="n">
        <f aca="false">IF(T58=1,IF(O58&lt;0,0,IF(P58&lt;IF(H58="",Settings!$C$9,H58),1,0)),0)</f>
        <v>0</v>
      </c>
      <c r="W58" s="55" t="n">
        <f aca="false">IF(T58=1,IF(O58&lt;0,1,0),0)</f>
        <v>0</v>
      </c>
      <c r="X58" s="55" t="n">
        <f aca="false">IF(T58=1,M58,0)</f>
        <v>0</v>
      </c>
      <c r="Y58" s="55" t="n">
        <f aca="false">IF(T58=1,O58,0)</f>
        <v>0</v>
      </c>
      <c r="Z58" s="55" t="n">
        <f aca="false">IF(B58="",0,1)</f>
        <v>0</v>
      </c>
    </row>
    <row r="59" customFormat="false" ht="15" hidden="false" customHeight="false" outlineLevel="0" collapsed="false">
      <c r="B59" s="56"/>
      <c r="C59" s="57"/>
      <c r="D59" s="58"/>
      <c r="E59" s="57"/>
      <c r="F59" s="57"/>
      <c r="G59" s="57"/>
      <c r="H59" s="59"/>
      <c r="I59" s="60" t="str">
        <f aca="false">IF(B59="","",C59+IF(D59="",0,D59/60*Settings!$C$7)+E59+F59+Settings!$C$8)</f>
        <v/>
      </c>
      <c r="J59" s="60" t="str">
        <f aca="false">IF(B59="","",MAX(0,($I59+(Settings!$C$12+Settings!$C$13)-$G59*(1-(Settings!$C$10+Settings!$C$11+IF(Settings!$C$15="Yes / Sí",Settings!$C$14,0))))/(1-(Settings!$C$10+Settings!$C$11+IF(Settings!$C$15="Yes / Sí",Settings!$C$14,0)))))</f>
        <v/>
      </c>
      <c r="K59" s="60" t="str">
        <f aca="false">IF(B59="","",IF(1-(Settings!$C$10+Settings!$C$11+IF(Settings!$C$15="Yes / Sí",Settings!$C$14,0))-IF(H59="",Settings!$C$9,H59)&lt;=0,0,MAX(0,IF(Settings!$C$16="Yes / Sí",IF(ROUNDUP(($I59+(Settings!$C$12+Settings!$C$13)-$G59*(1-(Settings!$C$10+Settings!$C$11+IF(Settings!$C$15="Yes / Sí",Settings!$C$14,0))))/(1-(Settings!$C$10+Settings!$C$11+IF(Settings!$C$15="Yes / Sí",Settings!$C$14,0))-IF(H59="",Settings!$C$9,H59)),0)-0.01&gt;=($I59+(Settings!$C$12+Settings!$C$13)-$G59*(1-(Settings!$C$10+Settings!$C$11+IF(Settings!$C$15="Yes / Sí",Settings!$C$14,0))))/(1-(Settings!$C$10+Settings!$C$11+IF(Settings!$C$15="Yes / Sí",Settings!$C$14,0))-IF(H59="",Settings!$C$9,H59)),ROUNDUP(($I59+(Settings!$C$12+Settings!$C$13)-$G59*(1-(Settings!$C$10+Settings!$C$11+IF(Settings!$C$15="Yes / Sí",Settings!$C$14,0))))/(1-(Settings!$C$10+Settings!$C$11+IF(Settings!$C$15="Yes / Sí",Settings!$C$14,0))-IF(H59="",Settings!$C$9,H59)),0)-0.01,ROUNDUP(($I59+(Settings!$C$12+Settings!$C$13)-$G59*(1-(Settings!$C$10+Settings!$C$11+IF(Settings!$C$15="Yes / Sí",Settings!$C$14,0))))/(1-(Settings!$C$10+Settings!$C$11+IF(Settings!$C$15="Yes / Sí",Settings!$C$14,0))-IF(H59="",Settings!$C$9,H59)),0)+0.99),ROUNDUP(($I59+(Settings!$C$12+Settings!$C$13)-$G59*(1-(Settings!$C$10+Settings!$C$11+IF(Settings!$C$15="Yes / Sí",Settings!$C$14,0))))/(1-(Settings!$C$10+Settings!$C$11+IF(Settings!$C$15="Yes / Sí",Settings!$C$14,0))-IF(H59="",Settings!$C$9,H59)),2)))))</f>
        <v/>
      </c>
      <c r="L59" s="60" t="str">
        <f aca="false">IF(OR(B59="",K59=0),"",(K59+$G59-((K59+$G59)*(Settings!$C$10+Settings!$C$11+IF(Settings!$C$15="Yes / Sí",Settings!$C$14,0))+(Settings!$C$12+Settings!$C$13))-$I59))</f>
        <v/>
      </c>
      <c r="M59" s="57"/>
      <c r="N59" s="60" t="str">
        <f aca="false">IF(OR(B59="",M59=""),"",((M59+$G59)*(Settings!$C$10+Settings!$C$11+IF(Settings!$C$15="Yes / Sí",Settings!$C$14,0))+(Settings!$C$12+Settings!$C$13)))</f>
        <v/>
      </c>
      <c r="O59" s="60" t="str">
        <f aca="false">IF(OR(B59="",M59=""),"",(M59+$G59-((M59+$G59)*(Settings!$C$10+Settings!$C$11+IF(Settings!$C$15="Yes / Sí",Settings!$C$14,0))+(Settings!$C$12+Settings!$C$13))-$I59))</f>
        <v/>
      </c>
      <c r="P59" s="61" t="str">
        <f aca="false">IF(O59="","",IF(M59=0,0,O59/M59))</f>
        <v/>
      </c>
      <c r="Q59" s="60" t="str">
        <f aca="false">IF(OR(O59="",D59="",D59=0),"",(O59+D59/60*Settings!$C$7)/(D59/60))</f>
        <v/>
      </c>
      <c r="R59" s="62" t="str">
        <f aca="false">IF(B59="","",IF(M59="","Enter your price / Escribe tu precio",IF(O59&lt;0,"⚠ LOSING MONEY / PIERDES",IF(P59&lt;IF(H59="",Settings!$C$9,H59),"● BELOW TARGET / DEBAJO","✔ ON TARGET / EN OBJETIVO"))))</f>
        <v/>
      </c>
      <c r="T59" s="55" t="n">
        <f aca="false">IF(B59="",0,IF(M59="",0,1))</f>
        <v>0</v>
      </c>
      <c r="U59" s="55" t="n">
        <f aca="false">IF(T59=1,P59,0)</f>
        <v>0</v>
      </c>
      <c r="V59" s="55" t="n">
        <f aca="false">IF(T59=1,IF(O59&lt;0,0,IF(P59&lt;IF(H59="",Settings!$C$9,H59),1,0)),0)</f>
        <v>0</v>
      </c>
      <c r="W59" s="55" t="n">
        <f aca="false">IF(T59=1,IF(O59&lt;0,1,0),0)</f>
        <v>0</v>
      </c>
      <c r="X59" s="55" t="n">
        <f aca="false">IF(T59=1,M59,0)</f>
        <v>0</v>
      </c>
      <c r="Y59" s="55" t="n">
        <f aca="false">IF(T59=1,O59,0)</f>
        <v>0</v>
      </c>
      <c r="Z59" s="55" t="n">
        <f aca="false">IF(B59="",0,1)</f>
        <v>0</v>
      </c>
    </row>
    <row r="60" customFormat="false" ht="15" hidden="false" customHeight="false" outlineLevel="0" collapsed="false">
      <c r="B60" s="56"/>
      <c r="C60" s="57"/>
      <c r="D60" s="58"/>
      <c r="E60" s="57"/>
      <c r="F60" s="57"/>
      <c r="G60" s="57"/>
      <c r="H60" s="59"/>
      <c r="I60" s="60" t="str">
        <f aca="false">IF(B60="","",C60+IF(D60="",0,D60/60*Settings!$C$7)+E60+F60+Settings!$C$8)</f>
        <v/>
      </c>
      <c r="J60" s="60" t="str">
        <f aca="false">IF(B60="","",MAX(0,($I60+(Settings!$C$12+Settings!$C$13)-$G60*(1-(Settings!$C$10+Settings!$C$11+IF(Settings!$C$15="Yes / Sí",Settings!$C$14,0))))/(1-(Settings!$C$10+Settings!$C$11+IF(Settings!$C$15="Yes / Sí",Settings!$C$14,0)))))</f>
        <v/>
      </c>
      <c r="K60" s="60" t="str">
        <f aca="false">IF(B60="","",IF(1-(Settings!$C$10+Settings!$C$11+IF(Settings!$C$15="Yes / Sí",Settings!$C$14,0))-IF(H60="",Settings!$C$9,H60)&lt;=0,0,MAX(0,IF(Settings!$C$16="Yes / Sí",IF(ROUNDUP(($I60+(Settings!$C$12+Settings!$C$13)-$G60*(1-(Settings!$C$10+Settings!$C$11+IF(Settings!$C$15="Yes / Sí",Settings!$C$14,0))))/(1-(Settings!$C$10+Settings!$C$11+IF(Settings!$C$15="Yes / Sí",Settings!$C$14,0))-IF(H60="",Settings!$C$9,H60)),0)-0.01&gt;=($I60+(Settings!$C$12+Settings!$C$13)-$G60*(1-(Settings!$C$10+Settings!$C$11+IF(Settings!$C$15="Yes / Sí",Settings!$C$14,0))))/(1-(Settings!$C$10+Settings!$C$11+IF(Settings!$C$15="Yes / Sí",Settings!$C$14,0))-IF(H60="",Settings!$C$9,H60)),ROUNDUP(($I60+(Settings!$C$12+Settings!$C$13)-$G60*(1-(Settings!$C$10+Settings!$C$11+IF(Settings!$C$15="Yes / Sí",Settings!$C$14,0))))/(1-(Settings!$C$10+Settings!$C$11+IF(Settings!$C$15="Yes / Sí",Settings!$C$14,0))-IF(H60="",Settings!$C$9,H60)),0)-0.01,ROUNDUP(($I60+(Settings!$C$12+Settings!$C$13)-$G60*(1-(Settings!$C$10+Settings!$C$11+IF(Settings!$C$15="Yes / Sí",Settings!$C$14,0))))/(1-(Settings!$C$10+Settings!$C$11+IF(Settings!$C$15="Yes / Sí",Settings!$C$14,0))-IF(H60="",Settings!$C$9,H60)),0)+0.99),ROUNDUP(($I60+(Settings!$C$12+Settings!$C$13)-$G60*(1-(Settings!$C$10+Settings!$C$11+IF(Settings!$C$15="Yes / Sí",Settings!$C$14,0))))/(1-(Settings!$C$10+Settings!$C$11+IF(Settings!$C$15="Yes / Sí",Settings!$C$14,0))-IF(H60="",Settings!$C$9,H60)),2)))))</f>
        <v/>
      </c>
      <c r="L60" s="60" t="str">
        <f aca="false">IF(OR(B60="",K60=0),"",(K60+$G60-((K60+$G60)*(Settings!$C$10+Settings!$C$11+IF(Settings!$C$15="Yes / Sí",Settings!$C$14,0))+(Settings!$C$12+Settings!$C$13))-$I60))</f>
        <v/>
      </c>
      <c r="M60" s="57"/>
      <c r="N60" s="60" t="str">
        <f aca="false">IF(OR(B60="",M60=""),"",((M60+$G60)*(Settings!$C$10+Settings!$C$11+IF(Settings!$C$15="Yes / Sí",Settings!$C$14,0))+(Settings!$C$12+Settings!$C$13)))</f>
        <v/>
      </c>
      <c r="O60" s="60" t="str">
        <f aca="false">IF(OR(B60="",M60=""),"",(M60+$G60-((M60+$G60)*(Settings!$C$10+Settings!$C$11+IF(Settings!$C$15="Yes / Sí",Settings!$C$14,0))+(Settings!$C$12+Settings!$C$13))-$I60))</f>
        <v/>
      </c>
      <c r="P60" s="61" t="str">
        <f aca="false">IF(O60="","",IF(M60=0,0,O60/M60))</f>
        <v/>
      </c>
      <c r="Q60" s="60" t="str">
        <f aca="false">IF(OR(O60="",D60="",D60=0),"",(O60+D60/60*Settings!$C$7)/(D60/60))</f>
        <v/>
      </c>
      <c r="R60" s="62" t="str">
        <f aca="false">IF(B60="","",IF(M60="","Enter your price / Escribe tu precio",IF(O60&lt;0,"⚠ LOSING MONEY / PIERDES",IF(P60&lt;IF(H60="",Settings!$C$9,H60),"● BELOW TARGET / DEBAJO","✔ ON TARGET / EN OBJETIVO"))))</f>
        <v/>
      </c>
      <c r="T60" s="55" t="n">
        <f aca="false">IF(B60="",0,IF(M60="",0,1))</f>
        <v>0</v>
      </c>
      <c r="U60" s="55" t="n">
        <f aca="false">IF(T60=1,P60,0)</f>
        <v>0</v>
      </c>
      <c r="V60" s="55" t="n">
        <f aca="false">IF(T60=1,IF(O60&lt;0,0,IF(P60&lt;IF(H60="",Settings!$C$9,H60),1,0)),0)</f>
        <v>0</v>
      </c>
      <c r="W60" s="55" t="n">
        <f aca="false">IF(T60=1,IF(O60&lt;0,1,0),0)</f>
        <v>0</v>
      </c>
      <c r="X60" s="55" t="n">
        <f aca="false">IF(T60=1,M60,0)</f>
        <v>0</v>
      </c>
      <c r="Y60" s="55" t="n">
        <f aca="false">IF(T60=1,O60,0)</f>
        <v>0</v>
      </c>
      <c r="Z60" s="55" t="n">
        <f aca="false">IF(B60="",0,1)</f>
        <v>0</v>
      </c>
    </row>
    <row r="61" customFormat="false" ht="15" hidden="false" customHeight="false" outlineLevel="0" collapsed="false">
      <c r="B61" s="56"/>
      <c r="C61" s="57"/>
      <c r="D61" s="58"/>
      <c r="E61" s="57"/>
      <c r="F61" s="57"/>
      <c r="G61" s="57"/>
      <c r="H61" s="59"/>
      <c r="I61" s="60" t="str">
        <f aca="false">IF(B61="","",C61+IF(D61="",0,D61/60*Settings!$C$7)+E61+F61+Settings!$C$8)</f>
        <v/>
      </c>
      <c r="J61" s="60" t="str">
        <f aca="false">IF(B61="","",MAX(0,($I61+(Settings!$C$12+Settings!$C$13)-$G61*(1-(Settings!$C$10+Settings!$C$11+IF(Settings!$C$15="Yes / Sí",Settings!$C$14,0))))/(1-(Settings!$C$10+Settings!$C$11+IF(Settings!$C$15="Yes / Sí",Settings!$C$14,0)))))</f>
        <v/>
      </c>
      <c r="K61" s="60" t="str">
        <f aca="false">IF(B61="","",IF(1-(Settings!$C$10+Settings!$C$11+IF(Settings!$C$15="Yes / Sí",Settings!$C$14,0))-IF(H61="",Settings!$C$9,H61)&lt;=0,0,MAX(0,IF(Settings!$C$16="Yes / Sí",IF(ROUNDUP(($I61+(Settings!$C$12+Settings!$C$13)-$G61*(1-(Settings!$C$10+Settings!$C$11+IF(Settings!$C$15="Yes / Sí",Settings!$C$14,0))))/(1-(Settings!$C$10+Settings!$C$11+IF(Settings!$C$15="Yes / Sí",Settings!$C$14,0))-IF(H61="",Settings!$C$9,H61)),0)-0.01&gt;=($I61+(Settings!$C$12+Settings!$C$13)-$G61*(1-(Settings!$C$10+Settings!$C$11+IF(Settings!$C$15="Yes / Sí",Settings!$C$14,0))))/(1-(Settings!$C$10+Settings!$C$11+IF(Settings!$C$15="Yes / Sí",Settings!$C$14,0))-IF(H61="",Settings!$C$9,H61)),ROUNDUP(($I61+(Settings!$C$12+Settings!$C$13)-$G61*(1-(Settings!$C$10+Settings!$C$11+IF(Settings!$C$15="Yes / Sí",Settings!$C$14,0))))/(1-(Settings!$C$10+Settings!$C$11+IF(Settings!$C$15="Yes / Sí",Settings!$C$14,0))-IF(H61="",Settings!$C$9,H61)),0)-0.01,ROUNDUP(($I61+(Settings!$C$12+Settings!$C$13)-$G61*(1-(Settings!$C$10+Settings!$C$11+IF(Settings!$C$15="Yes / Sí",Settings!$C$14,0))))/(1-(Settings!$C$10+Settings!$C$11+IF(Settings!$C$15="Yes / Sí",Settings!$C$14,0))-IF(H61="",Settings!$C$9,H61)),0)+0.99),ROUNDUP(($I61+(Settings!$C$12+Settings!$C$13)-$G61*(1-(Settings!$C$10+Settings!$C$11+IF(Settings!$C$15="Yes / Sí",Settings!$C$14,0))))/(1-(Settings!$C$10+Settings!$C$11+IF(Settings!$C$15="Yes / Sí",Settings!$C$14,0))-IF(H61="",Settings!$C$9,H61)),2)))))</f>
        <v/>
      </c>
      <c r="L61" s="60" t="str">
        <f aca="false">IF(OR(B61="",K61=0),"",(K61+$G61-((K61+$G61)*(Settings!$C$10+Settings!$C$11+IF(Settings!$C$15="Yes / Sí",Settings!$C$14,0))+(Settings!$C$12+Settings!$C$13))-$I61))</f>
        <v/>
      </c>
      <c r="M61" s="57"/>
      <c r="N61" s="60" t="str">
        <f aca="false">IF(OR(B61="",M61=""),"",((M61+$G61)*(Settings!$C$10+Settings!$C$11+IF(Settings!$C$15="Yes / Sí",Settings!$C$14,0))+(Settings!$C$12+Settings!$C$13)))</f>
        <v/>
      </c>
      <c r="O61" s="60" t="str">
        <f aca="false">IF(OR(B61="",M61=""),"",(M61+$G61-((M61+$G61)*(Settings!$C$10+Settings!$C$11+IF(Settings!$C$15="Yes / Sí",Settings!$C$14,0))+(Settings!$C$12+Settings!$C$13))-$I61))</f>
        <v/>
      </c>
      <c r="P61" s="61" t="str">
        <f aca="false">IF(O61="","",IF(M61=0,0,O61/M61))</f>
        <v/>
      </c>
      <c r="Q61" s="60" t="str">
        <f aca="false">IF(OR(O61="",D61="",D61=0),"",(O61+D61/60*Settings!$C$7)/(D61/60))</f>
        <v/>
      </c>
      <c r="R61" s="62" t="str">
        <f aca="false">IF(B61="","",IF(M61="","Enter your price / Escribe tu precio",IF(O61&lt;0,"⚠ LOSING MONEY / PIERDES",IF(P61&lt;IF(H61="",Settings!$C$9,H61),"● BELOW TARGET / DEBAJO","✔ ON TARGET / EN OBJETIVO"))))</f>
        <v/>
      </c>
      <c r="T61" s="55" t="n">
        <f aca="false">IF(B61="",0,IF(M61="",0,1))</f>
        <v>0</v>
      </c>
      <c r="U61" s="55" t="n">
        <f aca="false">IF(T61=1,P61,0)</f>
        <v>0</v>
      </c>
      <c r="V61" s="55" t="n">
        <f aca="false">IF(T61=1,IF(O61&lt;0,0,IF(P61&lt;IF(H61="",Settings!$C$9,H61),1,0)),0)</f>
        <v>0</v>
      </c>
      <c r="W61" s="55" t="n">
        <f aca="false">IF(T61=1,IF(O61&lt;0,1,0),0)</f>
        <v>0</v>
      </c>
      <c r="X61" s="55" t="n">
        <f aca="false">IF(T61=1,M61,0)</f>
        <v>0</v>
      </c>
      <c r="Y61" s="55" t="n">
        <f aca="false">IF(T61=1,O61,0)</f>
        <v>0</v>
      </c>
      <c r="Z61" s="55" t="n">
        <f aca="false">IF(B61="",0,1)</f>
        <v>0</v>
      </c>
    </row>
    <row r="62" customFormat="false" ht="15" hidden="false" customHeight="false" outlineLevel="0" collapsed="false">
      <c r="B62" s="56"/>
      <c r="C62" s="57"/>
      <c r="D62" s="58"/>
      <c r="E62" s="57"/>
      <c r="F62" s="57"/>
      <c r="G62" s="57"/>
      <c r="H62" s="59"/>
      <c r="I62" s="60" t="str">
        <f aca="false">IF(B62="","",C62+IF(D62="",0,D62/60*Settings!$C$7)+E62+F62+Settings!$C$8)</f>
        <v/>
      </c>
      <c r="J62" s="60" t="str">
        <f aca="false">IF(B62="","",MAX(0,($I62+(Settings!$C$12+Settings!$C$13)-$G62*(1-(Settings!$C$10+Settings!$C$11+IF(Settings!$C$15="Yes / Sí",Settings!$C$14,0))))/(1-(Settings!$C$10+Settings!$C$11+IF(Settings!$C$15="Yes / Sí",Settings!$C$14,0)))))</f>
        <v/>
      </c>
      <c r="K62" s="60" t="str">
        <f aca="false">IF(B62="","",IF(1-(Settings!$C$10+Settings!$C$11+IF(Settings!$C$15="Yes / Sí",Settings!$C$14,0))-IF(H62="",Settings!$C$9,H62)&lt;=0,0,MAX(0,IF(Settings!$C$16="Yes / Sí",IF(ROUNDUP(($I62+(Settings!$C$12+Settings!$C$13)-$G62*(1-(Settings!$C$10+Settings!$C$11+IF(Settings!$C$15="Yes / Sí",Settings!$C$14,0))))/(1-(Settings!$C$10+Settings!$C$11+IF(Settings!$C$15="Yes / Sí",Settings!$C$14,0))-IF(H62="",Settings!$C$9,H62)),0)-0.01&gt;=($I62+(Settings!$C$12+Settings!$C$13)-$G62*(1-(Settings!$C$10+Settings!$C$11+IF(Settings!$C$15="Yes / Sí",Settings!$C$14,0))))/(1-(Settings!$C$10+Settings!$C$11+IF(Settings!$C$15="Yes / Sí",Settings!$C$14,0))-IF(H62="",Settings!$C$9,H62)),ROUNDUP(($I62+(Settings!$C$12+Settings!$C$13)-$G62*(1-(Settings!$C$10+Settings!$C$11+IF(Settings!$C$15="Yes / Sí",Settings!$C$14,0))))/(1-(Settings!$C$10+Settings!$C$11+IF(Settings!$C$15="Yes / Sí",Settings!$C$14,0))-IF(H62="",Settings!$C$9,H62)),0)-0.01,ROUNDUP(($I62+(Settings!$C$12+Settings!$C$13)-$G62*(1-(Settings!$C$10+Settings!$C$11+IF(Settings!$C$15="Yes / Sí",Settings!$C$14,0))))/(1-(Settings!$C$10+Settings!$C$11+IF(Settings!$C$15="Yes / Sí",Settings!$C$14,0))-IF(H62="",Settings!$C$9,H62)),0)+0.99),ROUNDUP(($I62+(Settings!$C$12+Settings!$C$13)-$G62*(1-(Settings!$C$10+Settings!$C$11+IF(Settings!$C$15="Yes / Sí",Settings!$C$14,0))))/(1-(Settings!$C$10+Settings!$C$11+IF(Settings!$C$15="Yes / Sí",Settings!$C$14,0))-IF(H62="",Settings!$C$9,H62)),2)))))</f>
        <v/>
      </c>
      <c r="L62" s="60" t="str">
        <f aca="false">IF(OR(B62="",K62=0),"",(K62+$G62-((K62+$G62)*(Settings!$C$10+Settings!$C$11+IF(Settings!$C$15="Yes / Sí",Settings!$C$14,0))+(Settings!$C$12+Settings!$C$13))-$I62))</f>
        <v/>
      </c>
      <c r="M62" s="57"/>
      <c r="N62" s="60" t="str">
        <f aca="false">IF(OR(B62="",M62=""),"",((M62+$G62)*(Settings!$C$10+Settings!$C$11+IF(Settings!$C$15="Yes / Sí",Settings!$C$14,0))+(Settings!$C$12+Settings!$C$13)))</f>
        <v/>
      </c>
      <c r="O62" s="60" t="str">
        <f aca="false">IF(OR(B62="",M62=""),"",(M62+$G62-((M62+$G62)*(Settings!$C$10+Settings!$C$11+IF(Settings!$C$15="Yes / Sí",Settings!$C$14,0))+(Settings!$C$12+Settings!$C$13))-$I62))</f>
        <v/>
      </c>
      <c r="P62" s="61" t="str">
        <f aca="false">IF(O62="","",IF(M62=0,0,O62/M62))</f>
        <v/>
      </c>
      <c r="Q62" s="60" t="str">
        <f aca="false">IF(OR(O62="",D62="",D62=0),"",(O62+D62/60*Settings!$C$7)/(D62/60))</f>
        <v/>
      </c>
      <c r="R62" s="62" t="str">
        <f aca="false">IF(B62="","",IF(M62="","Enter your price / Escribe tu precio",IF(O62&lt;0,"⚠ LOSING MONEY / PIERDES",IF(P62&lt;IF(H62="",Settings!$C$9,H62),"● BELOW TARGET / DEBAJO","✔ ON TARGET / EN OBJETIVO"))))</f>
        <v/>
      </c>
      <c r="T62" s="55" t="n">
        <f aca="false">IF(B62="",0,IF(M62="",0,1))</f>
        <v>0</v>
      </c>
      <c r="U62" s="55" t="n">
        <f aca="false">IF(T62=1,P62,0)</f>
        <v>0</v>
      </c>
      <c r="V62" s="55" t="n">
        <f aca="false">IF(T62=1,IF(O62&lt;0,0,IF(P62&lt;IF(H62="",Settings!$C$9,H62),1,0)),0)</f>
        <v>0</v>
      </c>
      <c r="W62" s="55" t="n">
        <f aca="false">IF(T62=1,IF(O62&lt;0,1,0),0)</f>
        <v>0</v>
      </c>
      <c r="X62" s="55" t="n">
        <f aca="false">IF(T62=1,M62,0)</f>
        <v>0</v>
      </c>
      <c r="Y62" s="55" t="n">
        <f aca="false">IF(T62=1,O62,0)</f>
        <v>0</v>
      </c>
      <c r="Z62" s="55" t="n">
        <f aca="false">IF(B62="",0,1)</f>
        <v>0</v>
      </c>
    </row>
    <row r="63" customFormat="false" ht="15" hidden="false" customHeight="false" outlineLevel="0" collapsed="false">
      <c r="B63" s="56"/>
      <c r="C63" s="57"/>
      <c r="D63" s="58"/>
      <c r="E63" s="57"/>
      <c r="F63" s="57"/>
      <c r="G63" s="57"/>
      <c r="H63" s="59"/>
      <c r="I63" s="60" t="str">
        <f aca="false">IF(B63="","",C63+IF(D63="",0,D63/60*Settings!$C$7)+E63+F63+Settings!$C$8)</f>
        <v/>
      </c>
      <c r="J63" s="60" t="str">
        <f aca="false">IF(B63="","",MAX(0,($I63+(Settings!$C$12+Settings!$C$13)-$G63*(1-(Settings!$C$10+Settings!$C$11+IF(Settings!$C$15="Yes / Sí",Settings!$C$14,0))))/(1-(Settings!$C$10+Settings!$C$11+IF(Settings!$C$15="Yes / Sí",Settings!$C$14,0)))))</f>
        <v/>
      </c>
      <c r="K63" s="60" t="str">
        <f aca="false">IF(B63="","",IF(1-(Settings!$C$10+Settings!$C$11+IF(Settings!$C$15="Yes / Sí",Settings!$C$14,0))-IF(H63="",Settings!$C$9,H63)&lt;=0,0,MAX(0,IF(Settings!$C$16="Yes / Sí",IF(ROUNDUP(($I63+(Settings!$C$12+Settings!$C$13)-$G63*(1-(Settings!$C$10+Settings!$C$11+IF(Settings!$C$15="Yes / Sí",Settings!$C$14,0))))/(1-(Settings!$C$10+Settings!$C$11+IF(Settings!$C$15="Yes / Sí",Settings!$C$14,0))-IF(H63="",Settings!$C$9,H63)),0)-0.01&gt;=($I63+(Settings!$C$12+Settings!$C$13)-$G63*(1-(Settings!$C$10+Settings!$C$11+IF(Settings!$C$15="Yes / Sí",Settings!$C$14,0))))/(1-(Settings!$C$10+Settings!$C$11+IF(Settings!$C$15="Yes / Sí",Settings!$C$14,0))-IF(H63="",Settings!$C$9,H63)),ROUNDUP(($I63+(Settings!$C$12+Settings!$C$13)-$G63*(1-(Settings!$C$10+Settings!$C$11+IF(Settings!$C$15="Yes / Sí",Settings!$C$14,0))))/(1-(Settings!$C$10+Settings!$C$11+IF(Settings!$C$15="Yes / Sí",Settings!$C$14,0))-IF(H63="",Settings!$C$9,H63)),0)-0.01,ROUNDUP(($I63+(Settings!$C$12+Settings!$C$13)-$G63*(1-(Settings!$C$10+Settings!$C$11+IF(Settings!$C$15="Yes / Sí",Settings!$C$14,0))))/(1-(Settings!$C$10+Settings!$C$11+IF(Settings!$C$15="Yes / Sí",Settings!$C$14,0))-IF(H63="",Settings!$C$9,H63)),0)+0.99),ROUNDUP(($I63+(Settings!$C$12+Settings!$C$13)-$G63*(1-(Settings!$C$10+Settings!$C$11+IF(Settings!$C$15="Yes / Sí",Settings!$C$14,0))))/(1-(Settings!$C$10+Settings!$C$11+IF(Settings!$C$15="Yes / Sí",Settings!$C$14,0))-IF(H63="",Settings!$C$9,H63)),2)))))</f>
        <v/>
      </c>
      <c r="L63" s="60" t="str">
        <f aca="false">IF(OR(B63="",K63=0),"",(K63+$G63-((K63+$G63)*(Settings!$C$10+Settings!$C$11+IF(Settings!$C$15="Yes / Sí",Settings!$C$14,0))+(Settings!$C$12+Settings!$C$13))-$I63))</f>
        <v/>
      </c>
      <c r="M63" s="57"/>
      <c r="N63" s="60" t="str">
        <f aca="false">IF(OR(B63="",M63=""),"",((M63+$G63)*(Settings!$C$10+Settings!$C$11+IF(Settings!$C$15="Yes / Sí",Settings!$C$14,0))+(Settings!$C$12+Settings!$C$13)))</f>
        <v/>
      </c>
      <c r="O63" s="60" t="str">
        <f aca="false">IF(OR(B63="",M63=""),"",(M63+$G63-((M63+$G63)*(Settings!$C$10+Settings!$C$11+IF(Settings!$C$15="Yes / Sí",Settings!$C$14,0))+(Settings!$C$12+Settings!$C$13))-$I63))</f>
        <v/>
      </c>
      <c r="P63" s="61" t="str">
        <f aca="false">IF(O63="","",IF(M63=0,0,O63/M63))</f>
        <v/>
      </c>
      <c r="Q63" s="60" t="str">
        <f aca="false">IF(OR(O63="",D63="",D63=0),"",(O63+D63/60*Settings!$C$7)/(D63/60))</f>
        <v/>
      </c>
      <c r="R63" s="62" t="str">
        <f aca="false">IF(B63="","",IF(M63="","Enter your price / Escribe tu precio",IF(O63&lt;0,"⚠ LOSING MONEY / PIERDES",IF(P63&lt;IF(H63="",Settings!$C$9,H63),"● BELOW TARGET / DEBAJO","✔ ON TARGET / EN OBJETIVO"))))</f>
        <v/>
      </c>
      <c r="T63" s="55" t="n">
        <f aca="false">IF(B63="",0,IF(M63="",0,1))</f>
        <v>0</v>
      </c>
      <c r="U63" s="55" t="n">
        <f aca="false">IF(T63=1,P63,0)</f>
        <v>0</v>
      </c>
      <c r="V63" s="55" t="n">
        <f aca="false">IF(T63=1,IF(O63&lt;0,0,IF(P63&lt;IF(H63="",Settings!$C$9,H63),1,0)),0)</f>
        <v>0</v>
      </c>
      <c r="W63" s="55" t="n">
        <f aca="false">IF(T63=1,IF(O63&lt;0,1,0),0)</f>
        <v>0</v>
      </c>
      <c r="X63" s="55" t="n">
        <f aca="false">IF(T63=1,M63,0)</f>
        <v>0</v>
      </c>
      <c r="Y63" s="55" t="n">
        <f aca="false">IF(T63=1,O63,0)</f>
        <v>0</v>
      </c>
      <c r="Z63" s="55" t="n">
        <f aca="false">IF(B63="",0,1)</f>
        <v>0</v>
      </c>
    </row>
    <row r="64" customFormat="false" ht="15" hidden="false" customHeight="false" outlineLevel="0" collapsed="false">
      <c r="B64" s="56"/>
      <c r="C64" s="57"/>
      <c r="D64" s="58"/>
      <c r="E64" s="57"/>
      <c r="F64" s="57"/>
      <c r="G64" s="57"/>
      <c r="H64" s="59"/>
      <c r="I64" s="60" t="str">
        <f aca="false">IF(B64="","",C64+IF(D64="",0,D64/60*Settings!$C$7)+E64+F64+Settings!$C$8)</f>
        <v/>
      </c>
      <c r="J64" s="60" t="str">
        <f aca="false">IF(B64="","",MAX(0,($I64+(Settings!$C$12+Settings!$C$13)-$G64*(1-(Settings!$C$10+Settings!$C$11+IF(Settings!$C$15="Yes / Sí",Settings!$C$14,0))))/(1-(Settings!$C$10+Settings!$C$11+IF(Settings!$C$15="Yes / Sí",Settings!$C$14,0)))))</f>
        <v/>
      </c>
      <c r="K64" s="60" t="str">
        <f aca="false">IF(B64="","",IF(1-(Settings!$C$10+Settings!$C$11+IF(Settings!$C$15="Yes / Sí",Settings!$C$14,0))-IF(H64="",Settings!$C$9,H64)&lt;=0,0,MAX(0,IF(Settings!$C$16="Yes / Sí",IF(ROUNDUP(($I64+(Settings!$C$12+Settings!$C$13)-$G64*(1-(Settings!$C$10+Settings!$C$11+IF(Settings!$C$15="Yes / Sí",Settings!$C$14,0))))/(1-(Settings!$C$10+Settings!$C$11+IF(Settings!$C$15="Yes / Sí",Settings!$C$14,0))-IF(H64="",Settings!$C$9,H64)),0)-0.01&gt;=($I64+(Settings!$C$12+Settings!$C$13)-$G64*(1-(Settings!$C$10+Settings!$C$11+IF(Settings!$C$15="Yes / Sí",Settings!$C$14,0))))/(1-(Settings!$C$10+Settings!$C$11+IF(Settings!$C$15="Yes / Sí",Settings!$C$14,0))-IF(H64="",Settings!$C$9,H64)),ROUNDUP(($I64+(Settings!$C$12+Settings!$C$13)-$G64*(1-(Settings!$C$10+Settings!$C$11+IF(Settings!$C$15="Yes / Sí",Settings!$C$14,0))))/(1-(Settings!$C$10+Settings!$C$11+IF(Settings!$C$15="Yes / Sí",Settings!$C$14,0))-IF(H64="",Settings!$C$9,H64)),0)-0.01,ROUNDUP(($I64+(Settings!$C$12+Settings!$C$13)-$G64*(1-(Settings!$C$10+Settings!$C$11+IF(Settings!$C$15="Yes / Sí",Settings!$C$14,0))))/(1-(Settings!$C$10+Settings!$C$11+IF(Settings!$C$15="Yes / Sí",Settings!$C$14,0))-IF(H64="",Settings!$C$9,H64)),0)+0.99),ROUNDUP(($I64+(Settings!$C$12+Settings!$C$13)-$G64*(1-(Settings!$C$10+Settings!$C$11+IF(Settings!$C$15="Yes / Sí",Settings!$C$14,0))))/(1-(Settings!$C$10+Settings!$C$11+IF(Settings!$C$15="Yes / Sí",Settings!$C$14,0))-IF(H64="",Settings!$C$9,H64)),2)))))</f>
        <v/>
      </c>
      <c r="L64" s="60" t="str">
        <f aca="false">IF(OR(B64="",K64=0),"",(K64+$G64-((K64+$G64)*(Settings!$C$10+Settings!$C$11+IF(Settings!$C$15="Yes / Sí",Settings!$C$14,0))+(Settings!$C$12+Settings!$C$13))-$I64))</f>
        <v/>
      </c>
      <c r="M64" s="57"/>
      <c r="N64" s="60" t="str">
        <f aca="false">IF(OR(B64="",M64=""),"",((M64+$G64)*(Settings!$C$10+Settings!$C$11+IF(Settings!$C$15="Yes / Sí",Settings!$C$14,0))+(Settings!$C$12+Settings!$C$13)))</f>
        <v/>
      </c>
      <c r="O64" s="60" t="str">
        <f aca="false">IF(OR(B64="",M64=""),"",(M64+$G64-((M64+$G64)*(Settings!$C$10+Settings!$C$11+IF(Settings!$C$15="Yes / Sí",Settings!$C$14,0))+(Settings!$C$12+Settings!$C$13))-$I64))</f>
        <v/>
      </c>
      <c r="P64" s="61" t="str">
        <f aca="false">IF(O64="","",IF(M64=0,0,O64/M64))</f>
        <v/>
      </c>
      <c r="Q64" s="60" t="str">
        <f aca="false">IF(OR(O64="",D64="",D64=0),"",(O64+D64/60*Settings!$C$7)/(D64/60))</f>
        <v/>
      </c>
      <c r="R64" s="62" t="str">
        <f aca="false">IF(B64="","",IF(M64="","Enter your price / Escribe tu precio",IF(O64&lt;0,"⚠ LOSING MONEY / PIERDES",IF(P64&lt;IF(H64="",Settings!$C$9,H64),"● BELOW TARGET / DEBAJO","✔ ON TARGET / EN OBJETIVO"))))</f>
        <v/>
      </c>
      <c r="T64" s="55" t="n">
        <f aca="false">IF(B64="",0,IF(M64="",0,1))</f>
        <v>0</v>
      </c>
      <c r="U64" s="55" t="n">
        <f aca="false">IF(T64=1,P64,0)</f>
        <v>0</v>
      </c>
      <c r="V64" s="55" t="n">
        <f aca="false">IF(T64=1,IF(O64&lt;0,0,IF(P64&lt;IF(H64="",Settings!$C$9,H64),1,0)),0)</f>
        <v>0</v>
      </c>
      <c r="W64" s="55" t="n">
        <f aca="false">IF(T64=1,IF(O64&lt;0,1,0),0)</f>
        <v>0</v>
      </c>
      <c r="X64" s="55" t="n">
        <f aca="false">IF(T64=1,M64,0)</f>
        <v>0</v>
      </c>
      <c r="Y64" s="55" t="n">
        <f aca="false">IF(T64=1,O64,0)</f>
        <v>0</v>
      </c>
      <c r="Z64" s="55" t="n">
        <f aca="false">IF(B64="",0,1)</f>
        <v>0</v>
      </c>
    </row>
    <row r="65" customFormat="false" ht="15" hidden="false" customHeight="false" outlineLevel="0" collapsed="false">
      <c r="B65" s="56"/>
      <c r="C65" s="57"/>
      <c r="D65" s="58"/>
      <c r="E65" s="57"/>
      <c r="F65" s="57"/>
      <c r="G65" s="57"/>
      <c r="H65" s="59"/>
      <c r="I65" s="60" t="str">
        <f aca="false">IF(B65="","",C65+IF(D65="",0,D65/60*Settings!$C$7)+E65+F65+Settings!$C$8)</f>
        <v/>
      </c>
      <c r="J65" s="60" t="str">
        <f aca="false">IF(B65="","",MAX(0,($I65+(Settings!$C$12+Settings!$C$13)-$G65*(1-(Settings!$C$10+Settings!$C$11+IF(Settings!$C$15="Yes / Sí",Settings!$C$14,0))))/(1-(Settings!$C$10+Settings!$C$11+IF(Settings!$C$15="Yes / Sí",Settings!$C$14,0)))))</f>
        <v/>
      </c>
      <c r="K65" s="60" t="str">
        <f aca="false">IF(B65="","",IF(1-(Settings!$C$10+Settings!$C$11+IF(Settings!$C$15="Yes / Sí",Settings!$C$14,0))-IF(H65="",Settings!$C$9,H65)&lt;=0,0,MAX(0,IF(Settings!$C$16="Yes / Sí",IF(ROUNDUP(($I65+(Settings!$C$12+Settings!$C$13)-$G65*(1-(Settings!$C$10+Settings!$C$11+IF(Settings!$C$15="Yes / Sí",Settings!$C$14,0))))/(1-(Settings!$C$10+Settings!$C$11+IF(Settings!$C$15="Yes / Sí",Settings!$C$14,0))-IF(H65="",Settings!$C$9,H65)),0)-0.01&gt;=($I65+(Settings!$C$12+Settings!$C$13)-$G65*(1-(Settings!$C$10+Settings!$C$11+IF(Settings!$C$15="Yes / Sí",Settings!$C$14,0))))/(1-(Settings!$C$10+Settings!$C$11+IF(Settings!$C$15="Yes / Sí",Settings!$C$14,0))-IF(H65="",Settings!$C$9,H65)),ROUNDUP(($I65+(Settings!$C$12+Settings!$C$13)-$G65*(1-(Settings!$C$10+Settings!$C$11+IF(Settings!$C$15="Yes / Sí",Settings!$C$14,0))))/(1-(Settings!$C$10+Settings!$C$11+IF(Settings!$C$15="Yes / Sí",Settings!$C$14,0))-IF(H65="",Settings!$C$9,H65)),0)-0.01,ROUNDUP(($I65+(Settings!$C$12+Settings!$C$13)-$G65*(1-(Settings!$C$10+Settings!$C$11+IF(Settings!$C$15="Yes / Sí",Settings!$C$14,0))))/(1-(Settings!$C$10+Settings!$C$11+IF(Settings!$C$15="Yes / Sí",Settings!$C$14,0))-IF(H65="",Settings!$C$9,H65)),0)+0.99),ROUNDUP(($I65+(Settings!$C$12+Settings!$C$13)-$G65*(1-(Settings!$C$10+Settings!$C$11+IF(Settings!$C$15="Yes / Sí",Settings!$C$14,0))))/(1-(Settings!$C$10+Settings!$C$11+IF(Settings!$C$15="Yes / Sí",Settings!$C$14,0))-IF(H65="",Settings!$C$9,H65)),2)))))</f>
        <v/>
      </c>
      <c r="L65" s="60" t="str">
        <f aca="false">IF(OR(B65="",K65=0),"",(K65+$G65-((K65+$G65)*(Settings!$C$10+Settings!$C$11+IF(Settings!$C$15="Yes / Sí",Settings!$C$14,0))+(Settings!$C$12+Settings!$C$13))-$I65))</f>
        <v/>
      </c>
      <c r="M65" s="57"/>
      <c r="N65" s="60" t="str">
        <f aca="false">IF(OR(B65="",M65=""),"",((M65+$G65)*(Settings!$C$10+Settings!$C$11+IF(Settings!$C$15="Yes / Sí",Settings!$C$14,0))+(Settings!$C$12+Settings!$C$13)))</f>
        <v/>
      </c>
      <c r="O65" s="60" t="str">
        <f aca="false">IF(OR(B65="",M65=""),"",(M65+$G65-((M65+$G65)*(Settings!$C$10+Settings!$C$11+IF(Settings!$C$15="Yes / Sí",Settings!$C$14,0))+(Settings!$C$12+Settings!$C$13))-$I65))</f>
        <v/>
      </c>
      <c r="P65" s="61" t="str">
        <f aca="false">IF(O65="","",IF(M65=0,0,O65/M65))</f>
        <v/>
      </c>
      <c r="Q65" s="60" t="str">
        <f aca="false">IF(OR(O65="",D65="",D65=0),"",(O65+D65/60*Settings!$C$7)/(D65/60))</f>
        <v/>
      </c>
      <c r="R65" s="62" t="str">
        <f aca="false">IF(B65="","",IF(M65="","Enter your price / Escribe tu precio",IF(O65&lt;0,"⚠ LOSING MONEY / PIERDES",IF(P65&lt;IF(H65="",Settings!$C$9,H65),"● BELOW TARGET / DEBAJO","✔ ON TARGET / EN OBJETIVO"))))</f>
        <v/>
      </c>
      <c r="T65" s="55" t="n">
        <f aca="false">IF(B65="",0,IF(M65="",0,1))</f>
        <v>0</v>
      </c>
      <c r="U65" s="55" t="n">
        <f aca="false">IF(T65=1,P65,0)</f>
        <v>0</v>
      </c>
      <c r="V65" s="55" t="n">
        <f aca="false">IF(T65=1,IF(O65&lt;0,0,IF(P65&lt;IF(H65="",Settings!$C$9,H65),1,0)),0)</f>
        <v>0</v>
      </c>
      <c r="W65" s="55" t="n">
        <f aca="false">IF(T65=1,IF(O65&lt;0,1,0),0)</f>
        <v>0</v>
      </c>
      <c r="X65" s="55" t="n">
        <f aca="false">IF(T65=1,M65,0)</f>
        <v>0</v>
      </c>
      <c r="Y65" s="55" t="n">
        <f aca="false">IF(T65=1,O65,0)</f>
        <v>0</v>
      </c>
      <c r="Z65" s="55" t="n">
        <f aca="false">IF(B65="",0,1)</f>
        <v>0</v>
      </c>
    </row>
    <row r="66" customFormat="false" ht="15" hidden="false" customHeight="false" outlineLevel="0" collapsed="false">
      <c r="B66" s="56"/>
      <c r="C66" s="57"/>
      <c r="D66" s="58"/>
      <c r="E66" s="57"/>
      <c r="F66" s="57"/>
      <c r="G66" s="57"/>
      <c r="H66" s="59"/>
      <c r="I66" s="60" t="str">
        <f aca="false">IF(B66="","",C66+IF(D66="",0,D66/60*Settings!$C$7)+E66+F66+Settings!$C$8)</f>
        <v/>
      </c>
      <c r="J66" s="60" t="str">
        <f aca="false">IF(B66="","",MAX(0,($I66+(Settings!$C$12+Settings!$C$13)-$G66*(1-(Settings!$C$10+Settings!$C$11+IF(Settings!$C$15="Yes / Sí",Settings!$C$14,0))))/(1-(Settings!$C$10+Settings!$C$11+IF(Settings!$C$15="Yes / Sí",Settings!$C$14,0)))))</f>
        <v/>
      </c>
      <c r="K66" s="60" t="str">
        <f aca="false">IF(B66="","",IF(1-(Settings!$C$10+Settings!$C$11+IF(Settings!$C$15="Yes / Sí",Settings!$C$14,0))-IF(H66="",Settings!$C$9,H66)&lt;=0,0,MAX(0,IF(Settings!$C$16="Yes / Sí",IF(ROUNDUP(($I66+(Settings!$C$12+Settings!$C$13)-$G66*(1-(Settings!$C$10+Settings!$C$11+IF(Settings!$C$15="Yes / Sí",Settings!$C$14,0))))/(1-(Settings!$C$10+Settings!$C$11+IF(Settings!$C$15="Yes / Sí",Settings!$C$14,0))-IF(H66="",Settings!$C$9,H66)),0)-0.01&gt;=($I66+(Settings!$C$12+Settings!$C$13)-$G66*(1-(Settings!$C$10+Settings!$C$11+IF(Settings!$C$15="Yes / Sí",Settings!$C$14,0))))/(1-(Settings!$C$10+Settings!$C$11+IF(Settings!$C$15="Yes / Sí",Settings!$C$14,0))-IF(H66="",Settings!$C$9,H66)),ROUNDUP(($I66+(Settings!$C$12+Settings!$C$13)-$G66*(1-(Settings!$C$10+Settings!$C$11+IF(Settings!$C$15="Yes / Sí",Settings!$C$14,0))))/(1-(Settings!$C$10+Settings!$C$11+IF(Settings!$C$15="Yes / Sí",Settings!$C$14,0))-IF(H66="",Settings!$C$9,H66)),0)-0.01,ROUNDUP(($I66+(Settings!$C$12+Settings!$C$13)-$G66*(1-(Settings!$C$10+Settings!$C$11+IF(Settings!$C$15="Yes / Sí",Settings!$C$14,0))))/(1-(Settings!$C$10+Settings!$C$11+IF(Settings!$C$15="Yes / Sí",Settings!$C$14,0))-IF(H66="",Settings!$C$9,H66)),0)+0.99),ROUNDUP(($I66+(Settings!$C$12+Settings!$C$13)-$G66*(1-(Settings!$C$10+Settings!$C$11+IF(Settings!$C$15="Yes / Sí",Settings!$C$14,0))))/(1-(Settings!$C$10+Settings!$C$11+IF(Settings!$C$15="Yes / Sí",Settings!$C$14,0))-IF(H66="",Settings!$C$9,H66)),2)))))</f>
        <v/>
      </c>
      <c r="L66" s="60" t="str">
        <f aca="false">IF(OR(B66="",K66=0),"",(K66+$G66-((K66+$G66)*(Settings!$C$10+Settings!$C$11+IF(Settings!$C$15="Yes / Sí",Settings!$C$14,0))+(Settings!$C$12+Settings!$C$13))-$I66))</f>
        <v/>
      </c>
      <c r="M66" s="57"/>
      <c r="N66" s="60" t="str">
        <f aca="false">IF(OR(B66="",M66=""),"",((M66+$G66)*(Settings!$C$10+Settings!$C$11+IF(Settings!$C$15="Yes / Sí",Settings!$C$14,0))+(Settings!$C$12+Settings!$C$13)))</f>
        <v/>
      </c>
      <c r="O66" s="60" t="str">
        <f aca="false">IF(OR(B66="",M66=""),"",(M66+$G66-((M66+$G66)*(Settings!$C$10+Settings!$C$11+IF(Settings!$C$15="Yes / Sí",Settings!$C$14,0))+(Settings!$C$12+Settings!$C$13))-$I66))</f>
        <v/>
      </c>
      <c r="P66" s="61" t="str">
        <f aca="false">IF(O66="","",IF(M66=0,0,O66/M66))</f>
        <v/>
      </c>
      <c r="Q66" s="60" t="str">
        <f aca="false">IF(OR(O66="",D66="",D66=0),"",(O66+D66/60*Settings!$C$7)/(D66/60))</f>
        <v/>
      </c>
      <c r="R66" s="62" t="str">
        <f aca="false">IF(B66="","",IF(M66="","Enter your price / Escribe tu precio",IF(O66&lt;0,"⚠ LOSING MONEY / PIERDES",IF(P66&lt;IF(H66="",Settings!$C$9,H66),"● BELOW TARGET / DEBAJO","✔ ON TARGET / EN OBJETIVO"))))</f>
        <v/>
      </c>
      <c r="T66" s="55" t="n">
        <f aca="false">IF(B66="",0,IF(M66="",0,1))</f>
        <v>0</v>
      </c>
      <c r="U66" s="55" t="n">
        <f aca="false">IF(T66=1,P66,0)</f>
        <v>0</v>
      </c>
      <c r="V66" s="55" t="n">
        <f aca="false">IF(T66=1,IF(O66&lt;0,0,IF(P66&lt;IF(H66="",Settings!$C$9,H66),1,0)),0)</f>
        <v>0</v>
      </c>
      <c r="W66" s="55" t="n">
        <f aca="false">IF(T66=1,IF(O66&lt;0,1,0),0)</f>
        <v>0</v>
      </c>
      <c r="X66" s="55" t="n">
        <f aca="false">IF(T66=1,M66,0)</f>
        <v>0</v>
      </c>
      <c r="Y66" s="55" t="n">
        <f aca="false">IF(T66=1,O66,0)</f>
        <v>0</v>
      </c>
      <c r="Z66" s="55" t="n">
        <f aca="false">IF(B66="",0,1)</f>
        <v>0</v>
      </c>
    </row>
    <row r="67" customFormat="false" ht="15" hidden="false" customHeight="false" outlineLevel="0" collapsed="false">
      <c r="B67" s="56"/>
      <c r="C67" s="57"/>
      <c r="D67" s="58"/>
      <c r="E67" s="57"/>
      <c r="F67" s="57"/>
      <c r="G67" s="57"/>
      <c r="H67" s="59"/>
      <c r="I67" s="60" t="str">
        <f aca="false">IF(B67="","",C67+IF(D67="",0,D67/60*Settings!$C$7)+E67+F67+Settings!$C$8)</f>
        <v/>
      </c>
      <c r="J67" s="60" t="str">
        <f aca="false">IF(B67="","",MAX(0,($I67+(Settings!$C$12+Settings!$C$13)-$G67*(1-(Settings!$C$10+Settings!$C$11+IF(Settings!$C$15="Yes / Sí",Settings!$C$14,0))))/(1-(Settings!$C$10+Settings!$C$11+IF(Settings!$C$15="Yes / Sí",Settings!$C$14,0)))))</f>
        <v/>
      </c>
      <c r="K67" s="60" t="str">
        <f aca="false">IF(B67="","",IF(1-(Settings!$C$10+Settings!$C$11+IF(Settings!$C$15="Yes / Sí",Settings!$C$14,0))-IF(H67="",Settings!$C$9,H67)&lt;=0,0,MAX(0,IF(Settings!$C$16="Yes / Sí",IF(ROUNDUP(($I67+(Settings!$C$12+Settings!$C$13)-$G67*(1-(Settings!$C$10+Settings!$C$11+IF(Settings!$C$15="Yes / Sí",Settings!$C$14,0))))/(1-(Settings!$C$10+Settings!$C$11+IF(Settings!$C$15="Yes / Sí",Settings!$C$14,0))-IF(H67="",Settings!$C$9,H67)),0)-0.01&gt;=($I67+(Settings!$C$12+Settings!$C$13)-$G67*(1-(Settings!$C$10+Settings!$C$11+IF(Settings!$C$15="Yes / Sí",Settings!$C$14,0))))/(1-(Settings!$C$10+Settings!$C$11+IF(Settings!$C$15="Yes / Sí",Settings!$C$14,0))-IF(H67="",Settings!$C$9,H67)),ROUNDUP(($I67+(Settings!$C$12+Settings!$C$13)-$G67*(1-(Settings!$C$10+Settings!$C$11+IF(Settings!$C$15="Yes / Sí",Settings!$C$14,0))))/(1-(Settings!$C$10+Settings!$C$11+IF(Settings!$C$15="Yes / Sí",Settings!$C$14,0))-IF(H67="",Settings!$C$9,H67)),0)-0.01,ROUNDUP(($I67+(Settings!$C$12+Settings!$C$13)-$G67*(1-(Settings!$C$10+Settings!$C$11+IF(Settings!$C$15="Yes / Sí",Settings!$C$14,0))))/(1-(Settings!$C$10+Settings!$C$11+IF(Settings!$C$15="Yes / Sí",Settings!$C$14,0))-IF(H67="",Settings!$C$9,H67)),0)+0.99),ROUNDUP(($I67+(Settings!$C$12+Settings!$C$13)-$G67*(1-(Settings!$C$10+Settings!$C$11+IF(Settings!$C$15="Yes / Sí",Settings!$C$14,0))))/(1-(Settings!$C$10+Settings!$C$11+IF(Settings!$C$15="Yes / Sí",Settings!$C$14,0))-IF(H67="",Settings!$C$9,H67)),2)))))</f>
        <v/>
      </c>
      <c r="L67" s="60" t="str">
        <f aca="false">IF(OR(B67="",K67=0),"",(K67+$G67-((K67+$G67)*(Settings!$C$10+Settings!$C$11+IF(Settings!$C$15="Yes / Sí",Settings!$C$14,0))+(Settings!$C$12+Settings!$C$13))-$I67))</f>
        <v/>
      </c>
      <c r="M67" s="57"/>
      <c r="N67" s="60" t="str">
        <f aca="false">IF(OR(B67="",M67=""),"",((M67+$G67)*(Settings!$C$10+Settings!$C$11+IF(Settings!$C$15="Yes / Sí",Settings!$C$14,0))+(Settings!$C$12+Settings!$C$13)))</f>
        <v/>
      </c>
      <c r="O67" s="60" t="str">
        <f aca="false">IF(OR(B67="",M67=""),"",(M67+$G67-((M67+$G67)*(Settings!$C$10+Settings!$C$11+IF(Settings!$C$15="Yes / Sí",Settings!$C$14,0))+(Settings!$C$12+Settings!$C$13))-$I67))</f>
        <v/>
      </c>
      <c r="P67" s="61" t="str">
        <f aca="false">IF(O67="","",IF(M67=0,0,O67/M67))</f>
        <v/>
      </c>
      <c r="Q67" s="60" t="str">
        <f aca="false">IF(OR(O67="",D67="",D67=0),"",(O67+D67/60*Settings!$C$7)/(D67/60))</f>
        <v/>
      </c>
      <c r="R67" s="62" t="str">
        <f aca="false">IF(B67="","",IF(M67="","Enter your price / Escribe tu precio",IF(O67&lt;0,"⚠ LOSING MONEY / PIERDES",IF(P67&lt;IF(H67="",Settings!$C$9,H67),"● BELOW TARGET / DEBAJO","✔ ON TARGET / EN OBJETIVO"))))</f>
        <v/>
      </c>
      <c r="T67" s="55" t="n">
        <f aca="false">IF(B67="",0,IF(M67="",0,1))</f>
        <v>0</v>
      </c>
      <c r="U67" s="55" t="n">
        <f aca="false">IF(T67=1,P67,0)</f>
        <v>0</v>
      </c>
      <c r="V67" s="55" t="n">
        <f aca="false">IF(T67=1,IF(O67&lt;0,0,IF(P67&lt;IF(H67="",Settings!$C$9,H67),1,0)),0)</f>
        <v>0</v>
      </c>
      <c r="W67" s="55" t="n">
        <f aca="false">IF(T67=1,IF(O67&lt;0,1,0),0)</f>
        <v>0</v>
      </c>
      <c r="X67" s="55" t="n">
        <f aca="false">IF(T67=1,M67,0)</f>
        <v>0</v>
      </c>
      <c r="Y67" s="55" t="n">
        <f aca="false">IF(T67=1,O67,0)</f>
        <v>0</v>
      </c>
      <c r="Z67" s="55" t="n">
        <f aca="false">IF(B67="",0,1)</f>
        <v>0</v>
      </c>
    </row>
    <row r="68" customFormat="false" ht="15" hidden="false" customHeight="false" outlineLevel="0" collapsed="false">
      <c r="B68" s="56"/>
      <c r="C68" s="57"/>
      <c r="D68" s="58"/>
      <c r="E68" s="57"/>
      <c r="F68" s="57"/>
      <c r="G68" s="57"/>
      <c r="H68" s="59"/>
      <c r="I68" s="60" t="str">
        <f aca="false">IF(B68="","",C68+IF(D68="",0,D68/60*Settings!$C$7)+E68+F68+Settings!$C$8)</f>
        <v/>
      </c>
      <c r="J68" s="60" t="str">
        <f aca="false">IF(B68="","",MAX(0,($I68+(Settings!$C$12+Settings!$C$13)-$G68*(1-(Settings!$C$10+Settings!$C$11+IF(Settings!$C$15="Yes / Sí",Settings!$C$14,0))))/(1-(Settings!$C$10+Settings!$C$11+IF(Settings!$C$15="Yes / Sí",Settings!$C$14,0)))))</f>
        <v/>
      </c>
      <c r="K68" s="60" t="str">
        <f aca="false">IF(B68="","",IF(1-(Settings!$C$10+Settings!$C$11+IF(Settings!$C$15="Yes / Sí",Settings!$C$14,0))-IF(H68="",Settings!$C$9,H68)&lt;=0,0,MAX(0,IF(Settings!$C$16="Yes / Sí",IF(ROUNDUP(($I68+(Settings!$C$12+Settings!$C$13)-$G68*(1-(Settings!$C$10+Settings!$C$11+IF(Settings!$C$15="Yes / Sí",Settings!$C$14,0))))/(1-(Settings!$C$10+Settings!$C$11+IF(Settings!$C$15="Yes / Sí",Settings!$C$14,0))-IF(H68="",Settings!$C$9,H68)),0)-0.01&gt;=($I68+(Settings!$C$12+Settings!$C$13)-$G68*(1-(Settings!$C$10+Settings!$C$11+IF(Settings!$C$15="Yes / Sí",Settings!$C$14,0))))/(1-(Settings!$C$10+Settings!$C$11+IF(Settings!$C$15="Yes / Sí",Settings!$C$14,0))-IF(H68="",Settings!$C$9,H68)),ROUNDUP(($I68+(Settings!$C$12+Settings!$C$13)-$G68*(1-(Settings!$C$10+Settings!$C$11+IF(Settings!$C$15="Yes / Sí",Settings!$C$14,0))))/(1-(Settings!$C$10+Settings!$C$11+IF(Settings!$C$15="Yes / Sí",Settings!$C$14,0))-IF(H68="",Settings!$C$9,H68)),0)-0.01,ROUNDUP(($I68+(Settings!$C$12+Settings!$C$13)-$G68*(1-(Settings!$C$10+Settings!$C$11+IF(Settings!$C$15="Yes / Sí",Settings!$C$14,0))))/(1-(Settings!$C$10+Settings!$C$11+IF(Settings!$C$15="Yes / Sí",Settings!$C$14,0))-IF(H68="",Settings!$C$9,H68)),0)+0.99),ROUNDUP(($I68+(Settings!$C$12+Settings!$C$13)-$G68*(1-(Settings!$C$10+Settings!$C$11+IF(Settings!$C$15="Yes / Sí",Settings!$C$14,0))))/(1-(Settings!$C$10+Settings!$C$11+IF(Settings!$C$15="Yes / Sí",Settings!$C$14,0))-IF(H68="",Settings!$C$9,H68)),2)))))</f>
        <v/>
      </c>
      <c r="L68" s="60" t="str">
        <f aca="false">IF(OR(B68="",K68=0),"",(K68+$G68-((K68+$G68)*(Settings!$C$10+Settings!$C$11+IF(Settings!$C$15="Yes / Sí",Settings!$C$14,0))+(Settings!$C$12+Settings!$C$13))-$I68))</f>
        <v/>
      </c>
      <c r="M68" s="57"/>
      <c r="N68" s="60" t="str">
        <f aca="false">IF(OR(B68="",M68=""),"",((M68+$G68)*(Settings!$C$10+Settings!$C$11+IF(Settings!$C$15="Yes / Sí",Settings!$C$14,0))+(Settings!$C$12+Settings!$C$13)))</f>
        <v/>
      </c>
      <c r="O68" s="60" t="str">
        <f aca="false">IF(OR(B68="",M68=""),"",(M68+$G68-((M68+$G68)*(Settings!$C$10+Settings!$C$11+IF(Settings!$C$15="Yes / Sí",Settings!$C$14,0))+(Settings!$C$12+Settings!$C$13))-$I68))</f>
        <v/>
      </c>
      <c r="P68" s="61" t="str">
        <f aca="false">IF(O68="","",IF(M68=0,0,O68/M68))</f>
        <v/>
      </c>
      <c r="Q68" s="60" t="str">
        <f aca="false">IF(OR(O68="",D68="",D68=0),"",(O68+D68/60*Settings!$C$7)/(D68/60))</f>
        <v/>
      </c>
      <c r="R68" s="62" t="str">
        <f aca="false">IF(B68="","",IF(M68="","Enter your price / Escribe tu precio",IF(O68&lt;0,"⚠ LOSING MONEY / PIERDES",IF(P68&lt;IF(H68="",Settings!$C$9,H68),"● BELOW TARGET / DEBAJO","✔ ON TARGET / EN OBJETIVO"))))</f>
        <v/>
      </c>
      <c r="T68" s="55" t="n">
        <f aca="false">IF(B68="",0,IF(M68="",0,1))</f>
        <v>0</v>
      </c>
      <c r="U68" s="55" t="n">
        <f aca="false">IF(T68=1,P68,0)</f>
        <v>0</v>
      </c>
      <c r="V68" s="55" t="n">
        <f aca="false">IF(T68=1,IF(O68&lt;0,0,IF(P68&lt;IF(H68="",Settings!$C$9,H68),1,0)),0)</f>
        <v>0</v>
      </c>
      <c r="W68" s="55" t="n">
        <f aca="false">IF(T68=1,IF(O68&lt;0,1,0),0)</f>
        <v>0</v>
      </c>
      <c r="X68" s="55" t="n">
        <f aca="false">IF(T68=1,M68,0)</f>
        <v>0</v>
      </c>
      <c r="Y68" s="55" t="n">
        <f aca="false">IF(T68=1,O68,0)</f>
        <v>0</v>
      </c>
      <c r="Z68" s="55" t="n">
        <f aca="false">IF(B68="",0,1)</f>
        <v>0</v>
      </c>
    </row>
    <row r="69" customFormat="false" ht="15" hidden="false" customHeight="false" outlineLevel="0" collapsed="false">
      <c r="B69" s="56"/>
      <c r="C69" s="57"/>
      <c r="D69" s="58"/>
      <c r="E69" s="57"/>
      <c r="F69" s="57"/>
      <c r="G69" s="57"/>
      <c r="H69" s="59"/>
      <c r="I69" s="60" t="str">
        <f aca="false">IF(B69="","",C69+IF(D69="",0,D69/60*Settings!$C$7)+E69+F69+Settings!$C$8)</f>
        <v/>
      </c>
      <c r="J69" s="60" t="str">
        <f aca="false">IF(B69="","",MAX(0,($I69+(Settings!$C$12+Settings!$C$13)-$G69*(1-(Settings!$C$10+Settings!$C$11+IF(Settings!$C$15="Yes / Sí",Settings!$C$14,0))))/(1-(Settings!$C$10+Settings!$C$11+IF(Settings!$C$15="Yes / Sí",Settings!$C$14,0)))))</f>
        <v/>
      </c>
      <c r="K69" s="60" t="str">
        <f aca="false">IF(B69="","",IF(1-(Settings!$C$10+Settings!$C$11+IF(Settings!$C$15="Yes / Sí",Settings!$C$14,0))-IF(H69="",Settings!$C$9,H69)&lt;=0,0,MAX(0,IF(Settings!$C$16="Yes / Sí",IF(ROUNDUP(($I69+(Settings!$C$12+Settings!$C$13)-$G69*(1-(Settings!$C$10+Settings!$C$11+IF(Settings!$C$15="Yes / Sí",Settings!$C$14,0))))/(1-(Settings!$C$10+Settings!$C$11+IF(Settings!$C$15="Yes / Sí",Settings!$C$14,0))-IF(H69="",Settings!$C$9,H69)),0)-0.01&gt;=($I69+(Settings!$C$12+Settings!$C$13)-$G69*(1-(Settings!$C$10+Settings!$C$11+IF(Settings!$C$15="Yes / Sí",Settings!$C$14,0))))/(1-(Settings!$C$10+Settings!$C$11+IF(Settings!$C$15="Yes / Sí",Settings!$C$14,0))-IF(H69="",Settings!$C$9,H69)),ROUNDUP(($I69+(Settings!$C$12+Settings!$C$13)-$G69*(1-(Settings!$C$10+Settings!$C$11+IF(Settings!$C$15="Yes / Sí",Settings!$C$14,0))))/(1-(Settings!$C$10+Settings!$C$11+IF(Settings!$C$15="Yes / Sí",Settings!$C$14,0))-IF(H69="",Settings!$C$9,H69)),0)-0.01,ROUNDUP(($I69+(Settings!$C$12+Settings!$C$13)-$G69*(1-(Settings!$C$10+Settings!$C$11+IF(Settings!$C$15="Yes / Sí",Settings!$C$14,0))))/(1-(Settings!$C$10+Settings!$C$11+IF(Settings!$C$15="Yes / Sí",Settings!$C$14,0))-IF(H69="",Settings!$C$9,H69)),0)+0.99),ROUNDUP(($I69+(Settings!$C$12+Settings!$C$13)-$G69*(1-(Settings!$C$10+Settings!$C$11+IF(Settings!$C$15="Yes / Sí",Settings!$C$14,0))))/(1-(Settings!$C$10+Settings!$C$11+IF(Settings!$C$15="Yes / Sí",Settings!$C$14,0))-IF(H69="",Settings!$C$9,H69)),2)))))</f>
        <v/>
      </c>
      <c r="L69" s="60" t="str">
        <f aca="false">IF(OR(B69="",K69=0),"",(K69+$G69-((K69+$G69)*(Settings!$C$10+Settings!$C$11+IF(Settings!$C$15="Yes / Sí",Settings!$C$14,0))+(Settings!$C$12+Settings!$C$13))-$I69))</f>
        <v/>
      </c>
      <c r="M69" s="57"/>
      <c r="N69" s="60" t="str">
        <f aca="false">IF(OR(B69="",M69=""),"",((M69+$G69)*(Settings!$C$10+Settings!$C$11+IF(Settings!$C$15="Yes / Sí",Settings!$C$14,0))+(Settings!$C$12+Settings!$C$13)))</f>
        <v/>
      </c>
      <c r="O69" s="60" t="str">
        <f aca="false">IF(OR(B69="",M69=""),"",(M69+$G69-((M69+$G69)*(Settings!$C$10+Settings!$C$11+IF(Settings!$C$15="Yes / Sí",Settings!$C$14,0))+(Settings!$C$12+Settings!$C$13))-$I69))</f>
        <v/>
      </c>
      <c r="P69" s="61" t="str">
        <f aca="false">IF(O69="","",IF(M69=0,0,O69/M69))</f>
        <v/>
      </c>
      <c r="Q69" s="60" t="str">
        <f aca="false">IF(OR(O69="",D69="",D69=0),"",(O69+D69/60*Settings!$C$7)/(D69/60))</f>
        <v/>
      </c>
      <c r="R69" s="62" t="str">
        <f aca="false">IF(B69="","",IF(M69="","Enter your price / Escribe tu precio",IF(O69&lt;0,"⚠ LOSING MONEY / PIERDES",IF(P69&lt;IF(H69="",Settings!$C$9,H69),"● BELOW TARGET / DEBAJO","✔ ON TARGET / EN OBJETIVO"))))</f>
        <v/>
      </c>
      <c r="T69" s="55" t="n">
        <f aca="false">IF(B69="",0,IF(M69="",0,1))</f>
        <v>0</v>
      </c>
      <c r="U69" s="55" t="n">
        <f aca="false">IF(T69=1,P69,0)</f>
        <v>0</v>
      </c>
      <c r="V69" s="55" t="n">
        <f aca="false">IF(T69=1,IF(O69&lt;0,0,IF(P69&lt;IF(H69="",Settings!$C$9,H69),1,0)),0)</f>
        <v>0</v>
      </c>
      <c r="W69" s="55" t="n">
        <f aca="false">IF(T69=1,IF(O69&lt;0,1,0),0)</f>
        <v>0</v>
      </c>
      <c r="X69" s="55" t="n">
        <f aca="false">IF(T69=1,M69,0)</f>
        <v>0</v>
      </c>
      <c r="Y69" s="55" t="n">
        <f aca="false">IF(T69=1,O69,0)</f>
        <v>0</v>
      </c>
      <c r="Z69" s="55" t="n">
        <f aca="false">IF(B69="",0,1)</f>
        <v>0</v>
      </c>
    </row>
    <row r="70" customFormat="false" ht="15" hidden="false" customHeight="false" outlineLevel="0" collapsed="false">
      <c r="B70" s="56"/>
      <c r="C70" s="57"/>
      <c r="D70" s="58"/>
      <c r="E70" s="57"/>
      <c r="F70" s="57"/>
      <c r="G70" s="57"/>
      <c r="H70" s="59"/>
      <c r="I70" s="60" t="str">
        <f aca="false">IF(B70="","",C70+IF(D70="",0,D70/60*Settings!$C$7)+E70+F70+Settings!$C$8)</f>
        <v/>
      </c>
      <c r="J70" s="60" t="str">
        <f aca="false">IF(B70="","",MAX(0,($I70+(Settings!$C$12+Settings!$C$13)-$G70*(1-(Settings!$C$10+Settings!$C$11+IF(Settings!$C$15="Yes / Sí",Settings!$C$14,0))))/(1-(Settings!$C$10+Settings!$C$11+IF(Settings!$C$15="Yes / Sí",Settings!$C$14,0)))))</f>
        <v/>
      </c>
      <c r="K70" s="60" t="str">
        <f aca="false">IF(B70="","",IF(1-(Settings!$C$10+Settings!$C$11+IF(Settings!$C$15="Yes / Sí",Settings!$C$14,0))-IF(H70="",Settings!$C$9,H70)&lt;=0,0,MAX(0,IF(Settings!$C$16="Yes / Sí",IF(ROUNDUP(($I70+(Settings!$C$12+Settings!$C$13)-$G70*(1-(Settings!$C$10+Settings!$C$11+IF(Settings!$C$15="Yes / Sí",Settings!$C$14,0))))/(1-(Settings!$C$10+Settings!$C$11+IF(Settings!$C$15="Yes / Sí",Settings!$C$14,0))-IF(H70="",Settings!$C$9,H70)),0)-0.01&gt;=($I70+(Settings!$C$12+Settings!$C$13)-$G70*(1-(Settings!$C$10+Settings!$C$11+IF(Settings!$C$15="Yes / Sí",Settings!$C$14,0))))/(1-(Settings!$C$10+Settings!$C$11+IF(Settings!$C$15="Yes / Sí",Settings!$C$14,0))-IF(H70="",Settings!$C$9,H70)),ROUNDUP(($I70+(Settings!$C$12+Settings!$C$13)-$G70*(1-(Settings!$C$10+Settings!$C$11+IF(Settings!$C$15="Yes / Sí",Settings!$C$14,0))))/(1-(Settings!$C$10+Settings!$C$11+IF(Settings!$C$15="Yes / Sí",Settings!$C$14,0))-IF(H70="",Settings!$C$9,H70)),0)-0.01,ROUNDUP(($I70+(Settings!$C$12+Settings!$C$13)-$G70*(1-(Settings!$C$10+Settings!$C$11+IF(Settings!$C$15="Yes / Sí",Settings!$C$14,0))))/(1-(Settings!$C$10+Settings!$C$11+IF(Settings!$C$15="Yes / Sí",Settings!$C$14,0))-IF(H70="",Settings!$C$9,H70)),0)+0.99),ROUNDUP(($I70+(Settings!$C$12+Settings!$C$13)-$G70*(1-(Settings!$C$10+Settings!$C$11+IF(Settings!$C$15="Yes / Sí",Settings!$C$14,0))))/(1-(Settings!$C$10+Settings!$C$11+IF(Settings!$C$15="Yes / Sí",Settings!$C$14,0))-IF(H70="",Settings!$C$9,H70)),2)))))</f>
        <v/>
      </c>
      <c r="L70" s="60" t="str">
        <f aca="false">IF(OR(B70="",K70=0),"",(K70+$G70-((K70+$G70)*(Settings!$C$10+Settings!$C$11+IF(Settings!$C$15="Yes / Sí",Settings!$C$14,0))+(Settings!$C$12+Settings!$C$13))-$I70))</f>
        <v/>
      </c>
      <c r="M70" s="57"/>
      <c r="N70" s="60" t="str">
        <f aca="false">IF(OR(B70="",M70=""),"",((M70+$G70)*(Settings!$C$10+Settings!$C$11+IF(Settings!$C$15="Yes / Sí",Settings!$C$14,0))+(Settings!$C$12+Settings!$C$13)))</f>
        <v/>
      </c>
      <c r="O70" s="60" t="str">
        <f aca="false">IF(OR(B70="",M70=""),"",(M70+$G70-((M70+$G70)*(Settings!$C$10+Settings!$C$11+IF(Settings!$C$15="Yes / Sí",Settings!$C$14,0))+(Settings!$C$12+Settings!$C$13))-$I70))</f>
        <v/>
      </c>
      <c r="P70" s="61" t="str">
        <f aca="false">IF(O70="","",IF(M70=0,0,O70/M70))</f>
        <v/>
      </c>
      <c r="Q70" s="60" t="str">
        <f aca="false">IF(OR(O70="",D70="",D70=0),"",(O70+D70/60*Settings!$C$7)/(D70/60))</f>
        <v/>
      </c>
      <c r="R70" s="62" t="str">
        <f aca="false">IF(B70="","",IF(M70="","Enter your price / Escribe tu precio",IF(O70&lt;0,"⚠ LOSING MONEY / PIERDES",IF(P70&lt;IF(H70="",Settings!$C$9,H70),"● BELOW TARGET / DEBAJO","✔ ON TARGET / EN OBJETIVO"))))</f>
        <v/>
      </c>
      <c r="T70" s="55" t="n">
        <f aca="false">IF(B70="",0,IF(M70="",0,1))</f>
        <v>0</v>
      </c>
      <c r="U70" s="55" t="n">
        <f aca="false">IF(T70=1,P70,0)</f>
        <v>0</v>
      </c>
      <c r="V70" s="55" t="n">
        <f aca="false">IF(T70=1,IF(O70&lt;0,0,IF(P70&lt;IF(H70="",Settings!$C$9,H70),1,0)),0)</f>
        <v>0</v>
      </c>
      <c r="W70" s="55" t="n">
        <f aca="false">IF(T70=1,IF(O70&lt;0,1,0),0)</f>
        <v>0</v>
      </c>
      <c r="X70" s="55" t="n">
        <f aca="false">IF(T70=1,M70,0)</f>
        <v>0</v>
      </c>
      <c r="Y70" s="55" t="n">
        <f aca="false">IF(T70=1,O70,0)</f>
        <v>0</v>
      </c>
      <c r="Z70" s="55" t="n">
        <f aca="false">IF(B70="",0,1)</f>
        <v>0</v>
      </c>
    </row>
    <row r="71" customFormat="false" ht="15" hidden="false" customHeight="false" outlineLevel="0" collapsed="false">
      <c r="B71" s="56"/>
      <c r="C71" s="57"/>
      <c r="D71" s="58"/>
      <c r="E71" s="57"/>
      <c r="F71" s="57"/>
      <c r="G71" s="57"/>
      <c r="H71" s="59"/>
      <c r="I71" s="60" t="str">
        <f aca="false">IF(B71="","",C71+IF(D71="",0,D71/60*Settings!$C$7)+E71+F71+Settings!$C$8)</f>
        <v/>
      </c>
      <c r="J71" s="60" t="str">
        <f aca="false">IF(B71="","",MAX(0,($I71+(Settings!$C$12+Settings!$C$13)-$G71*(1-(Settings!$C$10+Settings!$C$11+IF(Settings!$C$15="Yes / Sí",Settings!$C$14,0))))/(1-(Settings!$C$10+Settings!$C$11+IF(Settings!$C$15="Yes / Sí",Settings!$C$14,0)))))</f>
        <v/>
      </c>
      <c r="K71" s="60" t="str">
        <f aca="false">IF(B71="","",IF(1-(Settings!$C$10+Settings!$C$11+IF(Settings!$C$15="Yes / Sí",Settings!$C$14,0))-IF(H71="",Settings!$C$9,H71)&lt;=0,0,MAX(0,IF(Settings!$C$16="Yes / Sí",IF(ROUNDUP(($I71+(Settings!$C$12+Settings!$C$13)-$G71*(1-(Settings!$C$10+Settings!$C$11+IF(Settings!$C$15="Yes / Sí",Settings!$C$14,0))))/(1-(Settings!$C$10+Settings!$C$11+IF(Settings!$C$15="Yes / Sí",Settings!$C$14,0))-IF(H71="",Settings!$C$9,H71)),0)-0.01&gt;=($I71+(Settings!$C$12+Settings!$C$13)-$G71*(1-(Settings!$C$10+Settings!$C$11+IF(Settings!$C$15="Yes / Sí",Settings!$C$14,0))))/(1-(Settings!$C$10+Settings!$C$11+IF(Settings!$C$15="Yes / Sí",Settings!$C$14,0))-IF(H71="",Settings!$C$9,H71)),ROUNDUP(($I71+(Settings!$C$12+Settings!$C$13)-$G71*(1-(Settings!$C$10+Settings!$C$11+IF(Settings!$C$15="Yes / Sí",Settings!$C$14,0))))/(1-(Settings!$C$10+Settings!$C$11+IF(Settings!$C$15="Yes / Sí",Settings!$C$14,0))-IF(H71="",Settings!$C$9,H71)),0)-0.01,ROUNDUP(($I71+(Settings!$C$12+Settings!$C$13)-$G71*(1-(Settings!$C$10+Settings!$C$11+IF(Settings!$C$15="Yes / Sí",Settings!$C$14,0))))/(1-(Settings!$C$10+Settings!$C$11+IF(Settings!$C$15="Yes / Sí",Settings!$C$14,0))-IF(H71="",Settings!$C$9,H71)),0)+0.99),ROUNDUP(($I71+(Settings!$C$12+Settings!$C$13)-$G71*(1-(Settings!$C$10+Settings!$C$11+IF(Settings!$C$15="Yes / Sí",Settings!$C$14,0))))/(1-(Settings!$C$10+Settings!$C$11+IF(Settings!$C$15="Yes / Sí",Settings!$C$14,0))-IF(H71="",Settings!$C$9,H71)),2)))))</f>
        <v/>
      </c>
      <c r="L71" s="60" t="str">
        <f aca="false">IF(OR(B71="",K71=0),"",(K71+$G71-((K71+$G71)*(Settings!$C$10+Settings!$C$11+IF(Settings!$C$15="Yes / Sí",Settings!$C$14,0))+(Settings!$C$12+Settings!$C$13))-$I71))</f>
        <v/>
      </c>
      <c r="M71" s="57"/>
      <c r="N71" s="60" t="str">
        <f aca="false">IF(OR(B71="",M71=""),"",((M71+$G71)*(Settings!$C$10+Settings!$C$11+IF(Settings!$C$15="Yes / Sí",Settings!$C$14,0))+(Settings!$C$12+Settings!$C$13)))</f>
        <v/>
      </c>
      <c r="O71" s="60" t="str">
        <f aca="false">IF(OR(B71="",M71=""),"",(M71+$G71-((M71+$G71)*(Settings!$C$10+Settings!$C$11+IF(Settings!$C$15="Yes / Sí",Settings!$C$14,0))+(Settings!$C$12+Settings!$C$13))-$I71))</f>
        <v/>
      </c>
      <c r="P71" s="61" t="str">
        <f aca="false">IF(O71="","",IF(M71=0,0,O71/M71))</f>
        <v/>
      </c>
      <c r="Q71" s="60" t="str">
        <f aca="false">IF(OR(O71="",D71="",D71=0),"",(O71+D71/60*Settings!$C$7)/(D71/60))</f>
        <v/>
      </c>
      <c r="R71" s="62" t="str">
        <f aca="false">IF(B71="","",IF(M71="","Enter your price / Escribe tu precio",IF(O71&lt;0,"⚠ LOSING MONEY / PIERDES",IF(P71&lt;IF(H71="",Settings!$C$9,H71),"● BELOW TARGET / DEBAJO","✔ ON TARGET / EN OBJETIVO"))))</f>
        <v/>
      </c>
      <c r="T71" s="55" t="n">
        <f aca="false">IF(B71="",0,IF(M71="",0,1))</f>
        <v>0</v>
      </c>
      <c r="U71" s="55" t="n">
        <f aca="false">IF(T71=1,P71,0)</f>
        <v>0</v>
      </c>
      <c r="V71" s="55" t="n">
        <f aca="false">IF(T71=1,IF(O71&lt;0,0,IF(P71&lt;IF(H71="",Settings!$C$9,H71),1,0)),0)</f>
        <v>0</v>
      </c>
      <c r="W71" s="55" t="n">
        <f aca="false">IF(T71=1,IF(O71&lt;0,1,0),0)</f>
        <v>0</v>
      </c>
      <c r="X71" s="55" t="n">
        <f aca="false">IF(T71=1,M71,0)</f>
        <v>0</v>
      </c>
      <c r="Y71" s="55" t="n">
        <f aca="false">IF(T71=1,O71,0)</f>
        <v>0</v>
      </c>
      <c r="Z71" s="55" t="n">
        <f aca="false">IF(B71="",0,1)</f>
        <v>0</v>
      </c>
    </row>
    <row r="72" customFormat="false" ht="15" hidden="false" customHeight="false" outlineLevel="0" collapsed="false">
      <c r="B72" s="56"/>
      <c r="C72" s="57"/>
      <c r="D72" s="58"/>
      <c r="E72" s="57"/>
      <c r="F72" s="57"/>
      <c r="G72" s="57"/>
      <c r="H72" s="59"/>
      <c r="I72" s="60" t="str">
        <f aca="false">IF(B72="","",C72+IF(D72="",0,D72/60*Settings!$C$7)+E72+F72+Settings!$C$8)</f>
        <v/>
      </c>
      <c r="J72" s="60" t="str">
        <f aca="false">IF(B72="","",MAX(0,($I72+(Settings!$C$12+Settings!$C$13)-$G72*(1-(Settings!$C$10+Settings!$C$11+IF(Settings!$C$15="Yes / Sí",Settings!$C$14,0))))/(1-(Settings!$C$10+Settings!$C$11+IF(Settings!$C$15="Yes / Sí",Settings!$C$14,0)))))</f>
        <v/>
      </c>
      <c r="K72" s="60" t="str">
        <f aca="false">IF(B72="","",IF(1-(Settings!$C$10+Settings!$C$11+IF(Settings!$C$15="Yes / Sí",Settings!$C$14,0))-IF(H72="",Settings!$C$9,H72)&lt;=0,0,MAX(0,IF(Settings!$C$16="Yes / Sí",IF(ROUNDUP(($I72+(Settings!$C$12+Settings!$C$13)-$G72*(1-(Settings!$C$10+Settings!$C$11+IF(Settings!$C$15="Yes / Sí",Settings!$C$14,0))))/(1-(Settings!$C$10+Settings!$C$11+IF(Settings!$C$15="Yes / Sí",Settings!$C$14,0))-IF(H72="",Settings!$C$9,H72)),0)-0.01&gt;=($I72+(Settings!$C$12+Settings!$C$13)-$G72*(1-(Settings!$C$10+Settings!$C$11+IF(Settings!$C$15="Yes / Sí",Settings!$C$14,0))))/(1-(Settings!$C$10+Settings!$C$11+IF(Settings!$C$15="Yes / Sí",Settings!$C$14,0))-IF(H72="",Settings!$C$9,H72)),ROUNDUP(($I72+(Settings!$C$12+Settings!$C$13)-$G72*(1-(Settings!$C$10+Settings!$C$11+IF(Settings!$C$15="Yes / Sí",Settings!$C$14,0))))/(1-(Settings!$C$10+Settings!$C$11+IF(Settings!$C$15="Yes / Sí",Settings!$C$14,0))-IF(H72="",Settings!$C$9,H72)),0)-0.01,ROUNDUP(($I72+(Settings!$C$12+Settings!$C$13)-$G72*(1-(Settings!$C$10+Settings!$C$11+IF(Settings!$C$15="Yes / Sí",Settings!$C$14,0))))/(1-(Settings!$C$10+Settings!$C$11+IF(Settings!$C$15="Yes / Sí",Settings!$C$14,0))-IF(H72="",Settings!$C$9,H72)),0)+0.99),ROUNDUP(($I72+(Settings!$C$12+Settings!$C$13)-$G72*(1-(Settings!$C$10+Settings!$C$11+IF(Settings!$C$15="Yes / Sí",Settings!$C$14,0))))/(1-(Settings!$C$10+Settings!$C$11+IF(Settings!$C$15="Yes / Sí",Settings!$C$14,0))-IF(H72="",Settings!$C$9,H72)),2)))))</f>
        <v/>
      </c>
      <c r="L72" s="60" t="str">
        <f aca="false">IF(OR(B72="",K72=0),"",(K72+$G72-((K72+$G72)*(Settings!$C$10+Settings!$C$11+IF(Settings!$C$15="Yes / Sí",Settings!$C$14,0))+(Settings!$C$12+Settings!$C$13))-$I72))</f>
        <v/>
      </c>
      <c r="M72" s="57"/>
      <c r="N72" s="60" t="str">
        <f aca="false">IF(OR(B72="",M72=""),"",((M72+$G72)*(Settings!$C$10+Settings!$C$11+IF(Settings!$C$15="Yes / Sí",Settings!$C$14,0))+(Settings!$C$12+Settings!$C$13)))</f>
        <v/>
      </c>
      <c r="O72" s="60" t="str">
        <f aca="false">IF(OR(B72="",M72=""),"",(M72+$G72-((M72+$G72)*(Settings!$C$10+Settings!$C$11+IF(Settings!$C$15="Yes / Sí",Settings!$C$14,0))+(Settings!$C$12+Settings!$C$13))-$I72))</f>
        <v/>
      </c>
      <c r="P72" s="61" t="str">
        <f aca="false">IF(O72="","",IF(M72=0,0,O72/M72))</f>
        <v/>
      </c>
      <c r="Q72" s="60" t="str">
        <f aca="false">IF(OR(O72="",D72="",D72=0),"",(O72+D72/60*Settings!$C$7)/(D72/60))</f>
        <v/>
      </c>
      <c r="R72" s="62" t="str">
        <f aca="false">IF(B72="","",IF(M72="","Enter your price / Escribe tu precio",IF(O72&lt;0,"⚠ LOSING MONEY / PIERDES",IF(P72&lt;IF(H72="",Settings!$C$9,H72),"● BELOW TARGET / DEBAJO","✔ ON TARGET / EN OBJETIVO"))))</f>
        <v/>
      </c>
      <c r="T72" s="55" t="n">
        <f aca="false">IF(B72="",0,IF(M72="",0,1))</f>
        <v>0</v>
      </c>
      <c r="U72" s="55" t="n">
        <f aca="false">IF(T72=1,P72,0)</f>
        <v>0</v>
      </c>
      <c r="V72" s="55" t="n">
        <f aca="false">IF(T72=1,IF(O72&lt;0,0,IF(P72&lt;IF(H72="",Settings!$C$9,H72),1,0)),0)</f>
        <v>0</v>
      </c>
      <c r="W72" s="55" t="n">
        <f aca="false">IF(T72=1,IF(O72&lt;0,1,0),0)</f>
        <v>0</v>
      </c>
      <c r="X72" s="55" t="n">
        <f aca="false">IF(T72=1,M72,0)</f>
        <v>0</v>
      </c>
      <c r="Y72" s="55" t="n">
        <f aca="false">IF(T72=1,O72,0)</f>
        <v>0</v>
      </c>
      <c r="Z72" s="55" t="n">
        <f aca="false">IF(B72="",0,1)</f>
        <v>0</v>
      </c>
    </row>
    <row r="73" customFormat="false" ht="15" hidden="false" customHeight="false" outlineLevel="0" collapsed="false">
      <c r="B73" s="56"/>
      <c r="C73" s="57"/>
      <c r="D73" s="58"/>
      <c r="E73" s="57"/>
      <c r="F73" s="57"/>
      <c r="G73" s="57"/>
      <c r="H73" s="59"/>
      <c r="I73" s="60" t="str">
        <f aca="false">IF(B73="","",C73+IF(D73="",0,D73/60*Settings!$C$7)+E73+F73+Settings!$C$8)</f>
        <v/>
      </c>
      <c r="J73" s="60" t="str">
        <f aca="false">IF(B73="","",MAX(0,($I73+(Settings!$C$12+Settings!$C$13)-$G73*(1-(Settings!$C$10+Settings!$C$11+IF(Settings!$C$15="Yes / Sí",Settings!$C$14,0))))/(1-(Settings!$C$10+Settings!$C$11+IF(Settings!$C$15="Yes / Sí",Settings!$C$14,0)))))</f>
        <v/>
      </c>
      <c r="K73" s="60" t="str">
        <f aca="false">IF(B73="","",IF(1-(Settings!$C$10+Settings!$C$11+IF(Settings!$C$15="Yes / Sí",Settings!$C$14,0))-IF(H73="",Settings!$C$9,H73)&lt;=0,0,MAX(0,IF(Settings!$C$16="Yes / Sí",IF(ROUNDUP(($I73+(Settings!$C$12+Settings!$C$13)-$G73*(1-(Settings!$C$10+Settings!$C$11+IF(Settings!$C$15="Yes / Sí",Settings!$C$14,0))))/(1-(Settings!$C$10+Settings!$C$11+IF(Settings!$C$15="Yes / Sí",Settings!$C$14,0))-IF(H73="",Settings!$C$9,H73)),0)-0.01&gt;=($I73+(Settings!$C$12+Settings!$C$13)-$G73*(1-(Settings!$C$10+Settings!$C$11+IF(Settings!$C$15="Yes / Sí",Settings!$C$14,0))))/(1-(Settings!$C$10+Settings!$C$11+IF(Settings!$C$15="Yes / Sí",Settings!$C$14,0))-IF(H73="",Settings!$C$9,H73)),ROUNDUP(($I73+(Settings!$C$12+Settings!$C$13)-$G73*(1-(Settings!$C$10+Settings!$C$11+IF(Settings!$C$15="Yes / Sí",Settings!$C$14,0))))/(1-(Settings!$C$10+Settings!$C$11+IF(Settings!$C$15="Yes / Sí",Settings!$C$14,0))-IF(H73="",Settings!$C$9,H73)),0)-0.01,ROUNDUP(($I73+(Settings!$C$12+Settings!$C$13)-$G73*(1-(Settings!$C$10+Settings!$C$11+IF(Settings!$C$15="Yes / Sí",Settings!$C$14,0))))/(1-(Settings!$C$10+Settings!$C$11+IF(Settings!$C$15="Yes / Sí",Settings!$C$14,0))-IF(H73="",Settings!$C$9,H73)),0)+0.99),ROUNDUP(($I73+(Settings!$C$12+Settings!$C$13)-$G73*(1-(Settings!$C$10+Settings!$C$11+IF(Settings!$C$15="Yes / Sí",Settings!$C$14,0))))/(1-(Settings!$C$10+Settings!$C$11+IF(Settings!$C$15="Yes / Sí",Settings!$C$14,0))-IF(H73="",Settings!$C$9,H73)),2)))))</f>
        <v/>
      </c>
      <c r="L73" s="60" t="str">
        <f aca="false">IF(OR(B73="",K73=0),"",(K73+$G73-((K73+$G73)*(Settings!$C$10+Settings!$C$11+IF(Settings!$C$15="Yes / Sí",Settings!$C$14,0))+(Settings!$C$12+Settings!$C$13))-$I73))</f>
        <v/>
      </c>
      <c r="M73" s="57"/>
      <c r="N73" s="60" t="str">
        <f aca="false">IF(OR(B73="",M73=""),"",((M73+$G73)*(Settings!$C$10+Settings!$C$11+IF(Settings!$C$15="Yes / Sí",Settings!$C$14,0))+(Settings!$C$12+Settings!$C$13)))</f>
        <v/>
      </c>
      <c r="O73" s="60" t="str">
        <f aca="false">IF(OR(B73="",M73=""),"",(M73+$G73-((M73+$G73)*(Settings!$C$10+Settings!$C$11+IF(Settings!$C$15="Yes / Sí",Settings!$C$14,0))+(Settings!$C$12+Settings!$C$13))-$I73))</f>
        <v/>
      </c>
      <c r="P73" s="61" t="str">
        <f aca="false">IF(O73="","",IF(M73=0,0,O73/M73))</f>
        <v/>
      </c>
      <c r="Q73" s="60" t="str">
        <f aca="false">IF(OR(O73="",D73="",D73=0),"",(O73+D73/60*Settings!$C$7)/(D73/60))</f>
        <v/>
      </c>
      <c r="R73" s="62" t="str">
        <f aca="false">IF(B73="","",IF(M73="","Enter your price / Escribe tu precio",IF(O73&lt;0,"⚠ LOSING MONEY / PIERDES",IF(P73&lt;IF(H73="",Settings!$C$9,H73),"● BELOW TARGET / DEBAJO","✔ ON TARGET / EN OBJETIVO"))))</f>
        <v/>
      </c>
      <c r="T73" s="55" t="n">
        <f aca="false">IF(B73="",0,IF(M73="",0,1))</f>
        <v>0</v>
      </c>
      <c r="U73" s="55" t="n">
        <f aca="false">IF(T73=1,P73,0)</f>
        <v>0</v>
      </c>
      <c r="V73" s="55" t="n">
        <f aca="false">IF(T73=1,IF(O73&lt;0,0,IF(P73&lt;IF(H73="",Settings!$C$9,H73),1,0)),0)</f>
        <v>0</v>
      </c>
      <c r="W73" s="55" t="n">
        <f aca="false">IF(T73=1,IF(O73&lt;0,1,0),0)</f>
        <v>0</v>
      </c>
      <c r="X73" s="55" t="n">
        <f aca="false">IF(T73=1,M73,0)</f>
        <v>0</v>
      </c>
      <c r="Y73" s="55" t="n">
        <f aca="false">IF(T73=1,O73,0)</f>
        <v>0</v>
      </c>
      <c r="Z73" s="55" t="n">
        <f aca="false">IF(B73="",0,1)</f>
        <v>0</v>
      </c>
    </row>
    <row r="74" customFormat="false" ht="15" hidden="false" customHeight="false" outlineLevel="0" collapsed="false">
      <c r="B74" s="56"/>
      <c r="C74" s="57"/>
      <c r="D74" s="58"/>
      <c r="E74" s="57"/>
      <c r="F74" s="57"/>
      <c r="G74" s="57"/>
      <c r="H74" s="59"/>
      <c r="I74" s="60" t="str">
        <f aca="false">IF(B74="","",C74+IF(D74="",0,D74/60*Settings!$C$7)+E74+F74+Settings!$C$8)</f>
        <v/>
      </c>
      <c r="J74" s="60" t="str">
        <f aca="false">IF(B74="","",MAX(0,($I74+(Settings!$C$12+Settings!$C$13)-$G74*(1-(Settings!$C$10+Settings!$C$11+IF(Settings!$C$15="Yes / Sí",Settings!$C$14,0))))/(1-(Settings!$C$10+Settings!$C$11+IF(Settings!$C$15="Yes / Sí",Settings!$C$14,0)))))</f>
        <v/>
      </c>
      <c r="K74" s="60" t="str">
        <f aca="false">IF(B74="","",IF(1-(Settings!$C$10+Settings!$C$11+IF(Settings!$C$15="Yes / Sí",Settings!$C$14,0))-IF(H74="",Settings!$C$9,H74)&lt;=0,0,MAX(0,IF(Settings!$C$16="Yes / Sí",IF(ROUNDUP(($I74+(Settings!$C$12+Settings!$C$13)-$G74*(1-(Settings!$C$10+Settings!$C$11+IF(Settings!$C$15="Yes / Sí",Settings!$C$14,0))))/(1-(Settings!$C$10+Settings!$C$11+IF(Settings!$C$15="Yes / Sí",Settings!$C$14,0))-IF(H74="",Settings!$C$9,H74)),0)-0.01&gt;=($I74+(Settings!$C$12+Settings!$C$13)-$G74*(1-(Settings!$C$10+Settings!$C$11+IF(Settings!$C$15="Yes / Sí",Settings!$C$14,0))))/(1-(Settings!$C$10+Settings!$C$11+IF(Settings!$C$15="Yes / Sí",Settings!$C$14,0))-IF(H74="",Settings!$C$9,H74)),ROUNDUP(($I74+(Settings!$C$12+Settings!$C$13)-$G74*(1-(Settings!$C$10+Settings!$C$11+IF(Settings!$C$15="Yes / Sí",Settings!$C$14,0))))/(1-(Settings!$C$10+Settings!$C$11+IF(Settings!$C$15="Yes / Sí",Settings!$C$14,0))-IF(H74="",Settings!$C$9,H74)),0)-0.01,ROUNDUP(($I74+(Settings!$C$12+Settings!$C$13)-$G74*(1-(Settings!$C$10+Settings!$C$11+IF(Settings!$C$15="Yes / Sí",Settings!$C$14,0))))/(1-(Settings!$C$10+Settings!$C$11+IF(Settings!$C$15="Yes / Sí",Settings!$C$14,0))-IF(H74="",Settings!$C$9,H74)),0)+0.99),ROUNDUP(($I74+(Settings!$C$12+Settings!$C$13)-$G74*(1-(Settings!$C$10+Settings!$C$11+IF(Settings!$C$15="Yes / Sí",Settings!$C$14,0))))/(1-(Settings!$C$10+Settings!$C$11+IF(Settings!$C$15="Yes / Sí",Settings!$C$14,0))-IF(H74="",Settings!$C$9,H74)),2)))))</f>
        <v/>
      </c>
      <c r="L74" s="60" t="str">
        <f aca="false">IF(OR(B74="",K74=0),"",(K74+$G74-((K74+$G74)*(Settings!$C$10+Settings!$C$11+IF(Settings!$C$15="Yes / Sí",Settings!$C$14,0))+(Settings!$C$12+Settings!$C$13))-$I74))</f>
        <v/>
      </c>
      <c r="M74" s="57"/>
      <c r="N74" s="60" t="str">
        <f aca="false">IF(OR(B74="",M74=""),"",((M74+$G74)*(Settings!$C$10+Settings!$C$11+IF(Settings!$C$15="Yes / Sí",Settings!$C$14,0))+(Settings!$C$12+Settings!$C$13)))</f>
        <v/>
      </c>
      <c r="O74" s="60" t="str">
        <f aca="false">IF(OR(B74="",M74=""),"",(M74+$G74-((M74+$G74)*(Settings!$C$10+Settings!$C$11+IF(Settings!$C$15="Yes / Sí",Settings!$C$14,0))+(Settings!$C$12+Settings!$C$13))-$I74))</f>
        <v/>
      </c>
      <c r="P74" s="61" t="str">
        <f aca="false">IF(O74="","",IF(M74=0,0,O74/M74))</f>
        <v/>
      </c>
      <c r="Q74" s="60" t="str">
        <f aca="false">IF(OR(O74="",D74="",D74=0),"",(O74+D74/60*Settings!$C$7)/(D74/60))</f>
        <v/>
      </c>
      <c r="R74" s="62" t="str">
        <f aca="false">IF(B74="","",IF(M74="","Enter your price / Escribe tu precio",IF(O74&lt;0,"⚠ LOSING MONEY / PIERDES",IF(P74&lt;IF(H74="",Settings!$C$9,H74),"● BELOW TARGET / DEBAJO","✔ ON TARGET / EN OBJETIVO"))))</f>
        <v/>
      </c>
      <c r="T74" s="55" t="n">
        <f aca="false">IF(B74="",0,IF(M74="",0,1))</f>
        <v>0</v>
      </c>
      <c r="U74" s="55" t="n">
        <f aca="false">IF(T74=1,P74,0)</f>
        <v>0</v>
      </c>
      <c r="V74" s="55" t="n">
        <f aca="false">IF(T74=1,IF(O74&lt;0,0,IF(P74&lt;IF(H74="",Settings!$C$9,H74),1,0)),0)</f>
        <v>0</v>
      </c>
      <c r="W74" s="55" t="n">
        <f aca="false">IF(T74=1,IF(O74&lt;0,1,0),0)</f>
        <v>0</v>
      </c>
      <c r="X74" s="55" t="n">
        <f aca="false">IF(T74=1,M74,0)</f>
        <v>0</v>
      </c>
      <c r="Y74" s="55" t="n">
        <f aca="false">IF(T74=1,O74,0)</f>
        <v>0</v>
      </c>
      <c r="Z74" s="55" t="n">
        <f aca="false">IF(B74="",0,1)</f>
        <v>0</v>
      </c>
    </row>
    <row r="75" customFormat="false" ht="15" hidden="false" customHeight="false" outlineLevel="0" collapsed="false">
      <c r="B75" s="56"/>
      <c r="C75" s="57"/>
      <c r="D75" s="58"/>
      <c r="E75" s="57"/>
      <c r="F75" s="57"/>
      <c r="G75" s="57"/>
      <c r="H75" s="59"/>
      <c r="I75" s="60" t="str">
        <f aca="false">IF(B75="","",C75+IF(D75="",0,D75/60*Settings!$C$7)+E75+F75+Settings!$C$8)</f>
        <v/>
      </c>
      <c r="J75" s="60" t="str">
        <f aca="false">IF(B75="","",MAX(0,($I75+(Settings!$C$12+Settings!$C$13)-$G75*(1-(Settings!$C$10+Settings!$C$11+IF(Settings!$C$15="Yes / Sí",Settings!$C$14,0))))/(1-(Settings!$C$10+Settings!$C$11+IF(Settings!$C$15="Yes / Sí",Settings!$C$14,0)))))</f>
        <v/>
      </c>
      <c r="K75" s="60" t="str">
        <f aca="false">IF(B75="","",IF(1-(Settings!$C$10+Settings!$C$11+IF(Settings!$C$15="Yes / Sí",Settings!$C$14,0))-IF(H75="",Settings!$C$9,H75)&lt;=0,0,MAX(0,IF(Settings!$C$16="Yes / Sí",IF(ROUNDUP(($I75+(Settings!$C$12+Settings!$C$13)-$G75*(1-(Settings!$C$10+Settings!$C$11+IF(Settings!$C$15="Yes / Sí",Settings!$C$14,0))))/(1-(Settings!$C$10+Settings!$C$11+IF(Settings!$C$15="Yes / Sí",Settings!$C$14,0))-IF(H75="",Settings!$C$9,H75)),0)-0.01&gt;=($I75+(Settings!$C$12+Settings!$C$13)-$G75*(1-(Settings!$C$10+Settings!$C$11+IF(Settings!$C$15="Yes / Sí",Settings!$C$14,0))))/(1-(Settings!$C$10+Settings!$C$11+IF(Settings!$C$15="Yes / Sí",Settings!$C$14,0))-IF(H75="",Settings!$C$9,H75)),ROUNDUP(($I75+(Settings!$C$12+Settings!$C$13)-$G75*(1-(Settings!$C$10+Settings!$C$11+IF(Settings!$C$15="Yes / Sí",Settings!$C$14,0))))/(1-(Settings!$C$10+Settings!$C$11+IF(Settings!$C$15="Yes / Sí",Settings!$C$14,0))-IF(H75="",Settings!$C$9,H75)),0)-0.01,ROUNDUP(($I75+(Settings!$C$12+Settings!$C$13)-$G75*(1-(Settings!$C$10+Settings!$C$11+IF(Settings!$C$15="Yes / Sí",Settings!$C$14,0))))/(1-(Settings!$C$10+Settings!$C$11+IF(Settings!$C$15="Yes / Sí",Settings!$C$14,0))-IF(H75="",Settings!$C$9,H75)),0)+0.99),ROUNDUP(($I75+(Settings!$C$12+Settings!$C$13)-$G75*(1-(Settings!$C$10+Settings!$C$11+IF(Settings!$C$15="Yes / Sí",Settings!$C$14,0))))/(1-(Settings!$C$10+Settings!$C$11+IF(Settings!$C$15="Yes / Sí",Settings!$C$14,0))-IF(H75="",Settings!$C$9,H75)),2)))))</f>
        <v/>
      </c>
      <c r="L75" s="60" t="str">
        <f aca="false">IF(OR(B75="",K75=0),"",(K75+$G75-((K75+$G75)*(Settings!$C$10+Settings!$C$11+IF(Settings!$C$15="Yes / Sí",Settings!$C$14,0))+(Settings!$C$12+Settings!$C$13))-$I75))</f>
        <v/>
      </c>
      <c r="M75" s="57"/>
      <c r="N75" s="60" t="str">
        <f aca="false">IF(OR(B75="",M75=""),"",((M75+$G75)*(Settings!$C$10+Settings!$C$11+IF(Settings!$C$15="Yes / Sí",Settings!$C$14,0))+(Settings!$C$12+Settings!$C$13)))</f>
        <v/>
      </c>
      <c r="O75" s="60" t="str">
        <f aca="false">IF(OR(B75="",M75=""),"",(M75+$G75-((M75+$G75)*(Settings!$C$10+Settings!$C$11+IF(Settings!$C$15="Yes / Sí",Settings!$C$14,0))+(Settings!$C$12+Settings!$C$13))-$I75))</f>
        <v/>
      </c>
      <c r="P75" s="61" t="str">
        <f aca="false">IF(O75="","",IF(M75=0,0,O75/M75))</f>
        <v/>
      </c>
      <c r="Q75" s="60" t="str">
        <f aca="false">IF(OR(O75="",D75="",D75=0),"",(O75+D75/60*Settings!$C$7)/(D75/60))</f>
        <v/>
      </c>
      <c r="R75" s="62" t="str">
        <f aca="false">IF(B75="","",IF(M75="","Enter your price / Escribe tu precio",IF(O75&lt;0,"⚠ LOSING MONEY / PIERDES",IF(P75&lt;IF(H75="",Settings!$C$9,H75),"● BELOW TARGET / DEBAJO","✔ ON TARGET / EN OBJETIVO"))))</f>
        <v/>
      </c>
      <c r="T75" s="55" t="n">
        <f aca="false">IF(B75="",0,IF(M75="",0,1))</f>
        <v>0</v>
      </c>
      <c r="U75" s="55" t="n">
        <f aca="false">IF(T75=1,P75,0)</f>
        <v>0</v>
      </c>
      <c r="V75" s="55" t="n">
        <f aca="false">IF(T75=1,IF(O75&lt;0,0,IF(P75&lt;IF(H75="",Settings!$C$9,H75),1,0)),0)</f>
        <v>0</v>
      </c>
      <c r="W75" s="55" t="n">
        <f aca="false">IF(T75=1,IF(O75&lt;0,1,0),0)</f>
        <v>0</v>
      </c>
      <c r="X75" s="55" t="n">
        <f aca="false">IF(T75=1,M75,0)</f>
        <v>0</v>
      </c>
      <c r="Y75" s="55" t="n">
        <f aca="false">IF(T75=1,O75,0)</f>
        <v>0</v>
      </c>
      <c r="Z75" s="55" t="n">
        <f aca="false">IF(B75="",0,1)</f>
        <v>0</v>
      </c>
    </row>
    <row r="76" customFormat="false" ht="15" hidden="false" customHeight="false" outlineLevel="0" collapsed="false">
      <c r="B76" s="56"/>
      <c r="C76" s="57"/>
      <c r="D76" s="58"/>
      <c r="E76" s="57"/>
      <c r="F76" s="57"/>
      <c r="G76" s="57"/>
      <c r="H76" s="59"/>
      <c r="I76" s="60" t="str">
        <f aca="false">IF(B76="","",C76+IF(D76="",0,D76/60*Settings!$C$7)+E76+F76+Settings!$C$8)</f>
        <v/>
      </c>
      <c r="J76" s="60" t="str">
        <f aca="false">IF(B76="","",MAX(0,($I76+(Settings!$C$12+Settings!$C$13)-$G76*(1-(Settings!$C$10+Settings!$C$11+IF(Settings!$C$15="Yes / Sí",Settings!$C$14,0))))/(1-(Settings!$C$10+Settings!$C$11+IF(Settings!$C$15="Yes / Sí",Settings!$C$14,0)))))</f>
        <v/>
      </c>
      <c r="K76" s="60" t="str">
        <f aca="false">IF(B76="","",IF(1-(Settings!$C$10+Settings!$C$11+IF(Settings!$C$15="Yes / Sí",Settings!$C$14,0))-IF(H76="",Settings!$C$9,H76)&lt;=0,0,MAX(0,IF(Settings!$C$16="Yes / Sí",IF(ROUNDUP(($I76+(Settings!$C$12+Settings!$C$13)-$G76*(1-(Settings!$C$10+Settings!$C$11+IF(Settings!$C$15="Yes / Sí",Settings!$C$14,0))))/(1-(Settings!$C$10+Settings!$C$11+IF(Settings!$C$15="Yes / Sí",Settings!$C$14,0))-IF(H76="",Settings!$C$9,H76)),0)-0.01&gt;=($I76+(Settings!$C$12+Settings!$C$13)-$G76*(1-(Settings!$C$10+Settings!$C$11+IF(Settings!$C$15="Yes / Sí",Settings!$C$14,0))))/(1-(Settings!$C$10+Settings!$C$11+IF(Settings!$C$15="Yes / Sí",Settings!$C$14,0))-IF(H76="",Settings!$C$9,H76)),ROUNDUP(($I76+(Settings!$C$12+Settings!$C$13)-$G76*(1-(Settings!$C$10+Settings!$C$11+IF(Settings!$C$15="Yes / Sí",Settings!$C$14,0))))/(1-(Settings!$C$10+Settings!$C$11+IF(Settings!$C$15="Yes / Sí",Settings!$C$14,0))-IF(H76="",Settings!$C$9,H76)),0)-0.01,ROUNDUP(($I76+(Settings!$C$12+Settings!$C$13)-$G76*(1-(Settings!$C$10+Settings!$C$11+IF(Settings!$C$15="Yes / Sí",Settings!$C$14,0))))/(1-(Settings!$C$10+Settings!$C$11+IF(Settings!$C$15="Yes / Sí",Settings!$C$14,0))-IF(H76="",Settings!$C$9,H76)),0)+0.99),ROUNDUP(($I76+(Settings!$C$12+Settings!$C$13)-$G76*(1-(Settings!$C$10+Settings!$C$11+IF(Settings!$C$15="Yes / Sí",Settings!$C$14,0))))/(1-(Settings!$C$10+Settings!$C$11+IF(Settings!$C$15="Yes / Sí",Settings!$C$14,0))-IF(H76="",Settings!$C$9,H76)),2)))))</f>
        <v/>
      </c>
      <c r="L76" s="60" t="str">
        <f aca="false">IF(OR(B76="",K76=0),"",(K76+$G76-((K76+$G76)*(Settings!$C$10+Settings!$C$11+IF(Settings!$C$15="Yes / Sí",Settings!$C$14,0))+(Settings!$C$12+Settings!$C$13))-$I76))</f>
        <v/>
      </c>
      <c r="M76" s="57"/>
      <c r="N76" s="60" t="str">
        <f aca="false">IF(OR(B76="",M76=""),"",((M76+$G76)*(Settings!$C$10+Settings!$C$11+IF(Settings!$C$15="Yes / Sí",Settings!$C$14,0))+(Settings!$C$12+Settings!$C$13)))</f>
        <v/>
      </c>
      <c r="O76" s="60" t="str">
        <f aca="false">IF(OR(B76="",M76=""),"",(M76+$G76-((M76+$G76)*(Settings!$C$10+Settings!$C$11+IF(Settings!$C$15="Yes / Sí",Settings!$C$14,0))+(Settings!$C$12+Settings!$C$13))-$I76))</f>
        <v/>
      </c>
      <c r="P76" s="61" t="str">
        <f aca="false">IF(O76="","",IF(M76=0,0,O76/M76))</f>
        <v/>
      </c>
      <c r="Q76" s="60" t="str">
        <f aca="false">IF(OR(O76="",D76="",D76=0),"",(O76+D76/60*Settings!$C$7)/(D76/60))</f>
        <v/>
      </c>
      <c r="R76" s="62" t="str">
        <f aca="false">IF(B76="","",IF(M76="","Enter your price / Escribe tu precio",IF(O76&lt;0,"⚠ LOSING MONEY / PIERDES",IF(P76&lt;IF(H76="",Settings!$C$9,H76),"● BELOW TARGET / DEBAJO","✔ ON TARGET / EN OBJETIVO"))))</f>
        <v/>
      </c>
      <c r="T76" s="55" t="n">
        <f aca="false">IF(B76="",0,IF(M76="",0,1))</f>
        <v>0</v>
      </c>
      <c r="U76" s="55" t="n">
        <f aca="false">IF(T76=1,P76,0)</f>
        <v>0</v>
      </c>
      <c r="V76" s="55" t="n">
        <f aca="false">IF(T76=1,IF(O76&lt;0,0,IF(P76&lt;IF(H76="",Settings!$C$9,H76),1,0)),0)</f>
        <v>0</v>
      </c>
      <c r="W76" s="55" t="n">
        <f aca="false">IF(T76=1,IF(O76&lt;0,1,0),0)</f>
        <v>0</v>
      </c>
      <c r="X76" s="55" t="n">
        <f aca="false">IF(T76=1,M76,0)</f>
        <v>0</v>
      </c>
      <c r="Y76" s="55" t="n">
        <f aca="false">IF(T76=1,O76,0)</f>
        <v>0</v>
      </c>
      <c r="Z76" s="55" t="n">
        <f aca="false">IF(B76="",0,1)</f>
        <v>0</v>
      </c>
    </row>
    <row r="77" customFormat="false" ht="15" hidden="false" customHeight="false" outlineLevel="0" collapsed="false">
      <c r="B77" s="56"/>
      <c r="C77" s="57"/>
      <c r="D77" s="58"/>
      <c r="E77" s="57"/>
      <c r="F77" s="57"/>
      <c r="G77" s="57"/>
      <c r="H77" s="59"/>
      <c r="I77" s="60" t="str">
        <f aca="false">IF(B77="","",C77+IF(D77="",0,D77/60*Settings!$C$7)+E77+F77+Settings!$C$8)</f>
        <v/>
      </c>
      <c r="J77" s="60" t="str">
        <f aca="false">IF(B77="","",MAX(0,($I77+(Settings!$C$12+Settings!$C$13)-$G77*(1-(Settings!$C$10+Settings!$C$11+IF(Settings!$C$15="Yes / Sí",Settings!$C$14,0))))/(1-(Settings!$C$10+Settings!$C$11+IF(Settings!$C$15="Yes / Sí",Settings!$C$14,0)))))</f>
        <v/>
      </c>
      <c r="K77" s="60" t="str">
        <f aca="false">IF(B77="","",IF(1-(Settings!$C$10+Settings!$C$11+IF(Settings!$C$15="Yes / Sí",Settings!$C$14,0))-IF(H77="",Settings!$C$9,H77)&lt;=0,0,MAX(0,IF(Settings!$C$16="Yes / Sí",IF(ROUNDUP(($I77+(Settings!$C$12+Settings!$C$13)-$G77*(1-(Settings!$C$10+Settings!$C$11+IF(Settings!$C$15="Yes / Sí",Settings!$C$14,0))))/(1-(Settings!$C$10+Settings!$C$11+IF(Settings!$C$15="Yes / Sí",Settings!$C$14,0))-IF(H77="",Settings!$C$9,H77)),0)-0.01&gt;=($I77+(Settings!$C$12+Settings!$C$13)-$G77*(1-(Settings!$C$10+Settings!$C$11+IF(Settings!$C$15="Yes / Sí",Settings!$C$14,0))))/(1-(Settings!$C$10+Settings!$C$11+IF(Settings!$C$15="Yes / Sí",Settings!$C$14,0))-IF(H77="",Settings!$C$9,H77)),ROUNDUP(($I77+(Settings!$C$12+Settings!$C$13)-$G77*(1-(Settings!$C$10+Settings!$C$11+IF(Settings!$C$15="Yes / Sí",Settings!$C$14,0))))/(1-(Settings!$C$10+Settings!$C$11+IF(Settings!$C$15="Yes / Sí",Settings!$C$14,0))-IF(H77="",Settings!$C$9,H77)),0)-0.01,ROUNDUP(($I77+(Settings!$C$12+Settings!$C$13)-$G77*(1-(Settings!$C$10+Settings!$C$11+IF(Settings!$C$15="Yes / Sí",Settings!$C$14,0))))/(1-(Settings!$C$10+Settings!$C$11+IF(Settings!$C$15="Yes / Sí",Settings!$C$14,0))-IF(H77="",Settings!$C$9,H77)),0)+0.99),ROUNDUP(($I77+(Settings!$C$12+Settings!$C$13)-$G77*(1-(Settings!$C$10+Settings!$C$11+IF(Settings!$C$15="Yes / Sí",Settings!$C$14,0))))/(1-(Settings!$C$10+Settings!$C$11+IF(Settings!$C$15="Yes / Sí",Settings!$C$14,0))-IF(H77="",Settings!$C$9,H77)),2)))))</f>
        <v/>
      </c>
      <c r="L77" s="60" t="str">
        <f aca="false">IF(OR(B77="",K77=0),"",(K77+$G77-((K77+$G77)*(Settings!$C$10+Settings!$C$11+IF(Settings!$C$15="Yes / Sí",Settings!$C$14,0))+(Settings!$C$12+Settings!$C$13))-$I77))</f>
        <v/>
      </c>
      <c r="M77" s="57"/>
      <c r="N77" s="60" t="str">
        <f aca="false">IF(OR(B77="",M77=""),"",((M77+$G77)*(Settings!$C$10+Settings!$C$11+IF(Settings!$C$15="Yes / Sí",Settings!$C$14,0))+(Settings!$C$12+Settings!$C$13)))</f>
        <v/>
      </c>
      <c r="O77" s="60" t="str">
        <f aca="false">IF(OR(B77="",M77=""),"",(M77+$G77-((M77+$G77)*(Settings!$C$10+Settings!$C$11+IF(Settings!$C$15="Yes / Sí",Settings!$C$14,0))+(Settings!$C$12+Settings!$C$13))-$I77))</f>
        <v/>
      </c>
      <c r="P77" s="61" t="str">
        <f aca="false">IF(O77="","",IF(M77=0,0,O77/M77))</f>
        <v/>
      </c>
      <c r="Q77" s="60" t="str">
        <f aca="false">IF(OR(O77="",D77="",D77=0),"",(O77+D77/60*Settings!$C$7)/(D77/60))</f>
        <v/>
      </c>
      <c r="R77" s="62" t="str">
        <f aca="false">IF(B77="","",IF(M77="","Enter your price / Escribe tu precio",IF(O77&lt;0,"⚠ LOSING MONEY / PIERDES",IF(P77&lt;IF(H77="",Settings!$C$9,H77),"● BELOW TARGET / DEBAJO","✔ ON TARGET / EN OBJETIVO"))))</f>
        <v/>
      </c>
      <c r="T77" s="55" t="n">
        <f aca="false">IF(B77="",0,IF(M77="",0,1))</f>
        <v>0</v>
      </c>
      <c r="U77" s="55" t="n">
        <f aca="false">IF(T77=1,P77,0)</f>
        <v>0</v>
      </c>
      <c r="V77" s="55" t="n">
        <f aca="false">IF(T77=1,IF(O77&lt;0,0,IF(P77&lt;IF(H77="",Settings!$C$9,H77),1,0)),0)</f>
        <v>0</v>
      </c>
      <c r="W77" s="55" t="n">
        <f aca="false">IF(T77=1,IF(O77&lt;0,1,0),0)</f>
        <v>0</v>
      </c>
      <c r="X77" s="55" t="n">
        <f aca="false">IF(T77=1,M77,0)</f>
        <v>0</v>
      </c>
      <c r="Y77" s="55" t="n">
        <f aca="false">IF(T77=1,O77,0)</f>
        <v>0</v>
      </c>
      <c r="Z77" s="55" t="n">
        <f aca="false">IF(B77="",0,1)</f>
        <v>0</v>
      </c>
    </row>
    <row r="78" customFormat="false" ht="15" hidden="false" customHeight="false" outlineLevel="0" collapsed="false">
      <c r="B78" s="56"/>
      <c r="C78" s="57"/>
      <c r="D78" s="58"/>
      <c r="E78" s="57"/>
      <c r="F78" s="57"/>
      <c r="G78" s="57"/>
      <c r="H78" s="59"/>
      <c r="I78" s="60" t="str">
        <f aca="false">IF(B78="","",C78+IF(D78="",0,D78/60*Settings!$C$7)+E78+F78+Settings!$C$8)</f>
        <v/>
      </c>
      <c r="J78" s="60" t="str">
        <f aca="false">IF(B78="","",MAX(0,($I78+(Settings!$C$12+Settings!$C$13)-$G78*(1-(Settings!$C$10+Settings!$C$11+IF(Settings!$C$15="Yes / Sí",Settings!$C$14,0))))/(1-(Settings!$C$10+Settings!$C$11+IF(Settings!$C$15="Yes / Sí",Settings!$C$14,0)))))</f>
        <v/>
      </c>
      <c r="K78" s="60" t="str">
        <f aca="false">IF(B78="","",IF(1-(Settings!$C$10+Settings!$C$11+IF(Settings!$C$15="Yes / Sí",Settings!$C$14,0))-IF(H78="",Settings!$C$9,H78)&lt;=0,0,MAX(0,IF(Settings!$C$16="Yes / Sí",IF(ROUNDUP(($I78+(Settings!$C$12+Settings!$C$13)-$G78*(1-(Settings!$C$10+Settings!$C$11+IF(Settings!$C$15="Yes / Sí",Settings!$C$14,0))))/(1-(Settings!$C$10+Settings!$C$11+IF(Settings!$C$15="Yes / Sí",Settings!$C$14,0))-IF(H78="",Settings!$C$9,H78)),0)-0.01&gt;=($I78+(Settings!$C$12+Settings!$C$13)-$G78*(1-(Settings!$C$10+Settings!$C$11+IF(Settings!$C$15="Yes / Sí",Settings!$C$14,0))))/(1-(Settings!$C$10+Settings!$C$11+IF(Settings!$C$15="Yes / Sí",Settings!$C$14,0))-IF(H78="",Settings!$C$9,H78)),ROUNDUP(($I78+(Settings!$C$12+Settings!$C$13)-$G78*(1-(Settings!$C$10+Settings!$C$11+IF(Settings!$C$15="Yes / Sí",Settings!$C$14,0))))/(1-(Settings!$C$10+Settings!$C$11+IF(Settings!$C$15="Yes / Sí",Settings!$C$14,0))-IF(H78="",Settings!$C$9,H78)),0)-0.01,ROUNDUP(($I78+(Settings!$C$12+Settings!$C$13)-$G78*(1-(Settings!$C$10+Settings!$C$11+IF(Settings!$C$15="Yes / Sí",Settings!$C$14,0))))/(1-(Settings!$C$10+Settings!$C$11+IF(Settings!$C$15="Yes / Sí",Settings!$C$14,0))-IF(H78="",Settings!$C$9,H78)),0)+0.99),ROUNDUP(($I78+(Settings!$C$12+Settings!$C$13)-$G78*(1-(Settings!$C$10+Settings!$C$11+IF(Settings!$C$15="Yes / Sí",Settings!$C$14,0))))/(1-(Settings!$C$10+Settings!$C$11+IF(Settings!$C$15="Yes / Sí",Settings!$C$14,0))-IF(H78="",Settings!$C$9,H78)),2)))))</f>
        <v/>
      </c>
      <c r="L78" s="60" t="str">
        <f aca="false">IF(OR(B78="",K78=0),"",(K78+$G78-((K78+$G78)*(Settings!$C$10+Settings!$C$11+IF(Settings!$C$15="Yes / Sí",Settings!$C$14,0))+(Settings!$C$12+Settings!$C$13))-$I78))</f>
        <v/>
      </c>
      <c r="M78" s="57"/>
      <c r="N78" s="60" t="str">
        <f aca="false">IF(OR(B78="",M78=""),"",((M78+$G78)*(Settings!$C$10+Settings!$C$11+IF(Settings!$C$15="Yes / Sí",Settings!$C$14,0))+(Settings!$C$12+Settings!$C$13)))</f>
        <v/>
      </c>
      <c r="O78" s="60" t="str">
        <f aca="false">IF(OR(B78="",M78=""),"",(M78+$G78-((M78+$G78)*(Settings!$C$10+Settings!$C$11+IF(Settings!$C$15="Yes / Sí",Settings!$C$14,0))+(Settings!$C$12+Settings!$C$13))-$I78))</f>
        <v/>
      </c>
      <c r="P78" s="61" t="str">
        <f aca="false">IF(O78="","",IF(M78=0,0,O78/M78))</f>
        <v/>
      </c>
      <c r="Q78" s="60" t="str">
        <f aca="false">IF(OR(O78="",D78="",D78=0),"",(O78+D78/60*Settings!$C$7)/(D78/60))</f>
        <v/>
      </c>
      <c r="R78" s="62" t="str">
        <f aca="false">IF(B78="","",IF(M78="","Enter your price / Escribe tu precio",IF(O78&lt;0,"⚠ LOSING MONEY / PIERDES",IF(P78&lt;IF(H78="",Settings!$C$9,H78),"● BELOW TARGET / DEBAJO","✔ ON TARGET / EN OBJETIVO"))))</f>
        <v/>
      </c>
      <c r="T78" s="55" t="n">
        <f aca="false">IF(B78="",0,IF(M78="",0,1))</f>
        <v>0</v>
      </c>
      <c r="U78" s="55" t="n">
        <f aca="false">IF(T78=1,P78,0)</f>
        <v>0</v>
      </c>
      <c r="V78" s="55" t="n">
        <f aca="false">IF(T78=1,IF(O78&lt;0,0,IF(P78&lt;IF(H78="",Settings!$C$9,H78),1,0)),0)</f>
        <v>0</v>
      </c>
      <c r="W78" s="55" t="n">
        <f aca="false">IF(T78=1,IF(O78&lt;0,1,0),0)</f>
        <v>0</v>
      </c>
      <c r="X78" s="55" t="n">
        <f aca="false">IF(T78=1,M78,0)</f>
        <v>0</v>
      </c>
      <c r="Y78" s="55" t="n">
        <f aca="false">IF(T78=1,O78,0)</f>
        <v>0</v>
      </c>
      <c r="Z78" s="55" t="n">
        <f aca="false">IF(B78="",0,1)</f>
        <v>0</v>
      </c>
    </row>
    <row r="79" customFormat="false" ht="15" hidden="false" customHeight="false" outlineLevel="0" collapsed="false">
      <c r="B79" s="56"/>
      <c r="C79" s="57"/>
      <c r="D79" s="58"/>
      <c r="E79" s="57"/>
      <c r="F79" s="57"/>
      <c r="G79" s="57"/>
      <c r="H79" s="59"/>
      <c r="I79" s="60" t="str">
        <f aca="false">IF(B79="","",C79+IF(D79="",0,D79/60*Settings!$C$7)+E79+F79+Settings!$C$8)</f>
        <v/>
      </c>
      <c r="J79" s="60" t="str">
        <f aca="false">IF(B79="","",MAX(0,($I79+(Settings!$C$12+Settings!$C$13)-$G79*(1-(Settings!$C$10+Settings!$C$11+IF(Settings!$C$15="Yes / Sí",Settings!$C$14,0))))/(1-(Settings!$C$10+Settings!$C$11+IF(Settings!$C$15="Yes / Sí",Settings!$C$14,0)))))</f>
        <v/>
      </c>
      <c r="K79" s="60" t="str">
        <f aca="false">IF(B79="","",IF(1-(Settings!$C$10+Settings!$C$11+IF(Settings!$C$15="Yes / Sí",Settings!$C$14,0))-IF(H79="",Settings!$C$9,H79)&lt;=0,0,MAX(0,IF(Settings!$C$16="Yes / Sí",IF(ROUNDUP(($I79+(Settings!$C$12+Settings!$C$13)-$G79*(1-(Settings!$C$10+Settings!$C$11+IF(Settings!$C$15="Yes / Sí",Settings!$C$14,0))))/(1-(Settings!$C$10+Settings!$C$11+IF(Settings!$C$15="Yes / Sí",Settings!$C$14,0))-IF(H79="",Settings!$C$9,H79)),0)-0.01&gt;=($I79+(Settings!$C$12+Settings!$C$13)-$G79*(1-(Settings!$C$10+Settings!$C$11+IF(Settings!$C$15="Yes / Sí",Settings!$C$14,0))))/(1-(Settings!$C$10+Settings!$C$11+IF(Settings!$C$15="Yes / Sí",Settings!$C$14,0))-IF(H79="",Settings!$C$9,H79)),ROUNDUP(($I79+(Settings!$C$12+Settings!$C$13)-$G79*(1-(Settings!$C$10+Settings!$C$11+IF(Settings!$C$15="Yes / Sí",Settings!$C$14,0))))/(1-(Settings!$C$10+Settings!$C$11+IF(Settings!$C$15="Yes / Sí",Settings!$C$14,0))-IF(H79="",Settings!$C$9,H79)),0)-0.01,ROUNDUP(($I79+(Settings!$C$12+Settings!$C$13)-$G79*(1-(Settings!$C$10+Settings!$C$11+IF(Settings!$C$15="Yes / Sí",Settings!$C$14,0))))/(1-(Settings!$C$10+Settings!$C$11+IF(Settings!$C$15="Yes / Sí",Settings!$C$14,0))-IF(H79="",Settings!$C$9,H79)),0)+0.99),ROUNDUP(($I79+(Settings!$C$12+Settings!$C$13)-$G79*(1-(Settings!$C$10+Settings!$C$11+IF(Settings!$C$15="Yes / Sí",Settings!$C$14,0))))/(1-(Settings!$C$10+Settings!$C$11+IF(Settings!$C$15="Yes / Sí",Settings!$C$14,0))-IF(H79="",Settings!$C$9,H79)),2)))))</f>
        <v/>
      </c>
      <c r="L79" s="60" t="str">
        <f aca="false">IF(OR(B79="",K79=0),"",(K79+$G79-((K79+$G79)*(Settings!$C$10+Settings!$C$11+IF(Settings!$C$15="Yes / Sí",Settings!$C$14,0))+(Settings!$C$12+Settings!$C$13))-$I79))</f>
        <v/>
      </c>
      <c r="M79" s="57"/>
      <c r="N79" s="60" t="str">
        <f aca="false">IF(OR(B79="",M79=""),"",((M79+$G79)*(Settings!$C$10+Settings!$C$11+IF(Settings!$C$15="Yes / Sí",Settings!$C$14,0))+(Settings!$C$12+Settings!$C$13)))</f>
        <v/>
      </c>
      <c r="O79" s="60" t="str">
        <f aca="false">IF(OR(B79="",M79=""),"",(M79+$G79-((M79+$G79)*(Settings!$C$10+Settings!$C$11+IF(Settings!$C$15="Yes / Sí",Settings!$C$14,0))+(Settings!$C$12+Settings!$C$13))-$I79))</f>
        <v/>
      </c>
      <c r="P79" s="61" t="str">
        <f aca="false">IF(O79="","",IF(M79=0,0,O79/M79))</f>
        <v/>
      </c>
      <c r="Q79" s="60" t="str">
        <f aca="false">IF(OR(O79="",D79="",D79=0),"",(O79+D79/60*Settings!$C$7)/(D79/60))</f>
        <v/>
      </c>
      <c r="R79" s="62" t="str">
        <f aca="false">IF(B79="","",IF(M79="","Enter your price / Escribe tu precio",IF(O79&lt;0,"⚠ LOSING MONEY / PIERDES",IF(P79&lt;IF(H79="",Settings!$C$9,H79),"● BELOW TARGET / DEBAJO","✔ ON TARGET / EN OBJETIVO"))))</f>
        <v/>
      </c>
      <c r="T79" s="55" t="n">
        <f aca="false">IF(B79="",0,IF(M79="",0,1))</f>
        <v>0</v>
      </c>
      <c r="U79" s="55" t="n">
        <f aca="false">IF(T79=1,P79,0)</f>
        <v>0</v>
      </c>
      <c r="V79" s="55" t="n">
        <f aca="false">IF(T79=1,IF(O79&lt;0,0,IF(P79&lt;IF(H79="",Settings!$C$9,H79),1,0)),0)</f>
        <v>0</v>
      </c>
      <c r="W79" s="55" t="n">
        <f aca="false">IF(T79=1,IF(O79&lt;0,1,0),0)</f>
        <v>0</v>
      </c>
      <c r="X79" s="55" t="n">
        <f aca="false">IF(T79=1,M79,0)</f>
        <v>0</v>
      </c>
      <c r="Y79" s="55" t="n">
        <f aca="false">IF(T79=1,O79,0)</f>
        <v>0</v>
      </c>
      <c r="Z79" s="55" t="n">
        <f aca="false">IF(B79="",0,1)</f>
        <v>0</v>
      </c>
    </row>
    <row r="80" customFormat="false" ht="15" hidden="false" customHeight="false" outlineLevel="0" collapsed="false">
      <c r="B80" s="56"/>
      <c r="C80" s="57"/>
      <c r="D80" s="58"/>
      <c r="E80" s="57"/>
      <c r="F80" s="57"/>
      <c r="G80" s="57"/>
      <c r="H80" s="59"/>
      <c r="I80" s="60" t="str">
        <f aca="false">IF(B80="","",C80+IF(D80="",0,D80/60*Settings!$C$7)+E80+F80+Settings!$C$8)</f>
        <v/>
      </c>
      <c r="J80" s="60" t="str">
        <f aca="false">IF(B80="","",MAX(0,($I80+(Settings!$C$12+Settings!$C$13)-$G80*(1-(Settings!$C$10+Settings!$C$11+IF(Settings!$C$15="Yes / Sí",Settings!$C$14,0))))/(1-(Settings!$C$10+Settings!$C$11+IF(Settings!$C$15="Yes / Sí",Settings!$C$14,0)))))</f>
        <v/>
      </c>
      <c r="K80" s="60" t="str">
        <f aca="false">IF(B80="","",IF(1-(Settings!$C$10+Settings!$C$11+IF(Settings!$C$15="Yes / Sí",Settings!$C$14,0))-IF(H80="",Settings!$C$9,H80)&lt;=0,0,MAX(0,IF(Settings!$C$16="Yes / Sí",IF(ROUNDUP(($I80+(Settings!$C$12+Settings!$C$13)-$G80*(1-(Settings!$C$10+Settings!$C$11+IF(Settings!$C$15="Yes / Sí",Settings!$C$14,0))))/(1-(Settings!$C$10+Settings!$C$11+IF(Settings!$C$15="Yes / Sí",Settings!$C$14,0))-IF(H80="",Settings!$C$9,H80)),0)-0.01&gt;=($I80+(Settings!$C$12+Settings!$C$13)-$G80*(1-(Settings!$C$10+Settings!$C$11+IF(Settings!$C$15="Yes / Sí",Settings!$C$14,0))))/(1-(Settings!$C$10+Settings!$C$11+IF(Settings!$C$15="Yes / Sí",Settings!$C$14,0))-IF(H80="",Settings!$C$9,H80)),ROUNDUP(($I80+(Settings!$C$12+Settings!$C$13)-$G80*(1-(Settings!$C$10+Settings!$C$11+IF(Settings!$C$15="Yes / Sí",Settings!$C$14,0))))/(1-(Settings!$C$10+Settings!$C$11+IF(Settings!$C$15="Yes / Sí",Settings!$C$14,0))-IF(H80="",Settings!$C$9,H80)),0)-0.01,ROUNDUP(($I80+(Settings!$C$12+Settings!$C$13)-$G80*(1-(Settings!$C$10+Settings!$C$11+IF(Settings!$C$15="Yes / Sí",Settings!$C$14,0))))/(1-(Settings!$C$10+Settings!$C$11+IF(Settings!$C$15="Yes / Sí",Settings!$C$14,0))-IF(H80="",Settings!$C$9,H80)),0)+0.99),ROUNDUP(($I80+(Settings!$C$12+Settings!$C$13)-$G80*(1-(Settings!$C$10+Settings!$C$11+IF(Settings!$C$15="Yes / Sí",Settings!$C$14,0))))/(1-(Settings!$C$10+Settings!$C$11+IF(Settings!$C$15="Yes / Sí",Settings!$C$14,0))-IF(H80="",Settings!$C$9,H80)),2)))))</f>
        <v/>
      </c>
      <c r="L80" s="60" t="str">
        <f aca="false">IF(OR(B80="",K80=0),"",(K80+$G80-((K80+$G80)*(Settings!$C$10+Settings!$C$11+IF(Settings!$C$15="Yes / Sí",Settings!$C$14,0))+(Settings!$C$12+Settings!$C$13))-$I80))</f>
        <v/>
      </c>
      <c r="M80" s="57"/>
      <c r="N80" s="60" t="str">
        <f aca="false">IF(OR(B80="",M80=""),"",((M80+$G80)*(Settings!$C$10+Settings!$C$11+IF(Settings!$C$15="Yes / Sí",Settings!$C$14,0))+(Settings!$C$12+Settings!$C$13)))</f>
        <v/>
      </c>
      <c r="O80" s="60" t="str">
        <f aca="false">IF(OR(B80="",M80=""),"",(M80+$G80-((M80+$G80)*(Settings!$C$10+Settings!$C$11+IF(Settings!$C$15="Yes / Sí",Settings!$C$14,0))+(Settings!$C$12+Settings!$C$13))-$I80))</f>
        <v/>
      </c>
      <c r="P80" s="61" t="str">
        <f aca="false">IF(O80="","",IF(M80=0,0,O80/M80))</f>
        <v/>
      </c>
      <c r="Q80" s="60" t="str">
        <f aca="false">IF(OR(O80="",D80="",D80=0),"",(O80+D80/60*Settings!$C$7)/(D80/60))</f>
        <v/>
      </c>
      <c r="R80" s="62" t="str">
        <f aca="false">IF(B80="","",IF(M80="","Enter your price / Escribe tu precio",IF(O80&lt;0,"⚠ LOSING MONEY / PIERDES",IF(P80&lt;IF(H80="",Settings!$C$9,H80),"● BELOW TARGET / DEBAJO","✔ ON TARGET / EN OBJETIVO"))))</f>
        <v/>
      </c>
      <c r="T80" s="55" t="n">
        <f aca="false">IF(B80="",0,IF(M80="",0,1))</f>
        <v>0</v>
      </c>
      <c r="U80" s="55" t="n">
        <f aca="false">IF(T80=1,P80,0)</f>
        <v>0</v>
      </c>
      <c r="V80" s="55" t="n">
        <f aca="false">IF(T80=1,IF(O80&lt;0,0,IF(P80&lt;IF(H80="",Settings!$C$9,H80),1,0)),0)</f>
        <v>0</v>
      </c>
      <c r="W80" s="55" t="n">
        <f aca="false">IF(T80=1,IF(O80&lt;0,1,0),0)</f>
        <v>0</v>
      </c>
      <c r="X80" s="55" t="n">
        <f aca="false">IF(T80=1,M80,0)</f>
        <v>0</v>
      </c>
      <c r="Y80" s="55" t="n">
        <f aca="false">IF(T80=1,O80,0)</f>
        <v>0</v>
      </c>
      <c r="Z80" s="55" t="n">
        <f aca="false">IF(B80="",0,1)</f>
        <v>0</v>
      </c>
    </row>
    <row r="81" customFormat="false" ht="15" hidden="false" customHeight="false" outlineLevel="0" collapsed="false">
      <c r="B81" s="56"/>
      <c r="C81" s="57"/>
      <c r="D81" s="58"/>
      <c r="E81" s="57"/>
      <c r="F81" s="57"/>
      <c r="G81" s="57"/>
      <c r="H81" s="59"/>
      <c r="I81" s="60" t="str">
        <f aca="false">IF(B81="","",C81+IF(D81="",0,D81/60*Settings!$C$7)+E81+F81+Settings!$C$8)</f>
        <v/>
      </c>
      <c r="J81" s="60" t="str">
        <f aca="false">IF(B81="","",MAX(0,($I81+(Settings!$C$12+Settings!$C$13)-$G81*(1-(Settings!$C$10+Settings!$C$11+IF(Settings!$C$15="Yes / Sí",Settings!$C$14,0))))/(1-(Settings!$C$10+Settings!$C$11+IF(Settings!$C$15="Yes / Sí",Settings!$C$14,0)))))</f>
        <v/>
      </c>
      <c r="K81" s="60" t="str">
        <f aca="false">IF(B81="","",IF(1-(Settings!$C$10+Settings!$C$11+IF(Settings!$C$15="Yes / Sí",Settings!$C$14,0))-IF(H81="",Settings!$C$9,H81)&lt;=0,0,MAX(0,IF(Settings!$C$16="Yes / Sí",IF(ROUNDUP(($I81+(Settings!$C$12+Settings!$C$13)-$G81*(1-(Settings!$C$10+Settings!$C$11+IF(Settings!$C$15="Yes / Sí",Settings!$C$14,0))))/(1-(Settings!$C$10+Settings!$C$11+IF(Settings!$C$15="Yes / Sí",Settings!$C$14,0))-IF(H81="",Settings!$C$9,H81)),0)-0.01&gt;=($I81+(Settings!$C$12+Settings!$C$13)-$G81*(1-(Settings!$C$10+Settings!$C$11+IF(Settings!$C$15="Yes / Sí",Settings!$C$14,0))))/(1-(Settings!$C$10+Settings!$C$11+IF(Settings!$C$15="Yes / Sí",Settings!$C$14,0))-IF(H81="",Settings!$C$9,H81)),ROUNDUP(($I81+(Settings!$C$12+Settings!$C$13)-$G81*(1-(Settings!$C$10+Settings!$C$11+IF(Settings!$C$15="Yes / Sí",Settings!$C$14,0))))/(1-(Settings!$C$10+Settings!$C$11+IF(Settings!$C$15="Yes / Sí",Settings!$C$14,0))-IF(H81="",Settings!$C$9,H81)),0)-0.01,ROUNDUP(($I81+(Settings!$C$12+Settings!$C$13)-$G81*(1-(Settings!$C$10+Settings!$C$11+IF(Settings!$C$15="Yes / Sí",Settings!$C$14,0))))/(1-(Settings!$C$10+Settings!$C$11+IF(Settings!$C$15="Yes / Sí",Settings!$C$14,0))-IF(H81="",Settings!$C$9,H81)),0)+0.99),ROUNDUP(($I81+(Settings!$C$12+Settings!$C$13)-$G81*(1-(Settings!$C$10+Settings!$C$11+IF(Settings!$C$15="Yes / Sí",Settings!$C$14,0))))/(1-(Settings!$C$10+Settings!$C$11+IF(Settings!$C$15="Yes / Sí",Settings!$C$14,0))-IF(H81="",Settings!$C$9,H81)),2)))))</f>
        <v/>
      </c>
      <c r="L81" s="60" t="str">
        <f aca="false">IF(OR(B81="",K81=0),"",(K81+$G81-((K81+$G81)*(Settings!$C$10+Settings!$C$11+IF(Settings!$C$15="Yes / Sí",Settings!$C$14,0))+(Settings!$C$12+Settings!$C$13))-$I81))</f>
        <v/>
      </c>
      <c r="M81" s="57"/>
      <c r="N81" s="60" t="str">
        <f aca="false">IF(OR(B81="",M81=""),"",((M81+$G81)*(Settings!$C$10+Settings!$C$11+IF(Settings!$C$15="Yes / Sí",Settings!$C$14,0))+(Settings!$C$12+Settings!$C$13)))</f>
        <v/>
      </c>
      <c r="O81" s="60" t="str">
        <f aca="false">IF(OR(B81="",M81=""),"",(M81+$G81-((M81+$G81)*(Settings!$C$10+Settings!$C$11+IF(Settings!$C$15="Yes / Sí",Settings!$C$14,0))+(Settings!$C$12+Settings!$C$13))-$I81))</f>
        <v/>
      </c>
      <c r="P81" s="61" t="str">
        <f aca="false">IF(O81="","",IF(M81=0,0,O81/M81))</f>
        <v/>
      </c>
      <c r="Q81" s="60" t="str">
        <f aca="false">IF(OR(O81="",D81="",D81=0),"",(O81+D81/60*Settings!$C$7)/(D81/60))</f>
        <v/>
      </c>
      <c r="R81" s="62" t="str">
        <f aca="false">IF(B81="","",IF(M81="","Enter your price / Escribe tu precio",IF(O81&lt;0,"⚠ LOSING MONEY / PIERDES",IF(P81&lt;IF(H81="",Settings!$C$9,H81),"● BELOW TARGET / DEBAJO","✔ ON TARGET / EN OBJETIVO"))))</f>
        <v/>
      </c>
      <c r="T81" s="55" t="n">
        <f aca="false">IF(B81="",0,IF(M81="",0,1))</f>
        <v>0</v>
      </c>
      <c r="U81" s="55" t="n">
        <f aca="false">IF(T81=1,P81,0)</f>
        <v>0</v>
      </c>
      <c r="V81" s="55" t="n">
        <f aca="false">IF(T81=1,IF(O81&lt;0,0,IF(P81&lt;IF(H81="",Settings!$C$9,H81),1,0)),0)</f>
        <v>0</v>
      </c>
      <c r="W81" s="55" t="n">
        <f aca="false">IF(T81=1,IF(O81&lt;0,1,0),0)</f>
        <v>0</v>
      </c>
      <c r="X81" s="55" t="n">
        <f aca="false">IF(T81=1,M81,0)</f>
        <v>0</v>
      </c>
      <c r="Y81" s="55" t="n">
        <f aca="false">IF(T81=1,O81,0)</f>
        <v>0</v>
      </c>
      <c r="Z81" s="55" t="n">
        <f aca="false">IF(B81="",0,1)</f>
        <v>0</v>
      </c>
    </row>
    <row r="82" customFormat="false" ht="15" hidden="false" customHeight="false" outlineLevel="0" collapsed="false">
      <c r="B82" s="56"/>
      <c r="C82" s="57"/>
      <c r="D82" s="58"/>
      <c r="E82" s="57"/>
      <c r="F82" s="57"/>
      <c r="G82" s="57"/>
      <c r="H82" s="59"/>
      <c r="I82" s="60" t="str">
        <f aca="false">IF(B82="","",C82+IF(D82="",0,D82/60*Settings!$C$7)+E82+F82+Settings!$C$8)</f>
        <v/>
      </c>
      <c r="J82" s="60" t="str">
        <f aca="false">IF(B82="","",MAX(0,($I82+(Settings!$C$12+Settings!$C$13)-$G82*(1-(Settings!$C$10+Settings!$C$11+IF(Settings!$C$15="Yes / Sí",Settings!$C$14,0))))/(1-(Settings!$C$10+Settings!$C$11+IF(Settings!$C$15="Yes / Sí",Settings!$C$14,0)))))</f>
        <v/>
      </c>
      <c r="K82" s="60" t="str">
        <f aca="false">IF(B82="","",IF(1-(Settings!$C$10+Settings!$C$11+IF(Settings!$C$15="Yes / Sí",Settings!$C$14,0))-IF(H82="",Settings!$C$9,H82)&lt;=0,0,MAX(0,IF(Settings!$C$16="Yes / Sí",IF(ROUNDUP(($I82+(Settings!$C$12+Settings!$C$13)-$G82*(1-(Settings!$C$10+Settings!$C$11+IF(Settings!$C$15="Yes / Sí",Settings!$C$14,0))))/(1-(Settings!$C$10+Settings!$C$11+IF(Settings!$C$15="Yes / Sí",Settings!$C$14,0))-IF(H82="",Settings!$C$9,H82)),0)-0.01&gt;=($I82+(Settings!$C$12+Settings!$C$13)-$G82*(1-(Settings!$C$10+Settings!$C$11+IF(Settings!$C$15="Yes / Sí",Settings!$C$14,0))))/(1-(Settings!$C$10+Settings!$C$11+IF(Settings!$C$15="Yes / Sí",Settings!$C$14,0))-IF(H82="",Settings!$C$9,H82)),ROUNDUP(($I82+(Settings!$C$12+Settings!$C$13)-$G82*(1-(Settings!$C$10+Settings!$C$11+IF(Settings!$C$15="Yes / Sí",Settings!$C$14,0))))/(1-(Settings!$C$10+Settings!$C$11+IF(Settings!$C$15="Yes / Sí",Settings!$C$14,0))-IF(H82="",Settings!$C$9,H82)),0)-0.01,ROUNDUP(($I82+(Settings!$C$12+Settings!$C$13)-$G82*(1-(Settings!$C$10+Settings!$C$11+IF(Settings!$C$15="Yes / Sí",Settings!$C$14,0))))/(1-(Settings!$C$10+Settings!$C$11+IF(Settings!$C$15="Yes / Sí",Settings!$C$14,0))-IF(H82="",Settings!$C$9,H82)),0)+0.99),ROUNDUP(($I82+(Settings!$C$12+Settings!$C$13)-$G82*(1-(Settings!$C$10+Settings!$C$11+IF(Settings!$C$15="Yes / Sí",Settings!$C$14,0))))/(1-(Settings!$C$10+Settings!$C$11+IF(Settings!$C$15="Yes / Sí",Settings!$C$14,0))-IF(H82="",Settings!$C$9,H82)),2)))))</f>
        <v/>
      </c>
      <c r="L82" s="60" t="str">
        <f aca="false">IF(OR(B82="",K82=0),"",(K82+$G82-((K82+$G82)*(Settings!$C$10+Settings!$C$11+IF(Settings!$C$15="Yes / Sí",Settings!$C$14,0))+(Settings!$C$12+Settings!$C$13))-$I82))</f>
        <v/>
      </c>
      <c r="M82" s="57"/>
      <c r="N82" s="60" t="str">
        <f aca="false">IF(OR(B82="",M82=""),"",((M82+$G82)*(Settings!$C$10+Settings!$C$11+IF(Settings!$C$15="Yes / Sí",Settings!$C$14,0))+(Settings!$C$12+Settings!$C$13)))</f>
        <v/>
      </c>
      <c r="O82" s="60" t="str">
        <f aca="false">IF(OR(B82="",M82=""),"",(M82+$G82-((M82+$G82)*(Settings!$C$10+Settings!$C$11+IF(Settings!$C$15="Yes / Sí",Settings!$C$14,0))+(Settings!$C$12+Settings!$C$13))-$I82))</f>
        <v/>
      </c>
      <c r="P82" s="61" t="str">
        <f aca="false">IF(O82="","",IF(M82=0,0,O82/M82))</f>
        <v/>
      </c>
      <c r="Q82" s="60" t="str">
        <f aca="false">IF(OR(O82="",D82="",D82=0),"",(O82+D82/60*Settings!$C$7)/(D82/60))</f>
        <v/>
      </c>
      <c r="R82" s="62" t="str">
        <f aca="false">IF(B82="","",IF(M82="","Enter your price / Escribe tu precio",IF(O82&lt;0,"⚠ LOSING MONEY / PIERDES",IF(P82&lt;IF(H82="",Settings!$C$9,H82),"● BELOW TARGET / DEBAJO","✔ ON TARGET / EN OBJETIVO"))))</f>
        <v/>
      </c>
      <c r="T82" s="55" t="n">
        <f aca="false">IF(B82="",0,IF(M82="",0,1))</f>
        <v>0</v>
      </c>
      <c r="U82" s="55" t="n">
        <f aca="false">IF(T82=1,P82,0)</f>
        <v>0</v>
      </c>
      <c r="V82" s="55" t="n">
        <f aca="false">IF(T82=1,IF(O82&lt;0,0,IF(P82&lt;IF(H82="",Settings!$C$9,H82),1,0)),0)</f>
        <v>0</v>
      </c>
      <c r="W82" s="55" t="n">
        <f aca="false">IF(T82=1,IF(O82&lt;0,1,0),0)</f>
        <v>0</v>
      </c>
      <c r="X82" s="55" t="n">
        <f aca="false">IF(T82=1,M82,0)</f>
        <v>0</v>
      </c>
      <c r="Y82" s="55" t="n">
        <f aca="false">IF(T82=1,O82,0)</f>
        <v>0</v>
      </c>
      <c r="Z82" s="55" t="n">
        <f aca="false">IF(B82="",0,1)</f>
        <v>0</v>
      </c>
    </row>
    <row r="83" customFormat="false" ht="15" hidden="false" customHeight="false" outlineLevel="0" collapsed="false">
      <c r="B83" s="56"/>
      <c r="C83" s="57"/>
      <c r="D83" s="58"/>
      <c r="E83" s="57"/>
      <c r="F83" s="57"/>
      <c r="G83" s="57"/>
      <c r="H83" s="59"/>
      <c r="I83" s="60" t="str">
        <f aca="false">IF(B83="","",C83+IF(D83="",0,D83/60*Settings!$C$7)+E83+F83+Settings!$C$8)</f>
        <v/>
      </c>
      <c r="J83" s="60" t="str">
        <f aca="false">IF(B83="","",MAX(0,($I83+(Settings!$C$12+Settings!$C$13)-$G83*(1-(Settings!$C$10+Settings!$C$11+IF(Settings!$C$15="Yes / Sí",Settings!$C$14,0))))/(1-(Settings!$C$10+Settings!$C$11+IF(Settings!$C$15="Yes / Sí",Settings!$C$14,0)))))</f>
        <v/>
      </c>
      <c r="K83" s="60" t="str">
        <f aca="false">IF(B83="","",IF(1-(Settings!$C$10+Settings!$C$11+IF(Settings!$C$15="Yes / Sí",Settings!$C$14,0))-IF(H83="",Settings!$C$9,H83)&lt;=0,0,MAX(0,IF(Settings!$C$16="Yes / Sí",IF(ROUNDUP(($I83+(Settings!$C$12+Settings!$C$13)-$G83*(1-(Settings!$C$10+Settings!$C$11+IF(Settings!$C$15="Yes / Sí",Settings!$C$14,0))))/(1-(Settings!$C$10+Settings!$C$11+IF(Settings!$C$15="Yes / Sí",Settings!$C$14,0))-IF(H83="",Settings!$C$9,H83)),0)-0.01&gt;=($I83+(Settings!$C$12+Settings!$C$13)-$G83*(1-(Settings!$C$10+Settings!$C$11+IF(Settings!$C$15="Yes / Sí",Settings!$C$14,0))))/(1-(Settings!$C$10+Settings!$C$11+IF(Settings!$C$15="Yes / Sí",Settings!$C$14,0))-IF(H83="",Settings!$C$9,H83)),ROUNDUP(($I83+(Settings!$C$12+Settings!$C$13)-$G83*(1-(Settings!$C$10+Settings!$C$11+IF(Settings!$C$15="Yes / Sí",Settings!$C$14,0))))/(1-(Settings!$C$10+Settings!$C$11+IF(Settings!$C$15="Yes / Sí",Settings!$C$14,0))-IF(H83="",Settings!$C$9,H83)),0)-0.01,ROUNDUP(($I83+(Settings!$C$12+Settings!$C$13)-$G83*(1-(Settings!$C$10+Settings!$C$11+IF(Settings!$C$15="Yes / Sí",Settings!$C$14,0))))/(1-(Settings!$C$10+Settings!$C$11+IF(Settings!$C$15="Yes / Sí",Settings!$C$14,0))-IF(H83="",Settings!$C$9,H83)),0)+0.99),ROUNDUP(($I83+(Settings!$C$12+Settings!$C$13)-$G83*(1-(Settings!$C$10+Settings!$C$11+IF(Settings!$C$15="Yes / Sí",Settings!$C$14,0))))/(1-(Settings!$C$10+Settings!$C$11+IF(Settings!$C$15="Yes / Sí",Settings!$C$14,0))-IF(H83="",Settings!$C$9,H83)),2)))))</f>
        <v/>
      </c>
      <c r="L83" s="60" t="str">
        <f aca="false">IF(OR(B83="",K83=0),"",(K83+$G83-((K83+$G83)*(Settings!$C$10+Settings!$C$11+IF(Settings!$C$15="Yes / Sí",Settings!$C$14,0))+(Settings!$C$12+Settings!$C$13))-$I83))</f>
        <v/>
      </c>
      <c r="M83" s="57"/>
      <c r="N83" s="60" t="str">
        <f aca="false">IF(OR(B83="",M83=""),"",((M83+$G83)*(Settings!$C$10+Settings!$C$11+IF(Settings!$C$15="Yes / Sí",Settings!$C$14,0))+(Settings!$C$12+Settings!$C$13)))</f>
        <v/>
      </c>
      <c r="O83" s="60" t="str">
        <f aca="false">IF(OR(B83="",M83=""),"",(M83+$G83-((M83+$G83)*(Settings!$C$10+Settings!$C$11+IF(Settings!$C$15="Yes / Sí",Settings!$C$14,0))+(Settings!$C$12+Settings!$C$13))-$I83))</f>
        <v/>
      </c>
      <c r="P83" s="61" t="str">
        <f aca="false">IF(O83="","",IF(M83=0,0,O83/M83))</f>
        <v/>
      </c>
      <c r="Q83" s="60" t="str">
        <f aca="false">IF(OR(O83="",D83="",D83=0),"",(O83+D83/60*Settings!$C$7)/(D83/60))</f>
        <v/>
      </c>
      <c r="R83" s="62" t="str">
        <f aca="false">IF(B83="","",IF(M83="","Enter your price / Escribe tu precio",IF(O83&lt;0,"⚠ LOSING MONEY / PIERDES",IF(P83&lt;IF(H83="",Settings!$C$9,H83),"● BELOW TARGET / DEBAJO","✔ ON TARGET / EN OBJETIVO"))))</f>
        <v/>
      </c>
      <c r="T83" s="55" t="n">
        <f aca="false">IF(B83="",0,IF(M83="",0,1))</f>
        <v>0</v>
      </c>
      <c r="U83" s="55" t="n">
        <f aca="false">IF(T83=1,P83,0)</f>
        <v>0</v>
      </c>
      <c r="V83" s="55" t="n">
        <f aca="false">IF(T83=1,IF(O83&lt;0,0,IF(P83&lt;IF(H83="",Settings!$C$9,H83),1,0)),0)</f>
        <v>0</v>
      </c>
      <c r="W83" s="55" t="n">
        <f aca="false">IF(T83=1,IF(O83&lt;0,1,0),0)</f>
        <v>0</v>
      </c>
      <c r="X83" s="55" t="n">
        <f aca="false">IF(T83=1,M83,0)</f>
        <v>0</v>
      </c>
      <c r="Y83" s="55" t="n">
        <f aca="false">IF(T83=1,O83,0)</f>
        <v>0</v>
      </c>
      <c r="Z83" s="55" t="n">
        <f aca="false">IF(B83="",0,1)</f>
        <v>0</v>
      </c>
    </row>
    <row r="84" customFormat="false" ht="15" hidden="false" customHeight="false" outlineLevel="0" collapsed="false">
      <c r="B84" s="56"/>
      <c r="C84" s="57"/>
      <c r="D84" s="58"/>
      <c r="E84" s="57"/>
      <c r="F84" s="57"/>
      <c r="G84" s="57"/>
      <c r="H84" s="59"/>
      <c r="I84" s="60" t="str">
        <f aca="false">IF(B84="","",C84+IF(D84="",0,D84/60*Settings!$C$7)+E84+F84+Settings!$C$8)</f>
        <v/>
      </c>
      <c r="J84" s="60" t="str">
        <f aca="false">IF(B84="","",MAX(0,($I84+(Settings!$C$12+Settings!$C$13)-$G84*(1-(Settings!$C$10+Settings!$C$11+IF(Settings!$C$15="Yes / Sí",Settings!$C$14,0))))/(1-(Settings!$C$10+Settings!$C$11+IF(Settings!$C$15="Yes / Sí",Settings!$C$14,0)))))</f>
        <v/>
      </c>
      <c r="K84" s="60" t="str">
        <f aca="false">IF(B84="","",IF(1-(Settings!$C$10+Settings!$C$11+IF(Settings!$C$15="Yes / Sí",Settings!$C$14,0))-IF(H84="",Settings!$C$9,H84)&lt;=0,0,MAX(0,IF(Settings!$C$16="Yes / Sí",IF(ROUNDUP(($I84+(Settings!$C$12+Settings!$C$13)-$G84*(1-(Settings!$C$10+Settings!$C$11+IF(Settings!$C$15="Yes / Sí",Settings!$C$14,0))))/(1-(Settings!$C$10+Settings!$C$11+IF(Settings!$C$15="Yes / Sí",Settings!$C$14,0))-IF(H84="",Settings!$C$9,H84)),0)-0.01&gt;=($I84+(Settings!$C$12+Settings!$C$13)-$G84*(1-(Settings!$C$10+Settings!$C$11+IF(Settings!$C$15="Yes / Sí",Settings!$C$14,0))))/(1-(Settings!$C$10+Settings!$C$11+IF(Settings!$C$15="Yes / Sí",Settings!$C$14,0))-IF(H84="",Settings!$C$9,H84)),ROUNDUP(($I84+(Settings!$C$12+Settings!$C$13)-$G84*(1-(Settings!$C$10+Settings!$C$11+IF(Settings!$C$15="Yes / Sí",Settings!$C$14,0))))/(1-(Settings!$C$10+Settings!$C$11+IF(Settings!$C$15="Yes / Sí",Settings!$C$14,0))-IF(H84="",Settings!$C$9,H84)),0)-0.01,ROUNDUP(($I84+(Settings!$C$12+Settings!$C$13)-$G84*(1-(Settings!$C$10+Settings!$C$11+IF(Settings!$C$15="Yes / Sí",Settings!$C$14,0))))/(1-(Settings!$C$10+Settings!$C$11+IF(Settings!$C$15="Yes / Sí",Settings!$C$14,0))-IF(H84="",Settings!$C$9,H84)),0)+0.99),ROUNDUP(($I84+(Settings!$C$12+Settings!$C$13)-$G84*(1-(Settings!$C$10+Settings!$C$11+IF(Settings!$C$15="Yes / Sí",Settings!$C$14,0))))/(1-(Settings!$C$10+Settings!$C$11+IF(Settings!$C$15="Yes / Sí",Settings!$C$14,0))-IF(H84="",Settings!$C$9,H84)),2)))))</f>
        <v/>
      </c>
      <c r="L84" s="60" t="str">
        <f aca="false">IF(OR(B84="",K84=0),"",(K84+$G84-((K84+$G84)*(Settings!$C$10+Settings!$C$11+IF(Settings!$C$15="Yes / Sí",Settings!$C$14,0))+(Settings!$C$12+Settings!$C$13))-$I84))</f>
        <v/>
      </c>
      <c r="M84" s="57"/>
      <c r="N84" s="60" t="str">
        <f aca="false">IF(OR(B84="",M84=""),"",((M84+$G84)*(Settings!$C$10+Settings!$C$11+IF(Settings!$C$15="Yes / Sí",Settings!$C$14,0))+(Settings!$C$12+Settings!$C$13)))</f>
        <v/>
      </c>
      <c r="O84" s="60" t="str">
        <f aca="false">IF(OR(B84="",M84=""),"",(M84+$G84-((M84+$G84)*(Settings!$C$10+Settings!$C$11+IF(Settings!$C$15="Yes / Sí",Settings!$C$14,0))+(Settings!$C$12+Settings!$C$13))-$I84))</f>
        <v/>
      </c>
      <c r="P84" s="61" t="str">
        <f aca="false">IF(O84="","",IF(M84=0,0,O84/M84))</f>
        <v/>
      </c>
      <c r="Q84" s="60" t="str">
        <f aca="false">IF(OR(O84="",D84="",D84=0),"",(O84+D84/60*Settings!$C$7)/(D84/60))</f>
        <v/>
      </c>
      <c r="R84" s="62" t="str">
        <f aca="false">IF(B84="","",IF(M84="","Enter your price / Escribe tu precio",IF(O84&lt;0,"⚠ LOSING MONEY / PIERDES",IF(P84&lt;IF(H84="",Settings!$C$9,H84),"● BELOW TARGET / DEBAJO","✔ ON TARGET / EN OBJETIVO"))))</f>
        <v/>
      </c>
      <c r="T84" s="55" t="n">
        <f aca="false">IF(B84="",0,IF(M84="",0,1))</f>
        <v>0</v>
      </c>
      <c r="U84" s="55" t="n">
        <f aca="false">IF(T84=1,P84,0)</f>
        <v>0</v>
      </c>
      <c r="V84" s="55" t="n">
        <f aca="false">IF(T84=1,IF(O84&lt;0,0,IF(P84&lt;IF(H84="",Settings!$C$9,H84),1,0)),0)</f>
        <v>0</v>
      </c>
      <c r="W84" s="55" t="n">
        <f aca="false">IF(T84=1,IF(O84&lt;0,1,0),0)</f>
        <v>0</v>
      </c>
      <c r="X84" s="55" t="n">
        <f aca="false">IF(T84=1,M84,0)</f>
        <v>0</v>
      </c>
      <c r="Y84" s="55" t="n">
        <f aca="false">IF(T84=1,O84,0)</f>
        <v>0</v>
      </c>
      <c r="Z84" s="55" t="n">
        <f aca="false">IF(B84="",0,1)</f>
        <v>0</v>
      </c>
    </row>
    <row r="85" customFormat="false" ht="15" hidden="false" customHeight="false" outlineLevel="0" collapsed="false">
      <c r="B85" s="56"/>
      <c r="C85" s="57"/>
      <c r="D85" s="58"/>
      <c r="E85" s="57"/>
      <c r="F85" s="57"/>
      <c r="G85" s="57"/>
      <c r="H85" s="59"/>
      <c r="I85" s="60" t="str">
        <f aca="false">IF(B85="","",C85+IF(D85="",0,D85/60*Settings!$C$7)+E85+F85+Settings!$C$8)</f>
        <v/>
      </c>
      <c r="J85" s="60" t="str">
        <f aca="false">IF(B85="","",MAX(0,($I85+(Settings!$C$12+Settings!$C$13)-$G85*(1-(Settings!$C$10+Settings!$C$11+IF(Settings!$C$15="Yes / Sí",Settings!$C$14,0))))/(1-(Settings!$C$10+Settings!$C$11+IF(Settings!$C$15="Yes / Sí",Settings!$C$14,0)))))</f>
        <v/>
      </c>
      <c r="K85" s="60" t="str">
        <f aca="false">IF(B85="","",IF(1-(Settings!$C$10+Settings!$C$11+IF(Settings!$C$15="Yes / Sí",Settings!$C$14,0))-IF(H85="",Settings!$C$9,H85)&lt;=0,0,MAX(0,IF(Settings!$C$16="Yes / Sí",IF(ROUNDUP(($I85+(Settings!$C$12+Settings!$C$13)-$G85*(1-(Settings!$C$10+Settings!$C$11+IF(Settings!$C$15="Yes / Sí",Settings!$C$14,0))))/(1-(Settings!$C$10+Settings!$C$11+IF(Settings!$C$15="Yes / Sí",Settings!$C$14,0))-IF(H85="",Settings!$C$9,H85)),0)-0.01&gt;=($I85+(Settings!$C$12+Settings!$C$13)-$G85*(1-(Settings!$C$10+Settings!$C$11+IF(Settings!$C$15="Yes / Sí",Settings!$C$14,0))))/(1-(Settings!$C$10+Settings!$C$11+IF(Settings!$C$15="Yes / Sí",Settings!$C$14,0))-IF(H85="",Settings!$C$9,H85)),ROUNDUP(($I85+(Settings!$C$12+Settings!$C$13)-$G85*(1-(Settings!$C$10+Settings!$C$11+IF(Settings!$C$15="Yes / Sí",Settings!$C$14,0))))/(1-(Settings!$C$10+Settings!$C$11+IF(Settings!$C$15="Yes / Sí",Settings!$C$14,0))-IF(H85="",Settings!$C$9,H85)),0)-0.01,ROUNDUP(($I85+(Settings!$C$12+Settings!$C$13)-$G85*(1-(Settings!$C$10+Settings!$C$11+IF(Settings!$C$15="Yes / Sí",Settings!$C$14,0))))/(1-(Settings!$C$10+Settings!$C$11+IF(Settings!$C$15="Yes / Sí",Settings!$C$14,0))-IF(H85="",Settings!$C$9,H85)),0)+0.99),ROUNDUP(($I85+(Settings!$C$12+Settings!$C$13)-$G85*(1-(Settings!$C$10+Settings!$C$11+IF(Settings!$C$15="Yes / Sí",Settings!$C$14,0))))/(1-(Settings!$C$10+Settings!$C$11+IF(Settings!$C$15="Yes / Sí",Settings!$C$14,0))-IF(H85="",Settings!$C$9,H85)),2)))))</f>
        <v/>
      </c>
      <c r="L85" s="60" t="str">
        <f aca="false">IF(OR(B85="",K85=0),"",(K85+$G85-((K85+$G85)*(Settings!$C$10+Settings!$C$11+IF(Settings!$C$15="Yes / Sí",Settings!$C$14,0))+(Settings!$C$12+Settings!$C$13))-$I85))</f>
        <v/>
      </c>
      <c r="M85" s="57"/>
      <c r="N85" s="60" t="str">
        <f aca="false">IF(OR(B85="",M85=""),"",((M85+$G85)*(Settings!$C$10+Settings!$C$11+IF(Settings!$C$15="Yes / Sí",Settings!$C$14,0))+(Settings!$C$12+Settings!$C$13)))</f>
        <v/>
      </c>
      <c r="O85" s="60" t="str">
        <f aca="false">IF(OR(B85="",M85=""),"",(M85+$G85-((M85+$G85)*(Settings!$C$10+Settings!$C$11+IF(Settings!$C$15="Yes / Sí",Settings!$C$14,0))+(Settings!$C$12+Settings!$C$13))-$I85))</f>
        <v/>
      </c>
      <c r="P85" s="61" t="str">
        <f aca="false">IF(O85="","",IF(M85=0,0,O85/M85))</f>
        <v/>
      </c>
      <c r="Q85" s="60" t="str">
        <f aca="false">IF(OR(O85="",D85="",D85=0),"",(O85+D85/60*Settings!$C$7)/(D85/60))</f>
        <v/>
      </c>
      <c r="R85" s="62" t="str">
        <f aca="false">IF(B85="","",IF(M85="","Enter your price / Escribe tu precio",IF(O85&lt;0,"⚠ LOSING MONEY / PIERDES",IF(P85&lt;IF(H85="",Settings!$C$9,H85),"● BELOW TARGET / DEBAJO","✔ ON TARGET / EN OBJETIVO"))))</f>
        <v/>
      </c>
      <c r="T85" s="55" t="n">
        <f aca="false">IF(B85="",0,IF(M85="",0,1))</f>
        <v>0</v>
      </c>
      <c r="U85" s="55" t="n">
        <f aca="false">IF(T85=1,P85,0)</f>
        <v>0</v>
      </c>
      <c r="V85" s="55" t="n">
        <f aca="false">IF(T85=1,IF(O85&lt;0,0,IF(P85&lt;IF(H85="",Settings!$C$9,H85),1,0)),0)</f>
        <v>0</v>
      </c>
      <c r="W85" s="55" t="n">
        <f aca="false">IF(T85=1,IF(O85&lt;0,1,0),0)</f>
        <v>0</v>
      </c>
      <c r="X85" s="55" t="n">
        <f aca="false">IF(T85=1,M85,0)</f>
        <v>0</v>
      </c>
      <c r="Y85" s="55" t="n">
        <f aca="false">IF(T85=1,O85,0)</f>
        <v>0</v>
      </c>
      <c r="Z85" s="55" t="n">
        <f aca="false">IF(B85="",0,1)</f>
        <v>0</v>
      </c>
    </row>
    <row r="86" customFormat="false" ht="15" hidden="false" customHeight="false" outlineLevel="0" collapsed="false">
      <c r="B86" s="56"/>
      <c r="C86" s="57"/>
      <c r="D86" s="58"/>
      <c r="E86" s="57"/>
      <c r="F86" s="57"/>
      <c r="G86" s="57"/>
      <c r="H86" s="59"/>
      <c r="I86" s="60" t="str">
        <f aca="false">IF(B86="","",C86+IF(D86="",0,D86/60*Settings!$C$7)+E86+F86+Settings!$C$8)</f>
        <v/>
      </c>
      <c r="J86" s="60" t="str">
        <f aca="false">IF(B86="","",MAX(0,($I86+(Settings!$C$12+Settings!$C$13)-$G86*(1-(Settings!$C$10+Settings!$C$11+IF(Settings!$C$15="Yes / Sí",Settings!$C$14,0))))/(1-(Settings!$C$10+Settings!$C$11+IF(Settings!$C$15="Yes / Sí",Settings!$C$14,0)))))</f>
        <v/>
      </c>
      <c r="K86" s="60" t="str">
        <f aca="false">IF(B86="","",IF(1-(Settings!$C$10+Settings!$C$11+IF(Settings!$C$15="Yes / Sí",Settings!$C$14,0))-IF(H86="",Settings!$C$9,H86)&lt;=0,0,MAX(0,IF(Settings!$C$16="Yes / Sí",IF(ROUNDUP(($I86+(Settings!$C$12+Settings!$C$13)-$G86*(1-(Settings!$C$10+Settings!$C$11+IF(Settings!$C$15="Yes / Sí",Settings!$C$14,0))))/(1-(Settings!$C$10+Settings!$C$11+IF(Settings!$C$15="Yes / Sí",Settings!$C$14,0))-IF(H86="",Settings!$C$9,H86)),0)-0.01&gt;=($I86+(Settings!$C$12+Settings!$C$13)-$G86*(1-(Settings!$C$10+Settings!$C$11+IF(Settings!$C$15="Yes / Sí",Settings!$C$14,0))))/(1-(Settings!$C$10+Settings!$C$11+IF(Settings!$C$15="Yes / Sí",Settings!$C$14,0))-IF(H86="",Settings!$C$9,H86)),ROUNDUP(($I86+(Settings!$C$12+Settings!$C$13)-$G86*(1-(Settings!$C$10+Settings!$C$11+IF(Settings!$C$15="Yes / Sí",Settings!$C$14,0))))/(1-(Settings!$C$10+Settings!$C$11+IF(Settings!$C$15="Yes / Sí",Settings!$C$14,0))-IF(H86="",Settings!$C$9,H86)),0)-0.01,ROUNDUP(($I86+(Settings!$C$12+Settings!$C$13)-$G86*(1-(Settings!$C$10+Settings!$C$11+IF(Settings!$C$15="Yes / Sí",Settings!$C$14,0))))/(1-(Settings!$C$10+Settings!$C$11+IF(Settings!$C$15="Yes / Sí",Settings!$C$14,0))-IF(H86="",Settings!$C$9,H86)),0)+0.99),ROUNDUP(($I86+(Settings!$C$12+Settings!$C$13)-$G86*(1-(Settings!$C$10+Settings!$C$11+IF(Settings!$C$15="Yes / Sí",Settings!$C$14,0))))/(1-(Settings!$C$10+Settings!$C$11+IF(Settings!$C$15="Yes / Sí",Settings!$C$14,0))-IF(H86="",Settings!$C$9,H86)),2)))))</f>
        <v/>
      </c>
      <c r="L86" s="60" t="str">
        <f aca="false">IF(OR(B86="",K86=0),"",(K86+$G86-((K86+$G86)*(Settings!$C$10+Settings!$C$11+IF(Settings!$C$15="Yes / Sí",Settings!$C$14,0))+(Settings!$C$12+Settings!$C$13))-$I86))</f>
        <v/>
      </c>
      <c r="M86" s="57"/>
      <c r="N86" s="60" t="str">
        <f aca="false">IF(OR(B86="",M86=""),"",((M86+$G86)*(Settings!$C$10+Settings!$C$11+IF(Settings!$C$15="Yes / Sí",Settings!$C$14,0))+(Settings!$C$12+Settings!$C$13)))</f>
        <v/>
      </c>
      <c r="O86" s="60" t="str">
        <f aca="false">IF(OR(B86="",M86=""),"",(M86+$G86-((M86+$G86)*(Settings!$C$10+Settings!$C$11+IF(Settings!$C$15="Yes / Sí",Settings!$C$14,0))+(Settings!$C$12+Settings!$C$13))-$I86))</f>
        <v/>
      </c>
      <c r="P86" s="61" t="str">
        <f aca="false">IF(O86="","",IF(M86=0,0,O86/M86))</f>
        <v/>
      </c>
      <c r="Q86" s="60" t="str">
        <f aca="false">IF(OR(O86="",D86="",D86=0),"",(O86+D86/60*Settings!$C$7)/(D86/60))</f>
        <v/>
      </c>
      <c r="R86" s="62" t="str">
        <f aca="false">IF(B86="","",IF(M86="","Enter your price / Escribe tu precio",IF(O86&lt;0,"⚠ LOSING MONEY / PIERDES",IF(P86&lt;IF(H86="",Settings!$C$9,H86),"● BELOW TARGET / DEBAJO","✔ ON TARGET / EN OBJETIVO"))))</f>
        <v/>
      </c>
      <c r="T86" s="55" t="n">
        <f aca="false">IF(B86="",0,IF(M86="",0,1))</f>
        <v>0</v>
      </c>
      <c r="U86" s="55" t="n">
        <f aca="false">IF(T86=1,P86,0)</f>
        <v>0</v>
      </c>
      <c r="V86" s="55" t="n">
        <f aca="false">IF(T86=1,IF(O86&lt;0,0,IF(P86&lt;IF(H86="",Settings!$C$9,H86),1,0)),0)</f>
        <v>0</v>
      </c>
      <c r="W86" s="55" t="n">
        <f aca="false">IF(T86=1,IF(O86&lt;0,1,0),0)</f>
        <v>0</v>
      </c>
      <c r="X86" s="55" t="n">
        <f aca="false">IF(T86=1,M86,0)</f>
        <v>0</v>
      </c>
      <c r="Y86" s="55" t="n">
        <f aca="false">IF(T86=1,O86,0)</f>
        <v>0</v>
      </c>
      <c r="Z86" s="55" t="n">
        <f aca="false">IF(B86="",0,1)</f>
        <v>0</v>
      </c>
    </row>
    <row r="87" customFormat="false" ht="15" hidden="false" customHeight="false" outlineLevel="0" collapsed="false">
      <c r="B87" s="56"/>
      <c r="C87" s="57"/>
      <c r="D87" s="58"/>
      <c r="E87" s="57"/>
      <c r="F87" s="57"/>
      <c r="G87" s="57"/>
      <c r="H87" s="59"/>
      <c r="I87" s="60" t="str">
        <f aca="false">IF(B87="","",C87+IF(D87="",0,D87/60*Settings!$C$7)+E87+F87+Settings!$C$8)</f>
        <v/>
      </c>
      <c r="J87" s="60" t="str">
        <f aca="false">IF(B87="","",MAX(0,($I87+(Settings!$C$12+Settings!$C$13)-$G87*(1-(Settings!$C$10+Settings!$C$11+IF(Settings!$C$15="Yes / Sí",Settings!$C$14,0))))/(1-(Settings!$C$10+Settings!$C$11+IF(Settings!$C$15="Yes / Sí",Settings!$C$14,0)))))</f>
        <v/>
      </c>
      <c r="K87" s="60" t="str">
        <f aca="false">IF(B87="","",IF(1-(Settings!$C$10+Settings!$C$11+IF(Settings!$C$15="Yes / Sí",Settings!$C$14,0))-IF(H87="",Settings!$C$9,H87)&lt;=0,0,MAX(0,IF(Settings!$C$16="Yes / Sí",IF(ROUNDUP(($I87+(Settings!$C$12+Settings!$C$13)-$G87*(1-(Settings!$C$10+Settings!$C$11+IF(Settings!$C$15="Yes / Sí",Settings!$C$14,0))))/(1-(Settings!$C$10+Settings!$C$11+IF(Settings!$C$15="Yes / Sí",Settings!$C$14,0))-IF(H87="",Settings!$C$9,H87)),0)-0.01&gt;=($I87+(Settings!$C$12+Settings!$C$13)-$G87*(1-(Settings!$C$10+Settings!$C$11+IF(Settings!$C$15="Yes / Sí",Settings!$C$14,0))))/(1-(Settings!$C$10+Settings!$C$11+IF(Settings!$C$15="Yes / Sí",Settings!$C$14,0))-IF(H87="",Settings!$C$9,H87)),ROUNDUP(($I87+(Settings!$C$12+Settings!$C$13)-$G87*(1-(Settings!$C$10+Settings!$C$11+IF(Settings!$C$15="Yes / Sí",Settings!$C$14,0))))/(1-(Settings!$C$10+Settings!$C$11+IF(Settings!$C$15="Yes / Sí",Settings!$C$14,0))-IF(H87="",Settings!$C$9,H87)),0)-0.01,ROUNDUP(($I87+(Settings!$C$12+Settings!$C$13)-$G87*(1-(Settings!$C$10+Settings!$C$11+IF(Settings!$C$15="Yes / Sí",Settings!$C$14,0))))/(1-(Settings!$C$10+Settings!$C$11+IF(Settings!$C$15="Yes / Sí",Settings!$C$14,0))-IF(H87="",Settings!$C$9,H87)),0)+0.99),ROUNDUP(($I87+(Settings!$C$12+Settings!$C$13)-$G87*(1-(Settings!$C$10+Settings!$C$11+IF(Settings!$C$15="Yes / Sí",Settings!$C$14,0))))/(1-(Settings!$C$10+Settings!$C$11+IF(Settings!$C$15="Yes / Sí",Settings!$C$14,0))-IF(H87="",Settings!$C$9,H87)),2)))))</f>
        <v/>
      </c>
      <c r="L87" s="60" t="str">
        <f aca="false">IF(OR(B87="",K87=0),"",(K87+$G87-((K87+$G87)*(Settings!$C$10+Settings!$C$11+IF(Settings!$C$15="Yes / Sí",Settings!$C$14,0))+(Settings!$C$12+Settings!$C$13))-$I87))</f>
        <v/>
      </c>
      <c r="M87" s="57"/>
      <c r="N87" s="60" t="str">
        <f aca="false">IF(OR(B87="",M87=""),"",((M87+$G87)*(Settings!$C$10+Settings!$C$11+IF(Settings!$C$15="Yes / Sí",Settings!$C$14,0))+(Settings!$C$12+Settings!$C$13)))</f>
        <v/>
      </c>
      <c r="O87" s="60" t="str">
        <f aca="false">IF(OR(B87="",M87=""),"",(M87+$G87-((M87+$G87)*(Settings!$C$10+Settings!$C$11+IF(Settings!$C$15="Yes / Sí",Settings!$C$14,0))+(Settings!$C$12+Settings!$C$13))-$I87))</f>
        <v/>
      </c>
      <c r="P87" s="61" t="str">
        <f aca="false">IF(O87="","",IF(M87=0,0,O87/M87))</f>
        <v/>
      </c>
      <c r="Q87" s="60" t="str">
        <f aca="false">IF(OR(O87="",D87="",D87=0),"",(O87+D87/60*Settings!$C$7)/(D87/60))</f>
        <v/>
      </c>
      <c r="R87" s="62" t="str">
        <f aca="false">IF(B87="","",IF(M87="","Enter your price / Escribe tu precio",IF(O87&lt;0,"⚠ LOSING MONEY / PIERDES",IF(P87&lt;IF(H87="",Settings!$C$9,H87),"● BELOW TARGET / DEBAJO","✔ ON TARGET / EN OBJETIVO"))))</f>
        <v/>
      </c>
      <c r="T87" s="55" t="n">
        <f aca="false">IF(B87="",0,IF(M87="",0,1))</f>
        <v>0</v>
      </c>
      <c r="U87" s="55" t="n">
        <f aca="false">IF(T87=1,P87,0)</f>
        <v>0</v>
      </c>
      <c r="V87" s="55" t="n">
        <f aca="false">IF(T87=1,IF(O87&lt;0,0,IF(P87&lt;IF(H87="",Settings!$C$9,H87),1,0)),0)</f>
        <v>0</v>
      </c>
      <c r="W87" s="55" t="n">
        <f aca="false">IF(T87=1,IF(O87&lt;0,1,0),0)</f>
        <v>0</v>
      </c>
      <c r="X87" s="55" t="n">
        <f aca="false">IF(T87=1,M87,0)</f>
        <v>0</v>
      </c>
      <c r="Y87" s="55" t="n">
        <f aca="false">IF(T87=1,O87,0)</f>
        <v>0</v>
      </c>
      <c r="Z87" s="55" t="n">
        <f aca="false">IF(B87="",0,1)</f>
        <v>0</v>
      </c>
    </row>
    <row r="88" customFormat="false" ht="15" hidden="false" customHeight="false" outlineLevel="0" collapsed="false">
      <c r="B88" s="56"/>
      <c r="C88" s="57"/>
      <c r="D88" s="58"/>
      <c r="E88" s="57"/>
      <c r="F88" s="57"/>
      <c r="G88" s="57"/>
      <c r="H88" s="59"/>
      <c r="I88" s="60" t="str">
        <f aca="false">IF(B88="","",C88+IF(D88="",0,D88/60*Settings!$C$7)+E88+F88+Settings!$C$8)</f>
        <v/>
      </c>
      <c r="J88" s="60" t="str">
        <f aca="false">IF(B88="","",MAX(0,($I88+(Settings!$C$12+Settings!$C$13)-$G88*(1-(Settings!$C$10+Settings!$C$11+IF(Settings!$C$15="Yes / Sí",Settings!$C$14,0))))/(1-(Settings!$C$10+Settings!$C$11+IF(Settings!$C$15="Yes / Sí",Settings!$C$14,0)))))</f>
        <v/>
      </c>
      <c r="K88" s="60" t="str">
        <f aca="false">IF(B88="","",IF(1-(Settings!$C$10+Settings!$C$11+IF(Settings!$C$15="Yes / Sí",Settings!$C$14,0))-IF(H88="",Settings!$C$9,H88)&lt;=0,0,MAX(0,IF(Settings!$C$16="Yes / Sí",IF(ROUNDUP(($I88+(Settings!$C$12+Settings!$C$13)-$G88*(1-(Settings!$C$10+Settings!$C$11+IF(Settings!$C$15="Yes / Sí",Settings!$C$14,0))))/(1-(Settings!$C$10+Settings!$C$11+IF(Settings!$C$15="Yes / Sí",Settings!$C$14,0))-IF(H88="",Settings!$C$9,H88)),0)-0.01&gt;=($I88+(Settings!$C$12+Settings!$C$13)-$G88*(1-(Settings!$C$10+Settings!$C$11+IF(Settings!$C$15="Yes / Sí",Settings!$C$14,0))))/(1-(Settings!$C$10+Settings!$C$11+IF(Settings!$C$15="Yes / Sí",Settings!$C$14,0))-IF(H88="",Settings!$C$9,H88)),ROUNDUP(($I88+(Settings!$C$12+Settings!$C$13)-$G88*(1-(Settings!$C$10+Settings!$C$11+IF(Settings!$C$15="Yes / Sí",Settings!$C$14,0))))/(1-(Settings!$C$10+Settings!$C$11+IF(Settings!$C$15="Yes / Sí",Settings!$C$14,0))-IF(H88="",Settings!$C$9,H88)),0)-0.01,ROUNDUP(($I88+(Settings!$C$12+Settings!$C$13)-$G88*(1-(Settings!$C$10+Settings!$C$11+IF(Settings!$C$15="Yes / Sí",Settings!$C$14,0))))/(1-(Settings!$C$10+Settings!$C$11+IF(Settings!$C$15="Yes / Sí",Settings!$C$14,0))-IF(H88="",Settings!$C$9,H88)),0)+0.99),ROUNDUP(($I88+(Settings!$C$12+Settings!$C$13)-$G88*(1-(Settings!$C$10+Settings!$C$11+IF(Settings!$C$15="Yes / Sí",Settings!$C$14,0))))/(1-(Settings!$C$10+Settings!$C$11+IF(Settings!$C$15="Yes / Sí",Settings!$C$14,0))-IF(H88="",Settings!$C$9,H88)),2)))))</f>
        <v/>
      </c>
      <c r="L88" s="60" t="str">
        <f aca="false">IF(OR(B88="",K88=0),"",(K88+$G88-((K88+$G88)*(Settings!$C$10+Settings!$C$11+IF(Settings!$C$15="Yes / Sí",Settings!$C$14,0))+(Settings!$C$12+Settings!$C$13))-$I88))</f>
        <v/>
      </c>
      <c r="M88" s="57"/>
      <c r="N88" s="60" t="str">
        <f aca="false">IF(OR(B88="",M88=""),"",((M88+$G88)*(Settings!$C$10+Settings!$C$11+IF(Settings!$C$15="Yes / Sí",Settings!$C$14,0))+(Settings!$C$12+Settings!$C$13)))</f>
        <v/>
      </c>
      <c r="O88" s="60" t="str">
        <f aca="false">IF(OR(B88="",M88=""),"",(M88+$G88-((M88+$G88)*(Settings!$C$10+Settings!$C$11+IF(Settings!$C$15="Yes / Sí",Settings!$C$14,0))+(Settings!$C$12+Settings!$C$13))-$I88))</f>
        <v/>
      </c>
      <c r="P88" s="61" t="str">
        <f aca="false">IF(O88="","",IF(M88=0,0,O88/M88))</f>
        <v/>
      </c>
      <c r="Q88" s="60" t="str">
        <f aca="false">IF(OR(O88="",D88="",D88=0),"",(O88+D88/60*Settings!$C$7)/(D88/60))</f>
        <v/>
      </c>
      <c r="R88" s="62" t="str">
        <f aca="false">IF(B88="","",IF(M88="","Enter your price / Escribe tu precio",IF(O88&lt;0,"⚠ LOSING MONEY / PIERDES",IF(P88&lt;IF(H88="",Settings!$C$9,H88),"● BELOW TARGET / DEBAJO","✔ ON TARGET / EN OBJETIVO"))))</f>
        <v/>
      </c>
      <c r="T88" s="55" t="n">
        <f aca="false">IF(B88="",0,IF(M88="",0,1))</f>
        <v>0</v>
      </c>
      <c r="U88" s="55" t="n">
        <f aca="false">IF(T88=1,P88,0)</f>
        <v>0</v>
      </c>
      <c r="V88" s="55" t="n">
        <f aca="false">IF(T88=1,IF(O88&lt;0,0,IF(P88&lt;IF(H88="",Settings!$C$9,H88),1,0)),0)</f>
        <v>0</v>
      </c>
      <c r="W88" s="55" t="n">
        <f aca="false">IF(T88=1,IF(O88&lt;0,1,0),0)</f>
        <v>0</v>
      </c>
      <c r="X88" s="55" t="n">
        <f aca="false">IF(T88=1,M88,0)</f>
        <v>0</v>
      </c>
      <c r="Y88" s="55" t="n">
        <f aca="false">IF(T88=1,O88,0)</f>
        <v>0</v>
      </c>
      <c r="Z88" s="55" t="n">
        <f aca="false">IF(B88="",0,1)</f>
        <v>0</v>
      </c>
    </row>
    <row r="89" customFormat="false" ht="15" hidden="false" customHeight="false" outlineLevel="0" collapsed="false">
      <c r="B89" s="56"/>
      <c r="C89" s="57"/>
      <c r="D89" s="58"/>
      <c r="E89" s="57"/>
      <c r="F89" s="57"/>
      <c r="G89" s="57"/>
      <c r="H89" s="59"/>
      <c r="I89" s="60" t="str">
        <f aca="false">IF(B89="","",C89+IF(D89="",0,D89/60*Settings!$C$7)+E89+F89+Settings!$C$8)</f>
        <v/>
      </c>
      <c r="J89" s="60" t="str">
        <f aca="false">IF(B89="","",MAX(0,($I89+(Settings!$C$12+Settings!$C$13)-$G89*(1-(Settings!$C$10+Settings!$C$11+IF(Settings!$C$15="Yes / Sí",Settings!$C$14,0))))/(1-(Settings!$C$10+Settings!$C$11+IF(Settings!$C$15="Yes / Sí",Settings!$C$14,0)))))</f>
        <v/>
      </c>
      <c r="K89" s="60" t="str">
        <f aca="false">IF(B89="","",IF(1-(Settings!$C$10+Settings!$C$11+IF(Settings!$C$15="Yes / Sí",Settings!$C$14,0))-IF(H89="",Settings!$C$9,H89)&lt;=0,0,MAX(0,IF(Settings!$C$16="Yes / Sí",IF(ROUNDUP(($I89+(Settings!$C$12+Settings!$C$13)-$G89*(1-(Settings!$C$10+Settings!$C$11+IF(Settings!$C$15="Yes / Sí",Settings!$C$14,0))))/(1-(Settings!$C$10+Settings!$C$11+IF(Settings!$C$15="Yes / Sí",Settings!$C$14,0))-IF(H89="",Settings!$C$9,H89)),0)-0.01&gt;=($I89+(Settings!$C$12+Settings!$C$13)-$G89*(1-(Settings!$C$10+Settings!$C$11+IF(Settings!$C$15="Yes / Sí",Settings!$C$14,0))))/(1-(Settings!$C$10+Settings!$C$11+IF(Settings!$C$15="Yes / Sí",Settings!$C$14,0))-IF(H89="",Settings!$C$9,H89)),ROUNDUP(($I89+(Settings!$C$12+Settings!$C$13)-$G89*(1-(Settings!$C$10+Settings!$C$11+IF(Settings!$C$15="Yes / Sí",Settings!$C$14,0))))/(1-(Settings!$C$10+Settings!$C$11+IF(Settings!$C$15="Yes / Sí",Settings!$C$14,0))-IF(H89="",Settings!$C$9,H89)),0)-0.01,ROUNDUP(($I89+(Settings!$C$12+Settings!$C$13)-$G89*(1-(Settings!$C$10+Settings!$C$11+IF(Settings!$C$15="Yes / Sí",Settings!$C$14,0))))/(1-(Settings!$C$10+Settings!$C$11+IF(Settings!$C$15="Yes / Sí",Settings!$C$14,0))-IF(H89="",Settings!$C$9,H89)),0)+0.99),ROUNDUP(($I89+(Settings!$C$12+Settings!$C$13)-$G89*(1-(Settings!$C$10+Settings!$C$11+IF(Settings!$C$15="Yes / Sí",Settings!$C$14,0))))/(1-(Settings!$C$10+Settings!$C$11+IF(Settings!$C$15="Yes / Sí",Settings!$C$14,0))-IF(H89="",Settings!$C$9,H89)),2)))))</f>
        <v/>
      </c>
      <c r="L89" s="60" t="str">
        <f aca="false">IF(OR(B89="",K89=0),"",(K89+$G89-((K89+$G89)*(Settings!$C$10+Settings!$C$11+IF(Settings!$C$15="Yes / Sí",Settings!$C$14,0))+(Settings!$C$12+Settings!$C$13))-$I89))</f>
        <v/>
      </c>
      <c r="M89" s="57"/>
      <c r="N89" s="60" t="str">
        <f aca="false">IF(OR(B89="",M89=""),"",((M89+$G89)*(Settings!$C$10+Settings!$C$11+IF(Settings!$C$15="Yes / Sí",Settings!$C$14,0))+(Settings!$C$12+Settings!$C$13)))</f>
        <v/>
      </c>
      <c r="O89" s="60" t="str">
        <f aca="false">IF(OR(B89="",M89=""),"",(M89+$G89-((M89+$G89)*(Settings!$C$10+Settings!$C$11+IF(Settings!$C$15="Yes / Sí",Settings!$C$14,0))+(Settings!$C$12+Settings!$C$13))-$I89))</f>
        <v/>
      </c>
      <c r="P89" s="61" t="str">
        <f aca="false">IF(O89="","",IF(M89=0,0,O89/M89))</f>
        <v/>
      </c>
      <c r="Q89" s="60" t="str">
        <f aca="false">IF(OR(O89="",D89="",D89=0),"",(O89+D89/60*Settings!$C$7)/(D89/60))</f>
        <v/>
      </c>
      <c r="R89" s="62" t="str">
        <f aca="false">IF(B89="","",IF(M89="","Enter your price / Escribe tu precio",IF(O89&lt;0,"⚠ LOSING MONEY / PIERDES",IF(P89&lt;IF(H89="",Settings!$C$9,H89),"● BELOW TARGET / DEBAJO","✔ ON TARGET / EN OBJETIVO"))))</f>
        <v/>
      </c>
      <c r="T89" s="55" t="n">
        <f aca="false">IF(B89="",0,IF(M89="",0,1))</f>
        <v>0</v>
      </c>
      <c r="U89" s="55" t="n">
        <f aca="false">IF(T89=1,P89,0)</f>
        <v>0</v>
      </c>
      <c r="V89" s="55" t="n">
        <f aca="false">IF(T89=1,IF(O89&lt;0,0,IF(P89&lt;IF(H89="",Settings!$C$9,H89),1,0)),0)</f>
        <v>0</v>
      </c>
      <c r="W89" s="55" t="n">
        <f aca="false">IF(T89=1,IF(O89&lt;0,1,0),0)</f>
        <v>0</v>
      </c>
      <c r="X89" s="55" t="n">
        <f aca="false">IF(T89=1,M89,0)</f>
        <v>0</v>
      </c>
      <c r="Y89" s="55" t="n">
        <f aca="false">IF(T89=1,O89,0)</f>
        <v>0</v>
      </c>
      <c r="Z89" s="55" t="n">
        <f aca="false">IF(B89="",0,1)</f>
        <v>0</v>
      </c>
    </row>
    <row r="90" customFormat="false" ht="15" hidden="false" customHeight="false" outlineLevel="0" collapsed="false">
      <c r="B90" s="56"/>
      <c r="C90" s="57"/>
      <c r="D90" s="58"/>
      <c r="E90" s="57"/>
      <c r="F90" s="57"/>
      <c r="G90" s="57"/>
      <c r="H90" s="59"/>
      <c r="I90" s="60" t="str">
        <f aca="false">IF(B90="","",C90+IF(D90="",0,D90/60*Settings!$C$7)+E90+F90+Settings!$C$8)</f>
        <v/>
      </c>
      <c r="J90" s="60" t="str">
        <f aca="false">IF(B90="","",MAX(0,($I90+(Settings!$C$12+Settings!$C$13)-$G90*(1-(Settings!$C$10+Settings!$C$11+IF(Settings!$C$15="Yes / Sí",Settings!$C$14,0))))/(1-(Settings!$C$10+Settings!$C$11+IF(Settings!$C$15="Yes / Sí",Settings!$C$14,0)))))</f>
        <v/>
      </c>
      <c r="K90" s="60" t="str">
        <f aca="false">IF(B90="","",IF(1-(Settings!$C$10+Settings!$C$11+IF(Settings!$C$15="Yes / Sí",Settings!$C$14,0))-IF(H90="",Settings!$C$9,H90)&lt;=0,0,MAX(0,IF(Settings!$C$16="Yes / Sí",IF(ROUNDUP(($I90+(Settings!$C$12+Settings!$C$13)-$G90*(1-(Settings!$C$10+Settings!$C$11+IF(Settings!$C$15="Yes / Sí",Settings!$C$14,0))))/(1-(Settings!$C$10+Settings!$C$11+IF(Settings!$C$15="Yes / Sí",Settings!$C$14,0))-IF(H90="",Settings!$C$9,H90)),0)-0.01&gt;=($I90+(Settings!$C$12+Settings!$C$13)-$G90*(1-(Settings!$C$10+Settings!$C$11+IF(Settings!$C$15="Yes / Sí",Settings!$C$14,0))))/(1-(Settings!$C$10+Settings!$C$11+IF(Settings!$C$15="Yes / Sí",Settings!$C$14,0))-IF(H90="",Settings!$C$9,H90)),ROUNDUP(($I90+(Settings!$C$12+Settings!$C$13)-$G90*(1-(Settings!$C$10+Settings!$C$11+IF(Settings!$C$15="Yes / Sí",Settings!$C$14,0))))/(1-(Settings!$C$10+Settings!$C$11+IF(Settings!$C$15="Yes / Sí",Settings!$C$14,0))-IF(H90="",Settings!$C$9,H90)),0)-0.01,ROUNDUP(($I90+(Settings!$C$12+Settings!$C$13)-$G90*(1-(Settings!$C$10+Settings!$C$11+IF(Settings!$C$15="Yes / Sí",Settings!$C$14,0))))/(1-(Settings!$C$10+Settings!$C$11+IF(Settings!$C$15="Yes / Sí",Settings!$C$14,0))-IF(H90="",Settings!$C$9,H90)),0)+0.99),ROUNDUP(($I90+(Settings!$C$12+Settings!$C$13)-$G90*(1-(Settings!$C$10+Settings!$C$11+IF(Settings!$C$15="Yes / Sí",Settings!$C$14,0))))/(1-(Settings!$C$10+Settings!$C$11+IF(Settings!$C$15="Yes / Sí",Settings!$C$14,0))-IF(H90="",Settings!$C$9,H90)),2)))))</f>
        <v/>
      </c>
      <c r="L90" s="60" t="str">
        <f aca="false">IF(OR(B90="",K90=0),"",(K90+$G90-((K90+$G90)*(Settings!$C$10+Settings!$C$11+IF(Settings!$C$15="Yes / Sí",Settings!$C$14,0))+(Settings!$C$12+Settings!$C$13))-$I90))</f>
        <v/>
      </c>
      <c r="M90" s="57"/>
      <c r="N90" s="60" t="str">
        <f aca="false">IF(OR(B90="",M90=""),"",((M90+$G90)*(Settings!$C$10+Settings!$C$11+IF(Settings!$C$15="Yes / Sí",Settings!$C$14,0))+(Settings!$C$12+Settings!$C$13)))</f>
        <v/>
      </c>
      <c r="O90" s="60" t="str">
        <f aca="false">IF(OR(B90="",M90=""),"",(M90+$G90-((M90+$G90)*(Settings!$C$10+Settings!$C$11+IF(Settings!$C$15="Yes / Sí",Settings!$C$14,0))+(Settings!$C$12+Settings!$C$13))-$I90))</f>
        <v/>
      </c>
      <c r="P90" s="61" t="str">
        <f aca="false">IF(O90="","",IF(M90=0,0,O90/M90))</f>
        <v/>
      </c>
      <c r="Q90" s="60" t="str">
        <f aca="false">IF(OR(O90="",D90="",D90=0),"",(O90+D90/60*Settings!$C$7)/(D90/60))</f>
        <v/>
      </c>
      <c r="R90" s="62" t="str">
        <f aca="false">IF(B90="","",IF(M90="","Enter your price / Escribe tu precio",IF(O90&lt;0,"⚠ LOSING MONEY / PIERDES",IF(P90&lt;IF(H90="",Settings!$C$9,H90),"● BELOW TARGET / DEBAJO","✔ ON TARGET / EN OBJETIVO"))))</f>
        <v/>
      </c>
      <c r="T90" s="55" t="n">
        <f aca="false">IF(B90="",0,IF(M90="",0,1))</f>
        <v>0</v>
      </c>
      <c r="U90" s="55" t="n">
        <f aca="false">IF(T90=1,P90,0)</f>
        <v>0</v>
      </c>
      <c r="V90" s="55" t="n">
        <f aca="false">IF(T90=1,IF(O90&lt;0,0,IF(P90&lt;IF(H90="",Settings!$C$9,H90),1,0)),0)</f>
        <v>0</v>
      </c>
      <c r="W90" s="55" t="n">
        <f aca="false">IF(T90=1,IF(O90&lt;0,1,0),0)</f>
        <v>0</v>
      </c>
      <c r="X90" s="55" t="n">
        <f aca="false">IF(T90=1,M90,0)</f>
        <v>0</v>
      </c>
      <c r="Y90" s="55" t="n">
        <f aca="false">IF(T90=1,O90,0)</f>
        <v>0</v>
      </c>
      <c r="Z90" s="55" t="n">
        <f aca="false">IF(B90="",0,1)</f>
        <v>0</v>
      </c>
    </row>
    <row r="91" customFormat="false" ht="15" hidden="false" customHeight="false" outlineLevel="0" collapsed="false">
      <c r="B91" s="56"/>
      <c r="C91" s="57"/>
      <c r="D91" s="58"/>
      <c r="E91" s="57"/>
      <c r="F91" s="57"/>
      <c r="G91" s="57"/>
      <c r="H91" s="59"/>
      <c r="I91" s="60" t="str">
        <f aca="false">IF(B91="","",C91+IF(D91="",0,D91/60*Settings!$C$7)+E91+F91+Settings!$C$8)</f>
        <v/>
      </c>
      <c r="J91" s="60" t="str">
        <f aca="false">IF(B91="","",MAX(0,($I91+(Settings!$C$12+Settings!$C$13)-$G91*(1-(Settings!$C$10+Settings!$C$11+IF(Settings!$C$15="Yes / Sí",Settings!$C$14,0))))/(1-(Settings!$C$10+Settings!$C$11+IF(Settings!$C$15="Yes / Sí",Settings!$C$14,0)))))</f>
        <v/>
      </c>
      <c r="K91" s="60" t="str">
        <f aca="false">IF(B91="","",IF(1-(Settings!$C$10+Settings!$C$11+IF(Settings!$C$15="Yes / Sí",Settings!$C$14,0))-IF(H91="",Settings!$C$9,H91)&lt;=0,0,MAX(0,IF(Settings!$C$16="Yes / Sí",IF(ROUNDUP(($I91+(Settings!$C$12+Settings!$C$13)-$G91*(1-(Settings!$C$10+Settings!$C$11+IF(Settings!$C$15="Yes / Sí",Settings!$C$14,0))))/(1-(Settings!$C$10+Settings!$C$11+IF(Settings!$C$15="Yes / Sí",Settings!$C$14,0))-IF(H91="",Settings!$C$9,H91)),0)-0.01&gt;=($I91+(Settings!$C$12+Settings!$C$13)-$G91*(1-(Settings!$C$10+Settings!$C$11+IF(Settings!$C$15="Yes / Sí",Settings!$C$14,0))))/(1-(Settings!$C$10+Settings!$C$11+IF(Settings!$C$15="Yes / Sí",Settings!$C$14,0))-IF(H91="",Settings!$C$9,H91)),ROUNDUP(($I91+(Settings!$C$12+Settings!$C$13)-$G91*(1-(Settings!$C$10+Settings!$C$11+IF(Settings!$C$15="Yes / Sí",Settings!$C$14,0))))/(1-(Settings!$C$10+Settings!$C$11+IF(Settings!$C$15="Yes / Sí",Settings!$C$14,0))-IF(H91="",Settings!$C$9,H91)),0)-0.01,ROUNDUP(($I91+(Settings!$C$12+Settings!$C$13)-$G91*(1-(Settings!$C$10+Settings!$C$11+IF(Settings!$C$15="Yes / Sí",Settings!$C$14,0))))/(1-(Settings!$C$10+Settings!$C$11+IF(Settings!$C$15="Yes / Sí",Settings!$C$14,0))-IF(H91="",Settings!$C$9,H91)),0)+0.99),ROUNDUP(($I91+(Settings!$C$12+Settings!$C$13)-$G91*(1-(Settings!$C$10+Settings!$C$11+IF(Settings!$C$15="Yes / Sí",Settings!$C$14,0))))/(1-(Settings!$C$10+Settings!$C$11+IF(Settings!$C$15="Yes / Sí",Settings!$C$14,0))-IF(H91="",Settings!$C$9,H91)),2)))))</f>
        <v/>
      </c>
      <c r="L91" s="60" t="str">
        <f aca="false">IF(OR(B91="",K91=0),"",(K91+$G91-((K91+$G91)*(Settings!$C$10+Settings!$C$11+IF(Settings!$C$15="Yes / Sí",Settings!$C$14,0))+(Settings!$C$12+Settings!$C$13))-$I91))</f>
        <v/>
      </c>
      <c r="M91" s="57"/>
      <c r="N91" s="60" t="str">
        <f aca="false">IF(OR(B91="",M91=""),"",((M91+$G91)*(Settings!$C$10+Settings!$C$11+IF(Settings!$C$15="Yes / Sí",Settings!$C$14,0))+(Settings!$C$12+Settings!$C$13)))</f>
        <v/>
      </c>
      <c r="O91" s="60" t="str">
        <f aca="false">IF(OR(B91="",M91=""),"",(M91+$G91-((M91+$G91)*(Settings!$C$10+Settings!$C$11+IF(Settings!$C$15="Yes / Sí",Settings!$C$14,0))+(Settings!$C$12+Settings!$C$13))-$I91))</f>
        <v/>
      </c>
      <c r="P91" s="61" t="str">
        <f aca="false">IF(O91="","",IF(M91=0,0,O91/M91))</f>
        <v/>
      </c>
      <c r="Q91" s="60" t="str">
        <f aca="false">IF(OR(O91="",D91="",D91=0),"",(O91+D91/60*Settings!$C$7)/(D91/60))</f>
        <v/>
      </c>
      <c r="R91" s="62" t="str">
        <f aca="false">IF(B91="","",IF(M91="","Enter your price / Escribe tu precio",IF(O91&lt;0,"⚠ LOSING MONEY / PIERDES",IF(P91&lt;IF(H91="",Settings!$C$9,H91),"● BELOW TARGET / DEBAJO","✔ ON TARGET / EN OBJETIVO"))))</f>
        <v/>
      </c>
      <c r="T91" s="55" t="n">
        <f aca="false">IF(B91="",0,IF(M91="",0,1))</f>
        <v>0</v>
      </c>
      <c r="U91" s="55" t="n">
        <f aca="false">IF(T91=1,P91,0)</f>
        <v>0</v>
      </c>
      <c r="V91" s="55" t="n">
        <f aca="false">IF(T91=1,IF(O91&lt;0,0,IF(P91&lt;IF(H91="",Settings!$C$9,H91),1,0)),0)</f>
        <v>0</v>
      </c>
      <c r="W91" s="55" t="n">
        <f aca="false">IF(T91=1,IF(O91&lt;0,1,0),0)</f>
        <v>0</v>
      </c>
      <c r="X91" s="55" t="n">
        <f aca="false">IF(T91=1,M91,0)</f>
        <v>0</v>
      </c>
      <c r="Y91" s="55" t="n">
        <f aca="false">IF(T91=1,O91,0)</f>
        <v>0</v>
      </c>
      <c r="Z91" s="55" t="n">
        <f aca="false">IF(B91="",0,1)</f>
        <v>0</v>
      </c>
    </row>
    <row r="92" customFormat="false" ht="15" hidden="false" customHeight="false" outlineLevel="0" collapsed="false">
      <c r="B92" s="56"/>
      <c r="C92" s="57"/>
      <c r="D92" s="58"/>
      <c r="E92" s="57"/>
      <c r="F92" s="57"/>
      <c r="G92" s="57"/>
      <c r="H92" s="59"/>
      <c r="I92" s="60" t="str">
        <f aca="false">IF(B92="","",C92+IF(D92="",0,D92/60*Settings!$C$7)+E92+F92+Settings!$C$8)</f>
        <v/>
      </c>
      <c r="J92" s="60" t="str">
        <f aca="false">IF(B92="","",MAX(0,($I92+(Settings!$C$12+Settings!$C$13)-$G92*(1-(Settings!$C$10+Settings!$C$11+IF(Settings!$C$15="Yes / Sí",Settings!$C$14,0))))/(1-(Settings!$C$10+Settings!$C$11+IF(Settings!$C$15="Yes / Sí",Settings!$C$14,0)))))</f>
        <v/>
      </c>
      <c r="K92" s="60" t="str">
        <f aca="false">IF(B92="","",IF(1-(Settings!$C$10+Settings!$C$11+IF(Settings!$C$15="Yes / Sí",Settings!$C$14,0))-IF(H92="",Settings!$C$9,H92)&lt;=0,0,MAX(0,IF(Settings!$C$16="Yes / Sí",IF(ROUNDUP(($I92+(Settings!$C$12+Settings!$C$13)-$G92*(1-(Settings!$C$10+Settings!$C$11+IF(Settings!$C$15="Yes / Sí",Settings!$C$14,0))))/(1-(Settings!$C$10+Settings!$C$11+IF(Settings!$C$15="Yes / Sí",Settings!$C$14,0))-IF(H92="",Settings!$C$9,H92)),0)-0.01&gt;=($I92+(Settings!$C$12+Settings!$C$13)-$G92*(1-(Settings!$C$10+Settings!$C$11+IF(Settings!$C$15="Yes / Sí",Settings!$C$14,0))))/(1-(Settings!$C$10+Settings!$C$11+IF(Settings!$C$15="Yes / Sí",Settings!$C$14,0))-IF(H92="",Settings!$C$9,H92)),ROUNDUP(($I92+(Settings!$C$12+Settings!$C$13)-$G92*(1-(Settings!$C$10+Settings!$C$11+IF(Settings!$C$15="Yes / Sí",Settings!$C$14,0))))/(1-(Settings!$C$10+Settings!$C$11+IF(Settings!$C$15="Yes / Sí",Settings!$C$14,0))-IF(H92="",Settings!$C$9,H92)),0)-0.01,ROUNDUP(($I92+(Settings!$C$12+Settings!$C$13)-$G92*(1-(Settings!$C$10+Settings!$C$11+IF(Settings!$C$15="Yes / Sí",Settings!$C$14,0))))/(1-(Settings!$C$10+Settings!$C$11+IF(Settings!$C$15="Yes / Sí",Settings!$C$14,0))-IF(H92="",Settings!$C$9,H92)),0)+0.99),ROUNDUP(($I92+(Settings!$C$12+Settings!$C$13)-$G92*(1-(Settings!$C$10+Settings!$C$11+IF(Settings!$C$15="Yes / Sí",Settings!$C$14,0))))/(1-(Settings!$C$10+Settings!$C$11+IF(Settings!$C$15="Yes / Sí",Settings!$C$14,0))-IF(H92="",Settings!$C$9,H92)),2)))))</f>
        <v/>
      </c>
      <c r="L92" s="60" t="str">
        <f aca="false">IF(OR(B92="",K92=0),"",(K92+$G92-((K92+$G92)*(Settings!$C$10+Settings!$C$11+IF(Settings!$C$15="Yes / Sí",Settings!$C$14,0))+(Settings!$C$12+Settings!$C$13))-$I92))</f>
        <v/>
      </c>
      <c r="M92" s="57"/>
      <c r="N92" s="60" t="str">
        <f aca="false">IF(OR(B92="",M92=""),"",((M92+$G92)*(Settings!$C$10+Settings!$C$11+IF(Settings!$C$15="Yes / Sí",Settings!$C$14,0))+(Settings!$C$12+Settings!$C$13)))</f>
        <v/>
      </c>
      <c r="O92" s="60" t="str">
        <f aca="false">IF(OR(B92="",M92=""),"",(M92+$G92-((M92+$G92)*(Settings!$C$10+Settings!$C$11+IF(Settings!$C$15="Yes / Sí",Settings!$C$14,0))+(Settings!$C$12+Settings!$C$13))-$I92))</f>
        <v/>
      </c>
      <c r="P92" s="61" t="str">
        <f aca="false">IF(O92="","",IF(M92=0,0,O92/M92))</f>
        <v/>
      </c>
      <c r="Q92" s="60" t="str">
        <f aca="false">IF(OR(O92="",D92="",D92=0),"",(O92+D92/60*Settings!$C$7)/(D92/60))</f>
        <v/>
      </c>
      <c r="R92" s="62" t="str">
        <f aca="false">IF(B92="","",IF(M92="","Enter your price / Escribe tu precio",IF(O92&lt;0,"⚠ LOSING MONEY / PIERDES",IF(P92&lt;IF(H92="",Settings!$C$9,H92),"● BELOW TARGET / DEBAJO","✔ ON TARGET / EN OBJETIVO"))))</f>
        <v/>
      </c>
      <c r="T92" s="55" t="n">
        <f aca="false">IF(B92="",0,IF(M92="",0,1))</f>
        <v>0</v>
      </c>
      <c r="U92" s="55" t="n">
        <f aca="false">IF(T92=1,P92,0)</f>
        <v>0</v>
      </c>
      <c r="V92" s="55" t="n">
        <f aca="false">IF(T92=1,IF(O92&lt;0,0,IF(P92&lt;IF(H92="",Settings!$C$9,H92),1,0)),0)</f>
        <v>0</v>
      </c>
      <c r="W92" s="55" t="n">
        <f aca="false">IF(T92=1,IF(O92&lt;0,1,0),0)</f>
        <v>0</v>
      </c>
      <c r="X92" s="55" t="n">
        <f aca="false">IF(T92=1,M92,0)</f>
        <v>0</v>
      </c>
      <c r="Y92" s="55" t="n">
        <f aca="false">IF(T92=1,O92,0)</f>
        <v>0</v>
      </c>
      <c r="Z92" s="55" t="n">
        <f aca="false">IF(B92="",0,1)</f>
        <v>0</v>
      </c>
    </row>
    <row r="93" customFormat="false" ht="15" hidden="false" customHeight="false" outlineLevel="0" collapsed="false">
      <c r="B93" s="56"/>
      <c r="C93" s="57"/>
      <c r="D93" s="58"/>
      <c r="E93" s="57"/>
      <c r="F93" s="57"/>
      <c r="G93" s="57"/>
      <c r="H93" s="59"/>
      <c r="I93" s="60" t="str">
        <f aca="false">IF(B93="","",C93+IF(D93="",0,D93/60*Settings!$C$7)+E93+F93+Settings!$C$8)</f>
        <v/>
      </c>
      <c r="J93" s="60" t="str">
        <f aca="false">IF(B93="","",MAX(0,($I93+(Settings!$C$12+Settings!$C$13)-$G93*(1-(Settings!$C$10+Settings!$C$11+IF(Settings!$C$15="Yes / Sí",Settings!$C$14,0))))/(1-(Settings!$C$10+Settings!$C$11+IF(Settings!$C$15="Yes / Sí",Settings!$C$14,0)))))</f>
        <v/>
      </c>
      <c r="K93" s="60" t="str">
        <f aca="false">IF(B93="","",IF(1-(Settings!$C$10+Settings!$C$11+IF(Settings!$C$15="Yes / Sí",Settings!$C$14,0))-IF(H93="",Settings!$C$9,H93)&lt;=0,0,MAX(0,IF(Settings!$C$16="Yes / Sí",IF(ROUNDUP(($I93+(Settings!$C$12+Settings!$C$13)-$G93*(1-(Settings!$C$10+Settings!$C$11+IF(Settings!$C$15="Yes / Sí",Settings!$C$14,0))))/(1-(Settings!$C$10+Settings!$C$11+IF(Settings!$C$15="Yes / Sí",Settings!$C$14,0))-IF(H93="",Settings!$C$9,H93)),0)-0.01&gt;=($I93+(Settings!$C$12+Settings!$C$13)-$G93*(1-(Settings!$C$10+Settings!$C$11+IF(Settings!$C$15="Yes / Sí",Settings!$C$14,0))))/(1-(Settings!$C$10+Settings!$C$11+IF(Settings!$C$15="Yes / Sí",Settings!$C$14,0))-IF(H93="",Settings!$C$9,H93)),ROUNDUP(($I93+(Settings!$C$12+Settings!$C$13)-$G93*(1-(Settings!$C$10+Settings!$C$11+IF(Settings!$C$15="Yes / Sí",Settings!$C$14,0))))/(1-(Settings!$C$10+Settings!$C$11+IF(Settings!$C$15="Yes / Sí",Settings!$C$14,0))-IF(H93="",Settings!$C$9,H93)),0)-0.01,ROUNDUP(($I93+(Settings!$C$12+Settings!$C$13)-$G93*(1-(Settings!$C$10+Settings!$C$11+IF(Settings!$C$15="Yes / Sí",Settings!$C$14,0))))/(1-(Settings!$C$10+Settings!$C$11+IF(Settings!$C$15="Yes / Sí",Settings!$C$14,0))-IF(H93="",Settings!$C$9,H93)),0)+0.99),ROUNDUP(($I93+(Settings!$C$12+Settings!$C$13)-$G93*(1-(Settings!$C$10+Settings!$C$11+IF(Settings!$C$15="Yes / Sí",Settings!$C$14,0))))/(1-(Settings!$C$10+Settings!$C$11+IF(Settings!$C$15="Yes / Sí",Settings!$C$14,0))-IF(H93="",Settings!$C$9,H93)),2)))))</f>
        <v/>
      </c>
      <c r="L93" s="60" t="str">
        <f aca="false">IF(OR(B93="",K93=0),"",(K93+$G93-((K93+$G93)*(Settings!$C$10+Settings!$C$11+IF(Settings!$C$15="Yes / Sí",Settings!$C$14,0))+(Settings!$C$12+Settings!$C$13))-$I93))</f>
        <v/>
      </c>
      <c r="M93" s="57"/>
      <c r="N93" s="60" t="str">
        <f aca="false">IF(OR(B93="",M93=""),"",((M93+$G93)*(Settings!$C$10+Settings!$C$11+IF(Settings!$C$15="Yes / Sí",Settings!$C$14,0))+(Settings!$C$12+Settings!$C$13)))</f>
        <v/>
      </c>
      <c r="O93" s="60" t="str">
        <f aca="false">IF(OR(B93="",M93=""),"",(M93+$G93-((M93+$G93)*(Settings!$C$10+Settings!$C$11+IF(Settings!$C$15="Yes / Sí",Settings!$C$14,0))+(Settings!$C$12+Settings!$C$13))-$I93))</f>
        <v/>
      </c>
      <c r="P93" s="61" t="str">
        <f aca="false">IF(O93="","",IF(M93=0,0,O93/M93))</f>
        <v/>
      </c>
      <c r="Q93" s="60" t="str">
        <f aca="false">IF(OR(O93="",D93="",D93=0),"",(O93+D93/60*Settings!$C$7)/(D93/60))</f>
        <v/>
      </c>
      <c r="R93" s="62" t="str">
        <f aca="false">IF(B93="","",IF(M93="","Enter your price / Escribe tu precio",IF(O93&lt;0,"⚠ LOSING MONEY / PIERDES",IF(P93&lt;IF(H93="",Settings!$C$9,H93),"● BELOW TARGET / DEBAJO","✔ ON TARGET / EN OBJETIVO"))))</f>
        <v/>
      </c>
      <c r="T93" s="55" t="n">
        <f aca="false">IF(B93="",0,IF(M93="",0,1))</f>
        <v>0</v>
      </c>
      <c r="U93" s="55" t="n">
        <f aca="false">IF(T93=1,P93,0)</f>
        <v>0</v>
      </c>
      <c r="V93" s="55" t="n">
        <f aca="false">IF(T93=1,IF(O93&lt;0,0,IF(P93&lt;IF(H93="",Settings!$C$9,H93),1,0)),0)</f>
        <v>0</v>
      </c>
      <c r="W93" s="55" t="n">
        <f aca="false">IF(T93=1,IF(O93&lt;0,1,0),0)</f>
        <v>0</v>
      </c>
      <c r="X93" s="55" t="n">
        <f aca="false">IF(T93=1,M93,0)</f>
        <v>0</v>
      </c>
      <c r="Y93" s="55" t="n">
        <f aca="false">IF(T93=1,O93,0)</f>
        <v>0</v>
      </c>
      <c r="Z93" s="55" t="n">
        <f aca="false">IF(B93="",0,1)</f>
        <v>0</v>
      </c>
    </row>
    <row r="94" customFormat="false" ht="15" hidden="false" customHeight="false" outlineLevel="0" collapsed="false">
      <c r="B94" s="56"/>
      <c r="C94" s="57"/>
      <c r="D94" s="58"/>
      <c r="E94" s="57"/>
      <c r="F94" s="57"/>
      <c r="G94" s="57"/>
      <c r="H94" s="59"/>
      <c r="I94" s="60" t="str">
        <f aca="false">IF(B94="","",C94+IF(D94="",0,D94/60*Settings!$C$7)+E94+F94+Settings!$C$8)</f>
        <v/>
      </c>
      <c r="J94" s="60" t="str">
        <f aca="false">IF(B94="","",MAX(0,($I94+(Settings!$C$12+Settings!$C$13)-$G94*(1-(Settings!$C$10+Settings!$C$11+IF(Settings!$C$15="Yes / Sí",Settings!$C$14,0))))/(1-(Settings!$C$10+Settings!$C$11+IF(Settings!$C$15="Yes / Sí",Settings!$C$14,0)))))</f>
        <v/>
      </c>
      <c r="K94" s="60" t="str">
        <f aca="false">IF(B94="","",IF(1-(Settings!$C$10+Settings!$C$11+IF(Settings!$C$15="Yes / Sí",Settings!$C$14,0))-IF(H94="",Settings!$C$9,H94)&lt;=0,0,MAX(0,IF(Settings!$C$16="Yes / Sí",IF(ROUNDUP(($I94+(Settings!$C$12+Settings!$C$13)-$G94*(1-(Settings!$C$10+Settings!$C$11+IF(Settings!$C$15="Yes / Sí",Settings!$C$14,0))))/(1-(Settings!$C$10+Settings!$C$11+IF(Settings!$C$15="Yes / Sí",Settings!$C$14,0))-IF(H94="",Settings!$C$9,H94)),0)-0.01&gt;=($I94+(Settings!$C$12+Settings!$C$13)-$G94*(1-(Settings!$C$10+Settings!$C$11+IF(Settings!$C$15="Yes / Sí",Settings!$C$14,0))))/(1-(Settings!$C$10+Settings!$C$11+IF(Settings!$C$15="Yes / Sí",Settings!$C$14,0))-IF(H94="",Settings!$C$9,H94)),ROUNDUP(($I94+(Settings!$C$12+Settings!$C$13)-$G94*(1-(Settings!$C$10+Settings!$C$11+IF(Settings!$C$15="Yes / Sí",Settings!$C$14,0))))/(1-(Settings!$C$10+Settings!$C$11+IF(Settings!$C$15="Yes / Sí",Settings!$C$14,0))-IF(H94="",Settings!$C$9,H94)),0)-0.01,ROUNDUP(($I94+(Settings!$C$12+Settings!$C$13)-$G94*(1-(Settings!$C$10+Settings!$C$11+IF(Settings!$C$15="Yes / Sí",Settings!$C$14,0))))/(1-(Settings!$C$10+Settings!$C$11+IF(Settings!$C$15="Yes / Sí",Settings!$C$14,0))-IF(H94="",Settings!$C$9,H94)),0)+0.99),ROUNDUP(($I94+(Settings!$C$12+Settings!$C$13)-$G94*(1-(Settings!$C$10+Settings!$C$11+IF(Settings!$C$15="Yes / Sí",Settings!$C$14,0))))/(1-(Settings!$C$10+Settings!$C$11+IF(Settings!$C$15="Yes / Sí",Settings!$C$14,0))-IF(H94="",Settings!$C$9,H94)),2)))))</f>
        <v/>
      </c>
      <c r="L94" s="60" t="str">
        <f aca="false">IF(OR(B94="",K94=0),"",(K94+$G94-((K94+$G94)*(Settings!$C$10+Settings!$C$11+IF(Settings!$C$15="Yes / Sí",Settings!$C$14,0))+(Settings!$C$12+Settings!$C$13))-$I94))</f>
        <v/>
      </c>
      <c r="M94" s="57"/>
      <c r="N94" s="60" t="str">
        <f aca="false">IF(OR(B94="",M94=""),"",((M94+$G94)*(Settings!$C$10+Settings!$C$11+IF(Settings!$C$15="Yes / Sí",Settings!$C$14,0))+(Settings!$C$12+Settings!$C$13)))</f>
        <v/>
      </c>
      <c r="O94" s="60" t="str">
        <f aca="false">IF(OR(B94="",M94=""),"",(M94+$G94-((M94+$G94)*(Settings!$C$10+Settings!$C$11+IF(Settings!$C$15="Yes / Sí",Settings!$C$14,0))+(Settings!$C$12+Settings!$C$13))-$I94))</f>
        <v/>
      </c>
      <c r="P94" s="61" t="str">
        <f aca="false">IF(O94="","",IF(M94=0,0,O94/M94))</f>
        <v/>
      </c>
      <c r="Q94" s="60" t="str">
        <f aca="false">IF(OR(O94="",D94="",D94=0),"",(O94+D94/60*Settings!$C$7)/(D94/60))</f>
        <v/>
      </c>
      <c r="R94" s="62" t="str">
        <f aca="false">IF(B94="","",IF(M94="","Enter your price / Escribe tu precio",IF(O94&lt;0,"⚠ LOSING MONEY / PIERDES",IF(P94&lt;IF(H94="",Settings!$C$9,H94),"● BELOW TARGET / DEBAJO","✔ ON TARGET / EN OBJETIVO"))))</f>
        <v/>
      </c>
      <c r="T94" s="55" t="n">
        <f aca="false">IF(B94="",0,IF(M94="",0,1))</f>
        <v>0</v>
      </c>
      <c r="U94" s="55" t="n">
        <f aca="false">IF(T94=1,P94,0)</f>
        <v>0</v>
      </c>
      <c r="V94" s="55" t="n">
        <f aca="false">IF(T94=1,IF(O94&lt;0,0,IF(P94&lt;IF(H94="",Settings!$C$9,H94),1,0)),0)</f>
        <v>0</v>
      </c>
      <c r="W94" s="55" t="n">
        <f aca="false">IF(T94=1,IF(O94&lt;0,1,0),0)</f>
        <v>0</v>
      </c>
      <c r="X94" s="55" t="n">
        <f aca="false">IF(T94=1,M94,0)</f>
        <v>0</v>
      </c>
      <c r="Y94" s="55" t="n">
        <f aca="false">IF(T94=1,O94,0)</f>
        <v>0</v>
      </c>
      <c r="Z94" s="55" t="n">
        <f aca="false">IF(B94="",0,1)</f>
        <v>0</v>
      </c>
    </row>
    <row r="95" customFormat="false" ht="15" hidden="false" customHeight="false" outlineLevel="0" collapsed="false">
      <c r="B95" s="56"/>
      <c r="C95" s="57"/>
      <c r="D95" s="58"/>
      <c r="E95" s="57"/>
      <c r="F95" s="57"/>
      <c r="G95" s="57"/>
      <c r="H95" s="59"/>
      <c r="I95" s="60" t="str">
        <f aca="false">IF(B95="","",C95+IF(D95="",0,D95/60*Settings!$C$7)+E95+F95+Settings!$C$8)</f>
        <v/>
      </c>
      <c r="J95" s="60" t="str">
        <f aca="false">IF(B95="","",MAX(0,($I95+(Settings!$C$12+Settings!$C$13)-$G95*(1-(Settings!$C$10+Settings!$C$11+IF(Settings!$C$15="Yes / Sí",Settings!$C$14,0))))/(1-(Settings!$C$10+Settings!$C$11+IF(Settings!$C$15="Yes / Sí",Settings!$C$14,0)))))</f>
        <v/>
      </c>
      <c r="K95" s="60" t="str">
        <f aca="false">IF(B95="","",IF(1-(Settings!$C$10+Settings!$C$11+IF(Settings!$C$15="Yes / Sí",Settings!$C$14,0))-IF(H95="",Settings!$C$9,H95)&lt;=0,0,MAX(0,IF(Settings!$C$16="Yes / Sí",IF(ROUNDUP(($I95+(Settings!$C$12+Settings!$C$13)-$G95*(1-(Settings!$C$10+Settings!$C$11+IF(Settings!$C$15="Yes / Sí",Settings!$C$14,0))))/(1-(Settings!$C$10+Settings!$C$11+IF(Settings!$C$15="Yes / Sí",Settings!$C$14,0))-IF(H95="",Settings!$C$9,H95)),0)-0.01&gt;=($I95+(Settings!$C$12+Settings!$C$13)-$G95*(1-(Settings!$C$10+Settings!$C$11+IF(Settings!$C$15="Yes / Sí",Settings!$C$14,0))))/(1-(Settings!$C$10+Settings!$C$11+IF(Settings!$C$15="Yes / Sí",Settings!$C$14,0))-IF(H95="",Settings!$C$9,H95)),ROUNDUP(($I95+(Settings!$C$12+Settings!$C$13)-$G95*(1-(Settings!$C$10+Settings!$C$11+IF(Settings!$C$15="Yes / Sí",Settings!$C$14,0))))/(1-(Settings!$C$10+Settings!$C$11+IF(Settings!$C$15="Yes / Sí",Settings!$C$14,0))-IF(H95="",Settings!$C$9,H95)),0)-0.01,ROUNDUP(($I95+(Settings!$C$12+Settings!$C$13)-$G95*(1-(Settings!$C$10+Settings!$C$11+IF(Settings!$C$15="Yes / Sí",Settings!$C$14,0))))/(1-(Settings!$C$10+Settings!$C$11+IF(Settings!$C$15="Yes / Sí",Settings!$C$14,0))-IF(H95="",Settings!$C$9,H95)),0)+0.99),ROUNDUP(($I95+(Settings!$C$12+Settings!$C$13)-$G95*(1-(Settings!$C$10+Settings!$C$11+IF(Settings!$C$15="Yes / Sí",Settings!$C$14,0))))/(1-(Settings!$C$10+Settings!$C$11+IF(Settings!$C$15="Yes / Sí",Settings!$C$14,0))-IF(H95="",Settings!$C$9,H95)),2)))))</f>
        <v/>
      </c>
      <c r="L95" s="60" t="str">
        <f aca="false">IF(OR(B95="",K95=0),"",(K95+$G95-((K95+$G95)*(Settings!$C$10+Settings!$C$11+IF(Settings!$C$15="Yes / Sí",Settings!$C$14,0))+(Settings!$C$12+Settings!$C$13))-$I95))</f>
        <v/>
      </c>
      <c r="M95" s="57"/>
      <c r="N95" s="60" t="str">
        <f aca="false">IF(OR(B95="",M95=""),"",((M95+$G95)*(Settings!$C$10+Settings!$C$11+IF(Settings!$C$15="Yes / Sí",Settings!$C$14,0))+(Settings!$C$12+Settings!$C$13)))</f>
        <v/>
      </c>
      <c r="O95" s="60" t="str">
        <f aca="false">IF(OR(B95="",M95=""),"",(M95+$G95-((M95+$G95)*(Settings!$C$10+Settings!$C$11+IF(Settings!$C$15="Yes / Sí",Settings!$C$14,0))+(Settings!$C$12+Settings!$C$13))-$I95))</f>
        <v/>
      </c>
      <c r="P95" s="61" t="str">
        <f aca="false">IF(O95="","",IF(M95=0,0,O95/M95))</f>
        <v/>
      </c>
      <c r="Q95" s="60" t="str">
        <f aca="false">IF(OR(O95="",D95="",D95=0),"",(O95+D95/60*Settings!$C$7)/(D95/60))</f>
        <v/>
      </c>
      <c r="R95" s="62" t="str">
        <f aca="false">IF(B95="","",IF(M95="","Enter your price / Escribe tu precio",IF(O95&lt;0,"⚠ LOSING MONEY / PIERDES",IF(P95&lt;IF(H95="",Settings!$C$9,H95),"● BELOW TARGET / DEBAJO","✔ ON TARGET / EN OBJETIVO"))))</f>
        <v/>
      </c>
      <c r="T95" s="55" t="n">
        <f aca="false">IF(B95="",0,IF(M95="",0,1))</f>
        <v>0</v>
      </c>
      <c r="U95" s="55" t="n">
        <f aca="false">IF(T95=1,P95,0)</f>
        <v>0</v>
      </c>
      <c r="V95" s="55" t="n">
        <f aca="false">IF(T95=1,IF(O95&lt;0,0,IF(P95&lt;IF(H95="",Settings!$C$9,H95),1,0)),0)</f>
        <v>0</v>
      </c>
      <c r="W95" s="55" t="n">
        <f aca="false">IF(T95=1,IF(O95&lt;0,1,0),0)</f>
        <v>0</v>
      </c>
      <c r="X95" s="55" t="n">
        <f aca="false">IF(T95=1,M95,0)</f>
        <v>0</v>
      </c>
      <c r="Y95" s="55" t="n">
        <f aca="false">IF(T95=1,O95,0)</f>
        <v>0</v>
      </c>
      <c r="Z95" s="55" t="n">
        <f aca="false">IF(B95="",0,1)</f>
        <v>0</v>
      </c>
    </row>
    <row r="96" customFormat="false" ht="15" hidden="false" customHeight="false" outlineLevel="0" collapsed="false">
      <c r="B96" s="56"/>
      <c r="C96" s="57"/>
      <c r="D96" s="58"/>
      <c r="E96" s="57"/>
      <c r="F96" s="57"/>
      <c r="G96" s="57"/>
      <c r="H96" s="59"/>
      <c r="I96" s="60" t="str">
        <f aca="false">IF(B96="","",C96+IF(D96="",0,D96/60*Settings!$C$7)+E96+F96+Settings!$C$8)</f>
        <v/>
      </c>
      <c r="J96" s="60" t="str">
        <f aca="false">IF(B96="","",MAX(0,($I96+(Settings!$C$12+Settings!$C$13)-$G96*(1-(Settings!$C$10+Settings!$C$11+IF(Settings!$C$15="Yes / Sí",Settings!$C$14,0))))/(1-(Settings!$C$10+Settings!$C$11+IF(Settings!$C$15="Yes / Sí",Settings!$C$14,0)))))</f>
        <v/>
      </c>
      <c r="K96" s="60" t="str">
        <f aca="false">IF(B96="","",IF(1-(Settings!$C$10+Settings!$C$11+IF(Settings!$C$15="Yes / Sí",Settings!$C$14,0))-IF(H96="",Settings!$C$9,H96)&lt;=0,0,MAX(0,IF(Settings!$C$16="Yes / Sí",IF(ROUNDUP(($I96+(Settings!$C$12+Settings!$C$13)-$G96*(1-(Settings!$C$10+Settings!$C$11+IF(Settings!$C$15="Yes / Sí",Settings!$C$14,0))))/(1-(Settings!$C$10+Settings!$C$11+IF(Settings!$C$15="Yes / Sí",Settings!$C$14,0))-IF(H96="",Settings!$C$9,H96)),0)-0.01&gt;=($I96+(Settings!$C$12+Settings!$C$13)-$G96*(1-(Settings!$C$10+Settings!$C$11+IF(Settings!$C$15="Yes / Sí",Settings!$C$14,0))))/(1-(Settings!$C$10+Settings!$C$11+IF(Settings!$C$15="Yes / Sí",Settings!$C$14,0))-IF(H96="",Settings!$C$9,H96)),ROUNDUP(($I96+(Settings!$C$12+Settings!$C$13)-$G96*(1-(Settings!$C$10+Settings!$C$11+IF(Settings!$C$15="Yes / Sí",Settings!$C$14,0))))/(1-(Settings!$C$10+Settings!$C$11+IF(Settings!$C$15="Yes / Sí",Settings!$C$14,0))-IF(H96="",Settings!$C$9,H96)),0)-0.01,ROUNDUP(($I96+(Settings!$C$12+Settings!$C$13)-$G96*(1-(Settings!$C$10+Settings!$C$11+IF(Settings!$C$15="Yes / Sí",Settings!$C$14,0))))/(1-(Settings!$C$10+Settings!$C$11+IF(Settings!$C$15="Yes / Sí",Settings!$C$14,0))-IF(H96="",Settings!$C$9,H96)),0)+0.99),ROUNDUP(($I96+(Settings!$C$12+Settings!$C$13)-$G96*(1-(Settings!$C$10+Settings!$C$11+IF(Settings!$C$15="Yes / Sí",Settings!$C$14,0))))/(1-(Settings!$C$10+Settings!$C$11+IF(Settings!$C$15="Yes / Sí",Settings!$C$14,0))-IF(H96="",Settings!$C$9,H96)),2)))))</f>
        <v/>
      </c>
      <c r="L96" s="60" t="str">
        <f aca="false">IF(OR(B96="",K96=0),"",(K96+$G96-((K96+$G96)*(Settings!$C$10+Settings!$C$11+IF(Settings!$C$15="Yes / Sí",Settings!$C$14,0))+(Settings!$C$12+Settings!$C$13))-$I96))</f>
        <v/>
      </c>
      <c r="M96" s="57"/>
      <c r="N96" s="60" t="str">
        <f aca="false">IF(OR(B96="",M96=""),"",((M96+$G96)*(Settings!$C$10+Settings!$C$11+IF(Settings!$C$15="Yes / Sí",Settings!$C$14,0))+(Settings!$C$12+Settings!$C$13)))</f>
        <v/>
      </c>
      <c r="O96" s="60" t="str">
        <f aca="false">IF(OR(B96="",M96=""),"",(M96+$G96-((M96+$G96)*(Settings!$C$10+Settings!$C$11+IF(Settings!$C$15="Yes / Sí",Settings!$C$14,0))+(Settings!$C$12+Settings!$C$13))-$I96))</f>
        <v/>
      </c>
      <c r="P96" s="61" t="str">
        <f aca="false">IF(O96="","",IF(M96=0,0,O96/M96))</f>
        <v/>
      </c>
      <c r="Q96" s="60" t="str">
        <f aca="false">IF(OR(O96="",D96="",D96=0),"",(O96+D96/60*Settings!$C$7)/(D96/60))</f>
        <v/>
      </c>
      <c r="R96" s="62" t="str">
        <f aca="false">IF(B96="","",IF(M96="","Enter your price / Escribe tu precio",IF(O96&lt;0,"⚠ LOSING MONEY / PIERDES",IF(P96&lt;IF(H96="",Settings!$C$9,H96),"● BELOW TARGET / DEBAJO","✔ ON TARGET / EN OBJETIVO"))))</f>
        <v/>
      </c>
      <c r="T96" s="55" t="n">
        <f aca="false">IF(B96="",0,IF(M96="",0,1))</f>
        <v>0</v>
      </c>
      <c r="U96" s="55" t="n">
        <f aca="false">IF(T96=1,P96,0)</f>
        <v>0</v>
      </c>
      <c r="V96" s="55" t="n">
        <f aca="false">IF(T96=1,IF(O96&lt;0,0,IF(P96&lt;IF(H96="",Settings!$C$9,H96),1,0)),0)</f>
        <v>0</v>
      </c>
      <c r="W96" s="55" t="n">
        <f aca="false">IF(T96=1,IF(O96&lt;0,1,0),0)</f>
        <v>0</v>
      </c>
      <c r="X96" s="55" t="n">
        <f aca="false">IF(T96=1,M96,0)</f>
        <v>0</v>
      </c>
      <c r="Y96" s="55" t="n">
        <f aca="false">IF(T96=1,O96,0)</f>
        <v>0</v>
      </c>
      <c r="Z96" s="55" t="n">
        <f aca="false">IF(B96="",0,1)</f>
        <v>0</v>
      </c>
    </row>
    <row r="97" customFormat="false" ht="15" hidden="false" customHeight="false" outlineLevel="0" collapsed="false">
      <c r="B97" s="56"/>
      <c r="C97" s="57"/>
      <c r="D97" s="58"/>
      <c r="E97" s="57"/>
      <c r="F97" s="57"/>
      <c r="G97" s="57"/>
      <c r="H97" s="59"/>
      <c r="I97" s="60" t="str">
        <f aca="false">IF(B97="","",C97+IF(D97="",0,D97/60*Settings!$C$7)+E97+F97+Settings!$C$8)</f>
        <v/>
      </c>
      <c r="J97" s="60" t="str">
        <f aca="false">IF(B97="","",MAX(0,($I97+(Settings!$C$12+Settings!$C$13)-$G97*(1-(Settings!$C$10+Settings!$C$11+IF(Settings!$C$15="Yes / Sí",Settings!$C$14,0))))/(1-(Settings!$C$10+Settings!$C$11+IF(Settings!$C$15="Yes / Sí",Settings!$C$14,0)))))</f>
        <v/>
      </c>
      <c r="K97" s="60" t="str">
        <f aca="false">IF(B97="","",IF(1-(Settings!$C$10+Settings!$C$11+IF(Settings!$C$15="Yes / Sí",Settings!$C$14,0))-IF(H97="",Settings!$C$9,H97)&lt;=0,0,MAX(0,IF(Settings!$C$16="Yes / Sí",IF(ROUNDUP(($I97+(Settings!$C$12+Settings!$C$13)-$G97*(1-(Settings!$C$10+Settings!$C$11+IF(Settings!$C$15="Yes / Sí",Settings!$C$14,0))))/(1-(Settings!$C$10+Settings!$C$11+IF(Settings!$C$15="Yes / Sí",Settings!$C$14,0))-IF(H97="",Settings!$C$9,H97)),0)-0.01&gt;=($I97+(Settings!$C$12+Settings!$C$13)-$G97*(1-(Settings!$C$10+Settings!$C$11+IF(Settings!$C$15="Yes / Sí",Settings!$C$14,0))))/(1-(Settings!$C$10+Settings!$C$11+IF(Settings!$C$15="Yes / Sí",Settings!$C$14,0))-IF(H97="",Settings!$C$9,H97)),ROUNDUP(($I97+(Settings!$C$12+Settings!$C$13)-$G97*(1-(Settings!$C$10+Settings!$C$11+IF(Settings!$C$15="Yes / Sí",Settings!$C$14,0))))/(1-(Settings!$C$10+Settings!$C$11+IF(Settings!$C$15="Yes / Sí",Settings!$C$14,0))-IF(H97="",Settings!$C$9,H97)),0)-0.01,ROUNDUP(($I97+(Settings!$C$12+Settings!$C$13)-$G97*(1-(Settings!$C$10+Settings!$C$11+IF(Settings!$C$15="Yes / Sí",Settings!$C$14,0))))/(1-(Settings!$C$10+Settings!$C$11+IF(Settings!$C$15="Yes / Sí",Settings!$C$14,0))-IF(H97="",Settings!$C$9,H97)),0)+0.99),ROUNDUP(($I97+(Settings!$C$12+Settings!$C$13)-$G97*(1-(Settings!$C$10+Settings!$C$11+IF(Settings!$C$15="Yes / Sí",Settings!$C$14,0))))/(1-(Settings!$C$10+Settings!$C$11+IF(Settings!$C$15="Yes / Sí",Settings!$C$14,0))-IF(H97="",Settings!$C$9,H97)),2)))))</f>
        <v/>
      </c>
      <c r="L97" s="60" t="str">
        <f aca="false">IF(OR(B97="",K97=0),"",(K97+$G97-((K97+$G97)*(Settings!$C$10+Settings!$C$11+IF(Settings!$C$15="Yes / Sí",Settings!$C$14,0))+(Settings!$C$12+Settings!$C$13))-$I97))</f>
        <v/>
      </c>
      <c r="M97" s="57"/>
      <c r="N97" s="60" t="str">
        <f aca="false">IF(OR(B97="",M97=""),"",((M97+$G97)*(Settings!$C$10+Settings!$C$11+IF(Settings!$C$15="Yes / Sí",Settings!$C$14,0))+(Settings!$C$12+Settings!$C$13)))</f>
        <v/>
      </c>
      <c r="O97" s="60" t="str">
        <f aca="false">IF(OR(B97="",M97=""),"",(M97+$G97-((M97+$G97)*(Settings!$C$10+Settings!$C$11+IF(Settings!$C$15="Yes / Sí",Settings!$C$14,0))+(Settings!$C$12+Settings!$C$13))-$I97))</f>
        <v/>
      </c>
      <c r="P97" s="61" t="str">
        <f aca="false">IF(O97="","",IF(M97=0,0,O97/M97))</f>
        <v/>
      </c>
      <c r="Q97" s="60" t="str">
        <f aca="false">IF(OR(O97="",D97="",D97=0),"",(O97+D97/60*Settings!$C$7)/(D97/60))</f>
        <v/>
      </c>
      <c r="R97" s="62" t="str">
        <f aca="false">IF(B97="","",IF(M97="","Enter your price / Escribe tu precio",IF(O97&lt;0,"⚠ LOSING MONEY / PIERDES",IF(P97&lt;IF(H97="",Settings!$C$9,H97),"● BELOW TARGET / DEBAJO","✔ ON TARGET / EN OBJETIVO"))))</f>
        <v/>
      </c>
      <c r="T97" s="55" t="n">
        <f aca="false">IF(B97="",0,IF(M97="",0,1))</f>
        <v>0</v>
      </c>
      <c r="U97" s="55" t="n">
        <f aca="false">IF(T97=1,P97,0)</f>
        <v>0</v>
      </c>
      <c r="V97" s="55" t="n">
        <f aca="false">IF(T97=1,IF(O97&lt;0,0,IF(P97&lt;IF(H97="",Settings!$C$9,H97),1,0)),0)</f>
        <v>0</v>
      </c>
      <c r="W97" s="55" t="n">
        <f aca="false">IF(T97=1,IF(O97&lt;0,1,0),0)</f>
        <v>0</v>
      </c>
      <c r="X97" s="55" t="n">
        <f aca="false">IF(T97=1,M97,0)</f>
        <v>0</v>
      </c>
      <c r="Y97" s="55" t="n">
        <f aca="false">IF(T97=1,O97,0)</f>
        <v>0</v>
      </c>
      <c r="Z97" s="55" t="n">
        <f aca="false">IF(B97="",0,1)</f>
        <v>0</v>
      </c>
    </row>
    <row r="98" customFormat="false" ht="15" hidden="false" customHeight="false" outlineLevel="0" collapsed="false">
      <c r="B98" s="56"/>
      <c r="C98" s="57"/>
      <c r="D98" s="58"/>
      <c r="E98" s="57"/>
      <c r="F98" s="57"/>
      <c r="G98" s="57"/>
      <c r="H98" s="59"/>
      <c r="I98" s="60" t="str">
        <f aca="false">IF(B98="","",C98+IF(D98="",0,D98/60*Settings!$C$7)+E98+F98+Settings!$C$8)</f>
        <v/>
      </c>
      <c r="J98" s="60" t="str">
        <f aca="false">IF(B98="","",MAX(0,($I98+(Settings!$C$12+Settings!$C$13)-$G98*(1-(Settings!$C$10+Settings!$C$11+IF(Settings!$C$15="Yes / Sí",Settings!$C$14,0))))/(1-(Settings!$C$10+Settings!$C$11+IF(Settings!$C$15="Yes / Sí",Settings!$C$14,0)))))</f>
        <v/>
      </c>
      <c r="K98" s="60" t="str">
        <f aca="false">IF(B98="","",IF(1-(Settings!$C$10+Settings!$C$11+IF(Settings!$C$15="Yes / Sí",Settings!$C$14,0))-IF(H98="",Settings!$C$9,H98)&lt;=0,0,MAX(0,IF(Settings!$C$16="Yes / Sí",IF(ROUNDUP(($I98+(Settings!$C$12+Settings!$C$13)-$G98*(1-(Settings!$C$10+Settings!$C$11+IF(Settings!$C$15="Yes / Sí",Settings!$C$14,0))))/(1-(Settings!$C$10+Settings!$C$11+IF(Settings!$C$15="Yes / Sí",Settings!$C$14,0))-IF(H98="",Settings!$C$9,H98)),0)-0.01&gt;=($I98+(Settings!$C$12+Settings!$C$13)-$G98*(1-(Settings!$C$10+Settings!$C$11+IF(Settings!$C$15="Yes / Sí",Settings!$C$14,0))))/(1-(Settings!$C$10+Settings!$C$11+IF(Settings!$C$15="Yes / Sí",Settings!$C$14,0))-IF(H98="",Settings!$C$9,H98)),ROUNDUP(($I98+(Settings!$C$12+Settings!$C$13)-$G98*(1-(Settings!$C$10+Settings!$C$11+IF(Settings!$C$15="Yes / Sí",Settings!$C$14,0))))/(1-(Settings!$C$10+Settings!$C$11+IF(Settings!$C$15="Yes / Sí",Settings!$C$14,0))-IF(H98="",Settings!$C$9,H98)),0)-0.01,ROUNDUP(($I98+(Settings!$C$12+Settings!$C$13)-$G98*(1-(Settings!$C$10+Settings!$C$11+IF(Settings!$C$15="Yes / Sí",Settings!$C$14,0))))/(1-(Settings!$C$10+Settings!$C$11+IF(Settings!$C$15="Yes / Sí",Settings!$C$14,0))-IF(H98="",Settings!$C$9,H98)),0)+0.99),ROUNDUP(($I98+(Settings!$C$12+Settings!$C$13)-$G98*(1-(Settings!$C$10+Settings!$C$11+IF(Settings!$C$15="Yes / Sí",Settings!$C$14,0))))/(1-(Settings!$C$10+Settings!$C$11+IF(Settings!$C$15="Yes / Sí",Settings!$C$14,0))-IF(H98="",Settings!$C$9,H98)),2)))))</f>
        <v/>
      </c>
      <c r="L98" s="60" t="str">
        <f aca="false">IF(OR(B98="",K98=0),"",(K98+$G98-((K98+$G98)*(Settings!$C$10+Settings!$C$11+IF(Settings!$C$15="Yes / Sí",Settings!$C$14,0))+(Settings!$C$12+Settings!$C$13))-$I98))</f>
        <v/>
      </c>
      <c r="M98" s="57"/>
      <c r="N98" s="60" t="str">
        <f aca="false">IF(OR(B98="",M98=""),"",((M98+$G98)*(Settings!$C$10+Settings!$C$11+IF(Settings!$C$15="Yes / Sí",Settings!$C$14,0))+(Settings!$C$12+Settings!$C$13)))</f>
        <v/>
      </c>
      <c r="O98" s="60" t="str">
        <f aca="false">IF(OR(B98="",M98=""),"",(M98+$G98-((M98+$G98)*(Settings!$C$10+Settings!$C$11+IF(Settings!$C$15="Yes / Sí",Settings!$C$14,0))+(Settings!$C$12+Settings!$C$13))-$I98))</f>
        <v/>
      </c>
      <c r="P98" s="61" t="str">
        <f aca="false">IF(O98="","",IF(M98=0,0,O98/M98))</f>
        <v/>
      </c>
      <c r="Q98" s="60" t="str">
        <f aca="false">IF(OR(O98="",D98="",D98=0),"",(O98+D98/60*Settings!$C$7)/(D98/60))</f>
        <v/>
      </c>
      <c r="R98" s="62" t="str">
        <f aca="false">IF(B98="","",IF(M98="","Enter your price / Escribe tu precio",IF(O98&lt;0,"⚠ LOSING MONEY / PIERDES",IF(P98&lt;IF(H98="",Settings!$C$9,H98),"● BELOW TARGET / DEBAJO","✔ ON TARGET / EN OBJETIVO"))))</f>
        <v/>
      </c>
      <c r="T98" s="55" t="n">
        <f aca="false">IF(B98="",0,IF(M98="",0,1))</f>
        <v>0</v>
      </c>
      <c r="U98" s="55" t="n">
        <f aca="false">IF(T98=1,P98,0)</f>
        <v>0</v>
      </c>
      <c r="V98" s="55" t="n">
        <f aca="false">IF(T98=1,IF(O98&lt;0,0,IF(P98&lt;IF(H98="",Settings!$C$9,H98),1,0)),0)</f>
        <v>0</v>
      </c>
      <c r="W98" s="55" t="n">
        <f aca="false">IF(T98=1,IF(O98&lt;0,1,0),0)</f>
        <v>0</v>
      </c>
      <c r="X98" s="55" t="n">
        <f aca="false">IF(T98=1,M98,0)</f>
        <v>0</v>
      </c>
      <c r="Y98" s="55" t="n">
        <f aca="false">IF(T98=1,O98,0)</f>
        <v>0</v>
      </c>
      <c r="Z98" s="55" t="n">
        <f aca="false">IF(B98="",0,1)</f>
        <v>0</v>
      </c>
    </row>
    <row r="99" customFormat="false" ht="15" hidden="false" customHeight="false" outlineLevel="0" collapsed="false">
      <c r="B99" s="56"/>
      <c r="C99" s="57"/>
      <c r="D99" s="58"/>
      <c r="E99" s="57"/>
      <c r="F99" s="57"/>
      <c r="G99" s="57"/>
      <c r="H99" s="59"/>
      <c r="I99" s="60" t="str">
        <f aca="false">IF(B99="","",C99+IF(D99="",0,D99/60*Settings!$C$7)+E99+F99+Settings!$C$8)</f>
        <v/>
      </c>
      <c r="J99" s="60" t="str">
        <f aca="false">IF(B99="","",MAX(0,($I99+(Settings!$C$12+Settings!$C$13)-$G99*(1-(Settings!$C$10+Settings!$C$11+IF(Settings!$C$15="Yes / Sí",Settings!$C$14,0))))/(1-(Settings!$C$10+Settings!$C$11+IF(Settings!$C$15="Yes / Sí",Settings!$C$14,0)))))</f>
        <v/>
      </c>
      <c r="K99" s="60" t="str">
        <f aca="false">IF(B99="","",IF(1-(Settings!$C$10+Settings!$C$11+IF(Settings!$C$15="Yes / Sí",Settings!$C$14,0))-IF(H99="",Settings!$C$9,H99)&lt;=0,0,MAX(0,IF(Settings!$C$16="Yes / Sí",IF(ROUNDUP(($I99+(Settings!$C$12+Settings!$C$13)-$G99*(1-(Settings!$C$10+Settings!$C$11+IF(Settings!$C$15="Yes / Sí",Settings!$C$14,0))))/(1-(Settings!$C$10+Settings!$C$11+IF(Settings!$C$15="Yes / Sí",Settings!$C$14,0))-IF(H99="",Settings!$C$9,H99)),0)-0.01&gt;=($I99+(Settings!$C$12+Settings!$C$13)-$G99*(1-(Settings!$C$10+Settings!$C$11+IF(Settings!$C$15="Yes / Sí",Settings!$C$14,0))))/(1-(Settings!$C$10+Settings!$C$11+IF(Settings!$C$15="Yes / Sí",Settings!$C$14,0))-IF(H99="",Settings!$C$9,H99)),ROUNDUP(($I99+(Settings!$C$12+Settings!$C$13)-$G99*(1-(Settings!$C$10+Settings!$C$11+IF(Settings!$C$15="Yes / Sí",Settings!$C$14,0))))/(1-(Settings!$C$10+Settings!$C$11+IF(Settings!$C$15="Yes / Sí",Settings!$C$14,0))-IF(H99="",Settings!$C$9,H99)),0)-0.01,ROUNDUP(($I99+(Settings!$C$12+Settings!$C$13)-$G99*(1-(Settings!$C$10+Settings!$C$11+IF(Settings!$C$15="Yes / Sí",Settings!$C$14,0))))/(1-(Settings!$C$10+Settings!$C$11+IF(Settings!$C$15="Yes / Sí",Settings!$C$14,0))-IF(H99="",Settings!$C$9,H99)),0)+0.99),ROUNDUP(($I99+(Settings!$C$12+Settings!$C$13)-$G99*(1-(Settings!$C$10+Settings!$C$11+IF(Settings!$C$15="Yes / Sí",Settings!$C$14,0))))/(1-(Settings!$C$10+Settings!$C$11+IF(Settings!$C$15="Yes / Sí",Settings!$C$14,0))-IF(H99="",Settings!$C$9,H99)),2)))))</f>
        <v/>
      </c>
      <c r="L99" s="60" t="str">
        <f aca="false">IF(OR(B99="",K99=0),"",(K99+$G99-((K99+$G99)*(Settings!$C$10+Settings!$C$11+IF(Settings!$C$15="Yes / Sí",Settings!$C$14,0))+(Settings!$C$12+Settings!$C$13))-$I99))</f>
        <v/>
      </c>
      <c r="M99" s="57"/>
      <c r="N99" s="60" t="str">
        <f aca="false">IF(OR(B99="",M99=""),"",((M99+$G99)*(Settings!$C$10+Settings!$C$11+IF(Settings!$C$15="Yes / Sí",Settings!$C$14,0))+(Settings!$C$12+Settings!$C$13)))</f>
        <v/>
      </c>
      <c r="O99" s="60" t="str">
        <f aca="false">IF(OR(B99="",M99=""),"",(M99+$G99-((M99+$G99)*(Settings!$C$10+Settings!$C$11+IF(Settings!$C$15="Yes / Sí",Settings!$C$14,0))+(Settings!$C$12+Settings!$C$13))-$I99))</f>
        <v/>
      </c>
      <c r="P99" s="61" t="str">
        <f aca="false">IF(O99="","",IF(M99=0,0,O99/M99))</f>
        <v/>
      </c>
      <c r="Q99" s="60" t="str">
        <f aca="false">IF(OR(O99="",D99="",D99=0),"",(O99+D99/60*Settings!$C$7)/(D99/60))</f>
        <v/>
      </c>
      <c r="R99" s="62" t="str">
        <f aca="false">IF(B99="","",IF(M99="","Enter your price / Escribe tu precio",IF(O99&lt;0,"⚠ LOSING MONEY / PIERDES",IF(P99&lt;IF(H99="",Settings!$C$9,H99),"● BELOW TARGET / DEBAJO","✔ ON TARGET / EN OBJETIVO"))))</f>
        <v/>
      </c>
      <c r="T99" s="55" t="n">
        <f aca="false">IF(B99="",0,IF(M99="",0,1))</f>
        <v>0</v>
      </c>
      <c r="U99" s="55" t="n">
        <f aca="false">IF(T99=1,P99,0)</f>
        <v>0</v>
      </c>
      <c r="V99" s="55" t="n">
        <f aca="false">IF(T99=1,IF(O99&lt;0,0,IF(P99&lt;IF(H99="",Settings!$C$9,H99),1,0)),0)</f>
        <v>0</v>
      </c>
      <c r="W99" s="55" t="n">
        <f aca="false">IF(T99=1,IF(O99&lt;0,1,0),0)</f>
        <v>0</v>
      </c>
      <c r="X99" s="55" t="n">
        <f aca="false">IF(T99=1,M99,0)</f>
        <v>0</v>
      </c>
      <c r="Y99" s="55" t="n">
        <f aca="false">IF(T99=1,O99,0)</f>
        <v>0</v>
      </c>
      <c r="Z99" s="55" t="n">
        <f aca="false">IF(B99="",0,1)</f>
        <v>0</v>
      </c>
    </row>
    <row r="100" customFormat="false" ht="15" hidden="false" customHeight="false" outlineLevel="0" collapsed="false">
      <c r="B100" s="56"/>
      <c r="C100" s="57"/>
      <c r="D100" s="58"/>
      <c r="E100" s="57"/>
      <c r="F100" s="57"/>
      <c r="G100" s="57"/>
      <c r="H100" s="59"/>
      <c r="I100" s="60" t="str">
        <f aca="false">IF(B100="","",C100+IF(D100="",0,D100/60*Settings!$C$7)+E100+F100+Settings!$C$8)</f>
        <v/>
      </c>
      <c r="J100" s="60" t="str">
        <f aca="false">IF(B100="","",MAX(0,($I100+(Settings!$C$12+Settings!$C$13)-$G100*(1-(Settings!$C$10+Settings!$C$11+IF(Settings!$C$15="Yes / Sí",Settings!$C$14,0))))/(1-(Settings!$C$10+Settings!$C$11+IF(Settings!$C$15="Yes / Sí",Settings!$C$14,0)))))</f>
        <v/>
      </c>
      <c r="K100" s="60" t="str">
        <f aca="false">IF(B100="","",IF(1-(Settings!$C$10+Settings!$C$11+IF(Settings!$C$15="Yes / Sí",Settings!$C$14,0))-IF(H100="",Settings!$C$9,H100)&lt;=0,0,MAX(0,IF(Settings!$C$16="Yes / Sí",IF(ROUNDUP(($I100+(Settings!$C$12+Settings!$C$13)-$G100*(1-(Settings!$C$10+Settings!$C$11+IF(Settings!$C$15="Yes / Sí",Settings!$C$14,0))))/(1-(Settings!$C$10+Settings!$C$11+IF(Settings!$C$15="Yes / Sí",Settings!$C$14,0))-IF(H100="",Settings!$C$9,H100)),0)-0.01&gt;=($I100+(Settings!$C$12+Settings!$C$13)-$G100*(1-(Settings!$C$10+Settings!$C$11+IF(Settings!$C$15="Yes / Sí",Settings!$C$14,0))))/(1-(Settings!$C$10+Settings!$C$11+IF(Settings!$C$15="Yes / Sí",Settings!$C$14,0))-IF(H100="",Settings!$C$9,H100)),ROUNDUP(($I100+(Settings!$C$12+Settings!$C$13)-$G100*(1-(Settings!$C$10+Settings!$C$11+IF(Settings!$C$15="Yes / Sí",Settings!$C$14,0))))/(1-(Settings!$C$10+Settings!$C$11+IF(Settings!$C$15="Yes / Sí",Settings!$C$14,0))-IF(H100="",Settings!$C$9,H100)),0)-0.01,ROUNDUP(($I100+(Settings!$C$12+Settings!$C$13)-$G100*(1-(Settings!$C$10+Settings!$C$11+IF(Settings!$C$15="Yes / Sí",Settings!$C$14,0))))/(1-(Settings!$C$10+Settings!$C$11+IF(Settings!$C$15="Yes / Sí",Settings!$C$14,0))-IF(H100="",Settings!$C$9,H100)),0)+0.99),ROUNDUP(($I100+(Settings!$C$12+Settings!$C$13)-$G100*(1-(Settings!$C$10+Settings!$C$11+IF(Settings!$C$15="Yes / Sí",Settings!$C$14,0))))/(1-(Settings!$C$10+Settings!$C$11+IF(Settings!$C$15="Yes / Sí",Settings!$C$14,0))-IF(H100="",Settings!$C$9,H100)),2)))))</f>
        <v/>
      </c>
      <c r="L100" s="60" t="str">
        <f aca="false">IF(OR(B100="",K100=0),"",(K100+$G100-((K100+$G100)*(Settings!$C$10+Settings!$C$11+IF(Settings!$C$15="Yes / Sí",Settings!$C$14,0))+(Settings!$C$12+Settings!$C$13))-$I100))</f>
        <v/>
      </c>
      <c r="M100" s="57"/>
      <c r="N100" s="60" t="str">
        <f aca="false">IF(OR(B100="",M100=""),"",((M100+$G100)*(Settings!$C$10+Settings!$C$11+IF(Settings!$C$15="Yes / Sí",Settings!$C$14,0))+(Settings!$C$12+Settings!$C$13)))</f>
        <v/>
      </c>
      <c r="O100" s="60" t="str">
        <f aca="false">IF(OR(B100="",M100=""),"",(M100+$G100-((M100+$G100)*(Settings!$C$10+Settings!$C$11+IF(Settings!$C$15="Yes / Sí",Settings!$C$14,0))+(Settings!$C$12+Settings!$C$13))-$I100))</f>
        <v/>
      </c>
      <c r="P100" s="61" t="str">
        <f aca="false">IF(O100="","",IF(M100=0,0,O100/M100))</f>
        <v/>
      </c>
      <c r="Q100" s="60" t="str">
        <f aca="false">IF(OR(O100="",D100="",D100=0),"",(O100+D100/60*Settings!$C$7)/(D100/60))</f>
        <v/>
      </c>
      <c r="R100" s="62" t="str">
        <f aca="false">IF(B100="","",IF(M100="","Enter your price / Escribe tu precio",IF(O100&lt;0,"⚠ LOSING MONEY / PIERDES",IF(P100&lt;IF(H100="",Settings!$C$9,H100),"● BELOW TARGET / DEBAJO","✔ ON TARGET / EN OBJETIVO"))))</f>
        <v/>
      </c>
      <c r="T100" s="55" t="n">
        <f aca="false">IF(B100="",0,IF(M100="",0,1))</f>
        <v>0</v>
      </c>
      <c r="U100" s="55" t="n">
        <f aca="false">IF(T100=1,P100,0)</f>
        <v>0</v>
      </c>
      <c r="V100" s="55" t="n">
        <f aca="false">IF(T100=1,IF(O100&lt;0,0,IF(P100&lt;IF(H100="",Settings!$C$9,H100),1,0)),0)</f>
        <v>0</v>
      </c>
      <c r="W100" s="55" t="n">
        <f aca="false">IF(T100=1,IF(O100&lt;0,1,0),0)</f>
        <v>0</v>
      </c>
      <c r="X100" s="55" t="n">
        <f aca="false">IF(T100=1,M100,0)</f>
        <v>0</v>
      </c>
      <c r="Y100" s="55" t="n">
        <f aca="false">IF(T100=1,O100,0)</f>
        <v>0</v>
      </c>
      <c r="Z100" s="55" t="n">
        <f aca="false">IF(B100="",0,1)</f>
        <v>0</v>
      </c>
    </row>
    <row r="101" customFormat="false" ht="15" hidden="false" customHeight="false" outlineLevel="0" collapsed="false">
      <c r="B101" s="56"/>
      <c r="C101" s="57"/>
      <c r="D101" s="58"/>
      <c r="E101" s="57"/>
      <c r="F101" s="57"/>
      <c r="G101" s="57"/>
      <c r="H101" s="59"/>
      <c r="I101" s="60" t="str">
        <f aca="false">IF(B101="","",C101+IF(D101="",0,D101/60*Settings!$C$7)+E101+F101+Settings!$C$8)</f>
        <v/>
      </c>
      <c r="J101" s="60" t="str">
        <f aca="false">IF(B101="","",MAX(0,($I101+(Settings!$C$12+Settings!$C$13)-$G101*(1-(Settings!$C$10+Settings!$C$11+IF(Settings!$C$15="Yes / Sí",Settings!$C$14,0))))/(1-(Settings!$C$10+Settings!$C$11+IF(Settings!$C$15="Yes / Sí",Settings!$C$14,0)))))</f>
        <v/>
      </c>
      <c r="K101" s="60" t="str">
        <f aca="false">IF(B101="","",IF(1-(Settings!$C$10+Settings!$C$11+IF(Settings!$C$15="Yes / Sí",Settings!$C$14,0))-IF(H101="",Settings!$C$9,H101)&lt;=0,0,MAX(0,IF(Settings!$C$16="Yes / Sí",IF(ROUNDUP(($I101+(Settings!$C$12+Settings!$C$13)-$G101*(1-(Settings!$C$10+Settings!$C$11+IF(Settings!$C$15="Yes / Sí",Settings!$C$14,0))))/(1-(Settings!$C$10+Settings!$C$11+IF(Settings!$C$15="Yes / Sí",Settings!$C$14,0))-IF(H101="",Settings!$C$9,H101)),0)-0.01&gt;=($I101+(Settings!$C$12+Settings!$C$13)-$G101*(1-(Settings!$C$10+Settings!$C$11+IF(Settings!$C$15="Yes / Sí",Settings!$C$14,0))))/(1-(Settings!$C$10+Settings!$C$11+IF(Settings!$C$15="Yes / Sí",Settings!$C$14,0))-IF(H101="",Settings!$C$9,H101)),ROUNDUP(($I101+(Settings!$C$12+Settings!$C$13)-$G101*(1-(Settings!$C$10+Settings!$C$11+IF(Settings!$C$15="Yes / Sí",Settings!$C$14,0))))/(1-(Settings!$C$10+Settings!$C$11+IF(Settings!$C$15="Yes / Sí",Settings!$C$14,0))-IF(H101="",Settings!$C$9,H101)),0)-0.01,ROUNDUP(($I101+(Settings!$C$12+Settings!$C$13)-$G101*(1-(Settings!$C$10+Settings!$C$11+IF(Settings!$C$15="Yes / Sí",Settings!$C$14,0))))/(1-(Settings!$C$10+Settings!$C$11+IF(Settings!$C$15="Yes / Sí",Settings!$C$14,0))-IF(H101="",Settings!$C$9,H101)),0)+0.99),ROUNDUP(($I101+(Settings!$C$12+Settings!$C$13)-$G101*(1-(Settings!$C$10+Settings!$C$11+IF(Settings!$C$15="Yes / Sí",Settings!$C$14,0))))/(1-(Settings!$C$10+Settings!$C$11+IF(Settings!$C$15="Yes / Sí",Settings!$C$14,0))-IF(H101="",Settings!$C$9,H101)),2)))))</f>
        <v/>
      </c>
      <c r="L101" s="60" t="str">
        <f aca="false">IF(OR(B101="",K101=0),"",(K101+$G101-((K101+$G101)*(Settings!$C$10+Settings!$C$11+IF(Settings!$C$15="Yes / Sí",Settings!$C$14,0))+(Settings!$C$12+Settings!$C$13))-$I101))</f>
        <v/>
      </c>
      <c r="M101" s="57"/>
      <c r="N101" s="60" t="str">
        <f aca="false">IF(OR(B101="",M101=""),"",((M101+$G101)*(Settings!$C$10+Settings!$C$11+IF(Settings!$C$15="Yes / Sí",Settings!$C$14,0))+(Settings!$C$12+Settings!$C$13)))</f>
        <v/>
      </c>
      <c r="O101" s="60" t="str">
        <f aca="false">IF(OR(B101="",M101=""),"",(M101+$G101-((M101+$G101)*(Settings!$C$10+Settings!$C$11+IF(Settings!$C$15="Yes / Sí",Settings!$C$14,0))+(Settings!$C$12+Settings!$C$13))-$I101))</f>
        <v/>
      </c>
      <c r="P101" s="61" t="str">
        <f aca="false">IF(O101="","",IF(M101=0,0,O101/M101))</f>
        <v/>
      </c>
      <c r="Q101" s="60" t="str">
        <f aca="false">IF(OR(O101="",D101="",D101=0),"",(O101+D101/60*Settings!$C$7)/(D101/60))</f>
        <v/>
      </c>
      <c r="R101" s="62" t="str">
        <f aca="false">IF(B101="","",IF(M101="","Enter your price / Escribe tu precio",IF(O101&lt;0,"⚠ LOSING MONEY / PIERDES",IF(P101&lt;IF(H101="",Settings!$C$9,H101),"● BELOW TARGET / DEBAJO","✔ ON TARGET / EN OBJETIVO"))))</f>
        <v/>
      </c>
      <c r="T101" s="55" t="n">
        <f aca="false">IF(B101="",0,IF(M101="",0,1))</f>
        <v>0</v>
      </c>
      <c r="U101" s="55" t="n">
        <f aca="false">IF(T101=1,P101,0)</f>
        <v>0</v>
      </c>
      <c r="V101" s="55" t="n">
        <f aca="false">IF(T101=1,IF(O101&lt;0,0,IF(P101&lt;IF(H101="",Settings!$C$9,H101),1,0)),0)</f>
        <v>0</v>
      </c>
      <c r="W101" s="55" t="n">
        <f aca="false">IF(T101=1,IF(O101&lt;0,1,0),0)</f>
        <v>0</v>
      </c>
      <c r="X101" s="55" t="n">
        <f aca="false">IF(T101=1,M101,0)</f>
        <v>0</v>
      </c>
      <c r="Y101" s="55" t="n">
        <f aca="false">IF(T101=1,O101,0)</f>
        <v>0</v>
      </c>
      <c r="Z101" s="55" t="n">
        <f aca="false">IF(B101="",0,1)</f>
        <v>0</v>
      </c>
    </row>
    <row r="102" customFormat="false" ht="15" hidden="false" customHeight="false" outlineLevel="0" collapsed="false">
      <c r="B102" s="56"/>
      <c r="C102" s="57"/>
      <c r="D102" s="58"/>
      <c r="E102" s="57"/>
      <c r="F102" s="57"/>
      <c r="G102" s="57"/>
      <c r="H102" s="59"/>
      <c r="I102" s="60" t="str">
        <f aca="false">IF(B102="","",C102+IF(D102="",0,D102/60*Settings!$C$7)+E102+F102+Settings!$C$8)</f>
        <v/>
      </c>
      <c r="J102" s="60" t="str">
        <f aca="false">IF(B102="","",MAX(0,($I102+(Settings!$C$12+Settings!$C$13)-$G102*(1-(Settings!$C$10+Settings!$C$11+IF(Settings!$C$15="Yes / Sí",Settings!$C$14,0))))/(1-(Settings!$C$10+Settings!$C$11+IF(Settings!$C$15="Yes / Sí",Settings!$C$14,0)))))</f>
        <v/>
      </c>
      <c r="K102" s="60" t="str">
        <f aca="false">IF(B102="","",IF(1-(Settings!$C$10+Settings!$C$11+IF(Settings!$C$15="Yes / Sí",Settings!$C$14,0))-IF(H102="",Settings!$C$9,H102)&lt;=0,0,MAX(0,IF(Settings!$C$16="Yes / Sí",IF(ROUNDUP(($I102+(Settings!$C$12+Settings!$C$13)-$G102*(1-(Settings!$C$10+Settings!$C$11+IF(Settings!$C$15="Yes / Sí",Settings!$C$14,0))))/(1-(Settings!$C$10+Settings!$C$11+IF(Settings!$C$15="Yes / Sí",Settings!$C$14,0))-IF(H102="",Settings!$C$9,H102)),0)-0.01&gt;=($I102+(Settings!$C$12+Settings!$C$13)-$G102*(1-(Settings!$C$10+Settings!$C$11+IF(Settings!$C$15="Yes / Sí",Settings!$C$14,0))))/(1-(Settings!$C$10+Settings!$C$11+IF(Settings!$C$15="Yes / Sí",Settings!$C$14,0))-IF(H102="",Settings!$C$9,H102)),ROUNDUP(($I102+(Settings!$C$12+Settings!$C$13)-$G102*(1-(Settings!$C$10+Settings!$C$11+IF(Settings!$C$15="Yes / Sí",Settings!$C$14,0))))/(1-(Settings!$C$10+Settings!$C$11+IF(Settings!$C$15="Yes / Sí",Settings!$C$14,0))-IF(H102="",Settings!$C$9,H102)),0)-0.01,ROUNDUP(($I102+(Settings!$C$12+Settings!$C$13)-$G102*(1-(Settings!$C$10+Settings!$C$11+IF(Settings!$C$15="Yes / Sí",Settings!$C$14,0))))/(1-(Settings!$C$10+Settings!$C$11+IF(Settings!$C$15="Yes / Sí",Settings!$C$14,0))-IF(H102="",Settings!$C$9,H102)),0)+0.99),ROUNDUP(($I102+(Settings!$C$12+Settings!$C$13)-$G102*(1-(Settings!$C$10+Settings!$C$11+IF(Settings!$C$15="Yes / Sí",Settings!$C$14,0))))/(1-(Settings!$C$10+Settings!$C$11+IF(Settings!$C$15="Yes / Sí",Settings!$C$14,0))-IF(H102="",Settings!$C$9,H102)),2)))))</f>
        <v/>
      </c>
      <c r="L102" s="60" t="str">
        <f aca="false">IF(OR(B102="",K102=0),"",(K102+$G102-((K102+$G102)*(Settings!$C$10+Settings!$C$11+IF(Settings!$C$15="Yes / Sí",Settings!$C$14,0))+(Settings!$C$12+Settings!$C$13))-$I102))</f>
        <v/>
      </c>
      <c r="M102" s="57"/>
      <c r="N102" s="60" t="str">
        <f aca="false">IF(OR(B102="",M102=""),"",((M102+$G102)*(Settings!$C$10+Settings!$C$11+IF(Settings!$C$15="Yes / Sí",Settings!$C$14,0))+(Settings!$C$12+Settings!$C$13)))</f>
        <v/>
      </c>
      <c r="O102" s="60" t="str">
        <f aca="false">IF(OR(B102="",M102=""),"",(M102+$G102-((M102+$G102)*(Settings!$C$10+Settings!$C$11+IF(Settings!$C$15="Yes / Sí",Settings!$C$14,0))+(Settings!$C$12+Settings!$C$13))-$I102))</f>
        <v/>
      </c>
      <c r="P102" s="61" t="str">
        <f aca="false">IF(O102="","",IF(M102=0,0,O102/M102))</f>
        <v/>
      </c>
      <c r="Q102" s="60" t="str">
        <f aca="false">IF(OR(O102="",D102="",D102=0),"",(O102+D102/60*Settings!$C$7)/(D102/60))</f>
        <v/>
      </c>
      <c r="R102" s="62" t="str">
        <f aca="false">IF(B102="","",IF(M102="","Enter your price / Escribe tu precio",IF(O102&lt;0,"⚠ LOSING MONEY / PIERDES",IF(P102&lt;IF(H102="",Settings!$C$9,H102),"● BELOW TARGET / DEBAJO","✔ ON TARGET / EN OBJETIVO"))))</f>
        <v/>
      </c>
      <c r="T102" s="55" t="n">
        <f aca="false">IF(B102="",0,IF(M102="",0,1))</f>
        <v>0</v>
      </c>
      <c r="U102" s="55" t="n">
        <f aca="false">IF(T102=1,P102,0)</f>
        <v>0</v>
      </c>
      <c r="V102" s="55" t="n">
        <f aca="false">IF(T102=1,IF(O102&lt;0,0,IF(P102&lt;IF(H102="",Settings!$C$9,H102),1,0)),0)</f>
        <v>0</v>
      </c>
      <c r="W102" s="55" t="n">
        <f aca="false">IF(T102=1,IF(O102&lt;0,1,0),0)</f>
        <v>0</v>
      </c>
      <c r="X102" s="55" t="n">
        <f aca="false">IF(T102=1,M102,0)</f>
        <v>0</v>
      </c>
      <c r="Y102" s="55" t="n">
        <f aca="false">IF(T102=1,O102,0)</f>
        <v>0</v>
      </c>
      <c r="Z102" s="55" t="n">
        <f aca="false">IF(B102="",0,1)</f>
        <v>0</v>
      </c>
    </row>
    <row r="103" customFormat="false" ht="15" hidden="false" customHeight="false" outlineLevel="0" collapsed="false">
      <c r="B103" s="56"/>
      <c r="C103" s="57"/>
      <c r="D103" s="58"/>
      <c r="E103" s="57"/>
      <c r="F103" s="57"/>
      <c r="G103" s="57"/>
      <c r="H103" s="59"/>
      <c r="I103" s="60" t="str">
        <f aca="false">IF(B103="","",C103+IF(D103="",0,D103/60*Settings!$C$7)+E103+F103+Settings!$C$8)</f>
        <v/>
      </c>
      <c r="J103" s="60" t="str">
        <f aca="false">IF(B103="","",MAX(0,($I103+(Settings!$C$12+Settings!$C$13)-$G103*(1-(Settings!$C$10+Settings!$C$11+IF(Settings!$C$15="Yes / Sí",Settings!$C$14,0))))/(1-(Settings!$C$10+Settings!$C$11+IF(Settings!$C$15="Yes / Sí",Settings!$C$14,0)))))</f>
        <v/>
      </c>
      <c r="K103" s="60" t="str">
        <f aca="false">IF(B103="","",IF(1-(Settings!$C$10+Settings!$C$11+IF(Settings!$C$15="Yes / Sí",Settings!$C$14,0))-IF(H103="",Settings!$C$9,H103)&lt;=0,0,MAX(0,IF(Settings!$C$16="Yes / Sí",IF(ROUNDUP(($I103+(Settings!$C$12+Settings!$C$13)-$G103*(1-(Settings!$C$10+Settings!$C$11+IF(Settings!$C$15="Yes / Sí",Settings!$C$14,0))))/(1-(Settings!$C$10+Settings!$C$11+IF(Settings!$C$15="Yes / Sí",Settings!$C$14,0))-IF(H103="",Settings!$C$9,H103)),0)-0.01&gt;=($I103+(Settings!$C$12+Settings!$C$13)-$G103*(1-(Settings!$C$10+Settings!$C$11+IF(Settings!$C$15="Yes / Sí",Settings!$C$14,0))))/(1-(Settings!$C$10+Settings!$C$11+IF(Settings!$C$15="Yes / Sí",Settings!$C$14,0))-IF(H103="",Settings!$C$9,H103)),ROUNDUP(($I103+(Settings!$C$12+Settings!$C$13)-$G103*(1-(Settings!$C$10+Settings!$C$11+IF(Settings!$C$15="Yes / Sí",Settings!$C$14,0))))/(1-(Settings!$C$10+Settings!$C$11+IF(Settings!$C$15="Yes / Sí",Settings!$C$14,0))-IF(H103="",Settings!$C$9,H103)),0)-0.01,ROUNDUP(($I103+(Settings!$C$12+Settings!$C$13)-$G103*(1-(Settings!$C$10+Settings!$C$11+IF(Settings!$C$15="Yes / Sí",Settings!$C$14,0))))/(1-(Settings!$C$10+Settings!$C$11+IF(Settings!$C$15="Yes / Sí",Settings!$C$14,0))-IF(H103="",Settings!$C$9,H103)),0)+0.99),ROUNDUP(($I103+(Settings!$C$12+Settings!$C$13)-$G103*(1-(Settings!$C$10+Settings!$C$11+IF(Settings!$C$15="Yes / Sí",Settings!$C$14,0))))/(1-(Settings!$C$10+Settings!$C$11+IF(Settings!$C$15="Yes / Sí",Settings!$C$14,0))-IF(H103="",Settings!$C$9,H103)),2)))))</f>
        <v/>
      </c>
      <c r="L103" s="60" t="str">
        <f aca="false">IF(OR(B103="",K103=0),"",(K103+$G103-((K103+$G103)*(Settings!$C$10+Settings!$C$11+IF(Settings!$C$15="Yes / Sí",Settings!$C$14,0))+(Settings!$C$12+Settings!$C$13))-$I103))</f>
        <v/>
      </c>
      <c r="M103" s="57"/>
      <c r="N103" s="60" t="str">
        <f aca="false">IF(OR(B103="",M103=""),"",((M103+$G103)*(Settings!$C$10+Settings!$C$11+IF(Settings!$C$15="Yes / Sí",Settings!$C$14,0))+(Settings!$C$12+Settings!$C$13)))</f>
        <v/>
      </c>
      <c r="O103" s="60" t="str">
        <f aca="false">IF(OR(B103="",M103=""),"",(M103+$G103-((M103+$G103)*(Settings!$C$10+Settings!$C$11+IF(Settings!$C$15="Yes / Sí",Settings!$C$14,0))+(Settings!$C$12+Settings!$C$13))-$I103))</f>
        <v/>
      </c>
      <c r="P103" s="61" t="str">
        <f aca="false">IF(O103="","",IF(M103=0,0,O103/M103))</f>
        <v/>
      </c>
      <c r="Q103" s="60" t="str">
        <f aca="false">IF(OR(O103="",D103="",D103=0),"",(O103+D103/60*Settings!$C$7)/(D103/60))</f>
        <v/>
      </c>
      <c r="R103" s="62" t="str">
        <f aca="false">IF(B103="","",IF(M103="","Enter your price / Escribe tu precio",IF(O103&lt;0,"⚠ LOSING MONEY / PIERDES",IF(P103&lt;IF(H103="",Settings!$C$9,H103),"● BELOW TARGET / DEBAJO","✔ ON TARGET / EN OBJETIVO"))))</f>
        <v/>
      </c>
      <c r="T103" s="55" t="n">
        <f aca="false">IF(B103="",0,IF(M103="",0,1))</f>
        <v>0</v>
      </c>
      <c r="U103" s="55" t="n">
        <f aca="false">IF(T103=1,P103,0)</f>
        <v>0</v>
      </c>
      <c r="V103" s="55" t="n">
        <f aca="false">IF(T103=1,IF(O103&lt;0,0,IF(P103&lt;IF(H103="",Settings!$C$9,H103),1,0)),0)</f>
        <v>0</v>
      </c>
      <c r="W103" s="55" t="n">
        <f aca="false">IF(T103=1,IF(O103&lt;0,1,0),0)</f>
        <v>0</v>
      </c>
      <c r="X103" s="55" t="n">
        <f aca="false">IF(T103=1,M103,0)</f>
        <v>0</v>
      </c>
      <c r="Y103" s="55" t="n">
        <f aca="false">IF(T103=1,O103,0)</f>
        <v>0</v>
      </c>
      <c r="Z103" s="55" t="n">
        <f aca="false">IF(B103="",0,1)</f>
        <v>0</v>
      </c>
    </row>
    <row r="104" customFormat="false" ht="15" hidden="false" customHeight="false" outlineLevel="0" collapsed="false">
      <c r="B104" s="56"/>
      <c r="C104" s="57"/>
      <c r="D104" s="58"/>
      <c r="E104" s="57"/>
      <c r="F104" s="57"/>
      <c r="G104" s="57"/>
      <c r="H104" s="59"/>
      <c r="I104" s="60" t="str">
        <f aca="false">IF(B104="","",C104+IF(D104="",0,D104/60*Settings!$C$7)+E104+F104+Settings!$C$8)</f>
        <v/>
      </c>
      <c r="J104" s="60" t="str">
        <f aca="false">IF(B104="","",MAX(0,($I104+(Settings!$C$12+Settings!$C$13)-$G104*(1-(Settings!$C$10+Settings!$C$11+IF(Settings!$C$15="Yes / Sí",Settings!$C$14,0))))/(1-(Settings!$C$10+Settings!$C$11+IF(Settings!$C$15="Yes / Sí",Settings!$C$14,0)))))</f>
        <v/>
      </c>
      <c r="K104" s="60" t="str">
        <f aca="false">IF(B104="","",IF(1-(Settings!$C$10+Settings!$C$11+IF(Settings!$C$15="Yes / Sí",Settings!$C$14,0))-IF(H104="",Settings!$C$9,H104)&lt;=0,0,MAX(0,IF(Settings!$C$16="Yes / Sí",IF(ROUNDUP(($I104+(Settings!$C$12+Settings!$C$13)-$G104*(1-(Settings!$C$10+Settings!$C$11+IF(Settings!$C$15="Yes / Sí",Settings!$C$14,0))))/(1-(Settings!$C$10+Settings!$C$11+IF(Settings!$C$15="Yes / Sí",Settings!$C$14,0))-IF(H104="",Settings!$C$9,H104)),0)-0.01&gt;=($I104+(Settings!$C$12+Settings!$C$13)-$G104*(1-(Settings!$C$10+Settings!$C$11+IF(Settings!$C$15="Yes / Sí",Settings!$C$14,0))))/(1-(Settings!$C$10+Settings!$C$11+IF(Settings!$C$15="Yes / Sí",Settings!$C$14,0))-IF(H104="",Settings!$C$9,H104)),ROUNDUP(($I104+(Settings!$C$12+Settings!$C$13)-$G104*(1-(Settings!$C$10+Settings!$C$11+IF(Settings!$C$15="Yes / Sí",Settings!$C$14,0))))/(1-(Settings!$C$10+Settings!$C$11+IF(Settings!$C$15="Yes / Sí",Settings!$C$14,0))-IF(H104="",Settings!$C$9,H104)),0)-0.01,ROUNDUP(($I104+(Settings!$C$12+Settings!$C$13)-$G104*(1-(Settings!$C$10+Settings!$C$11+IF(Settings!$C$15="Yes / Sí",Settings!$C$14,0))))/(1-(Settings!$C$10+Settings!$C$11+IF(Settings!$C$15="Yes / Sí",Settings!$C$14,0))-IF(H104="",Settings!$C$9,H104)),0)+0.99),ROUNDUP(($I104+(Settings!$C$12+Settings!$C$13)-$G104*(1-(Settings!$C$10+Settings!$C$11+IF(Settings!$C$15="Yes / Sí",Settings!$C$14,0))))/(1-(Settings!$C$10+Settings!$C$11+IF(Settings!$C$15="Yes / Sí",Settings!$C$14,0))-IF(H104="",Settings!$C$9,H104)),2)))))</f>
        <v/>
      </c>
      <c r="L104" s="60" t="str">
        <f aca="false">IF(OR(B104="",K104=0),"",(K104+$G104-((K104+$G104)*(Settings!$C$10+Settings!$C$11+IF(Settings!$C$15="Yes / Sí",Settings!$C$14,0))+(Settings!$C$12+Settings!$C$13))-$I104))</f>
        <v/>
      </c>
      <c r="M104" s="57"/>
      <c r="N104" s="60" t="str">
        <f aca="false">IF(OR(B104="",M104=""),"",((M104+$G104)*(Settings!$C$10+Settings!$C$11+IF(Settings!$C$15="Yes / Sí",Settings!$C$14,0))+(Settings!$C$12+Settings!$C$13)))</f>
        <v/>
      </c>
      <c r="O104" s="60" t="str">
        <f aca="false">IF(OR(B104="",M104=""),"",(M104+$G104-((M104+$G104)*(Settings!$C$10+Settings!$C$11+IF(Settings!$C$15="Yes / Sí",Settings!$C$14,0))+(Settings!$C$12+Settings!$C$13))-$I104))</f>
        <v/>
      </c>
      <c r="P104" s="61" t="str">
        <f aca="false">IF(O104="","",IF(M104=0,0,O104/M104))</f>
        <v/>
      </c>
      <c r="Q104" s="60" t="str">
        <f aca="false">IF(OR(O104="",D104="",D104=0),"",(O104+D104/60*Settings!$C$7)/(D104/60))</f>
        <v/>
      </c>
      <c r="R104" s="62" t="str">
        <f aca="false">IF(B104="","",IF(M104="","Enter your price / Escribe tu precio",IF(O104&lt;0,"⚠ LOSING MONEY / PIERDES",IF(P104&lt;IF(H104="",Settings!$C$9,H104),"● BELOW TARGET / DEBAJO","✔ ON TARGET / EN OBJETIVO"))))</f>
        <v/>
      </c>
      <c r="T104" s="55" t="n">
        <f aca="false">IF(B104="",0,IF(M104="",0,1))</f>
        <v>0</v>
      </c>
      <c r="U104" s="55" t="n">
        <f aca="false">IF(T104=1,P104,0)</f>
        <v>0</v>
      </c>
      <c r="V104" s="55" t="n">
        <f aca="false">IF(T104=1,IF(O104&lt;0,0,IF(P104&lt;IF(H104="",Settings!$C$9,H104),1,0)),0)</f>
        <v>0</v>
      </c>
      <c r="W104" s="55" t="n">
        <f aca="false">IF(T104=1,IF(O104&lt;0,1,0),0)</f>
        <v>0</v>
      </c>
      <c r="X104" s="55" t="n">
        <f aca="false">IF(T104=1,M104,0)</f>
        <v>0</v>
      </c>
      <c r="Y104" s="55" t="n">
        <f aca="false">IF(T104=1,O104,0)</f>
        <v>0</v>
      </c>
      <c r="Z104" s="55" t="n">
        <f aca="false">IF(B104="",0,1)</f>
        <v>0</v>
      </c>
    </row>
    <row r="105" customFormat="false" ht="15" hidden="false" customHeight="false" outlineLevel="0" collapsed="false">
      <c r="B105" s="56"/>
      <c r="C105" s="57"/>
      <c r="D105" s="58"/>
      <c r="E105" s="57"/>
      <c r="F105" s="57"/>
      <c r="G105" s="57"/>
      <c r="H105" s="59"/>
      <c r="I105" s="60" t="str">
        <f aca="false">IF(B105="","",C105+IF(D105="",0,D105/60*Settings!$C$7)+E105+F105+Settings!$C$8)</f>
        <v/>
      </c>
      <c r="J105" s="60" t="str">
        <f aca="false">IF(B105="","",MAX(0,($I105+(Settings!$C$12+Settings!$C$13)-$G105*(1-(Settings!$C$10+Settings!$C$11+IF(Settings!$C$15="Yes / Sí",Settings!$C$14,0))))/(1-(Settings!$C$10+Settings!$C$11+IF(Settings!$C$15="Yes / Sí",Settings!$C$14,0)))))</f>
        <v/>
      </c>
      <c r="K105" s="60" t="str">
        <f aca="false">IF(B105="","",IF(1-(Settings!$C$10+Settings!$C$11+IF(Settings!$C$15="Yes / Sí",Settings!$C$14,0))-IF(H105="",Settings!$C$9,H105)&lt;=0,0,MAX(0,IF(Settings!$C$16="Yes / Sí",IF(ROUNDUP(($I105+(Settings!$C$12+Settings!$C$13)-$G105*(1-(Settings!$C$10+Settings!$C$11+IF(Settings!$C$15="Yes / Sí",Settings!$C$14,0))))/(1-(Settings!$C$10+Settings!$C$11+IF(Settings!$C$15="Yes / Sí",Settings!$C$14,0))-IF(H105="",Settings!$C$9,H105)),0)-0.01&gt;=($I105+(Settings!$C$12+Settings!$C$13)-$G105*(1-(Settings!$C$10+Settings!$C$11+IF(Settings!$C$15="Yes / Sí",Settings!$C$14,0))))/(1-(Settings!$C$10+Settings!$C$11+IF(Settings!$C$15="Yes / Sí",Settings!$C$14,0))-IF(H105="",Settings!$C$9,H105)),ROUNDUP(($I105+(Settings!$C$12+Settings!$C$13)-$G105*(1-(Settings!$C$10+Settings!$C$11+IF(Settings!$C$15="Yes / Sí",Settings!$C$14,0))))/(1-(Settings!$C$10+Settings!$C$11+IF(Settings!$C$15="Yes / Sí",Settings!$C$14,0))-IF(H105="",Settings!$C$9,H105)),0)-0.01,ROUNDUP(($I105+(Settings!$C$12+Settings!$C$13)-$G105*(1-(Settings!$C$10+Settings!$C$11+IF(Settings!$C$15="Yes / Sí",Settings!$C$14,0))))/(1-(Settings!$C$10+Settings!$C$11+IF(Settings!$C$15="Yes / Sí",Settings!$C$14,0))-IF(H105="",Settings!$C$9,H105)),0)+0.99),ROUNDUP(($I105+(Settings!$C$12+Settings!$C$13)-$G105*(1-(Settings!$C$10+Settings!$C$11+IF(Settings!$C$15="Yes / Sí",Settings!$C$14,0))))/(1-(Settings!$C$10+Settings!$C$11+IF(Settings!$C$15="Yes / Sí",Settings!$C$14,0))-IF(H105="",Settings!$C$9,H105)),2)))))</f>
        <v/>
      </c>
      <c r="L105" s="60" t="str">
        <f aca="false">IF(OR(B105="",K105=0),"",(K105+$G105-((K105+$G105)*(Settings!$C$10+Settings!$C$11+IF(Settings!$C$15="Yes / Sí",Settings!$C$14,0))+(Settings!$C$12+Settings!$C$13))-$I105))</f>
        <v/>
      </c>
      <c r="M105" s="57"/>
      <c r="N105" s="60" t="str">
        <f aca="false">IF(OR(B105="",M105=""),"",((M105+$G105)*(Settings!$C$10+Settings!$C$11+IF(Settings!$C$15="Yes / Sí",Settings!$C$14,0))+(Settings!$C$12+Settings!$C$13)))</f>
        <v/>
      </c>
      <c r="O105" s="60" t="str">
        <f aca="false">IF(OR(B105="",M105=""),"",(M105+$G105-((M105+$G105)*(Settings!$C$10+Settings!$C$11+IF(Settings!$C$15="Yes / Sí",Settings!$C$14,0))+(Settings!$C$12+Settings!$C$13))-$I105))</f>
        <v/>
      </c>
      <c r="P105" s="61" t="str">
        <f aca="false">IF(O105="","",IF(M105=0,0,O105/M105))</f>
        <v/>
      </c>
      <c r="Q105" s="60" t="str">
        <f aca="false">IF(OR(O105="",D105="",D105=0),"",(O105+D105/60*Settings!$C$7)/(D105/60))</f>
        <v/>
      </c>
      <c r="R105" s="62" t="str">
        <f aca="false">IF(B105="","",IF(M105="","Enter your price / Escribe tu precio",IF(O105&lt;0,"⚠ LOSING MONEY / PIERDES",IF(P105&lt;IF(H105="",Settings!$C$9,H105),"● BELOW TARGET / DEBAJO","✔ ON TARGET / EN OBJETIVO"))))</f>
        <v/>
      </c>
      <c r="T105" s="55" t="n">
        <f aca="false">IF(B105="",0,IF(M105="",0,1))</f>
        <v>0</v>
      </c>
      <c r="U105" s="55" t="n">
        <f aca="false">IF(T105=1,P105,0)</f>
        <v>0</v>
      </c>
      <c r="V105" s="55" t="n">
        <f aca="false">IF(T105=1,IF(O105&lt;0,0,IF(P105&lt;IF(H105="",Settings!$C$9,H105),1,0)),0)</f>
        <v>0</v>
      </c>
      <c r="W105" s="55" t="n">
        <f aca="false">IF(T105=1,IF(O105&lt;0,1,0),0)</f>
        <v>0</v>
      </c>
      <c r="X105" s="55" t="n">
        <f aca="false">IF(T105=1,M105,0)</f>
        <v>0</v>
      </c>
      <c r="Y105" s="55" t="n">
        <f aca="false">IF(T105=1,O105,0)</f>
        <v>0</v>
      </c>
      <c r="Z105" s="55" t="n">
        <f aca="false">IF(B105="",0,1)</f>
        <v>0</v>
      </c>
    </row>
    <row r="106" customFormat="false" ht="15" hidden="false" customHeight="false" outlineLevel="0" collapsed="false">
      <c r="B106" s="56"/>
      <c r="C106" s="57"/>
      <c r="D106" s="58"/>
      <c r="E106" s="57"/>
      <c r="F106" s="57"/>
      <c r="G106" s="57"/>
      <c r="H106" s="59"/>
      <c r="I106" s="60" t="str">
        <f aca="false">IF(B106="","",C106+IF(D106="",0,D106/60*Settings!$C$7)+E106+F106+Settings!$C$8)</f>
        <v/>
      </c>
      <c r="J106" s="60" t="str">
        <f aca="false">IF(B106="","",MAX(0,($I106+(Settings!$C$12+Settings!$C$13)-$G106*(1-(Settings!$C$10+Settings!$C$11+IF(Settings!$C$15="Yes / Sí",Settings!$C$14,0))))/(1-(Settings!$C$10+Settings!$C$11+IF(Settings!$C$15="Yes / Sí",Settings!$C$14,0)))))</f>
        <v/>
      </c>
      <c r="K106" s="60" t="str">
        <f aca="false">IF(B106="","",IF(1-(Settings!$C$10+Settings!$C$11+IF(Settings!$C$15="Yes / Sí",Settings!$C$14,0))-IF(H106="",Settings!$C$9,H106)&lt;=0,0,MAX(0,IF(Settings!$C$16="Yes / Sí",IF(ROUNDUP(($I106+(Settings!$C$12+Settings!$C$13)-$G106*(1-(Settings!$C$10+Settings!$C$11+IF(Settings!$C$15="Yes / Sí",Settings!$C$14,0))))/(1-(Settings!$C$10+Settings!$C$11+IF(Settings!$C$15="Yes / Sí",Settings!$C$14,0))-IF(H106="",Settings!$C$9,H106)),0)-0.01&gt;=($I106+(Settings!$C$12+Settings!$C$13)-$G106*(1-(Settings!$C$10+Settings!$C$11+IF(Settings!$C$15="Yes / Sí",Settings!$C$14,0))))/(1-(Settings!$C$10+Settings!$C$11+IF(Settings!$C$15="Yes / Sí",Settings!$C$14,0))-IF(H106="",Settings!$C$9,H106)),ROUNDUP(($I106+(Settings!$C$12+Settings!$C$13)-$G106*(1-(Settings!$C$10+Settings!$C$11+IF(Settings!$C$15="Yes / Sí",Settings!$C$14,0))))/(1-(Settings!$C$10+Settings!$C$11+IF(Settings!$C$15="Yes / Sí",Settings!$C$14,0))-IF(H106="",Settings!$C$9,H106)),0)-0.01,ROUNDUP(($I106+(Settings!$C$12+Settings!$C$13)-$G106*(1-(Settings!$C$10+Settings!$C$11+IF(Settings!$C$15="Yes / Sí",Settings!$C$14,0))))/(1-(Settings!$C$10+Settings!$C$11+IF(Settings!$C$15="Yes / Sí",Settings!$C$14,0))-IF(H106="",Settings!$C$9,H106)),0)+0.99),ROUNDUP(($I106+(Settings!$C$12+Settings!$C$13)-$G106*(1-(Settings!$C$10+Settings!$C$11+IF(Settings!$C$15="Yes / Sí",Settings!$C$14,0))))/(1-(Settings!$C$10+Settings!$C$11+IF(Settings!$C$15="Yes / Sí",Settings!$C$14,0))-IF(H106="",Settings!$C$9,H106)),2)))))</f>
        <v/>
      </c>
      <c r="L106" s="60" t="str">
        <f aca="false">IF(OR(B106="",K106=0),"",(K106+$G106-((K106+$G106)*(Settings!$C$10+Settings!$C$11+IF(Settings!$C$15="Yes / Sí",Settings!$C$14,0))+(Settings!$C$12+Settings!$C$13))-$I106))</f>
        <v/>
      </c>
      <c r="M106" s="57"/>
      <c r="N106" s="60" t="str">
        <f aca="false">IF(OR(B106="",M106=""),"",((M106+$G106)*(Settings!$C$10+Settings!$C$11+IF(Settings!$C$15="Yes / Sí",Settings!$C$14,0))+(Settings!$C$12+Settings!$C$13)))</f>
        <v/>
      </c>
      <c r="O106" s="60" t="str">
        <f aca="false">IF(OR(B106="",M106=""),"",(M106+$G106-((M106+$G106)*(Settings!$C$10+Settings!$C$11+IF(Settings!$C$15="Yes / Sí",Settings!$C$14,0))+(Settings!$C$12+Settings!$C$13))-$I106))</f>
        <v/>
      </c>
      <c r="P106" s="61" t="str">
        <f aca="false">IF(O106="","",IF(M106=0,0,O106/M106))</f>
        <v/>
      </c>
      <c r="Q106" s="60" t="str">
        <f aca="false">IF(OR(O106="",D106="",D106=0),"",(O106+D106/60*Settings!$C$7)/(D106/60))</f>
        <v/>
      </c>
      <c r="R106" s="62" t="str">
        <f aca="false">IF(B106="","",IF(M106="","Enter your price / Escribe tu precio",IF(O106&lt;0,"⚠ LOSING MONEY / PIERDES",IF(P106&lt;IF(H106="",Settings!$C$9,H106),"● BELOW TARGET / DEBAJO","✔ ON TARGET / EN OBJETIVO"))))</f>
        <v/>
      </c>
      <c r="T106" s="55" t="n">
        <f aca="false">IF(B106="",0,IF(M106="",0,1))</f>
        <v>0</v>
      </c>
      <c r="U106" s="55" t="n">
        <f aca="false">IF(T106=1,P106,0)</f>
        <v>0</v>
      </c>
      <c r="V106" s="55" t="n">
        <f aca="false">IF(T106=1,IF(O106&lt;0,0,IF(P106&lt;IF(H106="",Settings!$C$9,H106),1,0)),0)</f>
        <v>0</v>
      </c>
      <c r="W106" s="55" t="n">
        <f aca="false">IF(T106=1,IF(O106&lt;0,1,0),0)</f>
        <v>0</v>
      </c>
      <c r="X106" s="55" t="n">
        <f aca="false">IF(T106=1,M106,0)</f>
        <v>0</v>
      </c>
      <c r="Y106" s="55" t="n">
        <f aca="false">IF(T106=1,O106,0)</f>
        <v>0</v>
      </c>
      <c r="Z106" s="55" t="n">
        <f aca="false">IF(B106="",0,1)</f>
        <v>0</v>
      </c>
    </row>
    <row r="107" customFormat="false" ht="15" hidden="false" customHeight="false" outlineLevel="0" collapsed="false">
      <c r="B107" s="56"/>
      <c r="C107" s="57"/>
      <c r="D107" s="58"/>
      <c r="E107" s="57"/>
      <c r="F107" s="57"/>
      <c r="G107" s="57"/>
      <c r="H107" s="59"/>
      <c r="I107" s="60" t="str">
        <f aca="false">IF(B107="","",C107+IF(D107="",0,D107/60*Settings!$C$7)+E107+F107+Settings!$C$8)</f>
        <v/>
      </c>
      <c r="J107" s="60" t="str">
        <f aca="false">IF(B107="","",MAX(0,($I107+(Settings!$C$12+Settings!$C$13)-$G107*(1-(Settings!$C$10+Settings!$C$11+IF(Settings!$C$15="Yes / Sí",Settings!$C$14,0))))/(1-(Settings!$C$10+Settings!$C$11+IF(Settings!$C$15="Yes / Sí",Settings!$C$14,0)))))</f>
        <v/>
      </c>
      <c r="K107" s="60" t="str">
        <f aca="false">IF(B107="","",IF(1-(Settings!$C$10+Settings!$C$11+IF(Settings!$C$15="Yes / Sí",Settings!$C$14,0))-IF(H107="",Settings!$C$9,H107)&lt;=0,0,MAX(0,IF(Settings!$C$16="Yes / Sí",IF(ROUNDUP(($I107+(Settings!$C$12+Settings!$C$13)-$G107*(1-(Settings!$C$10+Settings!$C$11+IF(Settings!$C$15="Yes / Sí",Settings!$C$14,0))))/(1-(Settings!$C$10+Settings!$C$11+IF(Settings!$C$15="Yes / Sí",Settings!$C$14,0))-IF(H107="",Settings!$C$9,H107)),0)-0.01&gt;=($I107+(Settings!$C$12+Settings!$C$13)-$G107*(1-(Settings!$C$10+Settings!$C$11+IF(Settings!$C$15="Yes / Sí",Settings!$C$14,0))))/(1-(Settings!$C$10+Settings!$C$11+IF(Settings!$C$15="Yes / Sí",Settings!$C$14,0))-IF(H107="",Settings!$C$9,H107)),ROUNDUP(($I107+(Settings!$C$12+Settings!$C$13)-$G107*(1-(Settings!$C$10+Settings!$C$11+IF(Settings!$C$15="Yes / Sí",Settings!$C$14,0))))/(1-(Settings!$C$10+Settings!$C$11+IF(Settings!$C$15="Yes / Sí",Settings!$C$14,0))-IF(H107="",Settings!$C$9,H107)),0)-0.01,ROUNDUP(($I107+(Settings!$C$12+Settings!$C$13)-$G107*(1-(Settings!$C$10+Settings!$C$11+IF(Settings!$C$15="Yes / Sí",Settings!$C$14,0))))/(1-(Settings!$C$10+Settings!$C$11+IF(Settings!$C$15="Yes / Sí",Settings!$C$14,0))-IF(H107="",Settings!$C$9,H107)),0)+0.99),ROUNDUP(($I107+(Settings!$C$12+Settings!$C$13)-$G107*(1-(Settings!$C$10+Settings!$C$11+IF(Settings!$C$15="Yes / Sí",Settings!$C$14,0))))/(1-(Settings!$C$10+Settings!$C$11+IF(Settings!$C$15="Yes / Sí",Settings!$C$14,0))-IF(H107="",Settings!$C$9,H107)),2)))))</f>
        <v/>
      </c>
      <c r="L107" s="60" t="str">
        <f aca="false">IF(OR(B107="",K107=0),"",(K107+$G107-((K107+$G107)*(Settings!$C$10+Settings!$C$11+IF(Settings!$C$15="Yes / Sí",Settings!$C$14,0))+(Settings!$C$12+Settings!$C$13))-$I107))</f>
        <v/>
      </c>
      <c r="M107" s="57"/>
      <c r="N107" s="60" t="str">
        <f aca="false">IF(OR(B107="",M107=""),"",((M107+$G107)*(Settings!$C$10+Settings!$C$11+IF(Settings!$C$15="Yes / Sí",Settings!$C$14,0))+(Settings!$C$12+Settings!$C$13)))</f>
        <v/>
      </c>
      <c r="O107" s="60" t="str">
        <f aca="false">IF(OR(B107="",M107=""),"",(M107+$G107-((M107+$G107)*(Settings!$C$10+Settings!$C$11+IF(Settings!$C$15="Yes / Sí",Settings!$C$14,0))+(Settings!$C$12+Settings!$C$13))-$I107))</f>
        <v/>
      </c>
      <c r="P107" s="61" t="str">
        <f aca="false">IF(O107="","",IF(M107=0,0,O107/M107))</f>
        <v/>
      </c>
      <c r="Q107" s="60" t="str">
        <f aca="false">IF(OR(O107="",D107="",D107=0),"",(O107+D107/60*Settings!$C$7)/(D107/60))</f>
        <v/>
      </c>
      <c r="R107" s="62" t="str">
        <f aca="false">IF(B107="","",IF(M107="","Enter your price / Escribe tu precio",IF(O107&lt;0,"⚠ LOSING MONEY / PIERDES",IF(P107&lt;IF(H107="",Settings!$C$9,H107),"● BELOW TARGET / DEBAJO","✔ ON TARGET / EN OBJETIVO"))))</f>
        <v/>
      </c>
      <c r="T107" s="55" t="n">
        <f aca="false">IF(B107="",0,IF(M107="",0,1))</f>
        <v>0</v>
      </c>
      <c r="U107" s="55" t="n">
        <f aca="false">IF(T107=1,P107,0)</f>
        <v>0</v>
      </c>
      <c r="V107" s="55" t="n">
        <f aca="false">IF(T107=1,IF(O107&lt;0,0,IF(P107&lt;IF(H107="",Settings!$C$9,H107),1,0)),0)</f>
        <v>0</v>
      </c>
      <c r="W107" s="55" t="n">
        <f aca="false">IF(T107=1,IF(O107&lt;0,1,0),0)</f>
        <v>0</v>
      </c>
      <c r="X107" s="55" t="n">
        <f aca="false">IF(T107=1,M107,0)</f>
        <v>0</v>
      </c>
      <c r="Y107" s="55" t="n">
        <f aca="false">IF(T107=1,O107,0)</f>
        <v>0</v>
      </c>
      <c r="Z107" s="55" t="n">
        <f aca="false">IF(B107="",0,1)</f>
        <v>0</v>
      </c>
    </row>
    <row r="108" customFormat="false" ht="15" hidden="false" customHeight="false" outlineLevel="0" collapsed="false">
      <c r="B108" s="56"/>
      <c r="C108" s="57"/>
      <c r="D108" s="58"/>
      <c r="E108" s="57"/>
      <c r="F108" s="57"/>
      <c r="G108" s="57"/>
      <c r="H108" s="59"/>
      <c r="I108" s="60" t="str">
        <f aca="false">IF(B108="","",C108+IF(D108="",0,D108/60*Settings!$C$7)+E108+F108+Settings!$C$8)</f>
        <v/>
      </c>
      <c r="J108" s="60" t="str">
        <f aca="false">IF(B108="","",MAX(0,($I108+(Settings!$C$12+Settings!$C$13)-$G108*(1-(Settings!$C$10+Settings!$C$11+IF(Settings!$C$15="Yes / Sí",Settings!$C$14,0))))/(1-(Settings!$C$10+Settings!$C$11+IF(Settings!$C$15="Yes / Sí",Settings!$C$14,0)))))</f>
        <v/>
      </c>
      <c r="K108" s="60" t="str">
        <f aca="false">IF(B108="","",IF(1-(Settings!$C$10+Settings!$C$11+IF(Settings!$C$15="Yes / Sí",Settings!$C$14,0))-IF(H108="",Settings!$C$9,H108)&lt;=0,0,MAX(0,IF(Settings!$C$16="Yes / Sí",IF(ROUNDUP(($I108+(Settings!$C$12+Settings!$C$13)-$G108*(1-(Settings!$C$10+Settings!$C$11+IF(Settings!$C$15="Yes / Sí",Settings!$C$14,0))))/(1-(Settings!$C$10+Settings!$C$11+IF(Settings!$C$15="Yes / Sí",Settings!$C$14,0))-IF(H108="",Settings!$C$9,H108)),0)-0.01&gt;=($I108+(Settings!$C$12+Settings!$C$13)-$G108*(1-(Settings!$C$10+Settings!$C$11+IF(Settings!$C$15="Yes / Sí",Settings!$C$14,0))))/(1-(Settings!$C$10+Settings!$C$11+IF(Settings!$C$15="Yes / Sí",Settings!$C$14,0))-IF(H108="",Settings!$C$9,H108)),ROUNDUP(($I108+(Settings!$C$12+Settings!$C$13)-$G108*(1-(Settings!$C$10+Settings!$C$11+IF(Settings!$C$15="Yes / Sí",Settings!$C$14,0))))/(1-(Settings!$C$10+Settings!$C$11+IF(Settings!$C$15="Yes / Sí",Settings!$C$14,0))-IF(H108="",Settings!$C$9,H108)),0)-0.01,ROUNDUP(($I108+(Settings!$C$12+Settings!$C$13)-$G108*(1-(Settings!$C$10+Settings!$C$11+IF(Settings!$C$15="Yes / Sí",Settings!$C$14,0))))/(1-(Settings!$C$10+Settings!$C$11+IF(Settings!$C$15="Yes / Sí",Settings!$C$14,0))-IF(H108="",Settings!$C$9,H108)),0)+0.99),ROUNDUP(($I108+(Settings!$C$12+Settings!$C$13)-$G108*(1-(Settings!$C$10+Settings!$C$11+IF(Settings!$C$15="Yes / Sí",Settings!$C$14,0))))/(1-(Settings!$C$10+Settings!$C$11+IF(Settings!$C$15="Yes / Sí",Settings!$C$14,0))-IF(H108="",Settings!$C$9,H108)),2)))))</f>
        <v/>
      </c>
      <c r="L108" s="60" t="str">
        <f aca="false">IF(OR(B108="",K108=0),"",(K108+$G108-((K108+$G108)*(Settings!$C$10+Settings!$C$11+IF(Settings!$C$15="Yes / Sí",Settings!$C$14,0))+(Settings!$C$12+Settings!$C$13))-$I108))</f>
        <v/>
      </c>
      <c r="M108" s="57"/>
      <c r="N108" s="60" t="str">
        <f aca="false">IF(OR(B108="",M108=""),"",((M108+$G108)*(Settings!$C$10+Settings!$C$11+IF(Settings!$C$15="Yes / Sí",Settings!$C$14,0))+(Settings!$C$12+Settings!$C$13)))</f>
        <v/>
      </c>
      <c r="O108" s="60" t="str">
        <f aca="false">IF(OR(B108="",M108=""),"",(M108+$G108-((M108+$G108)*(Settings!$C$10+Settings!$C$11+IF(Settings!$C$15="Yes / Sí",Settings!$C$14,0))+(Settings!$C$12+Settings!$C$13))-$I108))</f>
        <v/>
      </c>
      <c r="P108" s="61" t="str">
        <f aca="false">IF(O108="","",IF(M108=0,0,O108/M108))</f>
        <v/>
      </c>
      <c r="Q108" s="60" t="str">
        <f aca="false">IF(OR(O108="",D108="",D108=0),"",(O108+D108/60*Settings!$C$7)/(D108/60))</f>
        <v/>
      </c>
      <c r="R108" s="62" t="str">
        <f aca="false">IF(B108="","",IF(M108="","Enter your price / Escribe tu precio",IF(O108&lt;0,"⚠ LOSING MONEY / PIERDES",IF(P108&lt;IF(H108="",Settings!$C$9,H108),"● BELOW TARGET / DEBAJO","✔ ON TARGET / EN OBJETIVO"))))</f>
        <v/>
      </c>
      <c r="T108" s="55" t="n">
        <f aca="false">IF(B108="",0,IF(M108="",0,1))</f>
        <v>0</v>
      </c>
      <c r="U108" s="55" t="n">
        <f aca="false">IF(T108=1,P108,0)</f>
        <v>0</v>
      </c>
      <c r="V108" s="55" t="n">
        <f aca="false">IF(T108=1,IF(O108&lt;0,0,IF(P108&lt;IF(H108="",Settings!$C$9,H108),1,0)),0)</f>
        <v>0</v>
      </c>
      <c r="W108" s="55" t="n">
        <f aca="false">IF(T108=1,IF(O108&lt;0,1,0),0)</f>
        <v>0</v>
      </c>
      <c r="X108" s="55" t="n">
        <f aca="false">IF(T108=1,M108,0)</f>
        <v>0</v>
      </c>
      <c r="Y108" s="55" t="n">
        <f aca="false">IF(T108=1,O108,0)</f>
        <v>0</v>
      </c>
      <c r="Z108" s="55" t="n">
        <f aca="false">IF(B108="",0,1)</f>
        <v>0</v>
      </c>
    </row>
    <row r="109" customFormat="false" ht="15" hidden="false" customHeight="false" outlineLevel="0" collapsed="false">
      <c r="B109" s="56"/>
      <c r="C109" s="57"/>
      <c r="D109" s="58"/>
      <c r="E109" s="57"/>
      <c r="F109" s="57"/>
      <c r="G109" s="57"/>
      <c r="H109" s="59"/>
      <c r="I109" s="60" t="str">
        <f aca="false">IF(B109="","",C109+IF(D109="",0,D109/60*Settings!$C$7)+E109+F109+Settings!$C$8)</f>
        <v/>
      </c>
      <c r="J109" s="60" t="str">
        <f aca="false">IF(B109="","",MAX(0,($I109+(Settings!$C$12+Settings!$C$13)-$G109*(1-(Settings!$C$10+Settings!$C$11+IF(Settings!$C$15="Yes / Sí",Settings!$C$14,0))))/(1-(Settings!$C$10+Settings!$C$11+IF(Settings!$C$15="Yes / Sí",Settings!$C$14,0)))))</f>
        <v/>
      </c>
      <c r="K109" s="60" t="str">
        <f aca="false">IF(B109="","",IF(1-(Settings!$C$10+Settings!$C$11+IF(Settings!$C$15="Yes / Sí",Settings!$C$14,0))-IF(H109="",Settings!$C$9,H109)&lt;=0,0,MAX(0,IF(Settings!$C$16="Yes / Sí",IF(ROUNDUP(($I109+(Settings!$C$12+Settings!$C$13)-$G109*(1-(Settings!$C$10+Settings!$C$11+IF(Settings!$C$15="Yes / Sí",Settings!$C$14,0))))/(1-(Settings!$C$10+Settings!$C$11+IF(Settings!$C$15="Yes / Sí",Settings!$C$14,0))-IF(H109="",Settings!$C$9,H109)),0)-0.01&gt;=($I109+(Settings!$C$12+Settings!$C$13)-$G109*(1-(Settings!$C$10+Settings!$C$11+IF(Settings!$C$15="Yes / Sí",Settings!$C$14,0))))/(1-(Settings!$C$10+Settings!$C$11+IF(Settings!$C$15="Yes / Sí",Settings!$C$14,0))-IF(H109="",Settings!$C$9,H109)),ROUNDUP(($I109+(Settings!$C$12+Settings!$C$13)-$G109*(1-(Settings!$C$10+Settings!$C$11+IF(Settings!$C$15="Yes / Sí",Settings!$C$14,0))))/(1-(Settings!$C$10+Settings!$C$11+IF(Settings!$C$15="Yes / Sí",Settings!$C$14,0))-IF(H109="",Settings!$C$9,H109)),0)-0.01,ROUNDUP(($I109+(Settings!$C$12+Settings!$C$13)-$G109*(1-(Settings!$C$10+Settings!$C$11+IF(Settings!$C$15="Yes / Sí",Settings!$C$14,0))))/(1-(Settings!$C$10+Settings!$C$11+IF(Settings!$C$15="Yes / Sí",Settings!$C$14,0))-IF(H109="",Settings!$C$9,H109)),0)+0.99),ROUNDUP(($I109+(Settings!$C$12+Settings!$C$13)-$G109*(1-(Settings!$C$10+Settings!$C$11+IF(Settings!$C$15="Yes / Sí",Settings!$C$14,0))))/(1-(Settings!$C$10+Settings!$C$11+IF(Settings!$C$15="Yes / Sí",Settings!$C$14,0))-IF(H109="",Settings!$C$9,H109)),2)))))</f>
        <v/>
      </c>
      <c r="L109" s="60" t="str">
        <f aca="false">IF(OR(B109="",K109=0),"",(K109+$G109-((K109+$G109)*(Settings!$C$10+Settings!$C$11+IF(Settings!$C$15="Yes / Sí",Settings!$C$14,0))+(Settings!$C$12+Settings!$C$13))-$I109))</f>
        <v/>
      </c>
      <c r="M109" s="57"/>
      <c r="N109" s="60" t="str">
        <f aca="false">IF(OR(B109="",M109=""),"",((M109+$G109)*(Settings!$C$10+Settings!$C$11+IF(Settings!$C$15="Yes / Sí",Settings!$C$14,0))+(Settings!$C$12+Settings!$C$13)))</f>
        <v/>
      </c>
      <c r="O109" s="60" t="str">
        <f aca="false">IF(OR(B109="",M109=""),"",(M109+$G109-((M109+$G109)*(Settings!$C$10+Settings!$C$11+IF(Settings!$C$15="Yes / Sí",Settings!$C$14,0))+(Settings!$C$12+Settings!$C$13))-$I109))</f>
        <v/>
      </c>
      <c r="P109" s="61" t="str">
        <f aca="false">IF(O109="","",IF(M109=0,0,O109/M109))</f>
        <v/>
      </c>
      <c r="Q109" s="60" t="str">
        <f aca="false">IF(OR(O109="",D109="",D109=0),"",(O109+D109/60*Settings!$C$7)/(D109/60))</f>
        <v/>
      </c>
      <c r="R109" s="62" t="str">
        <f aca="false">IF(B109="","",IF(M109="","Enter your price / Escribe tu precio",IF(O109&lt;0,"⚠ LOSING MONEY / PIERDES",IF(P109&lt;IF(H109="",Settings!$C$9,H109),"● BELOW TARGET / DEBAJO","✔ ON TARGET / EN OBJETIVO"))))</f>
        <v/>
      </c>
      <c r="T109" s="55" t="n">
        <f aca="false">IF(B109="",0,IF(M109="",0,1))</f>
        <v>0</v>
      </c>
      <c r="U109" s="55" t="n">
        <f aca="false">IF(T109=1,P109,0)</f>
        <v>0</v>
      </c>
      <c r="V109" s="55" t="n">
        <f aca="false">IF(T109=1,IF(O109&lt;0,0,IF(P109&lt;IF(H109="",Settings!$C$9,H109),1,0)),0)</f>
        <v>0</v>
      </c>
      <c r="W109" s="55" t="n">
        <f aca="false">IF(T109=1,IF(O109&lt;0,1,0),0)</f>
        <v>0</v>
      </c>
      <c r="X109" s="55" t="n">
        <f aca="false">IF(T109=1,M109,0)</f>
        <v>0</v>
      </c>
      <c r="Y109" s="55" t="n">
        <f aca="false">IF(T109=1,O109,0)</f>
        <v>0</v>
      </c>
      <c r="Z109" s="55" t="n">
        <f aca="false">IF(B109="",0,1)</f>
        <v>0</v>
      </c>
    </row>
    <row r="110" customFormat="false" ht="15" hidden="false" customHeight="false" outlineLevel="0" collapsed="false">
      <c r="B110" s="56"/>
      <c r="C110" s="57"/>
      <c r="D110" s="58"/>
      <c r="E110" s="57"/>
      <c r="F110" s="57"/>
      <c r="G110" s="57"/>
      <c r="H110" s="59"/>
      <c r="I110" s="60" t="str">
        <f aca="false">IF(B110="","",C110+IF(D110="",0,D110/60*Settings!$C$7)+E110+F110+Settings!$C$8)</f>
        <v/>
      </c>
      <c r="J110" s="60" t="str">
        <f aca="false">IF(B110="","",MAX(0,($I110+(Settings!$C$12+Settings!$C$13)-$G110*(1-(Settings!$C$10+Settings!$C$11+IF(Settings!$C$15="Yes / Sí",Settings!$C$14,0))))/(1-(Settings!$C$10+Settings!$C$11+IF(Settings!$C$15="Yes / Sí",Settings!$C$14,0)))))</f>
        <v/>
      </c>
      <c r="K110" s="60" t="str">
        <f aca="false">IF(B110="","",IF(1-(Settings!$C$10+Settings!$C$11+IF(Settings!$C$15="Yes / Sí",Settings!$C$14,0))-IF(H110="",Settings!$C$9,H110)&lt;=0,0,MAX(0,IF(Settings!$C$16="Yes / Sí",IF(ROUNDUP(($I110+(Settings!$C$12+Settings!$C$13)-$G110*(1-(Settings!$C$10+Settings!$C$11+IF(Settings!$C$15="Yes / Sí",Settings!$C$14,0))))/(1-(Settings!$C$10+Settings!$C$11+IF(Settings!$C$15="Yes / Sí",Settings!$C$14,0))-IF(H110="",Settings!$C$9,H110)),0)-0.01&gt;=($I110+(Settings!$C$12+Settings!$C$13)-$G110*(1-(Settings!$C$10+Settings!$C$11+IF(Settings!$C$15="Yes / Sí",Settings!$C$14,0))))/(1-(Settings!$C$10+Settings!$C$11+IF(Settings!$C$15="Yes / Sí",Settings!$C$14,0))-IF(H110="",Settings!$C$9,H110)),ROUNDUP(($I110+(Settings!$C$12+Settings!$C$13)-$G110*(1-(Settings!$C$10+Settings!$C$11+IF(Settings!$C$15="Yes / Sí",Settings!$C$14,0))))/(1-(Settings!$C$10+Settings!$C$11+IF(Settings!$C$15="Yes / Sí",Settings!$C$14,0))-IF(H110="",Settings!$C$9,H110)),0)-0.01,ROUNDUP(($I110+(Settings!$C$12+Settings!$C$13)-$G110*(1-(Settings!$C$10+Settings!$C$11+IF(Settings!$C$15="Yes / Sí",Settings!$C$14,0))))/(1-(Settings!$C$10+Settings!$C$11+IF(Settings!$C$15="Yes / Sí",Settings!$C$14,0))-IF(H110="",Settings!$C$9,H110)),0)+0.99),ROUNDUP(($I110+(Settings!$C$12+Settings!$C$13)-$G110*(1-(Settings!$C$10+Settings!$C$11+IF(Settings!$C$15="Yes / Sí",Settings!$C$14,0))))/(1-(Settings!$C$10+Settings!$C$11+IF(Settings!$C$15="Yes / Sí",Settings!$C$14,0))-IF(H110="",Settings!$C$9,H110)),2)))))</f>
        <v/>
      </c>
      <c r="L110" s="60" t="str">
        <f aca="false">IF(OR(B110="",K110=0),"",(K110+$G110-((K110+$G110)*(Settings!$C$10+Settings!$C$11+IF(Settings!$C$15="Yes / Sí",Settings!$C$14,0))+(Settings!$C$12+Settings!$C$13))-$I110))</f>
        <v/>
      </c>
      <c r="M110" s="57"/>
      <c r="N110" s="60" t="str">
        <f aca="false">IF(OR(B110="",M110=""),"",((M110+$G110)*(Settings!$C$10+Settings!$C$11+IF(Settings!$C$15="Yes / Sí",Settings!$C$14,0))+(Settings!$C$12+Settings!$C$13)))</f>
        <v/>
      </c>
      <c r="O110" s="60" t="str">
        <f aca="false">IF(OR(B110="",M110=""),"",(M110+$G110-((M110+$G110)*(Settings!$C$10+Settings!$C$11+IF(Settings!$C$15="Yes / Sí",Settings!$C$14,0))+(Settings!$C$12+Settings!$C$13))-$I110))</f>
        <v/>
      </c>
      <c r="P110" s="61" t="str">
        <f aca="false">IF(O110="","",IF(M110=0,0,O110/M110))</f>
        <v/>
      </c>
      <c r="Q110" s="60" t="str">
        <f aca="false">IF(OR(O110="",D110="",D110=0),"",(O110+D110/60*Settings!$C$7)/(D110/60))</f>
        <v/>
      </c>
      <c r="R110" s="62" t="str">
        <f aca="false">IF(B110="","",IF(M110="","Enter your price / Escribe tu precio",IF(O110&lt;0,"⚠ LOSING MONEY / PIERDES",IF(P110&lt;IF(H110="",Settings!$C$9,H110),"● BELOW TARGET / DEBAJO","✔ ON TARGET / EN OBJETIVO"))))</f>
        <v/>
      </c>
      <c r="T110" s="55" t="n">
        <f aca="false">IF(B110="",0,IF(M110="",0,1))</f>
        <v>0</v>
      </c>
      <c r="U110" s="55" t="n">
        <f aca="false">IF(T110=1,P110,0)</f>
        <v>0</v>
      </c>
      <c r="V110" s="55" t="n">
        <f aca="false">IF(T110=1,IF(O110&lt;0,0,IF(P110&lt;IF(H110="",Settings!$C$9,H110),1,0)),0)</f>
        <v>0</v>
      </c>
      <c r="W110" s="55" t="n">
        <f aca="false">IF(T110=1,IF(O110&lt;0,1,0),0)</f>
        <v>0</v>
      </c>
      <c r="X110" s="55" t="n">
        <f aca="false">IF(T110=1,M110,0)</f>
        <v>0</v>
      </c>
      <c r="Y110" s="55" t="n">
        <f aca="false">IF(T110=1,O110,0)</f>
        <v>0</v>
      </c>
      <c r="Z110" s="55" t="n">
        <f aca="false">IF(B110="",0,1)</f>
        <v>0</v>
      </c>
    </row>
    <row r="111" customFormat="false" ht="15" hidden="false" customHeight="false" outlineLevel="0" collapsed="false">
      <c r="B111" s="56"/>
      <c r="C111" s="57"/>
      <c r="D111" s="58"/>
      <c r="E111" s="57"/>
      <c r="F111" s="57"/>
      <c r="G111" s="57"/>
      <c r="H111" s="59"/>
      <c r="I111" s="60" t="str">
        <f aca="false">IF(B111="","",C111+IF(D111="",0,D111/60*Settings!$C$7)+E111+F111+Settings!$C$8)</f>
        <v/>
      </c>
      <c r="J111" s="60" t="str">
        <f aca="false">IF(B111="","",MAX(0,($I111+(Settings!$C$12+Settings!$C$13)-$G111*(1-(Settings!$C$10+Settings!$C$11+IF(Settings!$C$15="Yes / Sí",Settings!$C$14,0))))/(1-(Settings!$C$10+Settings!$C$11+IF(Settings!$C$15="Yes / Sí",Settings!$C$14,0)))))</f>
        <v/>
      </c>
      <c r="K111" s="60" t="str">
        <f aca="false">IF(B111="","",IF(1-(Settings!$C$10+Settings!$C$11+IF(Settings!$C$15="Yes / Sí",Settings!$C$14,0))-IF(H111="",Settings!$C$9,H111)&lt;=0,0,MAX(0,IF(Settings!$C$16="Yes / Sí",IF(ROUNDUP(($I111+(Settings!$C$12+Settings!$C$13)-$G111*(1-(Settings!$C$10+Settings!$C$11+IF(Settings!$C$15="Yes / Sí",Settings!$C$14,0))))/(1-(Settings!$C$10+Settings!$C$11+IF(Settings!$C$15="Yes / Sí",Settings!$C$14,0))-IF(H111="",Settings!$C$9,H111)),0)-0.01&gt;=($I111+(Settings!$C$12+Settings!$C$13)-$G111*(1-(Settings!$C$10+Settings!$C$11+IF(Settings!$C$15="Yes / Sí",Settings!$C$14,0))))/(1-(Settings!$C$10+Settings!$C$11+IF(Settings!$C$15="Yes / Sí",Settings!$C$14,0))-IF(H111="",Settings!$C$9,H111)),ROUNDUP(($I111+(Settings!$C$12+Settings!$C$13)-$G111*(1-(Settings!$C$10+Settings!$C$11+IF(Settings!$C$15="Yes / Sí",Settings!$C$14,0))))/(1-(Settings!$C$10+Settings!$C$11+IF(Settings!$C$15="Yes / Sí",Settings!$C$14,0))-IF(H111="",Settings!$C$9,H111)),0)-0.01,ROUNDUP(($I111+(Settings!$C$12+Settings!$C$13)-$G111*(1-(Settings!$C$10+Settings!$C$11+IF(Settings!$C$15="Yes / Sí",Settings!$C$14,0))))/(1-(Settings!$C$10+Settings!$C$11+IF(Settings!$C$15="Yes / Sí",Settings!$C$14,0))-IF(H111="",Settings!$C$9,H111)),0)+0.99),ROUNDUP(($I111+(Settings!$C$12+Settings!$C$13)-$G111*(1-(Settings!$C$10+Settings!$C$11+IF(Settings!$C$15="Yes / Sí",Settings!$C$14,0))))/(1-(Settings!$C$10+Settings!$C$11+IF(Settings!$C$15="Yes / Sí",Settings!$C$14,0))-IF(H111="",Settings!$C$9,H111)),2)))))</f>
        <v/>
      </c>
      <c r="L111" s="60" t="str">
        <f aca="false">IF(OR(B111="",K111=0),"",(K111+$G111-((K111+$G111)*(Settings!$C$10+Settings!$C$11+IF(Settings!$C$15="Yes / Sí",Settings!$C$14,0))+(Settings!$C$12+Settings!$C$13))-$I111))</f>
        <v/>
      </c>
      <c r="M111" s="57"/>
      <c r="N111" s="60" t="str">
        <f aca="false">IF(OR(B111="",M111=""),"",((M111+$G111)*(Settings!$C$10+Settings!$C$11+IF(Settings!$C$15="Yes / Sí",Settings!$C$14,0))+(Settings!$C$12+Settings!$C$13)))</f>
        <v/>
      </c>
      <c r="O111" s="60" t="str">
        <f aca="false">IF(OR(B111="",M111=""),"",(M111+$G111-((M111+$G111)*(Settings!$C$10+Settings!$C$11+IF(Settings!$C$15="Yes / Sí",Settings!$C$14,0))+(Settings!$C$12+Settings!$C$13))-$I111))</f>
        <v/>
      </c>
      <c r="P111" s="61" t="str">
        <f aca="false">IF(O111="","",IF(M111=0,0,O111/M111))</f>
        <v/>
      </c>
      <c r="Q111" s="60" t="str">
        <f aca="false">IF(OR(O111="",D111="",D111=0),"",(O111+D111/60*Settings!$C$7)/(D111/60))</f>
        <v/>
      </c>
      <c r="R111" s="62" t="str">
        <f aca="false">IF(B111="","",IF(M111="","Enter your price / Escribe tu precio",IF(O111&lt;0,"⚠ LOSING MONEY / PIERDES",IF(P111&lt;IF(H111="",Settings!$C$9,H111),"● BELOW TARGET / DEBAJO","✔ ON TARGET / EN OBJETIVO"))))</f>
        <v/>
      </c>
      <c r="T111" s="55" t="n">
        <f aca="false">IF(B111="",0,IF(M111="",0,1))</f>
        <v>0</v>
      </c>
      <c r="U111" s="55" t="n">
        <f aca="false">IF(T111=1,P111,0)</f>
        <v>0</v>
      </c>
      <c r="V111" s="55" t="n">
        <f aca="false">IF(T111=1,IF(O111&lt;0,0,IF(P111&lt;IF(H111="",Settings!$C$9,H111),1,0)),0)</f>
        <v>0</v>
      </c>
      <c r="W111" s="55" t="n">
        <f aca="false">IF(T111=1,IF(O111&lt;0,1,0),0)</f>
        <v>0</v>
      </c>
      <c r="X111" s="55" t="n">
        <f aca="false">IF(T111=1,M111,0)</f>
        <v>0</v>
      </c>
      <c r="Y111" s="55" t="n">
        <f aca="false">IF(T111=1,O111,0)</f>
        <v>0</v>
      </c>
      <c r="Z111" s="55" t="n">
        <f aca="false">IF(B111="",0,1)</f>
        <v>0</v>
      </c>
    </row>
    <row r="112" customFormat="false" ht="15" hidden="false" customHeight="false" outlineLevel="0" collapsed="false">
      <c r="B112" s="56"/>
      <c r="C112" s="57"/>
      <c r="D112" s="58"/>
      <c r="E112" s="57"/>
      <c r="F112" s="57"/>
      <c r="G112" s="57"/>
      <c r="H112" s="59"/>
      <c r="I112" s="60" t="str">
        <f aca="false">IF(B112="","",C112+IF(D112="",0,D112/60*Settings!$C$7)+E112+F112+Settings!$C$8)</f>
        <v/>
      </c>
      <c r="J112" s="60" t="str">
        <f aca="false">IF(B112="","",MAX(0,($I112+(Settings!$C$12+Settings!$C$13)-$G112*(1-(Settings!$C$10+Settings!$C$11+IF(Settings!$C$15="Yes / Sí",Settings!$C$14,0))))/(1-(Settings!$C$10+Settings!$C$11+IF(Settings!$C$15="Yes / Sí",Settings!$C$14,0)))))</f>
        <v/>
      </c>
      <c r="K112" s="60" t="str">
        <f aca="false">IF(B112="","",IF(1-(Settings!$C$10+Settings!$C$11+IF(Settings!$C$15="Yes / Sí",Settings!$C$14,0))-IF(H112="",Settings!$C$9,H112)&lt;=0,0,MAX(0,IF(Settings!$C$16="Yes / Sí",IF(ROUNDUP(($I112+(Settings!$C$12+Settings!$C$13)-$G112*(1-(Settings!$C$10+Settings!$C$11+IF(Settings!$C$15="Yes / Sí",Settings!$C$14,0))))/(1-(Settings!$C$10+Settings!$C$11+IF(Settings!$C$15="Yes / Sí",Settings!$C$14,0))-IF(H112="",Settings!$C$9,H112)),0)-0.01&gt;=($I112+(Settings!$C$12+Settings!$C$13)-$G112*(1-(Settings!$C$10+Settings!$C$11+IF(Settings!$C$15="Yes / Sí",Settings!$C$14,0))))/(1-(Settings!$C$10+Settings!$C$11+IF(Settings!$C$15="Yes / Sí",Settings!$C$14,0))-IF(H112="",Settings!$C$9,H112)),ROUNDUP(($I112+(Settings!$C$12+Settings!$C$13)-$G112*(1-(Settings!$C$10+Settings!$C$11+IF(Settings!$C$15="Yes / Sí",Settings!$C$14,0))))/(1-(Settings!$C$10+Settings!$C$11+IF(Settings!$C$15="Yes / Sí",Settings!$C$14,0))-IF(H112="",Settings!$C$9,H112)),0)-0.01,ROUNDUP(($I112+(Settings!$C$12+Settings!$C$13)-$G112*(1-(Settings!$C$10+Settings!$C$11+IF(Settings!$C$15="Yes / Sí",Settings!$C$14,0))))/(1-(Settings!$C$10+Settings!$C$11+IF(Settings!$C$15="Yes / Sí",Settings!$C$14,0))-IF(H112="",Settings!$C$9,H112)),0)+0.99),ROUNDUP(($I112+(Settings!$C$12+Settings!$C$13)-$G112*(1-(Settings!$C$10+Settings!$C$11+IF(Settings!$C$15="Yes / Sí",Settings!$C$14,0))))/(1-(Settings!$C$10+Settings!$C$11+IF(Settings!$C$15="Yes / Sí",Settings!$C$14,0))-IF(H112="",Settings!$C$9,H112)),2)))))</f>
        <v/>
      </c>
      <c r="L112" s="60" t="str">
        <f aca="false">IF(OR(B112="",K112=0),"",(K112+$G112-((K112+$G112)*(Settings!$C$10+Settings!$C$11+IF(Settings!$C$15="Yes / Sí",Settings!$C$14,0))+(Settings!$C$12+Settings!$C$13))-$I112))</f>
        <v/>
      </c>
      <c r="M112" s="57"/>
      <c r="N112" s="60" t="str">
        <f aca="false">IF(OR(B112="",M112=""),"",((M112+$G112)*(Settings!$C$10+Settings!$C$11+IF(Settings!$C$15="Yes / Sí",Settings!$C$14,0))+(Settings!$C$12+Settings!$C$13)))</f>
        <v/>
      </c>
      <c r="O112" s="60" t="str">
        <f aca="false">IF(OR(B112="",M112=""),"",(M112+$G112-((M112+$G112)*(Settings!$C$10+Settings!$C$11+IF(Settings!$C$15="Yes / Sí",Settings!$C$14,0))+(Settings!$C$12+Settings!$C$13))-$I112))</f>
        <v/>
      </c>
      <c r="P112" s="61" t="str">
        <f aca="false">IF(O112="","",IF(M112=0,0,O112/M112))</f>
        <v/>
      </c>
      <c r="Q112" s="60" t="str">
        <f aca="false">IF(OR(O112="",D112="",D112=0),"",(O112+D112/60*Settings!$C$7)/(D112/60))</f>
        <v/>
      </c>
      <c r="R112" s="62" t="str">
        <f aca="false">IF(B112="","",IF(M112="","Enter your price / Escribe tu precio",IF(O112&lt;0,"⚠ LOSING MONEY / PIERDES",IF(P112&lt;IF(H112="",Settings!$C$9,H112),"● BELOW TARGET / DEBAJO","✔ ON TARGET / EN OBJETIVO"))))</f>
        <v/>
      </c>
      <c r="T112" s="55" t="n">
        <f aca="false">IF(B112="",0,IF(M112="",0,1))</f>
        <v>0</v>
      </c>
      <c r="U112" s="55" t="n">
        <f aca="false">IF(T112=1,P112,0)</f>
        <v>0</v>
      </c>
      <c r="V112" s="55" t="n">
        <f aca="false">IF(T112=1,IF(O112&lt;0,0,IF(P112&lt;IF(H112="",Settings!$C$9,H112),1,0)),0)</f>
        <v>0</v>
      </c>
      <c r="W112" s="55" t="n">
        <f aca="false">IF(T112=1,IF(O112&lt;0,1,0),0)</f>
        <v>0</v>
      </c>
      <c r="X112" s="55" t="n">
        <f aca="false">IF(T112=1,M112,0)</f>
        <v>0</v>
      </c>
      <c r="Y112" s="55" t="n">
        <f aca="false">IF(T112=1,O112,0)</f>
        <v>0</v>
      </c>
      <c r="Z112" s="55" t="n">
        <f aca="false">IF(B112="",0,1)</f>
        <v>0</v>
      </c>
    </row>
    <row r="113" customFormat="false" ht="15" hidden="false" customHeight="false" outlineLevel="0" collapsed="false">
      <c r="B113" s="56"/>
      <c r="C113" s="57"/>
      <c r="D113" s="58"/>
      <c r="E113" s="57"/>
      <c r="F113" s="57"/>
      <c r="G113" s="57"/>
      <c r="H113" s="59"/>
      <c r="I113" s="60" t="str">
        <f aca="false">IF(B113="","",C113+IF(D113="",0,D113/60*Settings!$C$7)+E113+F113+Settings!$C$8)</f>
        <v/>
      </c>
      <c r="J113" s="60" t="str">
        <f aca="false">IF(B113="","",MAX(0,($I113+(Settings!$C$12+Settings!$C$13)-$G113*(1-(Settings!$C$10+Settings!$C$11+IF(Settings!$C$15="Yes / Sí",Settings!$C$14,0))))/(1-(Settings!$C$10+Settings!$C$11+IF(Settings!$C$15="Yes / Sí",Settings!$C$14,0)))))</f>
        <v/>
      </c>
      <c r="K113" s="60" t="str">
        <f aca="false">IF(B113="","",IF(1-(Settings!$C$10+Settings!$C$11+IF(Settings!$C$15="Yes / Sí",Settings!$C$14,0))-IF(H113="",Settings!$C$9,H113)&lt;=0,0,MAX(0,IF(Settings!$C$16="Yes / Sí",IF(ROUNDUP(($I113+(Settings!$C$12+Settings!$C$13)-$G113*(1-(Settings!$C$10+Settings!$C$11+IF(Settings!$C$15="Yes / Sí",Settings!$C$14,0))))/(1-(Settings!$C$10+Settings!$C$11+IF(Settings!$C$15="Yes / Sí",Settings!$C$14,0))-IF(H113="",Settings!$C$9,H113)),0)-0.01&gt;=($I113+(Settings!$C$12+Settings!$C$13)-$G113*(1-(Settings!$C$10+Settings!$C$11+IF(Settings!$C$15="Yes / Sí",Settings!$C$14,0))))/(1-(Settings!$C$10+Settings!$C$11+IF(Settings!$C$15="Yes / Sí",Settings!$C$14,0))-IF(H113="",Settings!$C$9,H113)),ROUNDUP(($I113+(Settings!$C$12+Settings!$C$13)-$G113*(1-(Settings!$C$10+Settings!$C$11+IF(Settings!$C$15="Yes / Sí",Settings!$C$14,0))))/(1-(Settings!$C$10+Settings!$C$11+IF(Settings!$C$15="Yes / Sí",Settings!$C$14,0))-IF(H113="",Settings!$C$9,H113)),0)-0.01,ROUNDUP(($I113+(Settings!$C$12+Settings!$C$13)-$G113*(1-(Settings!$C$10+Settings!$C$11+IF(Settings!$C$15="Yes / Sí",Settings!$C$14,0))))/(1-(Settings!$C$10+Settings!$C$11+IF(Settings!$C$15="Yes / Sí",Settings!$C$14,0))-IF(H113="",Settings!$C$9,H113)),0)+0.99),ROUNDUP(($I113+(Settings!$C$12+Settings!$C$13)-$G113*(1-(Settings!$C$10+Settings!$C$11+IF(Settings!$C$15="Yes / Sí",Settings!$C$14,0))))/(1-(Settings!$C$10+Settings!$C$11+IF(Settings!$C$15="Yes / Sí",Settings!$C$14,0))-IF(H113="",Settings!$C$9,H113)),2)))))</f>
        <v/>
      </c>
      <c r="L113" s="60" t="str">
        <f aca="false">IF(OR(B113="",K113=0),"",(K113+$G113-((K113+$G113)*(Settings!$C$10+Settings!$C$11+IF(Settings!$C$15="Yes / Sí",Settings!$C$14,0))+(Settings!$C$12+Settings!$C$13))-$I113))</f>
        <v/>
      </c>
      <c r="M113" s="57"/>
      <c r="N113" s="60" t="str">
        <f aca="false">IF(OR(B113="",M113=""),"",((M113+$G113)*(Settings!$C$10+Settings!$C$11+IF(Settings!$C$15="Yes / Sí",Settings!$C$14,0))+(Settings!$C$12+Settings!$C$13)))</f>
        <v/>
      </c>
      <c r="O113" s="60" t="str">
        <f aca="false">IF(OR(B113="",M113=""),"",(M113+$G113-((M113+$G113)*(Settings!$C$10+Settings!$C$11+IF(Settings!$C$15="Yes / Sí",Settings!$C$14,0))+(Settings!$C$12+Settings!$C$13))-$I113))</f>
        <v/>
      </c>
      <c r="P113" s="61" t="str">
        <f aca="false">IF(O113="","",IF(M113=0,0,O113/M113))</f>
        <v/>
      </c>
      <c r="Q113" s="60" t="str">
        <f aca="false">IF(OR(O113="",D113="",D113=0),"",(O113+D113/60*Settings!$C$7)/(D113/60))</f>
        <v/>
      </c>
      <c r="R113" s="62" t="str">
        <f aca="false">IF(B113="","",IF(M113="","Enter your price / Escribe tu precio",IF(O113&lt;0,"⚠ LOSING MONEY / PIERDES",IF(P113&lt;IF(H113="",Settings!$C$9,H113),"● BELOW TARGET / DEBAJO","✔ ON TARGET / EN OBJETIVO"))))</f>
        <v/>
      </c>
      <c r="T113" s="55" t="n">
        <f aca="false">IF(B113="",0,IF(M113="",0,1))</f>
        <v>0</v>
      </c>
      <c r="U113" s="55" t="n">
        <f aca="false">IF(T113=1,P113,0)</f>
        <v>0</v>
      </c>
      <c r="V113" s="55" t="n">
        <f aca="false">IF(T113=1,IF(O113&lt;0,0,IF(P113&lt;IF(H113="",Settings!$C$9,H113),1,0)),0)</f>
        <v>0</v>
      </c>
      <c r="W113" s="55" t="n">
        <f aca="false">IF(T113=1,IF(O113&lt;0,1,0),0)</f>
        <v>0</v>
      </c>
      <c r="X113" s="55" t="n">
        <f aca="false">IF(T113=1,M113,0)</f>
        <v>0</v>
      </c>
      <c r="Y113" s="55" t="n">
        <f aca="false">IF(T113=1,O113,0)</f>
        <v>0</v>
      </c>
      <c r="Z113" s="55" t="n">
        <f aca="false">IF(B113="",0,1)</f>
        <v>0</v>
      </c>
    </row>
    <row r="114" customFormat="false" ht="15" hidden="false" customHeight="false" outlineLevel="0" collapsed="false">
      <c r="B114" s="56"/>
      <c r="C114" s="57"/>
      <c r="D114" s="58"/>
      <c r="E114" s="57"/>
      <c r="F114" s="57"/>
      <c r="G114" s="57"/>
      <c r="H114" s="59"/>
      <c r="I114" s="60" t="str">
        <f aca="false">IF(B114="","",C114+IF(D114="",0,D114/60*Settings!$C$7)+E114+F114+Settings!$C$8)</f>
        <v/>
      </c>
      <c r="J114" s="60" t="str">
        <f aca="false">IF(B114="","",MAX(0,($I114+(Settings!$C$12+Settings!$C$13)-$G114*(1-(Settings!$C$10+Settings!$C$11+IF(Settings!$C$15="Yes / Sí",Settings!$C$14,0))))/(1-(Settings!$C$10+Settings!$C$11+IF(Settings!$C$15="Yes / Sí",Settings!$C$14,0)))))</f>
        <v/>
      </c>
      <c r="K114" s="60" t="str">
        <f aca="false">IF(B114="","",IF(1-(Settings!$C$10+Settings!$C$11+IF(Settings!$C$15="Yes / Sí",Settings!$C$14,0))-IF(H114="",Settings!$C$9,H114)&lt;=0,0,MAX(0,IF(Settings!$C$16="Yes / Sí",IF(ROUNDUP(($I114+(Settings!$C$12+Settings!$C$13)-$G114*(1-(Settings!$C$10+Settings!$C$11+IF(Settings!$C$15="Yes / Sí",Settings!$C$14,0))))/(1-(Settings!$C$10+Settings!$C$11+IF(Settings!$C$15="Yes / Sí",Settings!$C$14,0))-IF(H114="",Settings!$C$9,H114)),0)-0.01&gt;=($I114+(Settings!$C$12+Settings!$C$13)-$G114*(1-(Settings!$C$10+Settings!$C$11+IF(Settings!$C$15="Yes / Sí",Settings!$C$14,0))))/(1-(Settings!$C$10+Settings!$C$11+IF(Settings!$C$15="Yes / Sí",Settings!$C$14,0))-IF(H114="",Settings!$C$9,H114)),ROUNDUP(($I114+(Settings!$C$12+Settings!$C$13)-$G114*(1-(Settings!$C$10+Settings!$C$11+IF(Settings!$C$15="Yes / Sí",Settings!$C$14,0))))/(1-(Settings!$C$10+Settings!$C$11+IF(Settings!$C$15="Yes / Sí",Settings!$C$14,0))-IF(H114="",Settings!$C$9,H114)),0)-0.01,ROUNDUP(($I114+(Settings!$C$12+Settings!$C$13)-$G114*(1-(Settings!$C$10+Settings!$C$11+IF(Settings!$C$15="Yes / Sí",Settings!$C$14,0))))/(1-(Settings!$C$10+Settings!$C$11+IF(Settings!$C$15="Yes / Sí",Settings!$C$14,0))-IF(H114="",Settings!$C$9,H114)),0)+0.99),ROUNDUP(($I114+(Settings!$C$12+Settings!$C$13)-$G114*(1-(Settings!$C$10+Settings!$C$11+IF(Settings!$C$15="Yes / Sí",Settings!$C$14,0))))/(1-(Settings!$C$10+Settings!$C$11+IF(Settings!$C$15="Yes / Sí",Settings!$C$14,0))-IF(H114="",Settings!$C$9,H114)),2)))))</f>
        <v/>
      </c>
      <c r="L114" s="60" t="str">
        <f aca="false">IF(OR(B114="",K114=0),"",(K114+$G114-((K114+$G114)*(Settings!$C$10+Settings!$C$11+IF(Settings!$C$15="Yes / Sí",Settings!$C$14,0))+(Settings!$C$12+Settings!$C$13))-$I114))</f>
        <v/>
      </c>
      <c r="M114" s="57"/>
      <c r="N114" s="60" t="str">
        <f aca="false">IF(OR(B114="",M114=""),"",((M114+$G114)*(Settings!$C$10+Settings!$C$11+IF(Settings!$C$15="Yes / Sí",Settings!$C$14,0))+(Settings!$C$12+Settings!$C$13)))</f>
        <v/>
      </c>
      <c r="O114" s="60" t="str">
        <f aca="false">IF(OR(B114="",M114=""),"",(M114+$G114-((M114+$G114)*(Settings!$C$10+Settings!$C$11+IF(Settings!$C$15="Yes / Sí",Settings!$C$14,0))+(Settings!$C$12+Settings!$C$13))-$I114))</f>
        <v/>
      </c>
      <c r="P114" s="61" t="str">
        <f aca="false">IF(O114="","",IF(M114=0,0,O114/M114))</f>
        <v/>
      </c>
      <c r="Q114" s="60" t="str">
        <f aca="false">IF(OR(O114="",D114="",D114=0),"",(O114+D114/60*Settings!$C$7)/(D114/60))</f>
        <v/>
      </c>
      <c r="R114" s="62" t="str">
        <f aca="false">IF(B114="","",IF(M114="","Enter your price / Escribe tu precio",IF(O114&lt;0,"⚠ LOSING MONEY / PIERDES",IF(P114&lt;IF(H114="",Settings!$C$9,H114),"● BELOW TARGET / DEBAJO","✔ ON TARGET / EN OBJETIVO"))))</f>
        <v/>
      </c>
      <c r="T114" s="55" t="n">
        <f aca="false">IF(B114="",0,IF(M114="",0,1))</f>
        <v>0</v>
      </c>
      <c r="U114" s="55" t="n">
        <f aca="false">IF(T114=1,P114,0)</f>
        <v>0</v>
      </c>
      <c r="V114" s="55" t="n">
        <f aca="false">IF(T114=1,IF(O114&lt;0,0,IF(P114&lt;IF(H114="",Settings!$C$9,H114),1,0)),0)</f>
        <v>0</v>
      </c>
      <c r="W114" s="55" t="n">
        <f aca="false">IF(T114=1,IF(O114&lt;0,1,0),0)</f>
        <v>0</v>
      </c>
      <c r="X114" s="55" t="n">
        <f aca="false">IF(T114=1,M114,0)</f>
        <v>0</v>
      </c>
      <c r="Y114" s="55" t="n">
        <f aca="false">IF(T114=1,O114,0)</f>
        <v>0</v>
      </c>
      <c r="Z114" s="55" t="n">
        <f aca="false">IF(B114="",0,1)</f>
        <v>0</v>
      </c>
    </row>
    <row r="115" customFormat="false" ht="15" hidden="false" customHeight="false" outlineLevel="0" collapsed="false">
      <c r="B115" s="56"/>
      <c r="C115" s="57"/>
      <c r="D115" s="58"/>
      <c r="E115" s="57"/>
      <c r="F115" s="57"/>
      <c r="G115" s="57"/>
      <c r="H115" s="59"/>
      <c r="I115" s="60" t="str">
        <f aca="false">IF(B115="","",C115+IF(D115="",0,D115/60*Settings!$C$7)+E115+F115+Settings!$C$8)</f>
        <v/>
      </c>
      <c r="J115" s="60" t="str">
        <f aca="false">IF(B115="","",MAX(0,($I115+(Settings!$C$12+Settings!$C$13)-$G115*(1-(Settings!$C$10+Settings!$C$11+IF(Settings!$C$15="Yes / Sí",Settings!$C$14,0))))/(1-(Settings!$C$10+Settings!$C$11+IF(Settings!$C$15="Yes / Sí",Settings!$C$14,0)))))</f>
        <v/>
      </c>
      <c r="K115" s="60" t="str">
        <f aca="false">IF(B115="","",IF(1-(Settings!$C$10+Settings!$C$11+IF(Settings!$C$15="Yes / Sí",Settings!$C$14,0))-IF(H115="",Settings!$C$9,H115)&lt;=0,0,MAX(0,IF(Settings!$C$16="Yes / Sí",IF(ROUNDUP(($I115+(Settings!$C$12+Settings!$C$13)-$G115*(1-(Settings!$C$10+Settings!$C$11+IF(Settings!$C$15="Yes / Sí",Settings!$C$14,0))))/(1-(Settings!$C$10+Settings!$C$11+IF(Settings!$C$15="Yes / Sí",Settings!$C$14,0))-IF(H115="",Settings!$C$9,H115)),0)-0.01&gt;=($I115+(Settings!$C$12+Settings!$C$13)-$G115*(1-(Settings!$C$10+Settings!$C$11+IF(Settings!$C$15="Yes / Sí",Settings!$C$14,0))))/(1-(Settings!$C$10+Settings!$C$11+IF(Settings!$C$15="Yes / Sí",Settings!$C$14,0))-IF(H115="",Settings!$C$9,H115)),ROUNDUP(($I115+(Settings!$C$12+Settings!$C$13)-$G115*(1-(Settings!$C$10+Settings!$C$11+IF(Settings!$C$15="Yes / Sí",Settings!$C$14,0))))/(1-(Settings!$C$10+Settings!$C$11+IF(Settings!$C$15="Yes / Sí",Settings!$C$14,0))-IF(H115="",Settings!$C$9,H115)),0)-0.01,ROUNDUP(($I115+(Settings!$C$12+Settings!$C$13)-$G115*(1-(Settings!$C$10+Settings!$C$11+IF(Settings!$C$15="Yes / Sí",Settings!$C$14,0))))/(1-(Settings!$C$10+Settings!$C$11+IF(Settings!$C$15="Yes / Sí",Settings!$C$14,0))-IF(H115="",Settings!$C$9,H115)),0)+0.99),ROUNDUP(($I115+(Settings!$C$12+Settings!$C$13)-$G115*(1-(Settings!$C$10+Settings!$C$11+IF(Settings!$C$15="Yes / Sí",Settings!$C$14,0))))/(1-(Settings!$C$10+Settings!$C$11+IF(Settings!$C$15="Yes / Sí",Settings!$C$14,0))-IF(H115="",Settings!$C$9,H115)),2)))))</f>
        <v/>
      </c>
      <c r="L115" s="60" t="str">
        <f aca="false">IF(OR(B115="",K115=0),"",(K115+$G115-((K115+$G115)*(Settings!$C$10+Settings!$C$11+IF(Settings!$C$15="Yes / Sí",Settings!$C$14,0))+(Settings!$C$12+Settings!$C$13))-$I115))</f>
        <v/>
      </c>
      <c r="M115" s="57"/>
      <c r="N115" s="60" t="str">
        <f aca="false">IF(OR(B115="",M115=""),"",((M115+$G115)*(Settings!$C$10+Settings!$C$11+IF(Settings!$C$15="Yes / Sí",Settings!$C$14,0))+(Settings!$C$12+Settings!$C$13)))</f>
        <v/>
      </c>
      <c r="O115" s="60" t="str">
        <f aca="false">IF(OR(B115="",M115=""),"",(M115+$G115-((M115+$G115)*(Settings!$C$10+Settings!$C$11+IF(Settings!$C$15="Yes / Sí",Settings!$C$14,0))+(Settings!$C$12+Settings!$C$13))-$I115))</f>
        <v/>
      </c>
      <c r="P115" s="61" t="str">
        <f aca="false">IF(O115="","",IF(M115=0,0,O115/M115))</f>
        <v/>
      </c>
      <c r="Q115" s="60" t="str">
        <f aca="false">IF(OR(O115="",D115="",D115=0),"",(O115+D115/60*Settings!$C$7)/(D115/60))</f>
        <v/>
      </c>
      <c r="R115" s="62" t="str">
        <f aca="false">IF(B115="","",IF(M115="","Enter your price / Escribe tu precio",IF(O115&lt;0,"⚠ LOSING MONEY / PIERDES",IF(P115&lt;IF(H115="",Settings!$C$9,H115),"● BELOW TARGET / DEBAJO","✔ ON TARGET / EN OBJETIVO"))))</f>
        <v/>
      </c>
      <c r="T115" s="55" t="n">
        <f aca="false">IF(B115="",0,IF(M115="",0,1))</f>
        <v>0</v>
      </c>
      <c r="U115" s="55" t="n">
        <f aca="false">IF(T115=1,P115,0)</f>
        <v>0</v>
      </c>
      <c r="V115" s="55" t="n">
        <f aca="false">IF(T115=1,IF(O115&lt;0,0,IF(P115&lt;IF(H115="",Settings!$C$9,H115),1,0)),0)</f>
        <v>0</v>
      </c>
      <c r="W115" s="55" t="n">
        <f aca="false">IF(T115=1,IF(O115&lt;0,1,0),0)</f>
        <v>0</v>
      </c>
      <c r="X115" s="55" t="n">
        <f aca="false">IF(T115=1,M115,0)</f>
        <v>0</v>
      </c>
      <c r="Y115" s="55" t="n">
        <f aca="false">IF(T115=1,O115,0)</f>
        <v>0</v>
      </c>
      <c r="Z115" s="55" t="n">
        <f aca="false">IF(B115="",0,1)</f>
        <v>0</v>
      </c>
    </row>
    <row r="116" customFormat="false" ht="15" hidden="false" customHeight="false" outlineLevel="0" collapsed="false">
      <c r="B116" s="56"/>
      <c r="C116" s="57"/>
      <c r="D116" s="58"/>
      <c r="E116" s="57"/>
      <c r="F116" s="57"/>
      <c r="G116" s="57"/>
      <c r="H116" s="59"/>
      <c r="I116" s="60" t="str">
        <f aca="false">IF(B116="","",C116+IF(D116="",0,D116/60*Settings!$C$7)+E116+F116+Settings!$C$8)</f>
        <v/>
      </c>
      <c r="J116" s="60" t="str">
        <f aca="false">IF(B116="","",MAX(0,($I116+(Settings!$C$12+Settings!$C$13)-$G116*(1-(Settings!$C$10+Settings!$C$11+IF(Settings!$C$15="Yes / Sí",Settings!$C$14,0))))/(1-(Settings!$C$10+Settings!$C$11+IF(Settings!$C$15="Yes / Sí",Settings!$C$14,0)))))</f>
        <v/>
      </c>
      <c r="K116" s="60" t="str">
        <f aca="false">IF(B116="","",IF(1-(Settings!$C$10+Settings!$C$11+IF(Settings!$C$15="Yes / Sí",Settings!$C$14,0))-IF(H116="",Settings!$C$9,H116)&lt;=0,0,MAX(0,IF(Settings!$C$16="Yes / Sí",IF(ROUNDUP(($I116+(Settings!$C$12+Settings!$C$13)-$G116*(1-(Settings!$C$10+Settings!$C$11+IF(Settings!$C$15="Yes / Sí",Settings!$C$14,0))))/(1-(Settings!$C$10+Settings!$C$11+IF(Settings!$C$15="Yes / Sí",Settings!$C$14,0))-IF(H116="",Settings!$C$9,H116)),0)-0.01&gt;=($I116+(Settings!$C$12+Settings!$C$13)-$G116*(1-(Settings!$C$10+Settings!$C$11+IF(Settings!$C$15="Yes / Sí",Settings!$C$14,0))))/(1-(Settings!$C$10+Settings!$C$11+IF(Settings!$C$15="Yes / Sí",Settings!$C$14,0))-IF(H116="",Settings!$C$9,H116)),ROUNDUP(($I116+(Settings!$C$12+Settings!$C$13)-$G116*(1-(Settings!$C$10+Settings!$C$11+IF(Settings!$C$15="Yes / Sí",Settings!$C$14,0))))/(1-(Settings!$C$10+Settings!$C$11+IF(Settings!$C$15="Yes / Sí",Settings!$C$14,0))-IF(H116="",Settings!$C$9,H116)),0)-0.01,ROUNDUP(($I116+(Settings!$C$12+Settings!$C$13)-$G116*(1-(Settings!$C$10+Settings!$C$11+IF(Settings!$C$15="Yes / Sí",Settings!$C$14,0))))/(1-(Settings!$C$10+Settings!$C$11+IF(Settings!$C$15="Yes / Sí",Settings!$C$14,0))-IF(H116="",Settings!$C$9,H116)),0)+0.99),ROUNDUP(($I116+(Settings!$C$12+Settings!$C$13)-$G116*(1-(Settings!$C$10+Settings!$C$11+IF(Settings!$C$15="Yes / Sí",Settings!$C$14,0))))/(1-(Settings!$C$10+Settings!$C$11+IF(Settings!$C$15="Yes / Sí",Settings!$C$14,0))-IF(H116="",Settings!$C$9,H116)),2)))))</f>
        <v/>
      </c>
      <c r="L116" s="60" t="str">
        <f aca="false">IF(OR(B116="",K116=0),"",(K116+$G116-((K116+$G116)*(Settings!$C$10+Settings!$C$11+IF(Settings!$C$15="Yes / Sí",Settings!$C$14,0))+(Settings!$C$12+Settings!$C$13))-$I116))</f>
        <v/>
      </c>
      <c r="M116" s="57"/>
      <c r="N116" s="60" t="str">
        <f aca="false">IF(OR(B116="",M116=""),"",((M116+$G116)*(Settings!$C$10+Settings!$C$11+IF(Settings!$C$15="Yes / Sí",Settings!$C$14,0))+(Settings!$C$12+Settings!$C$13)))</f>
        <v/>
      </c>
      <c r="O116" s="60" t="str">
        <f aca="false">IF(OR(B116="",M116=""),"",(M116+$G116-((M116+$G116)*(Settings!$C$10+Settings!$C$11+IF(Settings!$C$15="Yes / Sí",Settings!$C$14,0))+(Settings!$C$12+Settings!$C$13))-$I116))</f>
        <v/>
      </c>
      <c r="P116" s="61" t="str">
        <f aca="false">IF(O116="","",IF(M116=0,0,O116/M116))</f>
        <v/>
      </c>
      <c r="Q116" s="60" t="str">
        <f aca="false">IF(OR(O116="",D116="",D116=0),"",(O116+D116/60*Settings!$C$7)/(D116/60))</f>
        <v/>
      </c>
      <c r="R116" s="62" t="str">
        <f aca="false">IF(B116="","",IF(M116="","Enter your price / Escribe tu precio",IF(O116&lt;0,"⚠ LOSING MONEY / PIERDES",IF(P116&lt;IF(H116="",Settings!$C$9,H116),"● BELOW TARGET / DEBAJO","✔ ON TARGET / EN OBJETIVO"))))</f>
        <v/>
      </c>
      <c r="T116" s="55" t="n">
        <f aca="false">IF(B116="",0,IF(M116="",0,1))</f>
        <v>0</v>
      </c>
      <c r="U116" s="55" t="n">
        <f aca="false">IF(T116=1,P116,0)</f>
        <v>0</v>
      </c>
      <c r="V116" s="55" t="n">
        <f aca="false">IF(T116=1,IF(O116&lt;0,0,IF(P116&lt;IF(H116="",Settings!$C$9,H116),1,0)),0)</f>
        <v>0</v>
      </c>
      <c r="W116" s="55" t="n">
        <f aca="false">IF(T116=1,IF(O116&lt;0,1,0),0)</f>
        <v>0</v>
      </c>
      <c r="X116" s="55" t="n">
        <f aca="false">IF(T116=1,M116,0)</f>
        <v>0</v>
      </c>
      <c r="Y116" s="55" t="n">
        <f aca="false">IF(T116=1,O116,0)</f>
        <v>0</v>
      </c>
      <c r="Z116" s="55" t="n">
        <f aca="false">IF(B116="",0,1)</f>
        <v>0</v>
      </c>
    </row>
    <row r="117" customFormat="false" ht="15" hidden="false" customHeight="false" outlineLevel="0" collapsed="false">
      <c r="B117" s="56"/>
      <c r="C117" s="57"/>
      <c r="D117" s="58"/>
      <c r="E117" s="57"/>
      <c r="F117" s="57"/>
      <c r="G117" s="57"/>
      <c r="H117" s="59"/>
      <c r="I117" s="60" t="str">
        <f aca="false">IF(B117="","",C117+IF(D117="",0,D117/60*Settings!$C$7)+E117+F117+Settings!$C$8)</f>
        <v/>
      </c>
      <c r="J117" s="60" t="str">
        <f aca="false">IF(B117="","",MAX(0,($I117+(Settings!$C$12+Settings!$C$13)-$G117*(1-(Settings!$C$10+Settings!$C$11+IF(Settings!$C$15="Yes / Sí",Settings!$C$14,0))))/(1-(Settings!$C$10+Settings!$C$11+IF(Settings!$C$15="Yes / Sí",Settings!$C$14,0)))))</f>
        <v/>
      </c>
      <c r="K117" s="60" t="str">
        <f aca="false">IF(B117="","",IF(1-(Settings!$C$10+Settings!$C$11+IF(Settings!$C$15="Yes / Sí",Settings!$C$14,0))-IF(H117="",Settings!$C$9,H117)&lt;=0,0,MAX(0,IF(Settings!$C$16="Yes / Sí",IF(ROUNDUP(($I117+(Settings!$C$12+Settings!$C$13)-$G117*(1-(Settings!$C$10+Settings!$C$11+IF(Settings!$C$15="Yes / Sí",Settings!$C$14,0))))/(1-(Settings!$C$10+Settings!$C$11+IF(Settings!$C$15="Yes / Sí",Settings!$C$14,0))-IF(H117="",Settings!$C$9,H117)),0)-0.01&gt;=($I117+(Settings!$C$12+Settings!$C$13)-$G117*(1-(Settings!$C$10+Settings!$C$11+IF(Settings!$C$15="Yes / Sí",Settings!$C$14,0))))/(1-(Settings!$C$10+Settings!$C$11+IF(Settings!$C$15="Yes / Sí",Settings!$C$14,0))-IF(H117="",Settings!$C$9,H117)),ROUNDUP(($I117+(Settings!$C$12+Settings!$C$13)-$G117*(1-(Settings!$C$10+Settings!$C$11+IF(Settings!$C$15="Yes / Sí",Settings!$C$14,0))))/(1-(Settings!$C$10+Settings!$C$11+IF(Settings!$C$15="Yes / Sí",Settings!$C$14,0))-IF(H117="",Settings!$C$9,H117)),0)-0.01,ROUNDUP(($I117+(Settings!$C$12+Settings!$C$13)-$G117*(1-(Settings!$C$10+Settings!$C$11+IF(Settings!$C$15="Yes / Sí",Settings!$C$14,0))))/(1-(Settings!$C$10+Settings!$C$11+IF(Settings!$C$15="Yes / Sí",Settings!$C$14,0))-IF(H117="",Settings!$C$9,H117)),0)+0.99),ROUNDUP(($I117+(Settings!$C$12+Settings!$C$13)-$G117*(1-(Settings!$C$10+Settings!$C$11+IF(Settings!$C$15="Yes / Sí",Settings!$C$14,0))))/(1-(Settings!$C$10+Settings!$C$11+IF(Settings!$C$15="Yes / Sí",Settings!$C$14,0))-IF(H117="",Settings!$C$9,H117)),2)))))</f>
        <v/>
      </c>
      <c r="L117" s="60" t="str">
        <f aca="false">IF(OR(B117="",K117=0),"",(K117+$G117-((K117+$G117)*(Settings!$C$10+Settings!$C$11+IF(Settings!$C$15="Yes / Sí",Settings!$C$14,0))+(Settings!$C$12+Settings!$C$13))-$I117))</f>
        <v/>
      </c>
      <c r="M117" s="57"/>
      <c r="N117" s="60" t="str">
        <f aca="false">IF(OR(B117="",M117=""),"",((M117+$G117)*(Settings!$C$10+Settings!$C$11+IF(Settings!$C$15="Yes / Sí",Settings!$C$14,0))+(Settings!$C$12+Settings!$C$13)))</f>
        <v/>
      </c>
      <c r="O117" s="60" t="str">
        <f aca="false">IF(OR(B117="",M117=""),"",(M117+$G117-((M117+$G117)*(Settings!$C$10+Settings!$C$11+IF(Settings!$C$15="Yes / Sí",Settings!$C$14,0))+(Settings!$C$12+Settings!$C$13))-$I117))</f>
        <v/>
      </c>
      <c r="P117" s="61" t="str">
        <f aca="false">IF(O117="","",IF(M117=0,0,O117/M117))</f>
        <v/>
      </c>
      <c r="Q117" s="60" t="str">
        <f aca="false">IF(OR(O117="",D117="",D117=0),"",(O117+D117/60*Settings!$C$7)/(D117/60))</f>
        <v/>
      </c>
      <c r="R117" s="62" t="str">
        <f aca="false">IF(B117="","",IF(M117="","Enter your price / Escribe tu precio",IF(O117&lt;0,"⚠ LOSING MONEY / PIERDES",IF(P117&lt;IF(H117="",Settings!$C$9,H117),"● BELOW TARGET / DEBAJO","✔ ON TARGET / EN OBJETIVO"))))</f>
        <v/>
      </c>
      <c r="T117" s="55" t="n">
        <f aca="false">IF(B117="",0,IF(M117="",0,1))</f>
        <v>0</v>
      </c>
      <c r="U117" s="55" t="n">
        <f aca="false">IF(T117=1,P117,0)</f>
        <v>0</v>
      </c>
      <c r="V117" s="55" t="n">
        <f aca="false">IF(T117=1,IF(O117&lt;0,0,IF(P117&lt;IF(H117="",Settings!$C$9,H117),1,0)),0)</f>
        <v>0</v>
      </c>
      <c r="W117" s="55" t="n">
        <f aca="false">IF(T117=1,IF(O117&lt;0,1,0),0)</f>
        <v>0</v>
      </c>
      <c r="X117" s="55" t="n">
        <f aca="false">IF(T117=1,M117,0)</f>
        <v>0</v>
      </c>
      <c r="Y117" s="55" t="n">
        <f aca="false">IF(T117=1,O117,0)</f>
        <v>0</v>
      </c>
      <c r="Z117" s="55" t="n">
        <f aca="false">IF(B117="",0,1)</f>
        <v>0</v>
      </c>
    </row>
    <row r="118" customFormat="false" ht="15" hidden="false" customHeight="false" outlineLevel="0" collapsed="false">
      <c r="B118" s="56"/>
      <c r="C118" s="57"/>
      <c r="D118" s="58"/>
      <c r="E118" s="57"/>
      <c r="F118" s="57"/>
      <c r="G118" s="57"/>
      <c r="H118" s="59"/>
      <c r="I118" s="60" t="str">
        <f aca="false">IF(B118="","",C118+IF(D118="",0,D118/60*Settings!$C$7)+E118+F118+Settings!$C$8)</f>
        <v/>
      </c>
      <c r="J118" s="60" t="str">
        <f aca="false">IF(B118="","",MAX(0,($I118+(Settings!$C$12+Settings!$C$13)-$G118*(1-(Settings!$C$10+Settings!$C$11+IF(Settings!$C$15="Yes / Sí",Settings!$C$14,0))))/(1-(Settings!$C$10+Settings!$C$11+IF(Settings!$C$15="Yes / Sí",Settings!$C$14,0)))))</f>
        <v/>
      </c>
      <c r="K118" s="60" t="str">
        <f aca="false">IF(B118="","",IF(1-(Settings!$C$10+Settings!$C$11+IF(Settings!$C$15="Yes / Sí",Settings!$C$14,0))-IF(H118="",Settings!$C$9,H118)&lt;=0,0,MAX(0,IF(Settings!$C$16="Yes / Sí",IF(ROUNDUP(($I118+(Settings!$C$12+Settings!$C$13)-$G118*(1-(Settings!$C$10+Settings!$C$11+IF(Settings!$C$15="Yes / Sí",Settings!$C$14,0))))/(1-(Settings!$C$10+Settings!$C$11+IF(Settings!$C$15="Yes / Sí",Settings!$C$14,0))-IF(H118="",Settings!$C$9,H118)),0)-0.01&gt;=($I118+(Settings!$C$12+Settings!$C$13)-$G118*(1-(Settings!$C$10+Settings!$C$11+IF(Settings!$C$15="Yes / Sí",Settings!$C$14,0))))/(1-(Settings!$C$10+Settings!$C$11+IF(Settings!$C$15="Yes / Sí",Settings!$C$14,0))-IF(H118="",Settings!$C$9,H118)),ROUNDUP(($I118+(Settings!$C$12+Settings!$C$13)-$G118*(1-(Settings!$C$10+Settings!$C$11+IF(Settings!$C$15="Yes / Sí",Settings!$C$14,0))))/(1-(Settings!$C$10+Settings!$C$11+IF(Settings!$C$15="Yes / Sí",Settings!$C$14,0))-IF(H118="",Settings!$C$9,H118)),0)-0.01,ROUNDUP(($I118+(Settings!$C$12+Settings!$C$13)-$G118*(1-(Settings!$C$10+Settings!$C$11+IF(Settings!$C$15="Yes / Sí",Settings!$C$14,0))))/(1-(Settings!$C$10+Settings!$C$11+IF(Settings!$C$15="Yes / Sí",Settings!$C$14,0))-IF(H118="",Settings!$C$9,H118)),0)+0.99),ROUNDUP(($I118+(Settings!$C$12+Settings!$C$13)-$G118*(1-(Settings!$C$10+Settings!$C$11+IF(Settings!$C$15="Yes / Sí",Settings!$C$14,0))))/(1-(Settings!$C$10+Settings!$C$11+IF(Settings!$C$15="Yes / Sí",Settings!$C$14,0))-IF(H118="",Settings!$C$9,H118)),2)))))</f>
        <v/>
      </c>
      <c r="L118" s="60" t="str">
        <f aca="false">IF(OR(B118="",K118=0),"",(K118+$G118-((K118+$G118)*(Settings!$C$10+Settings!$C$11+IF(Settings!$C$15="Yes / Sí",Settings!$C$14,0))+(Settings!$C$12+Settings!$C$13))-$I118))</f>
        <v/>
      </c>
      <c r="M118" s="57"/>
      <c r="N118" s="60" t="str">
        <f aca="false">IF(OR(B118="",M118=""),"",((M118+$G118)*(Settings!$C$10+Settings!$C$11+IF(Settings!$C$15="Yes / Sí",Settings!$C$14,0))+(Settings!$C$12+Settings!$C$13)))</f>
        <v/>
      </c>
      <c r="O118" s="60" t="str">
        <f aca="false">IF(OR(B118="",M118=""),"",(M118+$G118-((M118+$G118)*(Settings!$C$10+Settings!$C$11+IF(Settings!$C$15="Yes / Sí",Settings!$C$14,0))+(Settings!$C$12+Settings!$C$13))-$I118))</f>
        <v/>
      </c>
      <c r="P118" s="61" t="str">
        <f aca="false">IF(O118="","",IF(M118=0,0,O118/M118))</f>
        <v/>
      </c>
      <c r="Q118" s="60" t="str">
        <f aca="false">IF(OR(O118="",D118="",D118=0),"",(O118+D118/60*Settings!$C$7)/(D118/60))</f>
        <v/>
      </c>
      <c r="R118" s="62" t="str">
        <f aca="false">IF(B118="","",IF(M118="","Enter your price / Escribe tu precio",IF(O118&lt;0,"⚠ LOSING MONEY / PIERDES",IF(P118&lt;IF(H118="",Settings!$C$9,H118),"● BELOW TARGET / DEBAJO","✔ ON TARGET / EN OBJETIVO"))))</f>
        <v/>
      </c>
      <c r="T118" s="55" t="n">
        <f aca="false">IF(B118="",0,IF(M118="",0,1))</f>
        <v>0</v>
      </c>
      <c r="U118" s="55" t="n">
        <f aca="false">IF(T118=1,P118,0)</f>
        <v>0</v>
      </c>
      <c r="V118" s="55" t="n">
        <f aca="false">IF(T118=1,IF(O118&lt;0,0,IF(P118&lt;IF(H118="",Settings!$C$9,H118),1,0)),0)</f>
        <v>0</v>
      </c>
      <c r="W118" s="55" t="n">
        <f aca="false">IF(T118=1,IF(O118&lt;0,1,0),0)</f>
        <v>0</v>
      </c>
      <c r="X118" s="55" t="n">
        <f aca="false">IF(T118=1,M118,0)</f>
        <v>0</v>
      </c>
      <c r="Y118" s="55" t="n">
        <f aca="false">IF(T118=1,O118,0)</f>
        <v>0</v>
      </c>
      <c r="Z118" s="55" t="n">
        <f aca="false">IF(B118="",0,1)</f>
        <v>0</v>
      </c>
    </row>
    <row r="119" customFormat="false" ht="15" hidden="false" customHeight="false" outlineLevel="0" collapsed="false">
      <c r="B119" s="56"/>
      <c r="C119" s="57"/>
      <c r="D119" s="58"/>
      <c r="E119" s="57"/>
      <c r="F119" s="57"/>
      <c r="G119" s="57"/>
      <c r="H119" s="59"/>
      <c r="I119" s="60" t="str">
        <f aca="false">IF(B119="","",C119+IF(D119="",0,D119/60*Settings!$C$7)+E119+F119+Settings!$C$8)</f>
        <v/>
      </c>
      <c r="J119" s="60" t="str">
        <f aca="false">IF(B119="","",MAX(0,($I119+(Settings!$C$12+Settings!$C$13)-$G119*(1-(Settings!$C$10+Settings!$C$11+IF(Settings!$C$15="Yes / Sí",Settings!$C$14,0))))/(1-(Settings!$C$10+Settings!$C$11+IF(Settings!$C$15="Yes / Sí",Settings!$C$14,0)))))</f>
        <v/>
      </c>
      <c r="K119" s="60" t="str">
        <f aca="false">IF(B119="","",IF(1-(Settings!$C$10+Settings!$C$11+IF(Settings!$C$15="Yes / Sí",Settings!$C$14,0))-IF(H119="",Settings!$C$9,H119)&lt;=0,0,MAX(0,IF(Settings!$C$16="Yes / Sí",IF(ROUNDUP(($I119+(Settings!$C$12+Settings!$C$13)-$G119*(1-(Settings!$C$10+Settings!$C$11+IF(Settings!$C$15="Yes / Sí",Settings!$C$14,0))))/(1-(Settings!$C$10+Settings!$C$11+IF(Settings!$C$15="Yes / Sí",Settings!$C$14,0))-IF(H119="",Settings!$C$9,H119)),0)-0.01&gt;=($I119+(Settings!$C$12+Settings!$C$13)-$G119*(1-(Settings!$C$10+Settings!$C$11+IF(Settings!$C$15="Yes / Sí",Settings!$C$14,0))))/(1-(Settings!$C$10+Settings!$C$11+IF(Settings!$C$15="Yes / Sí",Settings!$C$14,0))-IF(H119="",Settings!$C$9,H119)),ROUNDUP(($I119+(Settings!$C$12+Settings!$C$13)-$G119*(1-(Settings!$C$10+Settings!$C$11+IF(Settings!$C$15="Yes / Sí",Settings!$C$14,0))))/(1-(Settings!$C$10+Settings!$C$11+IF(Settings!$C$15="Yes / Sí",Settings!$C$14,0))-IF(H119="",Settings!$C$9,H119)),0)-0.01,ROUNDUP(($I119+(Settings!$C$12+Settings!$C$13)-$G119*(1-(Settings!$C$10+Settings!$C$11+IF(Settings!$C$15="Yes / Sí",Settings!$C$14,0))))/(1-(Settings!$C$10+Settings!$C$11+IF(Settings!$C$15="Yes / Sí",Settings!$C$14,0))-IF(H119="",Settings!$C$9,H119)),0)+0.99),ROUNDUP(($I119+(Settings!$C$12+Settings!$C$13)-$G119*(1-(Settings!$C$10+Settings!$C$11+IF(Settings!$C$15="Yes / Sí",Settings!$C$14,0))))/(1-(Settings!$C$10+Settings!$C$11+IF(Settings!$C$15="Yes / Sí",Settings!$C$14,0))-IF(H119="",Settings!$C$9,H119)),2)))))</f>
        <v/>
      </c>
      <c r="L119" s="60" t="str">
        <f aca="false">IF(OR(B119="",K119=0),"",(K119+$G119-((K119+$G119)*(Settings!$C$10+Settings!$C$11+IF(Settings!$C$15="Yes / Sí",Settings!$C$14,0))+(Settings!$C$12+Settings!$C$13))-$I119))</f>
        <v/>
      </c>
      <c r="M119" s="57"/>
      <c r="N119" s="60" t="str">
        <f aca="false">IF(OR(B119="",M119=""),"",((M119+$G119)*(Settings!$C$10+Settings!$C$11+IF(Settings!$C$15="Yes / Sí",Settings!$C$14,0))+(Settings!$C$12+Settings!$C$13)))</f>
        <v/>
      </c>
      <c r="O119" s="60" t="str">
        <f aca="false">IF(OR(B119="",M119=""),"",(M119+$G119-((M119+$G119)*(Settings!$C$10+Settings!$C$11+IF(Settings!$C$15="Yes / Sí",Settings!$C$14,0))+(Settings!$C$12+Settings!$C$13))-$I119))</f>
        <v/>
      </c>
      <c r="P119" s="61" t="str">
        <f aca="false">IF(O119="","",IF(M119=0,0,O119/M119))</f>
        <v/>
      </c>
      <c r="Q119" s="60" t="str">
        <f aca="false">IF(OR(O119="",D119="",D119=0),"",(O119+D119/60*Settings!$C$7)/(D119/60))</f>
        <v/>
      </c>
      <c r="R119" s="62" t="str">
        <f aca="false">IF(B119="","",IF(M119="","Enter your price / Escribe tu precio",IF(O119&lt;0,"⚠ LOSING MONEY / PIERDES",IF(P119&lt;IF(H119="",Settings!$C$9,H119),"● BELOW TARGET / DEBAJO","✔ ON TARGET / EN OBJETIVO"))))</f>
        <v/>
      </c>
      <c r="T119" s="55" t="n">
        <f aca="false">IF(B119="",0,IF(M119="",0,1))</f>
        <v>0</v>
      </c>
      <c r="U119" s="55" t="n">
        <f aca="false">IF(T119=1,P119,0)</f>
        <v>0</v>
      </c>
      <c r="V119" s="55" t="n">
        <f aca="false">IF(T119=1,IF(O119&lt;0,0,IF(P119&lt;IF(H119="",Settings!$C$9,H119),1,0)),0)</f>
        <v>0</v>
      </c>
      <c r="W119" s="55" t="n">
        <f aca="false">IF(T119=1,IF(O119&lt;0,1,0),0)</f>
        <v>0</v>
      </c>
      <c r="X119" s="55" t="n">
        <f aca="false">IF(T119=1,M119,0)</f>
        <v>0</v>
      </c>
      <c r="Y119" s="55" t="n">
        <f aca="false">IF(T119=1,O119,0)</f>
        <v>0</v>
      </c>
      <c r="Z119" s="55" t="n">
        <f aca="false">IF(B119="",0,1)</f>
        <v>0</v>
      </c>
    </row>
    <row r="120" customFormat="false" ht="15" hidden="false" customHeight="false" outlineLevel="0" collapsed="false">
      <c r="B120" s="56"/>
      <c r="C120" s="57"/>
      <c r="D120" s="58"/>
      <c r="E120" s="57"/>
      <c r="F120" s="57"/>
      <c r="G120" s="57"/>
      <c r="H120" s="59"/>
      <c r="I120" s="60" t="str">
        <f aca="false">IF(B120="","",C120+IF(D120="",0,D120/60*Settings!$C$7)+E120+F120+Settings!$C$8)</f>
        <v/>
      </c>
      <c r="J120" s="60" t="str">
        <f aca="false">IF(B120="","",MAX(0,($I120+(Settings!$C$12+Settings!$C$13)-$G120*(1-(Settings!$C$10+Settings!$C$11+IF(Settings!$C$15="Yes / Sí",Settings!$C$14,0))))/(1-(Settings!$C$10+Settings!$C$11+IF(Settings!$C$15="Yes / Sí",Settings!$C$14,0)))))</f>
        <v/>
      </c>
      <c r="K120" s="60" t="str">
        <f aca="false">IF(B120="","",IF(1-(Settings!$C$10+Settings!$C$11+IF(Settings!$C$15="Yes / Sí",Settings!$C$14,0))-IF(H120="",Settings!$C$9,H120)&lt;=0,0,MAX(0,IF(Settings!$C$16="Yes / Sí",IF(ROUNDUP(($I120+(Settings!$C$12+Settings!$C$13)-$G120*(1-(Settings!$C$10+Settings!$C$11+IF(Settings!$C$15="Yes / Sí",Settings!$C$14,0))))/(1-(Settings!$C$10+Settings!$C$11+IF(Settings!$C$15="Yes / Sí",Settings!$C$14,0))-IF(H120="",Settings!$C$9,H120)),0)-0.01&gt;=($I120+(Settings!$C$12+Settings!$C$13)-$G120*(1-(Settings!$C$10+Settings!$C$11+IF(Settings!$C$15="Yes / Sí",Settings!$C$14,0))))/(1-(Settings!$C$10+Settings!$C$11+IF(Settings!$C$15="Yes / Sí",Settings!$C$14,0))-IF(H120="",Settings!$C$9,H120)),ROUNDUP(($I120+(Settings!$C$12+Settings!$C$13)-$G120*(1-(Settings!$C$10+Settings!$C$11+IF(Settings!$C$15="Yes / Sí",Settings!$C$14,0))))/(1-(Settings!$C$10+Settings!$C$11+IF(Settings!$C$15="Yes / Sí",Settings!$C$14,0))-IF(H120="",Settings!$C$9,H120)),0)-0.01,ROUNDUP(($I120+(Settings!$C$12+Settings!$C$13)-$G120*(1-(Settings!$C$10+Settings!$C$11+IF(Settings!$C$15="Yes / Sí",Settings!$C$14,0))))/(1-(Settings!$C$10+Settings!$C$11+IF(Settings!$C$15="Yes / Sí",Settings!$C$14,0))-IF(H120="",Settings!$C$9,H120)),0)+0.99),ROUNDUP(($I120+(Settings!$C$12+Settings!$C$13)-$G120*(1-(Settings!$C$10+Settings!$C$11+IF(Settings!$C$15="Yes / Sí",Settings!$C$14,0))))/(1-(Settings!$C$10+Settings!$C$11+IF(Settings!$C$15="Yes / Sí",Settings!$C$14,0))-IF(H120="",Settings!$C$9,H120)),2)))))</f>
        <v/>
      </c>
      <c r="L120" s="60" t="str">
        <f aca="false">IF(OR(B120="",K120=0),"",(K120+$G120-((K120+$G120)*(Settings!$C$10+Settings!$C$11+IF(Settings!$C$15="Yes / Sí",Settings!$C$14,0))+(Settings!$C$12+Settings!$C$13))-$I120))</f>
        <v/>
      </c>
      <c r="M120" s="57"/>
      <c r="N120" s="60" t="str">
        <f aca="false">IF(OR(B120="",M120=""),"",((M120+$G120)*(Settings!$C$10+Settings!$C$11+IF(Settings!$C$15="Yes / Sí",Settings!$C$14,0))+(Settings!$C$12+Settings!$C$13)))</f>
        <v/>
      </c>
      <c r="O120" s="60" t="str">
        <f aca="false">IF(OR(B120="",M120=""),"",(M120+$G120-((M120+$G120)*(Settings!$C$10+Settings!$C$11+IF(Settings!$C$15="Yes / Sí",Settings!$C$14,0))+(Settings!$C$12+Settings!$C$13))-$I120))</f>
        <v/>
      </c>
      <c r="P120" s="61" t="str">
        <f aca="false">IF(O120="","",IF(M120=0,0,O120/M120))</f>
        <v/>
      </c>
      <c r="Q120" s="60" t="str">
        <f aca="false">IF(OR(O120="",D120="",D120=0),"",(O120+D120/60*Settings!$C$7)/(D120/60))</f>
        <v/>
      </c>
      <c r="R120" s="62" t="str">
        <f aca="false">IF(B120="","",IF(M120="","Enter your price / Escribe tu precio",IF(O120&lt;0,"⚠ LOSING MONEY / PIERDES",IF(P120&lt;IF(H120="",Settings!$C$9,H120),"● BELOW TARGET / DEBAJO","✔ ON TARGET / EN OBJETIVO"))))</f>
        <v/>
      </c>
      <c r="T120" s="55" t="n">
        <f aca="false">IF(B120="",0,IF(M120="",0,1))</f>
        <v>0</v>
      </c>
      <c r="U120" s="55" t="n">
        <f aca="false">IF(T120=1,P120,0)</f>
        <v>0</v>
      </c>
      <c r="V120" s="55" t="n">
        <f aca="false">IF(T120=1,IF(O120&lt;0,0,IF(P120&lt;IF(H120="",Settings!$C$9,H120),1,0)),0)</f>
        <v>0</v>
      </c>
      <c r="W120" s="55" t="n">
        <f aca="false">IF(T120=1,IF(O120&lt;0,1,0),0)</f>
        <v>0</v>
      </c>
      <c r="X120" s="55" t="n">
        <f aca="false">IF(T120=1,M120,0)</f>
        <v>0</v>
      </c>
      <c r="Y120" s="55" t="n">
        <f aca="false">IF(T120=1,O120,0)</f>
        <v>0</v>
      </c>
      <c r="Z120" s="55" t="n">
        <f aca="false">IF(B120="",0,1)</f>
        <v>0</v>
      </c>
    </row>
    <row r="121" customFormat="false" ht="15" hidden="false" customHeight="false" outlineLevel="0" collapsed="false">
      <c r="B121" s="56"/>
      <c r="C121" s="57"/>
      <c r="D121" s="58"/>
      <c r="E121" s="57"/>
      <c r="F121" s="57"/>
      <c r="G121" s="57"/>
      <c r="H121" s="59"/>
      <c r="I121" s="60" t="str">
        <f aca="false">IF(B121="","",C121+IF(D121="",0,D121/60*Settings!$C$7)+E121+F121+Settings!$C$8)</f>
        <v/>
      </c>
      <c r="J121" s="60" t="str">
        <f aca="false">IF(B121="","",MAX(0,($I121+(Settings!$C$12+Settings!$C$13)-$G121*(1-(Settings!$C$10+Settings!$C$11+IF(Settings!$C$15="Yes / Sí",Settings!$C$14,0))))/(1-(Settings!$C$10+Settings!$C$11+IF(Settings!$C$15="Yes / Sí",Settings!$C$14,0)))))</f>
        <v/>
      </c>
      <c r="K121" s="60" t="str">
        <f aca="false">IF(B121="","",IF(1-(Settings!$C$10+Settings!$C$11+IF(Settings!$C$15="Yes / Sí",Settings!$C$14,0))-IF(H121="",Settings!$C$9,H121)&lt;=0,0,MAX(0,IF(Settings!$C$16="Yes / Sí",IF(ROUNDUP(($I121+(Settings!$C$12+Settings!$C$13)-$G121*(1-(Settings!$C$10+Settings!$C$11+IF(Settings!$C$15="Yes / Sí",Settings!$C$14,0))))/(1-(Settings!$C$10+Settings!$C$11+IF(Settings!$C$15="Yes / Sí",Settings!$C$14,0))-IF(H121="",Settings!$C$9,H121)),0)-0.01&gt;=($I121+(Settings!$C$12+Settings!$C$13)-$G121*(1-(Settings!$C$10+Settings!$C$11+IF(Settings!$C$15="Yes / Sí",Settings!$C$14,0))))/(1-(Settings!$C$10+Settings!$C$11+IF(Settings!$C$15="Yes / Sí",Settings!$C$14,0))-IF(H121="",Settings!$C$9,H121)),ROUNDUP(($I121+(Settings!$C$12+Settings!$C$13)-$G121*(1-(Settings!$C$10+Settings!$C$11+IF(Settings!$C$15="Yes / Sí",Settings!$C$14,0))))/(1-(Settings!$C$10+Settings!$C$11+IF(Settings!$C$15="Yes / Sí",Settings!$C$14,0))-IF(H121="",Settings!$C$9,H121)),0)-0.01,ROUNDUP(($I121+(Settings!$C$12+Settings!$C$13)-$G121*(1-(Settings!$C$10+Settings!$C$11+IF(Settings!$C$15="Yes / Sí",Settings!$C$14,0))))/(1-(Settings!$C$10+Settings!$C$11+IF(Settings!$C$15="Yes / Sí",Settings!$C$14,0))-IF(H121="",Settings!$C$9,H121)),0)+0.99),ROUNDUP(($I121+(Settings!$C$12+Settings!$C$13)-$G121*(1-(Settings!$C$10+Settings!$C$11+IF(Settings!$C$15="Yes / Sí",Settings!$C$14,0))))/(1-(Settings!$C$10+Settings!$C$11+IF(Settings!$C$15="Yes / Sí",Settings!$C$14,0))-IF(H121="",Settings!$C$9,H121)),2)))))</f>
        <v/>
      </c>
      <c r="L121" s="60" t="str">
        <f aca="false">IF(OR(B121="",K121=0),"",(K121+$G121-((K121+$G121)*(Settings!$C$10+Settings!$C$11+IF(Settings!$C$15="Yes / Sí",Settings!$C$14,0))+(Settings!$C$12+Settings!$C$13))-$I121))</f>
        <v/>
      </c>
      <c r="M121" s="57"/>
      <c r="N121" s="60" t="str">
        <f aca="false">IF(OR(B121="",M121=""),"",((M121+$G121)*(Settings!$C$10+Settings!$C$11+IF(Settings!$C$15="Yes / Sí",Settings!$C$14,0))+(Settings!$C$12+Settings!$C$13)))</f>
        <v/>
      </c>
      <c r="O121" s="60" t="str">
        <f aca="false">IF(OR(B121="",M121=""),"",(M121+$G121-((M121+$G121)*(Settings!$C$10+Settings!$C$11+IF(Settings!$C$15="Yes / Sí",Settings!$C$14,0))+(Settings!$C$12+Settings!$C$13))-$I121))</f>
        <v/>
      </c>
      <c r="P121" s="61" t="str">
        <f aca="false">IF(O121="","",IF(M121=0,0,O121/M121))</f>
        <v/>
      </c>
      <c r="Q121" s="60" t="str">
        <f aca="false">IF(OR(O121="",D121="",D121=0),"",(O121+D121/60*Settings!$C$7)/(D121/60))</f>
        <v/>
      </c>
      <c r="R121" s="62" t="str">
        <f aca="false">IF(B121="","",IF(M121="","Enter your price / Escribe tu precio",IF(O121&lt;0,"⚠ LOSING MONEY / PIERDES",IF(P121&lt;IF(H121="",Settings!$C$9,H121),"● BELOW TARGET / DEBAJO","✔ ON TARGET / EN OBJETIVO"))))</f>
        <v/>
      </c>
      <c r="T121" s="55" t="n">
        <f aca="false">IF(B121="",0,IF(M121="",0,1))</f>
        <v>0</v>
      </c>
      <c r="U121" s="55" t="n">
        <f aca="false">IF(T121=1,P121,0)</f>
        <v>0</v>
      </c>
      <c r="V121" s="55" t="n">
        <f aca="false">IF(T121=1,IF(O121&lt;0,0,IF(P121&lt;IF(H121="",Settings!$C$9,H121),1,0)),0)</f>
        <v>0</v>
      </c>
      <c r="W121" s="55" t="n">
        <f aca="false">IF(T121=1,IF(O121&lt;0,1,0),0)</f>
        <v>0</v>
      </c>
      <c r="X121" s="55" t="n">
        <f aca="false">IF(T121=1,M121,0)</f>
        <v>0</v>
      </c>
      <c r="Y121" s="55" t="n">
        <f aca="false">IF(T121=1,O121,0)</f>
        <v>0</v>
      </c>
      <c r="Z121" s="55" t="n">
        <f aca="false">IF(B121="",0,1)</f>
        <v>0</v>
      </c>
    </row>
    <row r="122" customFormat="false" ht="15" hidden="false" customHeight="false" outlineLevel="0" collapsed="false">
      <c r="B122" s="56"/>
      <c r="C122" s="57"/>
      <c r="D122" s="58"/>
      <c r="E122" s="57"/>
      <c r="F122" s="57"/>
      <c r="G122" s="57"/>
      <c r="H122" s="59"/>
      <c r="I122" s="60" t="str">
        <f aca="false">IF(B122="","",C122+IF(D122="",0,D122/60*Settings!$C$7)+E122+F122+Settings!$C$8)</f>
        <v/>
      </c>
      <c r="J122" s="60" t="str">
        <f aca="false">IF(B122="","",MAX(0,($I122+(Settings!$C$12+Settings!$C$13)-$G122*(1-(Settings!$C$10+Settings!$C$11+IF(Settings!$C$15="Yes / Sí",Settings!$C$14,0))))/(1-(Settings!$C$10+Settings!$C$11+IF(Settings!$C$15="Yes / Sí",Settings!$C$14,0)))))</f>
        <v/>
      </c>
      <c r="K122" s="60" t="str">
        <f aca="false">IF(B122="","",IF(1-(Settings!$C$10+Settings!$C$11+IF(Settings!$C$15="Yes / Sí",Settings!$C$14,0))-IF(H122="",Settings!$C$9,H122)&lt;=0,0,MAX(0,IF(Settings!$C$16="Yes / Sí",IF(ROUNDUP(($I122+(Settings!$C$12+Settings!$C$13)-$G122*(1-(Settings!$C$10+Settings!$C$11+IF(Settings!$C$15="Yes / Sí",Settings!$C$14,0))))/(1-(Settings!$C$10+Settings!$C$11+IF(Settings!$C$15="Yes / Sí",Settings!$C$14,0))-IF(H122="",Settings!$C$9,H122)),0)-0.01&gt;=($I122+(Settings!$C$12+Settings!$C$13)-$G122*(1-(Settings!$C$10+Settings!$C$11+IF(Settings!$C$15="Yes / Sí",Settings!$C$14,0))))/(1-(Settings!$C$10+Settings!$C$11+IF(Settings!$C$15="Yes / Sí",Settings!$C$14,0))-IF(H122="",Settings!$C$9,H122)),ROUNDUP(($I122+(Settings!$C$12+Settings!$C$13)-$G122*(1-(Settings!$C$10+Settings!$C$11+IF(Settings!$C$15="Yes / Sí",Settings!$C$14,0))))/(1-(Settings!$C$10+Settings!$C$11+IF(Settings!$C$15="Yes / Sí",Settings!$C$14,0))-IF(H122="",Settings!$C$9,H122)),0)-0.01,ROUNDUP(($I122+(Settings!$C$12+Settings!$C$13)-$G122*(1-(Settings!$C$10+Settings!$C$11+IF(Settings!$C$15="Yes / Sí",Settings!$C$14,0))))/(1-(Settings!$C$10+Settings!$C$11+IF(Settings!$C$15="Yes / Sí",Settings!$C$14,0))-IF(H122="",Settings!$C$9,H122)),0)+0.99),ROUNDUP(($I122+(Settings!$C$12+Settings!$C$13)-$G122*(1-(Settings!$C$10+Settings!$C$11+IF(Settings!$C$15="Yes / Sí",Settings!$C$14,0))))/(1-(Settings!$C$10+Settings!$C$11+IF(Settings!$C$15="Yes / Sí",Settings!$C$14,0))-IF(H122="",Settings!$C$9,H122)),2)))))</f>
        <v/>
      </c>
      <c r="L122" s="60" t="str">
        <f aca="false">IF(OR(B122="",K122=0),"",(K122+$G122-((K122+$G122)*(Settings!$C$10+Settings!$C$11+IF(Settings!$C$15="Yes / Sí",Settings!$C$14,0))+(Settings!$C$12+Settings!$C$13))-$I122))</f>
        <v/>
      </c>
      <c r="M122" s="57"/>
      <c r="N122" s="60" t="str">
        <f aca="false">IF(OR(B122="",M122=""),"",((M122+$G122)*(Settings!$C$10+Settings!$C$11+IF(Settings!$C$15="Yes / Sí",Settings!$C$14,0))+(Settings!$C$12+Settings!$C$13)))</f>
        <v/>
      </c>
      <c r="O122" s="60" t="str">
        <f aca="false">IF(OR(B122="",M122=""),"",(M122+$G122-((M122+$G122)*(Settings!$C$10+Settings!$C$11+IF(Settings!$C$15="Yes / Sí",Settings!$C$14,0))+(Settings!$C$12+Settings!$C$13))-$I122))</f>
        <v/>
      </c>
      <c r="P122" s="61" t="str">
        <f aca="false">IF(O122="","",IF(M122=0,0,O122/M122))</f>
        <v/>
      </c>
      <c r="Q122" s="60" t="str">
        <f aca="false">IF(OR(O122="",D122="",D122=0),"",(O122+D122/60*Settings!$C$7)/(D122/60))</f>
        <v/>
      </c>
      <c r="R122" s="62" t="str">
        <f aca="false">IF(B122="","",IF(M122="","Enter your price / Escribe tu precio",IF(O122&lt;0,"⚠ LOSING MONEY / PIERDES",IF(P122&lt;IF(H122="",Settings!$C$9,H122),"● BELOW TARGET / DEBAJO","✔ ON TARGET / EN OBJETIVO"))))</f>
        <v/>
      </c>
      <c r="T122" s="55" t="n">
        <f aca="false">IF(B122="",0,IF(M122="",0,1))</f>
        <v>0</v>
      </c>
      <c r="U122" s="55" t="n">
        <f aca="false">IF(T122=1,P122,0)</f>
        <v>0</v>
      </c>
      <c r="V122" s="55" t="n">
        <f aca="false">IF(T122=1,IF(O122&lt;0,0,IF(P122&lt;IF(H122="",Settings!$C$9,H122),1,0)),0)</f>
        <v>0</v>
      </c>
      <c r="W122" s="55" t="n">
        <f aca="false">IF(T122=1,IF(O122&lt;0,1,0),0)</f>
        <v>0</v>
      </c>
      <c r="X122" s="55" t="n">
        <f aca="false">IF(T122=1,M122,0)</f>
        <v>0</v>
      </c>
      <c r="Y122" s="55" t="n">
        <f aca="false">IF(T122=1,O122,0)</f>
        <v>0</v>
      </c>
      <c r="Z122" s="55" t="n">
        <f aca="false">IF(B122="",0,1)</f>
        <v>0</v>
      </c>
    </row>
    <row r="123" customFormat="false" ht="15" hidden="false" customHeight="false" outlineLevel="0" collapsed="false">
      <c r="B123" s="56"/>
      <c r="C123" s="57"/>
      <c r="D123" s="58"/>
      <c r="E123" s="57"/>
      <c r="F123" s="57"/>
      <c r="G123" s="57"/>
      <c r="H123" s="59"/>
      <c r="I123" s="60" t="str">
        <f aca="false">IF(B123="","",C123+IF(D123="",0,D123/60*Settings!$C$7)+E123+F123+Settings!$C$8)</f>
        <v/>
      </c>
      <c r="J123" s="60" t="str">
        <f aca="false">IF(B123="","",MAX(0,($I123+(Settings!$C$12+Settings!$C$13)-$G123*(1-(Settings!$C$10+Settings!$C$11+IF(Settings!$C$15="Yes / Sí",Settings!$C$14,0))))/(1-(Settings!$C$10+Settings!$C$11+IF(Settings!$C$15="Yes / Sí",Settings!$C$14,0)))))</f>
        <v/>
      </c>
      <c r="K123" s="60" t="str">
        <f aca="false">IF(B123="","",IF(1-(Settings!$C$10+Settings!$C$11+IF(Settings!$C$15="Yes / Sí",Settings!$C$14,0))-IF(H123="",Settings!$C$9,H123)&lt;=0,0,MAX(0,IF(Settings!$C$16="Yes / Sí",IF(ROUNDUP(($I123+(Settings!$C$12+Settings!$C$13)-$G123*(1-(Settings!$C$10+Settings!$C$11+IF(Settings!$C$15="Yes / Sí",Settings!$C$14,0))))/(1-(Settings!$C$10+Settings!$C$11+IF(Settings!$C$15="Yes / Sí",Settings!$C$14,0))-IF(H123="",Settings!$C$9,H123)),0)-0.01&gt;=($I123+(Settings!$C$12+Settings!$C$13)-$G123*(1-(Settings!$C$10+Settings!$C$11+IF(Settings!$C$15="Yes / Sí",Settings!$C$14,0))))/(1-(Settings!$C$10+Settings!$C$11+IF(Settings!$C$15="Yes / Sí",Settings!$C$14,0))-IF(H123="",Settings!$C$9,H123)),ROUNDUP(($I123+(Settings!$C$12+Settings!$C$13)-$G123*(1-(Settings!$C$10+Settings!$C$11+IF(Settings!$C$15="Yes / Sí",Settings!$C$14,0))))/(1-(Settings!$C$10+Settings!$C$11+IF(Settings!$C$15="Yes / Sí",Settings!$C$14,0))-IF(H123="",Settings!$C$9,H123)),0)-0.01,ROUNDUP(($I123+(Settings!$C$12+Settings!$C$13)-$G123*(1-(Settings!$C$10+Settings!$C$11+IF(Settings!$C$15="Yes / Sí",Settings!$C$14,0))))/(1-(Settings!$C$10+Settings!$C$11+IF(Settings!$C$15="Yes / Sí",Settings!$C$14,0))-IF(H123="",Settings!$C$9,H123)),0)+0.99),ROUNDUP(($I123+(Settings!$C$12+Settings!$C$13)-$G123*(1-(Settings!$C$10+Settings!$C$11+IF(Settings!$C$15="Yes / Sí",Settings!$C$14,0))))/(1-(Settings!$C$10+Settings!$C$11+IF(Settings!$C$15="Yes / Sí",Settings!$C$14,0))-IF(H123="",Settings!$C$9,H123)),2)))))</f>
        <v/>
      </c>
      <c r="L123" s="60" t="str">
        <f aca="false">IF(OR(B123="",K123=0),"",(K123+$G123-((K123+$G123)*(Settings!$C$10+Settings!$C$11+IF(Settings!$C$15="Yes / Sí",Settings!$C$14,0))+(Settings!$C$12+Settings!$C$13))-$I123))</f>
        <v/>
      </c>
      <c r="M123" s="57"/>
      <c r="N123" s="60" t="str">
        <f aca="false">IF(OR(B123="",M123=""),"",((M123+$G123)*(Settings!$C$10+Settings!$C$11+IF(Settings!$C$15="Yes / Sí",Settings!$C$14,0))+(Settings!$C$12+Settings!$C$13)))</f>
        <v/>
      </c>
      <c r="O123" s="60" t="str">
        <f aca="false">IF(OR(B123="",M123=""),"",(M123+$G123-((M123+$G123)*(Settings!$C$10+Settings!$C$11+IF(Settings!$C$15="Yes / Sí",Settings!$C$14,0))+(Settings!$C$12+Settings!$C$13))-$I123))</f>
        <v/>
      </c>
      <c r="P123" s="61" t="str">
        <f aca="false">IF(O123="","",IF(M123=0,0,O123/M123))</f>
        <v/>
      </c>
      <c r="Q123" s="60" t="str">
        <f aca="false">IF(OR(O123="",D123="",D123=0),"",(O123+D123/60*Settings!$C$7)/(D123/60))</f>
        <v/>
      </c>
      <c r="R123" s="62" t="str">
        <f aca="false">IF(B123="","",IF(M123="","Enter your price / Escribe tu precio",IF(O123&lt;0,"⚠ LOSING MONEY / PIERDES",IF(P123&lt;IF(H123="",Settings!$C$9,H123),"● BELOW TARGET / DEBAJO","✔ ON TARGET / EN OBJETIVO"))))</f>
        <v/>
      </c>
      <c r="T123" s="55" t="n">
        <f aca="false">IF(B123="",0,IF(M123="",0,1))</f>
        <v>0</v>
      </c>
      <c r="U123" s="55" t="n">
        <f aca="false">IF(T123=1,P123,0)</f>
        <v>0</v>
      </c>
      <c r="V123" s="55" t="n">
        <f aca="false">IF(T123=1,IF(O123&lt;0,0,IF(P123&lt;IF(H123="",Settings!$C$9,H123),1,0)),0)</f>
        <v>0</v>
      </c>
      <c r="W123" s="55" t="n">
        <f aca="false">IF(T123=1,IF(O123&lt;0,1,0),0)</f>
        <v>0</v>
      </c>
      <c r="X123" s="55" t="n">
        <f aca="false">IF(T123=1,M123,0)</f>
        <v>0</v>
      </c>
      <c r="Y123" s="55" t="n">
        <f aca="false">IF(T123=1,O123,0)</f>
        <v>0</v>
      </c>
      <c r="Z123" s="55" t="n">
        <f aca="false">IF(B123="",0,1)</f>
        <v>0</v>
      </c>
    </row>
    <row r="124" customFormat="false" ht="15" hidden="false" customHeight="false" outlineLevel="0" collapsed="false">
      <c r="B124" s="56"/>
      <c r="C124" s="57"/>
      <c r="D124" s="58"/>
      <c r="E124" s="57"/>
      <c r="F124" s="57"/>
      <c r="G124" s="57"/>
      <c r="H124" s="59"/>
      <c r="I124" s="60" t="str">
        <f aca="false">IF(B124="","",C124+IF(D124="",0,D124/60*Settings!$C$7)+E124+F124+Settings!$C$8)</f>
        <v/>
      </c>
      <c r="J124" s="60" t="str">
        <f aca="false">IF(B124="","",MAX(0,($I124+(Settings!$C$12+Settings!$C$13)-$G124*(1-(Settings!$C$10+Settings!$C$11+IF(Settings!$C$15="Yes / Sí",Settings!$C$14,0))))/(1-(Settings!$C$10+Settings!$C$11+IF(Settings!$C$15="Yes / Sí",Settings!$C$14,0)))))</f>
        <v/>
      </c>
      <c r="K124" s="60" t="str">
        <f aca="false">IF(B124="","",IF(1-(Settings!$C$10+Settings!$C$11+IF(Settings!$C$15="Yes / Sí",Settings!$C$14,0))-IF(H124="",Settings!$C$9,H124)&lt;=0,0,MAX(0,IF(Settings!$C$16="Yes / Sí",IF(ROUNDUP(($I124+(Settings!$C$12+Settings!$C$13)-$G124*(1-(Settings!$C$10+Settings!$C$11+IF(Settings!$C$15="Yes / Sí",Settings!$C$14,0))))/(1-(Settings!$C$10+Settings!$C$11+IF(Settings!$C$15="Yes / Sí",Settings!$C$14,0))-IF(H124="",Settings!$C$9,H124)),0)-0.01&gt;=($I124+(Settings!$C$12+Settings!$C$13)-$G124*(1-(Settings!$C$10+Settings!$C$11+IF(Settings!$C$15="Yes / Sí",Settings!$C$14,0))))/(1-(Settings!$C$10+Settings!$C$11+IF(Settings!$C$15="Yes / Sí",Settings!$C$14,0))-IF(H124="",Settings!$C$9,H124)),ROUNDUP(($I124+(Settings!$C$12+Settings!$C$13)-$G124*(1-(Settings!$C$10+Settings!$C$11+IF(Settings!$C$15="Yes / Sí",Settings!$C$14,0))))/(1-(Settings!$C$10+Settings!$C$11+IF(Settings!$C$15="Yes / Sí",Settings!$C$14,0))-IF(H124="",Settings!$C$9,H124)),0)-0.01,ROUNDUP(($I124+(Settings!$C$12+Settings!$C$13)-$G124*(1-(Settings!$C$10+Settings!$C$11+IF(Settings!$C$15="Yes / Sí",Settings!$C$14,0))))/(1-(Settings!$C$10+Settings!$C$11+IF(Settings!$C$15="Yes / Sí",Settings!$C$14,0))-IF(H124="",Settings!$C$9,H124)),0)+0.99),ROUNDUP(($I124+(Settings!$C$12+Settings!$C$13)-$G124*(1-(Settings!$C$10+Settings!$C$11+IF(Settings!$C$15="Yes / Sí",Settings!$C$14,0))))/(1-(Settings!$C$10+Settings!$C$11+IF(Settings!$C$15="Yes / Sí",Settings!$C$14,0))-IF(H124="",Settings!$C$9,H124)),2)))))</f>
        <v/>
      </c>
      <c r="L124" s="60" t="str">
        <f aca="false">IF(OR(B124="",K124=0),"",(K124+$G124-((K124+$G124)*(Settings!$C$10+Settings!$C$11+IF(Settings!$C$15="Yes / Sí",Settings!$C$14,0))+(Settings!$C$12+Settings!$C$13))-$I124))</f>
        <v/>
      </c>
      <c r="M124" s="57"/>
      <c r="N124" s="60" t="str">
        <f aca="false">IF(OR(B124="",M124=""),"",((M124+$G124)*(Settings!$C$10+Settings!$C$11+IF(Settings!$C$15="Yes / Sí",Settings!$C$14,0))+(Settings!$C$12+Settings!$C$13)))</f>
        <v/>
      </c>
      <c r="O124" s="60" t="str">
        <f aca="false">IF(OR(B124="",M124=""),"",(M124+$G124-((M124+$G124)*(Settings!$C$10+Settings!$C$11+IF(Settings!$C$15="Yes / Sí",Settings!$C$14,0))+(Settings!$C$12+Settings!$C$13))-$I124))</f>
        <v/>
      </c>
      <c r="P124" s="61" t="str">
        <f aca="false">IF(O124="","",IF(M124=0,0,O124/M124))</f>
        <v/>
      </c>
      <c r="Q124" s="60" t="str">
        <f aca="false">IF(OR(O124="",D124="",D124=0),"",(O124+D124/60*Settings!$C$7)/(D124/60))</f>
        <v/>
      </c>
      <c r="R124" s="62" t="str">
        <f aca="false">IF(B124="","",IF(M124="","Enter your price / Escribe tu precio",IF(O124&lt;0,"⚠ LOSING MONEY / PIERDES",IF(P124&lt;IF(H124="",Settings!$C$9,H124),"● BELOW TARGET / DEBAJO","✔ ON TARGET / EN OBJETIVO"))))</f>
        <v/>
      </c>
      <c r="T124" s="55" t="n">
        <f aca="false">IF(B124="",0,IF(M124="",0,1))</f>
        <v>0</v>
      </c>
      <c r="U124" s="55" t="n">
        <f aca="false">IF(T124=1,P124,0)</f>
        <v>0</v>
      </c>
      <c r="V124" s="55" t="n">
        <f aca="false">IF(T124=1,IF(O124&lt;0,0,IF(P124&lt;IF(H124="",Settings!$C$9,H124),1,0)),0)</f>
        <v>0</v>
      </c>
      <c r="W124" s="55" t="n">
        <f aca="false">IF(T124=1,IF(O124&lt;0,1,0),0)</f>
        <v>0</v>
      </c>
      <c r="X124" s="55" t="n">
        <f aca="false">IF(T124=1,M124,0)</f>
        <v>0</v>
      </c>
      <c r="Y124" s="55" t="n">
        <f aca="false">IF(T124=1,O124,0)</f>
        <v>0</v>
      </c>
      <c r="Z124" s="55" t="n">
        <f aca="false">IF(B124="",0,1)</f>
        <v>0</v>
      </c>
    </row>
    <row r="125" customFormat="false" ht="15" hidden="false" customHeight="false" outlineLevel="0" collapsed="false">
      <c r="B125" s="56"/>
      <c r="C125" s="57"/>
      <c r="D125" s="58"/>
      <c r="E125" s="57"/>
      <c r="F125" s="57"/>
      <c r="G125" s="57"/>
      <c r="H125" s="59"/>
      <c r="I125" s="60" t="str">
        <f aca="false">IF(B125="","",C125+IF(D125="",0,D125/60*Settings!$C$7)+E125+F125+Settings!$C$8)</f>
        <v/>
      </c>
      <c r="J125" s="60" t="str">
        <f aca="false">IF(B125="","",MAX(0,($I125+(Settings!$C$12+Settings!$C$13)-$G125*(1-(Settings!$C$10+Settings!$C$11+IF(Settings!$C$15="Yes / Sí",Settings!$C$14,0))))/(1-(Settings!$C$10+Settings!$C$11+IF(Settings!$C$15="Yes / Sí",Settings!$C$14,0)))))</f>
        <v/>
      </c>
      <c r="K125" s="60" t="str">
        <f aca="false">IF(B125="","",IF(1-(Settings!$C$10+Settings!$C$11+IF(Settings!$C$15="Yes / Sí",Settings!$C$14,0))-IF(H125="",Settings!$C$9,H125)&lt;=0,0,MAX(0,IF(Settings!$C$16="Yes / Sí",IF(ROUNDUP(($I125+(Settings!$C$12+Settings!$C$13)-$G125*(1-(Settings!$C$10+Settings!$C$11+IF(Settings!$C$15="Yes / Sí",Settings!$C$14,0))))/(1-(Settings!$C$10+Settings!$C$11+IF(Settings!$C$15="Yes / Sí",Settings!$C$14,0))-IF(H125="",Settings!$C$9,H125)),0)-0.01&gt;=($I125+(Settings!$C$12+Settings!$C$13)-$G125*(1-(Settings!$C$10+Settings!$C$11+IF(Settings!$C$15="Yes / Sí",Settings!$C$14,0))))/(1-(Settings!$C$10+Settings!$C$11+IF(Settings!$C$15="Yes / Sí",Settings!$C$14,0))-IF(H125="",Settings!$C$9,H125)),ROUNDUP(($I125+(Settings!$C$12+Settings!$C$13)-$G125*(1-(Settings!$C$10+Settings!$C$11+IF(Settings!$C$15="Yes / Sí",Settings!$C$14,0))))/(1-(Settings!$C$10+Settings!$C$11+IF(Settings!$C$15="Yes / Sí",Settings!$C$14,0))-IF(H125="",Settings!$C$9,H125)),0)-0.01,ROUNDUP(($I125+(Settings!$C$12+Settings!$C$13)-$G125*(1-(Settings!$C$10+Settings!$C$11+IF(Settings!$C$15="Yes / Sí",Settings!$C$14,0))))/(1-(Settings!$C$10+Settings!$C$11+IF(Settings!$C$15="Yes / Sí",Settings!$C$14,0))-IF(H125="",Settings!$C$9,H125)),0)+0.99),ROUNDUP(($I125+(Settings!$C$12+Settings!$C$13)-$G125*(1-(Settings!$C$10+Settings!$C$11+IF(Settings!$C$15="Yes / Sí",Settings!$C$14,0))))/(1-(Settings!$C$10+Settings!$C$11+IF(Settings!$C$15="Yes / Sí",Settings!$C$14,0))-IF(H125="",Settings!$C$9,H125)),2)))))</f>
        <v/>
      </c>
      <c r="L125" s="60" t="str">
        <f aca="false">IF(OR(B125="",K125=0),"",(K125+$G125-((K125+$G125)*(Settings!$C$10+Settings!$C$11+IF(Settings!$C$15="Yes / Sí",Settings!$C$14,0))+(Settings!$C$12+Settings!$C$13))-$I125))</f>
        <v/>
      </c>
      <c r="M125" s="57"/>
      <c r="N125" s="60" t="str">
        <f aca="false">IF(OR(B125="",M125=""),"",((M125+$G125)*(Settings!$C$10+Settings!$C$11+IF(Settings!$C$15="Yes / Sí",Settings!$C$14,0))+(Settings!$C$12+Settings!$C$13)))</f>
        <v/>
      </c>
      <c r="O125" s="60" t="str">
        <f aca="false">IF(OR(B125="",M125=""),"",(M125+$G125-((M125+$G125)*(Settings!$C$10+Settings!$C$11+IF(Settings!$C$15="Yes / Sí",Settings!$C$14,0))+(Settings!$C$12+Settings!$C$13))-$I125))</f>
        <v/>
      </c>
      <c r="P125" s="61" t="str">
        <f aca="false">IF(O125="","",IF(M125=0,0,O125/M125))</f>
        <v/>
      </c>
      <c r="Q125" s="60" t="str">
        <f aca="false">IF(OR(O125="",D125="",D125=0),"",(O125+D125/60*Settings!$C$7)/(D125/60))</f>
        <v/>
      </c>
      <c r="R125" s="62" t="str">
        <f aca="false">IF(B125="","",IF(M125="","Enter your price / Escribe tu precio",IF(O125&lt;0,"⚠ LOSING MONEY / PIERDES",IF(P125&lt;IF(H125="",Settings!$C$9,H125),"● BELOW TARGET / DEBAJO","✔ ON TARGET / EN OBJETIVO"))))</f>
        <v/>
      </c>
      <c r="T125" s="55" t="n">
        <f aca="false">IF(B125="",0,IF(M125="",0,1))</f>
        <v>0</v>
      </c>
      <c r="U125" s="55" t="n">
        <f aca="false">IF(T125=1,P125,0)</f>
        <v>0</v>
      </c>
      <c r="V125" s="55" t="n">
        <f aca="false">IF(T125=1,IF(O125&lt;0,0,IF(P125&lt;IF(H125="",Settings!$C$9,H125),1,0)),0)</f>
        <v>0</v>
      </c>
      <c r="W125" s="55" t="n">
        <f aca="false">IF(T125=1,IF(O125&lt;0,1,0),0)</f>
        <v>0</v>
      </c>
      <c r="X125" s="55" t="n">
        <f aca="false">IF(T125=1,M125,0)</f>
        <v>0</v>
      </c>
      <c r="Y125" s="55" t="n">
        <f aca="false">IF(T125=1,O125,0)</f>
        <v>0</v>
      </c>
      <c r="Z125" s="55" t="n">
        <f aca="false">IF(B125="",0,1)</f>
        <v>0</v>
      </c>
    </row>
    <row r="126" customFormat="false" ht="15" hidden="false" customHeight="false" outlineLevel="0" collapsed="false">
      <c r="B126" s="56"/>
      <c r="C126" s="57"/>
      <c r="D126" s="58"/>
      <c r="E126" s="57"/>
      <c r="F126" s="57"/>
      <c r="G126" s="57"/>
      <c r="H126" s="59"/>
      <c r="I126" s="60" t="str">
        <f aca="false">IF(B126="","",C126+IF(D126="",0,D126/60*Settings!$C$7)+E126+F126+Settings!$C$8)</f>
        <v/>
      </c>
      <c r="J126" s="60" t="str">
        <f aca="false">IF(B126="","",MAX(0,($I126+(Settings!$C$12+Settings!$C$13)-$G126*(1-(Settings!$C$10+Settings!$C$11+IF(Settings!$C$15="Yes / Sí",Settings!$C$14,0))))/(1-(Settings!$C$10+Settings!$C$11+IF(Settings!$C$15="Yes / Sí",Settings!$C$14,0)))))</f>
        <v/>
      </c>
      <c r="K126" s="60" t="str">
        <f aca="false">IF(B126="","",IF(1-(Settings!$C$10+Settings!$C$11+IF(Settings!$C$15="Yes / Sí",Settings!$C$14,0))-IF(H126="",Settings!$C$9,H126)&lt;=0,0,MAX(0,IF(Settings!$C$16="Yes / Sí",IF(ROUNDUP(($I126+(Settings!$C$12+Settings!$C$13)-$G126*(1-(Settings!$C$10+Settings!$C$11+IF(Settings!$C$15="Yes / Sí",Settings!$C$14,0))))/(1-(Settings!$C$10+Settings!$C$11+IF(Settings!$C$15="Yes / Sí",Settings!$C$14,0))-IF(H126="",Settings!$C$9,H126)),0)-0.01&gt;=($I126+(Settings!$C$12+Settings!$C$13)-$G126*(1-(Settings!$C$10+Settings!$C$11+IF(Settings!$C$15="Yes / Sí",Settings!$C$14,0))))/(1-(Settings!$C$10+Settings!$C$11+IF(Settings!$C$15="Yes / Sí",Settings!$C$14,0))-IF(H126="",Settings!$C$9,H126)),ROUNDUP(($I126+(Settings!$C$12+Settings!$C$13)-$G126*(1-(Settings!$C$10+Settings!$C$11+IF(Settings!$C$15="Yes / Sí",Settings!$C$14,0))))/(1-(Settings!$C$10+Settings!$C$11+IF(Settings!$C$15="Yes / Sí",Settings!$C$14,0))-IF(H126="",Settings!$C$9,H126)),0)-0.01,ROUNDUP(($I126+(Settings!$C$12+Settings!$C$13)-$G126*(1-(Settings!$C$10+Settings!$C$11+IF(Settings!$C$15="Yes / Sí",Settings!$C$14,0))))/(1-(Settings!$C$10+Settings!$C$11+IF(Settings!$C$15="Yes / Sí",Settings!$C$14,0))-IF(H126="",Settings!$C$9,H126)),0)+0.99),ROUNDUP(($I126+(Settings!$C$12+Settings!$C$13)-$G126*(1-(Settings!$C$10+Settings!$C$11+IF(Settings!$C$15="Yes / Sí",Settings!$C$14,0))))/(1-(Settings!$C$10+Settings!$C$11+IF(Settings!$C$15="Yes / Sí",Settings!$C$14,0))-IF(H126="",Settings!$C$9,H126)),2)))))</f>
        <v/>
      </c>
      <c r="L126" s="60" t="str">
        <f aca="false">IF(OR(B126="",K126=0),"",(K126+$G126-((K126+$G126)*(Settings!$C$10+Settings!$C$11+IF(Settings!$C$15="Yes / Sí",Settings!$C$14,0))+(Settings!$C$12+Settings!$C$13))-$I126))</f>
        <v/>
      </c>
      <c r="M126" s="57"/>
      <c r="N126" s="60" t="str">
        <f aca="false">IF(OR(B126="",M126=""),"",((M126+$G126)*(Settings!$C$10+Settings!$C$11+IF(Settings!$C$15="Yes / Sí",Settings!$C$14,0))+(Settings!$C$12+Settings!$C$13)))</f>
        <v/>
      </c>
      <c r="O126" s="60" t="str">
        <f aca="false">IF(OR(B126="",M126=""),"",(M126+$G126-((M126+$G126)*(Settings!$C$10+Settings!$C$11+IF(Settings!$C$15="Yes / Sí",Settings!$C$14,0))+(Settings!$C$12+Settings!$C$13))-$I126))</f>
        <v/>
      </c>
      <c r="P126" s="61" t="str">
        <f aca="false">IF(O126="","",IF(M126=0,0,O126/M126))</f>
        <v/>
      </c>
      <c r="Q126" s="60" t="str">
        <f aca="false">IF(OR(O126="",D126="",D126=0),"",(O126+D126/60*Settings!$C$7)/(D126/60))</f>
        <v/>
      </c>
      <c r="R126" s="62" t="str">
        <f aca="false">IF(B126="","",IF(M126="","Enter your price / Escribe tu precio",IF(O126&lt;0,"⚠ LOSING MONEY / PIERDES",IF(P126&lt;IF(H126="",Settings!$C$9,H126),"● BELOW TARGET / DEBAJO","✔ ON TARGET / EN OBJETIVO"))))</f>
        <v/>
      </c>
      <c r="T126" s="55" t="n">
        <f aca="false">IF(B126="",0,IF(M126="",0,1))</f>
        <v>0</v>
      </c>
      <c r="U126" s="55" t="n">
        <f aca="false">IF(T126=1,P126,0)</f>
        <v>0</v>
      </c>
      <c r="V126" s="55" t="n">
        <f aca="false">IF(T126=1,IF(O126&lt;0,0,IF(P126&lt;IF(H126="",Settings!$C$9,H126),1,0)),0)</f>
        <v>0</v>
      </c>
      <c r="W126" s="55" t="n">
        <f aca="false">IF(T126=1,IF(O126&lt;0,1,0),0)</f>
        <v>0</v>
      </c>
      <c r="X126" s="55" t="n">
        <f aca="false">IF(T126=1,M126,0)</f>
        <v>0</v>
      </c>
      <c r="Y126" s="55" t="n">
        <f aca="false">IF(T126=1,O126,0)</f>
        <v>0</v>
      </c>
      <c r="Z126" s="55" t="n">
        <f aca="false">IF(B126="",0,1)</f>
        <v>0</v>
      </c>
    </row>
    <row r="127" customFormat="false" ht="15" hidden="false" customHeight="false" outlineLevel="0" collapsed="false">
      <c r="B127" s="56"/>
      <c r="C127" s="57"/>
      <c r="D127" s="58"/>
      <c r="E127" s="57"/>
      <c r="F127" s="57"/>
      <c r="G127" s="57"/>
      <c r="H127" s="59"/>
      <c r="I127" s="60" t="str">
        <f aca="false">IF(B127="","",C127+IF(D127="",0,D127/60*Settings!$C$7)+E127+F127+Settings!$C$8)</f>
        <v/>
      </c>
      <c r="J127" s="60" t="str">
        <f aca="false">IF(B127="","",MAX(0,($I127+(Settings!$C$12+Settings!$C$13)-$G127*(1-(Settings!$C$10+Settings!$C$11+IF(Settings!$C$15="Yes / Sí",Settings!$C$14,0))))/(1-(Settings!$C$10+Settings!$C$11+IF(Settings!$C$15="Yes / Sí",Settings!$C$14,0)))))</f>
        <v/>
      </c>
      <c r="K127" s="60" t="str">
        <f aca="false">IF(B127="","",IF(1-(Settings!$C$10+Settings!$C$11+IF(Settings!$C$15="Yes / Sí",Settings!$C$14,0))-IF(H127="",Settings!$C$9,H127)&lt;=0,0,MAX(0,IF(Settings!$C$16="Yes / Sí",IF(ROUNDUP(($I127+(Settings!$C$12+Settings!$C$13)-$G127*(1-(Settings!$C$10+Settings!$C$11+IF(Settings!$C$15="Yes / Sí",Settings!$C$14,0))))/(1-(Settings!$C$10+Settings!$C$11+IF(Settings!$C$15="Yes / Sí",Settings!$C$14,0))-IF(H127="",Settings!$C$9,H127)),0)-0.01&gt;=($I127+(Settings!$C$12+Settings!$C$13)-$G127*(1-(Settings!$C$10+Settings!$C$11+IF(Settings!$C$15="Yes / Sí",Settings!$C$14,0))))/(1-(Settings!$C$10+Settings!$C$11+IF(Settings!$C$15="Yes / Sí",Settings!$C$14,0))-IF(H127="",Settings!$C$9,H127)),ROUNDUP(($I127+(Settings!$C$12+Settings!$C$13)-$G127*(1-(Settings!$C$10+Settings!$C$11+IF(Settings!$C$15="Yes / Sí",Settings!$C$14,0))))/(1-(Settings!$C$10+Settings!$C$11+IF(Settings!$C$15="Yes / Sí",Settings!$C$14,0))-IF(H127="",Settings!$C$9,H127)),0)-0.01,ROUNDUP(($I127+(Settings!$C$12+Settings!$C$13)-$G127*(1-(Settings!$C$10+Settings!$C$11+IF(Settings!$C$15="Yes / Sí",Settings!$C$14,0))))/(1-(Settings!$C$10+Settings!$C$11+IF(Settings!$C$15="Yes / Sí",Settings!$C$14,0))-IF(H127="",Settings!$C$9,H127)),0)+0.99),ROUNDUP(($I127+(Settings!$C$12+Settings!$C$13)-$G127*(1-(Settings!$C$10+Settings!$C$11+IF(Settings!$C$15="Yes / Sí",Settings!$C$14,0))))/(1-(Settings!$C$10+Settings!$C$11+IF(Settings!$C$15="Yes / Sí",Settings!$C$14,0))-IF(H127="",Settings!$C$9,H127)),2)))))</f>
        <v/>
      </c>
      <c r="L127" s="60" t="str">
        <f aca="false">IF(OR(B127="",K127=0),"",(K127+$G127-((K127+$G127)*(Settings!$C$10+Settings!$C$11+IF(Settings!$C$15="Yes / Sí",Settings!$C$14,0))+(Settings!$C$12+Settings!$C$13))-$I127))</f>
        <v/>
      </c>
      <c r="M127" s="57"/>
      <c r="N127" s="60" t="str">
        <f aca="false">IF(OR(B127="",M127=""),"",((M127+$G127)*(Settings!$C$10+Settings!$C$11+IF(Settings!$C$15="Yes / Sí",Settings!$C$14,0))+(Settings!$C$12+Settings!$C$13)))</f>
        <v/>
      </c>
      <c r="O127" s="60" t="str">
        <f aca="false">IF(OR(B127="",M127=""),"",(M127+$G127-((M127+$G127)*(Settings!$C$10+Settings!$C$11+IF(Settings!$C$15="Yes / Sí",Settings!$C$14,0))+(Settings!$C$12+Settings!$C$13))-$I127))</f>
        <v/>
      </c>
      <c r="P127" s="61" t="str">
        <f aca="false">IF(O127="","",IF(M127=0,0,O127/M127))</f>
        <v/>
      </c>
      <c r="Q127" s="60" t="str">
        <f aca="false">IF(OR(O127="",D127="",D127=0),"",(O127+D127/60*Settings!$C$7)/(D127/60))</f>
        <v/>
      </c>
      <c r="R127" s="62" t="str">
        <f aca="false">IF(B127="","",IF(M127="","Enter your price / Escribe tu precio",IF(O127&lt;0,"⚠ LOSING MONEY / PIERDES",IF(P127&lt;IF(H127="",Settings!$C$9,H127),"● BELOW TARGET / DEBAJO","✔ ON TARGET / EN OBJETIVO"))))</f>
        <v/>
      </c>
      <c r="T127" s="55" t="n">
        <f aca="false">IF(B127="",0,IF(M127="",0,1))</f>
        <v>0</v>
      </c>
      <c r="U127" s="55" t="n">
        <f aca="false">IF(T127=1,P127,0)</f>
        <v>0</v>
      </c>
      <c r="V127" s="55" t="n">
        <f aca="false">IF(T127=1,IF(O127&lt;0,0,IF(P127&lt;IF(H127="",Settings!$C$9,H127),1,0)),0)</f>
        <v>0</v>
      </c>
      <c r="W127" s="55" t="n">
        <f aca="false">IF(T127=1,IF(O127&lt;0,1,0),0)</f>
        <v>0</v>
      </c>
      <c r="X127" s="55" t="n">
        <f aca="false">IF(T127=1,M127,0)</f>
        <v>0</v>
      </c>
      <c r="Y127" s="55" t="n">
        <f aca="false">IF(T127=1,O127,0)</f>
        <v>0</v>
      </c>
      <c r="Z127" s="55" t="n">
        <f aca="false">IF(B127="",0,1)</f>
        <v>0</v>
      </c>
    </row>
    <row r="128" customFormat="false" ht="15" hidden="false" customHeight="false" outlineLevel="0" collapsed="false">
      <c r="B128" s="56"/>
      <c r="C128" s="57"/>
      <c r="D128" s="58"/>
      <c r="E128" s="57"/>
      <c r="F128" s="57"/>
      <c r="G128" s="57"/>
      <c r="H128" s="59"/>
      <c r="I128" s="60" t="str">
        <f aca="false">IF(B128="","",C128+IF(D128="",0,D128/60*Settings!$C$7)+E128+F128+Settings!$C$8)</f>
        <v/>
      </c>
      <c r="J128" s="60" t="str">
        <f aca="false">IF(B128="","",MAX(0,($I128+(Settings!$C$12+Settings!$C$13)-$G128*(1-(Settings!$C$10+Settings!$C$11+IF(Settings!$C$15="Yes / Sí",Settings!$C$14,0))))/(1-(Settings!$C$10+Settings!$C$11+IF(Settings!$C$15="Yes / Sí",Settings!$C$14,0)))))</f>
        <v/>
      </c>
      <c r="K128" s="60" t="str">
        <f aca="false">IF(B128="","",IF(1-(Settings!$C$10+Settings!$C$11+IF(Settings!$C$15="Yes / Sí",Settings!$C$14,0))-IF(H128="",Settings!$C$9,H128)&lt;=0,0,MAX(0,IF(Settings!$C$16="Yes / Sí",IF(ROUNDUP(($I128+(Settings!$C$12+Settings!$C$13)-$G128*(1-(Settings!$C$10+Settings!$C$11+IF(Settings!$C$15="Yes / Sí",Settings!$C$14,0))))/(1-(Settings!$C$10+Settings!$C$11+IF(Settings!$C$15="Yes / Sí",Settings!$C$14,0))-IF(H128="",Settings!$C$9,H128)),0)-0.01&gt;=($I128+(Settings!$C$12+Settings!$C$13)-$G128*(1-(Settings!$C$10+Settings!$C$11+IF(Settings!$C$15="Yes / Sí",Settings!$C$14,0))))/(1-(Settings!$C$10+Settings!$C$11+IF(Settings!$C$15="Yes / Sí",Settings!$C$14,0))-IF(H128="",Settings!$C$9,H128)),ROUNDUP(($I128+(Settings!$C$12+Settings!$C$13)-$G128*(1-(Settings!$C$10+Settings!$C$11+IF(Settings!$C$15="Yes / Sí",Settings!$C$14,0))))/(1-(Settings!$C$10+Settings!$C$11+IF(Settings!$C$15="Yes / Sí",Settings!$C$14,0))-IF(H128="",Settings!$C$9,H128)),0)-0.01,ROUNDUP(($I128+(Settings!$C$12+Settings!$C$13)-$G128*(1-(Settings!$C$10+Settings!$C$11+IF(Settings!$C$15="Yes / Sí",Settings!$C$14,0))))/(1-(Settings!$C$10+Settings!$C$11+IF(Settings!$C$15="Yes / Sí",Settings!$C$14,0))-IF(H128="",Settings!$C$9,H128)),0)+0.99),ROUNDUP(($I128+(Settings!$C$12+Settings!$C$13)-$G128*(1-(Settings!$C$10+Settings!$C$11+IF(Settings!$C$15="Yes / Sí",Settings!$C$14,0))))/(1-(Settings!$C$10+Settings!$C$11+IF(Settings!$C$15="Yes / Sí",Settings!$C$14,0))-IF(H128="",Settings!$C$9,H128)),2)))))</f>
        <v/>
      </c>
      <c r="L128" s="60" t="str">
        <f aca="false">IF(OR(B128="",K128=0),"",(K128+$G128-((K128+$G128)*(Settings!$C$10+Settings!$C$11+IF(Settings!$C$15="Yes / Sí",Settings!$C$14,0))+(Settings!$C$12+Settings!$C$13))-$I128))</f>
        <v/>
      </c>
      <c r="M128" s="57"/>
      <c r="N128" s="60" t="str">
        <f aca="false">IF(OR(B128="",M128=""),"",((M128+$G128)*(Settings!$C$10+Settings!$C$11+IF(Settings!$C$15="Yes / Sí",Settings!$C$14,0))+(Settings!$C$12+Settings!$C$13)))</f>
        <v/>
      </c>
      <c r="O128" s="60" t="str">
        <f aca="false">IF(OR(B128="",M128=""),"",(M128+$G128-((M128+$G128)*(Settings!$C$10+Settings!$C$11+IF(Settings!$C$15="Yes / Sí",Settings!$C$14,0))+(Settings!$C$12+Settings!$C$13))-$I128))</f>
        <v/>
      </c>
      <c r="P128" s="61" t="str">
        <f aca="false">IF(O128="","",IF(M128=0,0,O128/M128))</f>
        <v/>
      </c>
      <c r="Q128" s="60" t="str">
        <f aca="false">IF(OR(O128="",D128="",D128=0),"",(O128+D128/60*Settings!$C$7)/(D128/60))</f>
        <v/>
      </c>
      <c r="R128" s="62" t="str">
        <f aca="false">IF(B128="","",IF(M128="","Enter your price / Escribe tu precio",IF(O128&lt;0,"⚠ LOSING MONEY / PIERDES",IF(P128&lt;IF(H128="",Settings!$C$9,H128),"● BELOW TARGET / DEBAJO","✔ ON TARGET / EN OBJETIVO"))))</f>
        <v/>
      </c>
      <c r="T128" s="55" t="n">
        <f aca="false">IF(B128="",0,IF(M128="",0,1))</f>
        <v>0</v>
      </c>
      <c r="U128" s="55" t="n">
        <f aca="false">IF(T128=1,P128,0)</f>
        <v>0</v>
      </c>
      <c r="V128" s="55" t="n">
        <f aca="false">IF(T128=1,IF(O128&lt;0,0,IF(P128&lt;IF(H128="",Settings!$C$9,H128),1,0)),0)</f>
        <v>0</v>
      </c>
      <c r="W128" s="55" t="n">
        <f aca="false">IF(T128=1,IF(O128&lt;0,1,0),0)</f>
        <v>0</v>
      </c>
      <c r="X128" s="55" t="n">
        <f aca="false">IF(T128=1,M128,0)</f>
        <v>0</v>
      </c>
      <c r="Y128" s="55" t="n">
        <f aca="false">IF(T128=1,O128,0)</f>
        <v>0</v>
      </c>
      <c r="Z128" s="55" t="n">
        <f aca="false">IF(B128="",0,1)</f>
        <v>0</v>
      </c>
    </row>
    <row r="129" customFormat="false" ht="15" hidden="false" customHeight="false" outlineLevel="0" collapsed="false">
      <c r="B129" s="56"/>
      <c r="C129" s="57"/>
      <c r="D129" s="58"/>
      <c r="E129" s="57"/>
      <c r="F129" s="57"/>
      <c r="G129" s="57"/>
      <c r="H129" s="59"/>
      <c r="I129" s="60" t="str">
        <f aca="false">IF(B129="","",C129+IF(D129="",0,D129/60*Settings!$C$7)+E129+F129+Settings!$C$8)</f>
        <v/>
      </c>
      <c r="J129" s="60" t="str">
        <f aca="false">IF(B129="","",MAX(0,($I129+(Settings!$C$12+Settings!$C$13)-$G129*(1-(Settings!$C$10+Settings!$C$11+IF(Settings!$C$15="Yes / Sí",Settings!$C$14,0))))/(1-(Settings!$C$10+Settings!$C$11+IF(Settings!$C$15="Yes / Sí",Settings!$C$14,0)))))</f>
        <v/>
      </c>
      <c r="K129" s="60" t="str">
        <f aca="false">IF(B129="","",IF(1-(Settings!$C$10+Settings!$C$11+IF(Settings!$C$15="Yes / Sí",Settings!$C$14,0))-IF(H129="",Settings!$C$9,H129)&lt;=0,0,MAX(0,IF(Settings!$C$16="Yes / Sí",IF(ROUNDUP(($I129+(Settings!$C$12+Settings!$C$13)-$G129*(1-(Settings!$C$10+Settings!$C$11+IF(Settings!$C$15="Yes / Sí",Settings!$C$14,0))))/(1-(Settings!$C$10+Settings!$C$11+IF(Settings!$C$15="Yes / Sí",Settings!$C$14,0))-IF(H129="",Settings!$C$9,H129)),0)-0.01&gt;=($I129+(Settings!$C$12+Settings!$C$13)-$G129*(1-(Settings!$C$10+Settings!$C$11+IF(Settings!$C$15="Yes / Sí",Settings!$C$14,0))))/(1-(Settings!$C$10+Settings!$C$11+IF(Settings!$C$15="Yes / Sí",Settings!$C$14,0))-IF(H129="",Settings!$C$9,H129)),ROUNDUP(($I129+(Settings!$C$12+Settings!$C$13)-$G129*(1-(Settings!$C$10+Settings!$C$11+IF(Settings!$C$15="Yes / Sí",Settings!$C$14,0))))/(1-(Settings!$C$10+Settings!$C$11+IF(Settings!$C$15="Yes / Sí",Settings!$C$14,0))-IF(H129="",Settings!$C$9,H129)),0)-0.01,ROUNDUP(($I129+(Settings!$C$12+Settings!$C$13)-$G129*(1-(Settings!$C$10+Settings!$C$11+IF(Settings!$C$15="Yes / Sí",Settings!$C$14,0))))/(1-(Settings!$C$10+Settings!$C$11+IF(Settings!$C$15="Yes / Sí",Settings!$C$14,0))-IF(H129="",Settings!$C$9,H129)),0)+0.99),ROUNDUP(($I129+(Settings!$C$12+Settings!$C$13)-$G129*(1-(Settings!$C$10+Settings!$C$11+IF(Settings!$C$15="Yes / Sí",Settings!$C$14,0))))/(1-(Settings!$C$10+Settings!$C$11+IF(Settings!$C$15="Yes / Sí",Settings!$C$14,0))-IF(H129="",Settings!$C$9,H129)),2)))))</f>
        <v/>
      </c>
      <c r="L129" s="60" t="str">
        <f aca="false">IF(OR(B129="",K129=0),"",(K129+$G129-((K129+$G129)*(Settings!$C$10+Settings!$C$11+IF(Settings!$C$15="Yes / Sí",Settings!$C$14,0))+(Settings!$C$12+Settings!$C$13))-$I129))</f>
        <v/>
      </c>
      <c r="M129" s="57"/>
      <c r="N129" s="60" t="str">
        <f aca="false">IF(OR(B129="",M129=""),"",((M129+$G129)*(Settings!$C$10+Settings!$C$11+IF(Settings!$C$15="Yes / Sí",Settings!$C$14,0))+(Settings!$C$12+Settings!$C$13)))</f>
        <v/>
      </c>
      <c r="O129" s="60" t="str">
        <f aca="false">IF(OR(B129="",M129=""),"",(M129+$G129-((M129+$G129)*(Settings!$C$10+Settings!$C$11+IF(Settings!$C$15="Yes / Sí",Settings!$C$14,0))+(Settings!$C$12+Settings!$C$13))-$I129))</f>
        <v/>
      </c>
      <c r="P129" s="61" t="str">
        <f aca="false">IF(O129="","",IF(M129=0,0,O129/M129))</f>
        <v/>
      </c>
      <c r="Q129" s="60" t="str">
        <f aca="false">IF(OR(O129="",D129="",D129=0),"",(O129+D129/60*Settings!$C$7)/(D129/60))</f>
        <v/>
      </c>
      <c r="R129" s="62" t="str">
        <f aca="false">IF(B129="","",IF(M129="","Enter your price / Escribe tu precio",IF(O129&lt;0,"⚠ LOSING MONEY / PIERDES",IF(P129&lt;IF(H129="",Settings!$C$9,H129),"● BELOW TARGET / DEBAJO","✔ ON TARGET / EN OBJETIVO"))))</f>
        <v/>
      </c>
      <c r="T129" s="55" t="n">
        <f aca="false">IF(B129="",0,IF(M129="",0,1))</f>
        <v>0</v>
      </c>
      <c r="U129" s="55" t="n">
        <f aca="false">IF(T129=1,P129,0)</f>
        <v>0</v>
      </c>
      <c r="V129" s="55" t="n">
        <f aca="false">IF(T129=1,IF(O129&lt;0,0,IF(P129&lt;IF(H129="",Settings!$C$9,H129),1,0)),0)</f>
        <v>0</v>
      </c>
      <c r="W129" s="55" t="n">
        <f aca="false">IF(T129=1,IF(O129&lt;0,1,0),0)</f>
        <v>0</v>
      </c>
      <c r="X129" s="55" t="n">
        <f aca="false">IF(T129=1,M129,0)</f>
        <v>0</v>
      </c>
      <c r="Y129" s="55" t="n">
        <f aca="false">IF(T129=1,O129,0)</f>
        <v>0</v>
      </c>
      <c r="Z129" s="55" t="n">
        <f aca="false">IF(B129="",0,1)</f>
        <v>0</v>
      </c>
    </row>
    <row r="130" customFormat="false" ht="15" hidden="false" customHeight="false" outlineLevel="0" collapsed="false">
      <c r="B130" s="56"/>
      <c r="C130" s="57"/>
      <c r="D130" s="58"/>
      <c r="E130" s="57"/>
      <c r="F130" s="57"/>
      <c r="G130" s="57"/>
      <c r="H130" s="59"/>
      <c r="I130" s="60" t="str">
        <f aca="false">IF(B130="","",C130+IF(D130="",0,D130/60*Settings!$C$7)+E130+F130+Settings!$C$8)</f>
        <v/>
      </c>
      <c r="J130" s="60" t="str">
        <f aca="false">IF(B130="","",MAX(0,($I130+(Settings!$C$12+Settings!$C$13)-$G130*(1-(Settings!$C$10+Settings!$C$11+IF(Settings!$C$15="Yes / Sí",Settings!$C$14,0))))/(1-(Settings!$C$10+Settings!$C$11+IF(Settings!$C$15="Yes / Sí",Settings!$C$14,0)))))</f>
        <v/>
      </c>
      <c r="K130" s="60" t="str">
        <f aca="false">IF(B130="","",IF(1-(Settings!$C$10+Settings!$C$11+IF(Settings!$C$15="Yes / Sí",Settings!$C$14,0))-IF(H130="",Settings!$C$9,H130)&lt;=0,0,MAX(0,IF(Settings!$C$16="Yes / Sí",IF(ROUNDUP(($I130+(Settings!$C$12+Settings!$C$13)-$G130*(1-(Settings!$C$10+Settings!$C$11+IF(Settings!$C$15="Yes / Sí",Settings!$C$14,0))))/(1-(Settings!$C$10+Settings!$C$11+IF(Settings!$C$15="Yes / Sí",Settings!$C$14,0))-IF(H130="",Settings!$C$9,H130)),0)-0.01&gt;=($I130+(Settings!$C$12+Settings!$C$13)-$G130*(1-(Settings!$C$10+Settings!$C$11+IF(Settings!$C$15="Yes / Sí",Settings!$C$14,0))))/(1-(Settings!$C$10+Settings!$C$11+IF(Settings!$C$15="Yes / Sí",Settings!$C$14,0))-IF(H130="",Settings!$C$9,H130)),ROUNDUP(($I130+(Settings!$C$12+Settings!$C$13)-$G130*(1-(Settings!$C$10+Settings!$C$11+IF(Settings!$C$15="Yes / Sí",Settings!$C$14,0))))/(1-(Settings!$C$10+Settings!$C$11+IF(Settings!$C$15="Yes / Sí",Settings!$C$14,0))-IF(H130="",Settings!$C$9,H130)),0)-0.01,ROUNDUP(($I130+(Settings!$C$12+Settings!$C$13)-$G130*(1-(Settings!$C$10+Settings!$C$11+IF(Settings!$C$15="Yes / Sí",Settings!$C$14,0))))/(1-(Settings!$C$10+Settings!$C$11+IF(Settings!$C$15="Yes / Sí",Settings!$C$14,0))-IF(H130="",Settings!$C$9,H130)),0)+0.99),ROUNDUP(($I130+(Settings!$C$12+Settings!$C$13)-$G130*(1-(Settings!$C$10+Settings!$C$11+IF(Settings!$C$15="Yes / Sí",Settings!$C$14,0))))/(1-(Settings!$C$10+Settings!$C$11+IF(Settings!$C$15="Yes / Sí",Settings!$C$14,0))-IF(H130="",Settings!$C$9,H130)),2)))))</f>
        <v/>
      </c>
      <c r="L130" s="60" t="str">
        <f aca="false">IF(OR(B130="",K130=0),"",(K130+$G130-((K130+$G130)*(Settings!$C$10+Settings!$C$11+IF(Settings!$C$15="Yes / Sí",Settings!$C$14,0))+(Settings!$C$12+Settings!$C$13))-$I130))</f>
        <v/>
      </c>
      <c r="M130" s="57"/>
      <c r="N130" s="60" t="str">
        <f aca="false">IF(OR(B130="",M130=""),"",((M130+$G130)*(Settings!$C$10+Settings!$C$11+IF(Settings!$C$15="Yes / Sí",Settings!$C$14,0))+(Settings!$C$12+Settings!$C$13)))</f>
        <v/>
      </c>
      <c r="O130" s="60" t="str">
        <f aca="false">IF(OR(B130="",M130=""),"",(M130+$G130-((M130+$G130)*(Settings!$C$10+Settings!$C$11+IF(Settings!$C$15="Yes / Sí",Settings!$C$14,0))+(Settings!$C$12+Settings!$C$13))-$I130))</f>
        <v/>
      </c>
      <c r="P130" s="61" t="str">
        <f aca="false">IF(O130="","",IF(M130=0,0,O130/M130))</f>
        <v/>
      </c>
      <c r="Q130" s="60" t="str">
        <f aca="false">IF(OR(O130="",D130="",D130=0),"",(O130+D130/60*Settings!$C$7)/(D130/60))</f>
        <v/>
      </c>
      <c r="R130" s="62" t="str">
        <f aca="false">IF(B130="","",IF(M130="","Enter your price / Escribe tu precio",IF(O130&lt;0,"⚠ LOSING MONEY / PIERDES",IF(P130&lt;IF(H130="",Settings!$C$9,H130),"● BELOW TARGET / DEBAJO","✔ ON TARGET / EN OBJETIVO"))))</f>
        <v/>
      </c>
      <c r="T130" s="55" t="n">
        <f aca="false">IF(B130="",0,IF(M130="",0,1))</f>
        <v>0</v>
      </c>
      <c r="U130" s="55" t="n">
        <f aca="false">IF(T130=1,P130,0)</f>
        <v>0</v>
      </c>
      <c r="V130" s="55" t="n">
        <f aca="false">IF(T130=1,IF(O130&lt;0,0,IF(P130&lt;IF(H130="",Settings!$C$9,H130),1,0)),0)</f>
        <v>0</v>
      </c>
      <c r="W130" s="55" t="n">
        <f aca="false">IF(T130=1,IF(O130&lt;0,1,0),0)</f>
        <v>0</v>
      </c>
      <c r="X130" s="55" t="n">
        <f aca="false">IF(T130=1,M130,0)</f>
        <v>0</v>
      </c>
      <c r="Y130" s="55" t="n">
        <f aca="false">IF(T130=1,O130,0)</f>
        <v>0</v>
      </c>
      <c r="Z130" s="55" t="n">
        <f aca="false">IF(B130="",0,1)</f>
        <v>0</v>
      </c>
    </row>
    <row r="131" customFormat="false" ht="15" hidden="false" customHeight="false" outlineLevel="0" collapsed="false">
      <c r="B131" s="56"/>
      <c r="C131" s="57"/>
      <c r="D131" s="58"/>
      <c r="E131" s="57"/>
      <c r="F131" s="57"/>
      <c r="G131" s="57"/>
      <c r="H131" s="59"/>
      <c r="I131" s="60" t="str">
        <f aca="false">IF(B131="","",C131+IF(D131="",0,D131/60*Settings!$C$7)+E131+F131+Settings!$C$8)</f>
        <v/>
      </c>
      <c r="J131" s="60" t="str">
        <f aca="false">IF(B131="","",MAX(0,($I131+(Settings!$C$12+Settings!$C$13)-$G131*(1-(Settings!$C$10+Settings!$C$11+IF(Settings!$C$15="Yes / Sí",Settings!$C$14,0))))/(1-(Settings!$C$10+Settings!$C$11+IF(Settings!$C$15="Yes / Sí",Settings!$C$14,0)))))</f>
        <v/>
      </c>
      <c r="K131" s="60" t="str">
        <f aca="false">IF(B131="","",IF(1-(Settings!$C$10+Settings!$C$11+IF(Settings!$C$15="Yes / Sí",Settings!$C$14,0))-IF(H131="",Settings!$C$9,H131)&lt;=0,0,MAX(0,IF(Settings!$C$16="Yes / Sí",IF(ROUNDUP(($I131+(Settings!$C$12+Settings!$C$13)-$G131*(1-(Settings!$C$10+Settings!$C$11+IF(Settings!$C$15="Yes / Sí",Settings!$C$14,0))))/(1-(Settings!$C$10+Settings!$C$11+IF(Settings!$C$15="Yes / Sí",Settings!$C$14,0))-IF(H131="",Settings!$C$9,H131)),0)-0.01&gt;=($I131+(Settings!$C$12+Settings!$C$13)-$G131*(1-(Settings!$C$10+Settings!$C$11+IF(Settings!$C$15="Yes / Sí",Settings!$C$14,0))))/(1-(Settings!$C$10+Settings!$C$11+IF(Settings!$C$15="Yes / Sí",Settings!$C$14,0))-IF(H131="",Settings!$C$9,H131)),ROUNDUP(($I131+(Settings!$C$12+Settings!$C$13)-$G131*(1-(Settings!$C$10+Settings!$C$11+IF(Settings!$C$15="Yes / Sí",Settings!$C$14,0))))/(1-(Settings!$C$10+Settings!$C$11+IF(Settings!$C$15="Yes / Sí",Settings!$C$14,0))-IF(H131="",Settings!$C$9,H131)),0)-0.01,ROUNDUP(($I131+(Settings!$C$12+Settings!$C$13)-$G131*(1-(Settings!$C$10+Settings!$C$11+IF(Settings!$C$15="Yes / Sí",Settings!$C$14,0))))/(1-(Settings!$C$10+Settings!$C$11+IF(Settings!$C$15="Yes / Sí",Settings!$C$14,0))-IF(H131="",Settings!$C$9,H131)),0)+0.99),ROUNDUP(($I131+(Settings!$C$12+Settings!$C$13)-$G131*(1-(Settings!$C$10+Settings!$C$11+IF(Settings!$C$15="Yes / Sí",Settings!$C$14,0))))/(1-(Settings!$C$10+Settings!$C$11+IF(Settings!$C$15="Yes / Sí",Settings!$C$14,0))-IF(H131="",Settings!$C$9,H131)),2)))))</f>
        <v/>
      </c>
      <c r="L131" s="60" t="str">
        <f aca="false">IF(OR(B131="",K131=0),"",(K131+$G131-((K131+$G131)*(Settings!$C$10+Settings!$C$11+IF(Settings!$C$15="Yes / Sí",Settings!$C$14,0))+(Settings!$C$12+Settings!$C$13))-$I131))</f>
        <v/>
      </c>
      <c r="M131" s="57"/>
      <c r="N131" s="60" t="str">
        <f aca="false">IF(OR(B131="",M131=""),"",((M131+$G131)*(Settings!$C$10+Settings!$C$11+IF(Settings!$C$15="Yes / Sí",Settings!$C$14,0))+(Settings!$C$12+Settings!$C$13)))</f>
        <v/>
      </c>
      <c r="O131" s="60" t="str">
        <f aca="false">IF(OR(B131="",M131=""),"",(M131+$G131-((M131+$G131)*(Settings!$C$10+Settings!$C$11+IF(Settings!$C$15="Yes / Sí",Settings!$C$14,0))+(Settings!$C$12+Settings!$C$13))-$I131))</f>
        <v/>
      </c>
      <c r="P131" s="61" t="str">
        <f aca="false">IF(O131="","",IF(M131=0,0,O131/M131))</f>
        <v/>
      </c>
      <c r="Q131" s="60" t="str">
        <f aca="false">IF(OR(O131="",D131="",D131=0),"",(O131+D131/60*Settings!$C$7)/(D131/60))</f>
        <v/>
      </c>
      <c r="R131" s="62" t="str">
        <f aca="false">IF(B131="","",IF(M131="","Enter your price / Escribe tu precio",IF(O131&lt;0,"⚠ LOSING MONEY / PIERDES",IF(P131&lt;IF(H131="",Settings!$C$9,H131),"● BELOW TARGET / DEBAJO","✔ ON TARGET / EN OBJETIVO"))))</f>
        <v/>
      </c>
      <c r="T131" s="55" t="n">
        <f aca="false">IF(B131="",0,IF(M131="",0,1))</f>
        <v>0</v>
      </c>
      <c r="U131" s="55" t="n">
        <f aca="false">IF(T131=1,P131,0)</f>
        <v>0</v>
      </c>
      <c r="V131" s="55" t="n">
        <f aca="false">IF(T131=1,IF(O131&lt;0,0,IF(P131&lt;IF(H131="",Settings!$C$9,H131),1,0)),0)</f>
        <v>0</v>
      </c>
      <c r="W131" s="55" t="n">
        <f aca="false">IF(T131=1,IF(O131&lt;0,1,0),0)</f>
        <v>0</v>
      </c>
      <c r="X131" s="55" t="n">
        <f aca="false">IF(T131=1,M131,0)</f>
        <v>0</v>
      </c>
      <c r="Y131" s="55" t="n">
        <f aca="false">IF(T131=1,O131,0)</f>
        <v>0</v>
      </c>
      <c r="Z131" s="55" t="n">
        <f aca="false">IF(B131="",0,1)</f>
        <v>0</v>
      </c>
    </row>
    <row r="132" customFormat="false" ht="15" hidden="false" customHeight="false" outlineLevel="0" collapsed="false">
      <c r="B132" s="56"/>
      <c r="C132" s="57"/>
      <c r="D132" s="58"/>
      <c r="E132" s="57"/>
      <c r="F132" s="57"/>
      <c r="G132" s="57"/>
      <c r="H132" s="59"/>
      <c r="I132" s="60" t="str">
        <f aca="false">IF(B132="","",C132+IF(D132="",0,D132/60*Settings!$C$7)+E132+F132+Settings!$C$8)</f>
        <v/>
      </c>
      <c r="J132" s="60" t="str">
        <f aca="false">IF(B132="","",MAX(0,($I132+(Settings!$C$12+Settings!$C$13)-$G132*(1-(Settings!$C$10+Settings!$C$11+IF(Settings!$C$15="Yes / Sí",Settings!$C$14,0))))/(1-(Settings!$C$10+Settings!$C$11+IF(Settings!$C$15="Yes / Sí",Settings!$C$14,0)))))</f>
        <v/>
      </c>
      <c r="K132" s="60" t="str">
        <f aca="false">IF(B132="","",IF(1-(Settings!$C$10+Settings!$C$11+IF(Settings!$C$15="Yes / Sí",Settings!$C$14,0))-IF(H132="",Settings!$C$9,H132)&lt;=0,0,MAX(0,IF(Settings!$C$16="Yes / Sí",IF(ROUNDUP(($I132+(Settings!$C$12+Settings!$C$13)-$G132*(1-(Settings!$C$10+Settings!$C$11+IF(Settings!$C$15="Yes / Sí",Settings!$C$14,0))))/(1-(Settings!$C$10+Settings!$C$11+IF(Settings!$C$15="Yes / Sí",Settings!$C$14,0))-IF(H132="",Settings!$C$9,H132)),0)-0.01&gt;=($I132+(Settings!$C$12+Settings!$C$13)-$G132*(1-(Settings!$C$10+Settings!$C$11+IF(Settings!$C$15="Yes / Sí",Settings!$C$14,0))))/(1-(Settings!$C$10+Settings!$C$11+IF(Settings!$C$15="Yes / Sí",Settings!$C$14,0))-IF(H132="",Settings!$C$9,H132)),ROUNDUP(($I132+(Settings!$C$12+Settings!$C$13)-$G132*(1-(Settings!$C$10+Settings!$C$11+IF(Settings!$C$15="Yes / Sí",Settings!$C$14,0))))/(1-(Settings!$C$10+Settings!$C$11+IF(Settings!$C$15="Yes / Sí",Settings!$C$14,0))-IF(H132="",Settings!$C$9,H132)),0)-0.01,ROUNDUP(($I132+(Settings!$C$12+Settings!$C$13)-$G132*(1-(Settings!$C$10+Settings!$C$11+IF(Settings!$C$15="Yes / Sí",Settings!$C$14,0))))/(1-(Settings!$C$10+Settings!$C$11+IF(Settings!$C$15="Yes / Sí",Settings!$C$14,0))-IF(H132="",Settings!$C$9,H132)),0)+0.99),ROUNDUP(($I132+(Settings!$C$12+Settings!$C$13)-$G132*(1-(Settings!$C$10+Settings!$C$11+IF(Settings!$C$15="Yes / Sí",Settings!$C$14,0))))/(1-(Settings!$C$10+Settings!$C$11+IF(Settings!$C$15="Yes / Sí",Settings!$C$14,0))-IF(H132="",Settings!$C$9,H132)),2)))))</f>
        <v/>
      </c>
      <c r="L132" s="60" t="str">
        <f aca="false">IF(OR(B132="",K132=0),"",(K132+$G132-((K132+$G132)*(Settings!$C$10+Settings!$C$11+IF(Settings!$C$15="Yes / Sí",Settings!$C$14,0))+(Settings!$C$12+Settings!$C$13))-$I132))</f>
        <v/>
      </c>
      <c r="M132" s="57"/>
      <c r="N132" s="60" t="str">
        <f aca="false">IF(OR(B132="",M132=""),"",((M132+$G132)*(Settings!$C$10+Settings!$C$11+IF(Settings!$C$15="Yes / Sí",Settings!$C$14,0))+(Settings!$C$12+Settings!$C$13)))</f>
        <v/>
      </c>
      <c r="O132" s="60" t="str">
        <f aca="false">IF(OR(B132="",M132=""),"",(M132+$G132-((M132+$G132)*(Settings!$C$10+Settings!$C$11+IF(Settings!$C$15="Yes / Sí",Settings!$C$14,0))+(Settings!$C$12+Settings!$C$13))-$I132))</f>
        <v/>
      </c>
      <c r="P132" s="61" t="str">
        <f aca="false">IF(O132="","",IF(M132=0,0,O132/M132))</f>
        <v/>
      </c>
      <c r="Q132" s="60" t="str">
        <f aca="false">IF(OR(O132="",D132="",D132=0),"",(O132+D132/60*Settings!$C$7)/(D132/60))</f>
        <v/>
      </c>
      <c r="R132" s="62" t="str">
        <f aca="false">IF(B132="","",IF(M132="","Enter your price / Escribe tu precio",IF(O132&lt;0,"⚠ LOSING MONEY / PIERDES",IF(P132&lt;IF(H132="",Settings!$C$9,H132),"● BELOW TARGET / DEBAJO","✔ ON TARGET / EN OBJETIVO"))))</f>
        <v/>
      </c>
      <c r="T132" s="55" t="n">
        <f aca="false">IF(B132="",0,IF(M132="",0,1))</f>
        <v>0</v>
      </c>
      <c r="U132" s="55" t="n">
        <f aca="false">IF(T132=1,P132,0)</f>
        <v>0</v>
      </c>
      <c r="V132" s="55" t="n">
        <f aca="false">IF(T132=1,IF(O132&lt;0,0,IF(P132&lt;IF(H132="",Settings!$C$9,H132),1,0)),0)</f>
        <v>0</v>
      </c>
      <c r="W132" s="55" t="n">
        <f aca="false">IF(T132=1,IF(O132&lt;0,1,0),0)</f>
        <v>0</v>
      </c>
      <c r="X132" s="55" t="n">
        <f aca="false">IF(T132=1,M132,0)</f>
        <v>0</v>
      </c>
      <c r="Y132" s="55" t="n">
        <f aca="false">IF(T132=1,O132,0)</f>
        <v>0</v>
      </c>
      <c r="Z132" s="55" t="n">
        <f aca="false">IF(B132="",0,1)</f>
        <v>0</v>
      </c>
    </row>
    <row r="133" customFormat="false" ht="15" hidden="false" customHeight="false" outlineLevel="0" collapsed="false">
      <c r="B133" s="56"/>
      <c r="C133" s="57"/>
      <c r="D133" s="58"/>
      <c r="E133" s="57"/>
      <c r="F133" s="57"/>
      <c r="G133" s="57"/>
      <c r="H133" s="59"/>
      <c r="I133" s="60" t="str">
        <f aca="false">IF(B133="","",C133+IF(D133="",0,D133/60*Settings!$C$7)+E133+F133+Settings!$C$8)</f>
        <v/>
      </c>
      <c r="J133" s="60" t="str">
        <f aca="false">IF(B133="","",MAX(0,($I133+(Settings!$C$12+Settings!$C$13)-$G133*(1-(Settings!$C$10+Settings!$C$11+IF(Settings!$C$15="Yes / Sí",Settings!$C$14,0))))/(1-(Settings!$C$10+Settings!$C$11+IF(Settings!$C$15="Yes / Sí",Settings!$C$14,0)))))</f>
        <v/>
      </c>
      <c r="K133" s="60" t="str">
        <f aca="false">IF(B133="","",IF(1-(Settings!$C$10+Settings!$C$11+IF(Settings!$C$15="Yes / Sí",Settings!$C$14,0))-IF(H133="",Settings!$C$9,H133)&lt;=0,0,MAX(0,IF(Settings!$C$16="Yes / Sí",IF(ROUNDUP(($I133+(Settings!$C$12+Settings!$C$13)-$G133*(1-(Settings!$C$10+Settings!$C$11+IF(Settings!$C$15="Yes / Sí",Settings!$C$14,0))))/(1-(Settings!$C$10+Settings!$C$11+IF(Settings!$C$15="Yes / Sí",Settings!$C$14,0))-IF(H133="",Settings!$C$9,H133)),0)-0.01&gt;=($I133+(Settings!$C$12+Settings!$C$13)-$G133*(1-(Settings!$C$10+Settings!$C$11+IF(Settings!$C$15="Yes / Sí",Settings!$C$14,0))))/(1-(Settings!$C$10+Settings!$C$11+IF(Settings!$C$15="Yes / Sí",Settings!$C$14,0))-IF(H133="",Settings!$C$9,H133)),ROUNDUP(($I133+(Settings!$C$12+Settings!$C$13)-$G133*(1-(Settings!$C$10+Settings!$C$11+IF(Settings!$C$15="Yes / Sí",Settings!$C$14,0))))/(1-(Settings!$C$10+Settings!$C$11+IF(Settings!$C$15="Yes / Sí",Settings!$C$14,0))-IF(H133="",Settings!$C$9,H133)),0)-0.01,ROUNDUP(($I133+(Settings!$C$12+Settings!$C$13)-$G133*(1-(Settings!$C$10+Settings!$C$11+IF(Settings!$C$15="Yes / Sí",Settings!$C$14,0))))/(1-(Settings!$C$10+Settings!$C$11+IF(Settings!$C$15="Yes / Sí",Settings!$C$14,0))-IF(H133="",Settings!$C$9,H133)),0)+0.99),ROUNDUP(($I133+(Settings!$C$12+Settings!$C$13)-$G133*(1-(Settings!$C$10+Settings!$C$11+IF(Settings!$C$15="Yes / Sí",Settings!$C$14,0))))/(1-(Settings!$C$10+Settings!$C$11+IF(Settings!$C$15="Yes / Sí",Settings!$C$14,0))-IF(H133="",Settings!$C$9,H133)),2)))))</f>
        <v/>
      </c>
      <c r="L133" s="60" t="str">
        <f aca="false">IF(OR(B133="",K133=0),"",(K133+$G133-((K133+$G133)*(Settings!$C$10+Settings!$C$11+IF(Settings!$C$15="Yes / Sí",Settings!$C$14,0))+(Settings!$C$12+Settings!$C$13))-$I133))</f>
        <v/>
      </c>
      <c r="M133" s="57"/>
      <c r="N133" s="60" t="str">
        <f aca="false">IF(OR(B133="",M133=""),"",((M133+$G133)*(Settings!$C$10+Settings!$C$11+IF(Settings!$C$15="Yes / Sí",Settings!$C$14,0))+(Settings!$C$12+Settings!$C$13)))</f>
        <v/>
      </c>
      <c r="O133" s="60" t="str">
        <f aca="false">IF(OR(B133="",M133=""),"",(M133+$G133-((M133+$G133)*(Settings!$C$10+Settings!$C$11+IF(Settings!$C$15="Yes / Sí",Settings!$C$14,0))+(Settings!$C$12+Settings!$C$13))-$I133))</f>
        <v/>
      </c>
      <c r="P133" s="61" t="str">
        <f aca="false">IF(O133="","",IF(M133=0,0,O133/M133))</f>
        <v/>
      </c>
      <c r="Q133" s="60" t="str">
        <f aca="false">IF(OR(O133="",D133="",D133=0),"",(O133+D133/60*Settings!$C$7)/(D133/60))</f>
        <v/>
      </c>
      <c r="R133" s="62" t="str">
        <f aca="false">IF(B133="","",IF(M133="","Enter your price / Escribe tu precio",IF(O133&lt;0,"⚠ LOSING MONEY / PIERDES",IF(P133&lt;IF(H133="",Settings!$C$9,H133),"● BELOW TARGET / DEBAJO","✔ ON TARGET / EN OBJETIVO"))))</f>
        <v/>
      </c>
      <c r="T133" s="55" t="n">
        <f aca="false">IF(B133="",0,IF(M133="",0,1))</f>
        <v>0</v>
      </c>
      <c r="U133" s="55" t="n">
        <f aca="false">IF(T133=1,P133,0)</f>
        <v>0</v>
      </c>
      <c r="V133" s="55" t="n">
        <f aca="false">IF(T133=1,IF(O133&lt;0,0,IF(P133&lt;IF(H133="",Settings!$C$9,H133),1,0)),0)</f>
        <v>0</v>
      </c>
      <c r="W133" s="55" t="n">
        <f aca="false">IF(T133=1,IF(O133&lt;0,1,0),0)</f>
        <v>0</v>
      </c>
      <c r="X133" s="55" t="n">
        <f aca="false">IF(T133=1,M133,0)</f>
        <v>0</v>
      </c>
      <c r="Y133" s="55" t="n">
        <f aca="false">IF(T133=1,O133,0)</f>
        <v>0</v>
      </c>
      <c r="Z133" s="55" t="n">
        <f aca="false">IF(B133="",0,1)</f>
        <v>0</v>
      </c>
    </row>
    <row r="134" customFormat="false" ht="15" hidden="false" customHeight="false" outlineLevel="0" collapsed="false">
      <c r="B134" s="56"/>
      <c r="C134" s="57"/>
      <c r="D134" s="58"/>
      <c r="E134" s="57"/>
      <c r="F134" s="57"/>
      <c r="G134" s="57"/>
      <c r="H134" s="59"/>
      <c r="I134" s="60" t="str">
        <f aca="false">IF(B134="","",C134+IF(D134="",0,D134/60*Settings!$C$7)+E134+F134+Settings!$C$8)</f>
        <v/>
      </c>
      <c r="J134" s="60" t="str">
        <f aca="false">IF(B134="","",MAX(0,($I134+(Settings!$C$12+Settings!$C$13)-$G134*(1-(Settings!$C$10+Settings!$C$11+IF(Settings!$C$15="Yes / Sí",Settings!$C$14,0))))/(1-(Settings!$C$10+Settings!$C$11+IF(Settings!$C$15="Yes / Sí",Settings!$C$14,0)))))</f>
        <v/>
      </c>
      <c r="K134" s="60" t="str">
        <f aca="false">IF(B134="","",IF(1-(Settings!$C$10+Settings!$C$11+IF(Settings!$C$15="Yes / Sí",Settings!$C$14,0))-IF(H134="",Settings!$C$9,H134)&lt;=0,0,MAX(0,IF(Settings!$C$16="Yes / Sí",IF(ROUNDUP(($I134+(Settings!$C$12+Settings!$C$13)-$G134*(1-(Settings!$C$10+Settings!$C$11+IF(Settings!$C$15="Yes / Sí",Settings!$C$14,0))))/(1-(Settings!$C$10+Settings!$C$11+IF(Settings!$C$15="Yes / Sí",Settings!$C$14,0))-IF(H134="",Settings!$C$9,H134)),0)-0.01&gt;=($I134+(Settings!$C$12+Settings!$C$13)-$G134*(1-(Settings!$C$10+Settings!$C$11+IF(Settings!$C$15="Yes / Sí",Settings!$C$14,0))))/(1-(Settings!$C$10+Settings!$C$11+IF(Settings!$C$15="Yes / Sí",Settings!$C$14,0))-IF(H134="",Settings!$C$9,H134)),ROUNDUP(($I134+(Settings!$C$12+Settings!$C$13)-$G134*(1-(Settings!$C$10+Settings!$C$11+IF(Settings!$C$15="Yes / Sí",Settings!$C$14,0))))/(1-(Settings!$C$10+Settings!$C$11+IF(Settings!$C$15="Yes / Sí",Settings!$C$14,0))-IF(H134="",Settings!$C$9,H134)),0)-0.01,ROUNDUP(($I134+(Settings!$C$12+Settings!$C$13)-$G134*(1-(Settings!$C$10+Settings!$C$11+IF(Settings!$C$15="Yes / Sí",Settings!$C$14,0))))/(1-(Settings!$C$10+Settings!$C$11+IF(Settings!$C$15="Yes / Sí",Settings!$C$14,0))-IF(H134="",Settings!$C$9,H134)),0)+0.99),ROUNDUP(($I134+(Settings!$C$12+Settings!$C$13)-$G134*(1-(Settings!$C$10+Settings!$C$11+IF(Settings!$C$15="Yes / Sí",Settings!$C$14,0))))/(1-(Settings!$C$10+Settings!$C$11+IF(Settings!$C$15="Yes / Sí",Settings!$C$14,0))-IF(H134="",Settings!$C$9,H134)),2)))))</f>
        <v/>
      </c>
      <c r="L134" s="60" t="str">
        <f aca="false">IF(OR(B134="",K134=0),"",(K134+$G134-((K134+$G134)*(Settings!$C$10+Settings!$C$11+IF(Settings!$C$15="Yes / Sí",Settings!$C$14,0))+(Settings!$C$12+Settings!$C$13))-$I134))</f>
        <v/>
      </c>
      <c r="M134" s="57"/>
      <c r="N134" s="60" t="str">
        <f aca="false">IF(OR(B134="",M134=""),"",((M134+$G134)*(Settings!$C$10+Settings!$C$11+IF(Settings!$C$15="Yes / Sí",Settings!$C$14,0))+(Settings!$C$12+Settings!$C$13)))</f>
        <v/>
      </c>
      <c r="O134" s="60" t="str">
        <f aca="false">IF(OR(B134="",M134=""),"",(M134+$G134-((M134+$G134)*(Settings!$C$10+Settings!$C$11+IF(Settings!$C$15="Yes / Sí",Settings!$C$14,0))+(Settings!$C$12+Settings!$C$13))-$I134))</f>
        <v/>
      </c>
      <c r="P134" s="61" t="str">
        <f aca="false">IF(O134="","",IF(M134=0,0,O134/M134))</f>
        <v/>
      </c>
      <c r="Q134" s="60" t="str">
        <f aca="false">IF(OR(O134="",D134="",D134=0),"",(O134+D134/60*Settings!$C$7)/(D134/60))</f>
        <v/>
      </c>
      <c r="R134" s="62" t="str">
        <f aca="false">IF(B134="","",IF(M134="","Enter your price / Escribe tu precio",IF(O134&lt;0,"⚠ LOSING MONEY / PIERDES",IF(P134&lt;IF(H134="",Settings!$C$9,H134),"● BELOW TARGET / DEBAJO","✔ ON TARGET / EN OBJETIVO"))))</f>
        <v/>
      </c>
      <c r="T134" s="55" t="n">
        <f aca="false">IF(B134="",0,IF(M134="",0,1))</f>
        <v>0</v>
      </c>
      <c r="U134" s="55" t="n">
        <f aca="false">IF(T134=1,P134,0)</f>
        <v>0</v>
      </c>
      <c r="V134" s="55" t="n">
        <f aca="false">IF(T134=1,IF(O134&lt;0,0,IF(P134&lt;IF(H134="",Settings!$C$9,H134),1,0)),0)</f>
        <v>0</v>
      </c>
      <c r="W134" s="55" t="n">
        <f aca="false">IF(T134=1,IF(O134&lt;0,1,0),0)</f>
        <v>0</v>
      </c>
      <c r="X134" s="55" t="n">
        <f aca="false">IF(T134=1,M134,0)</f>
        <v>0</v>
      </c>
      <c r="Y134" s="55" t="n">
        <f aca="false">IF(T134=1,O134,0)</f>
        <v>0</v>
      </c>
      <c r="Z134" s="55" t="n">
        <f aca="false">IF(B134="",0,1)</f>
        <v>0</v>
      </c>
    </row>
    <row r="135" customFormat="false" ht="15" hidden="false" customHeight="false" outlineLevel="0" collapsed="false">
      <c r="B135" s="56"/>
      <c r="C135" s="57"/>
      <c r="D135" s="58"/>
      <c r="E135" s="57"/>
      <c r="F135" s="57"/>
      <c r="G135" s="57"/>
      <c r="H135" s="59"/>
      <c r="I135" s="60" t="str">
        <f aca="false">IF(B135="","",C135+IF(D135="",0,D135/60*Settings!$C$7)+E135+F135+Settings!$C$8)</f>
        <v/>
      </c>
      <c r="J135" s="60" t="str">
        <f aca="false">IF(B135="","",MAX(0,($I135+(Settings!$C$12+Settings!$C$13)-$G135*(1-(Settings!$C$10+Settings!$C$11+IF(Settings!$C$15="Yes / Sí",Settings!$C$14,0))))/(1-(Settings!$C$10+Settings!$C$11+IF(Settings!$C$15="Yes / Sí",Settings!$C$14,0)))))</f>
        <v/>
      </c>
      <c r="K135" s="60" t="str">
        <f aca="false">IF(B135="","",IF(1-(Settings!$C$10+Settings!$C$11+IF(Settings!$C$15="Yes / Sí",Settings!$C$14,0))-IF(H135="",Settings!$C$9,H135)&lt;=0,0,MAX(0,IF(Settings!$C$16="Yes / Sí",IF(ROUNDUP(($I135+(Settings!$C$12+Settings!$C$13)-$G135*(1-(Settings!$C$10+Settings!$C$11+IF(Settings!$C$15="Yes / Sí",Settings!$C$14,0))))/(1-(Settings!$C$10+Settings!$C$11+IF(Settings!$C$15="Yes / Sí",Settings!$C$14,0))-IF(H135="",Settings!$C$9,H135)),0)-0.01&gt;=($I135+(Settings!$C$12+Settings!$C$13)-$G135*(1-(Settings!$C$10+Settings!$C$11+IF(Settings!$C$15="Yes / Sí",Settings!$C$14,0))))/(1-(Settings!$C$10+Settings!$C$11+IF(Settings!$C$15="Yes / Sí",Settings!$C$14,0))-IF(H135="",Settings!$C$9,H135)),ROUNDUP(($I135+(Settings!$C$12+Settings!$C$13)-$G135*(1-(Settings!$C$10+Settings!$C$11+IF(Settings!$C$15="Yes / Sí",Settings!$C$14,0))))/(1-(Settings!$C$10+Settings!$C$11+IF(Settings!$C$15="Yes / Sí",Settings!$C$14,0))-IF(H135="",Settings!$C$9,H135)),0)-0.01,ROUNDUP(($I135+(Settings!$C$12+Settings!$C$13)-$G135*(1-(Settings!$C$10+Settings!$C$11+IF(Settings!$C$15="Yes / Sí",Settings!$C$14,0))))/(1-(Settings!$C$10+Settings!$C$11+IF(Settings!$C$15="Yes / Sí",Settings!$C$14,0))-IF(H135="",Settings!$C$9,H135)),0)+0.99),ROUNDUP(($I135+(Settings!$C$12+Settings!$C$13)-$G135*(1-(Settings!$C$10+Settings!$C$11+IF(Settings!$C$15="Yes / Sí",Settings!$C$14,0))))/(1-(Settings!$C$10+Settings!$C$11+IF(Settings!$C$15="Yes / Sí",Settings!$C$14,0))-IF(H135="",Settings!$C$9,H135)),2)))))</f>
        <v/>
      </c>
      <c r="L135" s="60" t="str">
        <f aca="false">IF(OR(B135="",K135=0),"",(K135+$G135-((K135+$G135)*(Settings!$C$10+Settings!$C$11+IF(Settings!$C$15="Yes / Sí",Settings!$C$14,0))+(Settings!$C$12+Settings!$C$13))-$I135))</f>
        <v/>
      </c>
      <c r="M135" s="57"/>
      <c r="N135" s="60" t="str">
        <f aca="false">IF(OR(B135="",M135=""),"",((M135+$G135)*(Settings!$C$10+Settings!$C$11+IF(Settings!$C$15="Yes / Sí",Settings!$C$14,0))+(Settings!$C$12+Settings!$C$13)))</f>
        <v/>
      </c>
      <c r="O135" s="60" t="str">
        <f aca="false">IF(OR(B135="",M135=""),"",(M135+$G135-((M135+$G135)*(Settings!$C$10+Settings!$C$11+IF(Settings!$C$15="Yes / Sí",Settings!$C$14,0))+(Settings!$C$12+Settings!$C$13))-$I135))</f>
        <v/>
      </c>
      <c r="P135" s="61" t="str">
        <f aca="false">IF(O135="","",IF(M135=0,0,O135/M135))</f>
        <v/>
      </c>
      <c r="Q135" s="60" t="str">
        <f aca="false">IF(OR(O135="",D135="",D135=0),"",(O135+D135/60*Settings!$C$7)/(D135/60))</f>
        <v/>
      </c>
      <c r="R135" s="62" t="str">
        <f aca="false">IF(B135="","",IF(M135="","Enter your price / Escribe tu precio",IF(O135&lt;0,"⚠ LOSING MONEY / PIERDES",IF(P135&lt;IF(H135="",Settings!$C$9,H135),"● BELOW TARGET / DEBAJO","✔ ON TARGET / EN OBJETIVO"))))</f>
        <v/>
      </c>
      <c r="T135" s="55" t="n">
        <f aca="false">IF(B135="",0,IF(M135="",0,1))</f>
        <v>0</v>
      </c>
      <c r="U135" s="55" t="n">
        <f aca="false">IF(T135=1,P135,0)</f>
        <v>0</v>
      </c>
      <c r="V135" s="55" t="n">
        <f aca="false">IF(T135=1,IF(O135&lt;0,0,IF(P135&lt;IF(H135="",Settings!$C$9,H135),1,0)),0)</f>
        <v>0</v>
      </c>
      <c r="W135" s="55" t="n">
        <f aca="false">IF(T135=1,IF(O135&lt;0,1,0),0)</f>
        <v>0</v>
      </c>
      <c r="X135" s="55" t="n">
        <f aca="false">IF(T135=1,M135,0)</f>
        <v>0</v>
      </c>
      <c r="Y135" s="55" t="n">
        <f aca="false">IF(T135=1,O135,0)</f>
        <v>0</v>
      </c>
      <c r="Z135" s="55" t="n">
        <f aca="false">IF(B135="",0,1)</f>
        <v>0</v>
      </c>
    </row>
    <row r="136" customFormat="false" ht="15" hidden="false" customHeight="false" outlineLevel="0" collapsed="false">
      <c r="B136" s="56"/>
      <c r="C136" s="57"/>
      <c r="D136" s="58"/>
      <c r="E136" s="57"/>
      <c r="F136" s="57"/>
      <c r="G136" s="57"/>
      <c r="H136" s="59"/>
      <c r="I136" s="60" t="str">
        <f aca="false">IF(B136="","",C136+IF(D136="",0,D136/60*Settings!$C$7)+E136+F136+Settings!$C$8)</f>
        <v/>
      </c>
      <c r="J136" s="60" t="str">
        <f aca="false">IF(B136="","",MAX(0,($I136+(Settings!$C$12+Settings!$C$13)-$G136*(1-(Settings!$C$10+Settings!$C$11+IF(Settings!$C$15="Yes / Sí",Settings!$C$14,0))))/(1-(Settings!$C$10+Settings!$C$11+IF(Settings!$C$15="Yes / Sí",Settings!$C$14,0)))))</f>
        <v/>
      </c>
      <c r="K136" s="60" t="str">
        <f aca="false">IF(B136="","",IF(1-(Settings!$C$10+Settings!$C$11+IF(Settings!$C$15="Yes / Sí",Settings!$C$14,0))-IF(H136="",Settings!$C$9,H136)&lt;=0,0,MAX(0,IF(Settings!$C$16="Yes / Sí",IF(ROUNDUP(($I136+(Settings!$C$12+Settings!$C$13)-$G136*(1-(Settings!$C$10+Settings!$C$11+IF(Settings!$C$15="Yes / Sí",Settings!$C$14,0))))/(1-(Settings!$C$10+Settings!$C$11+IF(Settings!$C$15="Yes / Sí",Settings!$C$14,0))-IF(H136="",Settings!$C$9,H136)),0)-0.01&gt;=($I136+(Settings!$C$12+Settings!$C$13)-$G136*(1-(Settings!$C$10+Settings!$C$11+IF(Settings!$C$15="Yes / Sí",Settings!$C$14,0))))/(1-(Settings!$C$10+Settings!$C$11+IF(Settings!$C$15="Yes / Sí",Settings!$C$14,0))-IF(H136="",Settings!$C$9,H136)),ROUNDUP(($I136+(Settings!$C$12+Settings!$C$13)-$G136*(1-(Settings!$C$10+Settings!$C$11+IF(Settings!$C$15="Yes / Sí",Settings!$C$14,0))))/(1-(Settings!$C$10+Settings!$C$11+IF(Settings!$C$15="Yes / Sí",Settings!$C$14,0))-IF(H136="",Settings!$C$9,H136)),0)-0.01,ROUNDUP(($I136+(Settings!$C$12+Settings!$C$13)-$G136*(1-(Settings!$C$10+Settings!$C$11+IF(Settings!$C$15="Yes / Sí",Settings!$C$14,0))))/(1-(Settings!$C$10+Settings!$C$11+IF(Settings!$C$15="Yes / Sí",Settings!$C$14,0))-IF(H136="",Settings!$C$9,H136)),0)+0.99),ROUNDUP(($I136+(Settings!$C$12+Settings!$C$13)-$G136*(1-(Settings!$C$10+Settings!$C$11+IF(Settings!$C$15="Yes / Sí",Settings!$C$14,0))))/(1-(Settings!$C$10+Settings!$C$11+IF(Settings!$C$15="Yes / Sí",Settings!$C$14,0))-IF(H136="",Settings!$C$9,H136)),2)))))</f>
        <v/>
      </c>
      <c r="L136" s="60" t="str">
        <f aca="false">IF(OR(B136="",K136=0),"",(K136+$G136-((K136+$G136)*(Settings!$C$10+Settings!$C$11+IF(Settings!$C$15="Yes / Sí",Settings!$C$14,0))+(Settings!$C$12+Settings!$C$13))-$I136))</f>
        <v/>
      </c>
      <c r="M136" s="57"/>
      <c r="N136" s="60" t="str">
        <f aca="false">IF(OR(B136="",M136=""),"",((M136+$G136)*(Settings!$C$10+Settings!$C$11+IF(Settings!$C$15="Yes / Sí",Settings!$C$14,0))+(Settings!$C$12+Settings!$C$13)))</f>
        <v/>
      </c>
      <c r="O136" s="60" t="str">
        <f aca="false">IF(OR(B136="",M136=""),"",(M136+$G136-((M136+$G136)*(Settings!$C$10+Settings!$C$11+IF(Settings!$C$15="Yes / Sí",Settings!$C$14,0))+(Settings!$C$12+Settings!$C$13))-$I136))</f>
        <v/>
      </c>
      <c r="P136" s="61" t="str">
        <f aca="false">IF(O136="","",IF(M136=0,0,O136/M136))</f>
        <v/>
      </c>
      <c r="Q136" s="60" t="str">
        <f aca="false">IF(OR(O136="",D136="",D136=0),"",(O136+D136/60*Settings!$C$7)/(D136/60))</f>
        <v/>
      </c>
      <c r="R136" s="62" t="str">
        <f aca="false">IF(B136="","",IF(M136="","Enter your price / Escribe tu precio",IF(O136&lt;0,"⚠ LOSING MONEY / PIERDES",IF(P136&lt;IF(H136="",Settings!$C$9,H136),"● BELOW TARGET / DEBAJO","✔ ON TARGET / EN OBJETIVO"))))</f>
        <v/>
      </c>
      <c r="T136" s="55" t="n">
        <f aca="false">IF(B136="",0,IF(M136="",0,1))</f>
        <v>0</v>
      </c>
      <c r="U136" s="55" t="n">
        <f aca="false">IF(T136=1,P136,0)</f>
        <v>0</v>
      </c>
      <c r="V136" s="55" t="n">
        <f aca="false">IF(T136=1,IF(O136&lt;0,0,IF(P136&lt;IF(H136="",Settings!$C$9,H136),1,0)),0)</f>
        <v>0</v>
      </c>
      <c r="W136" s="55" t="n">
        <f aca="false">IF(T136=1,IF(O136&lt;0,1,0),0)</f>
        <v>0</v>
      </c>
      <c r="X136" s="55" t="n">
        <f aca="false">IF(T136=1,M136,0)</f>
        <v>0</v>
      </c>
      <c r="Y136" s="55" t="n">
        <f aca="false">IF(T136=1,O136,0)</f>
        <v>0</v>
      </c>
      <c r="Z136" s="55" t="n">
        <f aca="false">IF(B136="",0,1)</f>
        <v>0</v>
      </c>
    </row>
    <row r="137" customFormat="false" ht="15" hidden="false" customHeight="false" outlineLevel="0" collapsed="false">
      <c r="B137" s="56"/>
      <c r="C137" s="57"/>
      <c r="D137" s="58"/>
      <c r="E137" s="57"/>
      <c r="F137" s="57"/>
      <c r="G137" s="57"/>
      <c r="H137" s="59"/>
      <c r="I137" s="60" t="str">
        <f aca="false">IF(B137="","",C137+IF(D137="",0,D137/60*Settings!$C$7)+E137+F137+Settings!$C$8)</f>
        <v/>
      </c>
      <c r="J137" s="60" t="str">
        <f aca="false">IF(B137="","",MAX(0,($I137+(Settings!$C$12+Settings!$C$13)-$G137*(1-(Settings!$C$10+Settings!$C$11+IF(Settings!$C$15="Yes / Sí",Settings!$C$14,0))))/(1-(Settings!$C$10+Settings!$C$11+IF(Settings!$C$15="Yes / Sí",Settings!$C$14,0)))))</f>
        <v/>
      </c>
      <c r="K137" s="60" t="str">
        <f aca="false">IF(B137="","",IF(1-(Settings!$C$10+Settings!$C$11+IF(Settings!$C$15="Yes / Sí",Settings!$C$14,0))-IF(H137="",Settings!$C$9,H137)&lt;=0,0,MAX(0,IF(Settings!$C$16="Yes / Sí",IF(ROUNDUP(($I137+(Settings!$C$12+Settings!$C$13)-$G137*(1-(Settings!$C$10+Settings!$C$11+IF(Settings!$C$15="Yes / Sí",Settings!$C$14,0))))/(1-(Settings!$C$10+Settings!$C$11+IF(Settings!$C$15="Yes / Sí",Settings!$C$14,0))-IF(H137="",Settings!$C$9,H137)),0)-0.01&gt;=($I137+(Settings!$C$12+Settings!$C$13)-$G137*(1-(Settings!$C$10+Settings!$C$11+IF(Settings!$C$15="Yes / Sí",Settings!$C$14,0))))/(1-(Settings!$C$10+Settings!$C$11+IF(Settings!$C$15="Yes / Sí",Settings!$C$14,0))-IF(H137="",Settings!$C$9,H137)),ROUNDUP(($I137+(Settings!$C$12+Settings!$C$13)-$G137*(1-(Settings!$C$10+Settings!$C$11+IF(Settings!$C$15="Yes / Sí",Settings!$C$14,0))))/(1-(Settings!$C$10+Settings!$C$11+IF(Settings!$C$15="Yes / Sí",Settings!$C$14,0))-IF(H137="",Settings!$C$9,H137)),0)-0.01,ROUNDUP(($I137+(Settings!$C$12+Settings!$C$13)-$G137*(1-(Settings!$C$10+Settings!$C$11+IF(Settings!$C$15="Yes / Sí",Settings!$C$14,0))))/(1-(Settings!$C$10+Settings!$C$11+IF(Settings!$C$15="Yes / Sí",Settings!$C$14,0))-IF(H137="",Settings!$C$9,H137)),0)+0.99),ROUNDUP(($I137+(Settings!$C$12+Settings!$C$13)-$G137*(1-(Settings!$C$10+Settings!$C$11+IF(Settings!$C$15="Yes / Sí",Settings!$C$14,0))))/(1-(Settings!$C$10+Settings!$C$11+IF(Settings!$C$15="Yes / Sí",Settings!$C$14,0))-IF(H137="",Settings!$C$9,H137)),2)))))</f>
        <v/>
      </c>
      <c r="L137" s="60" t="str">
        <f aca="false">IF(OR(B137="",K137=0),"",(K137+$G137-((K137+$G137)*(Settings!$C$10+Settings!$C$11+IF(Settings!$C$15="Yes / Sí",Settings!$C$14,0))+(Settings!$C$12+Settings!$C$13))-$I137))</f>
        <v/>
      </c>
      <c r="M137" s="57"/>
      <c r="N137" s="60" t="str">
        <f aca="false">IF(OR(B137="",M137=""),"",((M137+$G137)*(Settings!$C$10+Settings!$C$11+IF(Settings!$C$15="Yes / Sí",Settings!$C$14,0))+(Settings!$C$12+Settings!$C$13)))</f>
        <v/>
      </c>
      <c r="O137" s="60" t="str">
        <f aca="false">IF(OR(B137="",M137=""),"",(M137+$G137-((M137+$G137)*(Settings!$C$10+Settings!$C$11+IF(Settings!$C$15="Yes / Sí",Settings!$C$14,0))+(Settings!$C$12+Settings!$C$13))-$I137))</f>
        <v/>
      </c>
      <c r="P137" s="61" t="str">
        <f aca="false">IF(O137="","",IF(M137=0,0,O137/M137))</f>
        <v/>
      </c>
      <c r="Q137" s="60" t="str">
        <f aca="false">IF(OR(O137="",D137="",D137=0),"",(O137+D137/60*Settings!$C$7)/(D137/60))</f>
        <v/>
      </c>
      <c r="R137" s="62" t="str">
        <f aca="false">IF(B137="","",IF(M137="","Enter your price / Escribe tu precio",IF(O137&lt;0,"⚠ LOSING MONEY / PIERDES",IF(P137&lt;IF(H137="",Settings!$C$9,H137),"● BELOW TARGET / DEBAJO","✔ ON TARGET / EN OBJETIVO"))))</f>
        <v/>
      </c>
      <c r="T137" s="55" t="n">
        <f aca="false">IF(B137="",0,IF(M137="",0,1))</f>
        <v>0</v>
      </c>
      <c r="U137" s="55" t="n">
        <f aca="false">IF(T137=1,P137,0)</f>
        <v>0</v>
      </c>
      <c r="V137" s="55" t="n">
        <f aca="false">IF(T137=1,IF(O137&lt;0,0,IF(P137&lt;IF(H137="",Settings!$C$9,H137),1,0)),0)</f>
        <v>0</v>
      </c>
      <c r="W137" s="55" t="n">
        <f aca="false">IF(T137=1,IF(O137&lt;0,1,0),0)</f>
        <v>0</v>
      </c>
      <c r="X137" s="55" t="n">
        <f aca="false">IF(T137=1,M137,0)</f>
        <v>0</v>
      </c>
      <c r="Y137" s="55" t="n">
        <f aca="false">IF(T137=1,O137,0)</f>
        <v>0</v>
      </c>
      <c r="Z137" s="55" t="n">
        <f aca="false">IF(B137="",0,1)</f>
        <v>0</v>
      </c>
    </row>
    <row r="138" customFormat="false" ht="15" hidden="false" customHeight="false" outlineLevel="0" collapsed="false">
      <c r="B138" s="56"/>
      <c r="C138" s="57"/>
      <c r="D138" s="58"/>
      <c r="E138" s="57"/>
      <c r="F138" s="57"/>
      <c r="G138" s="57"/>
      <c r="H138" s="59"/>
      <c r="I138" s="60" t="str">
        <f aca="false">IF(B138="","",C138+IF(D138="",0,D138/60*Settings!$C$7)+E138+F138+Settings!$C$8)</f>
        <v/>
      </c>
      <c r="J138" s="60" t="str">
        <f aca="false">IF(B138="","",MAX(0,($I138+(Settings!$C$12+Settings!$C$13)-$G138*(1-(Settings!$C$10+Settings!$C$11+IF(Settings!$C$15="Yes / Sí",Settings!$C$14,0))))/(1-(Settings!$C$10+Settings!$C$11+IF(Settings!$C$15="Yes / Sí",Settings!$C$14,0)))))</f>
        <v/>
      </c>
      <c r="K138" s="60" t="str">
        <f aca="false">IF(B138="","",IF(1-(Settings!$C$10+Settings!$C$11+IF(Settings!$C$15="Yes / Sí",Settings!$C$14,0))-IF(H138="",Settings!$C$9,H138)&lt;=0,0,MAX(0,IF(Settings!$C$16="Yes / Sí",IF(ROUNDUP(($I138+(Settings!$C$12+Settings!$C$13)-$G138*(1-(Settings!$C$10+Settings!$C$11+IF(Settings!$C$15="Yes / Sí",Settings!$C$14,0))))/(1-(Settings!$C$10+Settings!$C$11+IF(Settings!$C$15="Yes / Sí",Settings!$C$14,0))-IF(H138="",Settings!$C$9,H138)),0)-0.01&gt;=($I138+(Settings!$C$12+Settings!$C$13)-$G138*(1-(Settings!$C$10+Settings!$C$11+IF(Settings!$C$15="Yes / Sí",Settings!$C$14,0))))/(1-(Settings!$C$10+Settings!$C$11+IF(Settings!$C$15="Yes / Sí",Settings!$C$14,0))-IF(H138="",Settings!$C$9,H138)),ROUNDUP(($I138+(Settings!$C$12+Settings!$C$13)-$G138*(1-(Settings!$C$10+Settings!$C$11+IF(Settings!$C$15="Yes / Sí",Settings!$C$14,0))))/(1-(Settings!$C$10+Settings!$C$11+IF(Settings!$C$15="Yes / Sí",Settings!$C$14,0))-IF(H138="",Settings!$C$9,H138)),0)-0.01,ROUNDUP(($I138+(Settings!$C$12+Settings!$C$13)-$G138*(1-(Settings!$C$10+Settings!$C$11+IF(Settings!$C$15="Yes / Sí",Settings!$C$14,0))))/(1-(Settings!$C$10+Settings!$C$11+IF(Settings!$C$15="Yes / Sí",Settings!$C$14,0))-IF(H138="",Settings!$C$9,H138)),0)+0.99),ROUNDUP(($I138+(Settings!$C$12+Settings!$C$13)-$G138*(1-(Settings!$C$10+Settings!$C$11+IF(Settings!$C$15="Yes / Sí",Settings!$C$14,0))))/(1-(Settings!$C$10+Settings!$C$11+IF(Settings!$C$15="Yes / Sí",Settings!$C$14,0))-IF(H138="",Settings!$C$9,H138)),2)))))</f>
        <v/>
      </c>
      <c r="L138" s="60" t="str">
        <f aca="false">IF(OR(B138="",K138=0),"",(K138+$G138-((K138+$G138)*(Settings!$C$10+Settings!$C$11+IF(Settings!$C$15="Yes / Sí",Settings!$C$14,0))+(Settings!$C$12+Settings!$C$13))-$I138))</f>
        <v/>
      </c>
      <c r="M138" s="57"/>
      <c r="N138" s="60" t="str">
        <f aca="false">IF(OR(B138="",M138=""),"",((M138+$G138)*(Settings!$C$10+Settings!$C$11+IF(Settings!$C$15="Yes / Sí",Settings!$C$14,0))+(Settings!$C$12+Settings!$C$13)))</f>
        <v/>
      </c>
      <c r="O138" s="60" t="str">
        <f aca="false">IF(OR(B138="",M138=""),"",(M138+$G138-((M138+$G138)*(Settings!$C$10+Settings!$C$11+IF(Settings!$C$15="Yes / Sí",Settings!$C$14,0))+(Settings!$C$12+Settings!$C$13))-$I138))</f>
        <v/>
      </c>
      <c r="P138" s="61" t="str">
        <f aca="false">IF(O138="","",IF(M138=0,0,O138/M138))</f>
        <v/>
      </c>
      <c r="Q138" s="60" t="str">
        <f aca="false">IF(OR(O138="",D138="",D138=0),"",(O138+D138/60*Settings!$C$7)/(D138/60))</f>
        <v/>
      </c>
      <c r="R138" s="62" t="str">
        <f aca="false">IF(B138="","",IF(M138="","Enter your price / Escribe tu precio",IF(O138&lt;0,"⚠ LOSING MONEY / PIERDES",IF(P138&lt;IF(H138="",Settings!$C$9,H138),"● BELOW TARGET / DEBAJO","✔ ON TARGET / EN OBJETIVO"))))</f>
        <v/>
      </c>
      <c r="T138" s="55" t="n">
        <f aca="false">IF(B138="",0,IF(M138="",0,1))</f>
        <v>0</v>
      </c>
      <c r="U138" s="55" t="n">
        <f aca="false">IF(T138=1,P138,0)</f>
        <v>0</v>
      </c>
      <c r="V138" s="55" t="n">
        <f aca="false">IF(T138=1,IF(O138&lt;0,0,IF(P138&lt;IF(H138="",Settings!$C$9,H138),1,0)),0)</f>
        <v>0</v>
      </c>
      <c r="W138" s="55" t="n">
        <f aca="false">IF(T138=1,IF(O138&lt;0,1,0),0)</f>
        <v>0</v>
      </c>
      <c r="X138" s="55" t="n">
        <f aca="false">IF(T138=1,M138,0)</f>
        <v>0</v>
      </c>
      <c r="Y138" s="55" t="n">
        <f aca="false">IF(T138=1,O138,0)</f>
        <v>0</v>
      </c>
      <c r="Z138" s="55" t="n">
        <f aca="false">IF(B138="",0,1)</f>
        <v>0</v>
      </c>
    </row>
    <row r="139" customFormat="false" ht="15" hidden="false" customHeight="false" outlineLevel="0" collapsed="false">
      <c r="B139" s="56"/>
      <c r="C139" s="57"/>
      <c r="D139" s="58"/>
      <c r="E139" s="57"/>
      <c r="F139" s="57"/>
      <c r="G139" s="57"/>
      <c r="H139" s="59"/>
      <c r="I139" s="60" t="str">
        <f aca="false">IF(B139="","",C139+IF(D139="",0,D139/60*Settings!$C$7)+E139+F139+Settings!$C$8)</f>
        <v/>
      </c>
      <c r="J139" s="60" t="str">
        <f aca="false">IF(B139="","",MAX(0,($I139+(Settings!$C$12+Settings!$C$13)-$G139*(1-(Settings!$C$10+Settings!$C$11+IF(Settings!$C$15="Yes / Sí",Settings!$C$14,0))))/(1-(Settings!$C$10+Settings!$C$11+IF(Settings!$C$15="Yes / Sí",Settings!$C$14,0)))))</f>
        <v/>
      </c>
      <c r="K139" s="60" t="str">
        <f aca="false">IF(B139="","",IF(1-(Settings!$C$10+Settings!$C$11+IF(Settings!$C$15="Yes / Sí",Settings!$C$14,0))-IF(H139="",Settings!$C$9,H139)&lt;=0,0,MAX(0,IF(Settings!$C$16="Yes / Sí",IF(ROUNDUP(($I139+(Settings!$C$12+Settings!$C$13)-$G139*(1-(Settings!$C$10+Settings!$C$11+IF(Settings!$C$15="Yes / Sí",Settings!$C$14,0))))/(1-(Settings!$C$10+Settings!$C$11+IF(Settings!$C$15="Yes / Sí",Settings!$C$14,0))-IF(H139="",Settings!$C$9,H139)),0)-0.01&gt;=($I139+(Settings!$C$12+Settings!$C$13)-$G139*(1-(Settings!$C$10+Settings!$C$11+IF(Settings!$C$15="Yes / Sí",Settings!$C$14,0))))/(1-(Settings!$C$10+Settings!$C$11+IF(Settings!$C$15="Yes / Sí",Settings!$C$14,0))-IF(H139="",Settings!$C$9,H139)),ROUNDUP(($I139+(Settings!$C$12+Settings!$C$13)-$G139*(1-(Settings!$C$10+Settings!$C$11+IF(Settings!$C$15="Yes / Sí",Settings!$C$14,0))))/(1-(Settings!$C$10+Settings!$C$11+IF(Settings!$C$15="Yes / Sí",Settings!$C$14,0))-IF(H139="",Settings!$C$9,H139)),0)-0.01,ROUNDUP(($I139+(Settings!$C$12+Settings!$C$13)-$G139*(1-(Settings!$C$10+Settings!$C$11+IF(Settings!$C$15="Yes / Sí",Settings!$C$14,0))))/(1-(Settings!$C$10+Settings!$C$11+IF(Settings!$C$15="Yes / Sí",Settings!$C$14,0))-IF(H139="",Settings!$C$9,H139)),0)+0.99),ROUNDUP(($I139+(Settings!$C$12+Settings!$C$13)-$G139*(1-(Settings!$C$10+Settings!$C$11+IF(Settings!$C$15="Yes / Sí",Settings!$C$14,0))))/(1-(Settings!$C$10+Settings!$C$11+IF(Settings!$C$15="Yes / Sí",Settings!$C$14,0))-IF(H139="",Settings!$C$9,H139)),2)))))</f>
        <v/>
      </c>
      <c r="L139" s="60" t="str">
        <f aca="false">IF(OR(B139="",K139=0),"",(K139+$G139-((K139+$G139)*(Settings!$C$10+Settings!$C$11+IF(Settings!$C$15="Yes / Sí",Settings!$C$14,0))+(Settings!$C$12+Settings!$C$13))-$I139))</f>
        <v/>
      </c>
      <c r="M139" s="57"/>
      <c r="N139" s="60" t="str">
        <f aca="false">IF(OR(B139="",M139=""),"",((M139+$G139)*(Settings!$C$10+Settings!$C$11+IF(Settings!$C$15="Yes / Sí",Settings!$C$14,0))+(Settings!$C$12+Settings!$C$13)))</f>
        <v/>
      </c>
      <c r="O139" s="60" t="str">
        <f aca="false">IF(OR(B139="",M139=""),"",(M139+$G139-((M139+$G139)*(Settings!$C$10+Settings!$C$11+IF(Settings!$C$15="Yes / Sí",Settings!$C$14,0))+(Settings!$C$12+Settings!$C$13))-$I139))</f>
        <v/>
      </c>
      <c r="P139" s="61" t="str">
        <f aca="false">IF(O139="","",IF(M139=0,0,O139/M139))</f>
        <v/>
      </c>
      <c r="Q139" s="60" t="str">
        <f aca="false">IF(OR(O139="",D139="",D139=0),"",(O139+D139/60*Settings!$C$7)/(D139/60))</f>
        <v/>
      </c>
      <c r="R139" s="62" t="str">
        <f aca="false">IF(B139="","",IF(M139="","Enter your price / Escribe tu precio",IF(O139&lt;0,"⚠ LOSING MONEY / PIERDES",IF(P139&lt;IF(H139="",Settings!$C$9,H139),"● BELOW TARGET / DEBAJO","✔ ON TARGET / EN OBJETIVO"))))</f>
        <v/>
      </c>
      <c r="T139" s="55" t="n">
        <f aca="false">IF(B139="",0,IF(M139="",0,1))</f>
        <v>0</v>
      </c>
      <c r="U139" s="55" t="n">
        <f aca="false">IF(T139=1,P139,0)</f>
        <v>0</v>
      </c>
      <c r="V139" s="55" t="n">
        <f aca="false">IF(T139=1,IF(O139&lt;0,0,IF(P139&lt;IF(H139="",Settings!$C$9,H139),1,0)),0)</f>
        <v>0</v>
      </c>
      <c r="W139" s="55" t="n">
        <f aca="false">IF(T139=1,IF(O139&lt;0,1,0),0)</f>
        <v>0</v>
      </c>
      <c r="X139" s="55" t="n">
        <f aca="false">IF(T139=1,M139,0)</f>
        <v>0</v>
      </c>
      <c r="Y139" s="55" t="n">
        <f aca="false">IF(T139=1,O139,0)</f>
        <v>0</v>
      </c>
      <c r="Z139" s="55" t="n">
        <f aca="false">IF(B139="",0,1)</f>
        <v>0</v>
      </c>
    </row>
    <row r="140" customFormat="false" ht="15" hidden="false" customHeight="false" outlineLevel="0" collapsed="false">
      <c r="B140" s="56"/>
      <c r="C140" s="57"/>
      <c r="D140" s="58"/>
      <c r="E140" s="57"/>
      <c r="F140" s="57"/>
      <c r="G140" s="57"/>
      <c r="H140" s="59"/>
      <c r="I140" s="60" t="str">
        <f aca="false">IF(B140="","",C140+IF(D140="",0,D140/60*Settings!$C$7)+E140+F140+Settings!$C$8)</f>
        <v/>
      </c>
      <c r="J140" s="60" t="str">
        <f aca="false">IF(B140="","",MAX(0,($I140+(Settings!$C$12+Settings!$C$13)-$G140*(1-(Settings!$C$10+Settings!$C$11+IF(Settings!$C$15="Yes / Sí",Settings!$C$14,0))))/(1-(Settings!$C$10+Settings!$C$11+IF(Settings!$C$15="Yes / Sí",Settings!$C$14,0)))))</f>
        <v/>
      </c>
      <c r="K140" s="60" t="str">
        <f aca="false">IF(B140="","",IF(1-(Settings!$C$10+Settings!$C$11+IF(Settings!$C$15="Yes / Sí",Settings!$C$14,0))-IF(H140="",Settings!$C$9,H140)&lt;=0,0,MAX(0,IF(Settings!$C$16="Yes / Sí",IF(ROUNDUP(($I140+(Settings!$C$12+Settings!$C$13)-$G140*(1-(Settings!$C$10+Settings!$C$11+IF(Settings!$C$15="Yes / Sí",Settings!$C$14,0))))/(1-(Settings!$C$10+Settings!$C$11+IF(Settings!$C$15="Yes / Sí",Settings!$C$14,0))-IF(H140="",Settings!$C$9,H140)),0)-0.01&gt;=($I140+(Settings!$C$12+Settings!$C$13)-$G140*(1-(Settings!$C$10+Settings!$C$11+IF(Settings!$C$15="Yes / Sí",Settings!$C$14,0))))/(1-(Settings!$C$10+Settings!$C$11+IF(Settings!$C$15="Yes / Sí",Settings!$C$14,0))-IF(H140="",Settings!$C$9,H140)),ROUNDUP(($I140+(Settings!$C$12+Settings!$C$13)-$G140*(1-(Settings!$C$10+Settings!$C$11+IF(Settings!$C$15="Yes / Sí",Settings!$C$14,0))))/(1-(Settings!$C$10+Settings!$C$11+IF(Settings!$C$15="Yes / Sí",Settings!$C$14,0))-IF(H140="",Settings!$C$9,H140)),0)-0.01,ROUNDUP(($I140+(Settings!$C$12+Settings!$C$13)-$G140*(1-(Settings!$C$10+Settings!$C$11+IF(Settings!$C$15="Yes / Sí",Settings!$C$14,0))))/(1-(Settings!$C$10+Settings!$C$11+IF(Settings!$C$15="Yes / Sí",Settings!$C$14,0))-IF(H140="",Settings!$C$9,H140)),0)+0.99),ROUNDUP(($I140+(Settings!$C$12+Settings!$C$13)-$G140*(1-(Settings!$C$10+Settings!$C$11+IF(Settings!$C$15="Yes / Sí",Settings!$C$14,0))))/(1-(Settings!$C$10+Settings!$C$11+IF(Settings!$C$15="Yes / Sí",Settings!$C$14,0))-IF(H140="",Settings!$C$9,H140)),2)))))</f>
        <v/>
      </c>
      <c r="L140" s="60" t="str">
        <f aca="false">IF(OR(B140="",K140=0),"",(K140+$G140-((K140+$G140)*(Settings!$C$10+Settings!$C$11+IF(Settings!$C$15="Yes / Sí",Settings!$C$14,0))+(Settings!$C$12+Settings!$C$13))-$I140))</f>
        <v/>
      </c>
      <c r="M140" s="57"/>
      <c r="N140" s="60" t="str">
        <f aca="false">IF(OR(B140="",M140=""),"",((M140+$G140)*(Settings!$C$10+Settings!$C$11+IF(Settings!$C$15="Yes / Sí",Settings!$C$14,0))+(Settings!$C$12+Settings!$C$13)))</f>
        <v/>
      </c>
      <c r="O140" s="60" t="str">
        <f aca="false">IF(OR(B140="",M140=""),"",(M140+$G140-((M140+$G140)*(Settings!$C$10+Settings!$C$11+IF(Settings!$C$15="Yes / Sí",Settings!$C$14,0))+(Settings!$C$12+Settings!$C$13))-$I140))</f>
        <v/>
      </c>
      <c r="P140" s="61" t="str">
        <f aca="false">IF(O140="","",IF(M140=0,0,O140/M140))</f>
        <v/>
      </c>
      <c r="Q140" s="60" t="str">
        <f aca="false">IF(OR(O140="",D140="",D140=0),"",(O140+D140/60*Settings!$C$7)/(D140/60))</f>
        <v/>
      </c>
      <c r="R140" s="62" t="str">
        <f aca="false">IF(B140="","",IF(M140="","Enter your price / Escribe tu precio",IF(O140&lt;0,"⚠ LOSING MONEY / PIERDES",IF(P140&lt;IF(H140="",Settings!$C$9,H140),"● BELOW TARGET / DEBAJO","✔ ON TARGET / EN OBJETIVO"))))</f>
        <v/>
      </c>
      <c r="T140" s="55" t="n">
        <f aca="false">IF(B140="",0,IF(M140="",0,1))</f>
        <v>0</v>
      </c>
      <c r="U140" s="55" t="n">
        <f aca="false">IF(T140=1,P140,0)</f>
        <v>0</v>
      </c>
      <c r="V140" s="55" t="n">
        <f aca="false">IF(T140=1,IF(O140&lt;0,0,IF(P140&lt;IF(H140="",Settings!$C$9,H140),1,0)),0)</f>
        <v>0</v>
      </c>
      <c r="W140" s="55" t="n">
        <f aca="false">IF(T140=1,IF(O140&lt;0,1,0),0)</f>
        <v>0</v>
      </c>
      <c r="X140" s="55" t="n">
        <f aca="false">IF(T140=1,M140,0)</f>
        <v>0</v>
      </c>
      <c r="Y140" s="55" t="n">
        <f aca="false">IF(T140=1,O140,0)</f>
        <v>0</v>
      </c>
      <c r="Z140" s="55" t="n">
        <f aca="false">IF(B140="",0,1)</f>
        <v>0</v>
      </c>
    </row>
    <row r="141" customFormat="false" ht="15" hidden="false" customHeight="false" outlineLevel="0" collapsed="false">
      <c r="B141" s="56"/>
      <c r="C141" s="57"/>
      <c r="D141" s="58"/>
      <c r="E141" s="57"/>
      <c r="F141" s="57"/>
      <c r="G141" s="57"/>
      <c r="H141" s="59"/>
      <c r="I141" s="60" t="str">
        <f aca="false">IF(B141="","",C141+IF(D141="",0,D141/60*Settings!$C$7)+E141+F141+Settings!$C$8)</f>
        <v/>
      </c>
      <c r="J141" s="60" t="str">
        <f aca="false">IF(B141="","",MAX(0,($I141+(Settings!$C$12+Settings!$C$13)-$G141*(1-(Settings!$C$10+Settings!$C$11+IF(Settings!$C$15="Yes / Sí",Settings!$C$14,0))))/(1-(Settings!$C$10+Settings!$C$11+IF(Settings!$C$15="Yes / Sí",Settings!$C$14,0)))))</f>
        <v/>
      </c>
      <c r="K141" s="60" t="str">
        <f aca="false">IF(B141="","",IF(1-(Settings!$C$10+Settings!$C$11+IF(Settings!$C$15="Yes / Sí",Settings!$C$14,0))-IF(H141="",Settings!$C$9,H141)&lt;=0,0,MAX(0,IF(Settings!$C$16="Yes / Sí",IF(ROUNDUP(($I141+(Settings!$C$12+Settings!$C$13)-$G141*(1-(Settings!$C$10+Settings!$C$11+IF(Settings!$C$15="Yes / Sí",Settings!$C$14,0))))/(1-(Settings!$C$10+Settings!$C$11+IF(Settings!$C$15="Yes / Sí",Settings!$C$14,0))-IF(H141="",Settings!$C$9,H141)),0)-0.01&gt;=($I141+(Settings!$C$12+Settings!$C$13)-$G141*(1-(Settings!$C$10+Settings!$C$11+IF(Settings!$C$15="Yes / Sí",Settings!$C$14,0))))/(1-(Settings!$C$10+Settings!$C$11+IF(Settings!$C$15="Yes / Sí",Settings!$C$14,0))-IF(H141="",Settings!$C$9,H141)),ROUNDUP(($I141+(Settings!$C$12+Settings!$C$13)-$G141*(1-(Settings!$C$10+Settings!$C$11+IF(Settings!$C$15="Yes / Sí",Settings!$C$14,0))))/(1-(Settings!$C$10+Settings!$C$11+IF(Settings!$C$15="Yes / Sí",Settings!$C$14,0))-IF(H141="",Settings!$C$9,H141)),0)-0.01,ROUNDUP(($I141+(Settings!$C$12+Settings!$C$13)-$G141*(1-(Settings!$C$10+Settings!$C$11+IF(Settings!$C$15="Yes / Sí",Settings!$C$14,0))))/(1-(Settings!$C$10+Settings!$C$11+IF(Settings!$C$15="Yes / Sí",Settings!$C$14,0))-IF(H141="",Settings!$C$9,H141)),0)+0.99),ROUNDUP(($I141+(Settings!$C$12+Settings!$C$13)-$G141*(1-(Settings!$C$10+Settings!$C$11+IF(Settings!$C$15="Yes / Sí",Settings!$C$14,0))))/(1-(Settings!$C$10+Settings!$C$11+IF(Settings!$C$15="Yes / Sí",Settings!$C$14,0))-IF(H141="",Settings!$C$9,H141)),2)))))</f>
        <v/>
      </c>
      <c r="L141" s="60" t="str">
        <f aca="false">IF(OR(B141="",K141=0),"",(K141+$G141-((K141+$G141)*(Settings!$C$10+Settings!$C$11+IF(Settings!$C$15="Yes / Sí",Settings!$C$14,0))+(Settings!$C$12+Settings!$C$13))-$I141))</f>
        <v/>
      </c>
      <c r="M141" s="57"/>
      <c r="N141" s="60" t="str">
        <f aca="false">IF(OR(B141="",M141=""),"",((M141+$G141)*(Settings!$C$10+Settings!$C$11+IF(Settings!$C$15="Yes / Sí",Settings!$C$14,0))+(Settings!$C$12+Settings!$C$13)))</f>
        <v/>
      </c>
      <c r="O141" s="60" t="str">
        <f aca="false">IF(OR(B141="",M141=""),"",(M141+$G141-((M141+$G141)*(Settings!$C$10+Settings!$C$11+IF(Settings!$C$15="Yes / Sí",Settings!$C$14,0))+(Settings!$C$12+Settings!$C$13))-$I141))</f>
        <v/>
      </c>
      <c r="P141" s="61" t="str">
        <f aca="false">IF(O141="","",IF(M141=0,0,O141/M141))</f>
        <v/>
      </c>
      <c r="Q141" s="60" t="str">
        <f aca="false">IF(OR(O141="",D141="",D141=0),"",(O141+D141/60*Settings!$C$7)/(D141/60))</f>
        <v/>
      </c>
      <c r="R141" s="62" t="str">
        <f aca="false">IF(B141="","",IF(M141="","Enter your price / Escribe tu precio",IF(O141&lt;0,"⚠ LOSING MONEY / PIERDES",IF(P141&lt;IF(H141="",Settings!$C$9,H141),"● BELOW TARGET / DEBAJO","✔ ON TARGET / EN OBJETIVO"))))</f>
        <v/>
      </c>
      <c r="T141" s="55" t="n">
        <f aca="false">IF(B141="",0,IF(M141="",0,1))</f>
        <v>0</v>
      </c>
      <c r="U141" s="55" t="n">
        <f aca="false">IF(T141=1,P141,0)</f>
        <v>0</v>
      </c>
      <c r="V141" s="55" t="n">
        <f aca="false">IF(T141=1,IF(O141&lt;0,0,IF(P141&lt;IF(H141="",Settings!$C$9,H141),1,0)),0)</f>
        <v>0</v>
      </c>
      <c r="W141" s="55" t="n">
        <f aca="false">IF(T141=1,IF(O141&lt;0,1,0),0)</f>
        <v>0</v>
      </c>
      <c r="X141" s="55" t="n">
        <f aca="false">IF(T141=1,M141,0)</f>
        <v>0</v>
      </c>
      <c r="Y141" s="55" t="n">
        <f aca="false">IF(T141=1,O141,0)</f>
        <v>0</v>
      </c>
      <c r="Z141" s="55" t="n">
        <f aca="false">IF(B141="",0,1)</f>
        <v>0</v>
      </c>
    </row>
    <row r="142" customFormat="false" ht="15" hidden="false" customHeight="false" outlineLevel="0" collapsed="false">
      <c r="B142" s="56"/>
      <c r="C142" s="57"/>
      <c r="D142" s="58"/>
      <c r="E142" s="57"/>
      <c r="F142" s="57"/>
      <c r="G142" s="57"/>
      <c r="H142" s="59"/>
      <c r="I142" s="60" t="str">
        <f aca="false">IF(B142="","",C142+IF(D142="",0,D142/60*Settings!$C$7)+E142+F142+Settings!$C$8)</f>
        <v/>
      </c>
      <c r="J142" s="60" t="str">
        <f aca="false">IF(B142="","",MAX(0,($I142+(Settings!$C$12+Settings!$C$13)-$G142*(1-(Settings!$C$10+Settings!$C$11+IF(Settings!$C$15="Yes / Sí",Settings!$C$14,0))))/(1-(Settings!$C$10+Settings!$C$11+IF(Settings!$C$15="Yes / Sí",Settings!$C$14,0)))))</f>
        <v/>
      </c>
      <c r="K142" s="60" t="str">
        <f aca="false">IF(B142="","",IF(1-(Settings!$C$10+Settings!$C$11+IF(Settings!$C$15="Yes / Sí",Settings!$C$14,0))-IF(H142="",Settings!$C$9,H142)&lt;=0,0,MAX(0,IF(Settings!$C$16="Yes / Sí",IF(ROUNDUP(($I142+(Settings!$C$12+Settings!$C$13)-$G142*(1-(Settings!$C$10+Settings!$C$11+IF(Settings!$C$15="Yes / Sí",Settings!$C$14,0))))/(1-(Settings!$C$10+Settings!$C$11+IF(Settings!$C$15="Yes / Sí",Settings!$C$14,0))-IF(H142="",Settings!$C$9,H142)),0)-0.01&gt;=($I142+(Settings!$C$12+Settings!$C$13)-$G142*(1-(Settings!$C$10+Settings!$C$11+IF(Settings!$C$15="Yes / Sí",Settings!$C$14,0))))/(1-(Settings!$C$10+Settings!$C$11+IF(Settings!$C$15="Yes / Sí",Settings!$C$14,0))-IF(H142="",Settings!$C$9,H142)),ROUNDUP(($I142+(Settings!$C$12+Settings!$C$13)-$G142*(1-(Settings!$C$10+Settings!$C$11+IF(Settings!$C$15="Yes / Sí",Settings!$C$14,0))))/(1-(Settings!$C$10+Settings!$C$11+IF(Settings!$C$15="Yes / Sí",Settings!$C$14,0))-IF(H142="",Settings!$C$9,H142)),0)-0.01,ROUNDUP(($I142+(Settings!$C$12+Settings!$C$13)-$G142*(1-(Settings!$C$10+Settings!$C$11+IF(Settings!$C$15="Yes / Sí",Settings!$C$14,0))))/(1-(Settings!$C$10+Settings!$C$11+IF(Settings!$C$15="Yes / Sí",Settings!$C$14,0))-IF(H142="",Settings!$C$9,H142)),0)+0.99),ROUNDUP(($I142+(Settings!$C$12+Settings!$C$13)-$G142*(1-(Settings!$C$10+Settings!$C$11+IF(Settings!$C$15="Yes / Sí",Settings!$C$14,0))))/(1-(Settings!$C$10+Settings!$C$11+IF(Settings!$C$15="Yes / Sí",Settings!$C$14,0))-IF(H142="",Settings!$C$9,H142)),2)))))</f>
        <v/>
      </c>
      <c r="L142" s="60" t="str">
        <f aca="false">IF(OR(B142="",K142=0),"",(K142+$G142-((K142+$G142)*(Settings!$C$10+Settings!$C$11+IF(Settings!$C$15="Yes / Sí",Settings!$C$14,0))+(Settings!$C$12+Settings!$C$13))-$I142))</f>
        <v/>
      </c>
      <c r="M142" s="57"/>
      <c r="N142" s="60" t="str">
        <f aca="false">IF(OR(B142="",M142=""),"",((M142+$G142)*(Settings!$C$10+Settings!$C$11+IF(Settings!$C$15="Yes / Sí",Settings!$C$14,0))+(Settings!$C$12+Settings!$C$13)))</f>
        <v/>
      </c>
      <c r="O142" s="60" t="str">
        <f aca="false">IF(OR(B142="",M142=""),"",(M142+$G142-((M142+$G142)*(Settings!$C$10+Settings!$C$11+IF(Settings!$C$15="Yes / Sí",Settings!$C$14,0))+(Settings!$C$12+Settings!$C$13))-$I142))</f>
        <v/>
      </c>
      <c r="P142" s="61" t="str">
        <f aca="false">IF(O142="","",IF(M142=0,0,O142/M142))</f>
        <v/>
      </c>
      <c r="Q142" s="60" t="str">
        <f aca="false">IF(OR(O142="",D142="",D142=0),"",(O142+D142/60*Settings!$C$7)/(D142/60))</f>
        <v/>
      </c>
      <c r="R142" s="62" t="str">
        <f aca="false">IF(B142="","",IF(M142="","Enter your price / Escribe tu precio",IF(O142&lt;0,"⚠ LOSING MONEY / PIERDES",IF(P142&lt;IF(H142="",Settings!$C$9,H142),"● BELOW TARGET / DEBAJO","✔ ON TARGET / EN OBJETIVO"))))</f>
        <v/>
      </c>
      <c r="T142" s="55" t="n">
        <f aca="false">IF(B142="",0,IF(M142="",0,1))</f>
        <v>0</v>
      </c>
      <c r="U142" s="55" t="n">
        <f aca="false">IF(T142=1,P142,0)</f>
        <v>0</v>
      </c>
      <c r="V142" s="55" t="n">
        <f aca="false">IF(T142=1,IF(O142&lt;0,0,IF(P142&lt;IF(H142="",Settings!$C$9,H142),1,0)),0)</f>
        <v>0</v>
      </c>
      <c r="W142" s="55" t="n">
        <f aca="false">IF(T142=1,IF(O142&lt;0,1,0),0)</f>
        <v>0</v>
      </c>
      <c r="X142" s="55" t="n">
        <f aca="false">IF(T142=1,M142,0)</f>
        <v>0</v>
      </c>
      <c r="Y142" s="55" t="n">
        <f aca="false">IF(T142=1,O142,0)</f>
        <v>0</v>
      </c>
      <c r="Z142" s="55" t="n">
        <f aca="false">IF(B142="",0,1)</f>
        <v>0</v>
      </c>
    </row>
    <row r="143" customFormat="false" ht="15" hidden="false" customHeight="false" outlineLevel="0" collapsed="false">
      <c r="B143" s="56"/>
      <c r="C143" s="57"/>
      <c r="D143" s="58"/>
      <c r="E143" s="57"/>
      <c r="F143" s="57"/>
      <c r="G143" s="57"/>
      <c r="H143" s="59"/>
      <c r="I143" s="60" t="str">
        <f aca="false">IF(B143="","",C143+IF(D143="",0,D143/60*Settings!$C$7)+E143+F143+Settings!$C$8)</f>
        <v/>
      </c>
      <c r="J143" s="60" t="str">
        <f aca="false">IF(B143="","",MAX(0,($I143+(Settings!$C$12+Settings!$C$13)-$G143*(1-(Settings!$C$10+Settings!$C$11+IF(Settings!$C$15="Yes / Sí",Settings!$C$14,0))))/(1-(Settings!$C$10+Settings!$C$11+IF(Settings!$C$15="Yes / Sí",Settings!$C$14,0)))))</f>
        <v/>
      </c>
      <c r="K143" s="60" t="str">
        <f aca="false">IF(B143="","",IF(1-(Settings!$C$10+Settings!$C$11+IF(Settings!$C$15="Yes / Sí",Settings!$C$14,0))-IF(H143="",Settings!$C$9,H143)&lt;=0,0,MAX(0,IF(Settings!$C$16="Yes / Sí",IF(ROUNDUP(($I143+(Settings!$C$12+Settings!$C$13)-$G143*(1-(Settings!$C$10+Settings!$C$11+IF(Settings!$C$15="Yes / Sí",Settings!$C$14,0))))/(1-(Settings!$C$10+Settings!$C$11+IF(Settings!$C$15="Yes / Sí",Settings!$C$14,0))-IF(H143="",Settings!$C$9,H143)),0)-0.01&gt;=($I143+(Settings!$C$12+Settings!$C$13)-$G143*(1-(Settings!$C$10+Settings!$C$11+IF(Settings!$C$15="Yes / Sí",Settings!$C$14,0))))/(1-(Settings!$C$10+Settings!$C$11+IF(Settings!$C$15="Yes / Sí",Settings!$C$14,0))-IF(H143="",Settings!$C$9,H143)),ROUNDUP(($I143+(Settings!$C$12+Settings!$C$13)-$G143*(1-(Settings!$C$10+Settings!$C$11+IF(Settings!$C$15="Yes / Sí",Settings!$C$14,0))))/(1-(Settings!$C$10+Settings!$C$11+IF(Settings!$C$15="Yes / Sí",Settings!$C$14,0))-IF(H143="",Settings!$C$9,H143)),0)-0.01,ROUNDUP(($I143+(Settings!$C$12+Settings!$C$13)-$G143*(1-(Settings!$C$10+Settings!$C$11+IF(Settings!$C$15="Yes / Sí",Settings!$C$14,0))))/(1-(Settings!$C$10+Settings!$C$11+IF(Settings!$C$15="Yes / Sí",Settings!$C$14,0))-IF(H143="",Settings!$C$9,H143)),0)+0.99),ROUNDUP(($I143+(Settings!$C$12+Settings!$C$13)-$G143*(1-(Settings!$C$10+Settings!$C$11+IF(Settings!$C$15="Yes / Sí",Settings!$C$14,0))))/(1-(Settings!$C$10+Settings!$C$11+IF(Settings!$C$15="Yes / Sí",Settings!$C$14,0))-IF(H143="",Settings!$C$9,H143)),2)))))</f>
        <v/>
      </c>
      <c r="L143" s="60" t="str">
        <f aca="false">IF(OR(B143="",K143=0),"",(K143+$G143-((K143+$G143)*(Settings!$C$10+Settings!$C$11+IF(Settings!$C$15="Yes / Sí",Settings!$C$14,0))+(Settings!$C$12+Settings!$C$13))-$I143))</f>
        <v/>
      </c>
      <c r="M143" s="57"/>
      <c r="N143" s="60" t="str">
        <f aca="false">IF(OR(B143="",M143=""),"",((M143+$G143)*(Settings!$C$10+Settings!$C$11+IF(Settings!$C$15="Yes / Sí",Settings!$C$14,0))+(Settings!$C$12+Settings!$C$13)))</f>
        <v/>
      </c>
      <c r="O143" s="60" t="str">
        <f aca="false">IF(OR(B143="",M143=""),"",(M143+$G143-((M143+$G143)*(Settings!$C$10+Settings!$C$11+IF(Settings!$C$15="Yes / Sí",Settings!$C$14,0))+(Settings!$C$12+Settings!$C$13))-$I143))</f>
        <v/>
      </c>
      <c r="P143" s="61" t="str">
        <f aca="false">IF(O143="","",IF(M143=0,0,O143/M143))</f>
        <v/>
      </c>
      <c r="Q143" s="60" t="str">
        <f aca="false">IF(OR(O143="",D143="",D143=0),"",(O143+D143/60*Settings!$C$7)/(D143/60))</f>
        <v/>
      </c>
      <c r="R143" s="62" t="str">
        <f aca="false">IF(B143="","",IF(M143="","Enter your price / Escribe tu precio",IF(O143&lt;0,"⚠ LOSING MONEY / PIERDES",IF(P143&lt;IF(H143="",Settings!$C$9,H143),"● BELOW TARGET / DEBAJO","✔ ON TARGET / EN OBJETIVO"))))</f>
        <v/>
      </c>
      <c r="T143" s="55" t="n">
        <f aca="false">IF(B143="",0,IF(M143="",0,1))</f>
        <v>0</v>
      </c>
      <c r="U143" s="55" t="n">
        <f aca="false">IF(T143=1,P143,0)</f>
        <v>0</v>
      </c>
      <c r="V143" s="55" t="n">
        <f aca="false">IF(T143=1,IF(O143&lt;0,0,IF(P143&lt;IF(H143="",Settings!$C$9,H143),1,0)),0)</f>
        <v>0</v>
      </c>
      <c r="W143" s="55" t="n">
        <f aca="false">IF(T143=1,IF(O143&lt;0,1,0),0)</f>
        <v>0</v>
      </c>
      <c r="X143" s="55" t="n">
        <f aca="false">IF(T143=1,M143,0)</f>
        <v>0</v>
      </c>
      <c r="Y143" s="55" t="n">
        <f aca="false">IF(T143=1,O143,0)</f>
        <v>0</v>
      </c>
      <c r="Z143" s="55" t="n">
        <f aca="false">IF(B143="",0,1)</f>
        <v>0</v>
      </c>
    </row>
    <row r="144" customFormat="false" ht="15" hidden="false" customHeight="false" outlineLevel="0" collapsed="false">
      <c r="B144" s="56"/>
      <c r="C144" s="57"/>
      <c r="D144" s="58"/>
      <c r="E144" s="57"/>
      <c r="F144" s="57"/>
      <c r="G144" s="57"/>
      <c r="H144" s="59"/>
      <c r="I144" s="60" t="str">
        <f aca="false">IF(B144="","",C144+IF(D144="",0,D144/60*Settings!$C$7)+E144+F144+Settings!$C$8)</f>
        <v/>
      </c>
      <c r="J144" s="60" t="str">
        <f aca="false">IF(B144="","",MAX(0,($I144+(Settings!$C$12+Settings!$C$13)-$G144*(1-(Settings!$C$10+Settings!$C$11+IF(Settings!$C$15="Yes / Sí",Settings!$C$14,0))))/(1-(Settings!$C$10+Settings!$C$11+IF(Settings!$C$15="Yes / Sí",Settings!$C$14,0)))))</f>
        <v/>
      </c>
      <c r="K144" s="60" t="str">
        <f aca="false">IF(B144="","",IF(1-(Settings!$C$10+Settings!$C$11+IF(Settings!$C$15="Yes / Sí",Settings!$C$14,0))-IF(H144="",Settings!$C$9,H144)&lt;=0,0,MAX(0,IF(Settings!$C$16="Yes / Sí",IF(ROUNDUP(($I144+(Settings!$C$12+Settings!$C$13)-$G144*(1-(Settings!$C$10+Settings!$C$11+IF(Settings!$C$15="Yes / Sí",Settings!$C$14,0))))/(1-(Settings!$C$10+Settings!$C$11+IF(Settings!$C$15="Yes / Sí",Settings!$C$14,0))-IF(H144="",Settings!$C$9,H144)),0)-0.01&gt;=($I144+(Settings!$C$12+Settings!$C$13)-$G144*(1-(Settings!$C$10+Settings!$C$11+IF(Settings!$C$15="Yes / Sí",Settings!$C$14,0))))/(1-(Settings!$C$10+Settings!$C$11+IF(Settings!$C$15="Yes / Sí",Settings!$C$14,0))-IF(H144="",Settings!$C$9,H144)),ROUNDUP(($I144+(Settings!$C$12+Settings!$C$13)-$G144*(1-(Settings!$C$10+Settings!$C$11+IF(Settings!$C$15="Yes / Sí",Settings!$C$14,0))))/(1-(Settings!$C$10+Settings!$C$11+IF(Settings!$C$15="Yes / Sí",Settings!$C$14,0))-IF(H144="",Settings!$C$9,H144)),0)-0.01,ROUNDUP(($I144+(Settings!$C$12+Settings!$C$13)-$G144*(1-(Settings!$C$10+Settings!$C$11+IF(Settings!$C$15="Yes / Sí",Settings!$C$14,0))))/(1-(Settings!$C$10+Settings!$C$11+IF(Settings!$C$15="Yes / Sí",Settings!$C$14,0))-IF(H144="",Settings!$C$9,H144)),0)+0.99),ROUNDUP(($I144+(Settings!$C$12+Settings!$C$13)-$G144*(1-(Settings!$C$10+Settings!$C$11+IF(Settings!$C$15="Yes / Sí",Settings!$C$14,0))))/(1-(Settings!$C$10+Settings!$C$11+IF(Settings!$C$15="Yes / Sí",Settings!$C$14,0))-IF(H144="",Settings!$C$9,H144)),2)))))</f>
        <v/>
      </c>
      <c r="L144" s="60" t="str">
        <f aca="false">IF(OR(B144="",K144=0),"",(K144+$G144-((K144+$G144)*(Settings!$C$10+Settings!$C$11+IF(Settings!$C$15="Yes / Sí",Settings!$C$14,0))+(Settings!$C$12+Settings!$C$13))-$I144))</f>
        <v/>
      </c>
      <c r="M144" s="57"/>
      <c r="N144" s="60" t="str">
        <f aca="false">IF(OR(B144="",M144=""),"",((M144+$G144)*(Settings!$C$10+Settings!$C$11+IF(Settings!$C$15="Yes / Sí",Settings!$C$14,0))+(Settings!$C$12+Settings!$C$13)))</f>
        <v/>
      </c>
      <c r="O144" s="60" t="str">
        <f aca="false">IF(OR(B144="",M144=""),"",(M144+$G144-((M144+$G144)*(Settings!$C$10+Settings!$C$11+IF(Settings!$C$15="Yes / Sí",Settings!$C$14,0))+(Settings!$C$12+Settings!$C$13))-$I144))</f>
        <v/>
      </c>
      <c r="P144" s="61" t="str">
        <f aca="false">IF(O144="","",IF(M144=0,0,O144/M144))</f>
        <v/>
      </c>
      <c r="Q144" s="60" t="str">
        <f aca="false">IF(OR(O144="",D144="",D144=0),"",(O144+D144/60*Settings!$C$7)/(D144/60))</f>
        <v/>
      </c>
      <c r="R144" s="62" t="str">
        <f aca="false">IF(B144="","",IF(M144="","Enter your price / Escribe tu precio",IF(O144&lt;0,"⚠ LOSING MONEY / PIERDES",IF(P144&lt;IF(H144="",Settings!$C$9,H144),"● BELOW TARGET / DEBAJO","✔ ON TARGET / EN OBJETIVO"))))</f>
        <v/>
      </c>
      <c r="T144" s="55" t="n">
        <f aca="false">IF(B144="",0,IF(M144="",0,1))</f>
        <v>0</v>
      </c>
      <c r="U144" s="55" t="n">
        <f aca="false">IF(T144=1,P144,0)</f>
        <v>0</v>
      </c>
      <c r="V144" s="55" t="n">
        <f aca="false">IF(T144=1,IF(O144&lt;0,0,IF(P144&lt;IF(H144="",Settings!$C$9,H144),1,0)),0)</f>
        <v>0</v>
      </c>
      <c r="W144" s="55" t="n">
        <f aca="false">IF(T144=1,IF(O144&lt;0,1,0),0)</f>
        <v>0</v>
      </c>
      <c r="X144" s="55" t="n">
        <f aca="false">IF(T144=1,M144,0)</f>
        <v>0</v>
      </c>
      <c r="Y144" s="55" t="n">
        <f aca="false">IF(T144=1,O144,0)</f>
        <v>0</v>
      </c>
      <c r="Z144" s="55" t="n">
        <f aca="false">IF(B144="",0,1)</f>
        <v>0</v>
      </c>
    </row>
    <row r="145" customFormat="false" ht="15" hidden="false" customHeight="false" outlineLevel="0" collapsed="false">
      <c r="B145" s="56"/>
      <c r="C145" s="57"/>
      <c r="D145" s="58"/>
      <c r="E145" s="57"/>
      <c r="F145" s="57"/>
      <c r="G145" s="57"/>
      <c r="H145" s="59"/>
      <c r="I145" s="60" t="str">
        <f aca="false">IF(B145="","",C145+IF(D145="",0,D145/60*Settings!$C$7)+E145+F145+Settings!$C$8)</f>
        <v/>
      </c>
      <c r="J145" s="60" t="str">
        <f aca="false">IF(B145="","",MAX(0,($I145+(Settings!$C$12+Settings!$C$13)-$G145*(1-(Settings!$C$10+Settings!$C$11+IF(Settings!$C$15="Yes / Sí",Settings!$C$14,0))))/(1-(Settings!$C$10+Settings!$C$11+IF(Settings!$C$15="Yes / Sí",Settings!$C$14,0)))))</f>
        <v/>
      </c>
      <c r="K145" s="60" t="str">
        <f aca="false">IF(B145="","",IF(1-(Settings!$C$10+Settings!$C$11+IF(Settings!$C$15="Yes / Sí",Settings!$C$14,0))-IF(H145="",Settings!$C$9,H145)&lt;=0,0,MAX(0,IF(Settings!$C$16="Yes / Sí",IF(ROUNDUP(($I145+(Settings!$C$12+Settings!$C$13)-$G145*(1-(Settings!$C$10+Settings!$C$11+IF(Settings!$C$15="Yes / Sí",Settings!$C$14,0))))/(1-(Settings!$C$10+Settings!$C$11+IF(Settings!$C$15="Yes / Sí",Settings!$C$14,0))-IF(H145="",Settings!$C$9,H145)),0)-0.01&gt;=($I145+(Settings!$C$12+Settings!$C$13)-$G145*(1-(Settings!$C$10+Settings!$C$11+IF(Settings!$C$15="Yes / Sí",Settings!$C$14,0))))/(1-(Settings!$C$10+Settings!$C$11+IF(Settings!$C$15="Yes / Sí",Settings!$C$14,0))-IF(H145="",Settings!$C$9,H145)),ROUNDUP(($I145+(Settings!$C$12+Settings!$C$13)-$G145*(1-(Settings!$C$10+Settings!$C$11+IF(Settings!$C$15="Yes / Sí",Settings!$C$14,0))))/(1-(Settings!$C$10+Settings!$C$11+IF(Settings!$C$15="Yes / Sí",Settings!$C$14,0))-IF(H145="",Settings!$C$9,H145)),0)-0.01,ROUNDUP(($I145+(Settings!$C$12+Settings!$C$13)-$G145*(1-(Settings!$C$10+Settings!$C$11+IF(Settings!$C$15="Yes / Sí",Settings!$C$14,0))))/(1-(Settings!$C$10+Settings!$C$11+IF(Settings!$C$15="Yes / Sí",Settings!$C$14,0))-IF(H145="",Settings!$C$9,H145)),0)+0.99),ROUNDUP(($I145+(Settings!$C$12+Settings!$C$13)-$G145*(1-(Settings!$C$10+Settings!$C$11+IF(Settings!$C$15="Yes / Sí",Settings!$C$14,0))))/(1-(Settings!$C$10+Settings!$C$11+IF(Settings!$C$15="Yes / Sí",Settings!$C$14,0))-IF(H145="",Settings!$C$9,H145)),2)))))</f>
        <v/>
      </c>
      <c r="L145" s="60" t="str">
        <f aca="false">IF(OR(B145="",K145=0),"",(K145+$G145-((K145+$G145)*(Settings!$C$10+Settings!$C$11+IF(Settings!$C$15="Yes / Sí",Settings!$C$14,0))+(Settings!$C$12+Settings!$C$13))-$I145))</f>
        <v/>
      </c>
      <c r="M145" s="57"/>
      <c r="N145" s="60" t="str">
        <f aca="false">IF(OR(B145="",M145=""),"",((M145+$G145)*(Settings!$C$10+Settings!$C$11+IF(Settings!$C$15="Yes / Sí",Settings!$C$14,0))+(Settings!$C$12+Settings!$C$13)))</f>
        <v/>
      </c>
      <c r="O145" s="60" t="str">
        <f aca="false">IF(OR(B145="",M145=""),"",(M145+$G145-((M145+$G145)*(Settings!$C$10+Settings!$C$11+IF(Settings!$C$15="Yes / Sí",Settings!$C$14,0))+(Settings!$C$12+Settings!$C$13))-$I145))</f>
        <v/>
      </c>
      <c r="P145" s="61" t="str">
        <f aca="false">IF(O145="","",IF(M145=0,0,O145/M145))</f>
        <v/>
      </c>
      <c r="Q145" s="60" t="str">
        <f aca="false">IF(OR(O145="",D145="",D145=0),"",(O145+D145/60*Settings!$C$7)/(D145/60))</f>
        <v/>
      </c>
      <c r="R145" s="62" t="str">
        <f aca="false">IF(B145="","",IF(M145="","Enter your price / Escribe tu precio",IF(O145&lt;0,"⚠ LOSING MONEY / PIERDES",IF(P145&lt;IF(H145="",Settings!$C$9,H145),"● BELOW TARGET / DEBAJO","✔ ON TARGET / EN OBJETIVO"))))</f>
        <v/>
      </c>
      <c r="T145" s="55" t="n">
        <f aca="false">IF(B145="",0,IF(M145="",0,1))</f>
        <v>0</v>
      </c>
      <c r="U145" s="55" t="n">
        <f aca="false">IF(T145=1,P145,0)</f>
        <v>0</v>
      </c>
      <c r="V145" s="55" t="n">
        <f aca="false">IF(T145=1,IF(O145&lt;0,0,IF(P145&lt;IF(H145="",Settings!$C$9,H145),1,0)),0)</f>
        <v>0</v>
      </c>
      <c r="W145" s="55" t="n">
        <f aca="false">IF(T145=1,IF(O145&lt;0,1,0),0)</f>
        <v>0</v>
      </c>
      <c r="X145" s="55" t="n">
        <f aca="false">IF(T145=1,M145,0)</f>
        <v>0</v>
      </c>
      <c r="Y145" s="55" t="n">
        <f aca="false">IF(T145=1,O145,0)</f>
        <v>0</v>
      </c>
      <c r="Z145" s="55" t="n">
        <f aca="false">IF(B145="",0,1)</f>
        <v>0</v>
      </c>
    </row>
    <row r="146" customFormat="false" ht="15" hidden="false" customHeight="false" outlineLevel="0" collapsed="false">
      <c r="B146" s="56"/>
      <c r="C146" s="57"/>
      <c r="D146" s="58"/>
      <c r="E146" s="57"/>
      <c r="F146" s="57"/>
      <c r="G146" s="57"/>
      <c r="H146" s="59"/>
      <c r="I146" s="60" t="str">
        <f aca="false">IF(B146="","",C146+IF(D146="",0,D146/60*Settings!$C$7)+E146+F146+Settings!$C$8)</f>
        <v/>
      </c>
      <c r="J146" s="60" t="str">
        <f aca="false">IF(B146="","",MAX(0,($I146+(Settings!$C$12+Settings!$C$13)-$G146*(1-(Settings!$C$10+Settings!$C$11+IF(Settings!$C$15="Yes / Sí",Settings!$C$14,0))))/(1-(Settings!$C$10+Settings!$C$11+IF(Settings!$C$15="Yes / Sí",Settings!$C$14,0)))))</f>
        <v/>
      </c>
      <c r="K146" s="60" t="str">
        <f aca="false">IF(B146="","",IF(1-(Settings!$C$10+Settings!$C$11+IF(Settings!$C$15="Yes / Sí",Settings!$C$14,0))-IF(H146="",Settings!$C$9,H146)&lt;=0,0,MAX(0,IF(Settings!$C$16="Yes / Sí",IF(ROUNDUP(($I146+(Settings!$C$12+Settings!$C$13)-$G146*(1-(Settings!$C$10+Settings!$C$11+IF(Settings!$C$15="Yes / Sí",Settings!$C$14,0))))/(1-(Settings!$C$10+Settings!$C$11+IF(Settings!$C$15="Yes / Sí",Settings!$C$14,0))-IF(H146="",Settings!$C$9,H146)),0)-0.01&gt;=($I146+(Settings!$C$12+Settings!$C$13)-$G146*(1-(Settings!$C$10+Settings!$C$11+IF(Settings!$C$15="Yes / Sí",Settings!$C$14,0))))/(1-(Settings!$C$10+Settings!$C$11+IF(Settings!$C$15="Yes / Sí",Settings!$C$14,0))-IF(H146="",Settings!$C$9,H146)),ROUNDUP(($I146+(Settings!$C$12+Settings!$C$13)-$G146*(1-(Settings!$C$10+Settings!$C$11+IF(Settings!$C$15="Yes / Sí",Settings!$C$14,0))))/(1-(Settings!$C$10+Settings!$C$11+IF(Settings!$C$15="Yes / Sí",Settings!$C$14,0))-IF(H146="",Settings!$C$9,H146)),0)-0.01,ROUNDUP(($I146+(Settings!$C$12+Settings!$C$13)-$G146*(1-(Settings!$C$10+Settings!$C$11+IF(Settings!$C$15="Yes / Sí",Settings!$C$14,0))))/(1-(Settings!$C$10+Settings!$C$11+IF(Settings!$C$15="Yes / Sí",Settings!$C$14,0))-IF(H146="",Settings!$C$9,H146)),0)+0.99),ROUNDUP(($I146+(Settings!$C$12+Settings!$C$13)-$G146*(1-(Settings!$C$10+Settings!$C$11+IF(Settings!$C$15="Yes / Sí",Settings!$C$14,0))))/(1-(Settings!$C$10+Settings!$C$11+IF(Settings!$C$15="Yes / Sí",Settings!$C$14,0))-IF(H146="",Settings!$C$9,H146)),2)))))</f>
        <v/>
      </c>
      <c r="L146" s="60" t="str">
        <f aca="false">IF(OR(B146="",K146=0),"",(K146+$G146-((K146+$G146)*(Settings!$C$10+Settings!$C$11+IF(Settings!$C$15="Yes / Sí",Settings!$C$14,0))+(Settings!$C$12+Settings!$C$13))-$I146))</f>
        <v/>
      </c>
      <c r="M146" s="57"/>
      <c r="N146" s="60" t="str">
        <f aca="false">IF(OR(B146="",M146=""),"",((M146+$G146)*(Settings!$C$10+Settings!$C$11+IF(Settings!$C$15="Yes / Sí",Settings!$C$14,0))+(Settings!$C$12+Settings!$C$13)))</f>
        <v/>
      </c>
      <c r="O146" s="60" t="str">
        <f aca="false">IF(OR(B146="",M146=""),"",(M146+$G146-((M146+$G146)*(Settings!$C$10+Settings!$C$11+IF(Settings!$C$15="Yes / Sí",Settings!$C$14,0))+(Settings!$C$12+Settings!$C$13))-$I146))</f>
        <v/>
      </c>
      <c r="P146" s="61" t="str">
        <f aca="false">IF(O146="","",IF(M146=0,0,O146/M146))</f>
        <v/>
      </c>
      <c r="Q146" s="60" t="str">
        <f aca="false">IF(OR(O146="",D146="",D146=0),"",(O146+D146/60*Settings!$C$7)/(D146/60))</f>
        <v/>
      </c>
      <c r="R146" s="62" t="str">
        <f aca="false">IF(B146="","",IF(M146="","Enter your price / Escribe tu precio",IF(O146&lt;0,"⚠ LOSING MONEY / PIERDES",IF(P146&lt;IF(H146="",Settings!$C$9,H146),"● BELOW TARGET / DEBAJO","✔ ON TARGET / EN OBJETIVO"))))</f>
        <v/>
      </c>
      <c r="T146" s="55" t="n">
        <f aca="false">IF(B146="",0,IF(M146="",0,1))</f>
        <v>0</v>
      </c>
      <c r="U146" s="55" t="n">
        <f aca="false">IF(T146=1,P146,0)</f>
        <v>0</v>
      </c>
      <c r="V146" s="55" t="n">
        <f aca="false">IF(T146=1,IF(O146&lt;0,0,IF(P146&lt;IF(H146="",Settings!$C$9,H146),1,0)),0)</f>
        <v>0</v>
      </c>
      <c r="W146" s="55" t="n">
        <f aca="false">IF(T146=1,IF(O146&lt;0,1,0),0)</f>
        <v>0</v>
      </c>
      <c r="X146" s="55" t="n">
        <f aca="false">IF(T146=1,M146,0)</f>
        <v>0</v>
      </c>
      <c r="Y146" s="55" t="n">
        <f aca="false">IF(T146=1,O146,0)</f>
        <v>0</v>
      </c>
      <c r="Z146" s="55" t="n">
        <f aca="false">IF(B146="",0,1)</f>
        <v>0</v>
      </c>
    </row>
    <row r="147" customFormat="false" ht="15" hidden="false" customHeight="false" outlineLevel="0" collapsed="false">
      <c r="B147" s="56"/>
      <c r="C147" s="57"/>
      <c r="D147" s="58"/>
      <c r="E147" s="57"/>
      <c r="F147" s="57"/>
      <c r="G147" s="57"/>
      <c r="H147" s="59"/>
      <c r="I147" s="60" t="str">
        <f aca="false">IF(B147="","",C147+IF(D147="",0,D147/60*Settings!$C$7)+E147+F147+Settings!$C$8)</f>
        <v/>
      </c>
      <c r="J147" s="60" t="str">
        <f aca="false">IF(B147="","",MAX(0,($I147+(Settings!$C$12+Settings!$C$13)-$G147*(1-(Settings!$C$10+Settings!$C$11+IF(Settings!$C$15="Yes / Sí",Settings!$C$14,0))))/(1-(Settings!$C$10+Settings!$C$11+IF(Settings!$C$15="Yes / Sí",Settings!$C$14,0)))))</f>
        <v/>
      </c>
      <c r="K147" s="60" t="str">
        <f aca="false">IF(B147="","",IF(1-(Settings!$C$10+Settings!$C$11+IF(Settings!$C$15="Yes / Sí",Settings!$C$14,0))-IF(H147="",Settings!$C$9,H147)&lt;=0,0,MAX(0,IF(Settings!$C$16="Yes / Sí",IF(ROUNDUP(($I147+(Settings!$C$12+Settings!$C$13)-$G147*(1-(Settings!$C$10+Settings!$C$11+IF(Settings!$C$15="Yes / Sí",Settings!$C$14,0))))/(1-(Settings!$C$10+Settings!$C$11+IF(Settings!$C$15="Yes / Sí",Settings!$C$14,0))-IF(H147="",Settings!$C$9,H147)),0)-0.01&gt;=($I147+(Settings!$C$12+Settings!$C$13)-$G147*(1-(Settings!$C$10+Settings!$C$11+IF(Settings!$C$15="Yes / Sí",Settings!$C$14,0))))/(1-(Settings!$C$10+Settings!$C$11+IF(Settings!$C$15="Yes / Sí",Settings!$C$14,0))-IF(H147="",Settings!$C$9,H147)),ROUNDUP(($I147+(Settings!$C$12+Settings!$C$13)-$G147*(1-(Settings!$C$10+Settings!$C$11+IF(Settings!$C$15="Yes / Sí",Settings!$C$14,0))))/(1-(Settings!$C$10+Settings!$C$11+IF(Settings!$C$15="Yes / Sí",Settings!$C$14,0))-IF(H147="",Settings!$C$9,H147)),0)-0.01,ROUNDUP(($I147+(Settings!$C$12+Settings!$C$13)-$G147*(1-(Settings!$C$10+Settings!$C$11+IF(Settings!$C$15="Yes / Sí",Settings!$C$14,0))))/(1-(Settings!$C$10+Settings!$C$11+IF(Settings!$C$15="Yes / Sí",Settings!$C$14,0))-IF(H147="",Settings!$C$9,H147)),0)+0.99),ROUNDUP(($I147+(Settings!$C$12+Settings!$C$13)-$G147*(1-(Settings!$C$10+Settings!$C$11+IF(Settings!$C$15="Yes / Sí",Settings!$C$14,0))))/(1-(Settings!$C$10+Settings!$C$11+IF(Settings!$C$15="Yes / Sí",Settings!$C$14,0))-IF(H147="",Settings!$C$9,H147)),2)))))</f>
        <v/>
      </c>
      <c r="L147" s="60" t="str">
        <f aca="false">IF(OR(B147="",K147=0),"",(K147+$G147-((K147+$G147)*(Settings!$C$10+Settings!$C$11+IF(Settings!$C$15="Yes / Sí",Settings!$C$14,0))+(Settings!$C$12+Settings!$C$13))-$I147))</f>
        <v/>
      </c>
      <c r="M147" s="57"/>
      <c r="N147" s="60" t="str">
        <f aca="false">IF(OR(B147="",M147=""),"",((M147+$G147)*(Settings!$C$10+Settings!$C$11+IF(Settings!$C$15="Yes / Sí",Settings!$C$14,0))+(Settings!$C$12+Settings!$C$13)))</f>
        <v/>
      </c>
      <c r="O147" s="60" t="str">
        <f aca="false">IF(OR(B147="",M147=""),"",(M147+$G147-((M147+$G147)*(Settings!$C$10+Settings!$C$11+IF(Settings!$C$15="Yes / Sí",Settings!$C$14,0))+(Settings!$C$12+Settings!$C$13))-$I147))</f>
        <v/>
      </c>
      <c r="P147" s="61" t="str">
        <f aca="false">IF(O147="","",IF(M147=0,0,O147/M147))</f>
        <v/>
      </c>
      <c r="Q147" s="60" t="str">
        <f aca="false">IF(OR(O147="",D147="",D147=0),"",(O147+D147/60*Settings!$C$7)/(D147/60))</f>
        <v/>
      </c>
      <c r="R147" s="62" t="str">
        <f aca="false">IF(B147="","",IF(M147="","Enter your price / Escribe tu precio",IF(O147&lt;0,"⚠ LOSING MONEY / PIERDES",IF(P147&lt;IF(H147="",Settings!$C$9,H147),"● BELOW TARGET / DEBAJO","✔ ON TARGET / EN OBJETIVO"))))</f>
        <v/>
      </c>
      <c r="T147" s="55" t="n">
        <f aca="false">IF(B147="",0,IF(M147="",0,1))</f>
        <v>0</v>
      </c>
      <c r="U147" s="55" t="n">
        <f aca="false">IF(T147=1,P147,0)</f>
        <v>0</v>
      </c>
      <c r="V147" s="55" t="n">
        <f aca="false">IF(T147=1,IF(O147&lt;0,0,IF(P147&lt;IF(H147="",Settings!$C$9,H147),1,0)),0)</f>
        <v>0</v>
      </c>
      <c r="W147" s="55" t="n">
        <f aca="false">IF(T147=1,IF(O147&lt;0,1,0),0)</f>
        <v>0</v>
      </c>
      <c r="X147" s="55" t="n">
        <f aca="false">IF(T147=1,M147,0)</f>
        <v>0</v>
      </c>
      <c r="Y147" s="55" t="n">
        <f aca="false">IF(T147=1,O147,0)</f>
        <v>0</v>
      </c>
      <c r="Z147" s="55" t="n">
        <f aca="false">IF(B147="",0,1)</f>
        <v>0</v>
      </c>
    </row>
    <row r="148" customFormat="false" ht="15" hidden="false" customHeight="false" outlineLevel="0" collapsed="false">
      <c r="B148" s="56"/>
      <c r="C148" s="57"/>
      <c r="D148" s="58"/>
      <c r="E148" s="57"/>
      <c r="F148" s="57"/>
      <c r="G148" s="57"/>
      <c r="H148" s="59"/>
      <c r="I148" s="60" t="str">
        <f aca="false">IF(B148="","",C148+IF(D148="",0,D148/60*Settings!$C$7)+E148+F148+Settings!$C$8)</f>
        <v/>
      </c>
      <c r="J148" s="60" t="str">
        <f aca="false">IF(B148="","",MAX(0,($I148+(Settings!$C$12+Settings!$C$13)-$G148*(1-(Settings!$C$10+Settings!$C$11+IF(Settings!$C$15="Yes / Sí",Settings!$C$14,0))))/(1-(Settings!$C$10+Settings!$C$11+IF(Settings!$C$15="Yes / Sí",Settings!$C$14,0)))))</f>
        <v/>
      </c>
      <c r="K148" s="60" t="str">
        <f aca="false">IF(B148="","",IF(1-(Settings!$C$10+Settings!$C$11+IF(Settings!$C$15="Yes / Sí",Settings!$C$14,0))-IF(H148="",Settings!$C$9,H148)&lt;=0,0,MAX(0,IF(Settings!$C$16="Yes / Sí",IF(ROUNDUP(($I148+(Settings!$C$12+Settings!$C$13)-$G148*(1-(Settings!$C$10+Settings!$C$11+IF(Settings!$C$15="Yes / Sí",Settings!$C$14,0))))/(1-(Settings!$C$10+Settings!$C$11+IF(Settings!$C$15="Yes / Sí",Settings!$C$14,0))-IF(H148="",Settings!$C$9,H148)),0)-0.01&gt;=($I148+(Settings!$C$12+Settings!$C$13)-$G148*(1-(Settings!$C$10+Settings!$C$11+IF(Settings!$C$15="Yes / Sí",Settings!$C$14,0))))/(1-(Settings!$C$10+Settings!$C$11+IF(Settings!$C$15="Yes / Sí",Settings!$C$14,0))-IF(H148="",Settings!$C$9,H148)),ROUNDUP(($I148+(Settings!$C$12+Settings!$C$13)-$G148*(1-(Settings!$C$10+Settings!$C$11+IF(Settings!$C$15="Yes / Sí",Settings!$C$14,0))))/(1-(Settings!$C$10+Settings!$C$11+IF(Settings!$C$15="Yes / Sí",Settings!$C$14,0))-IF(H148="",Settings!$C$9,H148)),0)-0.01,ROUNDUP(($I148+(Settings!$C$12+Settings!$C$13)-$G148*(1-(Settings!$C$10+Settings!$C$11+IF(Settings!$C$15="Yes / Sí",Settings!$C$14,0))))/(1-(Settings!$C$10+Settings!$C$11+IF(Settings!$C$15="Yes / Sí",Settings!$C$14,0))-IF(H148="",Settings!$C$9,H148)),0)+0.99),ROUNDUP(($I148+(Settings!$C$12+Settings!$C$13)-$G148*(1-(Settings!$C$10+Settings!$C$11+IF(Settings!$C$15="Yes / Sí",Settings!$C$14,0))))/(1-(Settings!$C$10+Settings!$C$11+IF(Settings!$C$15="Yes / Sí",Settings!$C$14,0))-IF(H148="",Settings!$C$9,H148)),2)))))</f>
        <v/>
      </c>
      <c r="L148" s="60" t="str">
        <f aca="false">IF(OR(B148="",K148=0),"",(K148+$G148-((K148+$G148)*(Settings!$C$10+Settings!$C$11+IF(Settings!$C$15="Yes / Sí",Settings!$C$14,0))+(Settings!$C$12+Settings!$C$13))-$I148))</f>
        <v/>
      </c>
      <c r="M148" s="57"/>
      <c r="N148" s="60" t="str">
        <f aca="false">IF(OR(B148="",M148=""),"",((M148+$G148)*(Settings!$C$10+Settings!$C$11+IF(Settings!$C$15="Yes / Sí",Settings!$C$14,0))+(Settings!$C$12+Settings!$C$13)))</f>
        <v/>
      </c>
      <c r="O148" s="60" t="str">
        <f aca="false">IF(OR(B148="",M148=""),"",(M148+$G148-((M148+$G148)*(Settings!$C$10+Settings!$C$11+IF(Settings!$C$15="Yes / Sí",Settings!$C$14,0))+(Settings!$C$12+Settings!$C$13))-$I148))</f>
        <v/>
      </c>
      <c r="P148" s="61" t="str">
        <f aca="false">IF(O148="","",IF(M148=0,0,O148/M148))</f>
        <v/>
      </c>
      <c r="Q148" s="60" t="str">
        <f aca="false">IF(OR(O148="",D148="",D148=0),"",(O148+D148/60*Settings!$C$7)/(D148/60))</f>
        <v/>
      </c>
      <c r="R148" s="62" t="str">
        <f aca="false">IF(B148="","",IF(M148="","Enter your price / Escribe tu precio",IF(O148&lt;0,"⚠ LOSING MONEY / PIERDES",IF(P148&lt;IF(H148="",Settings!$C$9,H148),"● BELOW TARGET / DEBAJO","✔ ON TARGET / EN OBJETIVO"))))</f>
        <v/>
      </c>
      <c r="T148" s="55" t="n">
        <f aca="false">IF(B148="",0,IF(M148="",0,1))</f>
        <v>0</v>
      </c>
      <c r="U148" s="55" t="n">
        <f aca="false">IF(T148=1,P148,0)</f>
        <v>0</v>
      </c>
      <c r="V148" s="55" t="n">
        <f aca="false">IF(T148=1,IF(O148&lt;0,0,IF(P148&lt;IF(H148="",Settings!$C$9,H148),1,0)),0)</f>
        <v>0</v>
      </c>
      <c r="W148" s="55" t="n">
        <f aca="false">IF(T148=1,IF(O148&lt;0,1,0),0)</f>
        <v>0</v>
      </c>
      <c r="X148" s="55" t="n">
        <f aca="false">IF(T148=1,M148,0)</f>
        <v>0</v>
      </c>
      <c r="Y148" s="55" t="n">
        <f aca="false">IF(T148=1,O148,0)</f>
        <v>0</v>
      </c>
      <c r="Z148" s="55" t="n">
        <f aca="false">IF(B148="",0,1)</f>
        <v>0</v>
      </c>
    </row>
    <row r="149" customFormat="false" ht="15" hidden="false" customHeight="false" outlineLevel="0" collapsed="false">
      <c r="B149" s="56"/>
      <c r="C149" s="57"/>
      <c r="D149" s="58"/>
      <c r="E149" s="57"/>
      <c r="F149" s="57"/>
      <c r="G149" s="57"/>
      <c r="H149" s="59"/>
      <c r="I149" s="60" t="str">
        <f aca="false">IF(B149="","",C149+IF(D149="",0,D149/60*Settings!$C$7)+E149+F149+Settings!$C$8)</f>
        <v/>
      </c>
      <c r="J149" s="60" t="str">
        <f aca="false">IF(B149="","",MAX(0,($I149+(Settings!$C$12+Settings!$C$13)-$G149*(1-(Settings!$C$10+Settings!$C$11+IF(Settings!$C$15="Yes / Sí",Settings!$C$14,0))))/(1-(Settings!$C$10+Settings!$C$11+IF(Settings!$C$15="Yes / Sí",Settings!$C$14,0)))))</f>
        <v/>
      </c>
      <c r="K149" s="60" t="str">
        <f aca="false">IF(B149="","",IF(1-(Settings!$C$10+Settings!$C$11+IF(Settings!$C$15="Yes / Sí",Settings!$C$14,0))-IF(H149="",Settings!$C$9,H149)&lt;=0,0,MAX(0,IF(Settings!$C$16="Yes / Sí",IF(ROUNDUP(($I149+(Settings!$C$12+Settings!$C$13)-$G149*(1-(Settings!$C$10+Settings!$C$11+IF(Settings!$C$15="Yes / Sí",Settings!$C$14,0))))/(1-(Settings!$C$10+Settings!$C$11+IF(Settings!$C$15="Yes / Sí",Settings!$C$14,0))-IF(H149="",Settings!$C$9,H149)),0)-0.01&gt;=($I149+(Settings!$C$12+Settings!$C$13)-$G149*(1-(Settings!$C$10+Settings!$C$11+IF(Settings!$C$15="Yes / Sí",Settings!$C$14,0))))/(1-(Settings!$C$10+Settings!$C$11+IF(Settings!$C$15="Yes / Sí",Settings!$C$14,0))-IF(H149="",Settings!$C$9,H149)),ROUNDUP(($I149+(Settings!$C$12+Settings!$C$13)-$G149*(1-(Settings!$C$10+Settings!$C$11+IF(Settings!$C$15="Yes / Sí",Settings!$C$14,0))))/(1-(Settings!$C$10+Settings!$C$11+IF(Settings!$C$15="Yes / Sí",Settings!$C$14,0))-IF(H149="",Settings!$C$9,H149)),0)-0.01,ROUNDUP(($I149+(Settings!$C$12+Settings!$C$13)-$G149*(1-(Settings!$C$10+Settings!$C$11+IF(Settings!$C$15="Yes / Sí",Settings!$C$14,0))))/(1-(Settings!$C$10+Settings!$C$11+IF(Settings!$C$15="Yes / Sí",Settings!$C$14,0))-IF(H149="",Settings!$C$9,H149)),0)+0.99),ROUNDUP(($I149+(Settings!$C$12+Settings!$C$13)-$G149*(1-(Settings!$C$10+Settings!$C$11+IF(Settings!$C$15="Yes / Sí",Settings!$C$14,0))))/(1-(Settings!$C$10+Settings!$C$11+IF(Settings!$C$15="Yes / Sí",Settings!$C$14,0))-IF(H149="",Settings!$C$9,H149)),2)))))</f>
        <v/>
      </c>
      <c r="L149" s="60" t="str">
        <f aca="false">IF(OR(B149="",K149=0),"",(K149+$G149-((K149+$G149)*(Settings!$C$10+Settings!$C$11+IF(Settings!$C$15="Yes / Sí",Settings!$C$14,0))+(Settings!$C$12+Settings!$C$13))-$I149))</f>
        <v/>
      </c>
      <c r="M149" s="57"/>
      <c r="N149" s="60" t="str">
        <f aca="false">IF(OR(B149="",M149=""),"",((M149+$G149)*(Settings!$C$10+Settings!$C$11+IF(Settings!$C$15="Yes / Sí",Settings!$C$14,0))+(Settings!$C$12+Settings!$C$13)))</f>
        <v/>
      </c>
      <c r="O149" s="60" t="str">
        <f aca="false">IF(OR(B149="",M149=""),"",(M149+$G149-((M149+$G149)*(Settings!$C$10+Settings!$C$11+IF(Settings!$C$15="Yes / Sí",Settings!$C$14,0))+(Settings!$C$12+Settings!$C$13))-$I149))</f>
        <v/>
      </c>
      <c r="P149" s="61" t="str">
        <f aca="false">IF(O149="","",IF(M149=0,0,O149/M149))</f>
        <v/>
      </c>
      <c r="Q149" s="60" t="str">
        <f aca="false">IF(OR(O149="",D149="",D149=0),"",(O149+D149/60*Settings!$C$7)/(D149/60))</f>
        <v/>
      </c>
      <c r="R149" s="62" t="str">
        <f aca="false">IF(B149="","",IF(M149="","Enter your price / Escribe tu precio",IF(O149&lt;0,"⚠ LOSING MONEY / PIERDES",IF(P149&lt;IF(H149="",Settings!$C$9,H149),"● BELOW TARGET / DEBAJO","✔ ON TARGET / EN OBJETIVO"))))</f>
        <v/>
      </c>
      <c r="T149" s="55" t="n">
        <f aca="false">IF(B149="",0,IF(M149="",0,1))</f>
        <v>0</v>
      </c>
      <c r="U149" s="55" t="n">
        <f aca="false">IF(T149=1,P149,0)</f>
        <v>0</v>
      </c>
      <c r="V149" s="55" t="n">
        <f aca="false">IF(T149=1,IF(O149&lt;0,0,IF(P149&lt;IF(H149="",Settings!$C$9,H149),1,0)),0)</f>
        <v>0</v>
      </c>
      <c r="W149" s="55" t="n">
        <f aca="false">IF(T149=1,IF(O149&lt;0,1,0),0)</f>
        <v>0</v>
      </c>
      <c r="X149" s="55" t="n">
        <f aca="false">IF(T149=1,M149,0)</f>
        <v>0</v>
      </c>
      <c r="Y149" s="55" t="n">
        <f aca="false">IF(T149=1,O149,0)</f>
        <v>0</v>
      </c>
      <c r="Z149" s="55" t="n">
        <f aca="false">IF(B149="",0,1)</f>
        <v>0</v>
      </c>
    </row>
    <row r="150" customFormat="false" ht="15" hidden="false" customHeight="false" outlineLevel="0" collapsed="false">
      <c r="B150" s="56"/>
      <c r="C150" s="57"/>
      <c r="D150" s="58"/>
      <c r="E150" s="57"/>
      <c r="F150" s="57"/>
      <c r="G150" s="57"/>
      <c r="H150" s="59"/>
      <c r="I150" s="60" t="str">
        <f aca="false">IF(B150="","",C150+IF(D150="",0,D150/60*Settings!$C$7)+E150+F150+Settings!$C$8)</f>
        <v/>
      </c>
      <c r="J150" s="60" t="str">
        <f aca="false">IF(B150="","",MAX(0,($I150+(Settings!$C$12+Settings!$C$13)-$G150*(1-(Settings!$C$10+Settings!$C$11+IF(Settings!$C$15="Yes / Sí",Settings!$C$14,0))))/(1-(Settings!$C$10+Settings!$C$11+IF(Settings!$C$15="Yes / Sí",Settings!$C$14,0)))))</f>
        <v/>
      </c>
      <c r="K150" s="60" t="str">
        <f aca="false">IF(B150="","",IF(1-(Settings!$C$10+Settings!$C$11+IF(Settings!$C$15="Yes / Sí",Settings!$C$14,0))-IF(H150="",Settings!$C$9,H150)&lt;=0,0,MAX(0,IF(Settings!$C$16="Yes / Sí",IF(ROUNDUP(($I150+(Settings!$C$12+Settings!$C$13)-$G150*(1-(Settings!$C$10+Settings!$C$11+IF(Settings!$C$15="Yes / Sí",Settings!$C$14,0))))/(1-(Settings!$C$10+Settings!$C$11+IF(Settings!$C$15="Yes / Sí",Settings!$C$14,0))-IF(H150="",Settings!$C$9,H150)),0)-0.01&gt;=($I150+(Settings!$C$12+Settings!$C$13)-$G150*(1-(Settings!$C$10+Settings!$C$11+IF(Settings!$C$15="Yes / Sí",Settings!$C$14,0))))/(1-(Settings!$C$10+Settings!$C$11+IF(Settings!$C$15="Yes / Sí",Settings!$C$14,0))-IF(H150="",Settings!$C$9,H150)),ROUNDUP(($I150+(Settings!$C$12+Settings!$C$13)-$G150*(1-(Settings!$C$10+Settings!$C$11+IF(Settings!$C$15="Yes / Sí",Settings!$C$14,0))))/(1-(Settings!$C$10+Settings!$C$11+IF(Settings!$C$15="Yes / Sí",Settings!$C$14,0))-IF(H150="",Settings!$C$9,H150)),0)-0.01,ROUNDUP(($I150+(Settings!$C$12+Settings!$C$13)-$G150*(1-(Settings!$C$10+Settings!$C$11+IF(Settings!$C$15="Yes / Sí",Settings!$C$14,0))))/(1-(Settings!$C$10+Settings!$C$11+IF(Settings!$C$15="Yes / Sí",Settings!$C$14,0))-IF(H150="",Settings!$C$9,H150)),0)+0.99),ROUNDUP(($I150+(Settings!$C$12+Settings!$C$13)-$G150*(1-(Settings!$C$10+Settings!$C$11+IF(Settings!$C$15="Yes / Sí",Settings!$C$14,0))))/(1-(Settings!$C$10+Settings!$C$11+IF(Settings!$C$15="Yes / Sí",Settings!$C$14,0))-IF(H150="",Settings!$C$9,H150)),2)))))</f>
        <v/>
      </c>
      <c r="L150" s="60" t="str">
        <f aca="false">IF(OR(B150="",K150=0),"",(K150+$G150-((K150+$G150)*(Settings!$C$10+Settings!$C$11+IF(Settings!$C$15="Yes / Sí",Settings!$C$14,0))+(Settings!$C$12+Settings!$C$13))-$I150))</f>
        <v/>
      </c>
      <c r="M150" s="57"/>
      <c r="N150" s="60" t="str">
        <f aca="false">IF(OR(B150="",M150=""),"",((M150+$G150)*(Settings!$C$10+Settings!$C$11+IF(Settings!$C$15="Yes / Sí",Settings!$C$14,0))+(Settings!$C$12+Settings!$C$13)))</f>
        <v/>
      </c>
      <c r="O150" s="60" t="str">
        <f aca="false">IF(OR(B150="",M150=""),"",(M150+$G150-((M150+$G150)*(Settings!$C$10+Settings!$C$11+IF(Settings!$C$15="Yes / Sí",Settings!$C$14,0))+(Settings!$C$12+Settings!$C$13))-$I150))</f>
        <v/>
      </c>
      <c r="P150" s="61" t="str">
        <f aca="false">IF(O150="","",IF(M150=0,0,O150/M150))</f>
        <v/>
      </c>
      <c r="Q150" s="60" t="str">
        <f aca="false">IF(OR(O150="",D150="",D150=0),"",(O150+D150/60*Settings!$C$7)/(D150/60))</f>
        <v/>
      </c>
      <c r="R150" s="62" t="str">
        <f aca="false">IF(B150="","",IF(M150="","Enter your price / Escribe tu precio",IF(O150&lt;0,"⚠ LOSING MONEY / PIERDES",IF(P150&lt;IF(H150="",Settings!$C$9,H150),"● BELOW TARGET / DEBAJO","✔ ON TARGET / EN OBJETIVO"))))</f>
        <v/>
      </c>
      <c r="T150" s="55" t="n">
        <f aca="false">IF(B150="",0,IF(M150="",0,1))</f>
        <v>0</v>
      </c>
      <c r="U150" s="55" t="n">
        <f aca="false">IF(T150=1,P150,0)</f>
        <v>0</v>
      </c>
      <c r="V150" s="55" t="n">
        <f aca="false">IF(T150=1,IF(O150&lt;0,0,IF(P150&lt;IF(H150="",Settings!$C$9,H150),1,0)),0)</f>
        <v>0</v>
      </c>
      <c r="W150" s="55" t="n">
        <f aca="false">IF(T150=1,IF(O150&lt;0,1,0),0)</f>
        <v>0</v>
      </c>
      <c r="X150" s="55" t="n">
        <f aca="false">IF(T150=1,M150,0)</f>
        <v>0</v>
      </c>
      <c r="Y150" s="55" t="n">
        <f aca="false">IF(T150=1,O150,0)</f>
        <v>0</v>
      </c>
      <c r="Z150" s="55" t="n">
        <f aca="false">IF(B150="",0,1)</f>
        <v>0</v>
      </c>
    </row>
    <row r="151" customFormat="false" ht="15" hidden="false" customHeight="false" outlineLevel="0" collapsed="false">
      <c r="B151" s="56"/>
      <c r="C151" s="57"/>
      <c r="D151" s="58"/>
      <c r="E151" s="57"/>
      <c r="F151" s="57"/>
      <c r="G151" s="57"/>
      <c r="H151" s="59"/>
      <c r="I151" s="60" t="str">
        <f aca="false">IF(B151="","",C151+IF(D151="",0,D151/60*Settings!$C$7)+E151+F151+Settings!$C$8)</f>
        <v/>
      </c>
      <c r="J151" s="60" t="str">
        <f aca="false">IF(B151="","",MAX(0,($I151+(Settings!$C$12+Settings!$C$13)-$G151*(1-(Settings!$C$10+Settings!$C$11+IF(Settings!$C$15="Yes / Sí",Settings!$C$14,0))))/(1-(Settings!$C$10+Settings!$C$11+IF(Settings!$C$15="Yes / Sí",Settings!$C$14,0)))))</f>
        <v/>
      </c>
      <c r="K151" s="60" t="str">
        <f aca="false">IF(B151="","",IF(1-(Settings!$C$10+Settings!$C$11+IF(Settings!$C$15="Yes / Sí",Settings!$C$14,0))-IF(H151="",Settings!$C$9,H151)&lt;=0,0,MAX(0,IF(Settings!$C$16="Yes / Sí",IF(ROUNDUP(($I151+(Settings!$C$12+Settings!$C$13)-$G151*(1-(Settings!$C$10+Settings!$C$11+IF(Settings!$C$15="Yes / Sí",Settings!$C$14,0))))/(1-(Settings!$C$10+Settings!$C$11+IF(Settings!$C$15="Yes / Sí",Settings!$C$14,0))-IF(H151="",Settings!$C$9,H151)),0)-0.01&gt;=($I151+(Settings!$C$12+Settings!$C$13)-$G151*(1-(Settings!$C$10+Settings!$C$11+IF(Settings!$C$15="Yes / Sí",Settings!$C$14,0))))/(1-(Settings!$C$10+Settings!$C$11+IF(Settings!$C$15="Yes / Sí",Settings!$C$14,0))-IF(H151="",Settings!$C$9,H151)),ROUNDUP(($I151+(Settings!$C$12+Settings!$C$13)-$G151*(1-(Settings!$C$10+Settings!$C$11+IF(Settings!$C$15="Yes / Sí",Settings!$C$14,0))))/(1-(Settings!$C$10+Settings!$C$11+IF(Settings!$C$15="Yes / Sí",Settings!$C$14,0))-IF(H151="",Settings!$C$9,H151)),0)-0.01,ROUNDUP(($I151+(Settings!$C$12+Settings!$C$13)-$G151*(1-(Settings!$C$10+Settings!$C$11+IF(Settings!$C$15="Yes / Sí",Settings!$C$14,0))))/(1-(Settings!$C$10+Settings!$C$11+IF(Settings!$C$15="Yes / Sí",Settings!$C$14,0))-IF(H151="",Settings!$C$9,H151)),0)+0.99),ROUNDUP(($I151+(Settings!$C$12+Settings!$C$13)-$G151*(1-(Settings!$C$10+Settings!$C$11+IF(Settings!$C$15="Yes / Sí",Settings!$C$14,0))))/(1-(Settings!$C$10+Settings!$C$11+IF(Settings!$C$15="Yes / Sí",Settings!$C$14,0))-IF(H151="",Settings!$C$9,H151)),2)))))</f>
        <v/>
      </c>
      <c r="L151" s="60" t="str">
        <f aca="false">IF(OR(B151="",K151=0),"",(K151+$G151-((K151+$G151)*(Settings!$C$10+Settings!$C$11+IF(Settings!$C$15="Yes / Sí",Settings!$C$14,0))+(Settings!$C$12+Settings!$C$13))-$I151))</f>
        <v/>
      </c>
      <c r="M151" s="57"/>
      <c r="N151" s="60" t="str">
        <f aca="false">IF(OR(B151="",M151=""),"",((M151+$G151)*(Settings!$C$10+Settings!$C$11+IF(Settings!$C$15="Yes / Sí",Settings!$C$14,0))+(Settings!$C$12+Settings!$C$13)))</f>
        <v/>
      </c>
      <c r="O151" s="60" t="str">
        <f aca="false">IF(OR(B151="",M151=""),"",(M151+$G151-((M151+$G151)*(Settings!$C$10+Settings!$C$11+IF(Settings!$C$15="Yes / Sí",Settings!$C$14,0))+(Settings!$C$12+Settings!$C$13))-$I151))</f>
        <v/>
      </c>
      <c r="P151" s="61" t="str">
        <f aca="false">IF(O151="","",IF(M151=0,0,O151/M151))</f>
        <v/>
      </c>
      <c r="Q151" s="60" t="str">
        <f aca="false">IF(OR(O151="",D151="",D151=0),"",(O151+D151/60*Settings!$C$7)/(D151/60))</f>
        <v/>
      </c>
      <c r="R151" s="62" t="str">
        <f aca="false">IF(B151="","",IF(M151="","Enter your price / Escribe tu precio",IF(O151&lt;0,"⚠ LOSING MONEY / PIERDES",IF(P151&lt;IF(H151="",Settings!$C$9,H151),"● BELOW TARGET / DEBAJO","✔ ON TARGET / EN OBJETIVO"))))</f>
        <v/>
      </c>
      <c r="T151" s="55" t="n">
        <f aca="false">IF(B151="",0,IF(M151="",0,1))</f>
        <v>0</v>
      </c>
      <c r="U151" s="55" t="n">
        <f aca="false">IF(T151=1,P151,0)</f>
        <v>0</v>
      </c>
      <c r="V151" s="55" t="n">
        <f aca="false">IF(T151=1,IF(O151&lt;0,0,IF(P151&lt;IF(H151="",Settings!$C$9,H151),1,0)),0)</f>
        <v>0</v>
      </c>
      <c r="W151" s="55" t="n">
        <f aca="false">IF(T151=1,IF(O151&lt;0,1,0),0)</f>
        <v>0</v>
      </c>
      <c r="X151" s="55" t="n">
        <f aca="false">IF(T151=1,M151,0)</f>
        <v>0</v>
      </c>
      <c r="Y151" s="55" t="n">
        <f aca="false">IF(T151=1,O151,0)</f>
        <v>0</v>
      </c>
      <c r="Z151" s="55" t="n">
        <f aca="false">IF(B151="",0,1)</f>
        <v>0</v>
      </c>
    </row>
    <row r="152" customFormat="false" ht="15" hidden="false" customHeight="false" outlineLevel="0" collapsed="false">
      <c r="B152" s="56"/>
      <c r="C152" s="57"/>
      <c r="D152" s="58"/>
      <c r="E152" s="57"/>
      <c r="F152" s="57"/>
      <c r="G152" s="57"/>
      <c r="H152" s="59"/>
      <c r="I152" s="60" t="str">
        <f aca="false">IF(B152="","",C152+IF(D152="",0,D152/60*Settings!$C$7)+E152+F152+Settings!$C$8)</f>
        <v/>
      </c>
      <c r="J152" s="60" t="str">
        <f aca="false">IF(B152="","",MAX(0,($I152+(Settings!$C$12+Settings!$C$13)-$G152*(1-(Settings!$C$10+Settings!$C$11+IF(Settings!$C$15="Yes / Sí",Settings!$C$14,0))))/(1-(Settings!$C$10+Settings!$C$11+IF(Settings!$C$15="Yes / Sí",Settings!$C$14,0)))))</f>
        <v/>
      </c>
      <c r="K152" s="60" t="str">
        <f aca="false">IF(B152="","",IF(1-(Settings!$C$10+Settings!$C$11+IF(Settings!$C$15="Yes / Sí",Settings!$C$14,0))-IF(H152="",Settings!$C$9,H152)&lt;=0,0,MAX(0,IF(Settings!$C$16="Yes / Sí",IF(ROUNDUP(($I152+(Settings!$C$12+Settings!$C$13)-$G152*(1-(Settings!$C$10+Settings!$C$11+IF(Settings!$C$15="Yes / Sí",Settings!$C$14,0))))/(1-(Settings!$C$10+Settings!$C$11+IF(Settings!$C$15="Yes / Sí",Settings!$C$14,0))-IF(H152="",Settings!$C$9,H152)),0)-0.01&gt;=($I152+(Settings!$C$12+Settings!$C$13)-$G152*(1-(Settings!$C$10+Settings!$C$11+IF(Settings!$C$15="Yes / Sí",Settings!$C$14,0))))/(1-(Settings!$C$10+Settings!$C$11+IF(Settings!$C$15="Yes / Sí",Settings!$C$14,0))-IF(H152="",Settings!$C$9,H152)),ROUNDUP(($I152+(Settings!$C$12+Settings!$C$13)-$G152*(1-(Settings!$C$10+Settings!$C$11+IF(Settings!$C$15="Yes / Sí",Settings!$C$14,0))))/(1-(Settings!$C$10+Settings!$C$11+IF(Settings!$C$15="Yes / Sí",Settings!$C$14,0))-IF(H152="",Settings!$C$9,H152)),0)-0.01,ROUNDUP(($I152+(Settings!$C$12+Settings!$C$13)-$G152*(1-(Settings!$C$10+Settings!$C$11+IF(Settings!$C$15="Yes / Sí",Settings!$C$14,0))))/(1-(Settings!$C$10+Settings!$C$11+IF(Settings!$C$15="Yes / Sí",Settings!$C$14,0))-IF(H152="",Settings!$C$9,H152)),0)+0.99),ROUNDUP(($I152+(Settings!$C$12+Settings!$C$13)-$G152*(1-(Settings!$C$10+Settings!$C$11+IF(Settings!$C$15="Yes / Sí",Settings!$C$14,0))))/(1-(Settings!$C$10+Settings!$C$11+IF(Settings!$C$15="Yes / Sí",Settings!$C$14,0))-IF(H152="",Settings!$C$9,H152)),2)))))</f>
        <v/>
      </c>
      <c r="L152" s="60" t="str">
        <f aca="false">IF(OR(B152="",K152=0),"",(K152+$G152-((K152+$G152)*(Settings!$C$10+Settings!$C$11+IF(Settings!$C$15="Yes / Sí",Settings!$C$14,0))+(Settings!$C$12+Settings!$C$13))-$I152))</f>
        <v/>
      </c>
      <c r="M152" s="57"/>
      <c r="N152" s="60" t="str">
        <f aca="false">IF(OR(B152="",M152=""),"",((M152+$G152)*(Settings!$C$10+Settings!$C$11+IF(Settings!$C$15="Yes / Sí",Settings!$C$14,0))+(Settings!$C$12+Settings!$C$13)))</f>
        <v/>
      </c>
      <c r="O152" s="60" t="str">
        <f aca="false">IF(OR(B152="",M152=""),"",(M152+$G152-((M152+$G152)*(Settings!$C$10+Settings!$C$11+IF(Settings!$C$15="Yes / Sí",Settings!$C$14,0))+(Settings!$C$12+Settings!$C$13))-$I152))</f>
        <v/>
      </c>
      <c r="P152" s="61" t="str">
        <f aca="false">IF(O152="","",IF(M152=0,0,O152/M152))</f>
        <v/>
      </c>
      <c r="Q152" s="60" t="str">
        <f aca="false">IF(OR(O152="",D152="",D152=0),"",(O152+D152/60*Settings!$C$7)/(D152/60))</f>
        <v/>
      </c>
      <c r="R152" s="62" t="str">
        <f aca="false">IF(B152="","",IF(M152="","Enter your price / Escribe tu precio",IF(O152&lt;0,"⚠ LOSING MONEY / PIERDES",IF(P152&lt;IF(H152="",Settings!$C$9,H152),"● BELOW TARGET / DEBAJO","✔ ON TARGET / EN OBJETIVO"))))</f>
        <v/>
      </c>
      <c r="T152" s="55" t="n">
        <f aca="false">IF(B152="",0,IF(M152="",0,1))</f>
        <v>0</v>
      </c>
      <c r="U152" s="55" t="n">
        <f aca="false">IF(T152=1,P152,0)</f>
        <v>0</v>
      </c>
      <c r="V152" s="55" t="n">
        <f aca="false">IF(T152=1,IF(O152&lt;0,0,IF(P152&lt;IF(H152="",Settings!$C$9,H152),1,0)),0)</f>
        <v>0</v>
      </c>
      <c r="W152" s="55" t="n">
        <f aca="false">IF(T152=1,IF(O152&lt;0,1,0),0)</f>
        <v>0</v>
      </c>
      <c r="X152" s="55" t="n">
        <f aca="false">IF(T152=1,M152,0)</f>
        <v>0</v>
      </c>
      <c r="Y152" s="55" t="n">
        <f aca="false">IF(T152=1,O152,0)</f>
        <v>0</v>
      </c>
      <c r="Z152" s="55" t="n">
        <f aca="false">IF(B152="",0,1)</f>
        <v>0</v>
      </c>
    </row>
    <row r="153" customFormat="false" ht="15" hidden="false" customHeight="false" outlineLevel="0" collapsed="false">
      <c r="B153" s="56"/>
      <c r="C153" s="57"/>
      <c r="D153" s="58"/>
      <c r="E153" s="57"/>
      <c r="F153" s="57"/>
      <c r="G153" s="57"/>
      <c r="H153" s="59"/>
      <c r="I153" s="60" t="str">
        <f aca="false">IF(B153="","",C153+IF(D153="",0,D153/60*Settings!$C$7)+E153+F153+Settings!$C$8)</f>
        <v/>
      </c>
      <c r="J153" s="60" t="str">
        <f aca="false">IF(B153="","",MAX(0,($I153+(Settings!$C$12+Settings!$C$13)-$G153*(1-(Settings!$C$10+Settings!$C$11+IF(Settings!$C$15="Yes / Sí",Settings!$C$14,0))))/(1-(Settings!$C$10+Settings!$C$11+IF(Settings!$C$15="Yes / Sí",Settings!$C$14,0)))))</f>
        <v/>
      </c>
      <c r="K153" s="60" t="str">
        <f aca="false">IF(B153="","",IF(1-(Settings!$C$10+Settings!$C$11+IF(Settings!$C$15="Yes / Sí",Settings!$C$14,0))-IF(H153="",Settings!$C$9,H153)&lt;=0,0,MAX(0,IF(Settings!$C$16="Yes / Sí",IF(ROUNDUP(($I153+(Settings!$C$12+Settings!$C$13)-$G153*(1-(Settings!$C$10+Settings!$C$11+IF(Settings!$C$15="Yes / Sí",Settings!$C$14,0))))/(1-(Settings!$C$10+Settings!$C$11+IF(Settings!$C$15="Yes / Sí",Settings!$C$14,0))-IF(H153="",Settings!$C$9,H153)),0)-0.01&gt;=($I153+(Settings!$C$12+Settings!$C$13)-$G153*(1-(Settings!$C$10+Settings!$C$11+IF(Settings!$C$15="Yes / Sí",Settings!$C$14,0))))/(1-(Settings!$C$10+Settings!$C$11+IF(Settings!$C$15="Yes / Sí",Settings!$C$14,0))-IF(H153="",Settings!$C$9,H153)),ROUNDUP(($I153+(Settings!$C$12+Settings!$C$13)-$G153*(1-(Settings!$C$10+Settings!$C$11+IF(Settings!$C$15="Yes / Sí",Settings!$C$14,0))))/(1-(Settings!$C$10+Settings!$C$11+IF(Settings!$C$15="Yes / Sí",Settings!$C$14,0))-IF(H153="",Settings!$C$9,H153)),0)-0.01,ROUNDUP(($I153+(Settings!$C$12+Settings!$C$13)-$G153*(1-(Settings!$C$10+Settings!$C$11+IF(Settings!$C$15="Yes / Sí",Settings!$C$14,0))))/(1-(Settings!$C$10+Settings!$C$11+IF(Settings!$C$15="Yes / Sí",Settings!$C$14,0))-IF(H153="",Settings!$C$9,H153)),0)+0.99),ROUNDUP(($I153+(Settings!$C$12+Settings!$C$13)-$G153*(1-(Settings!$C$10+Settings!$C$11+IF(Settings!$C$15="Yes / Sí",Settings!$C$14,0))))/(1-(Settings!$C$10+Settings!$C$11+IF(Settings!$C$15="Yes / Sí",Settings!$C$14,0))-IF(H153="",Settings!$C$9,H153)),2)))))</f>
        <v/>
      </c>
      <c r="L153" s="60" t="str">
        <f aca="false">IF(OR(B153="",K153=0),"",(K153+$G153-((K153+$G153)*(Settings!$C$10+Settings!$C$11+IF(Settings!$C$15="Yes / Sí",Settings!$C$14,0))+(Settings!$C$12+Settings!$C$13))-$I153))</f>
        <v/>
      </c>
      <c r="M153" s="57"/>
      <c r="N153" s="60" t="str">
        <f aca="false">IF(OR(B153="",M153=""),"",((M153+$G153)*(Settings!$C$10+Settings!$C$11+IF(Settings!$C$15="Yes / Sí",Settings!$C$14,0))+(Settings!$C$12+Settings!$C$13)))</f>
        <v/>
      </c>
      <c r="O153" s="60" t="str">
        <f aca="false">IF(OR(B153="",M153=""),"",(M153+$G153-((M153+$G153)*(Settings!$C$10+Settings!$C$11+IF(Settings!$C$15="Yes / Sí",Settings!$C$14,0))+(Settings!$C$12+Settings!$C$13))-$I153))</f>
        <v/>
      </c>
      <c r="P153" s="61" t="str">
        <f aca="false">IF(O153="","",IF(M153=0,0,O153/M153))</f>
        <v/>
      </c>
      <c r="Q153" s="60" t="str">
        <f aca="false">IF(OR(O153="",D153="",D153=0),"",(O153+D153/60*Settings!$C$7)/(D153/60))</f>
        <v/>
      </c>
      <c r="R153" s="62" t="str">
        <f aca="false">IF(B153="","",IF(M153="","Enter your price / Escribe tu precio",IF(O153&lt;0,"⚠ LOSING MONEY / PIERDES",IF(P153&lt;IF(H153="",Settings!$C$9,H153),"● BELOW TARGET / DEBAJO","✔ ON TARGET / EN OBJETIVO"))))</f>
        <v/>
      </c>
      <c r="T153" s="55" t="n">
        <f aca="false">IF(B153="",0,IF(M153="",0,1))</f>
        <v>0</v>
      </c>
      <c r="U153" s="55" t="n">
        <f aca="false">IF(T153=1,P153,0)</f>
        <v>0</v>
      </c>
      <c r="V153" s="55" t="n">
        <f aca="false">IF(T153=1,IF(O153&lt;0,0,IF(P153&lt;IF(H153="",Settings!$C$9,H153),1,0)),0)</f>
        <v>0</v>
      </c>
      <c r="W153" s="55" t="n">
        <f aca="false">IF(T153=1,IF(O153&lt;0,1,0),0)</f>
        <v>0</v>
      </c>
      <c r="X153" s="55" t="n">
        <f aca="false">IF(T153=1,M153,0)</f>
        <v>0</v>
      </c>
      <c r="Y153" s="55" t="n">
        <f aca="false">IF(T153=1,O153,0)</f>
        <v>0</v>
      </c>
      <c r="Z153" s="55" t="n">
        <f aca="false">IF(B153="",0,1)</f>
        <v>0</v>
      </c>
    </row>
    <row r="154" customFormat="false" ht="15" hidden="false" customHeight="false" outlineLevel="0" collapsed="false">
      <c r="B154" s="56"/>
      <c r="C154" s="57"/>
      <c r="D154" s="58"/>
      <c r="E154" s="57"/>
      <c r="F154" s="57"/>
      <c r="G154" s="57"/>
      <c r="H154" s="59"/>
      <c r="I154" s="60" t="str">
        <f aca="false">IF(B154="","",C154+IF(D154="",0,D154/60*Settings!$C$7)+E154+F154+Settings!$C$8)</f>
        <v/>
      </c>
      <c r="J154" s="60" t="str">
        <f aca="false">IF(B154="","",MAX(0,($I154+(Settings!$C$12+Settings!$C$13)-$G154*(1-(Settings!$C$10+Settings!$C$11+IF(Settings!$C$15="Yes / Sí",Settings!$C$14,0))))/(1-(Settings!$C$10+Settings!$C$11+IF(Settings!$C$15="Yes / Sí",Settings!$C$14,0)))))</f>
        <v/>
      </c>
      <c r="K154" s="60" t="str">
        <f aca="false">IF(B154="","",IF(1-(Settings!$C$10+Settings!$C$11+IF(Settings!$C$15="Yes / Sí",Settings!$C$14,0))-IF(H154="",Settings!$C$9,H154)&lt;=0,0,MAX(0,IF(Settings!$C$16="Yes / Sí",IF(ROUNDUP(($I154+(Settings!$C$12+Settings!$C$13)-$G154*(1-(Settings!$C$10+Settings!$C$11+IF(Settings!$C$15="Yes / Sí",Settings!$C$14,0))))/(1-(Settings!$C$10+Settings!$C$11+IF(Settings!$C$15="Yes / Sí",Settings!$C$14,0))-IF(H154="",Settings!$C$9,H154)),0)-0.01&gt;=($I154+(Settings!$C$12+Settings!$C$13)-$G154*(1-(Settings!$C$10+Settings!$C$11+IF(Settings!$C$15="Yes / Sí",Settings!$C$14,0))))/(1-(Settings!$C$10+Settings!$C$11+IF(Settings!$C$15="Yes / Sí",Settings!$C$14,0))-IF(H154="",Settings!$C$9,H154)),ROUNDUP(($I154+(Settings!$C$12+Settings!$C$13)-$G154*(1-(Settings!$C$10+Settings!$C$11+IF(Settings!$C$15="Yes / Sí",Settings!$C$14,0))))/(1-(Settings!$C$10+Settings!$C$11+IF(Settings!$C$15="Yes / Sí",Settings!$C$14,0))-IF(H154="",Settings!$C$9,H154)),0)-0.01,ROUNDUP(($I154+(Settings!$C$12+Settings!$C$13)-$G154*(1-(Settings!$C$10+Settings!$C$11+IF(Settings!$C$15="Yes / Sí",Settings!$C$14,0))))/(1-(Settings!$C$10+Settings!$C$11+IF(Settings!$C$15="Yes / Sí",Settings!$C$14,0))-IF(H154="",Settings!$C$9,H154)),0)+0.99),ROUNDUP(($I154+(Settings!$C$12+Settings!$C$13)-$G154*(1-(Settings!$C$10+Settings!$C$11+IF(Settings!$C$15="Yes / Sí",Settings!$C$14,0))))/(1-(Settings!$C$10+Settings!$C$11+IF(Settings!$C$15="Yes / Sí",Settings!$C$14,0))-IF(H154="",Settings!$C$9,H154)),2)))))</f>
        <v/>
      </c>
      <c r="L154" s="60" t="str">
        <f aca="false">IF(OR(B154="",K154=0),"",(K154+$G154-((K154+$G154)*(Settings!$C$10+Settings!$C$11+IF(Settings!$C$15="Yes / Sí",Settings!$C$14,0))+(Settings!$C$12+Settings!$C$13))-$I154))</f>
        <v/>
      </c>
      <c r="M154" s="57"/>
      <c r="N154" s="60" t="str">
        <f aca="false">IF(OR(B154="",M154=""),"",((M154+$G154)*(Settings!$C$10+Settings!$C$11+IF(Settings!$C$15="Yes / Sí",Settings!$C$14,0))+(Settings!$C$12+Settings!$C$13)))</f>
        <v/>
      </c>
      <c r="O154" s="60" t="str">
        <f aca="false">IF(OR(B154="",M154=""),"",(M154+$G154-((M154+$G154)*(Settings!$C$10+Settings!$C$11+IF(Settings!$C$15="Yes / Sí",Settings!$C$14,0))+(Settings!$C$12+Settings!$C$13))-$I154))</f>
        <v/>
      </c>
      <c r="P154" s="61" t="str">
        <f aca="false">IF(O154="","",IF(M154=0,0,O154/M154))</f>
        <v/>
      </c>
      <c r="Q154" s="60" t="str">
        <f aca="false">IF(OR(O154="",D154="",D154=0),"",(O154+D154/60*Settings!$C$7)/(D154/60))</f>
        <v/>
      </c>
      <c r="R154" s="62" t="str">
        <f aca="false">IF(B154="","",IF(M154="","Enter your price / Escribe tu precio",IF(O154&lt;0,"⚠ LOSING MONEY / PIERDES",IF(P154&lt;IF(H154="",Settings!$C$9,H154),"● BELOW TARGET / DEBAJO","✔ ON TARGET / EN OBJETIVO"))))</f>
        <v/>
      </c>
      <c r="T154" s="55" t="n">
        <f aca="false">IF(B154="",0,IF(M154="",0,1))</f>
        <v>0</v>
      </c>
      <c r="U154" s="55" t="n">
        <f aca="false">IF(T154=1,P154,0)</f>
        <v>0</v>
      </c>
      <c r="V154" s="55" t="n">
        <f aca="false">IF(T154=1,IF(O154&lt;0,0,IF(P154&lt;IF(H154="",Settings!$C$9,H154),1,0)),0)</f>
        <v>0</v>
      </c>
      <c r="W154" s="55" t="n">
        <f aca="false">IF(T154=1,IF(O154&lt;0,1,0),0)</f>
        <v>0</v>
      </c>
      <c r="X154" s="55" t="n">
        <f aca="false">IF(T154=1,M154,0)</f>
        <v>0</v>
      </c>
      <c r="Y154" s="55" t="n">
        <f aca="false">IF(T154=1,O154,0)</f>
        <v>0</v>
      </c>
      <c r="Z154" s="55" t="n">
        <f aca="false">IF(B154="",0,1)</f>
        <v>0</v>
      </c>
    </row>
    <row r="155" customFormat="false" ht="15" hidden="false" customHeight="false" outlineLevel="0" collapsed="false">
      <c r="B155" s="56"/>
      <c r="C155" s="57"/>
      <c r="D155" s="58"/>
      <c r="E155" s="57"/>
      <c r="F155" s="57"/>
      <c r="G155" s="57"/>
      <c r="H155" s="59"/>
      <c r="I155" s="60" t="str">
        <f aca="false">IF(B155="","",C155+IF(D155="",0,D155/60*Settings!$C$7)+E155+F155+Settings!$C$8)</f>
        <v/>
      </c>
      <c r="J155" s="60" t="str">
        <f aca="false">IF(B155="","",MAX(0,($I155+(Settings!$C$12+Settings!$C$13)-$G155*(1-(Settings!$C$10+Settings!$C$11+IF(Settings!$C$15="Yes / Sí",Settings!$C$14,0))))/(1-(Settings!$C$10+Settings!$C$11+IF(Settings!$C$15="Yes / Sí",Settings!$C$14,0)))))</f>
        <v/>
      </c>
      <c r="K155" s="60" t="str">
        <f aca="false">IF(B155="","",IF(1-(Settings!$C$10+Settings!$C$11+IF(Settings!$C$15="Yes / Sí",Settings!$C$14,0))-IF(H155="",Settings!$C$9,H155)&lt;=0,0,MAX(0,IF(Settings!$C$16="Yes / Sí",IF(ROUNDUP(($I155+(Settings!$C$12+Settings!$C$13)-$G155*(1-(Settings!$C$10+Settings!$C$11+IF(Settings!$C$15="Yes / Sí",Settings!$C$14,0))))/(1-(Settings!$C$10+Settings!$C$11+IF(Settings!$C$15="Yes / Sí",Settings!$C$14,0))-IF(H155="",Settings!$C$9,H155)),0)-0.01&gt;=($I155+(Settings!$C$12+Settings!$C$13)-$G155*(1-(Settings!$C$10+Settings!$C$11+IF(Settings!$C$15="Yes / Sí",Settings!$C$14,0))))/(1-(Settings!$C$10+Settings!$C$11+IF(Settings!$C$15="Yes / Sí",Settings!$C$14,0))-IF(H155="",Settings!$C$9,H155)),ROUNDUP(($I155+(Settings!$C$12+Settings!$C$13)-$G155*(1-(Settings!$C$10+Settings!$C$11+IF(Settings!$C$15="Yes / Sí",Settings!$C$14,0))))/(1-(Settings!$C$10+Settings!$C$11+IF(Settings!$C$15="Yes / Sí",Settings!$C$14,0))-IF(H155="",Settings!$C$9,H155)),0)-0.01,ROUNDUP(($I155+(Settings!$C$12+Settings!$C$13)-$G155*(1-(Settings!$C$10+Settings!$C$11+IF(Settings!$C$15="Yes / Sí",Settings!$C$14,0))))/(1-(Settings!$C$10+Settings!$C$11+IF(Settings!$C$15="Yes / Sí",Settings!$C$14,0))-IF(H155="",Settings!$C$9,H155)),0)+0.99),ROUNDUP(($I155+(Settings!$C$12+Settings!$C$13)-$G155*(1-(Settings!$C$10+Settings!$C$11+IF(Settings!$C$15="Yes / Sí",Settings!$C$14,0))))/(1-(Settings!$C$10+Settings!$C$11+IF(Settings!$C$15="Yes / Sí",Settings!$C$14,0))-IF(H155="",Settings!$C$9,H155)),2)))))</f>
        <v/>
      </c>
      <c r="L155" s="60" t="str">
        <f aca="false">IF(OR(B155="",K155=0),"",(K155+$G155-((K155+$G155)*(Settings!$C$10+Settings!$C$11+IF(Settings!$C$15="Yes / Sí",Settings!$C$14,0))+(Settings!$C$12+Settings!$C$13))-$I155))</f>
        <v/>
      </c>
      <c r="M155" s="57"/>
      <c r="N155" s="60" t="str">
        <f aca="false">IF(OR(B155="",M155=""),"",((M155+$G155)*(Settings!$C$10+Settings!$C$11+IF(Settings!$C$15="Yes / Sí",Settings!$C$14,0))+(Settings!$C$12+Settings!$C$13)))</f>
        <v/>
      </c>
      <c r="O155" s="60" t="str">
        <f aca="false">IF(OR(B155="",M155=""),"",(M155+$G155-((M155+$G155)*(Settings!$C$10+Settings!$C$11+IF(Settings!$C$15="Yes / Sí",Settings!$C$14,0))+(Settings!$C$12+Settings!$C$13))-$I155))</f>
        <v/>
      </c>
      <c r="P155" s="61" t="str">
        <f aca="false">IF(O155="","",IF(M155=0,0,O155/M155))</f>
        <v/>
      </c>
      <c r="Q155" s="60" t="str">
        <f aca="false">IF(OR(O155="",D155="",D155=0),"",(O155+D155/60*Settings!$C$7)/(D155/60))</f>
        <v/>
      </c>
      <c r="R155" s="62" t="str">
        <f aca="false">IF(B155="","",IF(M155="","Enter your price / Escribe tu precio",IF(O155&lt;0,"⚠ LOSING MONEY / PIERDES",IF(P155&lt;IF(H155="",Settings!$C$9,H155),"● BELOW TARGET / DEBAJO","✔ ON TARGET / EN OBJETIVO"))))</f>
        <v/>
      </c>
      <c r="T155" s="55" t="n">
        <f aca="false">IF(B155="",0,IF(M155="",0,1))</f>
        <v>0</v>
      </c>
      <c r="U155" s="55" t="n">
        <f aca="false">IF(T155=1,P155,0)</f>
        <v>0</v>
      </c>
      <c r="V155" s="55" t="n">
        <f aca="false">IF(T155=1,IF(O155&lt;0,0,IF(P155&lt;IF(H155="",Settings!$C$9,H155),1,0)),0)</f>
        <v>0</v>
      </c>
      <c r="W155" s="55" t="n">
        <f aca="false">IF(T155=1,IF(O155&lt;0,1,0),0)</f>
        <v>0</v>
      </c>
      <c r="X155" s="55" t="n">
        <f aca="false">IF(T155=1,M155,0)</f>
        <v>0</v>
      </c>
      <c r="Y155" s="55" t="n">
        <f aca="false">IF(T155=1,O155,0)</f>
        <v>0</v>
      </c>
      <c r="Z155" s="55" t="n">
        <f aca="false">IF(B155="",0,1)</f>
        <v>0</v>
      </c>
    </row>
    <row r="156" customFormat="false" ht="15" hidden="false" customHeight="false" outlineLevel="0" collapsed="false">
      <c r="B156" s="56"/>
      <c r="C156" s="57"/>
      <c r="D156" s="58"/>
      <c r="E156" s="57"/>
      <c r="F156" s="57"/>
      <c r="G156" s="57"/>
      <c r="H156" s="59"/>
      <c r="I156" s="60" t="str">
        <f aca="false">IF(B156="","",C156+IF(D156="",0,D156/60*Settings!$C$7)+E156+F156+Settings!$C$8)</f>
        <v/>
      </c>
      <c r="J156" s="60" t="str">
        <f aca="false">IF(B156="","",MAX(0,($I156+(Settings!$C$12+Settings!$C$13)-$G156*(1-(Settings!$C$10+Settings!$C$11+IF(Settings!$C$15="Yes / Sí",Settings!$C$14,0))))/(1-(Settings!$C$10+Settings!$C$11+IF(Settings!$C$15="Yes / Sí",Settings!$C$14,0)))))</f>
        <v/>
      </c>
      <c r="K156" s="60" t="str">
        <f aca="false">IF(B156="","",IF(1-(Settings!$C$10+Settings!$C$11+IF(Settings!$C$15="Yes / Sí",Settings!$C$14,0))-IF(H156="",Settings!$C$9,H156)&lt;=0,0,MAX(0,IF(Settings!$C$16="Yes / Sí",IF(ROUNDUP(($I156+(Settings!$C$12+Settings!$C$13)-$G156*(1-(Settings!$C$10+Settings!$C$11+IF(Settings!$C$15="Yes / Sí",Settings!$C$14,0))))/(1-(Settings!$C$10+Settings!$C$11+IF(Settings!$C$15="Yes / Sí",Settings!$C$14,0))-IF(H156="",Settings!$C$9,H156)),0)-0.01&gt;=($I156+(Settings!$C$12+Settings!$C$13)-$G156*(1-(Settings!$C$10+Settings!$C$11+IF(Settings!$C$15="Yes / Sí",Settings!$C$14,0))))/(1-(Settings!$C$10+Settings!$C$11+IF(Settings!$C$15="Yes / Sí",Settings!$C$14,0))-IF(H156="",Settings!$C$9,H156)),ROUNDUP(($I156+(Settings!$C$12+Settings!$C$13)-$G156*(1-(Settings!$C$10+Settings!$C$11+IF(Settings!$C$15="Yes / Sí",Settings!$C$14,0))))/(1-(Settings!$C$10+Settings!$C$11+IF(Settings!$C$15="Yes / Sí",Settings!$C$14,0))-IF(H156="",Settings!$C$9,H156)),0)-0.01,ROUNDUP(($I156+(Settings!$C$12+Settings!$C$13)-$G156*(1-(Settings!$C$10+Settings!$C$11+IF(Settings!$C$15="Yes / Sí",Settings!$C$14,0))))/(1-(Settings!$C$10+Settings!$C$11+IF(Settings!$C$15="Yes / Sí",Settings!$C$14,0))-IF(H156="",Settings!$C$9,H156)),0)+0.99),ROUNDUP(($I156+(Settings!$C$12+Settings!$C$13)-$G156*(1-(Settings!$C$10+Settings!$C$11+IF(Settings!$C$15="Yes / Sí",Settings!$C$14,0))))/(1-(Settings!$C$10+Settings!$C$11+IF(Settings!$C$15="Yes / Sí",Settings!$C$14,0))-IF(H156="",Settings!$C$9,H156)),2)))))</f>
        <v/>
      </c>
      <c r="L156" s="60" t="str">
        <f aca="false">IF(OR(B156="",K156=0),"",(K156+$G156-((K156+$G156)*(Settings!$C$10+Settings!$C$11+IF(Settings!$C$15="Yes / Sí",Settings!$C$14,0))+(Settings!$C$12+Settings!$C$13))-$I156))</f>
        <v/>
      </c>
      <c r="M156" s="57"/>
      <c r="N156" s="60" t="str">
        <f aca="false">IF(OR(B156="",M156=""),"",((M156+$G156)*(Settings!$C$10+Settings!$C$11+IF(Settings!$C$15="Yes / Sí",Settings!$C$14,0))+(Settings!$C$12+Settings!$C$13)))</f>
        <v/>
      </c>
      <c r="O156" s="60" t="str">
        <f aca="false">IF(OR(B156="",M156=""),"",(M156+$G156-((M156+$G156)*(Settings!$C$10+Settings!$C$11+IF(Settings!$C$15="Yes / Sí",Settings!$C$14,0))+(Settings!$C$12+Settings!$C$13))-$I156))</f>
        <v/>
      </c>
      <c r="P156" s="61" t="str">
        <f aca="false">IF(O156="","",IF(M156=0,0,O156/M156))</f>
        <v/>
      </c>
      <c r="Q156" s="60" t="str">
        <f aca="false">IF(OR(O156="",D156="",D156=0),"",(O156+D156/60*Settings!$C$7)/(D156/60))</f>
        <v/>
      </c>
      <c r="R156" s="62" t="str">
        <f aca="false">IF(B156="","",IF(M156="","Enter your price / Escribe tu precio",IF(O156&lt;0,"⚠ LOSING MONEY / PIERDES",IF(P156&lt;IF(H156="",Settings!$C$9,H156),"● BELOW TARGET / DEBAJO","✔ ON TARGET / EN OBJETIVO"))))</f>
        <v/>
      </c>
      <c r="T156" s="55" t="n">
        <f aca="false">IF(B156="",0,IF(M156="",0,1))</f>
        <v>0</v>
      </c>
      <c r="U156" s="55" t="n">
        <f aca="false">IF(T156=1,P156,0)</f>
        <v>0</v>
      </c>
      <c r="V156" s="55" t="n">
        <f aca="false">IF(T156=1,IF(O156&lt;0,0,IF(P156&lt;IF(H156="",Settings!$C$9,H156),1,0)),0)</f>
        <v>0</v>
      </c>
      <c r="W156" s="55" t="n">
        <f aca="false">IF(T156=1,IF(O156&lt;0,1,0),0)</f>
        <v>0</v>
      </c>
      <c r="X156" s="55" t="n">
        <f aca="false">IF(T156=1,M156,0)</f>
        <v>0</v>
      </c>
      <c r="Y156" s="55" t="n">
        <f aca="false">IF(T156=1,O156,0)</f>
        <v>0</v>
      </c>
      <c r="Z156" s="55" t="n">
        <f aca="false">IF(B156="",0,1)</f>
        <v>0</v>
      </c>
    </row>
    <row r="157" customFormat="false" ht="15" hidden="false" customHeight="false" outlineLevel="0" collapsed="false">
      <c r="B157" s="56"/>
      <c r="C157" s="57"/>
      <c r="D157" s="58"/>
      <c r="E157" s="57"/>
      <c r="F157" s="57"/>
      <c r="G157" s="57"/>
      <c r="H157" s="59"/>
      <c r="I157" s="60" t="str">
        <f aca="false">IF(B157="","",C157+IF(D157="",0,D157/60*Settings!$C$7)+E157+F157+Settings!$C$8)</f>
        <v/>
      </c>
      <c r="J157" s="60" t="str">
        <f aca="false">IF(B157="","",MAX(0,($I157+(Settings!$C$12+Settings!$C$13)-$G157*(1-(Settings!$C$10+Settings!$C$11+IF(Settings!$C$15="Yes / Sí",Settings!$C$14,0))))/(1-(Settings!$C$10+Settings!$C$11+IF(Settings!$C$15="Yes / Sí",Settings!$C$14,0)))))</f>
        <v/>
      </c>
      <c r="K157" s="60" t="str">
        <f aca="false">IF(B157="","",IF(1-(Settings!$C$10+Settings!$C$11+IF(Settings!$C$15="Yes / Sí",Settings!$C$14,0))-IF(H157="",Settings!$C$9,H157)&lt;=0,0,MAX(0,IF(Settings!$C$16="Yes / Sí",IF(ROUNDUP(($I157+(Settings!$C$12+Settings!$C$13)-$G157*(1-(Settings!$C$10+Settings!$C$11+IF(Settings!$C$15="Yes / Sí",Settings!$C$14,0))))/(1-(Settings!$C$10+Settings!$C$11+IF(Settings!$C$15="Yes / Sí",Settings!$C$14,0))-IF(H157="",Settings!$C$9,H157)),0)-0.01&gt;=($I157+(Settings!$C$12+Settings!$C$13)-$G157*(1-(Settings!$C$10+Settings!$C$11+IF(Settings!$C$15="Yes / Sí",Settings!$C$14,0))))/(1-(Settings!$C$10+Settings!$C$11+IF(Settings!$C$15="Yes / Sí",Settings!$C$14,0))-IF(H157="",Settings!$C$9,H157)),ROUNDUP(($I157+(Settings!$C$12+Settings!$C$13)-$G157*(1-(Settings!$C$10+Settings!$C$11+IF(Settings!$C$15="Yes / Sí",Settings!$C$14,0))))/(1-(Settings!$C$10+Settings!$C$11+IF(Settings!$C$15="Yes / Sí",Settings!$C$14,0))-IF(H157="",Settings!$C$9,H157)),0)-0.01,ROUNDUP(($I157+(Settings!$C$12+Settings!$C$13)-$G157*(1-(Settings!$C$10+Settings!$C$11+IF(Settings!$C$15="Yes / Sí",Settings!$C$14,0))))/(1-(Settings!$C$10+Settings!$C$11+IF(Settings!$C$15="Yes / Sí",Settings!$C$14,0))-IF(H157="",Settings!$C$9,H157)),0)+0.99),ROUNDUP(($I157+(Settings!$C$12+Settings!$C$13)-$G157*(1-(Settings!$C$10+Settings!$C$11+IF(Settings!$C$15="Yes / Sí",Settings!$C$14,0))))/(1-(Settings!$C$10+Settings!$C$11+IF(Settings!$C$15="Yes / Sí",Settings!$C$14,0))-IF(H157="",Settings!$C$9,H157)),2)))))</f>
        <v/>
      </c>
      <c r="L157" s="60" t="str">
        <f aca="false">IF(OR(B157="",K157=0),"",(K157+$G157-((K157+$G157)*(Settings!$C$10+Settings!$C$11+IF(Settings!$C$15="Yes / Sí",Settings!$C$14,0))+(Settings!$C$12+Settings!$C$13))-$I157))</f>
        <v/>
      </c>
      <c r="M157" s="57"/>
      <c r="N157" s="60" t="str">
        <f aca="false">IF(OR(B157="",M157=""),"",((M157+$G157)*(Settings!$C$10+Settings!$C$11+IF(Settings!$C$15="Yes / Sí",Settings!$C$14,0))+(Settings!$C$12+Settings!$C$13)))</f>
        <v/>
      </c>
      <c r="O157" s="60" t="str">
        <f aca="false">IF(OR(B157="",M157=""),"",(M157+$G157-((M157+$G157)*(Settings!$C$10+Settings!$C$11+IF(Settings!$C$15="Yes / Sí",Settings!$C$14,0))+(Settings!$C$12+Settings!$C$13))-$I157))</f>
        <v/>
      </c>
      <c r="P157" s="61" t="str">
        <f aca="false">IF(O157="","",IF(M157=0,0,O157/M157))</f>
        <v/>
      </c>
      <c r="Q157" s="60" t="str">
        <f aca="false">IF(OR(O157="",D157="",D157=0),"",(O157+D157/60*Settings!$C$7)/(D157/60))</f>
        <v/>
      </c>
      <c r="R157" s="62" t="str">
        <f aca="false">IF(B157="","",IF(M157="","Enter your price / Escribe tu precio",IF(O157&lt;0,"⚠ LOSING MONEY / PIERDES",IF(P157&lt;IF(H157="",Settings!$C$9,H157),"● BELOW TARGET / DEBAJO","✔ ON TARGET / EN OBJETIVO"))))</f>
        <v/>
      </c>
      <c r="T157" s="55" t="n">
        <f aca="false">IF(B157="",0,IF(M157="",0,1))</f>
        <v>0</v>
      </c>
      <c r="U157" s="55" t="n">
        <f aca="false">IF(T157=1,P157,0)</f>
        <v>0</v>
      </c>
      <c r="V157" s="55" t="n">
        <f aca="false">IF(T157=1,IF(O157&lt;0,0,IF(P157&lt;IF(H157="",Settings!$C$9,H157),1,0)),0)</f>
        <v>0</v>
      </c>
      <c r="W157" s="55" t="n">
        <f aca="false">IF(T157=1,IF(O157&lt;0,1,0),0)</f>
        <v>0</v>
      </c>
      <c r="X157" s="55" t="n">
        <f aca="false">IF(T157=1,M157,0)</f>
        <v>0</v>
      </c>
      <c r="Y157" s="55" t="n">
        <f aca="false">IF(T157=1,O157,0)</f>
        <v>0</v>
      </c>
      <c r="Z157" s="55" t="n">
        <f aca="false">IF(B157="",0,1)</f>
        <v>0</v>
      </c>
    </row>
    <row r="158" customFormat="false" ht="15" hidden="false" customHeight="false" outlineLevel="0" collapsed="false">
      <c r="B158" s="56"/>
      <c r="C158" s="57"/>
      <c r="D158" s="58"/>
      <c r="E158" s="57"/>
      <c r="F158" s="57"/>
      <c r="G158" s="57"/>
      <c r="H158" s="59"/>
      <c r="I158" s="60" t="str">
        <f aca="false">IF(B158="","",C158+IF(D158="",0,D158/60*Settings!$C$7)+E158+F158+Settings!$C$8)</f>
        <v/>
      </c>
      <c r="J158" s="60" t="str">
        <f aca="false">IF(B158="","",MAX(0,($I158+(Settings!$C$12+Settings!$C$13)-$G158*(1-(Settings!$C$10+Settings!$C$11+IF(Settings!$C$15="Yes / Sí",Settings!$C$14,0))))/(1-(Settings!$C$10+Settings!$C$11+IF(Settings!$C$15="Yes / Sí",Settings!$C$14,0)))))</f>
        <v/>
      </c>
      <c r="K158" s="60" t="str">
        <f aca="false">IF(B158="","",IF(1-(Settings!$C$10+Settings!$C$11+IF(Settings!$C$15="Yes / Sí",Settings!$C$14,0))-IF(H158="",Settings!$C$9,H158)&lt;=0,0,MAX(0,IF(Settings!$C$16="Yes / Sí",IF(ROUNDUP(($I158+(Settings!$C$12+Settings!$C$13)-$G158*(1-(Settings!$C$10+Settings!$C$11+IF(Settings!$C$15="Yes / Sí",Settings!$C$14,0))))/(1-(Settings!$C$10+Settings!$C$11+IF(Settings!$C$15="Yes / Sí",Settings!$C$14,0))-IF(H158="",Settings!$C$9,H158)),0)-0.01&gt;=($I158+(Settings!$C$12+Settings!$C$13)-$G158*(1-(Settings!$C$10+Settings!$C$11+IF(Settings!$C$15="Yes / Sí",Settings!$C$14,0))))/(1-(Settings!$C$10+Settings!$C$11+IF(Settings!$C$15="Yes / Sí",Settings!$C$14,0))-IF(H158="",Settings!$C$9,H158)),ROUNDUP(($I158+(Settings!$C$12+Settings!$C$13)-$G158*(1-(Settings!$C$10+Settings!$C$11+IF(Settings!$C$15="Yes / Sí",Settings!$C$14,0))))/(1-(Settings!$C$10+Settings!$C$11+IF(Settings!$C$15="Yes / Sí",Settings!$C$14,0))-IF(H158="",Settings!$C$9,H158)),0)-0.01,ROUNDUP(($I158+(Settings!$C$12+Settings!$C$13)-$G158*(1-(Settings!$C$10+Settings!$C$11+IF(Settings!$C$15="Yes / Sí",Settings!$C$14,0))))/(1-(Settings!$C$10+Settings!$C$11+IF(Settings!$C$15="Yes / Sí",Settings!$C$14,0))-IF(H158="",Settings!$C$9,H158)),0)+0.99),ROUNDUP(($I158+(Settings!$C$12+Settings!$C$13)-$G158*(1-(Settings!$C$10+Settings!$C$11+IF(Settings!$C$15="Yes / Sí",Settings!$C$14,0))))/(1-(Settings!$C$10+Settings!$C$11+IF(Settings!$C$15="Yes / Sí",Settings!$C$14,0))-IF(H158="",Settings!$C$9,H158)),2)))))</f>
        <v/>
      </c>
      <c r="L158" s="60" t="str">
        <f aca="false">IF(OR(B158="",K158=0),"",(K158+$G158-((K158+$G158)*(Settings!$C$10+Settings!$C$11+IF(Settings!$C$15="Yes / Sí",Settings!$C$14,0))+(Settings!$C$12+Settings!$C$13))-$I158))</f>
        <v/>
      </c>
      <c r="M158" s="57"/>
      <c r="N158" s="60" t="str">
        <f aca="false">IF(OR(B158="",M158=""),"",((M158+$G158)*(Settings!$C$10+Settings!$C$11+IF(Settings!$C$15="Yes / Sí",Settings!$C$14,0))+(Settings!$C$12+Settings!$C$13)))</f>
        <v/>
      </c>
      <c r="O158" s="60" t="str">
        <f aca="false">IF(OR(B158="",M158=""),"",(M158+$G158-((M158+$G158)*(Settings!$C$10+Settings!$C$11+IF(Settings!$C$15="Yes / Sí",Settings!$C$14,0))+(Settings!$C$12+Settings!$C$13))-$I158))</f>
        <v/>
      </c>
      <c r="P158" s="61" t="str">
        <f aca="false">IF(O158="","",IF(M158=0,0,O158/M158))</f>
        <v/>
      </c>
      <c r="Q158" s="60" t="str">
        <f aca="false">IF(OR(O158="",D158="",D158=0),"",(O158+D158/60*Settings!$C$7)/(D158/60))</f>
        <v/>
      </c>
      <c r="R158" s="62" t="str">
        <f aca="false">IF(B158="","",IF(M158="","Enter your price / Escribe tu precio",IF(O158&lt;0,"⚠ LOSING MONEY / PIERDES",IF(P158&lt;IF(H158="",Settings!$C$9,H158),"● BELOW TARGET / DEBAJO","✔ ON TARGET / EN OBJETIVO"))))</f>
        <v/>
      </c>
      <c r="T158" s="55" t="n">
        <f aca="false">IF(B158="",0,IF(M158="",0,1))</f>
        <v>0</v>
      </c>
      <c r="U158" s="55" t="n">
        <f aca="false">IF(T158=1,P158,0)</f>
        <v>0</v>
      </c>
      <c r="V158" s="55" t="n">
        <f aca="false">IF(T158=1,IF(O158&lt;0,0,IF(P158&lt;IF(H158="",Settings!$C$9,H158),1,0)),0)</f>
        <v>0</v>
      </c>
      <c r="W158" s="55" t="n">
        <f aca="false">IF(T158=1,IF(O158&lt;0,1,0),0)</f>
        <v>0</v>
      </c>
      <c r="X158" s="55" t="n">
        <f aca="false">IF(T158=1,M158,0)</f>
        <v>0</v>
      </c>
      <c r="Y158" s="55" t="n">
        <f aca="false">IF(T158=1,O158,0)</f>
        <v>0</v>
      </c>
      <c r="Z158" s="55" t="n">
        <f aca="false">IF(B158="",0,1)</f>
        <v>0</v>
      </c>
    </row>
    <row r="159" customFormat="false" ht="15" hidden="false" customHeight="false" outlineLevel="0" collapsed="false">
      <c r="B159" s="56"/>
      <c r="C159" s="57"/>
      <c r="D159" s="58"/>
      <c r="E159" s="57"/>
      <c r="F159" s="57"/>
      <c r="G159" s="57"/>
      <c r="H159" s="59"/>
      <c r="I159" s="60" t="str">
        <f aca="false">IF(B159="","",C159+IF(D159="",0,D159/60*Settings!$C$7)+E159+F159+Settings!$C$8)</f>
        <v/>
      </c>
      <c r="J159" s="60" t="str">
        <f aca="false">IF(B159="","",MAX(0,($I159+(Settings!$C$12+Settings!$C$13)-$G159*(1-(Settings!$C$10+Settings!$C$11+IF(Settings!$C$15="Yes / Sí",Settings!$C$14,0))))/(1-(Settings!$C$10+Settings!$C$11+IF(Settings!$C$15="Yes / Sí",Settings!$C$14,0)))))</f>
        <v/>
      </c>
      <c r="K159" s="60" t="str">
        <f aca="false">IF(B159="","",IF(1-(Settings!$C$10+Settings!$C$11+IF(Settings!$C$15="Yes / Sí",Settings!$C$14,0))-IF(H159="",Settings!$C$9,H159)&lt;=0,0,MAX(0,IF(Settings!$C$16="Yes / Sí",IF(ROUNDUP(($I159+(Settings!$C$12+Settings!$C$13)-$G159*(1-(Settings!$C$10+Settings!$C$11+IF(Settings!$C$15="Yes / Sí",Settings!$C$14,0))))/(1-(Settings!$C$10+Settings!$C$11+IF(Settings!$C$15="Yes / Sí",Settings!$C$14,0))-IF(H159="",Settings!$C$9,H159)),0)-0.01&gt;=($I159+(Settings!$C$12+Settings!$C$13)-$G159*(1-(Settings!$C$10+Settings!$C$11+IF(Settings!$C$15="Yes / Sí",Settings!$C$14,0))))/(1-(Settings!$C$10+Settings!$C$11+IF(Settings!$C$15="Yes / Sí",Settings!$C$14,0))-IF(H159="",Settings!$C$9,H159)),ROUNDUP(($I159+(Settings!$C$12+Settings!$C$13)-$G159*(1-(Settings!$C$10+Settings!$C$11+IF(Settings!$C$15="Yes / Sí",Settings!$C$14,0))))/(1-(Settings!$C$10+Settings!$C$11+IF(Settings!$C$15="Yes / Sí",Settings!$C$14,0))-IF(H159="",Settings!$C$9,H159)),0)-0.01,ROUNDUP(($I159+(Settings!$C$12+Settings!$C$13)-$G159*(1-(Settings!$C$10+Settings!$C$11+IF(Settings!$C$15="Yes / Sí",Settings!$C$14,0))))/(1-(Settings!$C$10+Settings!$C$11+IF(Settings!$C$15="Yes / Sí",Settings!$C$14,0))-IF(H159="",Settings!$C$9,H159)),0)+0.99),ROUNDUP(($I159+(Settings!$C$12+Settings!$C$13)-$G159*(1-(Settings!$C$10+Settings!$C$11+IF(Settings!$C$15="Yes / Sí",Settings!$C$14,0))))/(1-(Settings!$C$10+Settings!$C$11+IF(Settings!$C$15="Yes / Sí",Settings!$C$14,0))-IF(H159="",Settings!$C$9,H159)),2)))))</f>
        <v/>
      </c>
      <c r="L159" s="60" t="str">
        <f aca="false">IF(OR(B159="",K159=0),"",(K159+$G159-((K159+$G159)*(Settings!$C$10+Settings!$C$11+IF(Settings!$C$15="Yes / Sí",Settings!$C$14,0))+(Settings!$C$12+Settings!$C$13))-$I159))</f>
        <v/>
      </c>
      <c r="M159" s="57"/>
      <c r="N159" s="60" t="str">
        <f aca="false">IF(OR(B159="",M159=""),"",((M159+$G159)*(Settings!$C$10+Settings!$C$11+IF(Settings!$C$15="Yes / Sí",Settings!$C$14,0))+(Settings!$C$12+Settings!$C$13)))</f>
        <v/>
      </c>
      <c r="O159" s="60" t="str">
        <f aca="false">IF(OR(B159="",M159=""),"",(M159+$G159-((M159+$G159)*(Settings!$C$10+Settings!$C$11+IF(Settings!$C$15="Yes / Sí",Settings!$C$14,0))+(Settings!$C$12+Settings!$C$13))-$I159))</f>
        <v/>
      </c>
      <c r="P159" s="61" t="str">
        <f aca="false">IF(O159="","",IF(M159=0,0,O159/M159))</f>
        <v/>
      </c>
      <c r="Q159" s="60" t="str">
        <f aca="false">IF(OR(O159="",D159="",D159=0),"",(O159+D159/60*Settings!$C$7)/(D159/60))</f>
        <v/>
      </c>
      <c r="R159" s="62" t="str">
        <f aca="false">IF(B159="","",IF(M159="","Enter your price / Escribe tu precio",IF(O159&lt;0,"⚠ LOSING MONEY / PIERDES",IF(P159&lt;IF(H159="",Settings!$C$9,H159),"● BELOW TARGET / DEBAJO","✔ ON TARGET / EN OBJETIVO"))))</f>
        <v/>
      </c>
      <c r="T159" s="55" t="n">
        <f aca="false">IF(B159="",0,IF(M159="",0,1))</f>
        <v>0</v>
      </c>
      <c r="U159" s="55" t="n">
        <f aca="false">IF(T159=1,P159,0)</f>
        <v>0</v>
      </c>
      <c r="V159" s="55" t="n">
        <f aca="false">IF(T159=1,IF(O159&lt;0,0,IF(P159&lt;IF(H159="",Settings!$C$9,H159),1,0)),0)</f>
        <v>0</v>
      </c>
      <c r="W159" s="55" t="n">
        <f aca="false">IF(T159=1,IF(O159&lt;0,1,0),0)</f>
        <v>0</v>
      </c>
      <c r="X159" s="55" t="n">
        <f aca="false">IF(T159=1,M159,0)</f>
        <v>0</v>
      </c>
      <c r="Y159" s="55" t="n">
        <f aca="false">IF(T159=1,O159,0)</f>
        <v>0</v>
      </c>
      <c r="Z159" s="55" t="n">
        <f aca="false">IF(B159="",0,1)</f>
        <v>0</v>
      </c>
    </row>
    <row r="160" customFormat="false" ht="15" hidden="false" customHeight="false" outlineLevel="0" collapsed="false">
      <c r="B160" s="56"/>
      <c r="C160" s="57"/>
      <c r="D160" s="58"/>
      <c r="E160" s="57"/>
      <c r="F160" s="57"/>
      <c r="G160" s="57"/>
      <c r="H160" s="59"/>
      <c r="I160" s="60" t="str">
        <f aca="false">IF(B160="","",C160+IF(D160="",0,D160/60*Settings!$C$7)+E160+F160+Settings!$C$8)</f>
        <v/>
      </c>
      <c r="J160" s="60" t="str">
        <f aca="false">IF(B160="","",MAX(0,($I160+(Settings!$C$12+Settings!$C$13)-$G160*(1-(Settings!$C$10+Settings!$C$11+IF(Settings!$C$15="Yes / Sí",Settings!$C$14,0))))/(1-(Settings!$C$10+Settings!$C$11+IF(Settings!$C$15="Yes / Sí",Settings!$C$14,0)))))</f>
        <v/>
      </c>
      <c r="K160" s="60" t="str">
        <f aca="false">IF(B160="","",IF(1-(Settings!$C$10+Settings!$C$11+IF(Settings!$C$15="Yes / Sí",Settings!$C$14,0))-IF(H160="",Settings!$C$9,H160)&lt;=0,0,MAX(0,IF(Settings!$C$16="Yes / Sí",IF(ROUNDUP(($I160+(Settings!$C$12+Settings!$C$13)-$G160*(1-(Settings!$C$10+Settings!$C$11+IF(Settings!$C$15="Yes / Sí",Settings!$C$14,0))))/(1-(Settings!$C$10+Settings!$C$11+IF(Settings!$C$15="Yes / Sí",Settings!$C$14,0))-IF(H160="",Settings!$C$9,H160)),0)-0.01&gt;=($I160+(Settings!$C$12+Settings!$C$13)-$G160*(1-(Settings!$C$10+Settings!$C$11+IF(Settings!$C$15="Yes / Sí",Settings!$C$14,0))))/(1-(Settings!$C$10+Settings!$C$11+IF(Settings!$C$15="Yes / Sí",Settings!$C$14,0))-IF(H160="",Settings!$C$9,H160)),ROUNDUP(($I160+(Settings!$C$12+Settings!$C$13)-$G160*(1-(Settings!$C$10+Settings!$C$11+IF(Settings!$C$15="Yes / Sí",Settings!$C$14,0))))/(1-(Settings!$C$10+Settings!$C$11+IF(Settings!$C$15="Yes / Sí",Settings!$C$14,0))-IF(H160="",Settings!$C$9,H160)),0)-0.01,ROUNDUP(($I160+(Settings!$C$12+Settings!$C$13)-$G160*(1-(Settings!$C$10+Settings!$C$11+IF(Settings!$C$15="Yes / Sí",Settings!$C$14,0))))/(1-(Settings!$C$10+Settings!$C$11+IF(Settings!$C$15="Yes / Sí",Settings!$C$14,0))-IF(H160="",Settings!$C$9,H160)),0)+0.99),ROUNDUP(($I160+(Settings!$C$12+Settings!$C$13)-$G160*(1-(Settings!$C$10+Settings!$C$11+IF(Settings!$C$15="Yes / Sí",Settings!$C$14,0))))/(1-(Settings!$C$10+Settings!$C$11+IF(Settings!$C$15="Yes / Sí",Settings!$C$14,0))-IF(H160="",Settings!$C$9,H160)),2)))))</f>
        <v/>
      </c>
      <c r="L160" s="60" t="str">
        <f aca="false">IF(OR(B160="",K160=0),"",(K160+$G160-((K160+$G160)*(Settings!$C$10+Settings!$C$11+IF(Settings!$C$15="Yes / Sí",Settings!$C$14,0))+(Settings!$C$12+Settings!$C$13))-$I160))</f>
        <v/>
      </c>
      <c r="M160" s="57"/>
      <c r="N160" s="60" t="str">
        <f aca="false">IF(OR(B160="",M160=""),"",((M160+$G160)*(Settings!$C$10+Settings!$C$11+IF(Settings!$C$15="Yes / Sí",Settings!$C$14,0))+(Settings!$C$12+Settings!$C$13)))</f>
        <v/>
      </c>
      <c r="O160" s="60" t="str">
        <f aca="false">IF(OR(B160="",M160=""),"",(M160+$G160-((M160+$G160)*(Settings!$C$10+Settings!$C$11+IF(Settings!$C$15="Yes / Sí",Settings!$C$14,0))+(Settings!$C$12+Settings!$C$13))-$I160))</f>
        <v/>
      </c>
      <c r="P160" s="61" t="str">
        <f aca="false">IF(O160="","",IF(M160=0,0,O160/M160))</f>
        <v/>
      </c>
      <c r="Q160" s="60" t="str">
        <f aca="false">IF(OR(O160="",D160="",D160=0),"",(O160+D160/60*Settings!$C$7)/(D160/60))</f>
        <v/>
      </c>
      <c r="R160" s="62" t="str">
        <f aca="false">IF(B160="","",IF(M160="","Enter your price / Escribe tu precio",IF(O160&lt;0,"⚠ LOSING MONEY / PIERDES",IF(P160&lt;IF(H160="",Settings!$C$9,H160),"● BELOW TARGET / DEBAJO","✔ ON TARGET / EN OBJETIVO"))))</f>
        <v/>
      </c>
      <c r="T160" s="55" t="n">
        <f aca="false">IF(B160="",0,IF(M160="",0,1))</f>
        <v>0</v>
      </c>
      <c r="U160" s="55" t="n">
        <f aca="false">IF(T160=1,P160,0)</f>
        <v>0</v>
      </c>
      <c r="V160" s="55" t="n">
        <f aca="false">IF(T160=1,IF(O160&lt;0,0,IF(P160&lt;IF(H160="",Settings!$C$9,H160),1,0)),0)</f>
        <v>0</v>
      </c>
      <c r="W160" s="55" t="n">
        <f aca="false">IF(T160=1,IF(O160&lt;0,1,0),0)</f>
        <v>0</v>
      </c>
      <c r="X160" s="55" t="n">
        <f aca="false">IF(T160=1,M160,0)</f>
        <v>0</v>
      </c>
      <c r="Y160" s="55" t="n">
        <f aca="false">IF(T160=1,O160,0)</f>
        <v>0</v>
      </c>
      <c r="Z160" s="55" t="n">
        <f aca="false">IF(B160="",0,1)</f>
        <v>0</v>
      </c>
    </row>
    <row r="161" customFormat="false" ht="15" hidden="false" customHeight="false" outlineLevel="0" collapsed="false">
      <c r="B161" s="56"/>
      <c r="C161" s="57"/>
      <c r="D161" s="58"/>
      <c r="E161" s="57"/>
      <c r="F161" s="57"/>
      <c r="G161" s="57"/>
      <c r="H161" s="59"/>
      <c r="I161" s="60" t="str">
        <f aca="false">IF(B161="","",C161+IF(D161="",0,D161/60*Settings!$C$7)+E161+F161+Settings!$C$8)</f>
        <v/>
      </c>
      <c r="J161" s="60" t="str">
        <f aca="false">IF(B161="","",MAX(0,($I161+(Settings!$C$12+Settings!$C$13)-$G161*(1-(Settings!$C$10+Settings!$C$11+IF(Settings!$C$15="Yes / Sí",Settings!$C$14,0))))/(1-(Settings!$C$10+Settings!$C$11+IF(Settings!$C$15="Yes / Sí",Settings!$C$14,0)))))</f>
        <v/>
      </c>
      <c r="K161" s="60" t="str">
        <f aca="false">IF(B161="","",IF(1-(Settings!$C$10+Settings!$C$11+IF(Settings!$C$15="Yes / Sí",Settings!$C$14,0))-IF(H161="",Settings!$C$9,H161)&lt;=0,0,MAX(0,IF(Settings!$C$16="Yes / Sí",IF(ROUNDUP(($I161+(Settings!$C$12+Settings!$C$13)-$G161*(1-(Settings!$C$10+Settings!$C$11+IF(Settings!$C$15="Yes / Sí",Settings!$C$14,0))))/(1-(Settings!$C$10+Settings!$C$11+IF(Settings!$C$15="Yes / Sí",Settings!$C$14,0))-IF(H161="",Settings!$C$9,H161)),0)-0.01&gt;=($I161+(Settings!$C$12+Settings!$C$13)-$G161*(1-(Settings!$C$10+Settings!$C$11+IF(Settings!$C$15="Yes / Sí",Settings!$C$14,0))))/(1-(Settings!$C$10+Settings!$C$11+IF(Settings!$C$15="Yes / Sí",Settings!$C$14,0))-IF(H161="",Settings!$C$9,H161)),ROUNDUP(($I161+(Settings!$C$12+Settings!$C$13)-$G161*(1-(Settings!$C$10+Settings!$C$11+IF(Settings!$C$15="Yes / Sí",Settings!$C$14,0))))/(1-(Settings!$C$10+Settings!$C$11+IF(Settings!$C$15="Yes / Sí",Settings!$C$14,0))-IF(H161="",Settings!$C$9,H161)),0)-0.01,ROUNDUP(($I161+(Settings!$C$12+Settings!$C$13)-$G161*(1-(Settings!$C$10+Settings!$C$11+IF(Settings!$C$15="Yes / Sí",Settings!$C$14,0))))/(1-(Settings!$C$10+Settings!$C$11+IF(Settings!$C$15="Yes / Sí",Settings!$C$14,0))-IF(H161="",Settings!$C$9,H161)),0)+0.99),ROUNDUP(($I161+(Settings!$C$12+Settings!$C$13)-$G161*(1-(Settings!$C$10+Settings!$C$11+IF(Settings!$C$15="Yes / Sí",Settings!$C$14,0))))/(1-(Settings!$C$10+Settings!$C$11+IF(Settings!$C$15="Yes / Sí",Settings!$C$14,0))-IF(H161="",Settings!$C$9,H161)),2)))))</f>
        <v/>
      </c>
      <c r="L161" s="60" t="str">
        <f aca="false">IF(OR(B161="",K161=0),"",(K161+$G161-((K161+$G161)*(Settings!$C$10+Settings!$C$11+IF(Settings!$C$15="Yes / Sí",Settings!$C$14,0))+(Settings!$C$12+Settings!$C$13))-$I161))</f>
        <v/>
      </c>
      <c r="M161" s="57"/>
      <c r="N161" s="60" t="str">
        <f aca="false">IF(OR(B161="",M161=""),"",((M161+$G161)*(Settings!$C$10+Settings!$C$11+IF(Settings!$C$15="Yes / Sí",Settings!$C$14,0))+(Settings!$C$12+Settings!$C$13)))</f>
        <v/>
      </c>
      <c r="O161" s="60" t="str">
        <f aca="false">IF(OR(B161="",M161=""),"",(M161+$G161-((M161+$G161)*(Settings!$C$10+Settings!$C$11+IF(Settings!$C$15="Yes / Sí",Settings!$C$14,0))+(Settings!$C$12+Settings!$C$13))-$I161))</f>
        <v/>
      </c>
      <c r="P161" s="61" t="str">
        <f aca="false">IF(O161="","",IF(M161=0,0,O161/M161))</f>
        <v/>
      </c>
      <c r="Q161" s="60" t="str">
        <f aca="false">IF(OR(O161="",D161="",D161=0),"",(O161+D161/60*Settings!$C$7)/(D161/60))</f>
        <v/>
      </c>
      <c r="R161" s="62" t="str">
        <f aca="false">IF(B161="","",IF(M161="","Enter your price / Escribe tu precio",IF(O161&lt;0,"⚠ LOSING MONEY / PIERDES",IF(P161&lt;IF(H161="",Settings!$C$9,H161),"● BELOW TARGET / DEBAJO","✔ ON TARGET / EN OBJETIVO"))))</f>
        <v/>
      </c>
      <c r="T161" s="55" t="n">
        <f aca="false">IF(B161="",0,IF(M161="",0,1))</f>
        <v>0</v>
      </c>
      <c r="U161" s="55" t="n">
        <f aca="false">IF(T161=1,P161,0)</f>
        <v>0</v>
      </c>
      <c r="V161" s="55" t="n">
        <f aca="false">IF(T161=1,IF(O161&lt;0,0,IF(P161&lt;IF(H161="",Settings!$C$9,H161),1,0)),0)</f>
        <v>0</v>
      </c>
      <c r="W161" s="55" t="n">
        <f aca="false">IF(T161=1,IF(O161&lt;0,1,0),0)</f>
        <v>0</v>
      </c>
      <c r="X161" s="55" t="n">
        <f aca="false">IF(T161=1,M161,0)</f>
        <v>0</v>
      </c>
      <c r="Y161" s="55" t="n">
        <f aca="false">IF(T161=1,O161,0)</f>
        <v>0</v>
      </c>
      <c r="Z161" s="55" t="n">
        <f aca="false">IF(B161="",0,1)</f>
        <v>0</v>
      </c>
    </row>
    <row r="162" customFormat="false" ht="15" hidden="false" customHeight="false" outlineLevel="0" collapsed="false">
      <c r="B162" s="56"/>
      <c r="C162" s="57"/>
      <c r="D162" s="58"/>
      <c r="E162" s="57"/>
      <c r="F162" s="57"/>
      <c r="G162" s="57"/>
      <c r="H162" s="59"/>
      <c r="I162" s="60" t="str">
        <f aca="false">IF(B162="","",C162+IF(D162="",0,D162/60*Settings!$C$7)+E162+F162+Settings!$C$8)</f>
        <v/>
      </c>
      <c r="J162" s="60" t="str">
        <f aca="false">IF(B162="","",MAX(0,($I162+(Settings!$C$12+Settings!$C$13)-$G162*(1-(Settings!$C$10+Settings!$C$11+IF(Settings!$C$15="Yes / Sí",Settings!$C$14,0))))/(1-(Settings!$C$10+Settings!$C$11+IF(Settings!$C$15="Yes / Sí",Settings!$C$14,0)))))</f>
        <v/>
      </c>
      <c r="K162" s="60" t="str">
        <f aca="false">IF(B162="","",IF(1-(Settings!$C$10+Settings!$C$11+IF(Settings!$C$15="Yes / Sí",Settings!$C$14,0))-IF(H162="",Settings!$C$9,H162)&lt;=0,0,MAX(0,IF(Settings!$C$16="Yes / Sí",IF(ROUNDUP(($I162+(Settings!$C$12+Settings!$C$13)-$G162*(1-(Settings!$C$10+Settings!$C$11+IF(Settings!$C$15="Yes / Sí",Settings!$C$14,0))))/(1-(Settings!$C$10+Settings!$C$11+IF(Settings!$C$15="Yes / Sí",Settings!$C$14,0))-IF(H162="",Settings!$C$9,H162)),0)-0.01&gt;=($I162+(Settings!$C$12+Settings!$C$13)-$G162*(1-(Settings!$C$10+Settings!$C$11+IF(Settings!$C$15="Yes / Sí",Settings!$C$14,0))))/(1-(Settings!$C$10+Settings!$C$11+IF(Settings!$C$15="Yes / Sí",Settings!$C$14,0))-IF(H162="",Settings!$C$9,H162)),ROUNDUP(($I162+(Settings!$C$12+Settings!$C$13)-$G162*(1-(Settings!$C$10+Settings!$C$11+IF(Settings!$C$15="Yes / Sí",Settings!$C$14,0))))/(1-(Settings!$C$10+Settings!$C$11+IF(Settings!$C$15="Yes / Sí",Settings!$C$14,0))-IF(H162="",Settings!$C$9,H162)),0)-0.01,ROUNDUP(($I162+(Settings!$C$12+Settings!$C$13)-$G162*(1-(Settings!$C$10+Settings!$C$11+IF(Settings!$C$15="Yes / Sí",Settings!$C$14,0))))/(1-(Settings!$C$10+Settings!$C$11+IF(Settings!$C$15="Yes / Sí",Settings!$C$14,0))-IF(H162="",Settings!$C$9,H162)),0)+0.99),ROUNDUP(($I162+(Settings!$C$12+Settings!$C$13)-$G162*(1-(Settings!$C$10+Settings!$C$11+IF(Settings!$C$15="Yes / Sí",Settings!$C$14,0))))/(1-(Settings!$C$10+Settings!$C$11+IF(Settings!$C$15="Yes / Sí",Settings!$C$14,0))-IF(H162="",Settings!$C$9,H162)),2)))))</f>
        <v/>
      </c>
      <c r="L162" s="60" t="str">
        <f aca="false">IF(OR(B162="",K162=0),"",(K162+$G162-((K162+$G162)*(Settings!$C$10+Settings!$C$11+IF(Settings!$C$15="Yes / Sí",Settings!$C$14,0))+(Settings!$C$12+Settings!$C$13))-$I162))</f>
        <v/>
      </c>
      <c r="M162" s="57"/>
      <c r="N162" s="60" t="str">
        <f aca="false">IF(OR(B162="",M162=""),"",((M162+$G162)*(Settings!$C$10+Settings!$C$11+IF(Settings!$C$15="Yes / Sí",Settings!$C$14,0))+(Settings!$C$12+Settings!$C$13)))</f>
        <v/>
      </c>
      <c r="O162" s="60" t="str">
        <f aca="false">IF(OR(B162="",M162=""),"",(M162+$G162-((M162+$G162)*(Settings!$C$10+Settings!$C$11+IF(Settings!$C$15="Yes / Sí",Settings!$C$14,0))+(Settings!$C$12+Settings!$C$13))-$I162))</f>
        <v/>
      </c>
      <c r="P162" s="61" t="str">
        <f aca="false">IF(O162="","",IF(M162=0,0,O162/M162))</f>
        <v/>
      </c>
      <c r="Q162" s="60" t="str">
        <f aca="false">IF(OR(O162="",D162="",D162=0),"",(O162+D162/60*Settings!$C$7)/(D162/60))</f>
        <v/>
      </c>
      <c r="R162" s="62" t="str">
        <f aca="false">IF(B162="","",IF(M162="","Enter your price / Escribe tu precio",IF(O162&lt;0,"⚠ LOSING MONEY / PIERDES",IF(P162&lt;IF(H162="",Settings!$C$9,H162),"● BELOW TARGET / DEBAJO","✔ ON TARGET / EN OBJETIVO"))))</f>
        <v/>
      </c>
      <c r="T162" s="55" t="n">
        <f aca="false">IF(B162="",0,IF(M162="",0,1))</f>
        <v>0</v>
      </c>
      <c r="U162" s="55" t="n">
        <f aca="false">IF(T162=1,P162,0)</f>
        <v>0</v>
      </c>
      <c r="V162" s="55" t="n">
        <f aca="false">IF(T162=1,IF(O162&lt;0,0,IF(P162&lt;IF(H162="",Settings!$C$9,H162),1,0)),0)</f>
        <v>0</v>
      </c>
      <c r="W162" s="55" t="n">
        <f aca="false">IF(T162=1,IF(O162&lt;0,1,0),0)</f>
        <v>0</v>
      </c>
      <c r="X162" s="55" t="n">
        <f aca="false">IF(T162=1,M162,0)</f>
        <v>0</v>
      </c>
      <c r="Y162" s="55" t="n">
        <f aca="false">IF(T162=1,O162,0)</f>
        <v>0</v>
      </c>
      <c r="Z162" s="55" t="n">
        <f aca="false">IF(B162="",0,1)</f>
        <v>0</v>
      </c>
    </row>
    <row r="163" customFormat="false" ht="15" hidden="false" customHeight="false" outlineLevel="0" collapsed="false">
      <c r="B163" s="56"/>
      <c r="C163" s="57"/>
      <c r="D163" s="58"/>
      <c r="E163" s="57"/>
      <c r="F163" s="57"/>
      <c r="G163" s="57"/>
      <c r="H163" s="59"/>
      <c r="I163" s="60" t="str">
        <f aca="false">IF(B163="","",C163+IF(D163="",0,D163/60*Settings!$C$7)+E163+F163+Settings!$C$8)</f>
        <v/>
      </c>
      <c r="J163" s="60" t="str">
        <f aca="false">IF(B163="","",MAX(0,($I163+(Settings!$C$12+Settings!$C$13)-$G163*(1-(Settings!$C$10+Settings!$C$11+IF(Settings!$C$15="Yes / Sí",Settings!$C$14,0))))/(1-(Settings!$C$10+Settings!$C$11+IF(Settings!$C$15="Yes / Sí",Settings!$C$14,0)))))</f>
        <v/>
      </c>
      <c r="K163" s="60" t="str">
        <f aca="false">IF(B163="","",IF(1-(Settings!$C$10+Settings!$C$11+IF(Settings!$C$15="Yes / Sí",Settings!$C$14,0))-IF(H163="",Settings!$C$9,H163)&lt;=0,0,MAX(0,IF(Settings!$C$16="Yes / Sí",IF(ROUNDUP(($I163+(Settings!$C$12+Settings!$C$13)-$G163*(1-(Settings!$C$10+Settings!$C$11+IF(Settings!$C$15="Yes / Sí",Settings!$C$14,0))))/(1-(Settings!$C$10+Settings!$C$11+IF(Settings!$C$15="Yes / Sí",Settings!$C$14,0))-IF(H163="",Settings!$C$9,H163)),0)-0.01&gt;=($I163+(Settings!$C$12+Settings!$C$13)-$G163*(1-(Settings!$C$10+Settings!$C$11+IF(Settings!$C$15="Yes / Sí",Settings!$C$14,0))))/(1-(Settings!$C$10+Settings!$C$11+IF(Settings!$C$15="Yes / Sí",Settings!$C$14,0))-IF(H163="",Settings!$C$9,H163)),ROUNDUP(($I163+(Settings!$C$12+Settings!$C$13)-$G163*(1-(Settings!$C$10+Settings!$C$11+IF(Settings!$C$15="Yes / Sí",Settings!$C$14,0))))/(1-(Settings!$C$10+Settings!$C$11+IF(Settings!$C$15="Yes / Sí",Settings!$C$14,0))-IF(H163="",Settings!$C$9,H163)),0)-0.01,ROUNDUP(($I163+(Settings!$C$12+Settings!$C$13)-$G163*(1-(Settings!$C$10+Settings!$C$11+IF(Settings!$C$15="Yes / Sí",Settings!$C$14,0))))/(1-(Settings!$C$10+Settings!$C$11+IF(Settings!$C$15="Yes / Sí",Settings!$C$14,0))-IF(H163="",Settings!$C$9,H163)),0)+0.99),ROUNDUP(($I163+(Settings!$C$12+Settings!$C$13)-$G163*(1-(Settings!$C$10+Settings!$C$11+IF(Settings!$C$15="Yes / Sí",Settings!$C$14,0))))/(1-(Settings!$C$10+Settings!$C$11+IF(Settings!$C$15="Yes / Sí",Settings!$C$14,0))-IF(H163="",Settings!$C$9,H163)),2)))))</f>
        <v/>
      </c>
      <c r="L163" s="60" t="str">
        <f aca="false">IF(OR(B163="",K163=0),"",(K163+$G163-((K163+$G163)*(Settings!$C$10+Settings!$C$11+IF(Settings!$C$15="Yes / Sí",Settings!$C$14,0))+(Settings!$C$12+Settings!$C$13))-$I163))</f>
        <v/>
      </c>
      <c r="M163" s="57"/>
      <c r="N163" s="60" t="str">
        <f aca="false">IF(OR(B163="",M163=""),"",((M163+$G163)*(Settings!$C$10+Settings!$C$11+IF(Settings!$C$15="Yes / Sí",Settings!$C$14,0))+(Settings!$C$12+Settings!$C$13)))</f>
        <v/>
      </c>
      <c r="O163" s="60" t="str">
        <f aca="false">IF(OR(B163="",M163=""),"",(M163+$G163-((M163+$G163)*(Settings!$C$10+Settings!$C$11+IF(Settings!$C$15="Yes / Sí",Settings!$C$14,0))+(Settings!$C$12+Settings!$C$13))-$I163))</f>
        <v/>
      </c>
      <c r="P163" s="61" t="str">
        <f aca="false">IF(O163="","",IF(M163=0,0,O163/M163))</f>
        <v/>
      </c>
      <c r="Q163" s="60" t="str">
        <f aca="false">IF(OR(O163="",D163="",D163=0),"",(O163+D163/60*Settings!$C$7)/(D163/60))</f>
        <v/>
      </c>
      <c r="R163" s="62" t="str">
        <f aca="false">IF(B163="","",IF(M163="","Enter your price / Escribe tu precio",IF(O163&lt;0,"⚠ LOSING MONEY / PIERDES",IF(P163&lt;IF(H163="",Settings!$C$9,H163),"● BELOW TARGET / DEBAJO","✔ ON TARGET / EN OBJETIVO"))))</f>
        <v/>
      </c>
      <c r="T163" s="55" t="n">
        <f aca="false">IF(B163="",0,IF(M163="",0,1))</f>
        <v>0</v>
      </c>
      <c r="U163" s="55" t="n">
        <f aca="false">IF(T163=1,P163,0)</f>
        <v>0</v>
      </c>
      <c r="V163" s="55" t="n">
        <f aca="false">IF(T163=1,IF(O163&lt;0,0,IF(P163&lt;IF(H163="",Settings!$C$9,H163),1,0)),0)</f>
        <v>0</v>
      </c>
      <c r="W163" s="55" t="n">
        <f aca="false">IF(T163=1,IF(O163&lt;0,1,0),0)</f>
        <v>0</v>
      </c>
      <c r="X163" s="55" t="n">
        <f aca="false">IF(T163=1,M163,0)</f>
        <v>0</v>
      </c>
      <c r="Y163" s="55" t="n">
        <f aca="false">IF(T163=1,O163,0)</f>
        <v>0</v>
      </c>
      <c r="Z163" s="55" t="n">
        <f aca="false">IF(B163="",0,1)</f>
        <v>0</v>
      </c>
    </row>
    <row r="164" customFormat="false" ht="15" hidden="false" customHeight="false" outlineLevel="0" collapsed="false">
      <c r="B164" s="56"/>
      <c r="C164" s="57"/>
      <c r="D164" s="58"/>
      <c r="E164" s="57"/>
      <c r="F164" s="57"/>
      <c r="G164" s="57"/>
      <c r="H164" s="59"/>
      <c r="I164" s="60" t="str">
        <f aca="false">IF(B164="","",C164+IF(D164="",0,D164/60*Settings!$C$7)+E164+F164+Settings!$C$8)</f>
        <v/>
      </c>
      <c r="J164" s="60" t="str">
        <f aca="false">IF(B164="","",MAX(0,($I164+(Settings!$C$12+Settings!$C$13)-$G164*(1-(Settings!$C$10+Settings!$C$11+IF(Settings!$C$15="Yes / Sí",Settings!$C$14,0))))/(1-(Settings!$C$10+Settings!$C$11+IF(Settings!$C$15="Yes / Sí",Settings!$C$14,0)))))</f>
        <v/>
      </c>
      <c r="K164" s="60" t="str">
        <f aca="false">IF(B164="","",IF(1-(Settings!$C$10+Settings!$C$11+IF(Settings!$C$15="Yes / Sí",Settings!$C$14,0))-IF(H164="",Settings!$C$9,H164)&lt;=0,0,MAX(0,IF(Settings!$C$16="Yes / Sí",IF(ROUNDUP(($I164+(Settings!$C$12+Settings!$C$13)-$G164*(1-(Settings!$C$10+Settings!$C$11+IF(Settings!$C$15="Yes / Sí",Settings!$C$14,0))))/(1-(Settings!$C$10+Settings!$C$11+IF(Settings!$C$15="Yes / Sí",Settings!$C$14,0))-IF(H164="",Settings!$C$9,H164)),0)-0.01&gt;=($I164+(Settings!$C$12+Settings!$C$13)-$G164*(1-(Settings!$C$10+Settings!$C$11+IF(Settings!$C$15="Yes / Sí",Settings!$C$14,0))))/(1-(Settings!$C$10+Settings!$C$11+IF(Settings!$C$15="Yes / Sí",Settings!$C$14,0))-IF(H164="",Settings!$C$9,H164)),ROUNDUP(($I164+(Settings!$C$12+Settings!$C$13)-$G164*(1-(Settings!$C$10+Settings!$C$11+IF(Settings!$C$15="Yes / Sí",Settings!$C$14,0))))/(1-(Settings!$C$10+Settings!$C$11+IF(Settings!$C$15="Yes / Sí",Settings!$C$14,0))-IF(H164="",Settings!$C$9,H164)),0)-0.01,ROUNDUP(($I164+(Settings!$C$12+Settings!$C$13)-$G164*(1-(Settings!$C$10+Settings!$C$11+IF(Settings!$C$15="Yes / Sí",Settings!$C$14,0))))/(1-(Settings!$C$10+Settings!$C$11+IF(Settings!$C$15="Yes / Sí",Settings!$C$14,0))-IF(H164="",Settings!$C$9,H164)),0)+0.99),ROUNDUP(($I164+(Settings!$C$12+Settings!$C$13)-$G164*(1-(Settings!$C$10+Settings!$C$11+IF(Settings!$C$15="Yes / Sí",Settings!$C$14,0))))/(1-(Settings!$C$10+Settings!$C$11+IF(Settings!$C$15="Yes / Sí",Settings!$C$14,0))-IF(H164="",Settings!$C$9,H164)),2)))))</f>
        <v/>
      </c>
      <c r="L164" s="60" t="str">
        <f aca="false">IF(OR(B164="",K164=0),"",(K164+$G164-((K164+$G164)*(Settings!$C$10+Settings!$C$11+IF(Settings!$C$15="Yes / Sí",Settings!$C$14,0))+(Settings!$C$12+Settings!$C$13))-$I164))</f>
        <v/>
      </c>
      <c r="M164" s="57"/>
      <c r="N164" s="60" t="str">
        <f aca="false">IF(OR(B164="",M164=""),"",((M164+$G164)*(Settings!$C$10+Settings!$C$11+IF(Settings!$C$15="Yes / Sí",Settings!$C$14,0))+(Settings!$C$12+Settings!$C$13)))</f>
        <v/>
      </c>
      <c r="O164" s="60" t="str">
        <f aca="false">IF(OR(B164="",M164=""),"",(M164+$G164-((M164+$G164)*(Settings!$C$10+Settings!$C$11+IF(Settings!$C$15="Yes / Sí",Settings!$C$14,0))+(Settings!$C$12+Settings!$C$13))-$I164))</f>
        <v/>
      </c>
      <c r="P164" s="61" t="str">
        <f aca="false">IF(O164="","",IF(M164=0,0,O164/M164))</f>
        <v/>
      </c>
      <c r="Q164" s="60" t="str">
        <f aca="false">IF(OR(O164="",D164="",D164=0),"",(O164+D164/60*Settings!$C$7)/(D164/60))</f>
        <v/>
      </c>
      <c r="R164" s="62" t="str">
        <f aca="false">IF(B164="","",IF(M164="","Enter your price / Escribe tu precio",IF(O164&lt;0,"⚠ LOSING MONEY / PIERDES",IF(P164&lt;IF(H164="",Settings!$C$9,H164),"● BELOW TARGET / DEBAJO","✔ ON TARGET / EN OBJETIVO"))))</f>
        <v/>
      </c>
      <c r="T164" s="55" t="n">
        <f aca="false">IF(B164="",0,IF(M164="",0,1))</f>
        <v>0</v>
      </c>
      <c r="U164" s="55" t="n">
        <f aca="false">IF(T164=1,P164,0)</f>
        <v>0</v>
      </c>
      <c r="V164" s="55" t="n">
        <f aca="false">IF(T164=1,IF(O164&lt;0,0,IF(P164&lt;IF(H164="",Settings!$C$9,H164),1,0)),0)</f>
        <v>0</v>
      </c>
      <c r="W164" s="55" t="n">
        <f aca="false">IF(T164=1,IF(O164&lt;0,1,0),0)</f>
        <v>0</v>
      </c>
      <c r="X164" s="55" t="n">
        <f aca="false">IF(T164=1,M164,0)</f>
        <v>0</v>
      </c>
      <c r="Y164" s="55" t="n">
        <f aca="false">IF(T164=1,O164,0)</f>
        <v>0</v>
      </c>
      <c r="Z164" s="55" t="n">
        <f aca="false">IF(B164="",0,1)</f>
        <v>0</v>
      </c>
    </row>
    <row r="165" customFormat="false" ht="15" hidden="false" customHeight="false" outlineLevel="0" collapsed="false">
      <c r="B165" s="56"/>
      <c r="C165" s="57"/>
      <c r="D165" s="58"/>
      <c r="E165" s="57"/>
      <c r="F165" s="57"/>
      <c r="G165" s="57"/>
      <c r="H165" s="59"/>
      <c r="I165" s="60" t="str">
        <f aca="false">IF(B165="","",C165+IF(D165="",0,D165/60*Settings!$C$7)+E165+F165+Settings!$C$8)</f>
        <v/>
      </c>
      <c r="J165" s="60" t="str">
        <f aca="false">IF(B165="","",MAX(0,($I165+(Settings!$C$12+Settings!$C$13)-$G165*(1-(Settings!$C$10+Settings!$C$11+IF(Settings!$C$15="Yes / Sí",Settings!$C$14,0))))/(1-(Settings!$C$10+Settings!$C$11+IF(Settings!$C$15="Yes / Sí",Settings!$C$14,0)))))</f>
        <v/>
      </c>
      <c r="K165" s="60" t="str">
        <f aca="false">IF(B165="","",IF(1-(Settings!$C$10+Settings!$C$11+IF(Settings!$C$15="Yes / Sí",Settings!$C$14,0))-IF(H165="",Settings!$C$9,H165)&lt;=0,0,MAX(0,IF(Settings!$C$16="Yes / Sí",IF(ROUNDUP(($I165+(Settings!$C$12+Settings!$C$13)-$G165*(1-(Settings!$C$10+Settings!$C$11+IF(Settings!$C$15="Yes / Sí",Settings!$C$14,0))))/(1-(Settings!$C$10+Settings!$C$11+IF(Settings!$C$15="Yes / Sí",Settings!$C$14,0))-IF(H165="",Settings!$C$9,H165)),0)-0.01&gt;=($I165+(Settings!$C$12+Settings!$C$13)-$G165*(1-(Settings!$C$10+Settings!$C$11+IF(Settings!$C$15="Yes / Sí",Settings!$C$14,0))))/(1-(Settings!$C$10+Settings!$C$11+IF(Settings!$C$15="Yes / Sí",Settings!$C$14,0))-IF(H165="",Settings!$C$9,H165)),ROUNDUP(($I165+(Settings!$C$12+Settings!$C$13)-$G165*(1-(Settings!$C$10+Settings!$C$11+IF(Settings!$C$15="Yes / Sí",Settings!$C$14,0))))/(1-(Settings!$C$10+Settings!$C$11+IF(Settings!$C$15="Yes / Sí",Settings!$C$14,0))-IF(H165="",Settings!$C$9,H165)),0)-0.01,ROUNDUP(($I165+(Settings!$C$12+Settings!$C$13)-$G165*(1-(Settings!$C$10+Settings!$C$11+IF(Settings!$C$15="Yes / Sí",Settings!$C$14,0))))/(1-(Settings!$C$10+Settings!$C$11+IF(Settings!$C$15="Yes / Sí",Settings!$C$14,0))-IF(H165="",Settings!$C$9,H165)),0)+0.99),ROUNDUP(($I165+(Settings!$C$12+Settings!$C$13)-$G165*(1-(Settings!$C$10+Settings!$C$11+IF(Settings!$C$15="Yes / Sí",Settings!$C$14,0))))/(1-(Settings!$C$10+Settings!$C$11+IF(Settings!$C$15="Yes / Sí",Settings!$C$14,0))-IF(H165="",Settings!$C$9,H165)),2)))))</f>
        <v/>
      </c>
      <c r="L165" s="60" t="str">
        <f aca="false">IF(OR(B165="",K165=0),"",(K165+$G165-((K165+$G165)*(Settings!$C$10+Settings!$C$11+IF(Settings!$C$15="Yes / Sí",Settings!$C$14,0))+(Settings!$C$12+Settings!$C$13))-$I165))</f>
        <v/>
      </c>
      <c r="M165" s="57"/>
      <c r="N165" s="60" t="str">
        <f aca="false">IF(OR(B165="",M165=""),"",((M165+$G165)*(Settings!$C$10+Settings!$C$11+IF(Settings!$C$15="Yes / Sí",Settings!$C$14,0))+(Settings!$C$12+Settings!$C$13)))</f>
        <v/>
      </c>
      <c r="O165" s="60" t="str">
        <f aca="false">IF(OR(B165="",M165=""),"",(M165+$G165-((M165+$G165)*(Settings!$C$10+Settings!$C$11+IF(Settings!$C$15="Yes / Sí",Settings!$C$14,0))+(Settings!$C$12+Settings!$C$13))-$I165))</f>
        <v/>
      </c>
      <c r="P165" s="61" t="str">
        <f aca="false">IF(O165="","",IF(M165=0,0,O165/M165))</f>
        <v/>
      </c>
      <c r="Q165" s="60" t="str">
        <f aca="false">IF(OR(O165="",D165="",D165=0),"",(O165+D165/60*Settings!$C$7)/(D165/60))</f>
        <v/>
      </c>
      <c r="R165" s="62" t="str">
        <f aca="false">IF(B165="","",IF(M165="","Enter your price / Escribe tu precio",IF(O165&lt;0,"⚠ LOSING MONEY / PIERDES",IF(P165&lt;IF(H165="",Settings!$C$9,H165),"● BELOW TARGET / DEBAJO","✔ ON TARGET / EN OBJETIVO"))))</f>
        <v/>
      </c>
      <c r="T165" s="55" t="n">
        <f aca="false">IF(B165="",0,IF(M165="",0,1))</f>
        <v>0</v>
      </c>
      <c r="U165" s="55" t="n">
        <f aca="false">IF(T165=1,P165,0)</f>
        <v>0</v>
      </c>
      <c r="V165" s="55" t="n">
        <f aca="false">IF(T165=1,IF(O165&lt;0,0,IF(P165&lt;IF(H165="",Settings!$C$9,H165),1,0)),0)</f>
        <v>0</v>
      </c>
      <c r="W165" s="55" t="n">
        <f aca="false">IF(T165=1,IF(O165&lt;0,1,0),0)</f>
        <v>0</v>
      </c>
      <c r="X165" s="55" t="n">
        <f aca="false">IF(T165=1,M165,0)</f>
        <v>0</v>
      </c>
      <c r="Y165" s="55" t="n">
        <f aca="false">IF(T165=1,O165,0)</f>
        <v>0</v>
      </c>
      <c r="Z165" s="55" t="n">
        <f aca="false">IF(B165="",0,1)</f>
        <v>0</v>
      </c>
    </row>
    <row r="166" customFormat="false" ht="15" hidden="false" customHeight="false" outlineLevel="0" collapsed="false">
      <c r="B166" s="56"/>
      <c r="C166" s="57"/>
      <c r="D166" s="58"/>
      <c r="E166" s="57"/>
      <c r="F166" s="57"/>
      <c r="G166" s="57"/>
      <c r="H166" s="59"/>
      <c r="I166" s="60" t="str">
        <f aca="false">IF(B166="","",C166+IF(D166="",0,D166/60*Settings!$C$7)+E166+F166+Settings!$C$8)</f>
        <v/>
      </c>
      <c r="J166" s="60" t="str">
        <f aca="false">IF(B166="","",MAX(0,($I166+(Settings!$C$12+Settings!$C$13)-$G166*(1-(Settings!$C$10+Settings!$C$11+IF(Settings!$C$15="Yes / Sí",Settings!$C$14,0))))/(1-(Settings!$C$10+Settings!$C$11+IF(Settings!$C$15="Yes / Sí",Settings!$C$14,0)))))</f>
        <v/>
      </c>
      <c r="K166" s="60" t="str">
        <f aca="false">IF(B166="","",IF(1-(Settings!$C$10+Settings!$C$11+IF(Settings!$C$15="Yes / Sí",Settings!$C$14,0))-IF(H166="",Settings!$C$9,H166)&lt;=0,0,MAX(0,IF(Settings!$C$16="Yes / Sí",IF(ROUNDUP(($I166+(Settings!$C$12+Settings!$C$13)-$G166*(1-(Settings!$C$10+Settings!$C$11+IF(Settings!$C$15="Yes / Sí",Settings!$C$14,0))))/(1-(Settings!$C$10+Settings!$C$11+IF(Settings!$C$15="Yes / Sí",Settings!$C$14,0))-IF(H166="",Settings!$C$9,H166)),0)-0.01&gt;=($I166+(Settings!$C$12+Settings!$C$13)-$G166*(1-(Settings!$C$10+Settings!$C$11+IF(Settings!$C$15="Yes / Sí",Settings!$C$14,0))))/(1-(Settings!$C$10+Settings!$C$11+IF(Settings!$C$15="Yes / Sí",Settings!$C$14,0))-IF(H166="",Settings!$C$9,H166)),ROUNDUP(($I166+(Settings!$C$12+Settings!$C$13)-$G166*(1-(Settings!$C$10+Settings!$C$11+IF(Settings!$C$15="Yes / Sí",Settings!$C$14,0))))/(1-(Settings!$C$10+Settings!$C$11+IF(Settings!$C$15="Yes / Sí",Settings!$C$14,0))-IF(H166="",Settings!$C$9,H166)),0)-0.01,ROUNDUP(($I166+(Settings!$C$12+Settings!$C$13)-$G166*(1-(Settings!$C$10+Settings!$C$11+IF(Settings!$C$15="Yes / Sí",Settings!$C$14,0))))/(1-(Settings!$C$10+Settings!$C$11+IF(Settings!$C$15="Yes / Sí",Settings!$C$14,0))-IF(H166="",Settings!$C$9,H166)),0)+0.99),ROUNDUP(($I166+(Settings!$C$12+Settings!$C$13)-$G166*(1-(Settings!$C$10+Settings!$C$11+IF(Settings!$C$15="Yes / Sí",Settings!$C$14,0))))/(1-(Settings!$C$10+Settings!$C$11+IF(Settings!$C$15="Yes / Sí",Settings!$C$14,0))-IF(H166="",Settings!$C$9,H166)),2)))))</f>
        <v/>
      </c>
      <c r="L166" s="60" t="str">
        <f aca="false">IF(OR(B166="",K166=0),"",(K166+$G166-((K166+$G166)*(Settings!$C$10+Settings!$C$11+IF(Settings!$C$15="Yes / Sí",Settings!$C$14,0))+(Settings!$C$12+Settings!$C$13))-$I166))</f>
        <v/>
      </c>
      <c r="M166" s="57"/>
      <c r="N166" s="60" t="str">
        <f aca="false">IF(OR(B166="",M166=""),"",((M166+$G166)*(Settings!$C$10+Settings!$C$11+IF(Settings!$C$15="Yes / Sí",Settings!$C$14,0))+(Settings!$C$12+Settings!$C$13)))</f>
        <v/>
      </c>
      <c r="O166" s="60" t="str">
        <f aca="false">IF(OR(B166="",M166=""),"",(M166+$G166-((M166+$G166)*(Settings!$C$10+Settings!$C$11+IF(Settings!$C$15="Yes / Sí",Settings!$C$14,0))+(Settings!$C$12+Settings!$C$13))-$I166))</f>
        <v/>
      </c>
      <c r="P166" s="61" t="str">
        <f aca="false">IF(O166="","",IF(M166=0,0,O166/M166))</f>
        <v/>
      </c>
      <c r="Q166" s="60" t="str">
        <f aca="false">IF(OR(O166="",D166="",D166=0),"",(O166+D166/60*Settings!$C$7)/(D166/60))</f>
        <v/>
      </c>
      <c r="R166" s="62" t="str">
        <f aca="false">IF(B166="","",IF(M166="","Enter your price / Escribe tu precio",IF(O166&lt;0,"⚠ LOSING MONEY / PIERDES",IF(P166&lt;IF(H166="",Settings!$C$9,H166),"● BELOW TARGET / DEBAJO","✔ ON TARGET / EN OBJETIVO"))))</f>
        <v/>
      </c>
      <c r="T166" s="55" t="n">
        <f aca="false">IF(B166="",0,IF(M166="",0,1))</f>
        <v>0</v>
      </c>
      <c r="U166" s="55" t="n">
        <f aca="false">IF(T166=1,P166,0)</f>
        <v>0</v>
      </c>
      <c r="V166" s="55" t="n">
        <f aca="false">IF(T166=1,IF(O166&lt;0,0,IF(P166&lt;IF(H166="",Settings!$C$9,H166),1,0)),0)</f>
        <v>0</v>
      </c>
      <c r="W166" s="55" t="n">
        <f aca="false">IF(T166=1,IF(O166&lt;0,1,0),0)</f>
        <v>0</v>
      </c>
      <c r="X166" s="55" t="n">
        <f aca="false">IF(T166=1,M166,0)</f>
        <v>0</v>
      </c>
      <c r="Y166" s="55" t="n">
        <f aca="false">IF(T166=1,O166,0)</f>
        <v>0</v>
      </c>
      <c r="Z166" s="55" t="n">
        <f aca="false">IF(B166="",0,1)</f>
        <v>0</v>
      </c>
    </row>
    <row r="167" customFormat="false" ht="15" hidden="false" customHeight="false" outlineLevel="0" collapsed="false">
      <c r="B167" s="56"/>
      <c r="C167" s="57"/>
      <c r="D167" s="58"/>
      <c r="E167" s="57"/>
      <c r="F167" s="57"/>
      <c r="G167" s="57"/>
      <c r="H167" s="59"/>
      <c r="I167" s="60" t="str">
        <f aca="false">IF(B167="","",C167+IF(D167="",0,D167/60*Settings!$C$7)+E167+F167+Settings!$C$8)</f>
        <v/>
      </c>
      <c r="J167" s="60" t="str">
        <f aca="false">IF(B167="","",MAX(0,($I167+(Settings!$C$12+Settings!$C$13)-$G167*(1-(Settings!$C$10+Settings!$C$11+IF(Settings!$C$15="Yes / Sí",Settings!$C$14,0))))/(1-(Settings!$C$10+Settings!$C$11+IF(Settings!$C$15="Yes / Sí",Settings!$C$14,0)))))</f>
        <v/>
      </c>
      <c r="K167" s="60" t="str">
        <f aca="false">IF(B167="","",IF(1-(Settings!$C$10+Settings!$C$11+IF(Settings!$C$15="Yes / Sí",Settings!$C$14,0))-IF(H167="",Settings!$C$9,H167)&lt;=0,0,MAX(0,IF(Settings!$C$16="Yes / Sí",IF(ROUNDUP(($I167+(Settings!$C$12+Settings!$C$13)-$G167*(1-(Settings!$C$10+Settings!$C$11+IF(Settings!$C$15="Yes / Sí",Settings!$C$14,0))))/(1-(Settings!$C$10+Settings!$C$11+IF(Settings!$C$15="Yes / Sí",Settings!$C$14,0))-IF(H167="",Settings!$C$9,H167)),0)-0.01&gt;=($I167+(Settings!$C$12+Settings!$C$13)-$G167*(1-(Settings!$C$10+Settings!$C$11+IF(Settings!$C$15="Yes / Sí",Settings!$C$14,0))))/(1-(Settings!$C$10+Settings!$C$11+IF(Settings!$C$15="Yes / Sí",Settings!$C$14,0))-IF(H167="",Settings!$C$9,H167)),ROUNDUP(($I167+(Settings!$C$12+Settings!$C$13)-$G167*(1-(Settings!$C$10+Settings!$C$11+IF(Settings!$C$15="Yes / Sí",Settings!$C$14,0))))/(1-(Settings!$C$10+Settings!$C$11+IF(Settings!$C$15="Yes / Sí",Settings!$C$14,0))-IF(H167="",Settings!$C$9,H167)),0)-0.01,ROUNDUP(($I167+(Settings!$C$12+Settings!$C$13)-$G167*(1-(Settings!$C$10+Settings!$C$11+IF(Settings!$C$15="Yes / Sí",Settings!$C$14,0))))/(1-(Settings!$C$10+Settings!$C$11+IF(Settings!$C$15="Yes / Sí",Settings!$C$14,0))-IF(H167="",Settings!$C$9,H167)),0)+0.99),ROUNDUP(($I167+(Settings!$C$12+Settings!$C$13)-$G167*(1-(Settings!$C$10+Settings!$C$11+IF(Settings!$C$15="Yes / Sí",Settings!$C$14,0))))/(1-(Settings!$C$10+Settings!$C$11+IF(Settings!$C$15="Yes / Sí",Settings!$C$14,0))-IF(H167="",Settings!$C$9,H167)),2)))))</f>
        <v/>
      </c>
      <c r="L167" s="60" t="str">
        <f aca="false">IF(OR(B167="",K167=0),"",(K167+$G167-((K167+$G167)*(Settings!$C$10+Settings!$C$11+IF(Settings!$C$15="Yes / Sí",Settings!$C$14,0))+(Settings!$C$12+Settings!$C$13))-$I167))</f>
        <v/>
      </c>
      <c r="M167" s="57"/>
      <c r="N167" s="60" t="str">
        <f aca="false">IF(OR(B167="",M167=""),"",((M167+$G167)*(Settings!$C$10+Settings!$C$11+IF(Settings!$C$15="Yes / Sí",Settings!$C$14,0))+(Settings!$C$12+Settings!$C$13)))</f>
        <v/>
      </c>
      <c r="O167" s="60" t="str">
        <f aca="false">IF(OR(B167="",M167=""),"",(M167+$G167-((M167+$G167)*(Settings!$C$10+Settings!$C$11+IF(Settings!$C$15="Yes / Sí",Settings!$C$14,0))+(Settings!$C$12+Settings!$C$13))-$I167))</f>
        <v/>
      </c>
      <c r="P167" s="61" t="str">
        <f aca="false">IF(O167="","",IF(M167=0,0,O167/M167))</f>
        <v/>
      </c>
      <c r="Q167" s="60" t="str">
        <f aca="false">IF(OR(O167="",D167="",D167=0),"",(O167+D167/60*Settings!$C$7)/(D167/60))</f>
        <v/>
      </c>
      <c r="R167" s="62" t="str">
        <f aca="false">IF(B167="","",IF(M167="","Enter your price / Escribe tu precio",IF(O167&lt;0,"⚠ LOSING MONEY / PIERDES",IF(P167&lt;IF(H167="",Settings!$C$9,H167),"● BELOW TARGET / DEBAJO","✔ ON TARGET / EN OBJETIVO"))))</f>
        <v/>
      </c>
      <c r="T167" s="55" t="n">
        <f aca="false">IF(B167="",0,IF(M167="",0,1))</f>
        <v>0</v>
      </c>
      <c r="U167" s="55" t="n">
        <f aca="false">IF(T167=1,P167,0)</f>
        <v>0</v>
      </c>
      <c r="V167" s="55" t="n">
        <f aca="false">IF(T167=1,IF(O167&lt;0,0,IF(P167&lt;IF(H167="",Settings!$C$9,H167),1,0)),0)</f>
        <v>0</v>
      </c>
      <c r="W167" s="55" t="n">
        <f aca="false">IF(T167=1,IF(O167&lt;0,1,0),0)</f>
        <v>0</v>
      </c>
      <c r="X167" s="55" t="n">
        <f aca="false">IF(T167=1,M167,0)</f>
        <v>0</v>
      </c>
      <c r="Y167" s="55" t="n">
        <f aca="false">IF(T167=1,O167,0)</f>
        <v>0</v>
      </c>
      <c r="Z167" s="55" t="n">
        <f aca="false">IF(B167="",0,1)</f>
        <v>0</v>
      </c>
    </row>
    <row r="168" customFormat="false" ht="15" hidden="false" customHeight="false" outlineLevel="0" collapsed="false">
      <c r="B168" s="56"/>
      <c r="C168" s="57"/>
      <c r="D168" s="58"/>
      <c r="E168" s="57"/>
      <c r="F168" s="57"/>
      <c r="G168" s="57"/>
      <c r="H168" s="59"/>
      <c r="I168" s="60" t="str">
        <f aca="false">IF(B168="","",C168+IF(D168="",0,D168/60*Settings!$C$7)+E168+F168+Settings!$C$8)</f>
        <v/>
      </c>
      <c r="J168" s="60" t="str">
        <f aca="false">IF(B168="","",MAX(0,($I168+(Settings!$C$12+Settings!$C$13)-$G168*(1-(Settings!$C$10+Settings!$C$11+IF(Settings!$C$15="Yes / Sí",Settings!$C$14,0))))/(1-(Settings!$C$10+Settings!$C$11+IF(Settings!$C$15="Yes / Sí",Settings!$C$14,0)))))</f>
        <v/>
      </c>
      <c r="K168" s="60" t="str">
        <f aca="false">IF(B168="","",IF(1-(Settings!$C$10+Settings!$C$11+IF(Settings!$C$15="Yes / Sí",Settings!$C$14,0))-IF(H168="",Settings!$C$9,H168)&lt;=0,0,MAX(0,IF(Settings!$C$16="Yes / Sí",IF(ROUNDUP(($I168+(Settings!$C$12+Settings!$C$13)-$G168*(1-(Settings!$C$10+Settings!$C$11+IF(Settings!$C$15="Yes / Sí",Settings!$C$14,0))))/(1-(Settings!$C$10+Settings!$C$11+IF(Settings!$C$15="Yes / Sí",Settings!$C$14,0))-IF(H168="",Settings!$C$9,H168)),0)-0.01&gt;=($I168+(Settings!$C$12+Settings!$C$13)-$G168*(1-(Settings!$C$10+Settings!$C$11+IF(Settings!$C$15="Yes / Sí",Settings!$C$14,0))))/(1-(Settings!$C$10+Settings!$C$11+IF(Settings!$C$15="Yes / Sí",Settings!$C$14,0))-IF(H168="",Settings!$C$9,H168)),ROUNDUP(($I168+(Settings!$C$12+Settings!$C$13)-$G168*(1-(Settings!$C$10+Settings!$C$11+IF(Settings!$C$15="Yes / Sí",Settings!$C$14,0))))/(1-(Settings!$C$10+Settings!$C$11+IF(Settings!$C$15="Yes / Sí",Settings!$C$14,0))-IF(H168="",Settings!$C$9,H168)),0)-0.01,ROUNDUP(($I168+(Settings!$C$12+Settings!$C$13)-$G168*(1-(Settings!$C$10+Settings!$C$11+IF(Settings!$C$15="Yes / Sí",Settings!$C$14,0))))/(1-(Settings!$C$10+Settings!$C$11+IF(Settings!$C$15="Yes / Sí",Settings!$C$14,0))-IF(H168="",Settings!$C$9,H168)),0)+0.99),ROUNDUP(($I168+(Settings!$C$12+Settings!$C$13)-$G168*(1-(Settings!$C$10+Settings!$C$11+IF(Settings!$C$15="Yes / Sí",Settings!$C$14,0))))/(1-(Settings!$C$10+Settings!$C$11+IF(Settings!$C$15="Yes / Sí",Settings!$C$14,0))-IF(H168="",Settings!$C$9,H168)),2)))))</f>
        <v/>
      </c>
      <c r="L168" s="60" t="str">
        <f aca="false">IF(OR(B168="",K168=0),"",(K168+$G168-((K168+$G168)*(Settings!$C$10+Settings!$C$11+IF(Settings!$C$15="Yes / Sí",Settings!$C$14,0))+(Settings!$C$12+Settings!$C$13))-$I168))</f>
        <v/>
      </c>
      <c r="M168" s="57"/>
      <c r="N168" s="60" t="str">
        <f aca="false">IF(OR(B168="",M168=""),"",((M168+$G168)*(Settings!$C$10+Settings!$C$11+IF(Settings!$C$15="Yes / Sí",Settings!$C$14,0))+(Settings!$C$12+Settings!$C$13)))</f>
        <v/>
      </c>
      <c r="O168" s="60" t="str">
        <f aca="false">IF(OR(B168="",M168=""),"",(M168+$G168-((M168+$G168)*(Settings!$C$10+Settings!$C$11+IF(Settings!$C$15="Yes / Sí",Settings!$C$14,0))+(Settings!$C$12+Settings!$C$13))-$I168))</f>
        <v/>
      </c>
      <c r="P168" s="61" t="str">
        <f aca="false">IF(O168="","",IF(M168=0,0,O168/M168))</f>
        <v/>
      </c>
      <c r="Q168" s="60" t="str">
        <f aca="false">IF(OR(O168="",D168="",D168=0),"",(O168+D168/60*Settings!$C$7)/(D168/60))</f>
        <v/>
      </c>
      <c r="R168" s="62" t="str">
        <f aca="false">IF(B168="","",IF(M168="","Enter your price / Escribe tu precio",IF(O168&lt;0,"⚠ LOSING MONEY / PIERDES",IF(P168&lt;IF(H168="",Settings!$C$9,H168),"● BELOW TARGET / DEBAJO","✔ ON TARGET / EN OBJETIVO"))))</f>
        <v/>
      </c>
      <c r="T168" s="55" t="n">
        <f aca="false">IF(B168="",0,IF(M168="",0,1))</f>
        <v>0</v>
      </c>
      <c r="U168" s="55" t="n">
        <f aca="false">IF(T168=1,P168,0)</f>
        <v>0</v>
      </c>
      <c r="V168" s="55" t="n">
        <f aca="false">IF(T168=1,IF(O168&lt;0,0,IF(P168&lt;IF(H168="",Settings!$C$9,H168),1,0)),0)</f>
        <v>0</v>
      </c>
      <c r="W168" s="55" t="n">
        <f aca="false">IF(T168=1,IF(O168&lt;0,1,0),0)</f>
        <v>0</v>
      </c>
      <c r="X168" s="55" t="n">
        <f aca="false">IF(T168=1,M168,0)</f>
        <v>0</v>
      </c>
      <c r="Y168" s="55" t="n">
        <f aca="false">IF(T168=1,O168,0)</f>
        <v>0</v>
      </c>
      <c r="Z168" s="55" t="n">
        <f aca="false">IF(B168="",0,1)</f>
        <v>0</v>
      </c>
    </row>
    <row r="169" customFormat="false" ht="15" hidden="false" customHeight="false" outlineLevel="0" collapsed="false">
      <c r="B169" s="56"/>
      <c r="C169" s="57"/>
      <c r="D169" s="58"/>
      <c r="E169" s="57"/>
      <c r="F169" s="57"/>
      <c r="G169" s="57"/>
      <c r="H169" s="59"/>
      <c r="I169" s="60" t="str">
        <f aca="false">IF(B169="","",C169+IF(D169="",0,D169/60*Settings!$C$7)+E169+F169+Settings!$C$8)</f>
        <v/>
      </c>
      <c r="J169" s="60" t="str">
        <f aca="false">IF(B169="","",MAX(0,($I169+(Settings!$C$12+Settings!$C$13)-$G169*(1-(Settings!$C$10+Settings!$C$11+IF(Settings!$C$15="Yes / Sí",Settings!$C$14,0))))/(1-(Settings!$C$10+Settings!$C$11+IF(Settings!$C$15="Yes / Sí",Settings!$C$14,0)))))</f>
        <v/>
      </c>
      <c r="K169" s="60" t="str">
        <f aca="false">IF(B169="","",IF(1-(Settings!$C$10+Settings!$C$11+IF(Settings!$C$15="Yes / Sí",Settings!$C$14,0))-IF(H169="",Settings!$C$9,H169)&lt;=0,0,MAX(0,IF(Settings!$C$16="Yes / Sí",IF(ROUNDUP(($I169+(Settings!$C$12+Settings!$C$13)-$G169*(1-(Settings!$C$10+Settings!$C$11+IF(Settings!$C$15="Yes / Sí",Settings!$C$14,0))))/(1-(Settings!$C$10+Settings!$C$11+IF(Settings!$C$15="Yes / Sí",Settings!$C$14,0))-IF(H169="",Settings!$C$9,H169)),0)-0.01&gt;=($I169+(Settings!$C$12+Settings!$C$13)-$G169*(1-(Settings!$C$10+Settings!$C$11+IF(Settings!$C$15="Yes / Sí",Settings!$C$14,0))))/(1-(Settings!$C$10+Settings!$C$11+IF(Settings!$C$15="Yes / Sí",Settings!$C$14,0))-IF(H169="",Settings!$C$9,H169)),ROUNDUP(($I169+(Settings!$C$12+Settings!$C$13)-$G169*(1-(Settings!$C$10+Settings!$C$11+IF(Settings!$C$15="Yes / Sí",Settings!$C$14,0))))/(1-(Settings!$C$10+Settings!$C$11+IF(Settings!$C$15="Yes / Sí",Settings!$C$14,0))-IF(H169="",Settings!$C$9,H169)),0)-0.01,ROUNDUP(($I169+(Settings!$C$12+Settings!$C$13)-$G169*(1-(Settings!$C$10+Settings!$C$11+IF(Settings!$C$15="Yes / Sí",Settings!$C$14,0))))/(1-(Settings!$C$10+Settings!$C$11+IF(Settings!$C$15="Yes / Sí",Settings!$C$14,0))-IF(H169="",Settings!$C$9,H169)),0)+0.99),ROUNDUP(($I169+(Settings!$C$12+Settings!$C$13)-$G169*(1-(Settings!$C$10+Settings!$C$11+IF(Settings!$C$15="Yes / Sí",Settings!$C$14,0))))/(1-(Settings!$C$10+Settings!$C$11+IF(Settings!$C$15="Yes / Sí",Settings!$C$14,0))-IF(H169="",Settings!$C$9,H169)),2)))))</f>
        <v/>
      </c>
      <c r="L169" s="60" t="str">
        <f aca="false">IF(OR(B169="",K169=0),"",(K169+$G169-((K169+$G169)*(Settings!$C$10+Settings!$C$11+IF(Settings!$C$15="Yes / Sí",Settings!$C$14,0))+(Settings!$C$12+Settings!$C$13))-$I169))</f>
        <v/>
      </c>
      <c r="M169" s="57"/>
      <c r="N169" s="60" t="str">
        <f aca="false">IF(OR(B169="",M169=""),"",((M169+$G169)*(Settings!$C$10+Settings!$C$11+IF(Settings!$C$15="Yes / Sí",Settings!$C$14,0))+(Settings!$C$12+Settings!$C$13)))</f>
        <v/>
      </c>
      <c r="O169" s="60" t="str">
        <f aca="false">IF(OR(B169="",M169=""),"",(M169+$G169-((M169+$G169)*(Settings!$C$10+Settings!$C$11+IF(Settings!$C$15="Yes / Sí",Settings!$C$14,0))+(Settings!$C$12+Settings!$C$13))-$I169))</f>
        <v/>
      </c>
      <c r="P169" s="61" t="str">
        <f aca="false">IF(O169="","",IF(M169=0,0,O169/M169))</f>
        <v/>
      </c>
      <c r="Q169" s="60" t="str">
        <f aca="false">IF(OR(O169="",D169="",D169=0),"",(O169+D169/60*Settings!$C$7)/(D169/60))</f>
        <v/>
      </c>
      <c r="R169" s="62" t="str">
        <f aca="false">IF(B169="","",IF(M169="","Enter your price / Escribe tu precio",IF(O169&lt;0,"⚠ LOSING MONEY / PIERDES",IF(P169&lt;IF(H169="",Settings!$C$9,H169),"● BELOW TARGET / DEBAJO","✔ ON TARGET / EN OBJETIVO"))))</f>
        <v/>
      </c>
      <c r="T169" s="55" t="n">
        <f aca="false">IF(B169="",0,IF(M169="",0,1))</f>
        <v>0</v>
      </c>
      <c r="U169" s="55" t="n">
        <f aca="false">IF(T169=1,P169,0)</f>
        <v>0</v>
      </c>
      <c r="V169" s="55" t="n">
        <f aca="false">IF(T169=1,IF(O169&lt;0,0,IF(P169&lt;IF(H169="",Settings!$C$9,H169),1,0)),0)</f>
        <v>0</v>
      </c>
      <c r="W169" s="55" t="n">
        <f aca="false">IF(T169=1,IF(O169&lt;0,1,0),0)</f>
        <v>0</v>
      </c>
      <c r="X169" s="55" t="n">
        <f aca="false">IF(T169=1,M169,0)</f>
        <v>0</v>
      </c>
      <c r="Y169" s="55" t="n">
        <f aca="false">IF(T169=1,O169,0)</f>
        <v>0</v>
      </c>
      <c r="Z169" s="55" t="n">
        <f aca="false">IF(B169="",0,1)</f>
        <v>0</v>
      </c>
    </row>
    <row r="170" customFormat="false" ht="15" hidden="false" customHeight="false" outlineLevel="0" collapsed="false">
      <c r="B170" s="56"/>
      <c r="C170" s="57"/>
      <c r="D170" s="58"/>
      <c r="E170" s="57"/>
      <c r="F170" s="57"/>
      <c r="G170" s="57"/>
      <c r="H170" s="59"/>
      <c r="I170" s="60" t="str">
        <f aca="false">IF(B170="","",C170+IF(D170="",0,D170/60*Settings!$C$7)+E170+F170+Settings!$C$8)</f>
        <v/>
      </c>
      <c r="J170" s="60" t="str">
        <f aca="false">IF(B170="","",MAX(0,($I170+(Settings!$C$12+Settings!$C$13)-$G170*(1-(Settings!$C$10+Settings!$C$11+IF(Settings!$C$15="Yes / Sí",Settings!$C$14,0))))/(1-(Settings!$C$10+Settings!$C$11+IF(Settings!$C$15="Yes / Sí",Settings!$C$14,0)))))</f>
        <v/>
      </c>
      <c r="K170" s="60" t="str">
        <f aca="false">IF(B170="","",IF(1-(Settings!$C$10+Settings!$C$11+IF(Settings!$C$15="Yes / Sí",Settings!$C$14,0))-IF(H170="",Settings!$C$9,H170)&lt;=0,0,MAX(0,IF(Settings!$C$16="Yes / Sí",IF(ROUNDUP(($I170+(Settings!$C$12+Settings!$C$13)-$G170*(1-(Settings!$C$10+Settings!$C$11+IF(Settings!$C$15="Yes / Sí",Settings!$C$14,0))))/(1-(Settings!$C$10+Settings!$C$11+IF(Settings!$C$15="Yes / Sí",Settings!$C$14,0))-IF(H170="",Settings!$C$9,H170)),0)-0.01&gt;=($I170+(Settings!$C$12+Settings!$C$13)-$G170*(1-(Settings!$C$10+Settings!$C$11+IF(Settings!$C$15="Yes / Sí",Settings!$C$14,0))))/(1-(Settings!$C$10+Settings!$C$11+IF(Settings!$C$15="Yes / Sí",Settings!$C$14,0))-IF(H170="",Settings!$C$9,H170)),ROUNDUP(($I170+(Settings!$C$12+Settings!$C$13)-$G170*(1-(Settings!$C$10+Settings!$C$11+IF(Settings!$C$15="Yes / Sí",Settings!$C$14,0))))/(1-(Settings!$C$10+Settings!$C$11+IF(Settings!$C$15="Yes / Sí",Settings!$C$14,0))-IF(H170="",Settings!$C$9,H170)),0)-0.01,ROUNDUP(($I170+(Settings!$C$12+Settings!$C$13)-$G170*(1-(Settings!$C$10+Settings!$C$11+IF(Settings!$C$15="Yes / Sí",Settings!$C$14,0))))/(1-(Settings!$C$10+Settings!$C$11+IF(Settings!$C$15="Yes / Sí",Settings!$C$14,0))-IF(H170="",Settings!$C$9,H170)),0)+0.99),ROUNDUP(($I170+(Settings!$C$12+Settings!$C$13)-$G170*(1-(Settings!$C$10+Settings!$C$11+IF(Settings!$C$15="Yes / Sí",Settings!$C$14,0))))/(1-(Settings!$C$10+Settings!$C$11+IF(Settings!$C$15="Yes / Sí",Settings!$C$14,0))-IF(H170="",Settings!$C$9,H170)),2)))))</f>
        <v/>
      </c>
      <c r="L170" s="60" t="str">
        <f aca="false">IF(OR(B170="",K170=0),"",(K170+$G170-((K170+$G170)*(Settings!$C$10+Settings!$C$11+IF(Settings!$C$15="Yes / Sí",Settings!$C$14,0))+(Settings!$C$12+Settings!$C$13))-$I170))</f>
        <v/>
      </c>
      <c r="M170" s="57"/>
      <c r="N170" s="60" t="str">
        <f aca="false">IF(OR(B170="",M170=""),"",((M170+$G170)*(Settings!$C$10+Settings!$C$11+IF(Settings!$C$15="Yes / Sí",Settings!$C$14,0))+(Settings!$C$12+Settings!$C$13)))</f>
        <v/>
      </c>
      <c r="O170" s="60" t="str">
        <f aca="false">IF(OR(B170="",M170=""),"",(M170+$G170-((M170+$G170)*(Settings!$C$10+Settings!$C$11+IF(Settings!$C$15="Yes / Sí",Settings!$C$14,0))+(Settings!$C$12+Settings!$C$13))-$I170))</f>
        <v/>
      </c>
      <c r="P170" s="61" t="str">
        <f aca="false">IF(O170="","",IF(M170=0,0,O170/M170))</f>
        <v/>
      </c>
      <c r="Q170" s="60" t="str">
        <f aca="false">IF(OR(O170="",D170="",D170=0),"",(O170+D170/60*Settings!$C$7)/(D170/60))</f>
        <v/>
      </c>
      <c r="R170" s="62" t="str">
        <f aca="false">IF(B170="","",IF(M170="","Enter your price / Escribe tu precio",IF(O170&lt;0,"⚠ LOSING MONEY / PIERDES",IF(P170&lt;IF(H170="",Settings!$C$9,H170),"● BELOW TARGET / DEBAJO","✔ ON TARGET / EN OBJETIVO"))))</f>
        <v/>
      </c>
      <c r="T170" s="55" t="n">
        <f aca="false">IF(B170="",0,IF(M170="",0,1))</f>
        <v>0</v>
      </c>
      <c r="U170" s="55" t="n">
        <f aca="false">IF(T170=1,P170,0)</f>
        <v>0</v>
      </c>
      <c r="V170" s="55" t="n">
        <f aca="false">IF(T170=1,IF(O170&lt;0,0,IF(P170&lt;IF(H170="",Settings!$C$9,H170),1,0)),0)</f>
        <v>0</v>
      </c>
      <c r="W170" s="55" t="n">
        <f aca="false">IF(T170=1,IF(O170&lt;0,1,0),0)</f>
        <v>0</v>
      </c>
      <c r="X170" s="55" t="n">
        <f aca="false">IF(T170=1,M170,0)</f>
        <v>0</v>
      </c>
      <c r="Y170" s="55" t="n">
        <f aca="false">IF(T170=1,O170,0)</f>
        <v>0</v>
      </c>
      <c r="Z170" s="55" t="n">
        <f aca="false">IF(B170="",0,1)</f>
        <v>0</v>
      </c>
    </row>
    <row r="171" customFormat="false" ht="15" hidden="false" customHeight="false" outlineLevel="0" collapsed="false">
      <c r="B171" s="56"/>
      <c r="C171" s="57"/>
      <c r="D171" s="58"/>
      <c r="E171" s="57"/>
      <c r="F171" s="57"/>
      <c r="G171" s="57"/>
      <c r="H171" s="59"/>
      <c r="I171" s="60" t="str">
        <f aca="false">IF(B171="","",C171+IF(D171="",0,D171/60*Settings!$C$7)+E171+F171+Settings!$C$8)</f>
        <v/>
      </c>
      <c r="J171" s="60" t="str">
        <f aca="false">IF(B171="","",MAX(0,($I171+(Settings!$C$12+Settings!$C$13)-$G171*(1-(Settings!$C$10+Settings!$C$11+IF(Settings!$C$15="Yes / Sí",Settings!$C$14,0))))/(1-(Settings!$C$10+Settings!$C$11+IF(Settings!$C$15="Yes / Sí",Settings!$C$14,0)))))</f>
        <v/>
      </c>
      <c r="K171" s="60" t="str">
        <f aca="false">IF(B171="","",IF(1-(Settings!$C$10+Settings!$C$11+IF(Settings!$C$15="Yes / Sí",Settings!$C$14,0))-IF(H171="",Settings!$C$9,H171)&lt;=0,0,MAX(0,IF(Settings!$C$16="Yes / Sí",IF(ROUNDUP(($I171+(Settings!$C$12+Settings!$C$13)-$G171*(1-(Settings!$C$10+Settings!$C$11+IF(Settings!$C$15="Yes / Sí",Settings!$C$14,0))))/(1-(Settings!$C$10+Settings!$C$11+IF(Settings!$C$15="Yes / Sí",Settings!$C$14,0))-IF(H171="",Settings!$C$9,H171)),0)-0.01&gt;=($I171+(Settings!$C$12+Settings!$C$13)-$G171*(1-(Settings!$C$10+Settings!$C$11+IF(Settings!$C$15="Yes / Sí",Settings!$C$14,0))))/(1-(Settings!$C$10+Settings!$C$11+IF(Settings!$C$15="Yes / Sí",Settings!$C$14,0))-IF(H171="",Settings!$C$9,H171)),ROUNDUP(($I171+(Settings!$C$12+Settings!$C$13)-$G171*(1-(Settings!$C$10+Settings!$C$11+IF(Settings!$C$15="Yes / Sí",Settings!$C$14,0))))/(1-(Settings!$C$10+Settings!$C$11+IF(Settings!$C$15="Yes / Sí",Settings!$C$14,0))-IF(H171="",Settings!$C$9,H171)),0)-0.01,ROUNDUP(($I171+(Settings!$C$12+Settings!$C$13)-$G171*(1-(Settings!$C$10+Settings!$C$11+IF(Settings!$C$15="Yes / Sí",Settings!$C$14,0))))/(1-(Settings!$C$10+Settings!$C$11+IF(Settings!$C$15="Yes / Sí",Settings!$C$14,0))-IF(H171="",Settings!$C$9,H171)),0)+0.99),ROUNDUP(($I171+(Settings!$C$12+Settings!$C$13)-$G171*(1-(Settings!$C$10+Settings!$C$11+IF(Settings!$C$15="Yes / Sí",Settings!$C$14,0))))/(1-(Settings!$C$10+Settings!$C$11+IF(Settings!$C$15="Yes / Sí",Settings!$C$14,0))-IF(H171="",Settings!$C$9,H171)),2)))))</f>
        <v/>
      </c>
      <c r="L171" s="60" t="str">
        <f aca="false">IF(OR(B171="",K171=0),"",(K171+$G171-((K171+$G171)*(Settings!$C$10+Settings!$C$11+IF(Settings!$C$15="Yes / Sí",Settings!$C$14,0))+(Settings!$C$12+Settings!$C$13))-$I171))</f>
        <v/>
      </c>
      <c r="M171" s="57"/>
      <c r="N171" s="60" t="str">
        <f aca="false">IF(OR(B171="",M171=""),"",((M171+$G171)*(Settings!$C$10+Settings!$C$11+IF(Settings!$C$15="Yes / Sí",Settings!$C$14,0))+(Settings!$C$12+Settings!$C$13)))</f>
        <v/>
      </c>
      <c r="O171" s="60" t="str">
        <f aca="false">IF(OR(B171="",M171=""),"",(M171+$G171-((M171+$G171)*(Settings!$C$10+Settings!$C$11+IF(Settings!$C$15="Yes / Sí",Settings!$C$14,0))+(Settings!$C$12+Settings!$C$13))-$I171))</f>
        <v/>
      </c>
      <c r="P171" s="61" t="str">
        <f aca="false">IF(O171="","",IF(M171=0,0,O171/M171))</f>
        <v/>
      </c>
      <c r="Q171" s="60" t="str">
        <f aca="false">IF(OR(O171="",D171="",D171=0),"",(O171+D171/60*Settings!$C$7)/(D171/60))</f>
        <v/>
      </c>
      <c r="R171" s="62" t="str">
        <f aca="false">IF(B171="","",IF(M171="","Enter your price / Escribe tu precio",IF(O171&lt;0,"⚠ LOSING MONEY / PIERDES",IF(P171&lt;IF(H171="",Settings!$C$9,H171),"● BELOW TARGET / DEBAJO","✔ ON TARGET / EN OBJETIVO"))))</f>
        <v/>
      </c>
      <c r="T171" s="55" t="n">
        <f aca="false">IF(B171="",0,IF(M171="",0,1))</f>
        <v>0</v>
      </c>
      <c r="U171" s="55" t="n">
        <f aca="false">IF(T171=1,P171,0)</f>
        <v>0</v>
      </c>
      <c r="V171" s="55" t="n">
        <f aca="false">IF(T171=1,IF(O171&lt;0,0,IF(P171&lt;IF(H171="",Settings!$C$9,H171),1,0)),0)</f>
        <v>0</v>
      </c>
      <c r="W171" s="55" t="n">
        <f aca="false">IF(T171=1,IF(O171&lt;0,1,0),0)</f>
        <v>0</v>
      </c>
      <c r="X171" s="55" t="n">
        <f aca="false">IF(T171=1,M171,0)</f>
        <v>0</v>
      </c>
      <c r="Y171" s="55" t="n">
        <f aca="false">IF(T171=1,O171,0)</f>
        <v>0</v>
      </c>
      <c r="Z171" s="55" t="n">
        <f aca="false">IF(B171="",0,1)</f>
        <v>0</v>
      </c>
    </row>
    <row r="172" customFormat="false" ht="15" hidden="false" customHeight="false" outlineLevel="0" collapsed="false">
      <c r="B172" s="56"/>
      <c r="C172" s="57"/>
      <c r="D172" s="58"/>
      <c r="E172" s="57"/>
      <c r="F172" s="57"/>
      <c r="G172" s="57"/>
      <c r="H172" s="59"/>
      <c r="I172" s="60" t="str">
        <f aca="false">IF(B172="","",C172+IF(D172="",0,D172/60*Settings!$C$7)+E172+F172+Settings!$C$8)</f>
        <v/>
      </c>
      <c r="J172" s="60" t="str">
        <f aca="false">IF(B172="","",MAX(0,($I172+(Settings!$C$12+Settings!$C$13)-$G172*(1-(Settings!$C$10+Settings!$C$11+IF(Settings!$C$15="Yes / Sí",Settings!$C$14,0))))/(1-(Settings!$C$10+Settings!$C$11+IF(Settings!$C$15="Yes / Sí",Settings!$C$14,0)))))</f>
        <v/>
      </c>
      <c r="K172" s="60" t="str">
        <f aca="false">IF(B172="","",IF(1-(Settings!$C$10+Settings!$C$11+IF(Settings!$C$15="Yes / Sí",Settings!$C$14,0))-IF(H172="",Settings!$C$9,H172)&lt;=0,0,MAX(0,IF(Settings!$C$16="Yes / Sí",IF(ROUNDUP(($I172+(Settings!$C$12+Settings!$C$13)-$G172*(1-(Settings!$C$10+Settings!$C$11+IF(Settings!$C$15="Yes / Sí",Settings!$C$14,0))))/(1-(Settings!$C$10+Settings!$C$11+IF(Settings!$C$15="Yes / Sí",Settings!$C$14,0))-IF(H172="",Settings!$C$9,H172)),0)-0.01&gt;=($I172+(Settings!$C$12+Settings!$C$13)-$G172*(1-(Settings!$C$10+Settings!$C$11+IF(Settings!$C$15="Yes / Sí",Settings!$C$14,0))))/(1-(Settings!$C$10+Settings!$C$11+IF(Settings!$C$15="Yes / Sí",Settings!$C$14,0))-IF(H172="",Settings!$C$9,H172)),ROUNDUP(($I172+(Settings!$C$12+Settings!$C$13)-$G172*(1-(Settings!$C$10+Settings!$C$11+IF(Settings!$C$15="Yes / Sí",Settings!$C$14,0))))/(1-(Settings!$C$10+Settings!$C$11+IF(Settings!$C$15="Yes / Sí",Settings!$C$14,0))-IF(H172="",Settings!$C$9,H172)),0)-0.01,ROUNDUP(($I172+(Settings!$C$12+Settings!$C$13)-$G172*(1-(Settings!$C$10+Settings!$C$11+IF(Settings!$C$15="Yes / Sí",Settings!$C$14,0))))/(1-(Settings!$C$10+Settings!$C$11+IF(Settings!$C$15="Yes / Sí",Settings!$C$14,0))-IF(H172="",Settings!$C$9,H172)),0)+0.99),ROUNDUP(($I172+(Settings!$C$12+Settings!$C$13)-$G172*(1-(Settings!$C$10+Settings!$C$11+IF(Settings!$C$15="Yes / Sí",Settings!$C$14,0))))/(1-(Settings!$C$10+Settings!$C$11+IF(Settings!$C$15="Yes / Sí",Settings!$C$14,0))-IF(H172="",Settings!$C$9,H172)),2)))))</f>
        <v/>
      </c>
      <c r="L172" s="60" t="str">
        <f aca="false">IF(OR(B172="",K172=0),"",(K172+$G172-((K172+$G172)*(Settings!$C$10+Settings!$C$11+IF(Settings!$C$15="Yes / Sí",Settings!$C$14,0))+(Settings!$C$12+Settings!$C$13))-$I172))</f>
        <v/>
      </c>
      <c r="M172" s="57"/>
      <c r="N172" s="60" t="str">
        <f aca="false">IF(OR(B172="",M172=""),"",((M172+$G172)*(Settings!$C$10+Settings!$C$11+IF(Settings!$C$15="Yes / Sí",Settings!$C$14,0))+(Settings!$C$12+Settings!$C$13)))</f>
        <v/>
      </c>
      <c r="O172" s="60" t="str">
        <f aca="false">IF(OR(B172="",M172=""),"",(M172+$G172-((M172+$G172)*(Settings!$C$10+Settings!$C$11+IF(Settings!$C$15="Yes / Sí",Settings!$C$14,0))+(Settings!$C$12+Settings!$C$13))-$I172))</f>
        <v/>
      </c>
      <c r="P172" s="61" t="str">
        <f aca="false">IF(O172="","",IF(M172=0,0,O172/M172))</f>
        <v/>
      </c>
      <c r="Q172" s="60" t="str">
        <f aca="false">IF(OR(O172="",D172="",D172=0),"",(O172+D172/60*Settings!$C$7)/(D172/60))</f>
        <v/>
      </c>
      <c r="R172" s="62" t="str">
        <f aca="false">IF(B172="","",IF(M172="","Enter your price / Escribe tu precio",IF(O172&lt;0,"⚠ LOSING MONEY / PIERDES",IF(P172&lt;IF(H172="",Settings!$C$9,H172),"● BELOW TARGET / DEBAJO","✔ ON TARGET / EN OBJETIVO"))))</f>
        <v/>
      </c>
      <c r="T172" s="55" t="n">
        <f aca="false">IF(B172="",0,IF(M172="",0,1))</f>
        <v>0</v>
      </c>
      <c r="U172" s="55" t="n">
        <f aca="false">IF(T172=1,P172,0)</f>
        <v>0</v>
      </c>
      <c r="V172" s="55" t="n">
        <f aca="false">IF(T172=1,IF(O172&lt;0,0,IF(P172&lt;IF(H172="",Settings!$C$9,H172),1,0)),0)</f>
        <v>0</v>
      </c>
      <c r="W172" s="55" t="n">
        <f aca="false">IF(T172=1,IF(O172&lt;0,1,0),0)</f>
        <v>0</v>
      </c>
      <c r="X172" s="55" t="n">
        <f aca="false">IF(T172=1,M172,0)</f>
        <v>0</v>
      </c>
      <c r="Y172" s="55" t="n">
        <f aca="false">IF(T172=1,O172,0)</f>
        <v>0</v>
      </c>
      <c r="Z172" s="55" t="n">
        <f aca="false">IF(B172="",0,1)</f>
        <v>0</v>
      </c>
    </row>
    <row r="173" customFormat="false" ht="15" hidden="false" customHeight="false" outlineLevel="0" collapsed="false">
      <c r="B173" s="56"/>
      <c r="C173" s="57"/>
      <c r="D173" s="58"/>
      <c r="E173" s="57"/>
      <c r="F173" s="57"/>
      <c r="G173" s="57"/>
      <c r="H173" s="59"/>
      <c r="I173" s="60" t="str">
        <f aca="false">IF(B173="","",C173+IF(D173="",0,D173/60*Settings!$C$7)+E173+F173+Settings!$C$8)</f>
        <v/>
      </c>
      <c r="J173" s="60" t="str">
        <f aca="false">IF(B173="","",MAX(0,($I173+(Settings!$C$12+Settings!$C$13)-$G173*(1-(Settings!$C$10+Settings!$C$11+IF(Settings!$C$15="Yes / Sí",Settings!$C$14,0))))/(1-(Settings!$C$10+Settings!$C$11+IF(Settings!$C$15="Yes / Sí",Settings!$C$14,0)))))</f>
        <v/>
      </c>
      <c r="K173" s="60" t="str">
        <f aca="false">IF(B173="","",IF(1-(Settings!$C$10+Settings!$C$11+IF(Settings!$C$15="Yes / Sí",Settings!$C$14,0))-IF(H173="",Settings!$C$9,H173)&lt;=0,0,MAX(0,IF(Settings!$C$16="Yes / Sí",IF(ROUNDUP(($I173+(Settings!$C$12+Settings!$C$13)-$G173*(1-(Settings!$C$10+Settings!$C$11+IF(Settings!$C$15="Yes / Sí",Settings!$C$14,0))))/(1-(Settings!$C$10+Settings!$C$11+IF(Settings!$C$15="Yes / Sí",Settings!$C$14,0))-IF(H173="",Settings!$C$9,H173)),0)-0.01&gt;=($I173+(Settings!$C$12+Settings!$C$13)-$G173*(1-(Settings!$C$10+Settings!$C$11+IF(Settings!$C$15="Yes / Sí",Settings!$C$14,0))))/(1-(Settings!$C$10+Settings!$C$11+IF(Settings!$C$15="Yes / Sí",Settings!$C$14,0))-IF(H173="",Settings!$C$9,H173)),ROUNDUP(($I173+(Settings!$C$12+Settings!$C$13)-$G173*(1-(Settings!$C$10+Settings!$C$11+IF(Settings!$C$15="Yes / Sí",Settings!$C$14,0))))/(1-(Settings!$C$10+Settings!$C$11+IF(Settings!$C$15="Yes / Sí",Settings!$C$14,0))-IF(H173="",Settings!$C$9,H173)),0)-0.01,ROUNDUP(($I173+(Settings!$C$12+Settings!$C$13)-$G173*(1-(Settings!$C$10+Settings!$C$11+IF(Settings!$C$15="Yes / Sí",Settings!$C$14,0))))/(1-(Settings!$C$10+Settings!$C$11+IF(Settings!$C$15="Yes / Sí",Settings!$C$14,0))-IF(H173="",Settings!$C$9,H173)),0)+0.99),ROUNDUP(($I173+(Settings!$C$12+Settings!$C$13)-$G173*(1-(Settings!$C$10+Settings!$C$11+IF(Settings!$C$15="Yes / Sí",Settings!$C$14,0))))/(1-(Settings!$C$10+Settings!$C$11+IF(Settings!$C$15="Yes / Sí",Settings!$C$14,0))-IF(H173="",Settings!$C$9,H173)),2)))))</f>
        <v/>
      </c>
      <c r="L173" s="60" t="str">
        <f aca="false">IF(OR(B173="",K173=0),"",(K173+$G173-((K173+$G173)*(Settings!$C$10+Settings!$C$11+IF(Settings!$C$15="Yes / Sí",Settings!$C$14,0))+(Settings!$C$12+Settings!$C$13))-$I173))</f>
        <v/>
      </c>
      <c r="M173" s="57"/>
      <c r="N173" s="60" t="str">
        <f aca="false">IF(OR(B173="",M173=""),"",((M173+$G173)*(Settings!$C$10+Settings!$C$11+IF(Settings!$C$15="Yes / Sí",Settings!$C$14,0))+(Settings!$C$12+Settings!$C$13)))</f>
        <v/>
      </c>
      <c r="O173" s="60" t="str">
        <f aca="false">IF(OR(B173="",M173=""),"",(M173+$G173-((M173+$G173)*(Settings!$C$10+Settings!$C$11+IF(Settings!$C$15="Yes / Sí",Settings!$C$14,0))+(Settings!$C$12+Settings!$C$13))-$I173))</f>
        <v/>
      </c>
      <c r="P173" s="61" t="str">
        <f aca="false">IF(O173="","",IF(M173=0,0,O173/M173))</f>
        <v/>
      </c>
      <c r="Q173" s="60" t="str">
        <f aca="false">IF(OR(O173="",D173="",D173=0),"",(O173+D173/60*Settings!$C$7)/(D173/60))</f>
        <v/>
      </c>
      <c r="R173" s="62" t="str">
        <f aca="false">IF(B173="","",IF(M173="","Enter your price / Escribe tu precio",IF(O173&lt;0,"⚠ LOSING MONEY / PIERDES",IF(P173&lt;IF(H173="",Settings!$C$9,H173),"● BELOW TARGET / DEBAJO","✔ ON TARGET / EN OBJETIVO"))))</f>
        <v/>
      </c>
      <c r="T173" s="55" t="n">
        <f aca="false">IF(B173="",0,IF(M173="",0,1))</f>
        <v>0</v>
      </c>
      <c r="U173" s="55" t="n">
        <f aca="false">IF(T173=1,P173,0)</f>
        <v>0</v>
      </c>
      <c r="V173" s="55" t="n">
        <f aca="false">IF(T173=1,IF(O173&lt;0,0,IF(P173&lt;IF(H173="",Settings!$C$9,H173),1,0)),0)</f>
        <v>0</v>
      </c>
      <c r="W173" s="55" t="n">
        <f aca="false">IF(T173=1,IF(O173&lt;0,1,0),0)</f>
        <v>0</v>
      </c>
      <c r="X173" s="55" t="n">
        <f aca="false">IF(T173=1,M173,0)</f>
        <v>0</v>
      </c>
      <c r="Y173" s="55" t="n">
        <f aca="false">IF(T173=1,O173,0)</f>
        <v>0</v>
      </c>
      <c r="Z173" s="55" t="n">
        <f aca="false">IF(B173="",0,1)</f>
        <v>0</v>
      </c>
    </row>
    <row r="174" customFormat="false" ht="15" hidden="false" customHeight="false" outlineLevel="0" collapsed="false">
      <c r="B174" s="56"/>
      <c r="C174" s="57"/>
      <c r="D174" s="58"/>
      <c r="E174" s="57"/>
      <c r="F174" s="57"/>
      <c r="G174" s="57"/>
      <c r="H174" s="59"/>
      <c r="I174" s="60" t="str">
        <f aca="false">IF(B174="","",C174+IF(D174="",0,D174/60*Settings!$C$7)+E174+F174+Settings!$C$8)</f>
        <v/>
      </c>
      <c r="J174" s="60" t="str">
        <f aca="false">IF(B174="","",MAX(0,($I174+(Settings!$C$12+Settings!$C$13)-$G174*(1-(Settings!$C$10+Settings!$C$11+IF(Settings!$C$15="Yes / Sí",Settings!$C$14,0))))/(1-(Settings!$C$10+Settings!$C$11+IF(Settings!$C$15="Yes / Sí",Settings!$C$14,0)))))</f>
        <v/>
      </c>
      <c r="K174" s="60" t="str">
        <f aca="false">IF(B174="","",IF(1-(Settings!$C$10+Settings!$C$11+IF(Settings!$C$15="Yes / Sí",Settings!$C$14,0))-IF(H174="",Settings!$C$9,H174)&lt;=0,0,MAX(0,IF(Settings!$C$16="Yes / Sí",IF(ROUNDUP(($I174+(Settings!$C$12+Settings!$C$13)-$G174*(1-(Settings!$C$10+Settings!$C$11+IF(Settings!$C$15="Yes / Sí",Settings!$C$14,0))))/(1-(Settings!$C$10+Settings!$C$11+IF(Settings!$C$15="Yes / Sí",Settings!$C$14,0))-IF(H174="",Settings!$C$9,H174)),0)-0.01&gt;=($I174+(Settings!$C$12+Settings!$C$13)-$G174*(1-(Settings!$C$10+Settings!$C$11+IF(Settings!$C$15="Yes / Sí",Settings!$C$14,0))))/(1-(Settings!$C$10+Settings!$C$11+IF(Settings!$C$15="Yes / Sí",Settings!$C$14,0))-IF(H174="",Settings!$C$9,H174)),ROUNDUP(($I174+(Settings!$C$12+Settings!$C$13)-$G174*(1-(Settings!$C$10+Settings!$C$11+IF(Settings!$C$15="Yes / Sí",Settings!$C$14,0))))/(1-(Settings!$C$10+Settings!$C$11+IF(Settings!$C$15="Yes / Sí",Settings!$C$14,0))-IF(H174="",Settings!$C$9,H174)),0)-0.01,ROUNDUP(($I174+(Settings!$C$12+Settings!$C$13)-$G174*(1-(Settings!$C$10+Settings!$C$11+IF(Settings!$C$15="Yes / Sí",Settings!$C$14,0))))/(1-(Settings!$C$10+Settings!$C$11+IF(Settings!$C$15="Yes / Sí",Settings!$C$14,0))-IF(H174="",Settings!$C$9,H174)),0)+0.99),ROUNDUP(($I174+(Settings!$C$12+Settings!$C$13)-$G174*(1-(Settings!$C$10+Settings!$C$11+IF(Settings!$C$15="Yes / Sí",Settings!$C$14,0))))/(1-(Settings!$C$10+Settings!$C$11+IF(Settings!$C$15="Yes / Sí",Settings!$C$14,0))-IF(H174="",Settings!$C$9,H174)),2)))))</f>
        <v/>
      </c>
      <c r="L174" s="60" t="str">
        <f aca="false">IF(OR(B174="",K174=0),"",(K174+$G174-((K174+$G174)*(Settings!$C$10+Settings!$C$11+IF(Settings!$C$15="Yes / Sí",Settings!$C$14,0))+(Settings!$C$12+Settings!$C$13))-$I174))</f>
        <v/>
      </c>
      <c r="M174" s="57"/>
      <c r="N174" s="60" t="str">
        <f aca="false">IF(OR(B174="",M174=""),"",((M174+$G174)*(Settings!$C$10+Settings!$C$11+IF(Settings!$C$15="Yes / Sí",Settings!$C$14,0))+(Settings!$C$12+Settings!$C$13)))</f>
        <v/>
      </c>
      <c r="O174" s="60" t="str">
        <f aca="false">IF(OR(B174="",M174=""),"",(M174+$G174-((M174+$G174)*(Settings!$C$10+Settings!$C$11+IF(Settings!$C$15="Yes / Sí",Settings!$C$14,0))+(Settings!$C$12+Settings!$C$13))-$I174))</f>
        <v/>
      </c>
      <c r="P174" s="61" t="str">
        <f aca="false">IF(O174="","",IF(M174=0,0,O174/M174))</f>
        <v/>
      </c>
      <c r="Q174" s="60" t="str">
        <f aca="false">IF(OR(O174="",D174="",D174=0),"",(O174+D174/60*Settings!$C$7)/(D174/60))</f>
        <v/>
      </c>
      <c r="R174" s="62" t="str">
        <f aca="false">IF(B174="","",IF(M174="","Enter your price / Escribe tu precio",IF(O174&lt;0,"⚠ LOSING MONEY / PIERDES",IF(P174&lt;IF(H174="",Settings!$C$9,H174),"● BELOW TARGET / DEBAJO","✔ ON TARGET / EN OBJETIVO"))))</f>
        <v/>
      </c>
      <c r="T174" s="55" t="n">
        <f aca="false">IF(B174="",0,IF(M174="",0,1))</f>
        <v>0</v>
      </c>
      <c r="U174" s="55" t="n">
        <f aca="false">IF(T174=1,P174,0)</f>
        <v>0</v>
      </c>
      <c r="V174" s="55" t="n">
        <f aca="false">IF(T174=1,IF(O174&lt;0,0,IF(P174&lt;IF(H174="",Settings!$C$9,H174),1,0)),0)</f>
        <v>0</v>
      </c>
      <c r="W174" s="55" t="n">
        <f aca="false">IF(T174=1,IF(O174&lt;0,1,0),0)</f>
        <v>0</v>
      </c>
      <c r="X174" s="55" t="n">
        <f aca="false">IF(T174=1,M174,0)</f>
        <v>0</v>
      </c>
      <c r="Y174" s="55" t="n">
        <f aca="false">IF(T174=1,O174,0)</f>
        <v>0</v>
      </c>
      <c r="Z174" s="55" t="n">
        <f aca="false">IF(B174="",0,1)</f>
        <v>0</v>
      </c>
    </row>
    <row r="175" customFormat="false" ht="15" hidden="false" customHeight="false" outlineLevel="0" collapsed="false">
      <c r="B175" s="56"/>
      <c r="C175" s="57"/>
      <c r="D175" s="58"/>
      <c r="E175" s="57"/>
      <c r="F175" s="57"/>
      <c r="G175" s="57"/>
      <c r="H175" s="59"/>
      <c r="I175" s="60" t="str">
        <f aca="false">IF(B175="","",C175+IF(D175="",0,D175/60*Settings!$C$7)+E175+F175+Settings!$C$8)</f>
        <v/>
      </c>
      <c r="J175" s="60" t="str">
        <f aca="false">IF(B175="","",MAX(0,($I175+(Settings!$C$12+Settings!$C$13)-$G175*(1-(Settings!$C$10+Settings!$C$11+IF(Settings!$C$15="Yes / Sí",Settings!$C$14,0))))/(1-(Settings!$C$10+Settings!$C$11+IF(Settings!$C$15="Yes / Sí",Settings!$C$14,0)))))</f>
        <v/>
      </c>
      <c r="K175" s="60" t="str">
        <f aca="false">IF(B175="","",IF(1-(Settings!$C$10+Settings!$C$11+IF(Settings!$C$15="Yes / Sí",Settings!$C$14,0))-IF(H175="",Settings!$C$9,H175)&lt;=0,0,MAX(0,IF(Settings!$C$16="Yes / Sí",IF(ROUNDUP(($I175+(Settings!$C$12+Settings!$C$13)-$G175*(1-(Settings!$C$10+Settings!$C$11+IF(Settings!$C$15="Yes / Sí",Settings!$C$14,0))))/(1-(Settings!$C$10+Settings!$C$11+IF(Settings!$C$15="Yes / Sí",Settings!$C$14,0))-IF(H175="",Settings!$C$9,H175)),0)-0.01&gt;=($I175+(Settings!$C$12+Settings!$C$13)-$G175*(1-(Settings!$C$10+Settings!$C$11+IF(Settings!$C$15="Yes / Sí",Settings!$C$14,0))))/(1-(Settings!$C$10+Settings!$C$11+IF(Settings!$C$15="Yes / Sí",Settings!$C$14,0))-IF(H175="",Settings!$C$9,H175)),ROUNDUP(($I175+(Settings!$C$12+Settings!$C$13)-$G175*(1-(Settings!$C$10+Settings!$C$11+IF(Settings!$C$15="Yes / Sí",Settings!$C$14,0))))/(1-(Settings!$C$10+Settings!$C$11+IF(Settings!$C$15="Yes / Sí",Settings!$C$14,0))-IF(H175="",Settings!$C$9,H175)),0)-0.01,ROUNDUP(($I175+(Settings!$C$12+Settings!$C$13)-$G175*(1-(Settings!$C$10+Settings!$C$11+IF(Settings!$C$15="Yes / Sí",Settings!$C$14,0))))/(1-(Settings!$C$10+Settings!$C$11+IF(Settings!$C$15="Yes / Sí",Settings!$C$14,0))-IF(H175="",Settings!$C$9,H175)),0)+0.99),ROUNDUP(($I175+(Settings!$C$12+Settings!$C$13)-$G175*(1-(Settings!$C$10+Settings!$C$11+IF(Settings!$C$15="Yes / Sí",Settings!$C$14,0))))/(1-(Settings!$C$10+Settings!$C$11+IF(Settings!$C$15="Yes / Sí",Settings!$C$14,0))-IF(H175="",Settings!$C$9,H175)),2)))))</f>
        <v/>
      </c>
      <c r="L175" s="60" t="str">
        <f aca="false">IF(OR(B175="",K175=0),"",(K175+$G175-((K175+$G175)*(Settings!$C$10+Settings!$C$11+IF(Settings!$C$15="Yes / Sí",Settings!$C$14,0))+(Settings!$C$12+Settings!$C$13))-$I175))</f>
        <v/>
      </c>
      <c r="M175" s="57"/>
      <c r="N175" s="60" t="str">
        <f aca="false">IF(OR(B175="",M175=""),"",((M175+$G175)*(Settings!$C$10+Settings!$C$11+IF(Settings!$C$15="Yes / Sí",Settings!$C$14,0))+(Settings!$C$12+Settings!$C$13)))</f>
        <v/>
      </c>
      <c r="O175" s="60" t="str">
        <f aca="false">IF(OR(B175="",M175=""),"",(M175+$G175-((M175+$G175)*(Settings!$C$10+Settings!$C$11+IF(Settings!$C$15="Yes / Sí",Settings!$C$14,0))+(Settings!$C$12+Settings!$C$13))-$I175))</f>
        <v/>
      </c>
      <c r="P175" s="61" t="str">
        <f aca="false">IF(O175="","",IF(M175=0,0,O175/M175))</f>
        <v/>
      </c>
      <c r="Q175" s="60" t="str">
        <f aca="false">IF(OR(O175="",D175="",D175=0),"",(O175+D175/60*Settings!$C$7)/(D175/60))</f>
        <v/>
      </c>
      <c r="R175" s="62" t="str">
        <f aca="false">IF(B175="","",IF(M175="","Enter your price / Escribe tu precio",IF(O175&lt;0,"⚠ LOSING MONEY / PIERDES",IF(P175&lt;IF(H175="",Settings!$C$9,H175),"● BELOW TARGET / DEBAJO","✔ ON TARGET / EN OBJETIVO"))))</f>
        <v/>
      </c>
      <c r="T175" s="55" t="n">
        <f aca="false">IF(B175="",0,IF(M175="",0,1))</f>
        <v>0</v>
      </c>
      <c r="U175" s="55" t="n">
        <f aca="false">IF(T175=1,P175,0)</f>
        <v>0</v>
      </c>
      <c r="V175" s="55" t="n">
        <f aca="false">IF(T175=1,IF(O175&lt;0,0,IF(P175&lt;IF(H175="",Settings!$C$9,H175),1,0)),0)</f>
        <v>0</v>
      </c>
      <c r="W175" s="55" t="n">
        <f aca="false">IF(T175=1,IF(O175&lt;0,1,0),0)</f>
        <v>0</v>
      </c>
      <c r="X175" s="55" t="n">
        <f aca="false">IF(T175=1,M175,0)</f>
        <v>0</v>
      </c>
      <c r="Y175" s="55" t="n">
        <f aca="false">IF(T175=1,O175,0)</f>
        <v>0</v>
      </c>
      <c r="Z175" s="55" t="n">
        <f aca="false">IF(B175="",0,1)</f>
        <v>0</v>
      </c>
    </row>
    <row r="176" customFormat="false" ht="15" hidden="false" customHeight="false" outlineLevel="0" collapsed="false">
      <c r="B176" s="56"/>
      <c r="C176" s="57"/>
      <c r="D176" s="58"/>
      <c r="E176" s="57"/>
      <c r="F176" s="57"/>
      <c r="G176" s="57"/>
      <c r="H176" s="59"/>
      <c r="I176" s="60" t="str">
        <f aca="false">IF(B176="","",C176+IF(D176="",0,D176/60*Settings!$C$7)+E176+F176+Settings!$C$8)</f>
        <v/>
      </c>
      <c r="J176" s="60" t="str">
        <f aca="false">IF(B176="","",MAX(0,($I176+(Settings!$C$12+Settings!$C$13)-$G176*(1-(Settings!$C$10+Settings!$C$11+IF(Settings!$C$15="Yes / Sí",Settings!$C$14,0))))/(1-(Settings!$C$10+Settings!$C$11+IF(Settings!$C$15="Yes / Sí",Settings!$C$14,0)))))</f>
        <v/>
      </c>
      <c r="K176" s="60" t="str">
        <f aca="false">IF(B176="","",IF(1-(Settings!$C$10+Settings!$C$11+IF(Settings!$C$15="Yes / Sí",Settings!$C$14,0))-IF(H176="",Settings!$C$9,H176)&lt;=0,0,MAX(0,IF(Settings!$C$16="Yes / Sí",IF(ROUNDUP(($I176+(Settings!$C$12+Settings!$C$13)-$G176*(1-(Settings!$C$10+Settings!$C$11+IF(Settings!$C$15="Yes / Sí",Settings!$C$14,0))))/(1-(Settings!$C$10+Settings!$C$11+IF(Settings!$C$15="Yes / Sí",Settings!$C$14,0))-IF(H176="",Settings!$C$9,H176)),0)-0.01&gt;=($I176+(Settings!$C$12+Settings!$C$13)-$G176*(1-(Settings!$C$10+Settings!$C$11+IF(Settings!$C$15="Yes / Sí",Settings!$C$14,0))))/(1-(Settings!$C$10+Settings!$C$11+IF(Settings!$C$15="Yes / Sí",Settings!$C$14,0))-IF(H176="",Settings!$C$9,H176)),ROUNDUP(($I176+(Settings!$C$12+Settings!$C$13)-$G176*(1-(Settings!$C$10+Settings!$C$11+IF(Settings!$C$15="Yes / Sí",Settings!$C$14,0))))/(1-(Settings!$C$10+Settings!$C$11+IF(Settings!$C$15="Yes / Sí",Settings!$C$14,0))-IF(H176="",Settings!$C$9,H176)),0)-0.01,ROUNDUP(($I176+(Settings!$C$12+Settings!$C$13)-$G176*(1-(Settings!$C$10+Settings!$C$11+IF(Settings!$C$15="Yes / Sí",Settings!$C$14,0))))/(1-(Settings!$C$10+Settings!$C$11+IF(Settings!$C$15="Yes / Sí",Settings!$C$14,0))-IF(H176="",Settings!$C$9,H176)),0)+0.99),ROUNDUP(($I176+(Settings!$C$12+Settings!$C$13)-$G176*(1-(Settings!$C$10+Settings!$C$11+IF(Settings!$C$15="Yes / Sí",Settings!$C$14,0))))/(1-(Settings!$C$10+Settings!$C$11+IF(Settings!$C$15="Yes / Sí",Settings!$C$14,0))-IF(H176="",Settings!$C$9,H176)),2)))))</f>
        <v/>
      </c>
      <c r="L176" s="60" t="str">
        <f aca="false">IF(OR(B176="",K176=0),"",(K176+$G176-((K176+$G176)*(Settings!$C$10+Settings!$C$11+IF(Settings!$C$15="Yes / Sí",Settings!$C$14,0))+(Settings!$C$12+Settings!$C$13))-$I176))</f>
        <v/>
      </c>
      <c r="M176" s="57"/>
      <c r="N176" s="60" t="str">
        <f aca="false">IF(OR(B176="",M176=""),"",((M176+$G176)*(Settings!$C$10+Settings!$C$11+IF(Settings!$C$15="Yes / Sí",Settings!$C$14,0))+(Settings!$C$12+Settings!$C$13)))</f>
        <v/>
      </c>
      <c r="O176" s="60" t="str">
        <f aca="false">IF(OR(B176="",M176=""),"",(M176+$G176-((M176+$G176)*(Settings!$C$10+Settings!$C$11+IF(Settings!$C$15="Yes / Sí",Settings!$C$14,0))+(Settings!$C$12+Settings!$C$13))-$I176))</f>
        <v/>
      </c>
      <c r="P176" s="61" t="str">
        <f aca="false">IF(O176="","",IF(M176=0,0,O176/M176))</f>
        <v/>
      </c>
      <c r="Q176" s="60" t="str">
        <f aca="false">IF(OR(O176="",D176="",D176=0),"",(O176+D176/60*Settings!$C$7)/(D176/60))</f>
        <v/>
      </c>
      <c r="R176" s="62" t="str">
        <f aca="false">IF(B176="","",IF(M176="","Enter your price / Escribe tu precio",IF(O176&lt;0,"⚠ LOSING MONEY / PIERDES",IF(P176&lt;IF(H176="",Settings!$C$9,H176),"● BELOW TARGET / DEBAJO","✔ ON TARGET / EN OBJETIVO"))))</f>
        <v/>
      </c>
      <c r="T176" s="55" t="n">
        <f aca="false">IF(B176="",0,IF(M176="",0,1))</f>
        <v>0</v>
      </c>
      <c r="U176" s="55" t="n">
        <f aca="false">IF(T176=1,P176,0)</f>
        <v>0</v>
      </c>
      <c r="V176" s="55" t="n">
        <f aca="false">IF(T176=1,IF(O176&lt;0,0,IF(P176&lt;IF(H176="",Settings!$C$9,H176),1,0)),0)</f>
        <v>0</v>
      </c>
      <c r="W176" s="55" t="n">
        <f aca="false">IF(T176=1,IF(O176&lt;0,1,0),0)</f>
        <v>0</v>
      </c>
      <c r="X176" s="55" t="n">
        <f aca="false">IF(T176=1,M176,0)</f>
        <v>0</v>
      </c>
      <c r="Y176" s="55" t="n">
        <f aca="false">IF(T176=1,O176,0)</f>
        <v>0</v>
      </c>
      <c r="Z176" s="55" t="n">
        <f aca="false">IF(B176="",0,1)</f>
        <v>0</v>
      </c>
    </row>
    <row r="177" customFormat="false" ht="15" hidden="false" customHeight="false" outlineLevel="0" collapsed="false">
      <c r="B177" s="56"/>
      <c r="C177" s="57"/>
      <c r="D177" s="58"/>
      <c r="E177" s="57"/>
      <c r="F177" s="57"/>
      <c r="G177" s="57"/>
      <c r="H177" s="59"/>
      <c r="I177" s="60" t="str">
        <f aca="false">IF(B177="","",C177+IF(D177="",0,D177/60*Settings!$C$7)+E177+F177+Settings!$C$8)</f>
        <v/>
      </c>
      <c r="J177" s="60" t="str">
        <f aca="false">IF(B177="","",MAX(0,($I177+(Settings!$C$12+Settings!$C$13)-$G177*(1-(Settings!$C$10+Settings!$C$11+IF(Settings!$C$15="Yes / Sí",Settings!$C$14,0))))/(1-(Settings!$C$10+Settings!$C$11+IF(Settings!$C$15="Yes / Sí",Settings!$C$14,0)))))</f>
        <v/>
      </c>
      <c r="K177" s="60" t="str">
        <f aca="false">IF(B177="","",IF(1-(Settings!$C$10+Settings!$C$11+IF(Settings!$C$15="Yes / Sí",Settings!$C$14,0))-IF(H177="",Settings!$C$9,H177)&lt;=0,0,MAX(0,IF(Settings!$C$16="Yes / Sí",IF(ROUNDUP(($I177+(Settings!$C$12+Settings!$C$13)-$G177*(1-(Settings!$C$10+Settings!$C$11+IF(Settings!$C$15="Yes / Sí",Settings!$C$14,0))))/(1-(Settings!$C$10+Settings!$C$11+IF(Settings!$C$15="Yes / Sí",Settings!$C$14,0))-IF(H177="",Settings!$C$9,H177)),0)-0.01&gt;=($I177+(Settings!$C$12+Settings!$C$13)-$G177*(1-(Settings!$C$10+Settings!$C$11+IF(Settings!$C$15="Yes / Sí",Settings!$C$14,0))))/(1-(Settings!$C$10+Settings!$C$11+IF(Settings!$C$15="Yes / Sí",Settings!$C$14,0))-IF(H177="",Settings!$C$9,H177)),ROUNDUP(($I177+(Settings!$C$12+Settings!$C$13)-$G177*(1-(Settings!$C$10+Settings!$C$11+IF(Settings!$C$15="Yes / Sí",Settings!$C$14,0))))/(1-(Settings!$C$10+Settings!$C$11+IF(Settings!$C$15="Yes / Sí",Settings!$C$14,0))-IF(H177="",Settings!$C$9,H177)),0)-0.01,ROUNDUP(($I177+(Settings!$C$12+Settings!$C$13)-$G177*(1-(Settings!$C$10+Settings!$C$11+IF(Settings!$C$15="Yes / Sí",Settings!$C$14,0))))/(1-(Settings!$C$10+Settings!$C$11+IF(Settings!$C$15="Yes / Sí",Settings!$C$14,0))-IF(H177="",Settings!$C$9,H177)),0)+0.99),ROUNDUP(($I177+(Settings!$C$12+Settings!$C$13)-$G177*(1-(Settings!$C$10+Settings!$C$11+IF(Settings!$C$15="Yes / Sí",Settings!$C$14,0))))/(1-(Settings!$C$10+Settings!$C$11+IF(Settings!$C$15="Yes / Sí",Settings!$C$14,0))-IF(H177="",Settings!$C$9,H177)),2)))))</f>
        <v/>
      </c>
      <c r="L177" s="60" t="str">
        <f aca="false">IF(OR(B177="",K177=0),"",(K177+$G177-((K177+$G177)*(Settings!$C$10+Settings!$C$11+IF(Settings!$C$15="Yes / Sí",Settings!$C$14,0))+(Settings!$C$12+Settings!$C$13))-$I177))</f>
        <v/>
      </c>
      <c r="M177" s="57"/>
      <c r="N177" s="60" t="str">
        <f aca="false">IF(OR(B177="",M177=""),"",((M177+$G177)*(Settings!$C$10+Settings!$C$11+IF(Settings!$C$15="Yes / Sí",Settings!$C$14,0))+(Settings!$C$12+Settings!$C$13)))</f>
        <v/>
      </c>
      <c r="O177" s="60" t="str">
        <f aca="false">IF(OR(B177="",M177=""),"",(M177+$G177-((M177+$G177)*(Settings!$C$10+Settings!$C$11+IF(Settings!$C$15="Yes / Sí",Settings!$C$14,0))+(Settings!$C$12+Settings!$C$13))-$I177))</f>
        <v/>
      </c>
      <c r="P177" s="61" t="str">
        <f aca="false">IF(O177="","",IF(M177=0,0,O177/M177))</f>
        <v/>
      </c>
      <c r="Q177" s="60" t="str">
        <f aca="false">IF(OR(O177="",D177="",D177=0),"",(O177+D177/60*Settings!$C$7)/(D177/60))</f>
        <v/>
      </c>
      <c r="R177" s="62" t="str">
        <f aca="false">IF(B177="","",IF(M177="","Enter your price / Escribe tu precio",IF(O177&lt;0,"⚠ LOSING MONEY / PIERDES",IF(P177&lt;IF(H177="",Settings!$C$9,H177),"● BELOW TARGET / DEBAJO","✔ ON TARGET / EN OBJETIVO"))))</f>
        <v/>
      </c>
      <c r="T177" s="55" t="n">
        <f aca="false">IF(B177="",0,IF(M177="",0,1))</f>
        <v>0</v>
      </c>
      <c r="U177" s="55" t="n">
        <f aca="false">IF(T177=1,P177,0)</f>
        <v>0</v>
      </c>
      <c r="V177" s="55" t="n">
        <f aca="false">IF(T177=1,IF(O177&lt;0,0,IF(P177&lt;IF(H177="",Settings!$C$9,H177),1,0)),0)</f>
        <v>0</v>
      </c>
      <c r="W177" s="55" t="n">
        <f aca="false">IF(T177=1,IF(O177&lt;0,1,0),0)</f>
        <v>0</v>
      </c>
      <c r="X177" s="55" t="n">
        <f aca="false">IF(T177=1,M177,0)</f>
        <v>0</v>
      </c>
      <c r="Y177" s="55" t="n">
        <f aca="false">IF(T177=1,O177,0)</f>
        <v>0</v>
      </c>
      <c r="Z177" s="55" t="n">
        <f aca="false">IF(B177="",0,1)</f>
        <v>0</v>
      </c>
    </row>
    <row r="178" customFormat="false" ht="15" hidden="false" customHeight="false" outlineLevel="0" collapsed="false">
      <c r="B178" s="56"/>
      <c r="C178" s="57"/>
      <c r="D178" s="58"/>
      <c r="E178" s="57"/>
      <c r="F178" s="57"/>
      <c r="G178" s="57"/>
      <c r="H178" s="59"/>
      <c r="I178" s="60" t="str">
        <f aca="false">IF(B178="","",C178+IF(D178="",0,D178/60*Settings!$C$7)+E178+F178+Settings!$C$8)</f>
        <v/>
      </c>
      <c r="J178" s="60" t="str">
        <f aca="false">IF(B178="","",MAX(0,($I178+(Settings!$C$12+Settings!$C$13)-$G178*(1-(Settings!$C$10+Settings!$C$11+IF(Settings!$C$15="Yes / Sí",Settings!$C$14,0))))/(1-(Settings!$C$10+Settings!$C$11+IF(Settings!$C$15="Yes / Sí",Settings!$C$14,0)))))</f>
        <v/>
      </c>
      <c r="K178" s="60" t="str">
        <f aca="false">IF(B178="","",IF(1-(Settings!$C$10+Settings!$C$11+IF(Settings!$C$15="Yes / Sí",Settings!$C$14,0))-IF(H178="",Settings!$C$9,H178)&lt;=0,0,MAX(0,IF(Settings!$C$16="Yes / Sí",IF(ROUNDUP(($I178+(Settings!$C$12+Settings!$C$13)-$G178*(1-(Settings!$C$10+Settings!$C$11+IF(Settings!$C$15="Yes / Sí",Settings!$C$14,0))))/(1-(Settings!$C$10+Settings!$C$11+IF(Settings!$C$15="Yes / Sí",Settings!$C$14,0))-IF(H178="",Settings!$C$9,H178)),0)-0.01&gt;=($I178+(Settings!$C$12+Settings!$C$13)-$G178*(1-(Settings!$C$10+Settings!$C$11+IF(Settings!$C$15="Yes / Sí",Settings!$C$14,0))))/(1-(Settings!$C$10+Settings!$C$11+IF(Settings!$C$15="Yes / Sí",Settings!$C$14,0))-IF(H178="",Settings!$C$9,H178)),ROUNDUP(($I178+(Settings!$C$12+Settings!$C$13)-$G178*(1-(Settings!$C$10+Settings!$C$11+IF(Settings!$C$15="Yes / Sí",Settings!$C$14,0))))/(1-(Settings!$C$10+Settings!$C$11+IF(Settings!$C$15="Yes / Sí",Settings!$C$14,0))-IF(H178="",Settings!$C$9,H178)),0)-0.01,ROUNDUP(($I178+(Settings!$C$12+Settings!$C$13)-$G178*(1-(Settings!$C$10+Settings!$C$11+IF(Settings!$C$15="Yes / Sí",Settings!$C$14,0))))/(1-(Settings!$C$10+Settings!$C$11+IF(Settings!$C$15="Yes / Sí",Settings!$C$14,0))-IF(H178="",Settings!$C$9,H178)),0)+0.99),ROUNDUP(($I178+(Settings!$C$12+Settings!$C$13)-$G178*(1-(Settings!$C$10+Settings!$C$11+IF(Settings!$C$15="Yes / Sí",Settings!$C$14,0))))/(1-(Settings!$C$10+Settings!$C$11+IF(Settings!$C$15="Yes / Sí",Settings!$C$14,0))-IF(H178="",Settings!$C$9,H178)),2)))))</f>
        <v/>
      </c>
      <c r="L178" s="60" t="str">
        <f aca="false">IF(OR(B178="",K178=0),"",(K178+$G178-((K178+$G178)*(Settings!$C$10+Settings!$C$11+IF(Settings!$C$15="Yes / Sí",Settings!$C$14,0))+(Settings!$C$12+Settings!$C$13))-$I178))</f>
        <v/>
      </c>
      <c r="M178" s="57"/>
      <c r="N178" s="60" t="str">
        <f aca="false">IF(OR(B178="",M178=""),"",((M178+$G178)*(Settings!$C$10+Settings!$C$11+IF(Settings!$C$15="Yes / Sí",Settings!$C$14,0))+(Settings!$C$12+Settings!$C$13)))</f>
        <v/>
      </c>
      <c r="O178" s="60" t="str">
        <f aca="false">IF(OR(B178="",M178=""),"",(M178+$G178-((M178+$G178)*(Settings!$C$10+Settings!$C$11+IF(Settings!$C$15="Yes / Sí",Settings!$C$14,0))+(Settings!$C$12+Settings!$C$13))-$I178))</f>
        <v/>
      </c>
      <c r="P178" s="61" t="str">
        <f aca="false">IF(O178="","",IF(M178=0,0,O178/M178))</f>
        <v/>
      </c>
      <c r="Q178" s="60" t="str">
        <f aca="false">IF(OR(O178="",D178="",D178=0),"",(O178+D178/60*Settings!$C$7)/(D178/60))</f>
        <v/>
      </c>
      <c r="R178" s="62" t="str">
        <f aca="false">IF(B178="","",IF(M178="","Enter your price / Escribe tu precio",IF(O178&lt;0,"⚠ LOSING MONEY / PIERDES",IF(P178&lt;IF(H178="",Settings!$C$9,H178),"● BELOW TARGET / DEBAJO","✔ ON TARGET / EN OBJETIVO"))))</f>
        <v/>
      </c>
      <c r="T178" s="55" t="n">
        <f aca="false">IF(B178="",0,IF(M178="",0,1))</f>
        <v>0</v>
      </c>
      <c r="U178" s="55" t="n">
        <f aca="false">IF(T178=1,P178,0)</f>
        <v>0</v>
      </c>
      <c r="V178" s="55" t="n">
        <f aca="false">IF(T178=1,IF(O178&lt;0,0,IF(P178&lt;IF(H178="",Settings!$C$9,H178),1,0)),0)</f>
        <v>0</v>
      </c>
      <c r="W178" s="55" t="n">
        <f aca="false">IF(T178=1,IF(O178&lt;0,1,0),0)</f>
        <v>0</v>
      </c>
      <c r="X178" s="55" t="n">
        <f aca="false">IF(T178=1,M178,0)</f>
        <v>0</v>
      </c>
      <c r="Y178" s="55" t="n">
        <f aca="false">IF(T178=1,O178,0)</f>
        <v>0</v>
      </c>
      <c r="Z178" s="55" t="n">
        <f aca="false">IF(B178="",0,1)</f>
        <v>0</v>
      </c>
    </row>
    <row r="179" customFormat="false" ht="15" hidden="false" customHeight="false" outlineLevel="0" collapsed="false">
      <c r="B179" s="56"/>
      <c r="C179" s="57"/>
      <c r="D179" s="58"/>
      <c r="E179" s="57"/>
      <c r="F179" s="57"/>
      <c r="G179" s="57"/>
      <c r="H179" s="59"/>
      <c r="I179" s="60" t="str">
        <f aca="false">IF(B179="","",C179+IF(D179="",0,D179/60*Settings!$C$7)+E179+F179+Settings!$C$8)</f>
        <v/>
      </c>
      <c r="J179" s="60" t="str">
        <f aca="false">IF(B179="","",MAX(0,($I179+(Settings!$C$12+Settings!$C$13)-$G179*(1-(Settings!$C$10+Settings!$C$11+IF(Settings!$C$15="Yes / Sí",Settings!$C$14,0))))/(1-(Settings!$C$10+Settings!$C$11+IF(Settings!$C$15="Yes / Sí",Settings!$C$14,0)))))</f>
        <v/>
      </c>
      <c r="K179" s="60" t="str">
        <f aca="false">IF(B179="","",IF(1-(Settings!$C$10+Settings!$C$11+IF(Settings!$C$15="Yes / Sí",Settings!$C$14,0))-IF(H179="",Settings!$C$9,H179)&lt;=0,0,MAX(0,IF(Settings!$C$16="Yes / Sí",IF(ROUNDUP(($I179+(Settings!$C$12+Settings!$C$13)-$G179*(1-(Settings!$C$10+Settings!$C$11+IF(Settings!$C$15="Yes / Sí",Settings!$C$14,0))))/(1-(Settings!$C$10+Settings!$C$11+IF(Settings!$C$15="Yes / Sí",Settings!$C$14,0))-IF(H179="",Settings!$C$9,H179)),0)-0.01&gt;=($I179+(Settings!$C$12+Settings!$C$13)-$G179*(1-(Settings!$C$10+Settings!$C$11+IF(Settings!$C$15="Yes / Sí",Settings!$C$14,0))))/(1-(Settings!$C$10+Settings!$C$11+IF(Settings!$C$15="Yes / Sí",Settings!$C$14,0))-IF(H179="",Settings!$C$9,H179)),ROUNDUP(($I179+(Settings!$C$12+Settings!$C$13)-$G179*(1-(Settings!$C$10+Settings!$C$11+IF(Settings!$C$15="Yes / Sí",Settings!$C$14,0))))/(1-(Settings!$C$10+Settings!$C$11+IF(Settings!$C$15="Yes / Sí",Settings!$C$14,0))-IF(H179="",Settings!$C$9,H179)),0)-0.01,ROUNDUP(($I179+(Settings!$C$12+Settings!$C$13)-$G179*(1-(Settings!$C$10+Settings!$C$11+IF(Settings!$C$15="Yes / Sí",Settings!$C$14,0))))/(1-(Settings!$C$10+Settings!$C$11+IF(Settings!$C$15="Yes / Sí",Settings!$C$14,0))-IF(H179="",Settings!$C$9,H179)),0)+0.99),ROUNDUP(($I179+(Settings!$C$12+Settings!$C$13)-$G179*(1-(Settings!$C$10+Settings!$C$11+IF(Settings!$C$15="Yes / Sí",Settings!$C$14,0))))/(1-(Settings!$C$10+Settings!$C$11+IF(Settings!$C$15="Yes / Sí",Settings!$C$14,0))-IF(H179="",Settings!$C$9,H179)),2)))))</f>
        <v/>
      </c>
      <c r="L179" s="60" t="str">
        <f aca="false">IF(OR(B179="",K179=0),"",(K179+$G179-((K179+$G179)*(Settings!$C$10+Settings!$C$11+IF(Settings!$C$15="Yes / Sí",Settings!$C$14,0))+(Settings!$C$12+Settings!$C$13))-$I179))</f>
        <v/>
      </c>
      <c r="M179" s="57"/>
      <c r="N179" s="60" t="str">
        <f aca="false">IF(OR(B179="",M179=""),"",((M179+$G179)*(Settings!$C$10+Settings!$C$11+IF(Settings!$C$15="Yes / Sí",Settings!$C$14,0))+(Settings!$C$12+Settings!$C$13)))</f>
        <v/>
      </c>
      <c r="O179" s="60" t="str">
        <f aca="false">IF(OR(B179="",M179=""),"",(M179+$G179-((M179+$G179)*(Settings!$C$10+Settings!$C$11+IF(Settings!$C$15="Yes / Sí",Settings!$C$14,0))+(Settings!$C$12+Settings!$C$13))-$I179))</f>
        <v/>
      </c>
      <c r="P179" s="61" t="str">
        <f aca="false">IF(O179="","",IF(M179=0,0,O179/M179))</f>
        <v/>
      </c>
      <c r="Q179" s="60" t="str">
        <f aca="false">IF(OR(O179="",D179="",D179=0),"",(O179+D179/60*Settings!$C$7)/(D179/60))</f>
        <v/>
      </c>
      <c r="R179" s="62" t="str">
        <f aca="false">IF(B179="","",IF(M179="","Enter your price / Escribe tu precio",IF(O179&lt;0,"⚠ LOSING MONEY / PIERDES",IF(P179&lt;IF(H179="",Settings!$C$9,H179),"● BELOW TARGET / DEBAJO","✔ ON TARGET / EN OBJETIVO"))))</f>
        <v/>
      </c>
      <c r="T179" s="55" t="n">
        <f aca="false">IF(B179="",0,IF(M179="",0,1))</f>
        <v>0</v>
      </c>
      <c r="U179" s="55" t="n">
        <f aca="false">IF(T179=1,P179,0)</f>
        <v>0</v>
      </c>
      <c r="V179" s="55" t="n">
        <f aca="false">IF(T179=1,IF(O179&lt;0,0,IF(P179&lt;IF(H179="",Settings!$C$9,H179),1,0)),0)</f>
        <v>0</v>
      </c>
      <c r="W179" s="55" t="n">
        <f aca="false">IF(T179=1,IF(O179&lt;0,1,0),0)</f>
        <v>0</v>
      </c>
      <c r="X179" s="55" t="n">
        <f aca="false">IF(T179=1,M179,0)</f>
        <v>0</v>
      </c>
      <c r="Y179" s="55" t="n">
        <f aca="false">IF(T179=1,O179,0)</f>
        <v>0</v>
      </c>
      <c r="Z179" s="55" t="n">
        <f aca="false">IF(B179="",0,1)</f>
        <v>0</v>
      </c>
    </row>
    <row r="180" customFormat="false" ht="15" hidden="false" customHeight="false" outlineLevel="0" collapsed="false">
      <c r="B180" s="56"/>
      <c r="C180" s="57"/>
      <c r="D180" s="58"/>
      <c r="E180" s="57"/>
      <c r="F180" s="57"/>
      <c r="G180" s="57"/>
      <c r="H180" s="59"/>
      <c r="I180" s="60" t="str">
        <f aca="false">IF(B180="","",C180+IF(D180="",0,D180/60*Settings!$C$7)+E180+F180+Settings!$C$8)</f>
        <v/>
      </c>
      <c r="J180" s="60" t="str">
        <f aca="false">IF(B180="","",MAX(0,($I180+(Settings!$C$12+Settings!$C$13)-$G180*(1-(Settings!$C$10+Settings!$C$11+IF(Settings!$C$15="Yes / Sí",Settings!$C$14,0))))/(1-(Settings!$C$10+Settings!$C$11+IF(Settings!$C$15="Yes / Sí",Settings!$C$14,0)))))</f>
        <v/>
      </c>
      <c r="K180" s="60" t="str">
        <f aca="false">IF(B180="","",IF(1-(Settings!$C$10+Settings!$C$11+IF(Settings!$C$15="Yes / Sí",Settings!$C$14,0))-IF(H180="",Settings!$C$9,H180)&lt;=0,0,MAX(0,IF(Settings!$C$16="Yes / Sí",IF(ROUNDUP(($I180+(Settings!$C$12+Settings!$C$13)-$G180*(1-(Settings!$C$10+Settings!$C$11+IF(Settings!$C$15="Yes / Sí",Settings!$C$14,0))))/(1-(Settings!$C$10+Settings!$C$11+IF(Settings!$C$15="Yes / Sí",Settings!$C$14,0))-IF(H180="",Settings!$C$9,H180)),0)-0.01&gt;=($I180+(Settings!$C$12+Settings!$C$13)-$G180*(1-(Settings!$C$10+Settings!$C$11+IF(Settings!$C$15="Yes / Sí",Settings!$C$14,0))))/(1-(Settings!$C$10+Settings!$C$11+IF(Settings!$C$15="Yes / Sí",Settings!$C$14,0))-IF(H180="",Settings!$C$9,H180)),ROUNDUP(($I180+(Settings!$C$12+Settings!$C$13)-$G180*(1-(Settings!$C$10+Settings!$C$11+IF(Settings!$C$15="Yes / Sí",Settings!$C$14,0))))/(1-(Settings!$C$10+Settings!$C$11+IF(Settings!$C$15="Yes / Sí",Settings!$C$14,0))-IF(H180="",Settings!$C$9,H180)),0)-0.01,ROUNDUP(($I180+(Settings!$C$12+Settings!$C$13)-$G180*(1-(Settings!$C$10+Settings!$C$11+IF(Settings!$C$15="Yes / Sí",Settings!$C$14,0))))/(1-(Settings!$C$10+Settings!$C$11+IF(Settings!$C$15="Yes / Sí",Settings!$C$14,0))-IF(H180="",Settings!$C$9,H180)),0)+0.99),ROUNDUP(($I180+(Settings!$C$12+Settings!$C$13)-$G180*(1-(Settings!$C$10+Settings!$C$11+IF(Settings!$C$15="Yes / Sí",Settings!$C$14,0))))/(1-(Settings!$C$10+Settings!$C$11+IF(Settings!$C$15="Yes / Sí",Settings!$C$14,0))-IF(H180="",Settings!$C$9,H180)),2)))))</f>
        <v/>
      </c>
      <c r="L180" s="60" t="str">
        <f aca="false">IF(OR(B180="",K180=0),"",(K180+$G180-((K180+$G180)*(Settings!$C$10+Settings!$C$11+IF(Settings!$C$15="Yes / Sí",Settings!$C$14,0))+(Settings!$C$12+Settings!$C$13))-$I180))</f>
        <v/>
      </c>
      <c r="M180" s="57"/>
      <c r="N180" s="60" t="str">
        <f aca="false">IF(OR(B180="",M180=""),"",((M180+$G180)*(Settings!$C$10+Settings!$C$11+IF(Settings!$C$15="Yes / Sí",Settings!$C$14,0))+(Settings!$C$12+Settings!$C$13)))</f>
        <v/>
      </c>
      <c r="O180" s="60" t="str">
        <f aca="false">IF(OR(B180="",M180=""),"",(M180+$G180-((M180+$G180)*(Settings!$C$10+Settings!$C$11+IF(Settings!$C$15="Yes / Sí",Settings!$C$14,0))+(Settings!$C$12+Settings!$C$13))-$I180))</f>
        <v/>
      </c>
      <c r="P180" s="61" t="str">
        <f aca="false">IF(O180="","",IF(M180=0,0,O180/M180))</f>
        <v/>
      </c>
      <c r="Q180" s="60" t="str">
        <f aca="false">IF(OR(O180="",D180="",D180=0),"",(O180+D180/60*Settings!$C$7)/(D180/60))</f>
        <v/>
      </c>
      <c r="R180" s="62" t="str">
        <f aca="false">IF(B180="","",IF(M180="","Enter your price / Escribe tu precio",IF(O180&lt;0,"⚠ LOSING MONEY / PIERDES",IF(P180&lt;IF(H180="",Settings!$C$9,H180),"● BELOW TARGET / DEBAJO","✔ ON TARGET / EN OBJETIVO"))))</f>
        <v/>
      </c>
      <c r="T180" s="55" t="n">
        <f aca="false">IF(B180="",0,IF(M180="",0,1))</f>
        <v>0</v>
      </c>
      <c r="U180" s="55" t="n">
        <f aca="false">IF(T180=1,P180,0)</f>
        <v>0</v>
      </c>
      <c r="V180" s="55" t="n">
        <f aca="false">IF(T180=1,IF(O180&lt;0,0,IF(P180&lt;IF(H180="",Settings!$C$9,H180),1,0)),0)</f>
        <v>0</v>
      </c>
      <c r="W180" s="55" t="n">
        <f aca="false">IF(T180=1,IF(O180&lt;0,1,0),0)</f>
        <v>0</v>
      </c>
      <c r="X180" s="55" t="n">
        <f aca="false">IF(T180=1,M180,0)</f>
        <v>0</v>
      </c>
      <c r="Y180" s="55" t="n">
        <f aca="false">IF(T180=1,O180,0)</f>
        <v>0</v>
      </c>
      <c r="Z180" s="55" t="n">
        <f aca="false">IF(B180="",0,1)</f>
        <v>0</v>
      </c>
    </row>
    <row r="181" customFormat="false" ht="15" hidden="false" customHeight="false" outlineLevel="0" collapsed="false">
      <c r="B181" s="56"/>
      <c r="C181" s="57"/>
      <c r="D181" s="58"/>
      <c r="E181" s="57"/>
      <c r="F181" s="57"/>
      <c r="G181" s="57"/>
      <c r="H181" s="59"/>
      <c r="I181" s="60" t="str">
        <f aca="false">IF(B181="","",C181+IF(D181="",0,D181/60*Settings!$C$7)+E181+F181+Settings!$C$8)</f>
        <v/>
      </c>
      <c r="J181" s="60" t="str">
        <f aca="false">IF(B181="","",MAX(0,($I181+(Settings!$C$12+Settings!$C$13)-$G181*(1-(Settings!$C$10+Settings!$C$11+IF(Settings!$C$15="Yes / Sí",Settings!$C$14,0))))/(1-(Settings!$C$10+Settings!$C$11+IF(Settings!$C$15="Yes / Sí",Settings!$C$14,0)))))</f>
        <v/>
      </c>
      <c r="K181" s="60" t="str">
        <f aca="false">IF(B181="","",IF(1-(Settings!$C$10+Settings!$C$11+IF(Settings!$C$15="Yes / Sí",Settings!$C$14,0))-IF(H181="",Settings!$C$9,H181)&lt;=0,0,MAX(0,IF(Settings!$C$16="Yes / Sí",IF(ROUNDUP(($I181+(Settings!$C$12+Settings!$C$13)-$G181*(1-(Settings!$C$10+Settings!$C$11+IF(Settings!$C$15="Yes / Sí",Settings!$C$14,0))))/(1-(Settings!$C$10+Settings!$C$11+IF(Settings!$C$15="Yes / Sí",Settings!$C$14,0))-IF(H181="",Settings!$C$9,H181)),0)-0.01&gt;=($I181+(Settings!$C$12+Settings!$C$13)-$G181*(1-(Settings!$C$10+Settings!$C$11+IF(Settings!$C$15="Yes / Sí",Settings!$C$14,0))))/(1-(Settings!$C$10+Settings!$C$11+IF(Settings!$C$15="Yes / Sí",Settings!$C$14,0))-IF(H181="",Settings!$C$9,H181)),ROUNDUP(($I181+(Settings!$C$12+Settings!$C$13)-$G181*(1-(Settings!$C$10+Settings!$C$11+IF(Settings!$C$15="Yes / Sí",Settings!$C$14,0))))/(1-(Settings!$C$10+Settings!$C$11+IF(Settings!$C$15="Yes / Sí",Settings!$C$14,0))-IF(H181="",Settings!$C$9,H181)),0)-0.01,ROUNDUP(($I181+(Settings!$C$12+Settings!$C$13)-$G181*(1-(Settings!$C$10+Settings!$C$11+IF(Settings!$C$15="Yes / Sí",Settings!$C$14,0))))/(1-(Settings!$C$10+Settings!$C$11+IF(Settings!$C$15="Yes / Sí",Settings!$C$14,0))-IF(H181="",Settings!$C$9,H181)),0)+0.99),ROUNDUP(($I181+(Settings!$C$12+Settings!$C$13)-$G181*(1-(Settings!$C$10+Settings!$C$11+IF(Settings!$C$15="Yes / Sí",Settings!$C$14,0))))/(1-(Settings!$C$10+Settings!$C$11+IF(Settings!$C$15="Yes / Sí",Settings!$C$14,0))-IF(H181="",Settings!$C$9,H181)),2)))))</f>
        <v/>
      </c>
      <c r="L181" s="60" t="str">
        <f aca="false">IF(OR(B181="",K181=0),"",(K181+$G181-((K181+$G181)*(Settings!$C$10+Settings!$C$11+IF(Settings!$C$15="Yes / Sí",Settings!$C$14,0))+(Settings!$C$12+Settings!$C$13))-$I181))</f>
        <v/>
      </c>
      <c r="M181" s="57"/>
      <c r="N181" s="60" t="str">
        <f aca="false">IF(OR(B181="",M181=""),"",((M181+$G181)*(Settings!$C$10+Settings!$C$11+IF(Settings!$C$15="Yes / Sí",Settings!$C$14,0))+(Settings!$C$12+Settings!$C$13)))</f>
        <v/>
      </c>
      <c r="O181" s="60" t="str">
        <f aca="false">IF(OR(B181="",M181=""),"",(M181+$G181-((M181+$G181)*(Settings!$C$10+Settings!$C$11+IF(Settings!$C$15="Yes / Sí",Settings!$C$14,0))+(Settings!$C$12+Settings!$C$13))-$I181))</f>
        <v/>
      </c>
      <c r="P181" s="61" t="str">
        <f aca="false">IF(O181="","",IF(M181=0,0,O181/M181))</f>
        <v/>
      </c>
      <c r="Q181" s="60" t="str">
        <f aca="false">IF(OR(O181="",D181="",D181=0),"",(O181+D181/60*Settings!$C$7)/(D181/60))</f>
        <v/>
      </c>
      <c r="R181" s="62" t="str">
        <f aca="false">IF(B181="","",IF(M181="","Enter your price / Escribe tu precio",IF(O181&lt;0,"⚠ LOSING MONEY / PIERDES",IF(P181&lt;IF(H181="",Settings!$C$9,H181),"● BELOW TARGET / DEBAJO","✔ ON TARGET / EN OBJETIVO"))))</f>
        <v/>
      </c>
      <c r="T181" s="55" t="n">
        <f aca="false">IF(B181="",0,IF(M181="",0,1))</f>
        <v>0</v>
      </c>
      <c r="U181" s="55" t="n">
        <f aca="false">IF(T181=1,P181,0)</f>
        <v>0</v>
      </c>
      <c r="V181" s="55" t="n">
        <f aca="false">IF(T181=1,IF(O181&lt;0,0,IF(P181&lt;IF(H181="",Settings!$C$9,H181),1,0)),0)</f>
        <v>0</v>
      </c>
      <c r="W181" s="55" t="n">
        <f aca="false">IF(T181=1,IF(O181&lt;0,1,0),0)</f>
        <v>0</v>
      </c>
      <c r="X181" s="55" t="n">
        <f aca="false">IF(T181=1,M181,0)</f>
        <v>0</v>
      </c>
      <c r="Y181" s="55" t="n">
        <f aca="false">IF(T181=1,O181,0)</f>
        <v>0</v>
      </c>
      <c r="Z181" s="55" t="n">
        <f aca="false">IF(B181="",0,1)</f>
        <v>0</v>
      </c>
    </row>
    <row r="182" customFormat="false" ht="15" hidden="false" customHeight="false" outlineLevel="0" collapsed="false">
      <c r="B182" s="56"/>
      <c r="C182" s="57"/>
      <c r="D182" s="58"/>
      <c r="E182" s="57"/>
      <c r="F182" s="57"/>
      <c r="G182" s="57"/>
      <c r="H182" s="59"/>
      <c r="I182" s="60" t="str">
        <f aca="false">IF(B182="","",C182+IF(D182="",0,D182/60*Settings!$C$7)+E182+F182+Settings!$C$8)</f>
        <v/>
      </c>
      <c r="J182" s="60" t="str">
        <f aca="false">IF(B182="","",MAX(0,($I182+(Settings!$C$12+Settings!$C$13)-$G182*(1-(Settings!$C$10+Settings!$C$11+IF(Settings!$C$15="Yes / Sí",Settings!$C$14,0))))/(1-(Settings!$C$10+Settings!$C$11+IF(Settings!$C$15="Yes / Sí",Settings!$C$14,0)))))</f>
        <v/>
      </c>
      <c r="K182" s="60" t="str">
        <f aca="false">IF(B182="","",IF(1-(Settings!$C$10+Settings!$C$11+IF(Settings!$C$15="Yes / Sí",Settings!$C$14,0))-IF(H182="",Settings!$C$9,H182)&lt;=0,0,MAX(0,IF(Settings!$C$16="Yes / Sí",IF(ROUNDUP(($I182+(Settings!$C$12+Settings!$C$13)-$G182*(1-(Settings!$C$10+Settings!$C$11+IF(Settings!$C$15="Yes / Sí",Settings!$C$14,0))))/(1-(Settings!$C$10+Settings!$C$11+IF(Settings!$C$15="Yes / Sí",Settings!$C$14,0))-IF(H182="",Settings!$C$9,H182)),0)-0.01&gt;=($I182+(Settings!$C$12+Settings!$C$13)-$G182*(1-(Settings!$C$10+Settings!$C$11+IF(Settings!$C$15="Yes / Sí",Settings!$C$14,0))))/(1-(Settings!$C$10+Settings!$C$11+IF(Settings!$C$15="Yes / Sí",Settings!$C$14,0))-IF(H182="",Settings!$C$9,H182)),ROUNDUP(($I182+(Settings!$C$12+Settings!$C$13)-$G182*(1-(Settings!$C$10+Settings!$C$11+IF(Settings!$C$15="Yes / Sí",Settings!$C$14,0))))/(1-(Settings!$C$10+Settings!$C$11+IF(Settings!$C$15="Yes / Sí",Settings!$C$14,0))-IF(H182="",Settings!$C$9,H182)),0)-0.01,ROUNDUP(($I182+(Settings!$C$12+Settings!$C$13)-$G182*(1-(Settings!$C$10+Settings!$C$11+IF(Settings!$C$15="Yes / Sí",Settings!$C$14,0))))/(1-(Settings!$C$10+Settings!$C$11+IF(Settings!$C$15="Yes / Sí",Settings!$C$14,0))-IF(H182="",Settings!$C$9,H182)),0)+0.99),ROUNDUP(($I182+(Settings!$C$12+Settings!$C$13)-$G182*(1-(Settings!$C$10+Settings!$C$11+IF(Settings!$C$15="Yes / Sí",Settings!$C$14,0))))/(1-(Settings!$C$10+Settings!$C$11+IF(Settings!$C$15="Yes / Sí",Settings!$C$14,0))-IF(H182="",Settings!$C$9,H182)),2)))))</f>
        <v/>
      </c>
      <c r="L182" s="60" t="str">
        <f aca="false">IF(OR(B182="",K182=0),"",(K182+$G182-((K182+$G182)*(Settings!$C$10+Settings!$C$11+IF(Settings!$C$15="Yes / Sí",Settings!$C$14,0))+(Settings!$C$12+Settings!$C$13))-$I182))</f>
        <v/>
      </c>
      <c r="M182" s="57"/>
      <c r="N182" s="60" t="str">
        <f aca="false">IF(OR(B182="",M182=""),"",((M182+$G182)*(Settings!$C$10+Settings!$C$11+IF(Settings!$C$15="Yes / Sí",Settings!$C$14,0))+(Settings!$C$12+Settings!$C$13)))</f>
        <v/>
      </c>
      <c r="O182" s="60" t="str">
        <f aca="false">IF(OR(B182="",M182=""),"",(M182+$G182-((M182+$G182)*(Settings!$C$10+Settings!$C$11+IF(Settings!$C$15="Yes / Sí",Settings!$C$14,0))+(Settings!$C$12+Settings!$C$13))-$I182))</f>
        <v/>
      </c>
      <c r="P182" s="61" t="str">
        <f aca="false">IF(O182="","",IF(M182=0,0,O182/M182))</f>
        <v/>
      </c>
      <c r="Q182" s="60" t="str">
        <f aca="false">IF(OR(O182="",D182="",D182=0),"",(O182+D182/60*Settings!$C$7)/(D182/60))</f>
        <v/>
      </c>
      <c r="R182" s="62" t="str">
        <f aca="false">IF(B182="","",IF(M182="","Enter your price / Escribe tu precio",IF(O182&lt;0,"⚠ LOSING MONEY / PIERDES",IF(P182&lt;IF(H182="",Settings!$C$9,H182),"● BELOW TARGET / DEBAJO","✔ ON TARGET / EN OBJETIVO"))))</f>
        <v/>
      </c>
      <c r="T182" s="55" t="n">
        <f aca="false">IF(B182="",0,IF(M182="",0,1))</f>
        <v>0</v>
      </c>
      <c r="U182" s="55" t="n">
        <f aca="false">IF(T182=1,P182,0)</f>
        <v>0</v>
      </c>
      <c r="V182" s="55" t="n">
        <f aca="false">IF(T182=1,IF(O182&lt;0,0,IF(P182&lt;IF(H182="",Settings!$C$9,H182),1,0)),0)</f>
        <v>0</v>
      </c>
      <c r="W182" s="55" t="n">
        <f aca="false">IF(T182=1,IF(O182&lt;0,1,0),0)</f>
        <v>0</v>
      </c>
      <c r="X182" s="55" t="n">
        <f aca="false">IF(T182=1,M182,0)</f>
        <v>0</v>
      </c>
      <c r="Y182" s="55" t="n">
        <f aca="false">IF(T182=1,O182,0)</f>
        <v>0</v>
      </c>
      <c r="Z182" s="55" t="n">
        <f aca="false">IF(B182="",0,1)</f>
        <v>0</v>
      </c>
    </row>
    <row r="183" customFormat="false" ht="15" hidden="false" customHeight="false" outlineLevel="0" collapsed="false">
      <c r="B183" s="56"/>
      <c r="C183" s="57"/>
      <c r="D183" s="58"/>
      <c r="E183" s="57"/>
      <c r="F183" s="57"/>
      <c r="G183" s="57"/>
      <c r="H183" s="59"/>
      <c r="I183" s="60" t="str">
        <f aca="false">IF(B183="","",C183+IF(D183="",0,D183/60*Settings!$C$7)+E183+F183+Settings!$C$8)</f>
        <v/>
      </c>
      <c r="J183" s="60" t="str">
        <f aca="false">IF(B183="","",MAX(0,($I183+(Settings!$C$12+Settings!$C$13)-$G183*(1-(Settings!$C$10+Settings!$C$11+IF(Settings!$C$15="Yes / Sí",Settings!$C$14,0))))/(1-(Settings!$C$10+Settings!$C$11+IF(Settings!$C$15="Yes / Sí",Settings!$C$14,0)))))</f>
        <v/>
      </c>
      <c r="K183" s="60" t="str">
        <f aca="false">IF(B183="","",IF(1-(Settings!$C$10+Settings!$C$11+IF(Settings!$C$15="Yes / Sí",Settings!$C$14,0))-IF(H183="",Settings!$C$9,H183)&lt;=0,0,MAX(0,IF(Settings!$C$16="Yes / Sí",IF(ROUNDUP(($I183+(Settings!$C$12+Settings!$C$13)-$G183*(1-(Settings!$C$10+Settings!$C$11+IF(Settings!$C$15="Yes / Sí",Settings!$C$14,0))))/(1-(Settings!$C$10+Settings!$C$11+IF(Settings!$C$15="Yes / Sí",Settings!$C$14,0))-IF(H183="",Settings!$C$9,H183)),0)-0.01&gt;=($I183+(Settings!$C$12+Settings!$C$13)-$G183*(1-(Settings!$C$10+Settings!$C$11+IF(Settings!$C$15="Yes / Sí",Settings!$C$14,0))))/(1-(Settings!$C$10+Settings!$C$11+IF(Settings!$C$15="Yes / Sí",Settings!$C$14,0))-IF(H183="",Settings!$C$9,H183)),ROUNDUP(($I183+(Settings!$C$12+Settings!$C$13)-$G183*(1-(Settings!$C$10+Settings!$C$11+IF(Settings!$C$15="Yes / Sí",Settings!$C$14,0))))/(1-(Settings!$C$10+Settings!$C$11+IF(Settings!$C$15="Yes / Sí",Settings!$C$14,0))-IF(H183="",Settings!$C$9,H183)),0)-0.01,ROUNDUP(($I183+(Settings!$C$12+Settings!$C$13)-$G183*(1-(Settings!$C$10+Settings!$C$11+IF(Settings!$C$15="Yes / Sí",Settings!$C$14,0))))/(1-(Settings!$C$10+Settings!$C$11+IF(Settings!$C$15="Yes / Sí",Settings!$C$14,0))-IF(H183="",Settings!$C$9,H183)),0)+0.99),ROUNDUP(($I183+(Settings!$C$12+Settings!$C$13)-$G183*(1-(Settings!$C$10+Settings!$C$11+IF(Settings!$C$15="Yes / Sí",Settings!$C$14,0))))/(1-(Settings!$C$10+Settings!$C$11+IF(Settings!$C$15="Yes / Sí",Settings!$C$14,0))-IF(H183="",Settings!$C$9,H183)),2)))))</f>
        <v/>
      </c>
      <c r="L183" s="60" t="str">
        <f aca="false">IF(OR(B183="",K183=0),"",(K183+$G183-((K183+$G183)*(Settings!$C$10+Settings!$C$11+IF(Settings!$C$15="Yes / Sí",Settings!$C$14,0))+(Settings!$C$12+Settings!$C$13))-$I183))</f>
        <v/>
      </c>
      <c r="M183" s="57"/>
      <c r="N183" s="60" t="str">
        <f aca="false">IF(OR(B183="",M183=""),"",((M183+$G183)*(Settings!$C$10+Settings!$C$11+IF(Settings!$C$15="Yes / Sí",Settings!$C$14,0))+(Settings!$C$12+Settings!$C$13)))</f>
        <v/>
      </c>
      <c r="O183" s="60" t="str">
        <f aca="false">IF(OR(B183="",M183=""),"",(M183+$G183-((M183+$G183)*(Settings!$C$10+Settings!$C$11+IF(Settings!$C$15="Yes / Sí",Settings!$C$14,0))+(Settings!$C$12+Settings!$C$13))-$I183))</f>
        <v/>
      </c>
      <c r="P183" s="61" t="str">
        <f aca="false">IF(O183="","",IF(M183=0,0,O183/M183))</f>
        <v/>
      </c>
      <c r="Q183" s="60" t="str">
        <f aca="false">IF(OR(O183="",D183="",D183=0),"",(O183+D183/60*Settings!$C$7)/(D183/60))</f>
        <v/>
      </c>
      <c r="R183" s="62" t="str">
        <f aca="false">IF(B183="","",IF(M183="","Enter your price / Escribe tu precio",IF(O183&lt;0,"⚠ LOSING MONEY / PIERDES",IF(P183&lt;IF(H183="",Settings!$C$9,H183),"● BELOW TARGET / DEBAJO","✔ ON TARGET / EN OBJETIVO"))))</f>
        <v/>
      </c>
      <c r="T183" s="55" t="n">
        <f aca="false">IF(B183="",0,IF(M183="",0,1))</f>
        <v>0</v>
      </c>
      <c r="U183" s="55" t="n">
        <f aca="false">IF(T183=1,P183,0)</f>
        <v>0</v>
      </c>
      <c r="V183" s="55" t="n">
        <f aca="false">IF(T183=1,IF(O183&lt;0,0,IF(P183&lt;IF(H183="",Settings!$C$9,H183),1,0)),0)</f>
        <v>0</v>
      </c>
      <c r="W183" s="55" t="n">
        <f aca="false">IF(T183=1,IF(O183&lt;0,1,0),0)</f>
        <v>0</v>
      </c>
      <c r="X183" s="55" t="n">
        <f aca="false">IF(T183=1,M183,0)</f>
        <v>0</v>
      </c>
      <c r="Y183" s="55" t="n">
        <f aca="false">IF(T183=1,O183,0)</f>
        <v>0</v>
      </c>
      <c r="Z183" s="55" t="n">
        <f aca="false">IF(B183="",0,1)</f>
        <v>0</v>
      </c>
    </row>
    <row r="184" customFormat="false" ht="15" hidden="false" customHeight="false" outlineLevel="0" collapsed="false">
      <c r="B184" s="56"/>
      <c r="C184" s="57"/>
      <c r="D184" s="58"/>
      <c r="E184" s="57"/>
      <c r="F184" s="57"/>
      <c r="G184" s="57"/>
      <c r="H184" s="59"/>
      <c r="I184" s="60" t="str">
        <f aca="false">IF(B184="","",C184+IF(D184="",0,D184/60*Settings!$C$7)+E184+F184+Settings!$C$8)</f>
        <v/>
      </c>
      <c r="J184" s="60" t="str">
        <f aca="false">IF(B184="","",MAX(0,($I184+(Settings!$C$12+Settings!$C$13)-$G184*(1-(Settings!$C$10+Settings!$C$11+IF(Settings!$C$15="Yes / Sí",Settings!$C$14,0))))/(1-(Settings!$C$10+Settings!$C$11+IF(Settings!$C$15="Yes / Sí",Settings!$C$14,0)))))</f>
        <v/>
      </c>
      <c r="K184" s="60" t="str">
        <f aca="false">IF(B184="","",IF(1-(Settings!$C$10+Settings!$C$11+IF(Settings!$C$15="Yes / Sí",Settings!$C$14,0))-IF(H184="",Settings!$C$9,H184)&lt;=0,0,MAX(0,IF(Settings!$C$16="Yes / Sí",IF(ROUNDUP(($I184+(Settings!$C$12+Settings!$C$13)-$G184*(1-(Settings!$C$10+Settings!$C$11+IF(Settings!$C$15="Yes / Sí",Settings!$C$14,0))))/(1-(Settings!$C$10+Settings!$C$11+IF(Settings!$C$15="Yes / Sí",Settings!$C$14,0))-IF(H184="",Settings!$C$9,H184)),0)-0.01&gt;=($I184+(Settings!$C$12+Settings!$C$13)-$G184*(1-(Settings!$C$10+Settings!$C$11+IF(Settings!$C$15="Yes / Sí",Settings!$C$14,0))))/(1-(Settings!$C$10+Settings!$C$11+IF(Settings!$C$15="Yes / Sí",Settings!$C$14,0))-IF(H184="",Settings!$C$9,H184)),ROUNDUP(($I184+(Settings!$C$12+Settings!$C$13)-$G184*(1-(Settings!$C$10+Settings!$C$11+IF(Settings!$C$15="Yes / Sí",Settings!$C$14,0))))/(1-(Settings!$C$10+Settings!$C$11+IF(Settings!$C$15="Yes / Sí",Settings!$C$14,0))-IF(H184="",Settings!$C$9,H184)),0)-0.01,ROUNDUP(($I184+(Settings!$C$12+Settings!$C$13)-$G184*(1-(Settings!$C$10+Settings!$C$11+IF(Settings!$C$15="Yes / Sí",Settings!$C$14,0))))/(1-(Settings!$C$10+Settings!$C$11+IF(Settings!$C$15="Yes / Sí",Settings!$C$14,0))-IF(H184="",Settings!$C$9,H184)),0)+0.99),ROUNDUP(($I184+(Settings!$C$12+Settings!$C$13)-$G184*(1-(Settings!$C$10+Settings!$C$11+IF(Settings!$C$15="Yes / Sí",Settings!$C$14,0))))/(1-(Settings!$C$10+Settings!$C$11+IF(Settings!$C$15="Yes / Sí",Settings!$C$14,0))-IF(H184="",Settings!$C$9,H184)),2)))))</f>
        <v/>
      </c>
      <c r="L184" s="60" t="str">
        <f aca="false">IF(OR(B184="",K184=0),"",(K184+$G184-((K184+$G184)*(Settings!$C$10+Settings!$C$11+IF(Settings!$C$15="Yes / Sí",Settings!$C$14,0))+(Settings!$C$12+Settings!$C$13))-$I184))</f>
        <v/>
      </c>
      <c r="M184" s="57"/>
      <c r="N184" s="60" t="str">
        <f aca="false">IF(OR(B184="",M184=""),"",((M184+$G184)*(Settings!$C$10+Settings!$C$11+IF(Settings!$C$15="Yes / Sí",Settings!$C$14,0))+(Settings!$C$12+Settings!$C$13)))</f>
        <v/>
      </c>
      <c r="O184" s="60" t="str">
        <f aca="false">IF(OR(B184="",M184=""),"",(M184+$G184-((M184+$G184)*(Settings!$C$10+Settings!$C$11+IF(Settings!$C$15="Yes / Sí",Settings!$C$14,0))+(Settings!$C$12+Settings!$C$13))-$I184))</f>
        <v/>
      </c>
      <c r="P184" s="61" t="str">
        <f aca="false">IF(O184="","",IF(M184=0,0,O184/M184))</f>
        <v/>
      </c>
      <c r="Q184" s="60" t="str">
        <f aca="false">IF(OR(O184="",D184="",D184=0),"",(O184+D184/60*Settings!$C$7)/(D184/60))</f>
        <v/>
      </c>
      <c r="R184" s="62" t="str">
        <f aca="false">IF(B184="","",IF(M184="","Enter your price / Escribe tu precio",IF(O184&lt;0,"⚠ LOSING MONEY / PIERDES",IF(P184&lt;IF(H184="",Settings!$C$9,H184),"● BELOW TARGET / DEBAJO","✔ ON TARGET / EN OBJETIVO"))))</f>
        <v/>
      </c>
      <c r="T184" s="55" t="n">
        <f aca="false">IF(B184="",0,IF(M184="",0,1))</f>
        <v>0</v>
      </c>
      <c r="U184" s="55" t="n">
        <f aca="false">IF(T184=1,P184,0)</f>
        <v>0</v>
      </c>
      <c r="V184" s="55" t="n">
        <f aca="false">IF(T184=1,IF(O184&lt;0,0,IF(P184&lt;IF(H184="",Settings!$C$9,H184),1,0)),0)</f>
        <v>0</v>
      </c>
      <c r="W184" s="55" t="n">
        <f aca="false">IF(T184=1,IF(O184&lt;0,1,0),0)</f>
        <v>0</v>
      </c>
      <c r="X184" s="55" t="n">
        <f aca="false">IF(T184=1,M184,0)</f>
        <v>0</v>
      </c>
      <c r="Y184" s="55" t="n">
        <f aca="false">IF(T184=1,O184,0)</f>
        <v>0</v>
      </c>
      <c r="Z184" s="55" t="n">
        <f aca="false">IF(B184="",0,1)</f>
        <v>0</v>
      </c>
    </row>
    <row r="185" customFormat="false" ht="15" hidden="false" customHeight="false" outlineLevel="0" collapsed="false">
      <c r="B185" s="56"/>
      <c r="C185" s="57"/>
      <c r="D185" s="58"/>
      <c r="E185" s="57"/>
      <c r="F185" s="57"/>
      <c r="G185" s="57"/>
      <c r="H185" s="59"/>
      <c r="I185" s="60" t="str">
        <f aca="false">IF(B185="","",C185+IF(D185="",0,D185/60*Settings!$C$7)+E185+F185+Settings!$C$8)</f>
        <v/>
      </c>
      <c r="J185" s="60" t="str">
        <f aca="false">IF(B185="","",MAX(0,($I185+(Settings!$C$12+Settings!$C$13)-$G185*(1-(Settings!$C$10+Settings!$C$11+IF(Settings!$C$15="Yes / Sí",Settings!$C$14,0))))/(1-(Settings!$C$10+Settings!$C$11+IF(Settings!$C$15="Yes / Sí",Settings!$C$14,0)))))</f>
        <v/>
      </c>
      <c r="K185" s="60" t="str">
        <f aca="false">IF(B185="","",IF(1-(Settings!$C$10+Settings!$C$11+IF(Settings!$C$15="Yes / Sí",Settings!$C$14,0))-IF(H185="",Settings!$C$9,H185)&lt;=0,0,MAX(0,IF(Settings!$C$16="Yes / Sí",IF(ROUNDUP(($I185+(Settings!$C$12+Settings!$C$13)-$G185*(1-(Settings!$C$10+Settings!$C$11+IF(Settings!$C$15="Yes / Sí",Settings!$C$14,0))))/(1-(Settings!$C$10+Settings!$C$11+IF(Settings!$C$15="Yes / Sí",Settings!$C$14,0))-IF(H185="",Settings!$C$9,H185)),0)-0.01&gt;=($I185+(Settings!$C$12+Settings!$C$13)-$G185*(1-(Settings!$C$10+Settings!$C$11+IF(Settings!$C$15="Yes / Sí",Settings!$C$14,0))))/(1-(Settings!$C$10+Settings!$C$11+IF(Settings!$C$15="Yes / Sí",Settings!$C$14,0))-IF(H185="",Settings!$C$9,H185)),ROUNDUP(($I185+(Settings!$C$12+Settings!$C$13)-$G185*(1-(Settings!$C$10+Settings!$C$11+IF(Settings!$C$15="Yes / Sí",Settings!$C$14,0))))/(1-(Settings!$C$10+Settings!$C$11+IF(Settings!$C$15="Yes / Sí",Settings!$C$14,0))-IF(H185="",Settings!$C$9,H185)),0)-0.01,ROUNDUP(($I185+(Settings!$C$12+Settings!$C$13)-$G185*(1-(Settings!$C$10+Settings!$C$11+IF(Settings!$C$15="Yes / Sí",Settings!$C$14,0))))/(1-(Settings!$C$10+Settings!$C$11+IF(Settings!$C$15="Yes / Sí",Settings!$C$14,0))-IF(H185="",Settings!$C$9,H185)),0)+0.99),ROUNDUP(($I185+(Settings!$C$12+Settings!$C$13)-$G185*(1-(Settings!$C$10+Settings!$C$11+IF(Settings!$C$15="Yes / Sí",Settings!$C$14,0))))/(1-(Settings!$C$10+Settings!$C$11+IF(Settings!$C$15="Yes / Sí",Settings!$C$14,0))-IF(H185="",Settings!$C$9,H185)),2)))))</f>
        <v/>
      </c>
      <c r="L185" s="60" t="str">
        <f aca="false">IF(OR(B185="",K185=0),"",(K185+$G185-((K185+$G185)*(Settings!$C$10+Settings!$C$11+IF(Settings!$C$15="Yes / Sí",Settings!$C$14,0))+(Settings!$C$12+Settings!$C$13))-$I185))</f>
        <v/>
      </c>
      <c r="M185" s="57"/>
      <c r="N185" s="60" t="str">
        <f aca="false">IF(OR(B185="",M185=""),"",((M185+$G185)*(Settings!$C$10+Settings!$C$11+IF(Settings!$C$15="Yes / Sí",Settings!$C$14,0))+(Settings!$C$12+Settings!$C$13)))</f>
        <v/>
      </c>
      <c r="O185" s="60" t="str">
        <f aca="false">IF(OR(B185="",M185=""),"",(M185+$G185-((M185+$G185)*(Settings!$C$10+Settings!$C$11+IF(Settings!$C$15="Yes / Sí",Settings!$C$14,0))+(Settings!$C$12+Settings!$C$13))-$I185))</f>
        <v/>
      </c>
      <c r="P185" s="61" t="str">
        <f aca="false">IF(O185="","",IF(M185=0,0,O185/M185))</f>
        <v/>
      </c>
      <c r="Q185" s="60" t="str">
        <f aca="false">IF(OR(O185="",D185="",D185=0),"",(O185+D185/60*Settings!$C$7)/(D185/60))</f>
        <v/>
      </c>
      <c r="R185" s="62" t="str">
        <f aca="false">IF(B185="","",IF(M185="","Enter your price / Escribe tu precio",IF(O185&lt;0,"⚠ LOSING MONEY / PIERDES",IF(P185&lt;IF(H185="",Settings!$C$9,H185),"● BELOW TARGET / DEBAJO","✔ ON TARGET / EN OBJETIVO"))))</f>
        <v/>
      </c>
      <c r="T185" s="55" t="n">
        <f aca="false">IF(B185="",0,IF(M185="",0,1))</f>
        <v>0</v>
      </c>
      <c r="U185" s="55" t="n">
        <f aca="false">IF(T185=1,P185,0)</f>
        <v>0</v>
      </c>
      <c r="V185" s="55" t="n">
        <f aca="false">IF(T185=1,IF(O185&lt;0,0,IF(P185&lt;IF(H185="",Settings!$C$9,H185),1,0)),0)</f>
        <v>0</v>
      </c>
      <c r="W185" s="55" t="n">
        <f aca="false">IF(T185=1,IF(O185&lt;0,1,0),0)</f>
        <v>0</v>
      </c>
      <c r="X185" s="55" t="n">
        <f aca="false">IF(T185=1,M185,0)</f>
        <v>0</v>
      </c>
      <c r="Y185" s="55" t="n">
        <f aca="false">IF(T185=1,O185,0)</f>
        <v>0</v>
      </c>
      <c r="Z185" s="55" t="n">
        <f aca="false">IF(B185="",0,1)</f>
        <v>0</v>
      </c>
    </row>
    <row r="186" customFormat="false" ht="15" hidden="false" customHeight="false" outlineLevel="0" collapsed="false">
      <c r="B186" s="56"/>
      <c r="C186" s="57"/>
      <c r="D186" s="58"/>
      <c r="E186" s="57"/>
      <c r="F186" s="57"/>
      <c r="G186" s="57"/>
      <c r="H186" s="59"/>
      <c r="I186" s="60" t="str">
        <f aca="false">IF(B186="","",C186+IF(D186="",0,D186/60*Settings!$C$7)+E186+F186+Settings!$C$8)</f>
        <v/>
      </c>
      <c r="J186" s="60" t="str">
        <f aca="false">IF(B186="","",MAX(0,($I186+(Settings!$C$12+Settings!$C$13)-$G186*(1-(Settings!$C$10+Settings!$C$11+IF(Settings!$C$15="Yes / Sí",Settings!$C$14,0))))/(1-(Settings!$C$10+Settings!$C$11+IF(Settings!$C$15="Yes / Sí",Settings!$C$14,0)))))</f>
        <v/>
      </c>
      <c r="K186" s="60" t="str">
        <f aca="false">IF(B186="","",IF(1-(Settings!$C$10+Settings!$C$11+IF(Settings!$C$15="Yes / Sí",Settings!$C$14,0))-IF(H186="",Settings!$C$9,H186)&lt;=0,0,MAX(0,IF(Settings!$C$16="Yes / Sí",IF(ROUNDUP(($I186+(Settings!$C$12+Settings!$C$13)-$G186*(1-(Settings!$C$10+Settings!$C$11+IF(Settings!$C$15="Yes / Sí",Settings!$C$14,0))))/(1-(Settings!$C$10+Settings!$C$11+IF(Settings!$C$15="Yes / Sí",Settings!$C$14,0))-IF(H186="",Settings!$C$9,H186)),0)-0.01&gt;=($I186+(Settings!$C$12+Settings!$C$13)-$G186*(1-(Settings!$C$10+Settings!$C$11+IF(Settings!$C$15="Yes / Sí",Settings!$C$14,0))))/(1-(Settings!$C$10+Settings!$C$11+IF(Settings!$C$15="Yes / Sí",Settings!$C$14,0))-IF(H186="",Settings!$C$9,H186)),ROUNDUP(($I186+(Settings!$C$12+Settings!$C$13)-$G186*(1-(Settings!$C$10+Settings!$C$11+IF(Settings!$C$15="Yes / Sí",Settings!$C$14,0))))/(1-(Settings!$C$10+Settings!$C$11+IF(Settings!$C$15="Yes / Sí",Settings!$C$14,0))-IF(H186="",Settings!$C$9,H186)),0)-0.01,ROUNDUP(($I186+(Settings!$C$12+Settings!$C$13)-$G186*(1-(Settings!$C$10+Settings!$C$11+IF(Settings!$C$15="Yes / Sí",Settings!$C$14,0))))/(1-(Settings!$C$10+Settings!$C$11+IF(Settings!$C$15="Yes / Sí",Settings!$C$14,0))-IF(H186="",Settings!$C$9,H186)),0)+0.99),ROUNDUP(($I186+(Settings!$C$12+Settings!$C$13)-$G186*(1-(Settings!$C$10+Settings!$C$11+IF(Settings!$C$15="Yes / Sí",Settings!$C$14,0))))/(1-(Settings!$C$10+Settings!$C$11+IF(Settings!$C$15="Yes / Sí",Settings!$C$14,0))-IF(H186="",Settings!$C$9,H186)),2)))))</f>
        <v/>
      </c>
      <c r="L186" s="60" t="str">
        <f aca="false">IF(OR(B186="",K186=0),"",(K186+$G186-((K186+$G186)*(Settings!$C$10+Settings!$C$11+IF(Settings!$C$15="Yes / Sí",Settings!$C$14,0))+(Settings!$C$12+Settings!$C$13))-$I186))</f>
        <v/>
      </c>
      <c r="M186" s="57"/>
      <c r="N186" s="60" t="str">
        <f aca="false">IF(OR(B186="",M186=""),"",((M186+$G186)*(Settings!$C$10+Settings!$C$11+IF(Settings!$C$15="Yes / Sí",Settings!$C$14,0))+(Settings!$C$12+Settings!$C$13)))</f>
        <v/>
      </c>
      <c r="O186" s="60" t="str">
        <f aca="false">IF(OR(B186="",M186=""),"",(M186+$G186-((M186+$G186)*(Settings!$C$10+Settings!$C$11+IF(Settings!$C$15="Yes / Sí",Settings!$C$14,0))+(Settings!$C$12+Settings!$C$13))-$I186))</f>
        <v/>
      </c>
      <c r="P186" s="61" t="str">
        <f aca="false">IF(O186="","",IF(M186=0,0,O186/M186))</f>
        <v/>
      </c>
      <c r="Q186" s="60" t="str">
        <f aca="false">IF(OR(O186="",D186="",D186=0),"",(O186+D186/60*Settings!$C$7)/(D186/60))</f>
        <v/>
      </c>
      <c r="R186" s="62" t="str">
        <f aca="false">IF(B186="","",IF(M186="","Enter your price / Escribe tu precio",IF(O186&lt;0,"⚠ LOSING MONEY / PIERDES",IF(P186&lt;IF(H186="",Settings!$C$9,H186),"● BELOW TARGET / DEBAJO","✔ ON TARGET / EN OBJETIVO"))))</f>
        <v/>
      </c>
      <c r="T186" s="55" t="n">
        <f aca="false">IF(B186="",0,IF(M186="",0,1))</f>
        <v>0</v>
      </c>
      <c r="U186" s="55" t="n">
        <f aca="false">IF(T186=1,P186,0)</f>
        <v>0</v>
      </c>
      <c r="V186" s="55" t="n">
        <f aca="false">IF(T186=1,IF(O186&lt;0,0,IF(P186&lt;IF(H186="",Settings!$C$9,H186),1,0)),0)</f>
        <v>0</v>
      </c>
      <c r="W186" s="55" t="n">
        <f aca="false">IF(T186=1,IF(O186&lt;0,1,0),0)</f>
        <v>0</v>
      </c>
      <c r="X186" s="55" t="n">
        <f aca="false">IF(T186=1,M186,0)</f>
        <v>0</v>
      </c>
      <c r="Y186" s="55" t="n">
        <f aca="false">IF(T186=1,O186,0)</f>
        <v>0</v>
      </c>
      <c r="Z186" s="55" t="n">
        <f aca="false">IF(B186="",0,1)</f>
        <v>0</v>
      </c>
    </row>
    <row r="187" customFormat="false" ht="15" hidden="false" customHeight="false" outlineLevel="0" collapsed="false">
      <c r="B187" s="56"/>
      <c r="C187" s="57"/>
      <c r="D187" s="58"/>
      <c r="E187" s="57"/>
      <c r="F187" s="57"/>
      <c r="G187" s="57"/>
      <c r="H187" s="59"/>
      <c r="I187" s="60" t="str">
        <f aca="false">IF(B187="","",C187+IF(D187="",0,D187/60*Settings!$C$7)+E187+F187+Settings!$C$8)</f>
        <v/>
      </c>
      <c r="J187" s="60" t="str">
        <f aca="false">IF(B187="","",MAX(0,($I187+(Settings!$C$12+Settings!$C$13)-$G187*(1-(Settings!$C$10+Settings!$C$11+IF(Settings!$C$15="Yes / Sí",Settings!$C$14,0))))/(1-(Settings!$C$10+Settings!$C$11+IF(Settings!$C$15="Yes / Sí",Settings!$C$14,0)))))</f>
        <v/>
      </c>
      <c r="K187" s="60" t="str">
        <f aca="false">IF(B187="","",IF(1-(Settings!$C$10+Settings!$C$11+IF(Settings!$C$15="Yes / Sí",Settings!$C$14,0))-IF(H187="",Settings!$C$9,H187)&lt;=0,0,MAX(0,IF(Settings!$C$16="Yes / Sí",IF(ROUNDUP(($I187+(Settings!$C$12+Settings!$C$13)-$G187*(1-(Settings!$C$10+Settings!$C$11+IF(Settings!$C$15="Yes / Sí",Settings!$C$14,0))))/(1-(Settings!$C$10+Settings!$C$11+IF(Settings!$C$15="Yes / Sí",Settings!$C$14,0))-IF(H187="",Settings!$C$9,H187)),0)-0.01&gt;=($I187+(Settings!$C$12+Settings!$C$13)-$G187*(1-(Settings!$C$10+Settings!$C$11+IF(Settings!$C$15="Yes / Sí",Settings!$C$14,0))))/(1-(Settings!$C$10+Settings!$C$11+IF(Settings!$C$15="Yes / Sí",Settings!$C$14,0))-IF(H187="",Settings!$C$9,H187)),ROUNDUP(($I187+(Settings!$C$12+Settings!$C$13)-$G187*(1-(Settings!$C$10+Settings!$C$11+IF(Settings!$C$15="Yes / Sí",Settings!$C$14,0))))/(1-(Settings!$C$10+Settings!$C$11+IF(Settings!$C$15="Yes / Sí",Settings!$C$14,0))-IF(H187="",Settings!$C$9,H187)),0)-0.01,ROUNDUP(($I187+(Settings!$C$12+Settings!$C$13)-$G187*(1-(Settings!$C$10+Settings!$C$11+IF(Settings!$C$15="Yes / Sí",Settings!$C$14,0))))/(1-(Settings!$C$10+Settings!$C$11+IF(Settings!$C$15="Yes / Sí",Settings!$C$14,0))-IF(H187="",Settings!$C$9,H187)),0)+0.99),ROUNDUP(($I187+(Settings!$C$12+Settings!$C$13)-$G187*(1-(Settings!$C$10+Settings!$C$11+IF(Settings!$C$15="Yes / Sí",Settings!$C$14,0))))/(1-(Settings!$C$10+Settings!$C$11+IF(Settings!$C$15="Yes / Sí",Settings!$C$14,0))-IF(H187="",Settings!$C$9,H187)),2)))))</f>
        <v/>
      </c>
      <c r="L187" s="60" t="str">
        <f aca="false">IF(OR(B187="",K187=0),"",(K187+$G187-((K187+$G187)*(Settings!$C$10+Settings!$C$11+IF(Settings!$C$15="Yes / Sí",Settings!$C$14,0))+(Settings!$C$12+Settings!$C$13))-$I187))</f>
        <v/>
      </c>
      <c r="M187" s="57"/>
      <c r="N187" s="60" t="str">
        <f aca="false">IF(OR(B187="",M187=""),"",((M187+$G187)*(Settings!$C$10+Settings!$C$11+IF(Settings!$C$15="Yes / Sí",Settings!$C$14,0))+(Settings!$C$12+Settings!$C$13)))</f>
        <v/>
      </c>
      <c r="O187" s="60" t="str">
        <f aca="false">IF(OR(B187="",M187=""),"",(M187+$G187-((M187+$G187)*(Settings!$C$10+Settings!$C$11+IF(Settings!$C$15="Yes / Sí",Settings!$C$14,0))+(Settings!$C$12+Settings!$C$13))-$I187))</f>
        <v/>
      </c>
      <c r="P187" s="61" t="str">
        <f aca="false">IF(O187="","",IF(M187=0,0,O187/M187))</f>
        <v/>
      </c>
      <c r="Q187" s="60" t="str">
        <f aca="false">IF(OR(O187="",D187="",D187=0),"",(O187+D187/60*Settings!$C$7)/(D187/60))</f>
        <v/>
      </c>
      <c r="R187" s="62" t="str">
        <f aca="false">IF(B187="","",IF(M187="","Enter your price / Escribe tu precio",IF(O187&lt;0,"⚠ LOSING MONEY / PIERDES",IF(P187&lt;IF(H187="",Settings!$C$9,H187),"● BELOW TARGET / DEBAJO","✔ ON TARGET / EN OBJETIVO"))))</f>
        <v/>
      </c>
      <c r="T187" s="55" t="n">
        <f aca="false">IF(B187="",0,IF(M187="",0,1))</f>
        <v>0</v>
      </c>
      <c r="U187" s="55" t="n">
        <f aca="false">IF(T187=1,P187,0)</f>
        <v>0</v>
      </c>
      <c r="V187" s="55" t="n">
        <f aca="false">IF(T187=1,IF(O187&lt;0,0,IF(P187&lt;IF(H187="",Settings!$C$9,H187),1,0)),0)</f>
        <v>0</v>
      </c>
      <c r="W187" s="55" t="n">
        <f aca="false">IF(T187=1,IF(O187&lt;0,1,0),0)</f>
        <v>0</v>
      </c>
      <c r="X187" s="55" t="n">
        <f aca="false">IF(T187=1,M187,0)</f>
        <v>0</v>
      </c>
      <c r="Y187" s="55" t="n">
        <f aca="false">IF(T187=1,O187,0)</f>
        <v>0</v>
      </c>
      <c r="Z187" s="55" t="n">
        <f aca="false">IF(B187="",0,1)</f>
        <v>0</v>
      </c>
    </row>
    <row r="188" customFormat="false" ht="15" hidden="false" customHeight="false" outlineLevel="0" collapsed="false">
      <c r="B188" s="56"/>
      <c r="C188" s="57"/>
      <c r="D188" s="58"/>
      <c r="E188" s="57"/>
      <c r="F188" s="57"/>
      <c r="G188" s="57"/>
      <c r="H188" s="59"/>
      <c r="I188" s="60" t="str">
        <f aca="false">IF(B188="","",C188+IF(D188="",0,D188/60*Settings!$C$7)+E188+F188+Settings!$C$8)</f>
        <v/>
      </c>
      <c r="J188" s="60" t="str">
        <f aca="false">IF(B188="","",MAX(0,($I188+(Settings!$C$12+Settings!$C$13)-$G188*(1-(Settings!$C$10+Settings!$C$11+IF(Settings!$C$15="Yes / Sí",Settings!$C$14,0))))/(1-(Settings!$C$10+Settings!$C$11+IF(Settings!$C$15="Yes / Sí",Settings!$C$14,0)))))</f>
        <v/>
      </c>
      <c r="K188" s="60" t="str">
        <f aca="false">IF(B188="","",IF(1-(Settings!$C$10+Settings!$C$11+IF(Settings!$C$15="Yes / Sí",Settings!$C$14,0))-IF(H188="",Settings!$C$9,H188)&lt;=0,0,MAX(0,IF(Settings!$C$16="Yes / Sí",IF(ROUNDUP(($I188+(Settings!$C$12+Settings!$C$13)-$G188*(1-(Settings!$C$10+Settings!$C$11+IF(Settings!$C$15="Yes / Sí",Settings!$C$14,0))))/(1-(Settings!$C$10+Settings!$C$11+IF(Settings!$C$15="Yes / Sí",Settings!$C$14,0))-IF(H188="",Settings!$C$9,H188)),0)-0.01&gt;=($I188+(Settings!$C$12+Settings!$C$13)-$G188*(1-(Settings!$C$10+Settings!$C$11+IF(Settings!$C$15="Yes / Sí",Settings!$C$14,0))))/(1-(Settings!$C$10+Settings!$C$11+IF(Settings!$C$15="Yes / Sí",Settings!$C$14,0))-IF(H188="",Settings!$C$9,H188)),ROUNDUP(($I188+(Settings!$C$12+Settings!$C$13)-$G188*(1-(Settings!$C$10+Settings!$C$11+IF(Settings!$C$15="Yes / Sí",Settings!$C$14,0))))/(1-(Settings!$C$10+Settings!$C$11+IF(Settings!$C$15="Yes / Sí",Settings!$C$14,0))-IF(H188="",Settings!$C$9,H188)),0)-0.01,ROUNDUP(($I188+(Settings!$C$12+Settings!$C$13)-$G188*(1-(Settings!$C$10+Settings!$C$11+IF(Settings!$C$15="Yes / Sí",Settings!$C$14,0))))/(1-(Settings!$C$10+Settings!$C$11+IF(Settings!$C$15="Yes / Sí",Settings!$C$14,0))-IF(H188="",Settings!$C$9,H188)),0)+0.99),ROUNDUP(($I188+(Settings!$C$12+Settings!$C$13)-$G188*(1-(Settings!$C$10+Settings!$C$11+IF(Settings!$C$15="Yes / Sí",Settings!$C$14,0))))/(1-(Settings!$C$10+Settings!$C$11+IF(Settings!$C$15="Yes / Sí",Settings!$C$14,0))-IF(H188="",Settings!$C$9,H188)),2)))))</f>
        <v/>
      </c>
      <c r="L188" s="60" t="str">
        <f aca="false">IF(OR(B188="",K188=0),"",(K188+$G188-((K188+$G188)*(Settings!$C$10+Settings!$C$11+IF(Settings!$C$15="Yes / Sí",Settings!$C$14,0))+(Settings!$C$12+Settings!$C$13))-$I188))</f>
        <v/>
      </c>
      <c r="M188" s="57"/>
      <c r="N188" s="60" t="str">
        <f aca="false">IF(OR(B188="",M188=""),"",((M188+$G188)*(Settings!$C$10+Settings!$C$11+IF(Settings!$C$15="Yes / Sí",Settings!$C$14,0))+(Settings!$C$12+Settings!$C$13)))</f>
        <v/>
      </c>
      <c r="O188" s="60" t="str">
        <f aca="false">IF(OR(B188="",M188=""),"",(M188+$G188-((M188+$G188)*(Settings!$C$10+Settings!$C$11+IF(Settings!$C$15="Yes / Sí",Settings!$C$14,0))+(Settings!$C$12+Settings!$C$13))-$I188))</f>
        <v/>
      </c>
      <c r="P188" s="61" t="str">
        <f aca="false">IF(O188="","",IF(M188=0,0,O188/M188))</f>
        <v/>
      </c>
      <c r="Q188" s="60" t="str">
        <f aca="false">IF(OR(O188="",D188="",D188=0),"",(O188+D188/60*Settings!$C$7)/(D188/60))</f>
        <v/>
      </c>
      <c r="R188" s="62" t="str">
        <f aca="false">IF(B188="","",IF(M188="","Enter your price / Escribe tu precio",IF(O188&lt;0,"⚠ LOSING MONEY / PIERDES",IF(P188&lt;IF(H188="",Settings!$C$9,H188),"● BELOW TARGET / DEBAJO","✔ ON TARGET / EN OBJETIVO"))))</f>
        <v/>
      </c>
      <c r="T188" s="55" t="n">
        <f aca="false">IF(B188="",0,IF(M188="",0,1))</f>
        <v>0</v>
      </c>
      <c r="U188" s="55" t="n">
        <f aca="false">IF(T188=1,P188,0)</f>
        <v>0</v>
      </c>
      <c r="V188" s="55" t="n">
        <f aca="false">IF(T188=1,IF(O188&lt;0,0,IF(P188&lt;IF(H188="",Settings!$C$9,H188),1,0)),0)</f>
        <v>0</v>
      </c>
      <c r="W188" s="55" t="n">
        <f aca="false">IF(T188=1,IF(O188&lt;0,1,0),0)</f>
        <v>0</v>
      </c>
      <c r="X188" s="55" t="n">
        <f aca="false">IF(T188=1,M188,0)</f>
        <v>0</v>
      </c>
      <c r="Y188" s="55" t="n">
        <f aca="false">IF(T188=1,O188,0)</f>
        <v>0</v>
      </c>
      <c r="Z188" s="55" t="n">
        <f aca="false">IF(B188="",0,1)</f>
        <v>0</v>
      </c>
    </row>
    <row r="189" customFormat="false" ht="15" hidden="false" customHeight="false" outlineLevel="0" collapsed="false">
      <c r="B189" s="56"/>
      <c r="C189" s="57"/>
      <c r="D189" s="58"/>
      <c r="E189" s="57"/>
      <c r="F189" s="57"/>
      <c r="G189" s="57"/>
      <c r="H189" s="59"/>
      <c r="I189" s="60" t="str">
        <f aca="false">IF(B189="","",C189+IF(D189="",0,D189/60*Settings!$C$7)+E189+F189+Settings!$C$8)</f>
        <v/>
      </c>
      <c r="J189" s="60" t="str">
        <f aca="false">IF(B189="","",MAX(0,($I189+(Settings!$C$12+Settings!$C$13)-$G189*(1-(Settings!$C$10+Settings!$C$11+IF(Settings!$C$15="Yes / Sí",Settings!$C$14,0))))/(1-(Settings!$C$10+Settings!$C$11+IF(Settings!$C$15="Yes / Sí",Settings!$C$14,0)))))</f>
        <v/>
      </c>
      <c r="K189" s="60" t="str">
        <f aca="false">IF(B189="","",IF(1-(Settings!$C$10+Settings!$C$11+IF(Settings!$C$15="Yes / Sí",Settings!$C$14,0))-IF(H189="",Settings!$C$9,H189)&lt;=0,0,MAX(0,IF(Settings!$C$16="Yes / Sí",IF(ROUNDUP(($I189+(Settings!$C$12+Settings!$C$13)-$G189*(1-(Settings!$C$10+Settings!$C$11+IF(Settings!$C$15="Yes / Sí",Settings!$C$14,0))))/(1-(Settings!$C$10+Settings!$C$11+IF(Settings!$C$15="Yes / Sí",Settings!$C$14,0))-IF(H189="",Settings!$C$9,H189)),0)-0.01&gt;=($I189+(Settings!$C$12+Settings!$C$13)-$G189*(1-(Settings!$C$10+Settings!$C$11+IF(Settings!$C$15="Yes / Sí",Settings!$C$14,0))))/(1-(Settings!$C$10+Settings!$C$11+IF(Settings!$C$15="Yes / Sí",Settings!$C$14,0))-IF(H189="",Settings!$C$9,H189)),ROUNDUP(($I189+(Settings!$C$12+Settings!$C$13)-$G189*(1-(Settings!$C$10+Settings!$C$11+IF(Settings!$C$15="Yes / Sí",Settings!$C$14,0))))/(1-(Settings!$C$10+Settings!$C$11+IF(Settings!$C$15="Yes / Sí",Settings!$C$14,0))-IF(H189="",Settings!$C$9,H189)),0)-0.01,ROUNDUP(($I189+(Settings!$C$12+Settings!$C$13)-$G189*(1-(Settings!$C$10+Settings!$C$11+IF(Settings!$C$15="Yes / Sí",Settings!$C$14,0))))/(1-(Settings!$C$10+Settings!$C$11+IF(Settings!$C$15="Yes / Sí",Settings!$C$14,0))-IF(H189="",Settings!$C$9,H189)),0)+0.99),ROUNDUP(($I189+(Settings!$C$12+Settings!$C$13)-$G189*(1-(Settings!$C$10+Settings!$C$11+IF(Settings!$C$15="Yes / Sí",Settings!$C$14,0))))/(1-(Settings!$C$10+Settings!$C$11+IF(Settings!$C$15="Yes / Sí",Settings!$C$14,0))-IF(H189="",Settings!$C$9,H189)),2)))))</f>
        <v/>
      </c>
      <c r="L189" s="60" t="str">
        <f aca="false">IF(OR(B189="",K189=0),"",(K189+$G189-((K189+$G189)*(Settings!$C$10+Settings!$C$11+IF(Settings!$C$15="Yes / Sí",Settings!$C$14,0))+(Settings!$C$12+Settings!$C$13))-$I189))</f>
        <v/>
      </c>
      <c r="M189" s="57"/>
      <c r="N189" s="60" t="str">
        <f aca="false">IF(OR(B189="",M189=""),"",((M189+$G189)*(Settings!$C$10+Settings!$C$11+IF(Settings!$C$15="Yes / Sí",Settings!$C$14,0))+(Settings!$C$12+Settings!$C$13)))</f>
        <v/>
      </c>
      <c r="O189" s="60" t="str">
        <f aca="false">IF(OR(B189="",M189=""),"",(M189+$G189-((M189+$G189)*(Settings!$C$10+Settings!$C$11+IF(Settings!$C$15="Yes / Sí",Settings!$C$14,0))+(Settings!$C$12+Settings!$C$13))-$I189))</f>
        <v/>
      </c>
      <c r="P189" s="61" t="str">
        <f aca="false">IF(O189="","",IF(M189=0,0,O189/M189))</f>
        <v/>
      </c>
      <c r="Q189" s="60" t="str">
        <f aca="false">IF(OR(O189="",D189="",D189=0),"",(O189+D189/60*Settings!$C$7)/(D189/60))</f>
        <v/>
      </c>
      <c r="R189" s="62" t="str">
        <f aca="false">IF(B189="","",IF(M189="","Enter your price / Escribe tu precio",IF(O189&lt;0,"⚠ LOSING MONEY / PIERDES",IF(P189&lt;IF(H189="",Settings!$C$9,H189),"● BELOW TARGET / DEBAJO","✔ ON TARGET / EN OBJETIVO"))))</f>
        <v/>
      </c>
      <c r="T189" s="55" t="n">
        <f aca="false">IF(B189="",0,IF(M189="",0,1))</f>
        <v>0</v>
      </c>
      <c r="U189" s="55" t="n">
        <f aca="false">IF(T189=1,P189,0)</f>
        <v>0</v>
      </c>
      <c r="V189" s="55" t="n">
        <f aca="false">IF(T189=1,IF(O189&lt;0,0,IF(P189&lt;IF(H189="",Settings!$C$9,H189),1,0)),0)</f>
        <v>0</v>
      </c>
      <c r="W189" s="55" t="n">
        <f aca="false">IF(T189=1,IF(O189&lt;0,1,0),0)</f>
        <v>0</v>
      </c>
      <c r="X189" s="55" t="n">
        <f aca="false">IF(T189=1,M189,0)</f>
        <v>0</v>
      </c>
      <c r="Y189" s="55" t="n">
        <f aca="false">IF(T189=1,O189,0)</f>
        <v>0</v>
      </c>
      <c r="Z189" s="55" t="n">
        <f aca="false">IF(B189="",0,1)</f>
        <v>0</v>
      </c>
    </row>
    <row r="190" customFormat="false" ht="15" hidden="false" customHeight="false" outlineLevel="0" collapsed="false">
      <c r="B190" s="56"/>
      <c r="C190" s="57"/>
      <c r="D190" s="58"/>
      <c r="E190" s="57"/>
      <c r="F190" s="57"/>
      <c r="G190" s="57"/>
      <c r="H190" s="59"/>
      <c r="I190" s="60" t="str">
        <f aca="false">IF(B190="","",C190+IF(D190="",0,D190/60*Settings!$C$7)+E190+F190+Settings!$C$8)</f>
        <v/>
      </c>
      <c r="J190" s="60" t="str">
        <f aca="false">IF(B190="","",MAX(0,($I190+(Settings!$C$12+Settings!$C$13)-$G190*(1-(Settings!$C$10+Settings!$C$11+IF(Settings!$C$15="Yes / Sí",Settings!$C$14,0))))/(1-(Settings!$C$10+Settings!$C$11+IF(Settings!$C$15="Yes / Sí",Settings!$C$14,0)))))</f>
        <v/>
      </c>
      <c r="K190" s="60" t="str">
        <f aca="false">IF(B190="","",IF(1-(Settings!$C$10+Settings!$C$11+IF(Settings!$C$15="Yes / Sí",Settings!$C$14,0))-IF(H190="",Settings!$C$9,H190)&lt;=0,0,MAX(0,IF(Settings!$C$16="Yes / Sí",IF(ROUNDUP(($I190+(Settings!$C$12+Settings!$C$13)-$G190*(1-(Settings!$C$10+Settings!$C$11+IF(Settings!$C$15="Yes / Sí",Settings!$C$14,0))))/(1-(Settings!$C$10+Settings!$C$11+IF(Settings!$C$15="Yes / Sí",Settings!$C$14,0))-IF(H190="",Settings!$C$9,H190)),0)-0.01&gt;=($I190+(Settings!$C$12+Settings!$C$13)-$G190*(1-(Settings!$C$10+Settings!$C$11+IF(Settings!$C$15="Yes / Sí",Settings!$C$14,0))))/(1-(Settings!$C$10+Settings!$C$11+IF(Settings!$C$15="Yes / Sí",Settings!$C$14,0))-IF(H190="",Settings!$C$9,H190)),ROUNDUP(($I190+(Settings!$C$12+Settings!$C$13)-$G190*(1-(Settings!$C$10+Settings!$C$11+IF(Settings!$C$15="Yes / Sí",Settings!$C$14,0))))/(1-(Settings!$C$10+Settings!$C$11+IF(Settings!$C$15="Yes / Sí",Settings!$C$14,0))-IF(H190="",Settings!$C$9,H190)),0)-0.01,ROUNDUP(($I190+(Settings!$C$12+Settings!$C$13)-$G190*(1-(Settings!$C$10+Settings!$C$11+IF(Settings!$C$15="Yes / Sí",Settings!$C$14,0))))/(1-(Settings!$C$10+Settings!$C$11+IF(Settings!$C$15="Yes / Sí",Settings!$C$14,0))-IF(H190="",Settings!$C$9,H190)),0)+0.99),ROUNDUP(($I190+(Settings!$C$12+Settings!$C$13)-$G190*(1-(Settings!$C$10+Settings!$C$11+IF(Settings!$C$15="Yes / Sí",Settings!$C$14,0))))/(1-(Settings!$C$10+Settings!$C$11+IF(Settings!$C$15="Yes / Sí",Settings!$C$14,0))-IF(H190="",Settings!$C$9,H190)),2)))))</f>
        <v/>
      </c>
      <c r="L190" s="60" t="str">
        <f aca="false">IF(OR(B190="",K190=0),"",(K190+$G190-((K190+$G190)*(Settings!$C$10+Settings!$C$11+IF(Settings!$C$15="Yes / Sí",Settings!$C$14,0))+(Settings!$C$12+Settings!$C$13))-$I190))</f>
        <v/>
      </c>
      <c r="M190" s="57"/>
      <c r="N190" s="60" t="str">
        <f aca="false">IF(OR(B190="",M190=""),"",((M190+$G190)*(Settings!$C$10+Settings!$C$11+IF(Settings!$C$15="Yes / Sí",Settings!$C$14,0))+(Settings!$C$12+Settings!$C$13)))</f>
        <v/>
      </c>
      <c r="O190" s="60" t="str">
        <f aca="false">IF(OR(B190="",M190=""),"",(M190+$G190-((M190+$G190)*(Settings!$C$10+Settings!$C$11+IF(Settings!$C$15="Yes / Sí",Settings!$C$14,0))+(Settings!$C$12+Settings!$C$13))-$I190))</f>
        <v/>
      </c>
      <c r="P190" s="61" t="str">
        <f aca="false">IF(O190="","",IF(M190=0,0,O190/M190))</f>
        <v/>
      </c>
      <c r="Q190" s="60" t="str">
        <f aca="false">IF(OR(O190="",D190="",D190=0),"",(O190+D190/60*Settings!$C$7)/(D190/60))</f>
        <v/>
      </c>
      <c r="R190" s="62" t="str">
        <f aca="false">IF(B190="","",IF(M190="","Enter your price / Escribe tu precio",IF(O190&lt;0,"⚠ LOSING MONEY / PIERDES",IF(P190&lt;IF(H190="",Settings!$C$9,H190),"● BELOW TARGET / DEBAJO","✔ ON TARGET / EN OBJETIVO"))))</f>
        <v/>
      </c>
      <c r="T190" s="55" t="n">
        <f aca="false">IF(B190="",0,IF(M190="",0,1))</f>
        <v>0</v>
      </c>
      <c r="U190" s="55" t="n">
        <f aca="false">IF(T190=1,P190,0)</f>
        <v>0</v>
      </c>
      <c r="V190" s="55" t="n">
        <f aca="false">IF(T190=1,IF(O190&lt;0,0,IF(P190&lt;IF(H190="",Settings!$C$9,H190),1,0)),0)</f>
        <v>0</v>
      </c>
      <c r="W190" s="55" t="n">
        <f aca="false">IF(T190=1,IF(O190&lt;0,1,0),0)</f>
        <v>0</v>
      </c>
      <c r="X190" s="55" t="n">
        <f aca="false">IF(T190=1,M190,0)</f>
        <v>0</v>
      </c>
      <c r="Y190" s="55" t="n">
        <f aca="false">IF(T190=1,O190,0)</f>
        <v>0</v>
      </c>
      <c r="Z190" s="55" t="n">
        <f aca="false">IF(B190="",0,1)</f>
        <v>0</v>
      </c>
    </row>
    <row r="191" customFormat="false" ht="15" hidden="false" customHeight="false" outlineLevel="0" collapsed="false">
      <c r="B191" s="56"/>
      <c r="C191" s="57"/>
      <c r="D191" s="58"/>
      <c r="E191" s="57"/>
      <c r="F191" s="57"/>
      <c r="G191" s="57"/>
      <c r="H191" s="59"/>
      <c r="I191" s="60" t="str">
        <f aca="false">IF(B191="","",C191+IF(D191="",0,D191/60*Settings!$C$7)+E191+F191+Settings!$C$8)</f>
        <v/>
      </c>
      <c r="J191" s="60" t="str">
        <f aca="false">IF(B191="","",MAX(0,($I191+(Settings!$C$12+Settings!$C$13)-$G191*(1-(Settings!$C$10+Settings!$C$11+IF(Settings!$C$15="Yes / Sí",Settings!$C$14,0))))/(1-(Settings!$C$10+Settings!$C$11+IF(Settings!$C$15="Yes / Sí",Settings!$C$14,0)))))</f>
        <v/>
      </c>
      <c r="K191" s="60" t="str">
        <f aca="false">IF(B191="","",IF(1-(Settings!$C$10+Settings!$C$11+IF(Settings!$C$15="Yes / Sí",Settings!$C$14,0))-IF(H191="",Settings!$C$9,H191)&lt;=0,0,MAX(0,IF(Settings!$C$16="Yes / Sí",IF(ROUNDUP(($I191+(Settings!$C$12+Settings!$C$13)-$G191*(1-(Settings!$C$10+Settings!$C$11+IF(Settings!$C$15="Yes / Sí",Settings!$C$14,0))))/(1-(Settings!$C$10+Settings!$C$11+IF(Settings!$C$15="Yes / Sí",Settings!$C$14,0))-IF(H191="",Settings!$C$9,H191)),0)-0.01&gt;=($I191+(Settings!$C$12+Settings!$C$13)-$G191*(1-(Settings!$C$10+Settings!$C$11+IF(Settings!$C$15="Yes / Sí",Settings!$C$14,0))))/(1-(Settings!$C$10+Settings!$C$11+IF(Settings!$C$15="Yes / Sí",Settings!$C$14,0))-IF(H191="",Settings!$C$9,H191)),ROUNDUP(($I191+(Settings!$C$12+Settings!$C$13)-$G191*(1-(Settings!$C$10+Settings!$C$11+IF(Settings!$C$15="Yes / Sí",Settings!$C$14,0))))/(1-(Settings!$C$10+Settings!$C$11+IF(Settings!$C$15="Yes / Sí",Settings!$C$14,0))-IF(H191="",Settings!$C$9,H191)),0)-0.01,ROUNDUP(($I191+(Settings!$C$12+Settings!$C$13)-$G191*(1-(Settings!$C$10+Settings!$C$11+IF(Settings!$C$15="Yes / Sí",Settings!$C$14,0))))/(1-(Settings!$C$10+Settings!$C$11+IF(Settings!$C$15="Yes / Sí",Settings!$C$14,0))-IF(H191="",Settings!$C$9,H191)),0)+0.99),ROUNDUP(($I191+(Settings!$C$12+Settings!$C$13)-$G191*(1-(Settings!$C$10+Settings!$C$11+IF(Settings!$C$15="Yes / Sí",Settings!$C$14,0))))/(1-(Settings!$C$10+Settings!$C$11+IF(Settings!$C$15="Yes / Sí",Settings!$C$14,0))-IF(H191="",Settings!$C$9,H191)),2)))))</f>
        <v/>
      </c>
      <c r="L191" s="60" t="str">
        <f aca="false">IF(OR(B191="",K191=0),"",(K191+$G191-((K191+$G191)*(Settings!$C$10+Settings!$C$11+IF(Settings!$C$15="Yes / Sí",Settings!$C$14,0))+(Settings!$C$12+Settings!$C$13))-$I191))</f>
        <v/>
      </c>
      <c r="M191" s="57"/>
      <c r="N191" s="60" t="str">
        <f aca="false">IF(OR(B191="",M191=""),"",((M191+$G191)*(Settings!$C$10+Settings!$C$11+IF(Settings!$C$15="Yes / Sí",Settings!$C$14,0))+(Settings!$C$12+Settings!$C$13)))</f>
        <v/>
      </c>
      <c r="O191" s="60" t="str">
        <f aca="false">IF(OR(B191="",M191=""),"",(M191+$G191-((M191+$G191)*(Settings!$C$10+Settings!$C$11+IF(Settings!$C$15="Yes / Sí",Settings!$C$14,0))+(Settings!$C$12+Settings!$C$13))-$I191))</f>
        <v/>
      </c>
      <c r="P191" s="61" t="str">
        <f aca="false">IF(O191="","",IF(M191=0,0,O191/M191))</f>
        <v/>
      </c>
      <c r="Q191" s="60" t="str">
        <f aca="false">IF(OR(O191="",D191="",D191=0),"",(O191+D191/60*Settings!$C$7)/(D191/60))</f>
        <v/>
      </c>
      <c r="R191" s="62" t="str">
        <f aca="false">IF(B191="","",IF(M191="","Enter your price / Escribe tu precio",IF(O191&lt;0,"⚠ LOSING MONEY / PIERDES",IF(P191&lt;IF(H191="",Settings!$C$9,H191),"● BELOW TARGET / DEBAJO","✔ ON TARGET / EN OBJETIVO"))))</f>
        <v/>
      </c>
      <c r="T191" s="55" t="n">
        <f aca="false">IF(B191="",0,IF(M191="",0,1))</f>
        <v>0</v>
      </c>
      <c r="U191" s="55" t="n">
        <f aca="false">IF(T191=1,P191,0)</f>
        <v>0</v>
      </c>
      <c r="V191" s="55" t="n">
        <f aca="false">IF(T191=1,IF(O191&lt;0,0,IF(P191&lt;IF(H191="",Settings!$C$9,H191),1,0)),0)</f>
        <v>0</v>
      </c>
      <c r="W191" s="55" t="n">
        <f aca="false">IF(T191=1,IF(O191&lt;0,1,0),0)</f>
        <v>0</v>
      </c>
      <c r="X191" s="55" t="n">
        <f aca="false">IF(T191=1,M191,0)</f>
        <v>0</v>
      </c>
      <c r="Y191" s="55" t="n">
        <f aca="false">IF(T191=1,O191,0)</f>
        <v>0</v>
      </c>
      <c r="Z191" s="55" t="n">
        <f aca="false">IF(B191="",0,1)</f>
        <v>0</v>
      </c>
    </row>
    <row r="192" customFormat="false" ht="15" hidden="false" customHeight="false" outlineLevel="0" collapsed="false">
      <c r="B192" s="56"/>
      <c r="C192" s="57"/>
      <c r="D192" s="58"/>
      <c r="E192" s="57"/>
      <c r="F192" s="57"/>
      <c r="G192" s="57"/>
      <c r="H192" s="59"/>
      <c r="I192" s="60" t="str">
        <f aca="false">IF(B192="","",C192+IF(D192="",0,D192/60*Settings!$C$7)+E192+F192+Settings!$C$8)</f>
        <v/>
      </c>
      <c r="J192" s="60" t="str">
        <f aca="false">IF(B192="","",MAX(0,($I192+(Settings!$C$12+Settings!$C$13)-$G192*(1-(Settings!$C$10+Settings!$C$11+IF(Settings!$C$15="Yes / Sí",Settings!$C$14,0))))/(1-(Settings!$C$10+Settings!$C$11+IF(Settings!$C$15="Yes / Sí",Settings!$C$14,0)))))</f>
        <v/>
      </c>
      <c r="K192" s="60" t="str">
        <f aca="false">IF(B192="","",IF(1-(Settings!$C$10+Settings!$C$11+IF(Settings!$C$15="Yes / Sí",Settings!$C$14,0))-IF(H192="",Settings!$C$9,H192)&lt;=0,0,MAX(0,IF(Settings!$C$16="Yes / Sí",IF(ROUNDUP(($I192+(Settings!$C$12+Settings!$C$13)-$G192*(1-(Settings!$C$10+Settings!$C$11+IF(Settings!$C$15="Yes / Sí",Settings!$C$14,0))))/(1-(Settings!$C$10+Settings!$C$11+IF(Settings!$C$15="Yes / Sí",Settings!$C$14,0))-IF(H192="",Settings!$C$9,H192)),0)-0.01&gt;=($I192+(Settings!$C$12+Settings!$C$13)-$G192*(1-(Settings!$C$10+Settings!$C$11+IF(Settings!$C$15="Yes / Sí",Settings!$C$14,0))))/(1-(Settings!$C$10+Settings!$C$11+IF(Settings!$C$15="Yes / Sí",Settings!$C$14,0))-IF(H192="",Settings!$C$9,H192)),ROUNDUP(($I192+(Settings!$C$12+Settings!$C$13)-$G192*(1-(Settings!$C$10+Settings!$C$11+IF(Settings!$C$15="Yes / Sí",Settings!$C$14,0))))/(1-(Settings!$C$10+Settings!$C$11+IF(Settings!$C$15="Yes / Sí",Settings!$C$14,0))-IF(H192="",Settings!$C$9,H192)),0)-0.01,ROUNDUP(($I192+(Settings!$C$12+Settings!$C$13)-$G192*(1-(Settings!$C$10+Settings!$C$11+IF(Settings!$C$15="Yes / Sí",Settings!$C$14,0))))/(1-(Settings!$C$10+Settings!$C$11+IF(Settings!$C$15="Yes / Sí",Settings!$C$14,0))-IF(H192="",Settings!$C$9,H192)),0)+0.99),ROUNDUP(($I192+(Settings!$C$12+Settings!$C$13)-$G192*(1-(Settings!$C$10+Settings!$C$11+IF(Settings!$C$15="Yes / Sí",Settings!$C$14,0))))/(1-(Settings!$C$10+Settings!$C$11+IF(Settings!$C$15="Yes / Sí",Settings!$C$14,0))-IF(H192="",Settings!$C$9,H192)),2)))))</f>
        <v/>
      </c>
      <c r="L192" s="60" t="str">
        <f aca="false">IF(OR(B192="",K192=0),"",(K192+$G192-((K192+$G192)*(Settings!$C$10+Settings!$C$11+IF(Settings!$C$15="Yes / Sí",Settings!$C$14,0))+(Settings!$C$12+Settings!$C$13))-$I192))</f>
        <v/>
      </c>
      <c r="M192" s="57"/>
      <c r="N192" s="60" t="str">
        <f aca="false">IF(OR(B192="",M192=""),"",((M192+$G192)*(Settings!$C$10+Settings!$C$11+IF(Settings!$C$15="Yes / Sí",Settings!$C$14,0))+(Settings!$C$12+Settings!$C$13)))</f>
        <v/>
      </c>
      <c r="O192" s="60" t="str">
        <f aca="false">IF(OR(B192="",M192=""),"",(M192+$G192-((M192+$G192)*(Settings!$C$10+Settings!$C$11+IF(Settings!$C$15="Yes / Sí",Settings!$C$14,0))+(Settings!$C$12+Settings!$C$13))-$I192))</f>
        <v/>
      </c>
      <c r="P192" s="61" t="str">
        <f aca="false">IF(O192="","",IF(M192=0,0,O192/M192))</f>
        <v/>
      </c>
      <c r="Q192" s="60" t="str">
        <f aca="false">IF(OR(O192="",D192="",D192=0),"",(O192+D192/60*Settings!$C$7)/(D192/60))</f>
        <v/>
      </c>
      <c r="R192" s="62" t="str">
        <f aca="false">IF(B192="","",IF(M192="","Enter your price / Escribe tu precio",IF(O192&lt;0,"⚠ LOSING MONEY / PIERDES",IF(P192&lt;IF(H192="",Settings!$C$9,H192),"● BELOW TARGET / DEBAJO","✔ ON TARGET / EN OBJETIVO"))))</f>
        <v/>
      </c>
      <c r="T192" s="55" t="n">
        <f aca="false">IF(B192="",0,IF(M192="",0,1))</f>
        <v>0</v>
      </c>
      <c r="U192" s="55" t="n">
        <f aca="false">IF(T192=1,P192,0)</f>
        <v>0</v>
      </c>
      <c r="V192" s="55" t="n">
        <f aca="false">IF(T192=1,IF(O192&lt;0,0,IF(P192&lt;IF(H192="",Settings!$C$9,H192),1,0)),0)</f>
        <v>0</v>
      </c>
      <c r="W192" s="55" t="n">
        <f aca="false">IF(T192=1,IF(O192&lt;0,1,0),0)</f>
        <v>0</v>
      </c>
      <c r="X192" s="55" t="n">
        <f aca="false">IF(T192=1,M192,0)</f>
        <v>0</v>
      </c>
      <c r="Y192" s="55" t="n">
        <f aca="false">IF(T192=1,O192,0)</f>
        <v>0</v>
      </c>
      <c r="Z192" s="55" t="n">
        <f aca="false">IF(B192="",0,1)</f>
        <v>0</v>
      </c>
    </row>
    <row r="193" customFormat="false" ht="15" hidden="false" customHeight="false" outlineLevel="0" collapsed="false">
      <c r="B193" s="56"/>
      <c r="C193" s="57"/>
      <c r="D193" s="58"/>
      <c r="E193" s="57"/>
      <c r="F193" s="57"/>
      <c r="G193" s="57"/>
      <c r="H193" s="59"/>
      <c r="I193" s="60" t="str">
        <f aca="false">IF(B193="","",C193+IF(D193="",0,D193/60*Settings!$C$7)+E193+F193+Settings!$C$8)</f>
        <v/>
      </c>
      <c r="J193" s="60" t="str">
        <f aca="false">IF(B193="","",MAX(0,($I193+(Settings!$C$12+Settings!$C$13)-$G193*(1-(Settings!$C$10+Settings!$C$11+IF(Settings!$C$15="Yes / Sí",Settings!$C$14,0))))/(1-(Settings!$C$10+Settings!$C$11+IF(Settings!$C$15="Yes / Sí",Settings!$C$14,0)))))</f>
        <v/>
      </c>
      <c r="K193" s="60" t="str">
        <f aca="false">IF(B193="","",IF(1-(Settings!$C$10+Settings!$C$11+IF(Settings!$C$15="Yes / Sí",Settings!$C$14,0))-IF(H193="",Settings!$C$9,H193)&lt;=0,0,MAX(0,IF(Settings!$C$16="Yes / Sí",IF(ROUNDUP(($I193+(Settings!$C$12+Settings!$C$13)-$G193*(1-(Settings!$C$10+Settings!$C$11+IF(Settings!$C$15="Yes / Sí",Settings!$C$14,0))))/(1-(Settings!$C$10+Settings!$C$11+IF(Settings!$C$15="Yes / Sí",Settings!$C$14,0))-IF(H193="",Settings!$C$9,H193)),0)-0.01&gt;=($I193+(Settings!$C$12+Settings!$C$13)-$G193*(1-(Settings!$C$10+Settings!$C$11+IF(Settings!$C$15="Yes / Sí",Settings!$C$14,0))))/(1-(Settings!$C$10+Settings!$C$11+IF(Settings!$C$15="Yes / Sí",Settings!$C$14,0))-IF(H193="",Settings!$C$9,H193)),ROUNDUP(($I193+(Settings!$C$12+Settings!$C$13)-$G193*(1-(Settings!$C$10+Settings!$C$11+IF(Settings!$C$15="Yes / Sí",Settings!$C$14,0))))/(1-(Settings!$C$10+Settings!$C$11+IF(Settings!$C$15="Yes / Sí",Settings!$C$14,0))-IF(H193="",Settings!$C$9,H193)),0)-0.01,ROUNDUP(($I193+(Settings!$C$12+Settings!$C$13)-$G193*(1-(Settings!$C$10+Settings!$C$11+IF(Settings!$C$15="Yes / Sí",Settings!$C$14,0))))/(1-(Settings!$C$10+Settings!$C$11+IF(Settings!$C$15="Yes / Sí",Settings!$C$14,0))-IF(H193="",Settings!$C$9,H193)),0)+0.99),ROUNDUP(($I193+(Settings!$C$12+Settings!$C$13)-$G193*(1-(Settings!$C$10+Settings!$C$11+IF(Settings!$C$15="Yes / Sí",Settings!$C$14,0))))/(1-(Settings!$C$10+Settings!$C$11+IF(Settings!$C$15="Yes / Sí",Settings!$C$14,0))-IF(H193="",Settings!$C$9,H193)),2)))))</f>
        <v/>
      </c>
      <c r="L193" s="60" t="str">
        <f aca="false">IF(OR(B193="",K193=0),"",(K193+$G193-((K193+$G193)*(Settings!$C$10+Settings!$C$11+IF(Settings!$C$15="Yes / Sí",Settings!$C$14,0))+(Settings!$C$12+Settings!$C$13))-$I193))</f>
        <v/>
      </c>
      <c r="M193" s="57"/>
      <c r="N193" s="60" t="str">
        <f aca="false">IF(OR(B193="",M193=""),"",((M193+$G193)*(Settings!$C$10+Settings!$C$11+IF(Settings!$C$15="Yes / Sí",Settings!$C$14,0))+(Settings!$C$12+Settings!$C$13)))</f>
        <v/>
      </c>
      <c r="O193" s="60" t="str">
        <f aca="false">IF(OR(B193="",M193=""),"",(M193+$G193-((M193+$G193)*(Settings!$C$10+Settings!$C$11+IF(Settings!$C$15="Yes / Sí",Settings!$C$14,0))+(Settings!$C$12+Settings!$C$13))-$I193))</f>
        <v/>
      </c>
      <c r="P193" s="61" t="str">
        <f aca="false">IF(O193="","",IF(M193=0,0,O193/M193))</f>
        <v/>
      </c>
      <c r="Q193" s="60" t="str">
        <f aca="false">IF(OR(O193="",D193="",D193=0),"",(O193+D193/60*Settings!$C$7)/(D193/60))</f>
        <v/>
      </c>
      <c r="R193" s="62" t="str">
        <f aca="false">IF(B193="","",IF(M193="","Enter your price / Escribe tu precio",IF(O193&lt;0,"⚠ LOSING MONEY / PIERDES",IF(P193&lt;IF(H193="",Settings!$C$9,H193),"● BELOW TARGET / DEBAJO","✔ ON TARGET / EN OBJETIVO"))))</f>
        <v/>
      </c>
      <c r="T193" s="55" t="n">
        <f aca="false">IF(B193="",0,IF(M193="",0,1))</f>
        <v>0</v>
      </c>
      <c r="U193" s="55" t="n">
        <f aca="false">IF(T193=1,P193,0)</f>
        <v>0</v>
      </c>
      <c r="V193" s="55" t="n">
        <f aca="false">IF(T193=1,IF(O193&lt;0,0,IF(P193&lt;IF(H193="",Settings!$C$9,H193),1,0)),0)</f>
        <v>0</v>
      </c>
      <c r="W193" s="55" t="n">
        <f aca="false">IF(T193=1,IF(O193&lt;0,1,0),0)</f>
        <v>0</v>
      </c>
      <c r="X193" s="55" t="n">
        <f aca="false">IF(T193=1,M193,0)</f>
        <v>0</v>
      </c>
      <c r="Y193" s="55" t="n">
        <f aca="false">IF(T193=1,O193,0)</f>
        <v>0</v>
      </c>
      <c r="Z193" s="55" t="n">
        <f aca="false">IF(B193="",0,1)</f>
        <v>0</v>
      </c>
    </row>
    <row r="194" customFormat="false" ht="15" hidden="false" customHeight="false" outlineLevel="0" collapsed="false">
      <c r="B194" s="56"/>
      <c r="C194" s="57"/>
      <c r="D194" s="58"/>
      <c r="E194" s="57"/>
      <c r="F194" s="57"/>
      <c r="G194" s="57"/>
      <c r="H194" s="59"/>
      <c r="I194" s="60" t="str">
        <f aca="false">IF(B194="","",C194+IF(D194="",0,D194/60*Settings!$C$7)+E194+F194+Settings!$C$8)</f>
        <v/>
      </c>
      <c r="J194" s="60" t="str">
        <f aca="false">IF(B194="","",MAX(0,($I194+(Settings!$C$12+Settings!$C$13)-$G194*(1-(Settings!$C$10+Settings!$C$11+IF(Settings!$C$15="Yes / Sí",Settings!$C$14,0))))/(1-(Settings!$C$10+Settings!$C$11+IF(Settings!$C$15="Yes / Sí",Settings!$C$14,0)))))</f>
        <v/>
      </c>
      <c r="K194" s="60" t="str">
        <f aca="false">IF(B194="","",IF(1-(Settings!$C$10+Settings!$C$11+IF(Settings!$C$15="Yes / Sí",Settings!$C$14,0))-IF(H194="",Settings!$C$9,H194)&lt;=0,0,MAX(0,IF(Settings!$C$16="Yes / Sí",IF(ROUNDUP(($I194+(Settings!$C$12+Settings!$C$13)-$G194*(1-(Settings!$C$10+Settings!$C$11+IF(Settings!$C$15="Yes / Sí",Settings!$C$14,0))))/(1-(Settings!$C$10+Settings!$C$11+IF(Settings!$C$15="Yes / Sí",Settings!$C$14,0))-IF(H194="",Settings!$C$9,H194)),0)-0.01&gt;=($I194+(Settings!$C$12+Settings!$C$13)-$G194*(1-(Settings!$C$10+Settings!$C$11+IF(Settings!$C$15="Yes / Sí",Settings!$C$14,0))))/(1-(Settings!$C$10+Settings!$C$11+IF(Settings!$C$15="Yes / Sí",Settings!$C$14,0))-IF(H194="",Settings!$C$9,H194)),ROUNDUP(($I194+(Settings!$C$12+Settings!$C$13)-$G194*(1-(Settings!$C$10+Settings!$C$11+IF(Settings!$C$15="Yes / Sí",Settings!$C$14,0))))/(1-(Settings!$C$10+Settings!$C$11+IF(Settings!$C$15="Yes / Sí",Settings!$C$14,0))-IF(H194="",Settings!$C$9,H194)),0)-0.01,ROUNDUP(($I194+(Settings!$C$12+Settings!$C$13)-$G194*(1-(Settings!$C$10+Settings!$C$11+IF(Settings!$C$15="Yes / Sí",Settings!$C$14,0))))/(1-(Settings!$C$10+Settings!$C$11+IF(Settings!$C$15="Yes / Sí",Settings!$C$14,0))-IF(H194="",Settings!$C$9,H194)),0)+0.99),ROUNDUP(($I194+(Settings!$C$12+Settings!$C$13)-$G194*(1-(Settings!$C$10+Settings!$C$11+IF(Settings!$C$15="Yes / Sí",Settings!$C$14,0))))/(1-(Settings!$C$10+Settings!$C$11+IF(Settings!$C$15="Yes / Sí",Settings!$C$14,0))-IF(H194="",Settings!$C$9,H194)),2)))))</f>
        <v/>
      </c>
      <c r="L194" s="60" t="str">
        <f aca="false">IF(OR(B194="",K194=0),"",(K194+$G194-((K194+$G194)*(Settings!$C$10+Settings!$C$11+IF(Settings!$C$15="Yes / Sí",Settings!$C$14,0))+(Settings!$C$12+Settings!$C$13))-$I194))</f>
        <v/>
      </c>
      <c r="M194" s="57"/>
      <c r="N194" s="60" t="str">
        <f aca="false">IF(OR(B194="",M194=""),"",((M194+$G194)*(Settings!$C$10+Settings!$C$11+IF(Settings!$C$15="Yes / Sí",Settings!$C$14,0))+(Settings!$C$12+Settings!$C$13)))</f>
        <v/>
      </c>
      <c r="O194" s="60" t="str">
        <f aca="false">IF(OR(B194="",M194=""),"",(M194+$G194-((M194+$G194)*(Settings!$C$10+Settings!$C$11+IF(Settings!$C$15="Yes / Sí",Settings!$C$14,0))+(Settings!$C$12+Settings!$C$13))-$I194))</f>
        <v/>
      </c>
      <c r="P194" s="61" t="str">
        <f aca="false">IF(O194="","",IF(M194=0,0,O194/M194))</f>
        <v/>
      </c>
      <c r="Q194" s="60" t="str">
        <f aca="false">IF(OR(O194="",D194="",D194=0),"",(O194+D194/60*Settings!$C$7)/(D194/60))</f>
        <v/>
      </c>
      <c r="R194" s="62" t="str">
        <f aca="false">IF(B194="","",IF(M194="","Enter your price / Escribe tu precio",IF(O194&lt;0,"⚠ LOSING MONEY / PIERDES",IF(P194&lt;IF(H194="",Settings!$C$9,H194),"● BELOW TARGET / DEBAJO","✔ ON TARGET / EN OBJETIVO"))))</f>
        <v/>
      </c>
      <c r="T194" s="55" t="n">
        <f aca="false">IF(B194="",0,IF(M194="",0,1))</f>
        <v>0</v>
      </c>
      <c r="U194" s="55" t="n">
        <f aca="false">IF(T194=1,P194,0)</f>
        <v>0</v>
      </c>
      <c r="V194" s="55" t="n">
        <f aca="false">IF(T194=1,IF(O194&lt;0,0,IF(P194&lt;IF(H194="",Settings!$C$9,H194),1,0)),0)</f>
        <v>0</v>
      </c>
      <c r="W194" s="55" t="n">
        <f aca="false">IF(T194=1,IF(O194&lt;0,1,0),0)</f>
        <v>0</v>
      </c>
      <c r="X194" s="55" t="n">
        <f aca="false">IF(T194=1,M194,0)</f>
        <v>0</v>
      </c>
      <c r="Y194" s="55" t="n">
        <f aca="false">IF(T194=1,O194,0)</f>
        <v>0</v>
      </c>
      <c r="Z194" s="55" t="n">
        <f aca="false">IF(B194="",0,1)</f>
        <v>0</v>
      </c>
    </row>
    <row r="195" customFormat="false" ht="15" hidden="false" customHeight="false" outlineLevel="0" collapsed="false">
      <c r="B195" s="56"/>
      <c r="C195" s="57"/>
      <c r="D195" s="58"/>
      <c r="E195" s="57"/>
      <c r="F195" s="57"/>
      <c r="G195" s="57"/>
      <c r="H195" s="59"/>
      <c r="I195" s="60" t="str">
        <f aca="false">IF(B195="","",C195+IF(D195="",0,D195/60*Settings!$C$7)+E195+F195+Settings!$C$8)</f>
        <v/>
      </c>
      <c r="J195" s="60" t="str">
        <f aca="false">IF(B195="","",MAX(0,($I195+(Settings!$C$12+Settings!$C$13)-$G195*(1-(Settings!$C$10+Settings!$C$11+IF(Settings!$C$15="Yes / Sí",Settings!$C$14,0))))/(1-(Settings!$C$10+Settings!$C$11+IF(Settings!$C$15="Yes / Sí",Settings!$C$14,0)))))</f>
        <v/>
      </c>
      <c r="K195" s="60" t="str">
        <f aca="false">IF(B195="","",IF(1-(Settings!$C$10+Settings!$C$11+IF(Settings!$C$15="Yes / Sí",Settings!$C$14,0))-IF(H195="",Settings!$C$9,H195)&lt;=0,0,MAX(0,IF(Settings!$C$16="Yes / Sí",IF(ROUNDUP(($I195+(Settings!$C$12+Settings!$C$13)-$G195*(1-(Settings!$C$10+Settings!$C$11+IF(Settings!$C$15="Yes / Sí",Settings!$C$14,0))))/(1-(Settings!$C$10+Settings!$C$11+IF(Settings!$C$15="Yes / Sí",Settings!$C$14,0))-IF(H195="",Settings!$C$9,H195)),0)-0.01&gt;=($I195+(Settings!$C$12+Settings!$C$13)-$G195*(1-(Settings!$C$10+Settings!$C$11+IF(Settings!$C$15="Yes / Sí",Settings!$C$14,0))))/(1-(Settings!$C$10+Settings!$C$11+IF(Settings!$C$15="Yes / Sí",Settings!$C$14,0))-IF(H195="",Settings!$C$9,H195)),ROUNDUP(($I195+(Settings!$C$12+Settings!$C$13)-$G195*(1-(Settings!$C$10+Settings!$C$11+IF(Settings!$C$15="Yes / Sí",Settings!$C$14,0))))/(1-(Settings!$C$10+Settings!$C$11+IF(Settings!$C$15="Yes / Sí",Settings!$C$14,0))-IF(H195="",Settings!$C$9,H195)),0)-0.01,ROUNDUP(($I195+(Settings!$C$12+Settings!$C$13)-$G195*(1-(Settings!$C$10+Settings!$C$11+IF(Settings!$C$15="Yes / Sí",Settings!$C$14,0))))/(1-(Settings!$C$10+Settings!$C$11+IF(Settings!$C$15="Yes / Sí",Settings!$C$14,0))-IF(H195="",Settings!$C$9,H195)),0)+0.99),ROUNDUP(($I195+(Settings!$C$12+Settings!$C$13)-$G195*(1-(Settings!$C$10+Settings!$C$11+IF(Settings!$C$15="Yes / Sí",Settings!$C$14,0))))/(1-(Settings!$C$10+Settings!$C$11+IF(Settings!$C$15="Yes / Sí",Settings!$C$14,0))-IF(H195="",Settings!$C$9,H195)),2)))))</f>
        <v/>
      </c>
      <c r="L195" s="60" t="str">
        <f aca="false">IF(OR(B195="",K195=0),"",(K195+$G195-((K195+$G195)*(Settings!$C$10+Settings!$C$11+IF(Settings!$C$15="Yes / Sí",Settings!$C$14,0))+(Settings!$C$12+Settings!$C$13))-$I195))</f>
        <v/>
      </c>
      <c r="M195" s="57"/>
      <c r="N195" s="60" t="str">
        <f aca="false">IF(OR(B195="",M195=""),"",((M195+$G195)*(Settings!$C$10+Settings!$C$11+IF(Settings!$C$15="Yes / Sí",Settings!$C$14,0))+(Settings!$C$12+Settings!$C$13)))</f>
        <v/>
      </c>
      <c r="O195" s="60" t="str">
        <f aca="false">IF(OR(B195="",M195=""),"",(M195+$G195-((M195+$G195)*(Settings!$C$10+Settings!$C$11+IF(Settings!$C$15="Yes / Sí",Settings!$C$14,0))+(Settings!$C$12+Settings!$C$13))-$I195))</f>
        <v/>
      </c>
      <c r="P195" s="61" t="str">
        <f aca="false">IF(O195="","",IF(M195=0,0,O195/M195))</f>
        <v/>
      </c>
      <c r="Q195" s="60" t="str">
        <f aca="false">IF(OR(O195="",D195="",D195=0),"",(O195+D195/60*Settings!$C$7)/(D195/60))</f>
        <v/>
      </c>
      <c r="R195" s="62" t="str">
        <f aca="false">IF(B195="","",IF(M195="","Enter your price / Escribe tu precio",IF(O195&lt;0,"⚠ LOSING MONEY / PIERDES",IF(P195&lt;IF(H195="",Settings!$C$9,H195),"● BELOW TARGET / DEBAJO","✔ ON TARGET / EN OBJETIVO"))))</f>
        <v/>
      </c>
      <c r="T195" s="55" t="n">
        <f aca="false">IF(B195="",0,IF(M195="",0,1))</f>
        <v>0</v>
      </c>
      <c r="U195" s="55" t="n">
        <f aca="false">IF(T195=1,P195,0)</f>
        <v>0</v>
      </c>
      <c r="V195" s="55" t="n">
        <f aca="false">IF(T195=1,IF(O195&lt;0,0,IF(P195&lt;IF(H195="",Settings!$C$9,H195),1,0)),0)</f>
        <v>0</v>
      </c>
      <c r="W195" s="55" t="n">
        <f aca="false">IF(T195=1,IF(O195&lt;0,1,0),0)</f>
        <v>0</v>
      </c>
      <c r="X195" s="55" t="n">
        <f aca="false">IF(T195=1,M195,0)</f>
        <v>0</v>
      </c>
      <c r="Y195" s="55" t="n">
        <f aca="false">IF(T195=1,O195,0)</f>
        <v>0</v>
      </c>
      <c r="Z195" s="55" t="n">
        <f aca="false">IF(B195="",0,1)</f>
        <v>0</v>
      </c>
    </row>
    <row r="196" customFormat="false" ht="15" hidden="false" customHeight="false" outlineLevel="0" collapsed="false">
      <c r="B196" s="56"/>
      <c r="C196" s="57"/>
      <c r="D196" s="58"/>
      <c r="E196" s="57"/>
      <c r="F196" s="57"/>
      <c r="G196" s="57"/>
      <c r="H196" s="59"/>
      <c r="I196" s="60" t="str">
        <f aca="false">IF(B196="","",C196+IF(D196="",0,D196/60*Settings!$C$7)+E196+F196+Settings!$C$8)</f>
        <v/>
      </c>
      <c r="J196" s="60" t="str">
        <f aca="false">IF(B196="","",MAX(0,($I196+(Settings!$C$12+Settings!$C$13)-$G196*(1-(Settings!$C$10+Settings!$C$11+IF(Settings!$C$15="Yes / Sí",Settings!$C$14,0))))/(1-(Settings!$C$10+Settings!$C$11+IF(Settings!$C$15="Yes / Sí",Settings!$C$14,0)))))</f>
        <v/>
      </c>
      <c r="K196" s="60" t="str">
        <f aca="false">IF(B196="","",IF(1-(Settings!$C$10+Settings!$C$11+IF(Settings!$C$15="Yes / Sí",Settings!$C$14,0))-IF(H196="",Settings!$C$9,H196)&lt;=0,0,MAX(0,IF(Settings!$C$16="Yes / Sí",IF(ROUNDUP(($I196+(Settings!$C$12+Settings!$C$13)-$G196*(1-(Settings!$C$10+Settings!$C$11+IF(Settings!$C$15="Yes / Sí",Settings!$C$14,0))))/(1-(Settings!$C$10+Settings!$C$11+IF(Settings!$C$15="Yes / Sí",Settings!$C$14,0))-IF(H196="",Settings!$C$9,H196)),0)-0.01&gt;=($I196+(Settings!$C$12+Settings!$C$13)-$G196*(1-(Settings!$C$10+Settings!$C$11+IF(Settings!$C$15="Yes / Sí",Settings!$C$14,0))))/(1-(Settings!$C$10+Settings!$C$11+IF(Settings!$C$15="Yes / Sí",Settings!$C$14,0))-IF(H196="",Settings!$C$9,H196)),ROUNDUP(($I196+(Settings!$C$12+Settings!$C$13)-$G196*(1-(Settings!$C$10+Settings!$C$11+IF(Settings!$C$15="Yes / Sí",Settings!$C$14,0))))/(1-(Settings!$C$10+Settings!$C$11+IF(Settings!$C$15="Yes / Sí",Settings!$C$14,0))-IF(H196="",Settings!$C$9,H196)),0)-0.01,ROUNDUP(($I196+(Settings!$C$12+Settings!$C$13)-$G196*(1-(Settings!$C$10+Settings!$C$11+IF(Settings!$C$15="Yes / Sí",Settings!$C$14,0))))/(1-(Settings!$C$10+Settings!$C$11+IF(Settings!$C$15="Yes / Sí",Settings!$C$14,0))-IF(H196="",Settings!$C$9,H196)),0)+0.99),ROUNDUP(($I196+(Settings!$C$12+Settings!$C$13)-$G196*(1-(Settings!$C$10+Settings!$C$11+IF(Settings!$C$15="Yes / Sí",Settings!$C$14,0))))/(1-(Settings!$C$10+Settings!$C$11+IF(Settings!$C$15="Yes / Sí",Settings!$C$14,0))-IF(H196="",Settings!$C$9,H196)),2)))))</f>
        <v/>
      </c>
      <c r="L196" s="60" t="str">
        <f aca="false">IF(OR(B196="",K196=0),"",(K196+$G196-((K196+$G196)*(Settings!$C$10+Settings!$C$11+IF(Settings!$C$15="Yes / Sí",Settings!$C$14,0))+(Settings!$C$12+Settings!$C$13))-$I196))</f>
        <v/>
      </c>
      <c r="M196" s="57"/>
      <c r="N196" s="60" t="str">
        <f aca="false">IF(OR(B196="",M196=""),"",((M196+$G196)*(Settings!$C$10+Settings!$C$11+IF(Settings!$C$15="Yes / Sí",Settings!$C$14,0))+(Settings!$C$12+Settings!$C$13)))</f>
        <v/>
      </c>
      <c r="O196" s="60" t="str">
        <f aca="false">IF(OR(B196="",M196=""),"",(M196+$G196-((M196+$G196)*(Settings!$C$10+Settings!$C$11+IF(Settings!$C$15="Yes / Sí",Settings!$C$14,0))+(Settings!$C$12+Settings!$C$13))-$I196))</f>
        <v/>
      </c>
      <c r="P196" s="61" t="str">
        <f aca="false">IF(O196="","",IF(M196=0,0,O196/M196))</f>
        <v/>
      </c>
      <c r="Q196" s="60" t="str">
        <f aca="false">IF(OR(O196="",D196="",D196=0),"",(O196+D196/60*Settings!$C$7)/(D196/60))</f>
        <v/>
      </c>
      <c r="R196" s="62" t="str">
        <f aca="false">IF(B196="","",IF(M196="","Enter your price / Escribe tu precio",IF(O196&lt;0,"⚠ LOSING MONEY / PIERDES",IF(P196&lt;IF(H196="",Settings!$C$9,H196),"● BELOW TARGET / DEBAJO","✔ ON TARGET / EN OBJETIVO"))))</f>
        <v/>
      </c>
      <c r="T196" s="55" t="n">
        <f aca="false">IF(B196="",0,IF(M196="",0,1))</f>
        <v>0</v>
      </c>
      <c r="U196" s="55" t="n">
        <f aca="false">IF(T196=1,P196,0)</f>
        <v>0</v>
      </c>
      <c r="V196" s="55" t="n">
        <f aca="false">IF(T196=1,IF(O196&lt;0,0,IF(P196&lt;IF(H196="",Settings!$C$9,H196),1,0)),0)</f>
        <v>0</v>
      </c>
      <c r="W196" s="55" t="n">
        <f aca="false">IF(T196=1,IF(O196&lt;0,1,0),0)</f>
        <v>0</v>
      </c>
      <c r="X196" s="55" t="n">
        <f aca="false">IF(T196=1,M196,0)</f>
        <v>0</v>
      </c>
      <c r="Y196" s="55" t="n">
        <f aca="false">IF(T196=1,O196,0)</f>
        <v>0</v>
      </c>
      <c r="Z196" s="55" t="n">
        <f aca="false">IF(B196="",0,1)</f>
        <v>0</v>
      </c>
    </row>
    <row r="197" customFormat="false" ht="15" hidden="false" customHeight="false" outlineLevel="0" collapsed="false">
      <c r="B197" s="56"/>
      <c r="C197" s="57"/>
      <c r="D197" s="58"/>
      <c r="E197" s="57"/>
      <c r="F197" s="57"/>
      <c r="G197" s="57"/>
      <c r="H197" s="59"/>
      <c r="I197" s="60" t="str">
        <f aca="false">IF(B197="","",C197+IF(D197="",0,D197/60*Settings!$C$7)+E197+F197+Settings!$C$8)</f>
        <v/>
      </c>
      <c r="J197" s="60" t="str">
        <f aca="false">IF(B197="","",MAX(0,($I197+(Settings!$C$12+Settings!$C$13)-$G197*(1-(Settings!$C$10+Settings!$C$11+IF(Settings!$C$15="Yes / Sí",Settings!$C$14,0))))/(1-(Settings!$C$10+Settings!$C$11+IF(Settings!$C$15="Yes / Sí",Settings!$C$14,0)))))</f>
        <v/>
      </c>
      <c r="K197" s="60" t="str">
        <f aca="false">IF(B197="","",IF(1-(Settings!$C$10+Settings!$C$11+IF(Settings!$C$15="Yes / Sí",Settings!$C$14,0))-IF(H197="",Settings!$C$9,H197)&lt;=0,0,MAX(0,IF(Settings!$C$16="Yes / Sí",IF(ROUNDUP(($I197+(Settings!$C$12+Settings!$C$13)-$G197*(1-(Settings!$C$10+Settings!$C$11+IF(Settings!$C$15="Yes / Sí",Settings!$C$14,0))))/(1-(Settings!$C$10+Settings!$C$11+IF(Settings!$C$15="Yes / Sí",Settings!$C$14,0))-IF(H197="",Settings!$C$9,H197)),0)-0.01&gt;=($I197+(Settings!$C$12+Settings!$C$13)-$G197*(1-(Settings!$C$10+Settings!$C$11+IF(Settings!$C$15="Yes / Sí",Settings!$C$14,0))))/(1-(Settings!$C$10+Settings!$C$11+IF(Settings!$C$15="Yes / Sí",Settings!$C$14,0))-IF(H197="",Settings!$C$9,H197)),ROUNDUP(($I197+(Settings!$C$12+Settings!$C$13)-$G197*(1-(Settings!$C$10+Settings!$C$11+IF(Settings!$C$15="Yes / Sí",Settings!$C$14,0))))/(1-(Settings!$C$10+Settings!$C$11+IF(Settings!$C$15="Yes / Sí",Settings!$C$14,0))-IF(H197="",Settings!$C$9,H197)),0)-0.01,ROUNDUP(($I197+(Settings!$C$12+Settings!$C$13)-$G197*(1-(Settings!$C$10+Settings!$C$11+IF(Settings!$C$15="Yes / Sí",Settings!$C$14,0))))/(1-(Settings!$C$10+Settings!$C$11+IF(Settings!$C$15="Yes / Sí",Settings!$C$14,0))-IF(H197="",Settings!$C$9,H197)),0)+0.99),ROUNDUP(($I197+(Settings!$C$12+Settings!$C$13)-$G197*(1-(Settings!$C$10+Settings!$C$11+IF(Settings!$C$15="Yes / Sí",Settings!$C$14,0))))/(1-(Settings!$C$10+Settings!$C$11+IF(Settings!$C$15="Yes / Sí",Settings!$C$14,0))-IF(H197="",Settings!$C$9,H197)),2)))))</f>
        <v/>
      </c>
      <c r="L197" s="60" t="str">
        <f aca="false">IF(OR(B197="",K197=0),"",(K197+$G197-((K197+$G197)*(Settings!$C$10+Settings!$C$11+IF(Settings!$C$15="Yes / Sí",Settings!$C$14,0))+(Settings!$C$12+Settings!$C$13))-$I197))</f>
        <v/>
      </c>
      <c r="M197" s="57"/>
      <c r="N197" s="60" t="str">
        <f aca="false">IF(OR(B197="",M197=""),"",((M197+$G197)*(Settings!$C$10+Settings!$C$11+IF(Settings!$C$15="Yes / Sí",Settings!$C$14,0))+(Settings!$C$12+Settings!$C$13)))</f>
        <v/>
      </c>
      <c r="O197" s="60" t="str">
        <f aca="false">IF(OR(B197="",M197=""),"",(M197+$G197-((M197+$G197)*(Settings!$C$10+Settings!$C$11+IF(Settings!$C$15="Yes / Sí",Settings!$C$14,0))+(Settings!$C$12+Settings!$C$13))-$I197))</f>
        <v/>
      </c>
      <c r="P197" s="61" t="str">
        <f aca="false">IF(O197="","",IF(M197=0,0,O197/M197))</f>
        <v/>
      </c>
      <c r="Q197" s="60" t="str">
        <f aca="false">IF(OR(O197="",D197="",D197=0),"",(O197+D197/60*Settings!$C$7)/(D197/60))</f>
        <v/>
      </c>
      <c r="R197" s="62" t="str">
        <f aca="false">IF(B197="","",IF(M197="","Enter your price / Escribe tu precio",IF(O197&lt;0,"⚠ LOSING MONEY / PIERDES",IF(P197&lt;IF(H197="",Settings!$C$9,H197),"● BELOW TARGET / DEBAJO","✔ ON TARGET / EN OBJETIVO"))))</f>
        <v/>
      </c>
      <c r="T197" s="55" t="n">
        <f aca="false">IF(B197="",0,IF(M197="",0,1))</f>
        <v>0</v>
      </c>
      <c r="U197" s="55" t="n">
        <f aca="false">IF(T197=1,P197,0)</f>
        <v>0</v>
      </c>
      <c r="V197" s="55" t="n">
        <f aca="false">IF(T197=1,IF(O197&lt;0,0,IF(P197&lt;IF(H197="",Settings!$C$9,H197),1,0)),0)</f>
        <v>0</v>
      </c>
      <c r="W197" s="55" t="n">
        <f aca="false">IF(T197=1,IF(O197&lt;0,1,0),0)</f>
        <v>0</v>
      </c>
      <c r="X197" s="55" t="n">
        <f aca="false">IF(T197=1,M197,0)</f>
        <v>0</v>
      </c>
      <c r="Y197" s="55" t="n">
        <f aca="false">IF(T197=1,O197,0)</f>
        <v>0</v>
      </c>
      <c r="Z197" s="55" t="n">
        <f aca="false">IF(B197="",0,1)</f>
        <v>0</v>
      </c>
    </row>
    <row r="198" customFormat="false" ht="15" hidden="false" customHeight="false" outlineLevel="0" collapsed="false">
      <c r="B198" s="56"/>
      <c r="C198" s="57"/>
      <c r="D198" s="58"/>
      <c r="E198" s="57"/>
      <c r="F198" s="57"/>
      <c r="G198" s="57"/>
      <c r="H198" s="59"/>
      <c r="I198" s="60" t="str">
        <f aca="false">IF(B198="","",C198+IF(D198="",0,D198/60*Settings!$C$7)+E198+F198+Settings!$C$8)</f>
        <v/>
      </c>
      <c r="J198" s="60" t="str">
        <f aca="false">IF(B198="","",MAX(0,($I198+(Settings!$C$12+Settings!$C$13)-$G198*(1-(Settings!$C$10+Settings!$C$11+IF(Settings!$C$15="Yes / Sí",Settings!$C$14,0))))/(1-(Settings!$C$10+Settings!$C$11+IF(Settings!$C$15="Yes / Sí",Settings!$C$14,0)))))</f>
        <v/>
      </c>
      <c r="K198" s="60" t="str">
        <f aca="false">IF(B198="","",IF(1-(Settings!$C$10+Settings!$C$11+IF(Settings!$C$15="Yes / Sí",Settings!$C$14,0))-IF(H198="",Settings!$C$9,H198)&lt;=0,0,MAX(0,IF(Settings!$C$16="Yes / Sí",IF(ROUNDUP(($I198+(Settings!$C$12+Settings!$C$13)-$G198*(1-(Settings!$C$10+Settings!$C$11+IF(Settings!$C$15="Yes / Sí",Settings!$C$14,0))))/(1-(Settings!$C$10+Settings!$C$11+IF(Settings!$C$15="Yes / Sí",Settings!$C$14,0))-IF(H198="",Settings!$C$9,H198)),0)-0.01&gt;=($I198+(Settings!$C$12+Settings!$C$13)-$G198*(1-(Settings!$C$10+Settings!$C$11+IF(Settings!$C$15="Yes / Sí",Settings!$C$14,0))))/(1-(Settings!$C$10+Settings!$C$11+IF(Settings!$C$15="Yes / Sí",Settings!$C$14,0))-IF(H198="",Settings!$C$9,H198)),ROUNDUP(($I198+(Settings!$C$12+Settings!$C$13)-$G198*(1-(Settings!$C$10+Settings!$C$11+IF(Settings!$C$15="Yes / Sí",Settings!$C$14,0))))/(1-(Settings!$C$10+Settings!$C$11+IF(Settings!$C$15="Yes / Sí",Settings!$C$14,0))-IF(H198="",Settings!$C$9,H198)),0)-0.01,ROUNDUP(($I198+(Settings!$C$12+Settings!$C$13)-$G198*(1-(Settings!$C$10+Settings!$C$11+IF(Settings!$C$15="Yes / Sí",Settings!$C$14,0))))/(1-(Settings!$C$10+Settings!$C$11+IF(Settings!$C$15="Yes / Sí",Settings!$C$14,0))-IF(H198="",Settings!$C$9,H198)),0)+0.99),ROUNDUP(($I198+(Settings!$C$12+Settings!$C$13)-$G198*(1-(Settings!$C$10+Settings!$C$11+IF(Settings!$C$15="Yes / Sí",Settings!$C$14,0))))/(1-(Settings!$C$10+Settings!$C$11+IF(Settings!$C$15="Yes / Sí",Settings!$C$14,0))-IF(H198="",Settings!$C$9,H198)),2)))))</f>
        <v/>
      </c>
      <c r="L198" s="60" t="str">
        <f aca="false">IF(OR(B198="",K198=0),"",(K198+$G198-((K198+$G198)*(Settings!$C$10+Settings!$C$11+IF(Settings!$C$15="Yes / Sí",Settings!$C$14,0))+(Settings!$C$12+Settings!$C$13))-$I198))</f>
        <v/>
      </c>
      <c r="M198" s="57"/>
      <c r="N198" s="60" t="str">
        <f aca="false">IF(OR(B198="",M198=""),"",((M198+$G198)*(Settings!$C$10+Settings!$C$11+IF(Settings!$C$15="Yes / Sí",Settings!$C$14,0))+(Settings!$C$12+Settings!$C$13)))</f>
        <v/>
      </c>
      <c r="O198" s="60" t="str">
        <f aca="false">IF(OR(B198="",M198=""),"",(M198+$G198-((M198+$G198)*(Settings!$C$10+Settings!$C$11+IF(Settings!$C$15="Yes / Sí",Settings!$C$14,0))+(Settings!$C$12+Settings!$C$13))-$I198))</f>
        <v/>
      </c>
      <c r="P198" s="61" t="str">
        <f aca="false">IF(O198="","",IF(M198=0,0,O198/M198))</f>
        <v/>
      </c>
      <c r="Q198" s="60" t="str">
        <f aca="false">IF(OR(O198="",D198="",D198=0),"",(O198+D198/60*Settings!$C$7)/(D198/60))</f>
        <v/>
      </c>
      <c r="R198" s="62" t="str">
        <f aca="false">IF(B198="","",IF(M198="","Enter your price / Escribe tu precio",IF(O198&lt;0,"⚠ LOSING MONEY / PIERDES",IF(P198&lt;IF(H198="",Settings!$C$9,H198),"● BELOW TARGET / DEBAJO","✔ ON TARGET / EN OBJETIVO"))))</f>
        <v/>
      </c>
      <c r="T198" s="55" t="n">
        <f aca="false">IF(B198="",0,IF(M198="",0,1))</f>
        <v>0</v>
      </c>
      <c r="U198" s="55" t="n">
        <f aca="false">IF(T198=1,P198,0)</f>
        <v>0</v>
      </c>
      <c r="V198" s="55" t="n">
        <f aca="false">IF(T198=1,IF(O198&lt;0,0,IF(P198&lt;IF(H198="",Settings!$C$9,H198),1,0)),0)</f>
        <v>0</v>
      </c>
      <c r="W198" s="55" t="n">
        <f aca="false">IF(T198=1,IF(O198&lt;0,1,0),0)</f>
        <v>0</v>
      </c>
      <c r="X198" s="55" t="n">
        <f aca="false">IF(T198=1,M198,0)</f>
        <v>0</v>
      </c>
      <c r="Y198" s="55" t="n">
        <f aca="false">IF(T198=1,O198,0)</f>
        <v>0</v>
      </c>
      <c r="Z198" s="55" t="n">
        <f aca="false">IF(B198="",0,1)</f>
        <v>0</v>
      </c>
    </row>
    <row r="199" customFormat="false" ht="15" hidden="false" customHeight="false" outlineLevel="0" collapsed="false">
      <c r="B199" s="56"/>
      <c r="C199" s="57"/>
      <c r="D199" s="58"/>
      <c r="E199" s="57"/>
      <c r="F199" s="57"/>
      <c r="G199" s="57"/>
      <c r="H199" s="59"/>
      <c r="I199" s="60" t="str">
        <f aca="false">IF(B199="","",C199+IF(D199="",0,D199/60*Settings!$C$7)+E199+F199+Settings!$C$8)</f>
        <v/>
      </c>
      <c r="J199" s="60" t="str">
        <f aca="false">IF(B199="","",MAX(0,($I199+(Settings!$C$12+Settings!$C$13)-$G199*(1-(Settings!$C$10+Settings!$C$11+IF(Settings!$C$15="Yes / Sí",Settings!$C$14,0))))/(1-(Settings!$C$10+Settings!$C$11+IF(Settings!$C$15="Yes / Sí",Settings!$C$14,0)))))</f>
        <v/>
      </c>
      <c r="K199" s="60" t="str">
        <f aca="false">IF(B199="","",IF(1-(Settings!$C$10+Settings!$C$11+IF(Settings!$C$15="Yes / Sí",Settings!$C$14,0))-IF(H199="",Settings!$C$9,H199)&lt;=0,0,MAX(0,IF(Settings!$C$16="Yes / Sí",IF(ROUNDUP(($I199+(Settings!$C$12+Settings!$C$13)-$G199*(1-(Settings!$C$10+Settings!$C$11+IF(Settings!$C$15="Yes / Sí",Settings!$C$14,0))))/(1-(Settings!$C$10+Settings!$C$11+IF(Settings!$C$15="Yes / Sí",Settings!$C$14,0))-IF(H199="",Settings!$C$9,H199)),0)-0.01&gt;=($I199+(Settings!$C$12+Settings!$C$13)-$G199*(1-(Settings!$C$10+Settings!$C$11+IF(Settings!$C$15="Yes / Sí",Settings!$C$14,0))))/(1-(Settings!$C$10+Settings!$C$11+IF(Settings!$C$15="Yes / Sí",Settings!$C$14,0))-IF(H199="",Settings!$C$9,H199)),ROUNDUP(($I199+(Settings!$C$12+Settings!$C$13)-$G199*(1-(Settings!$C$10+Settings!$C$11+IF(Settings!$C$15="Yes / Sí",Settings!$C$14,0))))/(1-(Settings!$C$10+Settings!$C$11+IF(Settings!$C$15="Yes / Sí",Settings!$C$14,0))-IF(H199="",Settings!$C$9,H199)),0)-0.01,ROUNDUP(($I199+(Settings!$C$12+Settings!$C$13)-$G199*(1-(Settings!$C$10+Settings!$C$11+IF(Settings!$C$15="Yes / Sí",Settings!$C$14,0))))/(1-(Settings!$C$10+Settings!$C$11+IF(Settings!$C$15="Yes / Sí",Settings!$C$14,0))-IF(H199="",Settings!$C$9,H199)),0)+0.99),ROUNDUP(($I199+(Settings!$C$12+Settings!$C$13)-$G199*(1-(Settings!$C$10+Settings!$C$11+IF(Settings!$C$15="Yes / Sí",Settings!$C$14,0))))/(1-(Settings!$C$10+Settings!$C$11+IF(Settings!$C$15="Yes / Sí",Settings!$C$14,0))-IF(H199="",Settings!$C$9,H199)),2)))))</f>
        <v/>
      </c>
      <c r="L199" s="60" t="str">
        <f aca="false">IF(OR(B199="",K199=0),"",(K199+$G199-((K199+$G199)*(Settings!$C$10+Settings!$C$11+IF(Settings!$C$15="Yes / Sí",Settings!$C$14,0))+(Settings!$C$12+Settings!$C$13))-$I199))</f>
        <v/>
      </c>
      <c r="M199" s="57"/>
      <c r="N199" s="60" t="str">
        <f aca="false">IF(OR(B199="",M199=""),"",((M199+$G199)*(Settings!$C$10+Settings!$C$11+IF(Settings!$C$15="Yes / Sí",Settings!$C$14,0))+(Settings!$C$12+Settings!$C$13)))</f>
        <v/>
      </c>
      <c r="O199" s="60" t="str">
        <f aca="false">IF(OR(B199="",M199=""),"",(M199+$G199-((M199+$G199)*(Settings!$C$10+Settings!$C$11+IF(Settings!$C$15="Yes / Sí",Settings!$C$14,0))+(Settings!$C$12+Settings!$C$13))-$I199))</f>
        <v/>
      </c>
      <c r="P199" s="61" t="str">
        <f aca="false">IF(O199="","",IF(M199=0,0,O199/M199))</f>
        <v/>
      </c>
      <c r="Q199" s="60" t="str">
        <f aca="false">IF(OR(O199="",D199="",D199=0),"",(O199+D199/60*Settings!$C$7)/(D199/60))</f>
        <v/>
      </c>
      <c r="R199" s="62" t="str">
        <f aca="false">IF(B199="","",IF(M199="","Enter your price / Escribe tu precio",IF(O199&lt;0,"⚠ LOSING MONEY / PIERDES",IF(P199&lt;IF(H199="",Settings!$C$9,H199),"● BELOW TARGET / DEBAJO","✔ ON TARGET / EN OBJETIVO"))))</f>
        <v/>
      </c>
      <c r="T199" s="55" t="n">
        <f aca="false">IF(B199="",0,IF(M199="",0,1))</f>
        <v>0</v>
      </c>
      <c r="U199" s="55" t="n">
        <f aca="false">IF(T199=1,P199,0)</f>
        <v>0</v>
      </c>
      <c r="V199" s="55" t="n">
        <f aca="false">IF(T199=1,IF(O199&lt;0,0,IF(P199&lt;IF(H199="",Settings!$C$9,H199),1,0)),0)</f>
        <v>0</v>
      </c>
      <c r="W199" s="55" t="n">
        <f aca="false">IF(T199=1,IF(O199&lt;0,1,0),0)</f>
        <v>0</v>
      </c>
      <c r="X199" s="55" t="n">
        <f aca="false">IF(T199=1,M199,0)</f>
        <v>0</v>
      </c>
      <c r="Y199" s="55" t="n">
        <f aca="false">IF(T199=1,O199,0)</f>
        <v>0</v>
      </c>
      <c r="Z199" s="55" t="n">
        <f aca="false">IF(B199="",0,1)</f>
        <v>0</v>
      </c>
    </row>
    <row r="200" customFormat="false" ht="15" hidden="false" customHeight="false" outlineLevel="0" collapsed="false">
      <c r="B200" s="56"/>
      <c r="C200" s="57"/>
      <c r="D200" s="58"/>
      <c r="E200" s="57"/>
      <c r="F200" s="57"/>
      <c r="G200" s="57"/>
      <c r="H200" s="59"/>
      <c r="I200" s="60" t="str">
        <f aca="false">IF(B200="","",C200+IF(D200="",0,D200/60*Settings!$C$7)+E200+F200+Settings!$C$8)</f>
        <v/>
      </c>
      <c r="J200" s="60" t="str">
        <f aca="false">IF(B200="","",MAX(0,($I200+(Settings!$C$12+Settings!$C$13)-$G200*(1-(Settings!$C$10+Settings!$C$11+IF(Settings!$C$15="Yes / Sí",Settings!$C$14,0))))/(1-(Settings!$C$10+Settings!$C$11+IF(Settings!$C$15="Yes / Sí",Settings!$C$14,0)))))</f>
        <v/>
      </c>
      <c r="K200" s="60" t="str">
        <f aca="false">IF(B200="","",IF(1-(Settings!$C$10+Settings!$C$11+IF(Settings!$C$15="Yes / Sí",Settings!$C$14,0))-IF(H200="",Settings!$C$9,H200)&lt;=0,0,MAX(0,IF(Settings!$C$16="Yes / Sí",IF(ROUNDUP(($I200+(Settings!$C$12+Settings!$C$13)-$G200*(1-(Settings!$C$10+Settings!$C$11+IF(Settings!$C$15="Yes / Sí",Settings!$C$14,0))))/(1-(Settings!$C$10+Settings!$C$11+IF(Settings!$C$15="Yes / Sí",Settings!$C$14,0))-IF(H200="",Settings!$C$9,H200)),0)-0.01&gt;=($I200+(Settings!$C$12+Settings!$C$13)-$G200*(1-(Settings!$C$10+Settings!$C$11+IF(Settings!$C$15="Yes / Sí",Settings!$C$14,0))))/(1-(Settings!$C$10+Settings!$C$11+IF(Settings!$C$15="Yes / Sí",Settings!$C$14,0))-IF(H200="",Settings!$C$9,H200)),ROUNDUP(($I200+(Settings!$C$12+Settings!$C$13)-$G200*(1-(Settings!$C$10+Settings!$C$11+IF(Settings!$C$15="Yes / Sí",Settings!$C$14,0))))/(1-(Settings!$C$10+Settings!$C$11+IF(Settings!$C$15="Yes / Sí",Settings!$C$14,0))-IF(H200="",Settings!$C$9,H200)),0)-0.01,ROUNDUP(($I200+(Settings!$C$12+Settings!$C$13)-$G200*(1-(Settings!$C$10+Settings!$C$11+IF(Settings!$C$15="Yes / Sí",Settings!$C$14,0))))/(1-(Settings!$C$10+Settings!$C$11+IF(Settings!$C$15="Yes / Sí",Settings!$C$14,0))-IF(H200="",Settings!$C$9,H200)),0)+0.99),ROUNDUP(($I200+(Settings!$C$12+Settings!$C$13)-$G200*(1-(Settings!$C$10+Settings!$C$11+IF(Settings!$C$15="Yes / Sí",Settings!$C$14,0))))/(1-(Settings!$C$10+Settings!$C$11+IF(Settings!$C$15="Yes / Sí",Settings!$C$14,0))-IF(H200="",Settings!$C$9,H200)),2)))))</f>
        <v/>
      </c>
      <c r="L200" s="60" t="str">
        <f aca="false">IF(OR(B200="",K200=0),"",(K200+$G200-((K200+$G200)*(Settings!$C$10+Settings!$C$11+IF(Settings!$C$15="Yes / Sí",Settings!$C$14,0))+(Settings!$C$12+Settings!$C$13))-$I200))</f>
        <v/>
      </c>
      <c r="M200" s="57"/>
      <c r="N200" s="60" t="str">
        <f aca="false">IF(OR(B200="",M200=""),"",((M200+$G200)*(Settings!$C$10+Settings!$C$11+IF(Settings!$C$15="Yes / Sí",Settings!$C$14,0))+(Settings!$C$12+Settings!$C$13)))</f>
        <v/>
      </c>
      <c r="O200" s="60" t="str">
        <f aca="false">IF(OR(B200="",M200=""),"",(M200+$G200-((M200+$G200)*(Settings!$C$10+Settings!$C$11+IF(Settings!$C$15="Yes / Sí",Settings!$C$14,0))+(Settings!$C$12+Settings!$C$13))-$I200))</f>
        <v/>
      </c>
      <c r="P200" s="61" t="str">
        <f aca="false">IF(O200="","",IF(M200=0,0,O200/M200))</f>
        <v/>
      </c>
      <c r="Q200" s="60" t="str">
        <f aca="false">IF(OR(O200="",D200="",D200=0),"",(O200+D200/60*Settings!$C$7)/(D200/60))</f>
        <v/>
      </c>
      <c r="R200" s="62" t="str">
        <f aca="false">IF(B200="","",IF(M200="","Enter your price / Escribe tu precio",IF(O200&lt;0,"⚠ LOSING MONEY / PIERDES",IF(P200&lt;IF(H200="",Settings!$C$9,H200),"● BELOW TARGET / DEBAJO","✔ ON TARGET / EN OBJETIVO"))))</f>
        <v/>
      </c>
      <c r="T200" s="55" t="n">
        <f aca="false">IF(B200="",0,IF(M200="",0,1))</f>
        <v>0</v>
      </c>
      <c r="U200" s="55" t="n">
        <f aca="false">IF(T200=1,P200,0)</f>
        <v>0</v>
      </c>
      <c r="V200" s="55" t="n">
        <f aca="false">IF(T200=1,IF(O200&lt;0,0,IF(P200&lt;IF(H200="",Settings!$C$9,H200),1,0)),0)</f>
        <v>0</v>
      </c>
      <c r="W200" s="55" t="n">
        <f aca="false">IF(T200=1,IF(O200&lt;0,1,0),0)</f>
        <v>0</v>
      </c>
      <c r="X200" s="55" t="n">
        <f aca="false">IF(T200=1,M200,0)</f>
        <v>0</v>
      </c>
      <c r="Y200" s="55" t="n">
        <f aca="false">IF(T200=1,O200,0)</f>
        <v>0</v>
      </c>
      <c r="Z200" s="55" t="n">
        <f aca="false">IF(B200="",0,1)</f>
        <v>0</v>
      </c>
    </row>
    <row r="201" customFormat="false" ht="15" hidden="false" customHeight="false" outlineLevel="0" collapsed="false">
      <c r="B201" s="56"/>
      <c r="C201" s="57"/>
      <c r="D201" s="58"/>
      <c r="E201" s="57"/>
      <c r="F201" s="57"/>
      <c r="G201" s="57"/>
      <c r="H201" s="59"/>
      <c r="I201" s="60" t="str">
        <f aca="false">IF(B201="","",C201+IF(D201="",0,D201/60*Settings!$C$7)+E201+F201+Settings!$C$8)</f>
        <v/>
      </c>
      <c r="J201" s="60" t="str">
        <f aca="false">IF(B201="","",MAX(0,($I201+(Settings!$C$12+Settings!$C$13)-$G201*(1-(Settings!$C$10+Settings!$C$11+IF(Settings!$C$15="Yes / Sí",Settings!$C$14,0))))/(1-(Settings!$C$10+Settings!$C$11+IF(Settings!$C$15="Yes / Sí",Settings!$C$14,0)))))</f>
        <v/>
      </c>
      <c r="K201" s="60" t="str">
        <f aca="false">IF(B201="","",IF(1-(Settings!$C$10+Settings!$C$11+IF(Settings!$C$15="Yes / Sí",Settings!$C$14,0))-IF(H201="",Settings!$C$9,H201)&lt;=0,0,MAX(0,IF(Settings!$C$16="Yes / Sí",IF(ROUNDUP(($I201+(Settings!$C$12+Settings!$C$13)-$G201*(1-(Settings!$C$10+Settings!$C$11+IF(Settings!$C$15="Yes / Sí",Settings!$C$14,0))))/(1-(Settings!$C$10+Settings!$C$11+IF(Settings!$C$15="Yes / Sí",Settings!$C$14,0))-IF(H201="",Settings!$C$9,H201)),0)-0.01&gt;=($I201+(Settings!$C$12+Settings!$C$13)-$G201*(1-(Settings!$C$10+Settings!$C$11+IF(Settings!$C$15="Yes / Sí",Settings!$C$14,0))))/(1-(Settings!$C$10+Settings!$C$11+IF(Settings!$C$15="Yes / Sí",Settings!$C$14,0))-IF(H201="",Settings!$C$9,H201)),ROUNDUP(($I201+(Settings!$C$12+Settings!$C$13)-$G201*(1-(Settings!$C$10+Settings!$C$11+IF(Settings!$C$15="Yes / Sí",Settings!$C$14,0))))/(1-(Settings!$C$10+Settings!$C$11+IF(Settings!$C$15="Yes / Sí",Settings!$C$14,0))-IF(H201="",Settings!$C$9,H201)),0)-0.01,ROUNDUP(($I201+(Settings!$C$12+Settings!$C$13)-$G201*(1-(Settings!$C$10+Settings!$C$11+IF(Settings!$C$15="Yes / Sí",Settings!$C$14,0))))/(1-(Settings!$C$10+Settings!$C$11+IF(Settings!$C$15="Yes / Sí",Settings!$C$14,0))-IF(H201="",Settings!$C$9,H201)),0)+0.99),ROUNDUP(($I201+(Settings!$C$12+Settings!$C$13)-$G201*(1-(Settings!$C$10+Settings!$C$11+IF(Settings!$C$15="Yes / Sí",Settings!$C$14,0))))/(1-(Settings!$C$10+Settings!$C$11+IF(Settings!$C$15="Yes / Sí",Settings!$C$14,0))-IF(H201="",Settings!$C$9,H201)),2)))))</f>
        <v/>
      </c>
      <c r="L201" s="60" t="str">
        <f aca="false">IF(OR(B201="",K201=0),"",(K201+$G201-((K201+$G201)*(Settings!$C$10+Settings!$C$11+IF(Settings!$C$15="Yes / Sí",Settings!$C$14,0))+(Settings!$C$12+Settings!$C$13))-$I201))</f>
        <v/>
      </c>
      <c r="M201" s="57"/>
      <c r="N201" s="60" t="str">
        <f aca="false">IF(OR(B201="",M201=""),"",((M201+$G201)*(Settings!$C$10+Settings!$C$11+IF(Settings!$C$15="Yes / Sí",Settings!$C$14,0))+(Settings!$C$12+Settings!$C$13)))</f>
        <v/>
      </c>
      <c r="O201" s="60" t="str">
        <f aca="false">IF(OR(B201="",M201=""),"",(M201+$G201-((M201+$G201)*(Settings!$C$10+Settings!$C$11+IF(Settings!$C$15="Yes / Sí",Settings!$C$14,0))+(Settings!$C$12+Settings!$C$13))-$I201))</f>
        <v/>
      </c>
      <c r="P201" s="61" t="str">
        <f aca="false">IF(O201="","",IF(M201=0,0,O201/M201))</f>
        <v/>
      </c>
      <c r="Q201" s="60" t="str">
        <f aca="false">IF(OR(O201="",D201="",D201=0),"",(O201+D201/60*Settings!$C$7)/(D201/60))</f>
        <v/>
      </c>
      <c r="R201" s="62" t="str">
        <f aca="false">IF(B201="","",IF(M201="","Enter your price / Escribe tu precio",IF(O201&lt;0,"⚠ LOSING MONEY / PIERDES",IF(P201&lt;IF(H201="",Settings!$C$9,H201),"● BELOW TARGET / DEBAJO","✔ ON TARGET / EN OBJETIVO"))))</f>
        <v/>
      </c>
      <c r="T201" s="55" t="n">
        <f aca="false">IF(B201="",0,IF(M201="",0,1))</f>
        <v>0</v>
      </c>
      <c r="U201" s="55" t="n">
        <f aca="false">IF(T201=1,P201,0)</f>
        <v>0</v>
      </c>
      <c r="V201" s="55" t="n">
        <f aca="false">IF(T201=1,IF(O201&lt;0,0,IF(P201&lt;IF(H201="",Settings!$C$9,H201),1,0)),0)</f>
        <v>0</v>
      </c>
      <c r="W201" s="55" t="n">
        <f aca="false">IF(T201=1,IF(O201&lt;0,1,0),0)</f>
        <v>0</v>
      </c>
      <c r="X201" s="55" t="n">
        <f aca="false">IF(T201=1,M201,0)</f>
        <v>0</v>
      </c>
      <c r="Y201" s="55" t="n">
        <f aca="false">IF(T201=1,O201,0)</f>
        <v>0</v>
      </c>
      <c r="Z201" s="55" t="n">
        <f aca="false">IF(B201="",0,1)</f>
        <v>0</v>
      </c>
    </row>
    <row r="202" customFormat="false" ht="15" hidden="false" customHeight="false" outlineLevel="0" collapsed="false">
      <c r="B202" s="56"/>
      <c r="C202" s="57"/>
      <c r="D202" s="58"/>
      <c r="E202" s="57"/>
      <c r="F202" s="57"/>
      <c r="G202" s="57"/>
      <c r="H202" s="59"/>
      <c r="I202" s="60" t="str">
        <f aca="false">IF(B202="","",C202+IF(D202="",0,D202/60*Settings!$C$7)+E202+F202+Settings!$C$8)</f>
        <v/>
      </c>
      <c r="J202" s="60" t="str">
        <f aca="false">IF(B202="","",MAX(0,($I202+(Settings!$C$12+Settings!$C$13)-$G202*(1-(Settings!$C$10+Settings!$C$11+IF(Settings!$C$15="Yes / Sí",Settings!$C$14,0))))/(1-(Settings!$C$10+Settings!$C$11+IF(Settings!$C$15="Yes / Sí",Settings!$C$14,0)))))</f>
        <v/>
      </c>
      <c r="K202" s="60" t="str">
        <f aca="false">IF(B202="","",IF(1-(Settings!$C$10+Settings!$C$11+IF(Settings!$C$15="Yes / Sí",Settings!$C$14,0))-IF(H202="",Settings!$C$9,H202)&lt;=0,0,MAX(0,IF(Settings!$C$16="Yes / Sí",IF(ROUNDUP(($I202+(Settings!$C$12+Settings!$C$13)-$G202*(1-(Settings!$C$10+Settings!$C$11+IF(Settings!$C$15="Yes / Sí",Settings!$C$14,0))))/(1-(Settings!$C$10+Settings!$C$11+IF(Settings!$C$15="Yes / Sí",Settings!$C$14,0))-IF(H202="",Settings!$C$9,H202)),0)-0.01&gt;=($I202+(Settings!$C$12+Settings!$C$13)-$G202*(1-(Settings!$C$10+Settings!$C$11+IF(Settings!$C$15="Yes / Sí",Settings!$C$14,0))))/(1-(Settings!$C$10+Settings!$C$11+IF(Settings!$C$15="Yes / Sí",Settings!$C$14,0))-IF(H202="",Settings!$C$9,H202)),ROUNDUP(($I202+(Settings!$C$12+Settings!$C$13)-$G202*(1-(Settings!$C$10+Settings!$C$11+IF(Settings!$C$15="Yes / Sí",Settings!$C$14,0))))/(1-(Settings!$C$10+Settings!$C$11+IF(Settings!$C$15="Yes / Sí",Settings!$C$14,0))-IF(H202="",Settings!$C$9,H202)),0)-0.01,ROUNDUP(($I202+(Settings!$C$12+Settings!$C$13)-$G202*(1-(Settings!$C$10+Settings!$C$11+IF(Settings!$C$15="Yes / Sí",Settings!$C$14,0))))/(1-(Settings!$C$10+Settings!$C$11+IF(Settings!$C$15="Yes / Sí",Settings!$C$14,0))-IF(H202="",Settings!$C$9,H202)),0)+0.99),ROUNDUP(($I202+(Settings!$C$12+Settings!$C$13)-$G202*(1-(Settings!$C$10+Settings!$C$11+IF(Settings!$C$15="Yes / Sí",Settings!$C$14,0))))/(1-(Settings!$C$10+Settings!$C$11+IF(Settings!$C$15="Yes / Sí",Settings!$C$14,0))-IF(H202="",Settings!$C$9,H202)),2)))))</f>
        <v/>
      </c>
      <c r="L202" s="60" t="str">
        <f aca="false">IF(OR(B202="",K202=0),"",(K202+$G202-((K202+$G202)*(Settings!$C$10+Settings!$C$11+IF(Settings!$C$15="Yes / Sí",Settings!$C$14,0))+(Settings!$C$12+Settings!$C$13))-$I202))</f>
        <v/>
      </c>
      <c r="M202" s="57"/>
      <c r="N202" s="60" t="str">
        <f aca="false">IF(OR(B202="",M202=""),"",((M202+$G202)*(Settings!$C$10+Settings!$C$11+IF(Settings!$C$15="Yes / Sí",Settings!$C$14,0))+(Settings!$C$12+Settings!$C$13)))</f>
        <v/>
      </c>
      <c r="O202" s="60" t="str">
        <f aca="false">IF(OR(B202="",M202=""),"",(M202+$G202-((M202+$G202)*(Settings!$C$10+Settings!$C$11+IF(Settings!$C$15="Yes / Sí",Settings!$C$14,0))+(Settings!$C$12+Settings!$C$13))-$I202))</f>
        <v/>
      </c>
      <c r="P202" s="61" t="str">
        <f aca="false">IF(O202="","",IF(M202=0,0,O202/M202))</f>
        <v/>
      </c>
      <c r="Q202" s="60" t="str">
        <f aca="false">IF(OR(O202="",D202="",D202=0),"",(O202+D202/60*Settings!$C$7)/(D202/60))</f>
        <v/>
      </c>
      <c r="R202" s="62" t="str">
        <f aca="false">IF(B202="","",IF(M202="","Enter your price / Escribe tu precio",IF(O202&lt;0,"⚠ LOSING MONEY / PIERDES",IF(P202&lt;IF(H202="",Settings!$C$9,H202),"● BELOW TARGET / DEBAJO","✔ ON TARGET / EN OBJETIVO"))))</f>
        <v/>
      </c>
      <c r="T202" s="55" t="n">
        <f aca="false">IF(B202="",0,IF(M202="",0,1))</f>
        <v>0</v>
      </c>
      <c r="U202" s="55" t="n">
        <f aca="false">IF(T202=1,P202,0)</f>
        <v>0</v>
      </c>
      <c r="V202" s="55" t="n">
        <f aca="false">IF(T202=1,IF(O202&lt;0,0,IF(P202&lt;IF(H202="",Settings!$C$9,H202),1,0)),0)</f>
        <v>0</v>
      </c>
      <c r="W202" s="55" t="n">
        <f aca="false">IF(T202=1,IF(O202&lt;0,1,0),0)</f>
        <v>0</v>
      </c>
      <c r="X202" s="55" t="n">
        <f aca="false">IF(T202=1,M202,0)</f>
        <v>0</v>
      </c>
      <c r="Y202" s="55" t="n">
        <f aca="false">IF(T202=1,O202,0)</f>
        <v>0</v>
      </c>
      <c r="Z202" s="55" t="n">
        <f aca="false">IF(B202="",0,1)</f>
        <v>0</v>
      </c>
    </row>
    <row r="203" customFormat="false" ht="15" hidden="false" customHeight="false" outlineLevel="0" collapsed="false">
      <c r="B203" s="56"/>
      <c r="C203" s="57"/>
      <c r="D203" s="58"/>
      <c r="E203" s="57"/>
      <c r="F203" s="57"/>
      <c r="G203" s="57"/>
      <c r="H203" s="59"/>
      <c r="I203" s="60" t="str">
        <f aca="false">IF(B203="","",C203+IF(D203="",0,D203/60*Settings!$C$7)+E203+F203+Settings!$C$8)</f>
        <v/>
      </c>
      <c r="J203" s="60" t="str">
        <f aca="false">IF(B203="","",MAX(0,($I203+(Settings!$C$12+Settings!$C$13)-$G203*(1-(Settings!$C$10+Settings!$C$11+IF(Settings!$C$15="Yes / Sí",Settings!$C$14,0))))/(1-(Settings!$C$10+Settings!$C$11+IF(Settings!$C$15="Yes / Sí",Settings!$C$14,0)))))</f>
        <v/>
      </c>
      <c r="K203" s="60" t="str">
        <f aca="false">IF(B203="","",IF(1-(Settings!$C$10+Settings!$C$11+IF(Settings!$C$15="Yes / Sí",Settings!$C$14,0))-IF(H203="",Settings!$C$9,H203)&lt;=0,0,MAX(0,IF(Settings!$C$16="Yes / Sí",IF(ROUNDUP(($I203+(Settings!$C$12+Settings!$C$13)-$G203*(1-(Settings!$C$10+Settings!$C$11+IF(Settings!$C$15="Yes / Sí",Settings!$C$14,0))))/(1-(Settings!$C$10+Settings!$C$11+IF(Settings!$C$15="Yes / Sí",Settings!$C$14,0))-IF(H203="",Settings!$C$9,H203)),0)-0.01&gt;=($I203+(Settings!$C$12+Settings!$C$13)-$G203*(1-(Settings!$C$10+Settings!$C$11+IF(Settings!$C$15="Yes / Sí",Settings!$C$14,0))))/(1-(Settings!$C$10+Settings!$C$11+IF(Settings!$C$15="Yes / Sí",Settings!$C$14,0))-IF(H203="",Settings!$C$9,H203)),ROUNDUP(($I203+(Settings!$C$12+Settings!$C$13)-$G203*(1-(Settings!$C$10+Settings!$C$11+IF(Settings!$C$15="Yes / Sí",Settings!$C$14,0))))/(1-(Settings!$C$10+Settings!$C$11+IF(Settings!$C$15="Yes / Sí",Settings!$C$14,0))-IF(H203="",Settings!$C$9,H203)),0)-0.01,ROUNDUP(($I203+(Settings!$C$12+Settings!$C$13)-$G203*(1-(Settings!$C$10+Settings!$C$11+IF(Settings!$C$15="Yes / Sí",Settings!$C$14,0))))/(1-(Settings!$C$10+Settings!$C$11+IF(Settings!$C$15="Yes / Sí",Settings!$C$14,0))-IF(H203="",Settings!$C$9,H203)),0)+0.99),ROUNDUP(($I203+(Settings!$C$12+Settings!$C$13)-$G203*(1-(Settings!$C$10+Settings!$C$11+IF(Settings!$C$15="Yes / Sí",Settings!$C$14,0))))/(1-(Settings!$C$10+Settings!$C$11+IF(Settings!$C$15="Yes / Sí",Settings!$C$14,0))-IF(H203="",Settings!$C$9,H203)),2)))))</f>
        <v/>
      </c>
      <c r="L203" s="60" t="str">
        <f aca="false">IF(OR(B203="",K203=0),"",(K203+$G203-((K203+$G203)*(Settings!$C$10+Settings!$C$11+IF(Settings!$C$15="Yes / Sí",Settings!$C$14,0))+(Settings!$C$12+Settings!$C$13))-$I203))</f>
        <v/>
      </c>
      <c r="M203" s="57"/>
      <c r="N203" s="60" t="str">
        <f aca="false">IF(OR(B203="",M203=""),"",((M203+$G203)*(Settings!$C$10+Settings!$C$11+IF(Settings!$C$15="Yes / Sí",Settings!$C$14,0))+(Settings!$C$12+Settings!$C$13)))</f>
        <v/>
      </c>
      <c r="O203" s="60" t="str">
        <f aca="false">IF(OR(B203="",M203=""),"",(M203+$G203-((M203+$G203)*(Settings!$C$10+Settings!$C$11+IF(Settings!$C$15="Yes / Sí",Settings!$C$14,0))+(Settings!$C$12+Settings!$C$13))-$I203))</f>
        <v/>
      </c>
      <c r="P203" s="61" t="str">
        <f aca="false">IF(O203="","",IF(M203=0,0,O203/M203))</f>
        <v/>
      </c>
      <c r="Q203" s="60" t="str">
        <f aca="false">IF(OR(O203="",D203="",D203=0),"",(O203+D203/60*Settings!$C$7)/(D203/60))</f>
        <v/>
      </c>
      <c r="R203" s="62" t="str">
        <f aca="false">IF(B203="","",IF(M203="","Enter your price / Escribe tu precio",IF(O203&lt;0,"⚠ LOSING MONEY / PIERDES",IF(P203&lt;IF(H203="",Settings!$C$9,H203),"● BELOW TARGET / DEBAJO","✔ ON TARGET / EN OBJETIVO"))))</f>
        <v/>
      </c>
      <c r="T203" s="55" t="n">
        <f aca="false">IF(B203="",0,IF(M203="",0,1))</f>
        <v>0</v>
      </c>
      <c r="U203" s="55" t="n">
        <f aca="false">IF(T203=1,P203,0)</f>
        <v>0</v>
      </c>
      <c r="V203" s="55" t="n">
        <f aca="false">IF(T203=1,IF(O203&lt;0,0,IF(P203&lt;IF(H203="",Settings!$C$9,H203),1,0)),0)</f>
        <v>0</v>
      </c>
      <c r="W203" s="55" t="n">
        <f aca="false">IF(T203=1,IF(O203&lt;0,1,0),0)</f>
        <v>0</v>
      </c>
      <c r="X203" s="55" t="n">
        <f aca="false">IF(T203=1,M203,0)</f>
        <v>0</v>
      </c>
      <c r="Y203" s="55" t="n">
        <f aca="false">IF(T203=1,O203,0)</f>
        <v>0</v>
      </c>
      <c r="Z203" s="55" t="n">
        <f aca="false">IF(B203="",0,1)</f>
        <v>0</v>
      </c>
    </row>
    <row r="204" customFormat="false" ht="15" hidden="false" customHeight="false" outlineLevel="0" collapsed="false">
      <c r="B204" s="56"/>
      <c r="C204" s="57"/>
      <c r="D204" s="58"/>
      <c r="E204" s="57"/>
      <c r="F204" s="57"/>
      <c r="G204" s="57"/>
      <c r="H204" s="59"/>
      <c r="I204" s="60" t="str">
        <f aca="false">IF(B204="","",C204+IF(D204="",0,D204/60*Settings!$C$7)+E204+F204+Settings!$C$8)</f>
        <v/>
      </c>
      <c r="J204" s="60" t="str">
        <f aca="false">IF(B204="","",MAX(0,($I204+(Settings!$C$12+Settings!$C$13)-$G204*(1-(Settings!$C$10+Settings!$C$11+IF(Settings!$C$15="Yes / Sí",Settings!$C$14,0))))/(1-(Settings!$C$10+Settings!$C$11+IF(Settings!$C$15="Yes / Sí",Settings!$C$14,0)))))</f>
        <v/>
      </c>
      <c r="K204" s="60" t="str">
        <f aca="false">IF(B204="","",IF(1-(Settings!$C$10+Settings!$C$11+IF(Settings!$C$15="Yes / Sí",Settings!$C$14,0))-IF(H204="",Settings!$C$9,H204)&lt;=0,0,MAX(0,IF(Settings!$C$16="Yes / Sí",IF(ROUNDUP(($I204+(Settings!$C$12+Settings!$C$13)-$G204*(1-(Settings!$C$10+Settings!$C$11+IF(Settings!$C$15="Yes / Sí",Settings!$C$14,0))))/(1-(Settings!$C$10+Settings!$C$11+IF(Settings!$C$15="Yes / Sí",Settings!$C$14,0))-IF(H204="",Settings!$C$9,H204)),0)-0.01&gt;=($I204+(Settings!$C$12+Settings!$C$13)-$G204*(1-(Settings!$C$10+Settings!$C$11+IF(Settings!$C$15="Yes / Sí",Settings!$C$14,0))))/(1-(Settings!$C$10+Settings!$C$11+IF(Settings!$C$15="Yes / Sí",Settings!$C$14,0))-IF(H204="",Settings!$C$9,H204)),ROUNDUP(($I204+(Settings!$C$12+Settings!$C$13)-$G204*(1-(Settings!$C$10+Settings!$C$11+IF(Settings!$C$15="Yes / Sí",Settings!$C$14,0))))/(1-(Settings!$C$10+Settings!$C$11+IF(Settings!$C$15="Yes / Sí",Settings!$C$14,0))-IF(H204="",Settings!$C$9,H204)),0)-0.01,ROUNDUP(($I204+(Settings!$C$12+Settings!$C$13)-$G204*(1-(Settings!$C$10+Settings!$C$11+IF(Settings!$C$15="Yes / Sí",Settings!$C$14,0))))/(1-(Settings!$C$10+Settings!$C$11+IF(Settings!$C$15="Yes / Sí",Settings!$C$14,0))-IF(H204="",Settings!$C$9,H204)),0)+0.99),ROUNDUP(($I204+(Settings!$C$12+Settings!$C$13)-$G204*(1-(Settings!$C$10+Settings!$C$11+IF(Settings!$C$15="Yes / Sí",Settings!$C$14,0))))/(1-(Settings!$C$10+Settings!$C$11+IF(Settings!$C$15="Yes / Sí",Settings!$C$14,0))-IF(H204="",Settings!$C$9,H204)),2)))))</f>
        <v/>
      </c>
      <c r="L204" s="60" t="str">
        <f aca="false">IF(OR(B204="",K204=0),"",(K204+$G204-((K204+$G204)*(Settings!$C$10+Settings!$C$11+IF(Settings!$C$15="Yes / Sí",Settings!$C$14,0))+(Settings!$C$12+Settings!$C$13))-$I204))</f>
        <v/>
      </c>
      <c r="M204" s="57"/>
      <c r="N204" s="60" t="str">
        <f aca="false">IF(OR(B204="",M204=""),"",((M204+$G204)*(Settings!$C$10+Settings!$C$11+IF(Settings!$C$15="Yes / Sí",Settings!$C$14,0))+(Settings!$C$12+Settings!$C$13)))</f>
        <v/>
      </c>
      <c r="O204" s="60" t="str">
        <f aca="false">IF(OR(B204="",M204=""),"",(M204+$G204-((M204+$G204)*(Settings!$C$10+Settings!$C$11+IF(Settings!$C$15="Yes / Sí",Settings!$C$14,0))+(Settings!$C$12+Settings!$C$13))-$I204))</f>
        <v/>
      </c>
      <c r="P204" s="61" t="str">
        <f aca="false">IF(O204="","",IF(M204=0,0,O204/M204))</f>
        <v/>
      </c>
      <c r="Q204" s="60" t="str">
        <f aca="false">IF(OR(O204="",D204="",D204=0),"",(O204+D204/60*Settings!$C$7)/(D204/60))</f>
        <v/>
      </c>
      <c r="R204" s="62" t="str">
        <f aca="false">IF(B204="","",IF(M204="","Enter your price / Escribe tu precio",IF(O204&lt;0,"⚠ LOSING MONEY / PIERDES",IF(P204&lt;IF(H204="",Settings!$C$9,H204),"● BELOW TARGET / DEBAJO","✔ ON TARGET / EN OBJETIVO"))))</f>
        <v/>
      </c>
      <c r="T204" s="55" t="n">
        <f aca="false">IF(B204="",0,IF(M204="",0,1))</f>
        <v>0</v>
      </c>
      <c r="U204" s="55" t="n">
        <f aca="false">IF(T204=1,P204,0)</f>
        <v>0</v>
      </c>
      <c r="V204" s="55" t="n">
        <f aca="false">IF(T204=1,IF(O204&lt;0,0,IF(P204&lt;IF(H204="",Settings!$C$9,H204),1,0)),0)</f>
        <v>0</v>
      </c>
      <c r="W204" s="55" t="n">
        <f aca="false">IF(T204=1,IF(O204&lt;0,1,0),0)</f>
        <v>0</v>
      </c>
      <c r="X204" s="55" t="n">
        <f aca="false">IF(T204=1,M204,0)</f>
        <v>0</v>
      </c>
      <c r="Y204" s="55" t="n">
        <f aca="false">IF(T204=1,O204,0)</f>
        <v>0</v>
      </c>
      <c r="Z204" s="55" t="n">
        <f aca="false">IF(B204="",0,1)</f>
        <v>0</v>
      </c>
    </row>
    <row r="205" customFormat="false" ht="15" hidden="false" customHeight="false" outlineLevel="0" collapsed="false">
      <c r="B205" s="56"/>
      <c r="C205" s="57"/>
      <c r="D205" s="58"/>
      <c r="E205" s="57"/>
      <c r="F205" s="57"/>
      <c r="G205" s="57"/>
      <c r="H205" s="59"/>
      <c r="I205" s="60" t="str">
        <f aca="false">IF(B205="","",C205+IF(D205="",0,D205/60*Settings!$C$7)+E205+F205+Settings!$C$8)</f>
        <v/>
      </c>
      <c r="J205" s="60" t="str">
        <f aca="false">IF(B205="","",MAX(0,($I205+(Settings!$C$12+Settings!$C$13)-$G205*(1-(Settings!$C$10+Settings!$C$11+IF(Settings!$C$15="Yes / Sí",Settings!$C$14,0))))/(1-(Settings!$C$10+Settings!$C$11+IF(Settings!$C$15="Yes / Sí",Settings!$C$14,0)))))</f>
        <v/>
      </c>
      <c r="K205" s="60" t="str">
        <f aca="false">IF(B205="","",IF(1-(Settings!$C$10+Settings!$C$11+IF(Settings!$C$15="Yes / Sí",Settings!$C$14,0))-IF(H205="",Settings!$C$9,H205)&lt;=0,0,MAX(0,IF(Settings!$C$16="Yes / Sí",IF(ROUNDUP(($I205+(Settings!$C$12+Settings!$C$13)-$G205*(1-(Settings!$C$10+Settings!$C$11+IF(Settings!$C$15="Yes / Sí",Settings!$C$14,0))))/(1-(Settings!$C$10+Settings!$C$11+IF(Settings!$C$15="Yes / Sí",Settings!$C$14,0))-IF(H205="",Settings!$C$9,H205)),0)-0.01&gt;=($I205+(Settings!$C$12+Settings!$C$13)-$G205*(1-(Settings!$C$10+Settings!$C$11+IF(Settings!$C$15="Yes / Sí",Settings!$C$14,0))))/(1-(Settings!$C$10+Settings!$C$11+IF(Settings!$C$15="Yes / Sí",Settings!$C$14,0))-IF(H205="",Settings!$C$9,H205)),ROUNDUP(($I205+(Settings!$C$12+Settings!$C$13)-$G205*(1-(Settings!$C$10+Settings!$C$11+IF(Settings!$C$15="Yes / Sí",Settings!$C$14,0))))/(1-(Settings!$C$10+Settings!$C$11+IF(Settings!$C$15="Yes / Sí",Settings!$C$14,0))-IF(H205="",Settings!$C$9,H205)),0)-0.01,ROUNDUP(($I205+(Settings!$C$12+Settings!$C$13)-$G205*(1-(Settings!$C$10+Settings!$C$11+IF(Settings!$C$15="Yes / Sí",Settings!$C$14,0))))/(1-(Settings!$C$10+Settings!$C$11+IF(Settings!$C$15="Yes / Sí",Settings!$C$14,0))-IF(H205="",Settings!$C$9,H205)),0)+0.99),ROUNDUP(($I205+(Settings!$C$12+Settings!$C$13)-$G205*(1-(Settings!$C$10+Settings!$C$11+IF(Settings!$C$15="Yes / Sí",Settings!$C$14,0))))/(1-(Settings!$C$10+Settings!$C$11+IF(Settings!$C$15="Yes / Sí",Settings!$C$14,0))-IF(H205="",Settings!$C$9,H205)),2)))))</f>
        <v/>
      </c>
      <c r="L205" s="60" t="str">
        <f aca="false">IF(OR(B205="",K205=0),"",(K205+$G205-((K205+$G205)*(Settings!$C$10+Settings!$C$11+IF(Settings!$C$15="Yes / Sí",Settings!$C$14,0))+(Settings!$C$12+Settings!$C$13))-$I205))</f>
        <v/>
      </c>
      <c r="M205" s="57"/>
      <c r="N205" s="60" t="str">
        <f aca="false">IF(OR(B205="",M205=""),"",((M205+$G205)*(Settings!$C$10+Settings!$C$11+IF(Settings!$C$15="Yes / Sí",Settings!$C$14,0))+(Settings!$C$12+Settings!$C$13)))</f>
        <v/>
      </c>
      <c r="O205" s="60" t="str">
        <f aca="false">IF(OR(B205="",M205=""),"",(M205+$G205-((M205+$G205)*(Settings!$C$10+Settings!$C$11+IF(Settings!$C$15="Yes / Sí",Settings!$C$14,0))+(Settings!$C$12+Settings!$C$13))-$I205))</f>
        <v/>
      </c>
      <c r="P205" s="61" t="str">
        <f aca="false">IF(O205="","",IF(M205=0,0,O205/M205))</f>
        <v/>
      </c>
      <c r="Q205" s="60" t="str">
        <f aca="false">IF(OR(O205="",D205="",D205=0),"",(O205+D205/60*Settings!$C$7)/(D205/60))</f>
        <v/>
      </c>
      <c r="R205" s="62" t="str">
        <f aca="false">IF(B205="","",IF(M205="","Enter your price / Escribe tu precio",IF(O205&lt;0,"⚠ LOSING MONEY / PIERDES",IF(P205&lt;IF(H205="",Settings!$C$9,H205),"● BELOW TARGET / DEBAJO","✔ ON TARGET / EN OBJETIVO"))))</f>
        <v/>
      </c>
      <c r="T205" s="55" t="n">
        <f aca="false">IF(B205="",0,IF(M205="",0,1))</f>
        <v>0</v>
      </c>
      <c r="U205" s="55" t="n">
        <f aca="false">IF(T205=1,P205,0)</f>
        <v>0</v>
      </c>
      <c r="V205" s="55" t="n">
        <f aca="false">IF(T205=1,IF(O205&lt;0,0,IF(P205&lt;IF(H205="",Settings!$C$9,H205),1,0)),0)</f>
        <v>0</v>
      </c>
      <c r="W205" s="55" t="n">
        <f aca="false">IF(T205=1,IF(O205&lt;0,1,0),0)</f>
        <v>0</v>
      </c>
      <c r="X205" s="55" t="n">
        <f aca="false">IF(T205=1,M205,0)</f>
        <v>0</v>
      </c>
      <c r="Y205" s="55" t="n">
        <f aca="false">IF(T205=1,O205,0)</f>
        <v>0</v>
      </c>
      <c r="Z205" s="55" t="n">
        <f aca="false">IF(B205="",0,1)</f>
        <v>0</v>
      </c>
    </row>
    <row r="206" customFormat="false" ht="15" hidden="false" customHeight="false" outlineLevel="0" collapsed="false">
      <c r="B206" s="56"/>
      <c r="C206" s="57"/>
      <c r="D206" s="58"/>
      <c r="E206" s="57"/>
      <c r="F206" s="57"/>
      <c r="G206" s="57"/>
      <c r="H206" s="59"/>
      <c r="I206" s="60" t="str">
        <f aca="false">IF(B206="","",C206+IF(D206="",0,D206/60*Settings!$C$7)+E206+F206+Settings!$C$8)</f>
        <v/>
      </c>
      <c r="J206" s="60" t="str">
        <f aca="false">IF(B206="","",MAX(0,($I206+(Settings!$C$12+Settings!$C$13)-$G206*(1-(Settings!$C$10+Settings!$C$11+IF(Settings!$C$15="Yes / Sí",Settings!$C$14,0))))/(1-(Settings!$C$10+Settings!$C$11+IF(Settings!$C$15="Yes / Sí",Settings!$C$14,0)))))</f>
        <v/>
      </c>
      <c r="K206" s="60" t="str">
        <f aca="false">IF(B206="","",IF(1-(Settings!$C$10+Settings!$C$11+IF(Settings!$C$15="Yes / Sí",Settings!$C$14,0))-IF(H206="",Settings!$C$9,H206)&lt;=0,0,MAX(0,IF(Settings!$C$16="Yes / Sí",IF(ROUNDUP(($I206+(Settings!$C$12+Settings!$C$13)-$G206*(1-(Settings!$C$10+Settings!$C$11+IF(Settings!$C$15="Yes / Sí",Settings!$C$14,0))))/(1-(Settings!$C$10+Settings!$C$11+IF(Settings!$C$15="Yes / Sí",Settings!$C$14,0))-IF(H206="",Settings!$C$9,H206)),0)-0.01&gt;=($I206+(Settings!$C$12+Settings!$C$13)-$G206*(1-(Settings!$C$10+Settings!$C$11+IF(Settings!$C$15="Yes / Sí",Settings!$C$14,0))))/(1-(Settings!$C$10+Settings!$C$11+IF(Settings!$C$15="Yes / Sí",Settings!$C$14,0))-IF(H206="",Settings!$C$9,H206)),ROUNDUP(($I206+(Settings!$C$12+Settings!$C$13)-$G206*(1-(Settings!$C$10+Settings!$C$11+IF(Settings!$C$15="Yes / Sí",Settings!$C$14,0))))/(1-(Settings!$C$10+Settings!$C$11+IF(Settings!$C$15="Yes / Sí",Settings!$C$14,0))-IF(H206="",Settings!$C$9,H206)),0)-0.01,ROUNDUP(($I206+(Settings!$C$12+Settings!$C$13)-$G206*(1-(Settings!$C$10+Settings!$C$11+IF(Settings!$C$15="Yes / Sí",Settings!$C$14,0))))/(1-(Settings!$C$10+Settings!$C$11+IF(Settings!$C$15="Yes / Sí",Settings!$C$14,0))-IF(H206="",Settings!$C$9,H206)),0)+0.99),ROUNDUP(($I206+(Settings!$C$12+Settings!$C$13)-$G206*(1-(Settings!$C$10+Settings!$C$11+IF(Settings!$C$15="Yes / Sí",Settings!$C$14,0))))/(1-(Settings!$C$10+Settings!$C$11+IF(Settings!$C$15="Yes / Sí",Settings!$C$14,0))-IF(H206="",Settings!$C$9,H206)),2)))))</f>
        <v/>
      </c>
      <c r="L206" s="60" t="str">
        <f aca="false">IF(OR(B206="",K206=0),"",(K206+$G206-((K206+$G206)*(Settings!$C$10+Settings!$C$11+IF(Settings!$C$15="Yes / Sí",Settings!$C$14,0))+(Settings!$C$12+Settings!$C$13))-$I206))</f>
        <v/>
      </c>
      <c r="M206" s="57"/>
      <c r="N206" s="60" t="str">
        <f aca="false">IF(OR(B206="",M206=""),"",((M206+$G206)*(Settings!$C$10+Settings!$C$11+IF(Settings!$C$15="Yes / Sí",Settings!$C$14,0))+(Settings!$C$12+Settings!$C$13)))</f>
        <v/>
      </c>
      <c r="O206" s="60" t="str">
        <f aca="false">IF(OR(B206="",M206=""),"",(M206+$G206-((M206+$G206)*(Settings!$C$10+Settings!$C$11+IF(Settings!$C$15="Yes / Sí",Settings!$C$14,0))+(Settings!$C$12+Settings!$C$13))-$I206))</f>
        <v/>
      </c>
      <c r="P206" s="61" t="str">
        <f aca="false">IF(O206="","",IF(M206=0,0,O206/M206))</f>
        <v/>
      </c>
      <c r="Q206" s="60" t="str">
        <f aca="false">IF(OR(O206="",D206="",D206=0),"",(O206+D206/60*Settings!$C$7)/(D206/60))</f>
        <v/>
      </c>
      <c r="R206" s="62" t="str">
        <f aca="false">IF(B206="","",IF(M206="","Enter your price / Escribe tu precio",IF(O206&lt;0,"⚠ LOSING MONEY / PIERDES",IF(P206&lt;IF(H206="",Settings!$C$9,H206),"● BELOW TARGET / DEBAJO","✔ ON TARGET / EN OBJETIVO"))))</f>
        <v/>
      </c>
      <c r="T206" s="55" t="n">
        <f aca="false">IF(B206="",0,IF(M206="",0,1))</f>
        <v>0</v>
      </c>
      <c r="U206" s="55" t="n">
        <f aca="false">IF(T206=1,P206,0)</f>
        <v>0</v>
      </c>
      <c r="V206" s="55" t="n">
        <f aca="false">IF(T206=1,IF(O206&lt;0,0,IF(P206&lt;IF(H206="",Settings!$C$9,H206),1,0)),0)</f>
        <v>0</v>
      </c>
      <c r="W206" s="55" t="n">
        <f aca="false">IF(T206=1,IF(O206&lt;0,1,0),0)</f>
        <v>0</v>
      </c>
      <c r="X206" s="55" t="n">
        <f aca="false">IF(T206=1,M206,0)</f>
        <v>0</v>
      </c>
      <c r="Y206" s="55" t="n">
        <f aca="false">IF(T206=1,O206,0)</f>
        <v>0</v>
      </c>
      <c r="Z206" s="55" t="n">
        <f aca="false">IF(B206="",0,1)</f>
        <v>0</v>
      </c>
    </row>
    <row r="207" customFormat="false" ht="15" hidden="false" customHeight="false" outlineLevel="0" collapsed="false">
      <c r="B207" s="56"/>
      <c r="C207" s="57"/>
      <c r="D207" s="58"/>
      <c r="E207" s="57"/>
      <c r="F207" s="57"/>
      <c r="G207" s="57"/>
      <c r="H207" s="59"/>
      <c r="I207" s="60" t="str">
        <f aca="false">IF(B207="","",C207+IF(D207="",0,D207/60*Settings!$C$7)+E207+F207+Settings!$C$8)</f>
        <v/>
      </c>
      <c r="J207" s="60" t="str">
        <f aca="false">IF(B207="","",MAX(0,($I207+(Settings!$C$12+Settings!$C$13)-$G207*(1-(Settings!$C$10+Settings!$C$11+IF(Settings!$C$15="Yes / Sí",Settings!$C$14,0))))/(1-(Settings!$C$10+Settings!$C$11+IF(Settings!$C$15="Yes / Sí",Settings!$C$14,0)))))</f>
        <v/>
      </c>
      <c r="K207" s="60" t="str">
        <f aca="false">IF(B207="","",IF(1-(Settings!$C$10+Settings!$C$11+IF(Settings!$C$15="Yes / Sí",Settings!$C$14,0))-IF(H207="",Settings!$C$9,H207)&lt;=0,0,MAX(0,IF(Settings!$C$16="Yes / Sí",IF(ROUNDUP(($I207+(Settings!$C$12+Settings!$C$13)-$G207*(1-(Settings!$C$10+Settings!$C$11+IF(Settings!$C$15="Yes / Sí",Settings!$C$14,0))))/(1-(Settings!$C$10+Settings!$C$11+IF(Settings!$C$15="Yes / Sí",Settings!$C$14,0))-IF(H207="",Settings!$C$9,H207)),0)-0.01&gt;=($I207+(Settings!$C$12+Settings!$C$13)-$G207*(1-(Settings!$C$10+Settings!$C$11+IF(Settings!$C$15="Yes / Sí",Settings!$C$14,0))))/(1-(Settings!$C$10+Settings!$C$11+IF(Settings!$C$15="Yes / Sí",Settings!$C$14,0))-IF(H207="",Settings!$C$9,H207)),ROUNDUP(($I207+(Settings!$C$12+Settings!$C$13)-$G207*(1-(Settings!$C$10+Settings!$C$11+IF(Settings!$C$15="Yes / Sí",Settings!$C$14,0))))/(1-(Settings!$C$10+Settings!$C$11+IF(Settings!$C$15="Yes / Sí",Settings!$C$14,0))-IF(H207="",Settings!$C$9,H207)),0)-0.01,ROUNDUP(($I207+(Settings!$C$12+Settings!$C$13)-$G207*(1-(Settings!$C$10+Settings!$C$11+IF(Settings!$C$15="Yes / Sí",Settings!$C$14,0))))/(1-(Settings!$C$10+Settings!$C$11+IF(Settings!$C$15="Yes / Sí",Settings!$C$14,0))-IF(H207="",Settings!$C$9,H207)),0)+0.99),ROUNDUP(($I207+(Settings!$C$12+Settings!$C$13)-$G207*(1-(Settings!$C$10+Settings!$C$11+IF(Settings!$C$15="Yes / Sí",Settings!$C$14,0))))/(1-(Settings!$C$10+Settings!$C$11+IF(Settings!$C$15="Yes / Sí",Settings!$C$14,0))-IF(H207="",Settings!$C$9,H207)),2)))))</f>
        <v/>
      </c>
      <c r="L207" s="60" t="str">
        <f aca="false">IF(OR(B207="",K207=0),"",(K207+$G207-((K207+$G207)*(Settings!$C$10+Settings!$C$11+IF(Settings!$C$15="Yes / Sí",Settings!$C$14,0))+(Settings!$C$12+Settings!$C$13))-$I207))</f>
        <v/>
      </c>
      <c r="M207" s="57"/>
      <c r="N207" s="60" t="str">
        <f aca="false">IF(OR(B207="",M207=""),"",((M207+$G207)*(Settings!$C$10+Settings!$C$11+IF(Settings!$C$15="Yes / Sí",Settings!$C$14,0))+(Settings!$C$12+Settings!$C$13)))</f>
        <v/>
      </c>
      <c r="O207" s="60" t="str">
        <f aca="false">IF(OR(B207="",M207=""),"",(M207+$G207-((M207+$G207)*(Settings!$C$10+Settings!$C$11+IF(Settings!$C$15="Yes / Sí",Settings!$C$14,0))+(Settings!$C$12+Settings!$C$13))-$I207))</f>
        <v/>
      </c>
      <c r="P207" s="61" t="str">
        <f aca="false">IF(O207="","",IF(M207=0,0,O207/M207))</f>
        <v/>
      </c>
      <c r="Q207" s="60" t="str">
        <f aca="false">IF(OR(O207="",D207="",D207=0),"",(O207+D207/60*Settings!$C$7)/(D207/60))</f>
        <v/>
      </c>
      <c r="R207" s="62" t="str">
        <f aca="false">IF(B207="","",IF(M207="","Enter your price / Escribe tu precio",IF(O207&lt;0,"⚠ LOSING MONEY / PIERDES",IF(P207&lt;IF(H207="",Settings!$C$9,H207),"● BELOW TARGET / DEBAJO","✔ ON TARGET / EN OBJETIVO"))))</f>
        <v/>
      </c>
      <c r="T207" s="55" t="n">
        <f aca="false">IF(B207="",0,IF(M207="",0,1))</f>
        <v>0</v>
      </c>
      <c r="U207" s="55" t="n">
        <f aca="false">IF(T207=1,P207,0)</f>
        <v>0</v>
      </c>
      <c r="V207" s="55" t="n">
        <f aca="false">IF(T207=1,IF(O207&lt;0,0,IF(P207&lt;IF(H207="",Settings!$C$9,H207),1,0)),0)</f>
        <v>0</v>
      </c>
      <c r="W207" s="55" t="n">
        <f aca="false">IF(T207=1,IF(O207&lt;0,1,0),0)</f>
        <v>0</v>
      </c>
      <c r="X207" s="55" t="n">
        <f aca="false">IF(T207=1,M207,0)</f>
        <v>0</v>
      </c>
      <c r="Y207" s="55" t="n">
        <f aca="false">IF(T207=1,O207,0)</f>
        <v>0</v>
      </c>
      <c r="Z207" s="55" t="n">
        <f aca="false">IF(B207="",0,1)</f>
        <v>0</v>
      </c>
    </row>
    <row r="208" customFormat="false" ht="15" hidden="false" customHeight="false" outlineLevel="0" collapsed="false">
      <c r="B208" s="56"/>
      <c r="C208" s="57"/>
      <c r="D208" s="58"/>
      <c r="E208" s="57"/>
      <c r="F208" s="57"/>
      <c r="G208" s="57"/>
      <c r="H208" s="59"/>
      <c r="I208" s="60" t="str">
        <f aca="false">IF(B208="","",C208+IF(D208="",0,D208/60*Settings!$C$7)+E208+F208+Settings!$C$8)</f>
        <v/>
      </c>
      <c r="J208" s="60" t="str">
        <f aca="false">IF(B208="","",MAX(0,($I208+(Settings!$C$12+Settings!$C$13)-$G208*(1-(Settings!$C$10+Settings!$C$11+IF(Settings!$C$15="Yes / Sí",Settings!$C$14,0))))/(1-(Settings!$C$10+Settings!$C$11+IF(Settings!$C$15="Yes / Sí",Settings!$C$14,0)))))</f>
        <v/>
      </c>
      <c r="K208" s="60" t="str">
        <f aca="false">IF(B208="","",IF(1-(Settings!$C$10+Settings!$C$11+IF(Settings!$C$15="Yes / Sí",Settings!$C$14,0))-IF(H208="",Settings!$C$9,H208)&lt;=0,0,MAX(0,IF(Settings!$C$16="Yes / Sí",IF(ROUNDUP(($I208+(Settings!$C$12+Settings!$C$13)-$G208*(1-(Settings!$C$10+Settings!$C$11+IF(Settings!$C$15="Yes / Sí",Settings!$C$14,0))))/(1-(Settings!$C$10+Settings!$C$11+IF(Settings!$C$15="Yes / Sí",Settings!$C$14,0))-IF(H208="",Settings!$C$9,H208)),0)-0.01&gt;=($I208+(Settings!$C$12+Settings!$C$13)-$G208*(1-(Settings!$C$10+Settings!$C$11+IF(Settings!$C$15="Yes / Sí",Settings!$C$14,0))))/(1-(Settings!$C$10+Settings!$C$11+IF(Settings!$C$15="Yes / Sí",Settings!$C$14,0))-IF(H208="",Settings!$C$9,H208)),ROUNDUP(($I208+(Settings!$C$12+Settings!$C$13)-$G208*(1-(Settings!$C$10+Settings!$C$11+IF(Settings!$C$15="Yes / Sí",Settings!$C$14,0))))/(1-(Settings!$C$10+Settings!$C$11+IF(Settings!$C$15="Yes / Sí",Settings!$C$14,0))-IF(H208="",Settings!$C$9,H208)),0)-0.01,ROUNDUP(($I208+(Settings!$C$12+Settings!$C$13)-$G208*(1-(Settings!$C$10+Settings!$C$11+IF(Settings!$C$15="Yes / Sí",Settings!$C$14,0))))/(1-(Settings!$C$10+Settings!$C$11+IF(Settings!$C$15="Yes / Sí",Settings!$C$14,0))-IF(H208="",Settings!$C$9,H208)),0)+0.99),ROUNDUP(($I208+(Settings!$C$12+Settings!$C$13)-$G208*(1-(Settings!$C$10+Settings!$C$11+IF(Settings!$C$15="Yes / Sí",Settings!$C$14,0))))/(1-(Settings!$C$10+Settings!$C$11+IF(Settings!$C$15="Yes / Sí",Settings!$C$14,0))-IF(H208="",Settings!$C$9,H208)),2)))))</f>
        <v/>
      </c>
      <c r="L208" s="60" t="str">
        <f aca="false">IF(OR(B208="",K208=0),"",(K208+$G208-((K208+$G208)*(Settings!$C$10+Settings!$C$11+IF(Settings!$C$15="Yes / Sí",Settings!$C$14,0))+(Settings!$C$12+Settings!$C$13))-$I208))</f>
        <v/>
      </c>
      <c r="M208" s="57"/>
      <c r="N208" s="60" t="str">
        <f aca="false">IF(OR(B208="",M208=""),"",((M208+$G208)*(Settings!$C$10+Settings!$C$11+IF(Settings!$C$15="Yes / Sí",Settings!$C$14,0))+(Settings!$C$12+Settings!$C$13)))</f>
        <v/>
      </c>
      <c r="O208" s="60" t="str">
        <f aca="false">IF(OR(B208="",M208=""),"",(M208+$G208-((M208+$G208)*(Settings!$C$10+Settings!$C$11+IF(Settings!$C$15="Yes / Sí",Settings!$C$14,0))+(Settings!$C$12+Settings!$C$13))-$I208))</f>
        <v/>
      </c>
      <c r="P208" s="61" t="str">
        <f aca="false">IF(O208="","",IF(M208=0,0,O208/M208))</f>
        <v/>
      </c>
      <c r="Q208" s="60" t="str">
        <f aca="false">IF(OR(O208="",D208="",D208=0),"",(O208+D208/60*Settings!$C$7)/(D208/60))</f>
        <v/>
      </c>
      <c r="R208" s="62" t="str">
        <f aca="false">IF(B208="","",IF(M208="","Enter your price / Escribe tu precio",IF(O208&lt;0,"⚠ LOSING MONEY / PIERDES",IF(P208&lt;IF(H208="",Settings!$C$9,H208),"● BELOW TARGET / DEBAJO","✔ ON TARGET / EN OBJETIVO"))))</f>
        <v/>
      </c>
      <c r="T208" s="55" t="n">
        <f aca="false">IF(B208="",0,IF(M208="",0,1))</f>
        <v>0</v>
      </c>
      <c r="U208" s="55" t="n">
        <f aca="false">IF(T208=1,P208,0)</f>
        <v>0</v>
      </c>
      <c r="V208" s="55" t="n">
        <f aca="false">IF(T208=1,IF(O208&lt;0,0,IF(P208&lt;IF(H208="",Settings!$C$9,H208),1,0)),0)</f>
        <v>0</v>
      </c>
      <c r="W208" s="55" t="n">
        <f aca="false">IF(T208=1,IF(O208&lt;0,1,0),0)</f>
        <v>0</v>
      </c>
      <c r="X208" s="55" t="n">
        <f aca="false">IF(T208=1,M208,0)</f>
        <v>0</v>
      </c>
      <c r="Y208" s="55" t="n">
        <f aca="false">IF(T208=1,O208,0)</f>
        <v>0</v>
      </c>
      <c r="Z208" s="55" t="n">
        <f aca="false">IF(B208="",0,1)</f>
        <v>0</v>
      </c>
    </row>
    <row r="209" customFormat="false" ht="15" hidden="false" customHeight="false" outlineLevel="0" collapsed="false">
      <c r="B209" s="56"/>
      <c r="C209" s="57"/>
      <c r="D209" s="58"/>
      <c r="E209" s="57"/>
      <c r="F209" s="57"/>
      <c r="G209" s="57"/>
      <c r="H209" s="59"/>
      <c r="I209" s="60" t="str">
        <f aca="false">IF(B209="","",C209+IF(D209="",0,D209/60*Settings!$C$7)+E209+F209+Settings!$C$8)</f>
        <v/>
      </c>
      <c r="J209" s="60" t="str">
        <f aca="false">IF(B209="","",MAX(0,($I209+(Settings!$C$12+Settings!$C$13)-$G209*(1-(Settings!$C$10+Settings!$C$11+IF(Settings!$C$15="Yes / Sí",Settings!$C$14,0))))/(1-(Settings!$C$10+Settings!$C$11+IF(Settings!$C$15="Yes / Sí",Settings!$C$14,0)))))</f>
        <v/>
      </c>
      <c r="K209" s="60" t="str">
        <f aca="false">IF(B209="","",IF(1-(Settings!$C$10+Settings!$C$11+IF(Settings!$C$15="Yes / Sí",Settings!$C$14,0))-IF(H209="",Settings!$C$9,H209)&lt;=0,0,MAX(0,IF(Settings!$C$16="Yes / Sí",IF(ROUNDUP(($I209+(Settings!$C$12+Settings!$C$13)-$G209*(1-(Settings!$C$10+Settings!$C$11+IF(Settings!$C$15="Yes / Sí",Settings!$C$14,0))))/(1-(Settings!$C$10+Settings!$C$11+IF(Settings!$C$15="Yes / Sí",Settings!$C$14,0))-IF(H209="",Settings!$C$9,H209)),0)-0.01&gt;=($I209+(Settings!$C$12+Settings!$C$13)-$G209*(1-(Settings!$C$10+Settings!$C$11+IF(Settings!$C$15="Yes / Sí",Settings!$C$14,0))))/(1-(Settings!$C$10+Settings!$C$11+IF(Settings!$C$15="Yes / Sí",Settings!$C$14,0))-IF(H209="",Settings!$C$9,H209)),ROUNDUP(($I209+(Settings!$C$12+Settings!$C$13)-$G209*(1-(Settings!$C$10+Settings!$C$11+IF(Settings!$C$15="Yes / Sí",Settings!$C$14,0))))/(1-(Settings!$C$10+Settings!$C$11+IF(Settings!$C$15="Yes / Sí",Settings!$C$14,0))-IF(H209="",Settings!$C$9,H209)),0)-0.01,ROUNDUP(($I209+(Settings!$C$12+Settings!$C$13)-$G209*(1-(Settings!$C$10+Settings!$C$11+IF(Settings!$C$15="Yes / Sí",Settings!$C$14,0))))/(1-(Settings!$C$10+Settings!$C$11+IF(Settings!$C$15="Yes / Sí",Settings!$C$14,0))-IF(H209="",Settings!$C$9,H209)),0)+0.99),ROUNDUP(($I209+(Settings!$C$12+Settings!$C$13)-$G209*(1-(Settings!$C$10+Settings!$C$11+IF(Settings!$C$15="Yes / Sí",Settings!$C$14,0))))/(1-(Settings!$C$10+Settings!$C$11+IF(Settings!$C$15="Yes / Sí",Settings!$C$14,0))-IF(H209="",Settings!$C$9,H209)),2)))))</f>
        <v/>
      </c>
      <c r="L209" s="60" t="str">
        <f aca="false">IF(OR(B209="",K209=0),"",(K209+$G209-((K209+$G209)*(Settings!$C$10+Settings!$C$11+IF(Settings!$C$15="Yes / Sí",Settings!$C$14,0))+(Settings!$C$12+Settings!$C$13))-$I209))</f>
        <v/>
      </c>
      <c r="M209" s="57"/>
      <c r="N209" s="60" t="str">
        <f aca="false">IF(OR(B209="",M209=""),"",((M209+$G209)*(Settings!$C$10+Settings!$C$11+IF(Settings!$C$15="Yes / Sí",Settings!$C$14,0))+(Settings!$C$12+Settings!$C$13)))</f>
        <v/>
      </c>
      <c r="O209" s="60" t="str">
        <f aca="false">IF(OR(B209="",M209=""),"",(M209+$G209-((M209+$G209)*(Settings!$C$10+Settings!$C$11+IF(Settings!$C$15="Yes / Sí",Settings!$C$14,0))+(Settings!$C$12+Settings!$C$13))-$I209))</f>
        <v/>
      </c>
      <c r="P209" s="61" t="str">
        <f aca="false">IF(O209="","",IF(M209=0,0,O209/M209))</f>
        <v/>
      </c>
      <c r="Q209" s="60" t="str">
        <f aca="false">IF(OR(O209="",D209="",D209=0),"",(O209+D209/60*Settings!$C$7)/(D209/60))</f>
        <v/>
      </c>
      <c r="R209" s="62" t="str">
        <f aca="false">IF(B209="","",IF(M209="","Enter your price / Escribe tu precio",IF(O209&lt;0,"⚠ LOSING MONEY / PIERDES",IF(P209&lt;IF(H209="",Settings!$C$9,H209),"● BELOW TARGET / DEBAJO","✔ ON TARGET / EN OBJETIVO"))))</f>
        <v/>
      </c>
      <c r="T209" s="55" t="n">
        <f aca="false">IF(B209="",0,IF(M209="",0,1))</f>
        <v>0</v>
      </c>
      <c r="U209" s="55" t="n">
        <f aca="false">IF(T209=1,P209,0)</f>
        <v>0</v>
      </c>
      <c r="V209" s="55" t="n">
        <f aca="false">IF(T209=1,IF(O209&lt;0,0,IF(P209&lt;IF(H209="",Settings!$C$9,H209),1,0)),0)</f>
        <v>0</v>
      </c>
      <c r="W209" s="55" t="n">
        <f aca="false">IF(T209=1,IF(O209&lt;0,1,0),0)</f>
        <v>0</v>
      </c>
      <c r="X209" s="55" t="n">
        <f aca="false">IF(T209=1,M209,0)</f>
        <v>0</v>
      </c>
      <c r="Y209" s="55" t="n">
        <f aca="false">IF(T209=1,O209,0)</f>
        <v>0</v>
      </c>
      <c r="Z209" s="55" t="n">
        <f aca="false">IF(B209="",0,1)</f>
        <v>0</v>
      </c>
    </row>
    <row r="210" customFormat="false" ht="15" hidden="false" customHeight="false" outlineLevel="0" collapsed="false">
      <c r="B210" s="56"/>
      <c r="C210" s="57"/>
      <c r="D210" s="58"/>
      <c r="E210" s="57"/>
      <c r="F210" s="57"/>
      <c r="G210" s="57"/>
      <c r="H210" s="59"/>
      <c r="I210" s="60" t="str">
        <f aca="false">IF(B210="","",C210+IF(D210="",0,D210/60*Settings!$C$7)+E210+F210+Settings!$C$8)</f>
        <v/>
      </c>
      <c r="J210" s="60" t="str">
        <f aca="false">IF(B210="","",MAX(0,($I210+(Settings!$C$12+Settings!$C$13)-$G210*(1-(Settings!$C$10+Settings!$C$11+IF(Settings!$C$15="Yes / Sí",Settings!$C$14,0))))/(1-(Settings!$C$10+Settings!$C$11+IF(Settings!$C$15="Yes / Sí",Settings!$C$14,0)))))</f>
        <v/>
      </c>
      <c r="K210" s="60" t="str">
        <f aca="false">IF(B210="","",IF(1-(Settings!$C$10+Settings!$C$11+IF(Settings!$C$15="Yes / Sí",Settings!$C$14,0))-IF(H210="",Settings!$C$9,H210)&lt;=0,0,MAX(0,IF(Settings!$C$16="Yes / Sí",IF(ROUNDUP(($I210+(Settings!$C$12+Settings!$C$13)-$G210*(1-(Settings!$C$10+Settings!$C$11+IF(Settings!$C$15="Yes / Sí",Settings!$C$14,0))))/(1-(Settings!$C$10+Settings!$C$11+IF(Settings!$C$15="Yes / Sí",Settings!$C$14,0))-IF(H210="",Settings!$C$9,H210)),0)-0.01&gt;=($I210+(Settings!$C$12+Settings!$C$13)-$G210*(1-(Settings!$C$10+Settings!$C$11+IF(Settings!$C$15="Yes / Sí",Settings!$C$14,0))))/(1-(Settings!$C$10+Settings!$C$11+IF(Settings!$C$15="Yes / Sí",Settings!$C$14,0))-IF(H210="",Settings!$C$9,H210)),ROUNDUP(($I210+(Settings!$C$12+Settings!$C$13)-$G210*(1-(Settings!$C$10+Settings!$C$11+IF(Settings!$C$15="Yes / Sí",Settings!$C$14,0))))/(1-(Settings!$C$10+Settings!$C$11+IF(Settings!$C$15="Yes / Sí",Settings!$C$14,0))-IF(H210="",Settings!$C$9,H210)),0)-0.01,ROUNDUP(($I210+(Settings!$C$12+Settings!$C$13)-$G210*(1-(Settings!$C$10+Settings!$C$11+IF(Settings!$C$15="Yes / Sí",Settings!$C$14,0))))/(1-(Settings!$C$10+Settings!$C$11+IF(Settings!$C$15="Yes / Sí",Settings!$C$14,0))-IF(H210="",Settings!$C$9,H210)),0)+0.99),ROUNDUP(($I210+(Settings!$C$12+Settings!$C$13)-$G210*(1-(Settings!$C$10+Settings!$C$11+IF(Settings!$C$15="Yes / Sí",Settings!$C$14,0))))/(1-(Settings!$C$10+Settings!$C$11+IF(Settings!$C$15="Yes / Sí",Settings!$C$14,0))-IF(H210="",Settings!$C$9,H210)),2)))))</f>
        <v/>
      </c>
      <c r="L210" s="60" t="str">
        <f aca="false">IF(OR(B210="",K210=0),"",(K210+$G210-((K210+$G210)*(Settings!$C$10+Settings!$C$11+IF(Settings!$C$15="Yes / Sí",Settings!$C$14,0))+(Settings!$C$12+Settings!$C$13))-$I210))</f>
        <v/>
      </c>
      <c r="M210" s="57"/>
      <c r="N210" s="60" t="str">
        <f aca="false">IF(OR(B210="",M210=""),"",((M210+$G210)*(Settings!$C$10+Settings!$C$11+IF(Settings!$C$15="Yes / Sí",Settings!$C$14,0))+(Settings!$C$12+Settings!$C$13)))</f>
        <v/>
      </c>
      <c r="O210" s="60" t="str">
        <f aca="false">IF(OR(B210="",M210=""),"",(M210+$G210-((M210+$G210)*(Settings!$C$10+Settings!$C$11+IF(Settings!$C$15="Yes / Sí",Settings!$C$14,0))+(Settings!$C$12+Settings!$C$13))-$I210))</f>
        <v/>
      </c>
      <c r="P210" s="61" t="str">
        <f aca="false">IF(O210="","",IF(M210=0,0,O210/M210))</f>
        <v/>
      </c>
      <c r="Q210" s="60" t="str">
        <f aca="false">IF(OR(O210="",D210="",D210=0),"",(O210+D210/60*Settings!$C$7)/(D210/60))</f>
        <v/>
      </c>
      <c r="R210" s="62" t="str">
        <f aca="false">IF(B210="","",IF(M210="","Enter your price / Escribe tu precio",IF(O210&lt;0,"⚠ LOSING MONEY / PIERDES",IF(P210&lt;IF(H210="",Settings!$C$9,H210),"● BELOW TARGET / DEBAJO","✔ ON TARGET / EN OBJETIVO"))))</f>
        <v/>
      </c>
      <c r="T210" s="55" t="n">
        <f aca="false">IF(B210="",0,IF(M210="",0,1))</f>
        <v>0</v>
      </c>
      <c r="U210" s="55" t="n">
        <f aca="false">IF(T210=1,P210,0)</f>
        <v>0</v>
      </c>
      <c r="V210" s="55" t="n">
        <f aca="false">IF(T210=1,IF(O210&lt;0,0,IF(P210&lt;IF(H210="",Settings!$C$9,H210),1,0)),0)</f>
        <v>0</v>
      </c>
      <c r="W210" s="55" t="n">
        <f aca="false">IF(T210=1,IF(O210&lt;0,1,0),0)</f>
        <v>0</v>
      </c>
      <c r="X210" s="55" t="n">
        <f aca="false">IF(T210=1,M210,0)</f>
        <v>0</v>
      </c>
      <c r="Y210" s="55" t="n">
        <f aca="false">IF(T210=1,O210,0)</f>
        <v>0</v>
      </c>
      <c r="Z210" s="55" t="n">
        <f aca="false">IF(B210="",0,1)</f>
        <v>0</v>
      </c>
    </row>
    <row r="211" customFormat="false" ht="15" hidden="false" customHeight="false" outlineLevel="0" collapsed="false">
      <c r="B211" s="56"/>
      <c r="C211" s="57"/>
      <c r="D211" s="58"/>
      <c r="E211" s="57"/>
      <c r="F211" s="57"/>
      <c r="G211" s="57"/>
      <c r="H211" s="59"/>
      <c r="I211" s="60" t="str">
        <f aca="false">IF(B211="","",C211+IF(D211="",0,D211/60*Settings!$C$7)+E211+F211+Settings!$C$8)</f>
        <v/>
      </c>
      <c r="J211" s="60" t="str">
        <f aca="false">IF(B211="","",MAX(0,($I211+(Settings!$C$12+Settings!$C$13)-$G211*(1-(Settings!$C$10+Settings!$C$11+IF(Settings!$C$15="Yes / Sí",Settings!$C$14,0))))/(1-(Settings!$C$10+Settings!$C$11+IF(Settings!$C$15="Yes / Sí",Settings!$C$14,0)))))</f>
        <v/>
      </c>
      <c r="K211" s="60" t="str">
        <f aca="false">IF(B211="","",IF(1-(Settings!$C$10+Settings!$C$11+IF(Settings!$C$15="Yes / Sí",Settings!$C$14,0))-IF(H211="",Settings!$C$9,H211)&lt;=0,0,MAX(0,IF(Settings!$C$16="Yes / Sí",IF(ROUNDUP(($I211+(Settings!$C$12+Settings!$C$13)-$G211*(1-(Settings!$C$10+Settings!$C$11+IF(Settings!$C$15="Yes / Sí",Settings!$C$14,0))))/(1-(Settings!$C$10+Settings!$C$11+IF(Settings!$C$15="Yes / Sí",Settings!$C$14,0))-IF(H211="",Settings!$C$9,H211)),0)-0.01&gt;=($I211+(Settings!$C$12+Settings!$C$13)-$G211*(1-(Settings!$C$10+Settings!$C$11+IF(Settings!$C$15="Yes / Sí",Settings!$C$14,0))))/(1-(Settings!$C$10+Settings!$C$11+IF(Settings!$C$15="Yes / Sí",Settings!$C$14,0))-IF(H211="",Settings!$C$9,H211)),ROUNDUP(($I211+(Settings!$C$12+Settings!$C$13)-$G211*(1-(Settings!$C$10+Settings!$C$11+IF(Settings!$C$15="Yes / Sí",Settings!$C$14,0))))/(1-(Settings!$C$10+Settings!$C$11+IF(Settings!$C$15="Yes / Sí",Settings!$C$14,0))-IF(H211="",Settings!$C$9,H211)),0)-0.01,ROUNDUP(($I211+(Settings!$C$12+Settings!$C$13)-$G211*(1-(Settings!$C$10+Settings!$C$11+IF(Settings!$C$15="Yes / Sí",Settings!$C$14,0))))/(1-(Settings!$C$10+Settings!$C$11+IF(Settings!$C$15="Yes / Sí",Settings!$C$14,0))-IF(H211="",Settings!$C$9,H211)),0)+0.99),ROUNDUP(($I211+(Settings!$C$12+Settings!$C$13)-$G211*(1-(Settings!$C$10+Settings!$C$11+IF(Settings!$C$15="Yes / Sí",Settings!$C$14,0))))/(1-(Settings!$C$10+Settings!$C$11+IF(Settings!$C$15="Yes / Sí",Settings!$C$14,0))-IF(H211="",Settings!$C$9,H211)),2)))))</f>
        <v/>
      </c>
      <c r="L211" s="60" t="str">
        <f aca="false">IF(OR(B211="",K211=0),"",(K211+$G211-((K211+$G211)*(Settings!$C$10+Settings!$C$11+IF(Settings!$C$15="Yes / Sí",Settings!$C$14,0))+(Settings!$C$12+Settings!$C$13))-$I211))</f>
        <v/>
      </c>
      <c r="M211" s="57"/>
      <c r="N211" s="60" t="str">
        <f aca="false">IF(OR(B211="",M211=""),"",((M211+$G211)*(Settings!$C$10+Settings!$C$11+IF(Settings!$C$15="Yes / Sí",Settings!$C$14,0))+(Settings!$C$12+Settings!$C$13)))</f>
        <v/>
      </c>
      <c r="O211" s="60" t="str">
        <f aca="false">IF(OR(B211="",M211=""),"",(M211+$G211-((M211+$G211)*(Settings!$C$10+Settings!$C$11+IF(Settings!$C$15="Yes / Sí",Settings!$C$14,0))+(Settings!$C$12+Settings!$C$13))-$I211))</f>
        <v/>
      </c>
      <c r="P211" s="61" t="str">
        <f aca="false">IF(O211="","",IF(M211=0,0,O211/M211))</f>
        <v/>
      </c>
      <c r="Q211" s="60" t="str">
        <f aca="false">IF(OR(O211="",D211="",D211=0),"",(O211+D211/60*Settings!$C$7)/(D211/60))</f>
        <v/>
      </c>
      <c r="R211" s="62" t="str">
        <f aca="false">IF(B211="","",IF(M211="","Enter your price / Escribe tu precio",IF(O211&lt;0,"⚠ LOSING MONEY / PIERDES",IF(P211&lt;IF(H211="",Settings!$C$9,H211),"● BELOW TARGET / DEBAJO","✔ ON TARGET / EN OBJETIVO"))))</f>
        <v/>
      </c>
      <c r="T211" s="55" t="n">
        <f aca="false">IF(B211="",0,IF(M211="",0,1))</f>
        <v>0</v>
      </c>
      <c r="U211" s="55" t="n">
        <f aca="false">IF(T211=1,P211,0)</f>
        <v>0</v>
      </c>
      <c r="V211" s="55" t="n">
        <f aca="false">IF(T211=1,IF(O211&lt;0,0,IF(P211&lt;IF(H211="",Settings!$C$9,H211),1,0)),0)</f>
        <v>0</v>
      </c>
      <c r="W211" s="55" t="n">
        <f aca="false">IF(T211=1,IF(O211&lt;0,1,0),0)</f>
        <v>0</v>
      </c>
      <c r="X211" s="55" t="n">
        <f aca="false">IF(T211=1,M211,0)</f>
        <v>0</v>
      </c>
      <c r="Y211" s="55" t="n">
        <f aca="false">IF(T211=1,O211,0)</f>
        <v>0</v>
      </c>
      <c r="Z211" s="55" t="n">
        <f aca="false">IF(B211="",0,1)</f>
        <v>0</v>
      </c>
    </row>
  </sheetData>
  <autoFilter ref="B11:R211"/>
  <mergeCells count="19">
    <mergeCell ref="B1:R1"/>
    <mergeCell ref="B2:R2"/>
    <mergeCell ref="B3:R3"/>
    <mergeCell ref="B6:C6"/>
    <mergeCell ref="E6:G6"/>
    <mergeCell ref="I6:K6"/>
    <mergeCell ref="M6:O6"/>
    <mergeCell ref="B7:C7"/>
    <mergeCell ref="E7:G7"/>
    <mergeCell ref="I7:K7"/>
    <mergeCell ref="M7:O7"/>
    <mergeCell ref="B8:C8"/>
    <mergeCell ref="E8:G8"/>
    <mergeCell ref="I8:K8"/>
    <mergeCell ref="M8:O8"/>
    <mergeCell ref="B9:C9"/>
    <mergeCell ref="E9:G9"/>
    <mergeCell ref="I9:K9"/>
    <mergeCell ref="M9:O9"/>
  </mergeCells>
  <conditionalFormatting sqref="R12:R211">
    <cfRule type="containsText" priority="2" operator="containsText" aboveAverage="0" equalAverage="0" bottom="0" percent="0" rank="0" text="LOSING" dxfId="0">
      <formula>NOT(ISERROR(SEARCH("LOSING",R12)))</formula>
    </cfRule>
    <cfRule type="containsText" priority="3" operator="containsText" aboveAverage="0" equalAverage="0" bottom="0" percent="0" rank="0" text="BELOW" dxfId="1">
      <formula>NOT(ISERROR(SEARCH("BELOW",R12)))</formula>
    </cfRule>
    <cfRule type="containsText" priority="4" operator="containsText" aboveAverage="0" equalAverage="0" bottom="0" percent="0" rank="0" text="ON TARGET" dxfId="16">
      <formula>NOT(ISERROR(SEARCH("ON TARGET",R12)))</formula>
    </cfRule>
  </conditionalFormatting>
  <dataValidations count="2">
    <dataValidation allowBlank="true" error="Enter a number ≥ 0.&#10;Escribe un número ≥ 0." errorStyle="stop" errorTitle="Number / Número" operator="greaterThanOrEqual" showDropDown="false" showErrorMessage="false" showInputMessage="false" sqref="C12:G211 M12:M211" type="decimal">
      <formula1>0</formula1>
      <formula2>0</formula2>
    </dataValidation>
    <dataValidation allowBlank="true" error="Enter 0%–85%.&#10;Escribe 0%–85%." errorStyle="stop" errorTitle="Margin / Margen" operator="between" showDropDown="false" showErrorMessage="false" showInputMessage="false" sqref="H12:H211" type="decimal">
      <formula1>0</formula1>
      <formula2>0.85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A"/>
    <pageSetUpPr fitToPage="tru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58"/>
  </cols>
  <sheetData>
    <row r="1" customFormat="false" ht="18" hidden="false" customHeight="true" outlineLevel="0" collapsed="false">
      <c r="A1" s="1"/>
      <c r="B1" s="14" t="s">
        <v>1</v>
      </c>
      <c r="C1" s="14"/>
      <c r="D1" s="14"/>
      <c r="E1" s="14"/>
    </row>
    <row r="2" customFormat="false" ht="30" hidden="false" customHeight="true" outlineLevel="0" collapsed="false">
      <c r="A2" s="1"/>
      <c r="B2" s="15" t="s">
        <v>113</v>
      </c>
      <c r="C2" s="15"/>
      <c r="D2" s="15"/>
      <c r="E2" s="15"/>
    </row>
    <row r="3" customFormat="false" ht="19.5" hidden="false" customHeight="true" outlineLevel="0" collapsed="false">
      <c r="A3" s="1"/>
      <c r="B3" s="16" t="s">
        <v>114</v>
      </c>
      <c r="C3" s="16"/>
      <c r="D3" s="16"/>
      <c r="E3" s="16"/>
    </row>
    <row r="4" customFormat="false" ht="3.75" hidden="false" customHeight="true" outlineLevel="0" collapsed="false">
      <c r="A4" s="7"/>
      <c r="B4" s="7"/>
      <c r="C4" s="7"/>
      <c r="D4" s="7"/>
      <c r="E4" s="7"/>
    </row>
    <row r="6" customFormat="false" ht="15" hidden="false" customHeight="false" outlineLevel="0" collapsed="false">
      <c r="B6" s="17" t="s">
        <v>115</v>
      </c>
      <c r="C6" s="17"/>
    </row>
    <row r="7" customFormat="false" ht="15" hidden="false" customHeight="false" outlineLevel="0" collapsed="false">
      <c r="B7" s="65" t="s">
        <v>116</v>
      </c>
      <c r="C7" s="66" t="n">
        <v>20</v>
      </c>
      <c r="E7" s="67" t="s">
        <v>117</v>
      </c>
    </row>
    <row r="8" customFormat="false" ht="15" hidden="false" customHeight="false" outlineLevel="0" collapsed="false">
      <c r="B8" s="65" t="s">
        <v>118</v>
      </c>
      <c r="C8" s="66" t="n">
        <v>0.5</v>
      </c>
      <c r="E8" s="67" t="s">
        <v>119</v>
      </c>
    </row>
    <row r="9" customFormat="false" ht="15" hidden="false" customHeight="false" outlineLevel="0" collapsed="false">
      <c r="B9" s="65" t="s">
        <v>120</v>
      </c>
      <c r="C9" s="68" t="n">
        <v>0.3</v>
      </c>
      <c r="E9" s="67" t="s">
        <v>121</v>
      </c>
    </row>
    <row r="10" customFormat="false" ht="15" hidden="false" customHeight="false" outlineLevel="0" collapsed="false">
      <c r="B10" s="65" t="s">
        <v>122</v>
      </c>
      <c r="C10" s="69" t="n">
        <v>0.065</v>
      </c>
      <c r="E10" s="67" t="s">
        <v>123</v>
      </c>
    </row>
    <row r="11" customFormat="false" ht="15" hidden="false" customHeight="false" outlineLevel="0" collapsed="false">
      <c r="B11" s="65" t="s">
        <v>124</v>
      </c>
      <c r="C11" s="69" t="n">
        <v>0.03</v>
      </c>
      <c r="E11" s="67" t="s">
        <v>125</v>
      </c>
    </row>
    <row r="12" customFormat="false" ht="15" hidden="false" customHeight="false" outlineLevel="0" collapsed="false">
      <c r="B12" s="65" t="s">
        <v>126</v>
      </c>
      <c r="C12" s="66" t="n">
        <v>0.25</v>
      </c>
      <c r="E12" s="67"/>
    </row>
    <row r="13" customFormat="false" ht="15" hidden="false" customHeight="false" outlineLevel="0" collapsed="false">
      <c r="B13" s="65" t="s">
        <v>127</v>
      </c>
      <c r="C13" s="66" t="n">
        <v>0.2</v>
      </c>
      <c r="E13" s="67" t="s">
        <v>128</v>
      </c>
    </row>
    <row r="14" customFormat="false" ht="15" hidden="false" customHeight="false" outlineLevel="0" collapsed="false">
      <c r="B14" s="65" t="s">
        <v>129</v>
      </c>
      <c r="C14" s="68" t="n">
        <v>0.15</v>
      </c>
      <c r="E14" s="67" t="s">
        <v>130</v>
      </c>
    </row>
    <row r="15" customFormat="false" ht="15" hidden="false" customHeight="false" outlineLevel="0" collapsed="false">
      <c r="B15" s="65" t="s">
        <v>131</v>
      </c>
      <c r="C15" s="70" t="s">
        <v>132</v>
      </c>
      <c r="E15" s="67" t="s">
        <v>133</v>
      </c>
    </row>
    <row r="16" customFormat="false" ht="15" hidden="false" customHeight="false" outlineLevel="0" collapsed="false">
      <c r="B16" s="65" t="s">
        <v>134</v>
      </c>
      <c r="C16" s="70" t="s">
        <v>135</v>
      </c>
      <c r="E16" s="67" t="s">
        <v>136</v>
      </c>
    </row>
    <row r="18" customFormat="false" ht="15" hidden="false" customHeight="true" outlineLevel="0" collapsed="false">
      <c r="B18" s="45" t="s">
        <v>137</v>
      </c>
      <c r="C18" s="45"/>
      <c r="D18" s="45"/>
      <c r="E18" s="45"/>
    </row>
    <row r="19" customFormat="false" ht="15" hidden="false" customHeight="false" outlineLevel="0" collapsed="false">
      <c r="B19" s="45"/>
      <c r="C19" s="45"/>
      <c r="D19" s="45"/>
      <c r="E19" s="45"/>
    </row>
    <row r="20" customFormat="false" ht="15" hidden="false" customHeight="false" outlineLevel="0" collapsed="false">
      <c r="B20" s="45"/>
      <c r="C20" s="45"/>
      <c r="D20" s="45"/>
      <c r="E20" s="45"/>
    </row>
  </sheetData>
  <mergeCells count="5">
    <mergeCell ref="B1:E1"/>
    <mergeCell ref="B2:E2"/>
    <mergeCell ref="B3:E3"/>
    <mergeCell ref="B6:C6"/>
    <mergeCell ref="B18:E20"/>
  </mergeCells>
  <dataValidations count="3">
    <dataValidation allowBlank="true" error="Choose an option from the list.&#10;Elige una opción de la lista." errorStyle="stop" errorTitle="Yes / No" operator="between" showDropDown="false" showErrorMessage="false" showInputMessage="false" sqref="C15:C16" type="list">
      <formula1>"Yes / Sí,No"</formula1>
      <formula2>0</formula2>
    </dataValidation>
    <dataValidation allowBlank="true" error="Enter a number ≥ 0.&#10;Escribe un número ≥ 0." errorStyle="stop" errorTitle="Number / Número" operator="greaterThanOrEqual" showDropDown="false" showErrorMessage="false" showInputMessage="false" sqref="C7:C8 C12:C13" type="decimal">
      <formula1>0</formula1>
      <formula2>0</formula2>
    </dataValidation>
    <dataValidation allowBlank="true" error="Enter a percent between 0% and 90%.&#10;Escribe un porcentaje entre 0% y 90%." errorStyle="stop" errorTitle="Percent / Porcentaje" operator="between" showDropDown="false" showErrorMessage="false" showInputMessage="false" sqref="C9:C11 C14" type="decimal">
      <formula1>0</formula1>
      <formula2>0.9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A"/>
    <pageSetUpPr fitToPage="true"/>
  </sheetPr>
  <dimension ref="A1:H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26"/>
  </cols>
  <sheetData>
    <row r="1" customFormat="false" ht="18" hidden="false" customHeight="true" outlineLevel="0" collapsed="false">
      <c r="A1" s="1"/>
      <c r="B1" s="14" t="s">
        <v>1</v>
      </c>
      <c r="C1" s="14"/>
      <c r="D1" s="14"/>
      <c r="E1" s="14"/>
      <c r="F1" s="14"/>
      <c r="G1" s="14"/>
      <c r="H1" s="14"/>
    </row>
    <row r="2" customFormat="false" ht="30" hidden="false" customHeight="true" outlineLevel="0" collapsed="false">
      <c r="A2" s="1"/>
      <c r="B2" s="15" t="s">
        <v>138</v>
      </c>
      <c r="C2" s="15"/>
      <c r="D2" s="15"/>
      <c r="E2" s="15"/>
      <c r="F2" s="15"/>
      <c r="G2" s="15"/>
      <c r="H2" s="15"/>
    </row>
    <row r="3" customFormat="false" ht="19.5" hidden="false" customHeight="true" outlineLevel="0" collapsed="false">
      <c r="A3" s="1"/>
      <c r="B3" s="16" t="s">
        <v>139</v>
      </c>
      <c r="C3" s="16"/>
      <c r="D3" s="16"/>
      <c r="E3" s="16"/>
      <c r="F3" s="16"/>
      <c r="G3" s="16"/>
      <c r="H3" s="16"/>
    </row>
    <row r="4" customFormat="false" ht="3.75" hidden="false" customHeight="true" outlineLevel="0" collapsed="false">
      <c r="A4" s="7"/>
      <c r="B4" s="7"/>
      <c r="C4" s="7"/>
      <c r="D4" s="7"/>
      <c r="E4" s="7"/>
      <c r="F4" s="7"/>
      <c r="G4" s="7"/>
      <c r="H4" s="7"/>
    </row>
    <row r="5" customFormat="false" ht="48" hidden="false" customHeight="true" outlineLevel="0" collapsed="false">
      <c r="B5" s="24" t="s">
        <v>140</v>
      </c>
      <c r="C5" s="24" t="s">
        <v>141</v>
      </c>
      <c r="D5" s="24" t="s">
        <v>142</v>
      </c>
      <c r="E5" s="24" t="s">
        <v>143</v>
      </c>
      <c r="F5" s="24" t="s">
        <v>30</v>
      </c>
      <c r="G5" s="24" t="s">
        <v>144</v>
      </c>
      <c r="H5" s="24" t="s">
        <v>145</v>
      </c>
    </row>
    <row r="6" customFormat="false" ht="15" hidden="false" customHeight="false" outlineLevel="0" collapsed="false">
      <c r="B6" s="56" t="s">
        <v>34</v>
      </c>
      <c r="C6" s="56" t="s">
        <v>146</v>
      </c>
      <c r="D6" s="57" t="n">
        <v>45</v>
      </c>
      <c r="E6" s="71" t="n">
        <v>160</v>
      </c>
      <c r="F6" s="58" t="s">
        <v>147</v>
      </c>
      <c r="G6" s="72" t="n">
        <f aca="false">IF(OR(D6="",E6="",E6=0),"",D6/E6)</f>
        <v>0.28125</v>
      </c>
      <c r="H6" s="56"/>
    </row>
    <row r="7" customFormat="false" ht="15" hidden="false" customHeight="false" outlineLevel="0" collapsed="false">
      <c r="B7" s="56" t="s">
        <v>36</v>
      </c>
      <c r="C7" s="56" t="s">
        <v>146</v>
      </c>
      <c r="D7" s="57" t="n">
        <v>17.6</v>
      </c>
      <c r="E7" s="71" t="n">
        <v>16</v>
      </c>
      <c r="F7" s="58" t="s">
        <v>147</v>
      </c>
      <c r="G7" s="72" t="n">
        <f aca="false">IF(OR(D7="",E7="",E7=0),"",D7/E7)</f>
        <v>1.1</v>
      </c>
      <c r="H7" s="56"/>
    </row>
    <row r="8" customFormat="false" ht="15" hidden="false" customHeight="false" outlineLevel="0" collapsed="false">
      <c r="B8" s="56" t="s">
        <v>38</v>
      </c>
      <c r="C8" s="56" t="s">
        <v>148</v>
      </c>
      <c r="D8" s="57" t="n">
        <v>11.99</v>
      </c>
      <c r="E8" s="71" t="n">
        <v>100</v>
      </c>
      <c r="F8" s="58" t="s">
        <v>149</v>
      </c>
      <c r="G8" s="72" t="n">
        <f aca="false">IF(OR(D8="",E8="",E8=0),"",D8/E8)</f>
        <v>0.1199</v>
      </c>
      <c r="H8" s="56"/>
    </row>
    <row r="9" customFormat="false" ht="15" hidden="false" customHeight="false" outlineLevel="0" collapsed="false">
      <c r="B9" s="56" t="s">
        <v>40</v>
      </c>
      <c r="C9" s="56" t="s">
        <v>150</v>
      </c>
      <c r="D9" s="57" t="n">
        <v>34.8</v>
      </c>
      <c r="E9" s="71" t="n">
        <v>24</v>
      </c>
      <c r="F9" s="58" t="s">
        <v>149</v>
      </c>
      <c r="G9" s="72" t="n">
        <f aca="false">IF(OR(D9="",E9="",E9=0),"",D9/E9)</f>
        <v>1.45</v>
      </c>
      <c r="H9" s="56"/>
    </row>
    <row r="10" customFormat="false" ht="15" hidden="false" customHeight="false" outlineLevel="0" collapsed="false">
      <c r="B10" s="56" t="s">
        <v>42</v>
      </c>
      <c r="C10" s="56" t="s">
        <v>151</v>
      </c>
      <c r="D10" s="57" t="n">
        <v>30</v>
      </c>
      <c r="E10" s="71" t="n">
        <v>200</v>
      </c>
      <c r="F10" s="58" t="s">
        <v>149</v>
      </c>
      <c r="G10" s="72" t="n">
        <f aca="false">IF(OR(D10="",E10="",E10=0),"",D10/E10)</f>
        <v>0.15</v>
      </c>
      <c r="H10" s="56"/>
    </row>
    <row r="11" customFormat="false" ht="15" hidden="false" customHeight="false" outlineLevel="0" collapsed="false">
      <c r="B11" s="56" t="s">
        <v>152</v>
      </c>
      <c r="C11" s="56" t="s">
        <v>153</v>
      </c>
      <c r="D11" s="57" t="n">
        <v>24</v>
      </c>
      <c r="E11" s="71" t="n">
        <v>50</v>
      </c>
      <c r="F11" s="58" t="s">
        <v>154</v>
      </c>
      <c r="G11" s="72" t="n">
        <f aca="false">IF(OR(D11="",E11="",E11=0),"",D11/E11)</f>
        <v>0.48</v>
      </c>
      <c r="H11" s="56"/>
    </row>
    <row r="12" customFormat="false" ht="15" hidden="false" customHeight="false" outlineLevel="0" collapsed="false">
      <c r="B12" s="56" t="s">
        <v>155</v>
      </c>
      <c r="C12" s="56" t="s">
        <v>156</v>
      </c>
      <c r="D12" s="57" t="n">
        <v>12.5</v>
      </c>
      <c r="E12" s="71" t="n">
        <v>250</v>
      </c>
      <c r="F12" s="58" t="s">
        <v>149</v>
      </c>
      <c r="G12" s="72" t="n">
        <f aca="false">IF(OR(D12="",E12="",E12=0),"",D12/E12)</f>
        <v>0.05</v>
      </c>
      <c r="H12" s="56"/>
    </row>
    <row r="13" customFormat="false" ht="15" hidden="false" customHeight="false" outlineLevel="0" collapsed="false">
      <c r="B13" s="56" t="s">
        <v>157</v>
      </c>
      <c r="C13" s="56" t="s">
        <v>158</v>
      </c>
      <c r="D13" s="57" t="n">
        <v>9.5</v>
      </c>
      <c r="E13" s="71" t="n">
        <v>1</v>
      </c>
      <c r="F13" s="58" t="s">
        <v>159</v>
      </c>
      <c r="G13" s="72" t="n">
        <f aca="false">IF(OR(D13="",E13="",E13=0),"",D13/E13)</f>
        <v>9.5</v>
      </c>
      <c r="H13" s="56"/>
    </row>
    <row r="14" customFormat="false" ht="15" hidden="false" customHeight="false" outlineLevel="0" collapsed="false">
      <c r="B14" s="56" t="s">
        <v>160</v>
      </c>
      <c r="C14" s="56" t="s">
        <v>161</v>
      </c>
      <c r="D14" s="57" t="n">
        <v>14.99</v>
      </c>
      <c r="E14" s="71" t="n">
        <v>20</v>
      </c>
      <c r="F14" s="58" t="s">
        <v>162</v>
      </c>
      <c r="G14" s="72" t="n">
        <f aca="false">IF(OR(D14="",E14="",E14=0),"",D14/E14)</f>
        <v>0.7495</v>
      </c>
      <c r="H14" s="56"/>
    </row>
    <row r="15" customFormat="false" ht="15" hidden="false" customHeight="false" outlineLevel="0" collapsed="false">
      <c r="B15" s="56" t="s">
        <v>163</v>
      </c>
      <c r="C15" s="56" t="s">
        <v>150</v>
      </c>
      <c r="D15" s="57" t="n">
        <v>42</v>
      </c>
      <c r="E15" s="71" t="n">
        <v>100</v>
      </c>
      <c r="F15" s="58" t="s">
        <v>149</v>
      </c>
      <c r="G15" s="72" t="n">
        <f aca="false">IF(OR(D15="",E15="",E15=0),"",D15/E15)</f>
        <v>0.42</v>
      </c>
      <c r="H15" s="56"/>
    </row>
    <row r="16" customFormat="false" ht="15" hidden="false" customHeight="false" outlineLevel="0" collapsed="false">
      <c r="B16" s="56" t="s">
        <v>164</v>
      </c>
      <c r="C16" s="56" t="s">
        <v>165</v>
      </c>
      <c r="D16" s="57" t="n">
        <v>1.25</v>
      </c>
      <c r="E16" s="71" t="n">
        <v>20</v>
      </c>
      <c r="F16" s="58" t="s">
        <v>162</v>
      </c>
      <c r="G16" s="72" t="n">
        <f aca="false">IF(OR(D16="",E16="",E16=0),"",D16/E16)</f>
        <v>0.0625</v>
      </c>
      <c r="H16" s="56"/>
    </row>
    <row r="17" customFormat="false" ht="15" hidden="false" customHeight="false" outlineLevel="0" collapsed="false">
      <c r="B17" s="56" t="s">
        <v>166</v>
      </c>
      <c r="C17" s="56" t="s">
        <v>167</v>
      </c>
      <c r="D17" s="57" t="n">
        <v>25</v>
      </c>
      <c r="E17" s="71" t="n">
        <v>250</v>
      </c>
      <c r="F17" s="58" t="s">
        <v>149</v>
      </c>
      <c r="G17" s="72" t="n">
        <f aca="false">IF(OR(D17="",E17="",E17=0),"",D17/E17)</f>
        <v>0.1</v>
      </c>
      <c r="H17" s="56"/>
    </row>
    <row r="18" customFormat="false" ht="15" hidden="false" customHeight="false" outlineLevel="0" collapsed="false">
      <c r="B18" s="56"/>
      <c r="C18" s="56"/>
      <c r="D18" s="57"/>
      <c r="E18" s="71"/>
      <c r="F18" s="58"/>
      <c r="G18" s="72" t="str">
        <f aca="false">IF(OR(D18="",E18="",E18=0),"",D18/E18)</f>
        <v/>
      </c>
      <c r="H18" s="56"/>
    </row>
    <row r="19" customFormat="false" ht="15" hidden="false" customHeight="false" outlineLevel="0" collapsed="false">
      <c r="B19" s="56"/>
      <c r="C19" s="56"/>
      <c r="D19" s="57"/>
      <c r="E19" s="71"/>
      <c r="F19" s="58"/>
      <c r="G19" s="72" t="str">
        <f aca="false">IF(OR(D19="",E19="",E19=0),"",D19/E19)</f>
        <v/>
      </c>
      <c r="H19" s="56"/>
    </row>
    <row r="20" customFormat="false" ht="15" hidden="false" customHeight="false" outlineLevel="0" collapsed="false">
      <c r="B20" s="56"/>
      <c r="C20" s="56"/>
      <c r="D20" s="57"/>
      <c r="E20" s="71"/>
      <c r="F20" s="58"/>
      <c r="G20" s="72" t="str">
        <f aca="false">IF(OR(D20="",E20="",E20=0),"",D20/E20)</f>
        <v/>
      </c>
      <c r="H20" s="56"/>
    </row>
    <row r="21" customFormat="false" ht="15" hidden="false" customHeight="false" outlineLevel="0" collapsed="false">
      <c r="B21" s="56"/>
      <c r="C21" s="56"/>
      <c r="D21" s="57"/>
      <c r="E21" s="71"/>
      <c r="F21" s="58"/>
      <c r="G21" s="72" t="str">
        <f aca="false">IF(OR(D21="",E21="",E21=0),"",D21/E21)</f>
        <v/>
      </c>
      <c r="H21" s="56"/>
    </row>
    <row r="22" customFormat="false" ht="15" hidden="false" customHeight="false" outlineLevel="0" collapsed="false">
      <c r="B22" s="56"/>
      <c r="C22" s="56"/>
      <c r="D22" s="57"/>
      <c r="E22" s="71"/>
      <c r="F22" s="58"/>
      <c r="G22" s="72" t="str">
        <f aca="false">IF(OR(D22="",E22="",E22=0),"",D22/E22)</f>
        <v/>
      </c>
      <c r="H22" s="56"/>
    </row>
    <row r="23" customFormat="false" ht="15" hidden="false" customHeight="false" outlineLevel="0" collapsed="false">
      <c r="B23" s="56"/>
      <c r="C23" s="56"/>
      <c r="D23" s="57"/>
      <c r="E23" s="71"/>
      <c r="F23" s="58"/>
      <c r="G23" s="72" t="str">
        <f aca="false">IF(OR(D23="",E23="",E23=0),"",D23/E23)</f>
        <v/>
      </c>
      <c r="H23" s="56"/>
    </row>
    <row r="24" customFormat="false" ht="15" hidden="false" customHeight="false" outlineLevel="0" collapsed="false">
      <c r="B24" s="56"/>
      <c r="C24" s="56"/>
      <c r="D24" s="57"/>
      <c r="E24" s="71"/>
      <c r="F24" s="58"/>
      <c r="G24" s="72" t="str">
        <f aca="false">IF(OR(D24="",E24="",E24=0),"",D24/E24)</f>
        <v/>
      </c>
      <c r="H24" s="56"/>
    </row>
    <row r="25" customFormat="false" ht="15" hidden="false" customHeight="false" outlineLevel="0" collapsed="false">
      <c r="B25" s="56"/>
      <c r="C25" s="56"/>
      <c r="D25" s="57"/>
      <c r="E25" s="71"/>
      <c r="F25" s="58"/>
      <c r="G25" s="72" t="str">
        <f aca="false">IF(OR(D25="",E25="",E25=0),"",D25/E25)</f>
        <v/>
      </c>
      <c r="H25" s="56"/>
    </row>
    <row r="26" customFormat="false" ht="15" hidden="false" customHeight="false" outlineLevel="0" collapsed="false">
      <c r="B26" s="56"/>
      <c r="C26" s="56"/>
      <c r="D26" s="57"/>
      <c r="E26" s="71"/>
      <c r="F26" s="58"/>
      <c r="G26" s="72" t="str">
        <f aca="false">IF(OR(D26="",E26="",E26=0),"",D26/E26)</f>
        <v/>
      </c>
      <c r="H26" s="56"/>
    </row>
    <row r="27" customFormat="false" ht="15" hidden="false" customHeight="false" outlineLevel="0" collapsed="false">
      <c r="B27" s="56"/>
      <c r="C27" s="56"/>
      <c r="D27" s="57"/>
      <c r="E27" s="71"/>
      <c r="F27" s="58"/>
      <c r="G27" s="72" t="str">
        <f aca="false">IF(OR(D27="",E27="",E27=0),"",D27/E27)</f>
        <v/>
      </c>
      <c r="H27" s="56"/>
    </row>
    <row r="28" customFormat="false" ht="15" hidden="false" customHeight="false" outlineLevel="0" collapsed="false">
      <c r="B28" s="56"/>
      <c r="C28" s="56"/>
      <c r="D28" s="57"/>
      <c r="E28" s="71"/>
      <c r="F28" s="58"/>
      <c r="G28" s="72" t="str">
        <f aca="false">IF(OR(D28="",E28="",E28=0),"",D28/E28)</f>
        <v/>
      </c>
      <c r="H28" s="56"/>
    </row>
    <row r="29" customFormat="false" ht="15" hidden="false" customHeight="false" outlineLevel="0" collapsed="false">
      <c r="B29" s="56"/>
      <c r="C29" s="56"/>
      <c r="D29" s="57"/>
      <c r="E29" s="71"/>
      <c r="F29" s="58"/>
      <c r="G29" s="72" t="str">
        <f aca="false">IF(OR(D29="",E29="",E29=0),"",D29/E29)</f>
        <v/>
      </c>
      <c r="H29" s="56"/>
    </row>
    <row r="30" customFormat="false" ht="15" hidden="false" customHeight="false" outlineLevel="0" collapsed="false">
      <c r="B30" s="56"/>
      <c r="C30" s="56"/>
      <c r="D30" s="57"/>
      <c r="E30" s="71"/>
      <c r="F30" s="58"/>
      <c r="G30" s="72" t="str">
        <f aca="false">IF(OR(D30="",E30="",E30=0),"",D30/E30)</f>
        <v/>
      </c>
      <c r="H30" s="56"/>
    </row>
    <row r="31" customFormat="false" ht="15" hidden="false" customHeight="false" outlineLevel="0" collapsed="false">
      <c r="B31" s="56"/>
      <c r="C31" s="56"/>
      <c r="D31" s="57"/>
      <c r="E31" s="71"/>
      <c r="F31" s="58"/>
      <c r="G31" s="72" t="str">
        <f aca="false">IF(OR(D31="",E31="",E31=0),"",D31/E31)</f>
        <v/>
      </c>
      <c r="H31" s="56"/>
    </row>
    <row r="32" customFormat="false" ht="15" hidden="false" customHeight="false" outlineLevel="0" collapsed="false">
      <c r="B32" s="56"/>
      <c r="C32" s="56"/>
      <c r="D32" s="57"/>
      <c r="E32" s="71"/>
      <c r="F32" s="58"/>
      <c r="G32" s="72" t="str">
        <f aca="false">IF(OR(D32="",E32="",E32=0),"",D32/E32)</f>
        <v/>
      </c>
      <c r="H32" s="56"/>
    </row>
    <row r="33" customFormat="false" ht="15" hidden="false" customHeight="false" outlineLevel="0" collapsed="false">
      <c r="B33" s="56"/>
      <c r="C33" s="56"/>
      <c r="D33" s="57"/>
      <c r="E33" s="71"/>
      <c r="F33" s="58"/>
      <c r="G33" s="72" t="str">
        <f aca="false">IF(OR(D33="",E33="",E33=0),"",D33/E33)</f>
        <v/>
      </c>
      <c r="H33" s="56"/>
    </row>
    <row r="34" customFormat="false" ht="15" hidden="false" customHeight="false" outlineLevel="0" collapsed="false">
      <c r="B34" s="56"/>
      <c r="C34" s="56"/>
      <c r="D34" s="57"/>
      <c r="E34" s="71"/>
      <c r="F34" s="58"/>
      <c r="G34" s="72" t="str">
        <f aca="false">IF(OR(D34="",E34="",E34=0),"",D34/E34)</f>
        <v/>
      </c>
      <c r="H34" s="56"/>
    </row>
    <row r="35" customFormat="false" ht="15" hidden="false" customHeight="false" outlineLevel="0" collapsed="false">
      <c r="B35" s="56"/>
      <c r="C35" s="56"/>
      <c r="D35" s="57"/>
      <c r="E35" s="71"/>
      <c r="F35" s="58"/>
      <c r="G35" s="72" t="str">
        <f aca="false">IF(OR(D35="",E35="",E35=0),"",D35/E35)</f>
        <v/>
      </c>
      <c r="H35" s="56"/>
    </row>
    <row r="36" customFormat="false" ht="15" hidden="false" customHeight="false" outlineLevel="0" collapsed="false">
      <c r="B36" s="56"/>
      <c r="C36" s="56"/>
      <c r="D36" s="57"/>
      <c r="E36" s="71"/>
      <c r="F36" s="58"/>
      <c r="G36" s="72" t="str">
        <f aca="false">IF(OR(D36="",E36="",E36=0),"",D36/E36)</f>
        <v/>
      </c>
      <c r="H36" s="56"/>
    </row>
    <row r="37" customFormat="false" ht="15" hidden="false" customHeight="false" outlineLevel="0" collapsed="false">
      <c r="B37" s="56"/>
      <c r="C37" s="56"/>
      <c r="D37" s="57"/>
      <c r="E37" s="71"/>
      <c r="F37" s="58"/>
      <c r="G37" s="72" t="str">
        <f aca="false">IF(OR(D37="",E37="",E37=0),"",D37/E37)</f>
        <v/>
      </c>
      <c r="H37" s="56"/>
    </row>
    <row r="38" customFormat="false" ht="15" hidden="false" customHeight="false" outlineLevel="0" collapsed="false">
      <c r="B38" s="56"/>
      <c r="C38" s="56"/>
      <c r="D38" s="57"/>
      <c r="E38" s="71"/>
      <c r="F38" s="58"/>
      <c r="G38" s="72" t="str">
        <f aca="false">IF(OR(D38="",E38="",E38=0),"",D38/E38)</f>
        <v/>
      </c>
      <c r="H38" s="56"/>
    </row>
    <row r="39" customFormat="false" ht="15" hidden="false" customHeight="false" outlineLevel="0" collapsed="false">
      <c r="B39" s="56"/>
      <c r="C39" s="56"/>
      <c r="D39" s="57"/>
      <c r="E39" s="71"/>
      <c r="F39" s="58"/>
      <c r="G39" s="72" t="str">
        <f aca="false">IF(OR(D39="",E39="",E39=0),"",D39/E39)</f>
        <v/>
      </c>
      <c r="H39" s="56"/>
    </row>
    <row r="40" customFormat="false" ht="15" hidden="false" customHeight="false" outlineLevel="0" collapsed="false">
      <c r="B40" s="56"/>
      <c r="C40" s="56"/>
      <c r="D40" s="57"/>
      <c r="E40" s="71"/>
      <c r="F40" s="58"/>
      <c r="G40" s="72" t="str">
        <f aca="false">IF(OR(D40="",E40="",E40=0),"",D40/E40)</f>
        <v/>
      </c>
      <c r="H40" s="56"/>
    </row>
    <row r="41" customFormat="false" ht="15" hidden="false" customHeight="false" outlineLevel="0" collapsed="false">
      <c r="B41" s="56"/>
      <c r="C41" s="56"/>
      <c r="D41" s="57"/>
      <c r="E41" s="71"/>
      <c r="F41" s="58"/>
      <c r="G41" s="72" t="str">
        <f aca="false">IF(OR(D41="",E41="",E41=0),"",D41/E41)</f>
        <v/>
      </c>
      <c r="H41" s="56"/>
    </row>
    <row r="42" customFormat="false" ht="15" hidden="false" customHeight="false" outlineLevel="0" collapsed="false">
      <c r="B42" s="56"/>
      <c r="C42" s="56"/>
      <c r="D42" s="57"/>
      <c r="E42" s="71"/>
      <c r="F42" s="58"/>
      <c r="G42" s="72" t="str">
        <f aca="false">IF(OR(D42="",E42="",E42=0),"",D42/E42)</f>
        <v/>
      </c>
      <c r="H42" s="56"/>
    </row>
    <row r="43" customFormat="false" ht="15" hidden="false" customHeight="false" outlineLevel="0" collapsed="false">
      <c r="B43" s="56"/>
      <c r="C43" s="56"/>
      <c r="D43" s="57"/>
      <c r="E43" s="71"/>
      <c r="F43" s="58"/>
      <c r="G43" s="72" t="str">
        <f aca="false">IF(OR(D43="",E43="",E43=0),"",D43/E43)</f>
        <v/>
      </c>
      <c r="H43" s="56"/>
    </row>
    <row r="44" customFormat="false" ht="15" hidden="false" customHeight="false" outlineLevel="0" collapsed="false">
      <c r="B44" s="56"/>
      <c r="C44" s="56"/>
      <c r="D44" s="57"/>
      <c r="E44" s="71"/>
      <c r="F44" s="58"/>
      <c r="G44" s="72" t="str">
        <f aca="false">IF(OR(D44="",E44="",E44=0),"",D44/E44)</f>
        <v/>
      </c>
      <c r="H44" s="56"/>
    </row>
    <row r="45" customFormat="false" ht="15" hidden="false" customHeight="false" outlineLevel="0" collapsed="false">
      <c r="B45" s="56"/>
      <c r="C45" s="56"/>
      <c r="D45" s="57"/>
      <c r="E45" s="71"/>
      <c r="F45" s="58"/>
      <c r="G45" s="72" t="str">
        <f aca="false">IF(OR(D45="",E45="",E45=0),"",D45/E45)</f>
        <v/>
      </c>
      <c r="H45" s="56"/>
    </row>
    <row r="46" customFormat="false" ht="15" hidden="false" customHeight="false" outlineLevel="0" collapsed="false">
      <c r="B46" s="56"/>
      <c r="C46" s="56"/>
      <c r="D46" s="57"/>
      <c r="E46" s="71"/>
      <c r="F46" s="58"/>
      <c r="G46" s="72" t="str">
        <f aca="false">IF(OR(D46="",E46="",E46=0),"",D46/E46)</f>
        <v/>
      </c>
      <c r="H46" s="56"/>
    </row>
    <row r="47" customFormat="false" ht="15" hidden="false" customHeight="false" outlineLevel="0" collapsed="false">
      <c r="B47" s="56"/>
      <c r="C47" s="56"/>
      <c r="D47" s="57"/>
      <c r="E47" s="71"/>
      <c r="F47" s="58"/>
      <c r="G47" s="72" t="str">
        <f aca="false">IF(OR(D47="",E47="",E47=0),"",D47/E47)</f>
        <v/>
      </c>
      <c r="H47" s="56"/>
    </row>
    <row r="48" customFormat="false" ht="15" hidden="false" customHeight="false" outlineLevel="0" collapsed="false">
      <c r="B48" s="56"/>
      <c r="C48" s="56"/>
      <c r="D48" s="57"/>
      <c r="E48" s="71"/>
      <c r="F48" s="58"/>
      <c r="G48" s="72" t="str">
        <f aca="false">IF(OR(D48="",E48="",E48=0),"",D48/E48)</f>
        <v/>
      </c>
      <c r="H48" s="56"/>
    </row>
    <row r="49" customFormat="false" ht="15" hidden="false" customHeight="false" outlineLevel="0" collapsed="false">
      <c r="B49" s="56"/>
      <c r="C49" s="56"/>
      <c r="D49" s="57"/>
      <c r="E49" s="71"/>
      <c r="F49" s="58"/>
      <c r="G49" s="72" t="str">
        <f aca="false">IF(OR(D49="",E49="",E49=0),"",D49/E49)</f>
        <v/>
      </c>
      <c r="H49" s="56"/>
    </row>
    <row r="50" customFormat="false" ht="15" hidden="false" customHeight="false" outlineLevel="0" collapsed="false">
      <c r="B50" s="56"/>
      <c r="C50" s="56"/>
      <c r="D50" s="57"/>
      <c r="E50" s="71"/>
      <c r="F50" s="58"/>
      <c r="G50" s="72" t="str">
        <f aca="false">IF(OR(D50="",E50="",E50=0),"",D50/E50)</f>
        <v/>
      </c>
      <c r="H50" s="56"/>
    </row>
    <row r="51" customFormat="false" ht="15" hidden="false" customHeight="false" outlineLevel="0" collapsed="false">
      <c r="B51" s="56"/>
      <c r="C51" s="56"/>
      <c r="D51" s="57"/>
      <c r="E51" s="71"/>
      <c r="F51" s="58"/>
      <c r="G51" s="72" t="str">
        <f aca="false">IF(OR(D51="",E51="",E51=0),"",D51/E51)</f>
        <v/>
      </c>
      <c r="H51" s="56"/>
    </row>
    <row r="52" customFormat="false" ht="15" hidden="false" customHeight="false" outlineLevel="0" collapsed="false">
      <c r="B52" s="56"/>
      <c r="C52" s="56"/>
      <c r="D52" s="57"/>
      <c r="E52" s="71"/>
      <c r="F52" s="58"/>
      <c r="G52" s="72" t="str">
        <f aca="false">IF(OR(D52="",E52="",E52=0),"",D52/E52)</f>
        <v/>
      </c>
      <c r="H52" s="56"/>
    </row>
    <row r="53" customFormat="false" ht="15" hidden="false" customHeight="false" outlineLevel="0" collapsed="false">
      <c r="B53" s="56"/>
      <c r="C53" s="56"/>
      <c r="D53" s="57"/>
      <c r="E53" s="71"/>
      <c r="F53" s="58"/>
      <c r="G53" s="72" t="str">
        <f aca="false">IF(OR(D53="",E53="",E53=0),"",D53/E53)</f>
        <v/>
      </c>
      <c r="H53" s="56"/>
    </row>
    <row r="54" customFormat="false" ht="15" hidden="false" customHeight="false" outlineLevel="0" collapsed="false">
      <c r="B54" s="56"/>
      <c r="C54" s="56"/>
      <c r="D54" s="57"/>
      <c r="E54" s="71"/>
      <c r="F54" s="58"/>
      <c r="G54" s="72" t="str">
        <f aca="false">IF(OR(D54="",E54="",E54=0),"",D54/E54)</f>
        <v/>
      </c>
      <c r="H54" s="56"/>
    </row>
    <row r="55" customFormat="false" ht="15" hidden="false" customHeight="false" outlineLevel="0" collapsed="false">
      <c r="B55" s="56"/>
      <c r="C55" s="56"/>
      <c r="D55" s="57"/>
      <c r="E55" s="71"/>
      <c r="F55" s="58"/>
      <c r="G55" s="72" t="str">
        <f aca="false">IF(OR(D55="",E55="",E55=0),"",D55/E55)</f>
        <v/>
      </c>
      <c r="H55" s="56"/>
    </row>
    <row r="56" customFormat="false" ht="15" hidden="false" customHeight="false" outlineLevel="0" collapsed="false">
      <c r="B56" s="56"/>
      <c r="C56" s="56"/>
      <c r="D56" s="57"/>
      <c r="E56" s="71"/>
      <c r="F56" s="58"/>
      <c r="G56" s="72" t="str">
        <f aca="false">IF(OR(D56="",E56="",E56=0),"",D56/E56)</f>
        <v/>
      </c>
      <c r="H56" s="56"/>
    </row>
    <row r="57" customFormat="false" ht="15" hidden="false" customHeight="false" outlineLevel="0" collapsed="false">
      <c r="B57" s="56"/>
      <c r="C57" s="56"/>
      <c r="D57" s="57"/>
      <c r="E57" s="71"/>
      <c r="F57" s="58"/>
      <c r="G57" s="72" t="str">
        <f aca="false">IF(OR(D57="",E57="",E57=0),"",D57/E57)</f>
        <v/>
      </c>
      <c r="H57" s="56"/>
    </row>
    <row r="58" customFormat="false" ht="15" hidden="false" customHeight="false" outlineLevel="0" collapsed="false">
      <c r="B58" s="56"/>
      <c r="C58" s="56"/>
      <c r="D58" s="57"/>
      <c r="E58" s="71"/>
      <c r="F58" s="58"/>
      <c r="G58" s="72" t="str">
        <f aca="false">IF(OR(D58="",E58="",E58=0),"",D58/E58)</f>
        <v/>
      </c>
      <c r="H58" s="56"/>
    </row>
    <row r="59" customFormat="false" ht="15" hidden="false" customHeight="false" outlineLevel="0" collapsed="false">
      <c r="B59" s="56"/>
      <c r="C59" s="56"/>
      <c r="D59" s="57"/>
      <c r="E59" s="71"/>
      <c r="F59" s="58"/>
      <c r="G59" s="72" t="str">
        <f aca="false">IF(OR(D59="",E59="",E59=0),"",D59/E59)</f>
        <v/>
      </c>
      <c r="H59" s="56"/>
    </row>
    <row r="60" customFormat="false" ht="15" hidden="false" customHeight="false" outlineLevel="0" collapsed="false">
      <c r="B60" s="56"/>
      <c r="C60" s="56"/>
      <c r="D60" s="57"/>
      <c r="E60" s="71"/>
      <c r="F60" s="58"/>
      <c r="G60" s="72" t="str">
        <f aca="false">IF(OR(D60="",E60="",E60=0),"",D60/E60)</f>
        <v/>
      </c>
      <c r="H60" s="56"/>
    </row>
    <row r="61" customFormat="false" ht="15" hidden="false" customHeight="false" outlineLevel="0" collapsed="false">
      <c r="B61" s="56"/>
      <c r="C61" s="56"/>
      <c r="D61" s="57"/>
      <c r="E61" s="71"/>
      <c r="F61" s="58"/>
      <c r="G61" s="72" t="str">
        <f aca="false">IF(OR(D61="",E61="",E61=0),"",D61/E61)</f>
        <v/>
      </c>
      <c r="H61" s="56"/>
    </row>
    <row r="62" customFormat="false" ht="15" hidden="false" customHeight="false" outlineLevel="0" collapsed="false">
      <c r="B62" s="56"/>
      <c r="C62" s="56"/>
      <c r="D62" s="57"/>
      <c r="E62" s="71"/>
      <c r="F62" s="58"/>
      <c r="G62" s="72" t="str">
        <f aca="false">IF(OR(D62="",E62="",E62=0),"",D62/E62)</f>
        <v/>
      </c>
      <c r="H62" s="56"/>
    </row>
    <row r="63" customFormat="false" ht="15" hidden="false" customHeight="false" outlineLevel="0" collapsed="false">
      <c r="B63" s="56"/>
      <c r="C63" s="56"/>
      <c r="D63" s="57"/>
      <c r="E63" s="71"/>
      <c r="F63" s="58"/>
      <c r="G63" s="72" t="str">
        <f aca="false">IF(OR(D63="",E63="",E63=0),"",D63/E63)</f>
        <v/>
      </c>
      <c r="H63" s="56"/>
    </row>
    <row r="64" customFormat="false" ht="15" hidden="false" customHeight="false" outlineLevel="0" collapsed="false">
      <c r="B64" s="56"/>
      <c r="C64" s="56"/>
      <c r="D64" s="57"/>
      <c r="E64" s="71"/>
      <c r="F64" s="58"/>
      <c r="G64" s="72" t="str">
        <f aca="false">IF(OR(D64="",E64="",E64=0),"",D64/E64)</f>
        <v/>
      </c>
      <c r="H64" s="56"/>
    </row>
    <row r="65" customFormat="false" ht="15" hidden="false" customHeight="false" outlineLevel="0" collapsed="false">
      <c r="B65" s="56"/>
      <c r="C65" s="56"/>
      <c r="D65" s="57"/>
      <c r="E65" s="71"/>
      <c r="F65" s="58"/>
      <c r="G65" s="72" t="str">
        <f aca="false">IF(OR(D65="",E65="",E65=0),"",D65/E65)</f>
        <v/>
      </c>
      <c r="H65" s="56"/>
    </row>
    <row r="66" customFormat="false" ht="15" hidden="false" customHeight="false" outlineLevel="0" collapsed="false">
      <c r="B66" s="56"/>
      <c r="C66" s="56"/>
      <c r="D66" s="57"/>
      <c r="E66" s="71"/>
      <c r="F66" s="58"/>
      <c r="G66" s="72" t="str">
        <f aca="false">IF(OR(D66="",E66="",E66=0),"",D66/E66)</f>
        <v/>
      </c>
      <c r="H66" s="56"/>
    </row>
    <row r="67" customFormat="false" ht="15" hidden="false" customHeight="false" outlineLevel="0" collapsed="false">
      <c r="B67" s="56"/>
      <c r="C67" s="56"/>
      <c r="D67" s="57"/>
      <c r="E67" s="71"/>
      <c r="F67" s="58"/>
      <c r="G67" s="72" t="str">
        <f aca="false">IF(OR(D67="",E67="",E67=0),"",D67/E67)</f>
        <v/>
      </c>
      <c r="H67" s="56"/>
    </row>
    <row r="68" customFormat="false" ht="15" hidden="false" customHeight="false" outlineLevel="0" collapsed="false">
      <c r="B68" s="56"/>
      <c r="C68" s="56"/>
      <c r="D68" s="57"/>
      <c r="E68" s="71"/>
      <c r="F68" s="58"/>
      <c r="G68" s="72" t="str">
        <f aca="false">IF(OR(D68="",E68="",E68=0),"",D68/E68)</f>
        <v/>
      </c>
      <c r="H68" s="56"/>
    </row>
    <row r="69" customFormat="false" ht="15" hidden="false" customHeight="false" outlineLevel="0" collapsed="false">
      <c r="B69" s="56"/>
      <c r="C69" s="56"/>
      <c r="D69" s="57"/>
      <c r="E69" s="71"/>
      <c r="F69" s="58"/>
      <c r="G69" s="72" t="str">
        <f aca="false">IF(OR(D69="",E69="",E69=0),"",D69/E69)</f>
        <v/>
      </c>
      <c r="H69" s="56"/>
    </row>
    <row r="70" customFormat="false" ht="15" hidden="false" customHeight="false" outlineLevel="0" collapsed="false">
      <c r="B70" s="56"/>
      <c r="C70" s="56"/>
      <c r="D70" s="57"/>
      <c r="E70" s="71"/>
      <c r="F70" s="58"/>
      <c r="G70" s="72" t="str">
        <f aca="false">IF(OR(D70="",E70="",E70=0),"",D70/E70)</f>
        <v/>
      </c>
      <c r="H70" s="56"/>
    </row>
    <row r="71" customFormat="false" ht="15" hidden="false" customHeight="false" outlineLevel="0" collapsed="false">
      <c r="B71" s="56"/>
      <c r="C71" s="56"/>
      <c r="D71" s="57"/>
      <c r="E71" s="71"/>
      <c r="F71" s="58"/>
      <c r="G71" s="72" t="str">
        <f aca="false">IF(OR(D71="",E71="",E71=0),"",D71/E71)</f>
        <v/>
      </c>
      <c r="H71" s="56"/>
    </row>
    <row r="72" customFormat="false" ht="15" hidden="false" customHeight="false" outlineLevel="0" collapsed="false">
      <c r="B72" s="56"/>
      <c r="C72" s="56"/>
      <c r="D72" s="57"/>
      <c r="E72" s="71"/>
      <c r="F72" s="58"/>
      <c r="G72" s="72" t="str">
        <f aca="false">IF(OR(D72="",E72="",E72=0),"",D72/E72)</f>
        <v/>
      </c>
      <c r="H72" s="56"/>
    </row>
    <row r="73" customFormat="false" ht="15" hidden="false" customHeight="false" outlineLevel="0" collapsed="false">
      <c r="B73" s="56"/>
      <c r="C73" s="56"/>
      <c r="D73" s="57"/>
      <c r="E73" s="71"/>
      <c r="F73" s="58"/>
      <c r="G73" s="72" t="str">
        <f aca="false">IF(OR(D73="",E73="",E73=0),"",D73/E73)</f>
        <v/>
      </c>
      <c r="H73" s="56"/>
    </row>
    <row r="74" customFormat="false" ht="15" hidden="false" customHeight="false" outlineLevel="0" collapsed="false">
      <c r="B74" s="56"/>
      <c r="C74" s="56"/>
      <c r="D74" s="57"/>
      <c r="E74" s="71"/>
      <c r="F74" s="58"/>
      <c r="G74" s="72" t="str">
        <f aca="false">IF(OR(D74="",E74="",E74=0),"",D74/E74)</f>
        <v/>
      </c>
      <c r="H74" s="56"/>
    </row>
    <row r="75" customFormat="false" ht="15" hidden="false" customHeight="false" outlineLevel="0" collapsed="false">
      <c r="B75" s="56"/>
      <c r="C75" s="56"/>
      <c r="D75" s="57"/>
      <c r="E75" s="71"/>
      <c r="F75" s="58"/>
      <c r="G75" s="72" t="str">
        <f aca="false">IF(OR(D75="",E75="",E75=0),"",D75/E75)</f>
        <v/>
      </c>
      <c r="H75" s="56"/>
    </row>
    <row r="76" customFormat="false" ht="15" hidden="false" customHeight="false" outlineLevel="0" collapsed="false">
      <c r="B76" s="56"/>
      <c r="C76" s="56"/>
      <c r="D76" s="57"/>
      <c r="E76" s="71"/>
      <c r="F76" s="58"/>
      <c r="G76" s="72" t="str">
        <f aca="false">IF(OR(D76="",E76="",E76=0),"",D76/E76)</f>
        <v/>
      </c>
      <c r="H76" s="56"/>
    </row>
    <row r="77" customFormat="false" ht="15" hidden="false" customHeight="false" outlineLevel="0" collapsed="false">
      <c r="B77" s="56"/>
      <c r="C77" s="56"/>
      <c r="D77" s="57"/>
      <c r="E77" s="71"/>
      <c r="F77" s="58"/>
      <c r="G77" s="72" t="str">
        <f aca="false">IF(OR(D77="",E77="",E77=0),"",D77/E77)</f>
        <v/>
      </c>
      <c r="H77" s="56"/>
    </row>
    <row r="78" customFormat="false" ht="15" hidden="false" customHeight="false" outlineLevel="0" collapsed="false">
      <c r="B78" s="56"/>
      <c r="C78" s="56"/>
      <c r="D78" s="57"/>
      <c r="E78" s="71"/>
      <c r="F78" s="58"/>
      <c r="G78" s="72" t="str">
        <f aca="false">IF(OR(D78="",E78="",E78=0),"",D78/E78)</f>
        <v/>
      </c>
      <c r="H78" s="56"/>
    </row>
    <row r="79" customFormat="false" ht="15" hidden="false" customHeight="false" outlineLevel="0" collapsed="false">
      <c r="B79" s="56"/>
      <c r="C79" s="56"/>
      <c r="D79" s="57"/>
      <c r="E79" s="71"/>
      <c r="F79" s="58"/>
      <c r="G79" s="72" t="str">
        <f aca="false">IF(OR(D79="",E79="",E79=0),"",D79/E79)</f>
        <v/>
      </c>
      <c r="H79" s="56"/>
    </row>
    <row r="80" customFormat="false" ht="15" hidden="false" customHeight="false" outlineLevel="0" collapsed="false">
      <c r="B80" s="56"/>
      <c r="C80" s="56"/>
      <c r="D80" s="57"/>
      <c r="E80" s="71"/>
      <c r="F80" s="58"/>
      <c r="G80" s="72" t="str">
        <f aca="false">IF(OR(D80="",E80="",E80=0),"",D80/E80)</f>
        <v/>
      </c>
      <c r="H80" s="56"/>
    </row>
    <row r="81" customFormat="false" ht="15" hidden="false" customHeight="false" outlineLevel="0" collapsed="false">
      <c r="B81" s="56"/>
      <c r="C81" s="56"/>
      <c r="D81" s="57"/>
      <c r="E81" s="71"/>
      <c r="F81" s="58"/>
      <c r="G81" s="72" t="str">
        <f aca="false">IF(OR(D81="",E81="",E81=0),"",D81/E81)</f>
        <v/>
      </c>
      <c r="H81" s="56"/>
    </row>
    <row r="82" customFormat="false" ht="15" hidden="false" customHeight="false" outlineLevel="0" collapsed="false">
      <c r="B82" s="56"/>
      <c r="C82" s="56"/>
      <c r="D82" s="57"/>
      <c r="E82" s="71"/>
      <c r="F82" s="58"/>
      <c r="G82" s="72" t="str">
        <f aca="false">IF(OR(D82="",E82="",E82=0),"",D82/E82)</f>
        <v/>
      </c>
      <c r="H82" s="56"/>
    </row>
    <row r="83" customFormat="false" ht="15" hidden="false" customHeight="false" outlineLevel="0" collapsed="false">
      <c r="B83" s="56"/>
      <c r="C83" s="56"/>
      <c r="D83" s="57"/>
      <c r="E83" s="71"/>
      <c r="F83" s="58"/>
      <c r="G83" s="72" t="str">
        <f aca="false">IF(OR(D83="",E83="",E83=0),"",D83/E83)</f>
        <v/>
      </c>
      <c r="H83" s="56"/>
    </row>
    <row r="84" customFormat="false" ht="15" hidden="false" customHeight="false" outlineLevel="0" collapsed="false">
      <c r="B84" s="56"/>
      <c r="C84" s="56"/>
      <c r="D84" s="57"/>
      <c r="E84" s="71"/>
      <c r="F84" s="58"/>
      <c r="G84" s="72" t="str">
        <f aca="false">IF(OR(D84="",E84="",E84=0),"",D84/E84)</f>
        <v/>
      </c>
      <c r="H84" s="56"/>
    </row>
    <row r="85" customFormat="false" ht="15" hidden="false" customHeight="false" outlineLevel="0" collapsed="false">
      <c r="B85" s="56"/>
      <c r="C85" s="56"/>
      <c r="D85" s="57"/>
      <c r="E85" s="71"/>
      <c r="F85" s="58"/>
      <c r="G85" s="72" t="str">
        <f aca="false">IF(OR(D85="",E85="",E85=0),"",D85/E85)</f>
        <v/>
      </c>
      <c r="H85" s="56"/>
    </row>
    <row r="86" customFormat="false" ht="15" hidden="false" customHeight="false" outlineLevel="0" collapsed="false">
      <c r="B86" s="56"/>
      <c r="C86" s="56"/>
      <c r="D86" s="57"/>
      <c r="E86" s="71"/>
      <c r="F86" s="58"/>
      <c r="G86" s="72" t="str">
        <f aca="false">IF(OR(D86="",E86="",E86=0),"",D86/E86)</f>
        <v/>
      </c>
      <c r="H86" s="56"/>
    </row>
    <row r="87" customFormat="false" ht="15" hidden="false" customHeight="false" outlineLevel="0" collapsed="false">
      <c r="B87" s="56"/>
      <c r="C87" s="56"/>
      <c r="D87" s="57"/>
      <c r="E87" s="71"/>
      <c r="F87" s="58"/>
      <c r="G87" s="72" t="str">
        <f aca="false">IF(OR(D87="",E87="",E87=0),"",D87/E87)</f>
        <v/>
      </c>
      <c r="H87" s="56"/>
    </row>
    <row r="88" customFormat="false" ht="15" hidden="false" customHeight="false" outlineLevel="0" collapsed="false">
      <c r="B88" s="56"/>
      <c r="C88" s="56"/>
      <c r="D88" s="57"/>
      <c r="E88" s="71"/>
      <c r="F88" s="58"/>
      <c r="G88" s="72" t="str">
        <f aca="false">IF(OR(D88="",E88="",E88=0),"",D88/E88)</f>
        <v/>
      </c>
      <c r="H88" s="56"/>
    </row>
    <row r="89" customFormat="false" ht="15" hidden="false" customHeight="false" outlineLevel="0" collapsed="false">
      <c r="B89" s="56"/>
      <c r="C89" s="56"/>
      <c r="D89" s="57"/>
      <c r="E89" s="71"/>
      <c r="F89" s="58"/>
      <c r="G89" s="72" t="str">
        <f aca="false">IF(OR(D89="",E89="",E89=0),"",D89/E89)</f>
        <v/>
      </c>
      <c r="H89" s="56"/>
    </row>
    <row r="90" customFormat="false" ht="15" hidden="false" customHeight="false" outlineLevel="0" collapsed="false">
      <c r="B90" s="56"/>
      <c r="C90" s="56"/>
      <c r="D90" s="57"/>
      <c r="E90" s="71"/>
      <c r="F90" s="58"/>
      <c r="G90" s="72" t="str">
        <f aca="false">IF(OR(D90="",E90="",E90=0),"",D90/E90)</f>
        <v/>
      </c>
      <c r="H90" s="56"/>
    </row>
    <row r="91" customFormat="false" ht="15" hidden="false" customHeight="false" outlineLevel="0" collapsed="false">
      <c r="B91" s="56"/>
      <c r="C91" s="56"/>
      <c r="D91" s="57"/>
      <c r="E91" s="71"/>
      <c r="F91" s="58"/>
      <c r="G91" s="72" t="str">
        <f aca="false">IF(OR(D91="",E91="",E91=0),"",D91/E91)</f>
        <v/>
      </c>
      <c r="H91" s="56"/>
    </row>
    <row r="92" customFormat="false" ht="15" hidden="false" customHeight="false" outlineLevel="0" collapsed="false">
      <c r="B92" s="56"/>
      <c r="C92" s="56"/>
      <c r="D92" s="57"/>
      <c r="E92" s="71"/>
      <c r="F92" s="58"/>
      <c r="G92" s="72" t="str">
        <f aca="false">IF(OR(D92="",E92="",E92=0),"",D92/E92)</f>
        <v/>
      </c>
      <c r="H92" s="56"/>
    </row>
    <row r="93" customFormat="false" ht="15" hidden="false" customHeight="false" outlineLevel="0" collapsed="false">
      <c r="B93" s="56"/>
      <c r="C93" s="56"/>
      <c r="D93" s="57"/>
      <c r="E93" s="71"/>
      <c r="F93" s="58"/>
      <c r="G93" s="72" t="str">
        <f aca="false">IF(OR(D93="",E93="",E93=0),"",D93/E93)</f>
        <v/>
      </c>
      <c r="H93" s="56"/>
    </row>
    <row r="94" customFormat="false" ht="15" hidden="false" customHeight="false" outlineLevel="0" collapsed="false">
      <c r="B94" s="56"/>
      <c r="C94" s="56"/>
      <c r="D94" s="57"/>
      <c r="E94" s="71"/>
      <c r="F94" s="58"/>
      <c r="G94" s="72" t="str">
        <f aca="false">IF(OR(D94="",E94="",E94=0),"",D94/E94)</f>
        <v/>
      </c>
      <c r="H94" s="56"/>
    </row>
    <row r="95" customFormat="false" ht="15" hidden="false" customHeight="false" outlineLevel="0" collapsed="false">
      <c r="B95" s="56"/>
      <c r="C95" s="56"/>
      <c r="D95" s="57"/>
      <c r="E95" s="71"/>
      <c r="F95" s="58"/>
      <c r="G95" s="72" t="str">
        <f aca="false">IF(OR(D95="",E95="",E95=0),"",D95/E95)</f>
        <v/>
      </c>
      <c r="H95" s="56"/>
    </row>
    <row r="96" customFormat="false" ht="15" hidden="false" customHeight="false" outlineLevel="0" collapsed="false">
      <c r="B96" s="56"/>
      <c r="C96" s="56"/>
      <c r="D96" s="57"/>
      <c r="E96" s="71"/>
      <c r="F96" s="58"/>
      <c r="G96" s="72" t="str">
        <f aca="false">IF(OR(D96="",E96="",E96=0),"",D96/E96)</f>
        <v/>
      </c>
      <c r="H96" s="56"/>
    </row>
    <row r="97" customFormat="false" ht="15" hidden="false" customHeight="false" outlineLevel="0" collapsed="false">
      <c r="B97" s="56"/>
      <c r="C97" s="56"/>
      <c r="D97" s="57"/>
      <c r="E97" s="71"/>
      <c r="F97" s="58"/>
      <c r="G97" s="72" t="str">
        <f aca="false">IF(OR(D97="",E97="",E97=0),"",D97/E97)</f>
        <v/>
      </c>
      <c r="H97" s="56"/>
    </row>
    <row r="98" customFormat="false" ht="15" hidden="false" customHeight="false" outlineLevel="0" collapsed="false">
      <c r="B98" s="56"/>
      <c r="C98" s="56"/>
      <c r="D98" s="57"/>
      <c r="E98" s="71"/>
      <c r="F98" s="58"/>
      <c r="G98" s="72" t="str">
        <f aca="false">IF(OR(D98="",E98="",E98=0),"",D98/E98)</f>
        <v/>
      </c>
      <c r="H98" s="56"/>
    </row>
    <row r="99" customFormat="false" ht="15" hidden="false" customHeight="false" outlineLevel="0" collapsed="false">
      <c r="B99" s="56"/>
      <c r="C99" s="56"/>
      <c r="D99" s="57"/>
      <c r="E99" s="71"/>
      <c r="F99" s="58"/>
      <c r="G99" s="72" t="str">
        <f aca="false">IF(OR(D99="",E99="",E99=0),"",D99/E99)</f>
        <v/>
      </c>
      <c r="H99" s="56"/>
    </row>
    <row r="100" customFormat="false" ht="15" hidden="false" customHeight="false" outlineLevel="0" collapsed="false">
      <c r="B100" s="56"/>
      <c r="C100" s="56"/>
      <c r="D100" s="57"/>
      <c r="E100" s="71"/>
      <c r="F100" s="58"/>
      <c r="G100" s="72" t="str">
        <f aca="false">IF(OR(D100="",E100="",E100=0),"",D100/E100)</f>
        <v/>
      </c>
      <c r="H100" s="56"/>
    </row>
    <row r="101" customFormat="false" ht="15" hidden="false" customHeight="false" outlineLevel="0" collapsed="false">
      <c r="B101" s="56"/>
      <c r="C101" s="56"/>
      <c r="D101" s="57"/>
      <c r="E101" s="71"/>
      <c r="F101" s="58"/>
      <c r="G101" s="72" t="str">
        <f aca="false">IF(OR(D101="",E101="",E101=0),"",D101/E101)</f>
        <v/>
      </c>
      <c r="H101" s="56"/>
    </row>
    <row r="102" customFormat="false" ht="15" hidden="false" customHeight="false" outlineLevel="0" collapsed="false">
      <c r="B102" s="56"/>
      <c r="C102" s="56"/>
      <c r="D102" s="57"/>
      <c r="E102" s="71"/>
      <c r="F102" s="58"/>
      <c r="G102" s="72" t="str">
        <f aca="false">IF(OR(D102="",E102="",E102=0),"",D102/E102)</f>
        <v/>
      </c>
      <c r="H102" s="56"/>
    </row>
    <row r="103" customFormat="false" ht="15" hidden="false" customHeight="false" outlineLevel="0" collapsed="false">
      <c r="B103" s="56"/>
      <c r="C103" s="56"/>
      <c r="D103" s="57"/>
      <c r="E103" s="71"/>
      <c r="F103" s="58"/>
      <c r="G103" s="72" t="str">
        <f aca="false">IF(OR(D103="",E103="",E103=0),"",D103/E103)</f>
        <v/>
      </c>
      <c r="H103" s="56"/>
    </row>
    <row r="104" customFormat="false" ht="15" hidden="false" customHeight="false" outlineLevel="0" collapsed="false">
      <c r="B104" s="56"/>
      <c r="C104" s="56"/>
      <c r="D104" s="57"/>
      <c r="E104" s="71"/>
      <c r="F104" s="58"/>
      <c r="G104" s="72" t="str">
        <f aca="false">IF(OR(D104="",E104="",E104=0),"",D104/E104)</f>
        <v/>
      </c>
      <c r="H104" s="56"/>
    </row>
    <row r="105" customFormat="false" ht="15" hidden="false" customHeight="false" outlineLevel="0" collapsed="false">
      <c r="B105" s="56"/>
      <c r="C105" s="56"/>
      <c r="D105" s="57"/>
      <c r="E105" s="71"/>
      <c r="F105" s="58"/>
      <c r="G105" s="72" t="str">
        <f aca="false">IF(OR(D105="",E105="",E105=0),"",D105/E105)</f>
        <v/>
      </c>
      <c r="H105" s="56"/>
    </row>
    <row r="106" customFormat="false" ht="15" hidden="false" customHeight="false" outlineLevel="0" collapsed="false">
      <c r="B106" s="56"/>
      <c r="C106" s="56"/>
      <c r="D106" s="57"/>
      <c r="E106" s="71"/>
      <c r="F106" s="58"/>
      <c r="G106" s="72" t="str">
        <f aca="false">IF(OR(D106="",E106="",E106=0),"",D106/E106)</f>
        <v/>
      </c>
      <c r="H106" s="56"/>
    </row>
    <row r="107" customFormat="false" ht="15" hidden="false" customHeight="false" outlineLevel="0" collapsed="false">
      <c r="B107" s="56"/>
      <c r="C107" s="56"/>
      <c r="D107" s="57"/>
      <c r="E107" s="71"/>
      <c r="F107" s="58"/>
      <c r="G107" s="72" t="str">
        <f aca="false">IF(OR(D107="",E107="",E107=0),"",D107/E107)</f>
        <v/>
      </c>
      <c r="H107" s="56"/>
    </row>
    <row r="108" customFormat="false" ht="15" hidden="false" customHeight="false" outlineLevel="0" collapsed="false">
      <c r="B108" s="56"/>
      <c r="C108" s="56"/>
      <c r="D108" s="57"/>
      <c r="E108" s="71"/>
      <c r="F108" s="58"/>
      <c r="G108" s="72" t="str">
        <f aca="false">IF(OR(D108="",E108="",E108=0),"",D108/E108)</f>
        <v/>
      </c>
      <c r="H108" s="56"/>
    </row>
    <row r="109" customFormat="false" ht="15" hidden="false" customHeight="false" outlineLevel="0" collapsed="false">
      <c r="B109" s="56"/>
      <c r="C109" s="56"/>
      <c r="D109" s="57"/>
      <c r="E109" s="71"/>
      <c r="F109" s="58"/>
      <c r="G109" s="72" t="str">
        <f aca="false">IF(OR(D109="",E109="",E109=0),"",D109/E109)</f>
        <v/>
      </c>
      <c r="H109" s="56"/>
    </row>
    <row r="110" customFormat="false" ht="15" hidden="false" customHeight="false" outlineLevel="0" collapsed="false">
      <c r="B110" s="56"/>
      <c r="C110" s="56"/>
      <c r="D110" s="57"/>
      <c r="E110" s="71"/>
      <c r="F110" s="58"/>
      <c r="G110" s="72" t="str">
        <f aca="false">IF(OR(D110="",E110="",E110=0),"",D110/E110)</f>
        <v/>
      </c>
      <c r="H110" s="56"/>
    </row>
    <row r="111" customFormat="false" ht="15" hidden="false" customHeight="false" outlineLevel="0" collapsed="false">
      <c r="B111" s="56"/>
      <c r="C111" s="56"/>
      <c r="D111" s="57"/>
      <c r="E111" s="71"/>
      <c r="F111" s="58"/>
      <c r="G111" s="72" t="str">
        <f aca="false">IF(OR(D111="",E111="",E111=0),"",D111/E111)</f>
        <v/>
      </c>
      <c r="H111" s="56"/>
    </row>
    <row r="112" customFormat="false" ht="15" hidden="false" customHeight="false" outlineLevel="0" collapsed="false">
      <c r="B112" s="56"/>
      <c r="C112" s="56"/>
      <c r="D112" s="57"/>
      <c r="E112" s="71"/>
      <c r="F112" s="58"/>
      <c r="G112" s="72" t="str">
        <f aca="false">IF(OR(D112="",E112="",E112=0),"",D112/E112)</f>
        <v/>
      </c>
      <c r="H112" s="56"/>
    </row>
    <row r="113" customFormat="false" ht="15" hidden="false" customHeight="false" outlineLevel="0" collapsed="false">
      <c r="B113" s="56"/>
      <c r="C113" s="56"/>
      <c r="D113" s="57"/>
      <c r="E113" s="71"/>
      <c r="F113" s="58"/>
      <c r="G113" s="72" t="str">
        <f aca="false">IF(OR(D113="",E113="",E113=0),"",D113/E113)</f>
        <v/>
      </c>
      <c r="H113" s="56"/>
    </row>
    <row r="114" customFormat="false" ht="15" hidden="false" customHeight="false" outlineLevel="0" collapsed="false">
      <c r="B114" s="56"/>
      <c r="C114" s="56"/>
      <c r="D114" s="57"/>
      <c r="E114" s="71"/>
      <c r="F114" s="58"/>
      <c r="G114" s="72" t="str">
        <f aca="false">IF(OR(D114="",E114="",E114=0),"",D114/E114)</f>
        <v/>
      </c>
      <c r="H114" s="56"/>
    </row>
    <row r="115" customFormat="false" ht="15" hidden="false" customHeight="false" outlineLevel="0" collapsed="false">
      <c r="B115" s="56"/>
      <c r="C115" s="56"/>
      <c r="D115" s="57"/>
      <c r="E115" s="71"/>
      <c r="F115" s="58"/>
      <c r="G115" s="72" t="str">
        <f aca="false">IF(OR(D115="",E115="",E115=0),"",D115/E115)</f>
        <v/>
      </c>
      <c r="H115" s="56"/>
    </row>
    <row r="116" customFormat="false" ht="15" hidden="false" customHeight="false" outlineLevel="0" collapsed="false">
      <c r="B116" s="56"/>
      <c r="C116" s="56"/>
      <c r="D116" s="57"/>
      <c r="E116" s="71"/>
      <c r="F116" s="58"/>
      <c r="G116" s="72" t="str">
        <f aca="false">IF(OR(D116="",E116="",E116=0),"",D116/E116)</f>
        <v/>
      </c>
      <c r="H116" s="56"/>
    </row>
    <row r="117" customFormat="false" ht="15" hidden="false" customHeight="false" outlineLevel="0" collapsed="false">
      <c r="B117" s="56"/>
      <c r="C117" s="56"/>
      <c r="D117" s="57"/>
      <c r="E117" s="71"/>
      <c r="F117" s="58"/>
      <c r="G117" s="72" t="str">
        <f aca="false">IF(OR(D117="",E117="",E117=0),"",D117/E117)</f>
        <v/>
      </c>
      <c r="H117" s="56"/>
    </row>
    <row r="118" customFormat="false" ht="15" hidden="false" customHeight="false" outlineLevel="0" collapsed="false">
      <c r="B118" s="56"/>
      <c r="C118" s="56"/>
      <c r="D118" s="57"/>
      <c r="E118" s="71"/>
      <c r="F118" s="58"/>
      <c r="G118" s="72" t="str">
        <f aca="false">IF(OR(D118="",E118="",E118=0),"",D118/E118)</f>
        <v/>
      </c>
      <c r="H118" s="56"/>
    </row>
    <row r="119" customFormat="false" ht="15" hidden="false" customHeight="false" outlineLevel="0" collapsed="false">
      <c r="B119" s="56"/>
      <c r="C119" s="56"/>
      <c r="D119" s="57"/>
      <c r="E119" s="71"/>
      <c r="F119" s="58"/>
      <c r="G119" s="72" t="str">
        <f aca="false">IF(OR(D119="",E119="",E119=0),"",D119/E119)</f>
        <v/>
      </c>
      <c r="H119" s="56"/>
    </row>
    <row r="120" customFormat="false" ht="15" hidden="false" customHeight="false" outlineLevel="0" collapsed="false">
      <c r="B120" s="56"/>
      <c r="C120" s="56"/>
      <c r="D120" s="57"/>
      <c r="E120" s="71"/>
      <c r="F120" s="58"/>
      <c r="G120" s="72" t="str">
        <f aca="false">IF(OR(D120="",E120="",E120=0),"",D120/E120)</f>
        <v/>
      </c>
      <c r="H120" s="56"/>
    </row>
    <row r="121" customFormat="false" ht="15" hidden="false" customHeight="false" outlineLevel="0" collapsed="false">
      <c r="B121" s="56"/>
      <c r="C121" s="56"/>
      <c r="D121" s="57"/>
      <c r="E121" s="71"/>
      <c r="F121" s="58"/>
      <c r="G121" s="72" t="str">
        <f aca="false">IF(OR(D121="",E121="",E121=0),"",D121/E121)</f>
        <v/>
      </c>
      <c r="H121" s="56"/>
    </row>
    <row r="122" customFormat="false" ht="15" hidden="false" customHeight="false" outlineLevel="0" collapsed="false">
      <c r="B122" s="56"/>
      <c r="C122" s="56"/>
      <c r="D122" s="57"/>
      <c r="E122" s="71"/>
      <c r="F122" s="58"/>
      <c r="G122" s="72" t="str">
        <f aca="false">IF(OR(D122="",E122="",E122=0),"",D122/E122)</f>
        <v/>
      </c>
      <c r="H122" s="56"/>
    </row>
    <row r="123" customFormat="false" ht="15" hidden="false" customHeight="false" outlineLevel="0" collapsed="false">
      <c r="B123" s="56"/>
      <c r="C123" s="56"/>
      <c r="D123" s="57"/>
      <c r="E123" s="71"/>
      <c r="F123" s="58"/>
      <c r="G123" s="72" t="str">
        <f aca="false">IF(OR(D123="",E123="",E123=0),"",D123/E123)</f>
        <v/>
      </c>
      <c r="H123" s="56"/>
    </row>
    <row r="124" customFormat="false" ht="15" hidden="false" customHeight="false" outlineLevel="0" collapsed="false">
      <c r="B124" s="56"/>
      <c r="C124" s="56"/>
      <c r="D124" s="57"/>
      <c r="E124" s="71"/>
      <c r="F124" s="58"/>
      <c r="G124" s="72" t="str">
        <f aca="false">IF(OR(D124="",E124="",E124=0),"",D124/E124)</f>
        <v/>
      </c>
      <c r="H124" s="56"/>
    </row>
    <row r="125" customFormat="false" ht="15" hidden="false" customHeight="false" outlineLevel="0" collapsed="false">
      <c r="B125" s="56"/>
      <c r="C125" s="56"/>
      <c r="D125" s="57"/>
      <c r="E125" s="71"/>
      <c r="F125" s="58"/>
      <c r="G125" s="72" t="str">
        <f aca="false">IF(OR(D125="",E125="",E125=0),"",D125/E125)</f>
        <v/>
      </c>
      <c r="H125" s="56"/>
    </row>
    <row r="126" customFormat="false" ht="15" hidden="false" customHeight="false" outlineLevel="0" collapsed="false">
      <c r="B126" s="56"/>
      <c r="C126" s="56"/>
      <c r="D126" s="57"/>
      <c r="E126" s="71"/>
      <c r="F126" s="58"/>
      <c r="G126" s="72" t="str">
        <f aca="false">IF(OR(D126="",E126="",E126=0),"",D126/E126)</f>
        <v/>
      </c>
      <c r="H126" s="56"/>
    </row>
    <row r="127" customFormat="false" ht="15" hidden="false" customHeight="false" outlineLevel="0" collapsed="false">
      <c r="B127" s="56"/>
      <c r="C127" s="56"/>
      <c r="D127" s="57"/>
      <c r="E127" s="71"/>
      <c r="F127" s="58"/>
      <c r="G127" s="72" t="str">
        <f aca="false">IF(OR(D127="",E127="",E127=0),"",D127/E127)</f>
        <v/>
      </c>
      <c r="H127" s="56"/>
    </row>
    <row r="128" customFormat="false" ht="15" hidden="false" customHeight="false" outlineLevel="0" collapsed="false">
      <c r="B128" s="56"/>
      <c r="C128" s="56"/>
      <c r="D128" s="57"/>
      <c r="E128" s="71"/>
      <c r="F128" s="58"/>
      <c r="G128" s="72" t="str">
        <f aca="false">IF(OR(D128="",E128="",E128=0),"",D128/E128)</f>
        <v/>
      </c>
      <c r="H128" s="56"/>
    </row>
    <row r="129" customFormat="false" ht="15" hidden="false" customHeight="false" outlineLevel="0" collapsed="false">
      <c r="B129" s="56"/>
      <c r="C129" s="56"/>
      <c r="D129" s="57"/>
      <c r="E129" s="71"/>
      <c r="F129" s="58"/>
      <c r="G129" s="72" t="str">
        <f aca="false">IF(OR(D129="",E129="",E129=0),"",D129/E129)</f>
        <v/>
      </c>
      <c r="H129" s="56"/>
    </row>
    <row r="130" customFormat="false" ht="15" hidden="false" customHeight="false" outlineLevel="0" collapsed="false">
      <c r="B130" s="56"/>
      <c r="C130" s="56"/>
      <c r="D130" s="57"/>
      <c r="E130" s="71"/>
      <c r="F130" s="58"/>
      <c r="G130" s="72" t="str">
        <f aca="false">IF(OR(D130="",E130="",E130=0),"",D130/E130)</f>
        <v/>
      </c>
      <c r="H130" s="56"/>
    </row>
    <row r="131" customFormat="false" ht="15" hidden="false" customHeight="false" outlineLevel="0" collapsed="false">
      <c r="B131" s="56"/>
      <c r="C131" s="56"/>
      <c r="D131" s="57"/>
      <c r="E131" s="71"/>
      <c r="F131" s="58"/>
      <c r="G131" s="72" t="str">
        <f aca="false">IF(OR(D131="",E131="",E131=0),"",D131/E131)</f>
        <v/>
      </c>
      <c r="H131" s="56"/>
    </row>
    <row r="132" customFormat="false" ht="15" hidden="false" customHeight="false" outlineLevel="0" collapsed="false">
      <c r="B132" s="56"/>
      <c r="C132" s="56"/>
      <c r="D132" s="57"/>
      <c r="E132" s="71"/>
      <c r="F132" s="58"/>
      <c r="G132" s="72" t="str">
        <f aca="false">IF(OR(D132="",E132="",E132=0),"",D132/E132)</f>
        <v/>
      </c>
      <c r="H132" s="56"/>
    </row>
    <row r="133" customFormat="false" ht="15" hidden="false" customHeight="false" outlineLevel="0" collapsed="false">
      <c r="B133" s="56"/>
      <c r="C133" s="56"/>
      <c r="D133" s="57"/>
      <c r="E133" s="71"/>
      <c r="F133" s="58"/>
      <c r="G133" s="72" t="str">
        <f aca="false">IF(OR(D133="",E133="",E133=0),"",D133/E133)</f>
        <v/>
      </c>
      <c r="H133" s="56"/>
    </row>
    <row r="134" customFormat="false" ht="15" hidden="false" customHeight="false" outlineLevel="0" collapsed="false">
      <c r="B134" s="56"/>
      <c r="C134" s="56"/>
      <c r="D134" s="57"/>
      <c r="E134" s="71"/>
      <c r="F134" s="58"/>
      <c r="G134" s="72" t="str">
        <f aca="false">IF(OR(D134="",E134="",E134=0),"",D134/E134)</f>
        <v/>
      </c>
      <c r="H134" s="56"/>
    </row>
    <row r="135" customFormat="false" ht="15" hidden="false" customHeight="false" outlineLevel="0" collapsed="false">
      <c r="B135" s="56"/>
      <c r="C135" s="56"/>
      <c r="D135" s="57"/>
      <c r="E135" s="71"/>
      <c r="F135" s="58"/>
      <c r="G135" s="72" t="str">
        <f aca="false">IF(OR(D135="",E135="",E135=0),"",D135/E135)</f>
        <v/>
      </c>
      <c r="H135" s="56"/>
    </row>
    <row r="136" customFormat="false" ht="15" hidden="false" customHeight="false" outlineLevel="0" collapsed="false">
      <c r="B136" s="56"/>
      <c r="C136" s="56"/>
      <c r="D136" s="57"/>
      <c r="E136" s="71"/>
      <c r="F136" s="58"/>
      <c r="G136" s="72" t="str">
        <f aca="false">IF(OR(D136="",E136="",E136=0),"",D136/E136)</f>
        <v/>
      </c>
      <c r="H136" s="56"/>
    </row>
    <row r="137" customFormat="false" ht="15" hidden="false" customHeight="false" outlineLevel="0" collapsed="false">
      <c r="B137" s="56"/>
      <c r="C137" s="56"/>
      <c r="D137" s="57"/>
      <c r="E137" s="71"/>
      <c r="F137" s="58"/>
      <c r="G137" s="72" t="str">
        <f aca="false">IF(OR(D137="",E137="",E137=0),"",D137/E137)</f>
        <v/>
      </c>
      <c r="H137" s="56"/>
    </row>
    <row r="138" customFormat="false" ht="15" hidden="false" customHeight="false" outlineLevel="0" collapsed="false">
      <c r="B138" s="56"/>
      <c r="C138" s="56"/>
      <c r="D138" s="57"/>
      <c r="E138" s="71"/>
      <c r="F138" s="58"/>
      <c r="G138" s="72" t="str">
        <f aca="false">IF(OR(D138="",E138="",E138=0),"",D138/E138)</f>
        <v/>
      </c>
      <c r="H138" s="56"/>
    </row>
    <row r="139" customFormat="false" ht="15" hidden="false" customHeight="false" outlineLevel="0" collapsed="false">
      <c r="B139" s="56"/>
      <c r="C139" s="56"/>
      <c r="D139" s="57"/>
      <c r="E139" s="71"/>
      <c r="F139" s="58"/>
      <c r="G139" s="72" t="str">
        <f aca="false">IF(OR(D139="",E139="",E139=0),"",D139/E139)</f>
        <v/>
      </c>
      <c r="H139" s="56"/>
    </row>
    <row r="140" customFormat="false" ht="15" hidden="false" customHeight="false" outlineLevel="0" collapsed="false">
      <c r="B140" s="56"/>
      <c r="C140" s="56"/>
      <c r="D140" s="57"/>
      <c r="E140" s="71"/>
      <c r="F140" s="58"/>
      <c r="G140" s="72" t="str">
        <f aca="false">IF(OR(D140="",E140="",E140=0),"",D140/E140)</f>
        <v/>
      </c>
      <c r="H140" s="56"/>
    </row>
    <row r="141" customFormat="false" ht="15" hidden="false" customHeight="false" outlineLevel="0" collapsed="false">
      <c r="B141" s="56"/>
      <c r="C141" s="56"/>
      <c r="D141" s="57"/>
      <c r="E141" s="71"/>
      <c r="F141" s="58"/>
      <c r="G141" s="72" t="str">
        <f aca="false">IF(OR(D141="",E141="",E141=0),"",D141/E141)</f>
        <v/>
      </c>
      <c r="H141" s="56"/>
    </row>
    <row r="142" customFormat="false" ht="15" hidden="false" customHeight="false" outlineLevel="0" collapsed="false">
      <c r="B142" s="56"/>
      <c r="C142" s="56"/>
      <c r="D142" s="57"/>
      <c r="E142" s="71"/>
      <c r="F142" s="58"/>
      <c r="G142" s="72" t="str">
        <f aca="false">IF(OR(D142="",E142="",E142=0),"",D142/E142)</f>
        <v/>
      </c>
      <c r="H142" s="56"/>
    </row>
    <row r="143" customFormat="false" ht="15" hidden="false" customHeight="false" outlineLevel="0" collapsed="false">
      <c r="B143" s="56"/>
      <c r="C143" s="56"/>
      <c r="D143" s="57"/>
      <c r="E143" s="71"/>
      <c r="F143" s="58"/>
      <c r="G143" s="72" t="str">
        <f aca="false">IF(OR(D143="",E143="",E143=0),"",D143/E143)</f>
        <v/>
      </c>
      <c r="H143" s="56"/>
    </row>
    <row r="144" customFormat="false" ht="15" hidden="false" customHeight="false" outlineLevel="0" collapsed="false">
      <c r="B144" s="56"/>
      <c r="C144" s="56"/>
      <c r="D144" s="57"/>
      <c r="E144" s="71"/>
      <c r="F144" s="58"/>
      <c r="G144" s="72" t="str">
        <f aca="false">IF(OR(D144="",E144="",E144=0),"",D144/E144)</f>
        <v/>
      </c>
      <c r="H144" s="56"/>
    </row>
    <row r="145" customFormat="false" ht="15" hidden="false" customHeight="false" outlineLevel="0" collapsed="false">
      <c r="B145" s="56"/>
      <c r="C145" s="56"/>
      <c r="D145" s="57"/>
      <c r="E145" s="71"/>
      <c r="F145" s="58"/>
      <c r="G145" s="72" t="str">
        <f aca="false">IF(OR(D145="",E145="",E145=0),"",D145/E145)</f>
        <v/>
      </c>
      <c r="H145" s="56"/>
    </row>
    <row r="146" customFormat="false" ht="15" hidden="false" customHeight="false" outlineLevel="0" collapsed="false">
      <c r="B146" s="56"/>
      <c r="C146" s="56"/>
      <c r="D146" s="57"/>
      <c r="E146" s="71"/>
      <c r="F146" s="58"/>
      <c r="G146" s="72" t="str">
        <f aca="false">IF(OR(D146="",E146="",E146=0),"",D146/E146)</f>
        <v/>
      </c>
      <c r="H146" s="56"/>
    </row>
    <row r="147" customFormat="false" ht="15" hidden="false" customHeight="false" outlineLevel="0" collapsed="false">
      <c r="B147" s="56"/>
      <c r="C147" s="56"/>
      <c r="D147" s="57"/>
      <c r="E147" s="71"/>
      <c r="F147" s="58"/>
      <c r="G147" s="72" t="str">
        <f aca="false">IF(OR(D147="",E147="",E147=0),"",D147/E147)</f>
        <v/>
      </c>
      <c r="H147" s="56"/>
    </row>
    <row r="148" customFormat="false" ht="15" hidden="false" customHeight="false" outlineLevel="0" collapsed="false">
      <c r="B148" s="56"/>
      <c r="C148" s="56"/>
      <c r="D148" s="57"/>
      <c r="E148" s="71"/>
      <c r="F148" s="58"/>
      <c r="G148" s="72" t="str">
        <f aca="false">IF(OR(D148="",E148="",E148=0),"",D148/E148)</f>
        <v/>
      </c>
      <c r="H148" s="56"/>
    </row>
    <row r="149" customFormat="false" ht="15" hidden="false" customHeight="false" outlineLevel="0" collapsed="false">
      <c r="B149" s="56"/>
      <c r="C149" s="56"/>
      <c r="D149" s="57"/>
      <c r="E149" s="71"/>
      <c r="F149" s="58"/>
      <c r="G149" s="72" t="str">
        <f aca="false">IF(OR(D149="",E149="",E149=0),"",D149/E149)</f>
        <v/>
      </c>
      <c r="H149" s="56"/>
    </row>
    <row r="150" customFormat="false" ht="15" hidden="false" customHeight="false" outlineLevel="0" collapsed="false">
      <c r="B150" s="56"/>
      <c r="C150" s="56"/>
      <c r="D150" s="57"/>
      <c r="E150" s="71"/>
      <c r="F150" s="58"/>
      <c r="G150" s="72" t="str">
        <f aca="false">IF(OR(D150="",E150="",E150=0),"",D150/E150)</f>
        <v/>
      </c>
      <c r="H150" s="56"/>
    </row>
    <row r="151" customFormat="false" ht="15" hidden="false" customHeight="false" outlineLevel="0" collapsed="false">
      <c r="B151" s="56"/>
      <c r="C151" s="56"/>
      <c r="D151" s="57"/>
      <c r="E151" s="71"/>
      <c r="F151" s="58"/>
      <c r="G151" s="72" t="str">
        <f aca="false">IF(OR(D151="",E151="",E151=0),"",D151/E151)</f>
        <v/>
      </c>
      <c r="H151" s="56"/>
    </row>
    <row r="152" customFormat="false" ht="15" hidden="false" customHeight="false" outlineLevel="0" collapsed="false">
      <c r="B152" s="56"/>
      <c r="C152" s="56"/>
      <c r="D152" s="57"/>
      <c r="E152" s="71"/>
      <c r="F152" s="58"/>
      <c r="G152" s="72" t="str">
        <f aca="false">IF(OR(D152="",E152="",E152=0),"",D152/E152)</f>
        <v/>
      </c>
      <c r="H152" s="56"/>
    </row>
    <row r="153" customFormat="false" ht="15" hidden="false" customHeight="false" outlineLevel="0" collapsed="false">
      <c r="B153" s="56"/>
      <c r="C153" s="56"/>
      <c r="D153" s="57"/>
      <c r="E153" s="71"/>
      <c r="F153" s="58"/>
      <c r="G153" s="72" t="str">
        <f aca="false">IF(OR(D153="",E153="",E153=0),"",D153/E153)</f>
        <v/>
      </c>
      <c r="H153" s="56"/>
    </row>
    <row r="154" customFormat="false" ht="15" hidden="false" customHeight="false" outlineLevel="0" collapsed="false">
      <c r="B154" s="56"/>
      <c r="C154" s="56"/>
      <c r="D154" s="57"/>
      <c r="E154" s="71"/>
      <c r="F154" s="58"/>
      <c r="G154" s="72" t="str">
        <f aca="false">IF(OR(D154="",E154="",E154=0),"",D154/E154)</f>
        <v/>
      </c>
      <c r="H154" s="56"/>
    </row>
    <row r="155" customFormat="false" ht="15" hidden="false" customHeight="false" outlineLevel="0" collapsed="false">
      <c r="B155" s="56"/>
      <c r="C155" s="56"/>
      <c r="D155" s="57"/>
      <c r="E155" s="71"/>
      <c r="F155" s="58"/>
      <c r="G155" s="72" t="str">
        <f aca="false">IF(OR(D155="",E155="",E155=0),"",D155/E155)</f>
        <v/>
      </c>
      <c r="H155" s="56"/>
    </row>
    <row r="156" customFormat="false" ht="15" hidden="false" customHeight="false" outlineLevel="0" collapsed="false">
      <c r="B156" s="56"/>
      <c r="C156" s="56"/>
      <c r="D156" s="57"/>
      <c r="E156" s="71"/>
      <c r="F156" s="58"/>
      <c r="G156" s="72" t="str">
        <f aca="false">IF(OR(D156="",E156="",E156=0),"",D156/E156)</f>
        <v/>
      </c>
      <c r="H156" s="56"/>
    </row>
    <row r="157" customFormat="false" ht="15" hidden="false" customHeight="false" outlineLevel="0" collapsed="false">
      <c r="B157" s="56"/>
      <c r="C157" s="56"/>
      <c r="D157" s="57"/>
      <c r="E157" s="71"/>
      <c r="F157" s="58"/>
      <c r="G157" s="72" t="str">
        <f aca="false">IF(OR(D157="",E157="",E157=0),"",D157/E157)</f>
        <v/>
      </c>
      <c r="H157" s="56"/>
    </row>
    <row r="158" customFormat="false" ht="15" hidden="false" customHeight="false" outlineLevel="0" collapsed="false">
      <c r="B158" s="56"/>
      <c r="C158" s="56"/>
      <c r="D158" s="57"/>
      <c r="E158" s="71"/>
      <c r="F158" s="58"/>
      <c r="G158" s="72" t="str">
        <f aca="false">IF(OR(D158="",E158="",E158=0),"",D158/E158)</f>
        <v/>
      </c>
      <c r="H158" s="56"/>
    </row>
    <row r="159" customFormat="false" ht="15" hidden="false" customHeight="false" outlineLevel="0" collapsed="false">
      <c r="B159" s="56"/>
      <c r="C159" s="56"/>
      <c r="D159" s="57"/>
      <c r="E159" s="71"/>
      <c r="F159" s="58"/>
      <c r="G159" s="72" t="str">
        <f aca="false">IF(OR(D159="",E159="",E159=0),"",D159/E159)</f>
        <v/>
      </c>
      <c r="H159" s="56"/>
    </row>
    <row r="160" customFormat="false" ht="15" hidden="false" customHeight="false" outlineLevel="0" collapsed="false">
      <c r="B160" s="56"/>
      <c r="C160" s="56"/>
      <c r="D160" s="57"/>
      <c r="E160" s="71"/>
      <c r="F160" s="58"/>
      <c r="G160" s="72" t="str">
        <f aca="false">IF(OR(D160="",E160="",E160=0),"",D160/E160)</f>
        <v/>
      </c>
      <c r="H160" s="56"/>
    </row>
    <row r="161" customFormat="false" ht="15" hidden="false" customHeight="false" outlineLevel="0" collapsed="false">
      <c r="B161" s="56"/>
      <c r="C161" s="56"/>
      <c r="D161" s="57"/>
      <c r="E161" s="71"/>
      <c r="F161" s="58"/>
      <c r="G161" s="72" t="str">
        <f aca="false">IF(OR(D161="",E161="",E161=0),"",D161/E161)</f>
        <v/>
      </c>
      <c r="H161" s="56"/>
    </row>
    <row r="162" customFormat="false" ht="15" hidden="false" customHeight="false" outlineLevel="0" collapsed="false">
      <c r="B162" s="56"/>
      <c r="C162" s="56"/>
      <c r="D162" s="57"/>
      <c r="E162" s="71"/>
      <c r="F162" s="58"/>
      <c r="G162" s="72" t="str">
        <f aca="false">IF(OR(D162="",E162="",E162=0),"",D162/E162)</f>
        <v/>
      </c>
      <c r="H162" s="56"/>
    </row>
    <row r="163" customFormat="false" ht="15" hidden="false" customHeight="false" outlineLevel="0" collapsed="false">
      <c r="B163" s="56"/>
      <c r="C163" s="56"/>
      <c r="D163" s="57"/>
      <c r="E163" s="71"/>
      <c r="F163" s="58"/>
      <c r="G163" s="72" t="str">
        <f aca="false">IF(OR(D163="",E163="",E163=0),"",D163/E163)</f>
        <v/>
      </c>
      <c r="H163" s="56"/>
    </row>
    <row r="164" customFormat="false" ht="15" hidden="false" customHeight="false" outlineLevel="0" collapsed="false">
      <c r="B164" s="56"/>
      <c r="C164" s="56"/>
      <c r="D164" s="57"/>
      <c r="E164" s="71"/>
      <c r="F164" s="58"/>
      <c r="G164" s="72" t="str">
        <f aca="false">IF(OR(D164="",E164="",E164=0),"",D164/E164)</f>
        <v/>
      </c>
      <c r="H164" s="56"/>
    </row>
    <row r="165" customFormat="false" ht="15" hidden="false" customHeight="false" outlineLevel="0" collapsed="false">
      <c r="B165" s="56"/>
      <c r="C165" s="56"/>
      <c r="D165" s="57"/>
      <c r="E165" s="71"/>
      <c r="F165" s="58"/>
      <c r="G165" s="72" t="str">
        <f aca="false">IF(OR(D165="",E165="",E165=0),"",D165/E165)</f>
        <v/>
      </c>
      <c r="H165" s="56"/>
    </row>
    <row r="166" customFormat="false" ht="15" hidden="false" customHeight="false" outlineLevel="0" collapsed="false">
      <c r="B166" s="56"/>
      <c r="C166" s="56"/>
      <c r="D166" s="57"/>
      <c r="E166" s="71"/>
      <c r="F166" s="58"/>
      <c r="G166" s="72" t="str">
        <f aca="false">IF(OR(D166="",E166="",E166=0),"",D166/E166)</f>
        <v/>
      </c>
      <c r="H166" s="56"/>
    </row>
    <row r="167" customFormat="false" ht="15" hidden="false" customHeight="false" outlineLevel="0" collapsed="false">
      <c r="B167" s="56"/>
      <c r="C167" s="56"/>
      <c r="D167" s="57"/>
      <c r="E167" s="71"/>
      <c r="F167" s="58"/>
      <c r="G167" s="72" t="str">
        <f aca="false">IF(OR(D167="",E167="",E167=0),"",D167/E167)</f>
        <v/>
      </c>
      <c r="H167" s="56"/>
    </row>
    <row r="168" customFormat="false" ht="15" hidden="false" customHeight="false" outlineLevel="0" collapsed="false">
      <c r="B168" s="56"/>
      <c r="C168" s="56"/>
      <c r="D168" s="57"/>
      <c r="E168" s="71"/>
      <c r="F168" s="58"/>
      <c r="G168" s="72" t="str">
        <f aca="false">IF(OR(D168="",E168="",E168=0),"",D168/E168)</f>
        <v/>
      </c>
      <c r="H168" s="56"/>
    </row>
    <row r="169" customFormat="false" ht="15" hidden="false" customHeight="false" outlineLevel="0" collapsed="false">
      <c r="B169" s="56"/>
      <c r="C169" s="56"/>
      <c r="D169" s="57"/>
      <c r="E169" s="71"/>
      <c r="F169" s="58"/>
      <c r="G169" s="72" t="str">
        <f aca="false">IF(OR(D169="",E169="",E169=0),"",D169/E169)</f>
        <v/>
      </c>
      <c r="H169" s="56"/>
    </row>
    <row r="170" customFormat="false" ht="15" hidden="false" customHeight="false" outlineLevel="0" collapsed="false">
      <c r="B170" s="56"/>
      <c r="C170" s="56"/>
      <c r="D170" s="57"/>
      <c r="E170" s="71"/>
      <c r="F170" s="58"/>
      <c r="G170" s="72" t="str">
        <f aca="false">IF(OR(D170="",E170="",E170=0),"",D170/E170)</f>
        <v/>
      </c>
      <c r="H170" s="56"/>
    </row>
    <row r="171" customFormat="false" ht="15" hidden="false" customHeight="false" outlineLevel="0" collapsed="false">
      <c r="B171" s="56"/>
      <c r="C171" s="56"/>
      <c r="D171" s="57"/>
      <c r="E171" s="71"/>
      <c r="F171" s="58"/>
      <c r="G171" s="72" t="str">
        <f aca="false">IF(OR(D171="",E171="",E171=0),"",D171/E171)</f>
        <v/>
      </c>
      <c r="H171" s="56"/>
    </row>
    <row r="172" customFormat="false" ht="15" hidden="false" customHeight="false" outlineLevel="0" collapsed="false">
      <c r="B172" s="56"/>
      <c r="C172" s="56"/>
      <c r="D172" s="57"/>
      <c r="E172" s="71"/>
      <c r="F172" s="58"/>
      <c r="G172" s="72" t="str">
        <f aca="false">IF(OR(D172="",E172="",E172=0),"",D172/E172)</f>
        <v/>
      </c>
      <c r="H172" s="56"/>
    </row>
    <row r="173" customFormat="false" ht="15" hidden="false" customHeight="false" outlineLevel="0" collapsed="false">
      <c r="B173" s="56"/>
      <c r="C173" s="56"/>
      <c r="D173" s="57"/>
      <c r="E173" s="71"/>
      <c r="F173" s="58"/>
      <c r="G173" s="72" t="str">
        <f aca="false">IF(OR(D173="",E173="",E173=0),"",D173/E173)</f>
        <v/>
      </c>
      <c r="H173" s="56"/>
    </row>
    <row r="174" customFormat="false" ht="15" hidden="false" customHeight="false" outlineLevel="0" collapsed="false">
      <c r="B174" s="56"/>
      <c r="C174" s="56"/>
      <c r="D174" s="57"/>
      <c r="E174" s="71"/>
      <c r="F174" s="58"/>
      <c r="G174" s="72" t="str">
        <f aca="false">IF(OR(D174="",E174="",E174=0),"",D174/E174)</f>
        <v/>
      </c>
      <c r="H174" s="56"/>
    </row>
    <row r="175" customFormat="false" ht="15" hidden="false" customHeight="false" outlineLevel="0" collapsed="false">
      <c r="B175" s="56"/>
      <c r="C175" s="56"/>
      <c r="D175" s="57"/>
      <c r="E175" s="71"/>
      <c r="F175" s="58"/>
      <c r="G175" s="72" t="str">
        <f aca="false">IF(OR(D175="",E175="",E175=0),"",D175/E175)</f>
        <v/>
      </c>
      <c r="H175" s="56"/>
    </row>
    <row r="176" customFormat="false" ht="15" hidden="false" customHeight="false" outlineLevel="0" collapsed="false">
      <c r="B176" s="56"/>
      <c r="C176" s="56"/>
      <c r="D176" s="57"/>
      <c r="E176" s="71"/>
      <c r="F176" s="58"/>
      <c r="G176" s="72" t="str">
        <f aca="false">IF(OR(D176="",E176="",E176=0),"",D176/E176)</f>
        <v/>
      </c>
      <c r="H176" s="56"/>
    </row>
    <row r="177" customFormat="false" ht="15" hidden="false" customHeight="false" outlineLevel="0" collapsed="false">
      <c r="B177" s="56"/>
      <c r="C177" s="56"/>
      <c r="D177" s="57"/>
      <c r="E177" s="71"/>
      <c r="F177" s="58"/>
      <c r="G177" s="72" t="str">
        <f aca="false">IF(OR(D177="",E177="",E177=0),"",D177/E177)</f>
        <v/>
      </c>
      <c r="H177" s="56"/>
    </row>
    <row r="178" customFormat="false" ht="15" hidden="false" customHeight="false" outlineLevel="0" collapsed="false">
      <c r="B178" s="56"/>
      <c r="C178" s="56"/>
      <c r="D178" s="57"/>
      <c r="E178" s="71"/>
      <c r="F178" s="58"/>
      <c r="G178" s="72" t="str">
        <f aca="false">IF(OR(D178="",E178="",E178=0),"",D178/E178)</f>
        <v/>
      </c>
      <c r="H178" s="56"/>
    </row>
    <row r="179" customFormat="false" ht="15" hidden="false" customHeight="false" outlineLevel="0" collapsed="false">
      <c r="B179" s="56"/>
      <c r="C179" s="56"/>
      <c r="D179" s="57"/>
      <c r="E179" s="71"/>
      <c r="F179" s="58"/>
      <c r="G179" s="72" t="str">
        <f aca="false">IF(OR(D179="",E179="",E179=0),"",D179/E179)</f>
        <v/>
      </c>
      <c r="H179" s="56"/>
    </row>
    <row r="180" customFormat="false" ht="15" hidden="false" customHeight="false" outlineLevel="0" collapsed="false">
      <c r="B180" s="56"/>
      <c r="C180" s="56"/>
      <c r="D180" s="57"/>
      <c r="E180" s="71"/>
      <c r="F180" s="58"/>
      <c r="G180" s="72" t="str">
        <f aca="false">IF(OR(D180="",E180="",E180=0),"",D180/E180)</f>
        <v/>
      </c>
      <c r="H180" s="56"/>
    </row>
    <row r="181" customFormat="false" ht="15" hidden="false" customHeight="false" outlineLevel="0" collapsed="false">
      <c r="B181" s="56"/>
      <c r="C181" s="56"/>
      <c r="D181" s="57"/>
      <c r="E181" s="71"/>
      <c r="F181" s="58"/>
      <c r="G181" s="72" t="str">
        <f aca="false">IF(OR(D181="",E181="",E181=0),"",D181/E181)</f>
        <v/>
      </c>
      <c r="H181" s="56"/>
    </row>
    <row r="182" customFormat="false" ht="15" hidden="false" customHeight="false" outlineLevel="0" collapsed="false">
      <c r="B182" s="56"/>
      <c r="C182" s="56"/>
      <c r="D182" s="57"/>
      <c r="E182" s="71"/>
      <c r="F182" s="58"/>
      <c r="G182" s="72" t="str">
        <f aca="false">IF(OR(D182="",E182="",E182=0),"",D182/E182)</f>
        <v/>
      </c>
      <c r="H182" s="56"/>
    </row>
    <row r="183" customFormat="false" ht="15" hidden="false" customHeight="false" outlineLevel="0" collapsed="false">
      <c r="B183" s="56"/>
      <c r="C183" s="56"/>
      <c r="D183" s="57"/>
      <c r="E183" s="71"/>
      <c r="F183" s="58"/>
      <c r="G183" s="72" t="str">
        <f aca="false">IF(OR(D183="",E183="",E183=0),"",D183/E183)</f>
        <v/>
      </c>
      <c r="H183" s="56"/>
    </row>
    <row r="184" customFormat="false" ht="15" hidden="false" customHeight="false" outlineLevel="0" collapsed="false">
      <c r="B184" s="56"/>
      <c r="C184" s="56"/>
      <c r="D184" s="57"/>
      <c r="E184" s="71"/>
      <c r="F184" s="58"/>
      <c r="G184" s="72" t="str">
        <f aca="false">IF(OR(D184="",E184="",E184=0),"",D184/E184)</f>
        <v/>
      </c>
      <c r="H184" s="56"/>
    </row>
    <row r="185" customFormat="false" ht="15" hidden="false" customHeight="false" outlineLevel="0" collapsed="false">
      <c r="B185" s="56"/>
      <c r="C185" s="56"/>
      <c r="D185" s="57"/>
      <c r="E185" s="71"/>
      <c r="F185" s="58"/>
      <c r="G185" s="72" t="str">
        <f aca="false">IF(OR(D185="",E185="",E185=0),"",D185/E185)</f>
        <v/>
      </c>
      <c r="H185" s="56"/>
    </row>
    <row r="186" customFormat="false" ht="15" hidden="false" customHeight="false" outlineLevel="0" collapsed="false">
      <c r="B186" s="56"/>
      <c r="C186" s="56"/>
      <c r="D186" s="57"/>
      <c r="E186" s="71"/>
      <c r="F186" s="58"/>
      <c r="G186" s="72" t="str">
        <f aca="false">IF(OR(D186="",E186="",E186=0),"",D186/E186)</f>
        <v/>
      </c>
      <c r="H186" s="56"/>
    </row>
    <row r="187" customFormat="false" ht="15" hidden="false" customHeight="false" outlineLevel="0" collapsed="false">
      <c r="B187" s="56"/>
      <c r="C187" s="56"/>
      <c r="D187" s="57"/>
      <c r="E187" s="71"/>
      <c r="F187" s="58"/>
      <c r="G187" s="72" t="str">
        <f aca="false">IF(OR(D187="",E187="",E187=0),"",D187/E187)</f>
        <v/>
      </c>
      <c r="H187" s="56"/>
    </row>
    <row r="188" customFormat="false" ht="15" hidden="false" customHeight="false" outlineLevel="0" collapsed="false">
      <c r="B188" s="56"/>
      <c r="C188" s="56"/>
      <c r="D188" s="57"/>
      <c r="E188" s="71"/>
      <c r="F188" s="58"/>
      <c r="G188" s="72" t="str">
        <f aca="false">IF(OR(D188="",E188="",E188=0),"",D188/E188)</f>
        <v/>
      </c>
      <c r="H188" s="56"/>
    </row>
    <row r="189" customFormat="false" ht="15" hidden="false" customHeight="false" outlineLevel="0" collapsed="false">
      <c r="B189" s="56"/>
      <c r="C189" s="56"/>
      <c r="D189" s="57"/>
      <c r="E189" s="71"/>
      <c r="F189" s="58"/>
      <c r="G189" s="72" t="str">
        <f aca="false">IF(OR(D189="",E189="",E189=0),"",D189/E189)</f>
        <v/>
      </c>
      <c r="H189" s="56"/>
    </row>
    <row r="190" customFormat="false" ht="15" hidden="false" customHeight="false" outlineLevel="0" collapsed="false">
      <c r="B190" s="56"/>
      <c r="C190" s="56"/>
      <c r="D190" s="57"/>
      <c r="E190" s="71"/>
      <c r="F190" s="58"/>
      <c r="G190" s="72" t="str">
        <f aca="false">IF(OR(D190="",E190="",E190=0),"",D190/E190)</f>
        <v/>
      </c>
      <c r="H190" s="56"/>
    </row>
    <row r="191" customFormat="false" ht="15" hidden="false" customHeight="false" outlineLevel="0" collapsed="false">
      <c r="B191" s="56"/>
      <c r="C191" s="56"/>
      <c r="D191" s="57"/>
      <c r="E191" s="71"/>
      <c r="F191" s="58"/>
      <c r="G191" s="72" t="str">
        <f aca="false">IF(OR(D191="",E191="",E191=0),"",D191/E191)</f>
        <v/>
      </c>
      <c r="H191" s="56"/>
    </row>
    <row r="192" customFormat="false" ht="15" hidden="false" customHeight="false" outlineLevel="0" collapsed="false">
      <c r="B192" s="56"/>
      <c r="C192" s="56"/>
      <c r="D192" s="57"/>
      <c r="E192" s="71"/>
      <c r="F192" s="58"/>
      <c r="G192" s="72" t="str">
        <f aca="false">IF(OR(D192="",E192="",E192=0),"",D192/E192)</f>
        <v/>
      </c>
      <c r="H192" s="56"/>
    </row>
    <row r="193" customFormat="false" ht="15" hidden="false" customHeight="false" outlineLevel="0" collapsed="false">
      <c r="B193" s="56"/>
      <c r="C193" s="56"/>
      <c r="D193" s="57"/>
      <c r="E193" s="71"/>
      <c r="F193" s="58"/>
      <c r="G193" s="72" t="str">
        <f aca="false">IF(OR(D193="",E193="",E193=0),"",D193/E193)</f>
        <v/>
      </c>
      <c r="H193" s="56"/>
    </row>
    <row r="194" customFormat="false" ht="15" hidden="false" customHeight="false" outlineLevel="0" collapsed="false">
      <c r="B194" s="56"/>
      <c r="C194" s="56"/>
      <c r="D194" s="57"/>
      <c r="E194" s="71"/>
      <c r="F194" s="58"/>
      <c r="G194" s="72" t="str">
        <f aca="false">IF(OR(D194="",E194="",E194=0),"",D194/E194)</f>
        <v/>
      </c>
      <c r="H194" s="56"/>
    </row>
    <row r="195" customFormat="false" ht="15" hidden="false" customHeight="false" outlineLevel="0" collapsed="false">
      <c r="B195" s="56"/>
      <c r="C195" s="56"/>
      <c r="D195" s="57"/>
      <c r="E195" s="71"/>
      <c r="F195" s="58"/>
      <c r="G195" s="72" t="str">
        <f aca="false">IF(OR(D195="",E195="",E195=0),"",D195/E195)</f>
        <v/>
      </c>
      <c r="H195" s="56"/>
    </row>
    <row r="196" customFormat="false" ht="15" hidden="false" customHeight="false" outlineLevel="0" collapsed="false">
      <c r="B196" s="56"/>
      <c r="C196" s="56"/>
      <c r="D196" s="57"/>
      <c r="E196" s="71"/>
      <c r="F196" s="58"/>
      <c r="G196" s="72" t="str">
        <f aca="false">IF(OR(D196="",E196="",E196=0),"",D196/E196)</f>
        <v/>
      </c>
      <c r="H196" s="56"/>
    </row>
    <row r="197" customFormat="false" ht="15" hidden="false" customHeight="false" outlineLevel="0" collapsed="false">
      <c r="B197" s="56"/>
      <c r="C197" s="56"/>
      <c r="D197" s="57"/>
      <c r="E197" s="71"/>
      <c r="F197" s="58"/>
      <c r="G197" s="72" t="str">
        <f aca="false">IF(OR(D197="",E197="",E197=0),"",D197/E197)</f>
        <v/>
      </c>
      <c r="H197" s="56"/>
    </row>
    <row r="198" customFormat="false" ht="15" hidden="false" customHeight="false" outlineLevel="0" collapsed="false">
      <c r="B198" s="56"/>
      <c r="C198" s="56"/>
      <c r="D198" s="57"/>
      <c r="E198" s="71"/>
      <c r="F198" s="58"/>
      <c r="G198" s="72" t="str">
        <f aca="false">IF(OR(D198="",E198="",E198=0),"",D198/E198)</f>
        <v/>
      </c>
      <c r="H198" s="56"/>
    </row>
    <row r="199" customFormat="false" ht="15" hidden="false" customHeight="false" outlineLevel="0" collapsed="false">
      <c r="B199" s="56"/>
      <c r="C199" s="56"/>
      <c r="D199" s="57"/>
      <c r="E199" s="71"/>
      <c r="F199" s="58"/>
      <c r="G199" s="72" t="str">
        <f aca="false">IF(OR(D199="",E199="",E199=0),"",D199/E199)</f>
        <v/>
      </c>
      <c r="H199" s="56"/>
    </row>
    <row r="200" customFormat="false" ht="15" hidden="false" customHeight="false" outlineLevel="0" collapsed="false">
      <c r="B200" s="56"/>
      <c r="C200" s="56"/>
      <c r="D200" s="57"/>
      <c r="E200" s="71"/>
      <c r="F200" s="58"/>
      <c r="G200" s="72" t="str">
        <f aca="false">IF(OR(D200="",E200="",E200=0),"",D200/E200)</f>
        <v/>
      </c>
      <c r="H200" s="56"/>
    </row>
    <row r="201" customFormat="false" ht="15" hidden="false" customHeight="false" outlineLevel="0" collapsed="false">
      <c r="B201" s="56"/>
      <c r="C201" s="56"/>
      <c r="D201" s="57"/>
      <c r="E201" s="71"/>
      <c r="F201" s="58"/>
      <c r="G201" s="72" t="str">
        <f aca="false">IF(OR(D201="",E201="",E201=0),"",D201/E201)</f>
        <v/>
      </c>
      <c r="H201" s="56"/>
    </row>
    <row r="202" customFormat="false" ht="15" hidden="false" customHeight="false" outlineLevel="0" collapsed="false">
      <c r="B202" s="56"/>
      <c r="C202" s="56"/>
      <c r="D202" s="57"/>
      <c r="E202" s="71"/>
      <c r="F202" s="58"/>
      <c r="G202" s="72" t="str">
        <f aca="false">IF(OR(D202="",E202="",E202=0),"",D202/E202)</f>
        <v/>
      </c>
      <c r="H202" s="56"/>
    </row>
    <row r="203" customFormat="false" ht="15" hidden="false" customHeight="false" outlineLevel="0" collapsed="false">
      <c r="B203" s="56"/>
      <c r="C203" s="56"/>
      <c r="D203" s="57"/>
      <c r="E203" s="71"/>
      <c r="F203" s="58"/>
      <c r="G203" s="72" t="str">
        <f aca="false">IF(OR(D203="",E203="",E203=0),"",D203/E203)</f>
        <v/>
      </c>
      <c r="H203" s="56"/>
    </row>
    <row r="204" customFormat="false" ht="15" hidden="false" customHeight="false" outlineLevel="0" collapsed="false">
      <c r="B204" s="56"/>
      <c r="C204" s="56"/>
      <c r="D204" s="57"/>
      <c r="E204" s="71"/>
      <c r="F204" s="58"/>
      <c r="G204" s="72" t="str">
        <f aca="false">IF(OR(D204="",E204="",E204=0),"",D204/E204)</f>
        <v/>
      </c>
      <c r="H204" s="56"/>
    </row>
    <row r="205" customFormat="false" ht="15" hidden="false" customHeight="false" outlineLevel="0" collapsed="false">
      <c r="B205" s="56"/>
      <c r="C205" s="56"/>
      <c r="D205" s="57"/>
      <c r="E205" s="71"/>
      <c r="F205" s="58"/>
      <c r="G205" s="72" t="str">
        <f aca="false">IF(OR(D205="",E205="",E205=0),"",D205/E205)</f>
        <v/>
      </c>
      <c r="H205" s="56"/>
    </row>
  </sheetData>
  <mergeCells count="3">
    <mergeCell ref="B1:H1"/>
    <mergeCell ref="B2:H2"/>
    <mergeCell ref="B3:H3"/>
  </mergeCells>
  <dataValidations count="2">
    <dataValidation allowBlank="true" error="Enter a number ≥ 0.&#10;Escribe un número ≥ 0." errorStyle="stop" errorTitle="Number / Número" operator="greaterThanOrEqual" showDropDown="false" showErrorMessage="false" showInputMessage="false" sqref="D6:E205" type="decimal">
      <formula1>0</formula1>
      <formula2>0</formula2>
    </dataValidation>
    <dataValidation allowBlank="true" error="Choose an option from the list.&#10;Elige una opción de la lista." errorStyle="stop" errorTitle="Unit / Unidad" operator="between" showDropDown="false" showErrorMessage="false" showInputMessage="false" sqref="F6:F205" type="list">
      <formula1>"each,pair,oz,lb,g,kg,ml,l,inch,ft,yard,m,sheet,skein,hour"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A"/>
    <pageSetUpPr fitToPage="tru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6"/>
    <col collapsed="false" customWidth="true" hidden="false" outlineLevel="0" max="4" min="3" style="0" width="58"/>
    <col collapsed="false" customWidth="true" hidden="false" outlineLevel="0" max="5" min="5" style="0" width="2"/>
  </cols>
  <sheetData>
    <row r="1" customFormat="false" ht="18" hidden="false" customHeight="true" outlineLevel="0" collapsed="false">
      <c r="A1" s="1"/>
      <c r="B1" s="14" t="s">
        <v>1</v>
      </c>
      <c r="C1" s="14"/>
      <c r="D1" s="14"/>
      <c r="E1" s="14"/>
    </row>
    <row r="2" customFormat="false" ht="30" hidden="false" customHeight="true" outlineLevel="0" collapsed="false">
      <c r="A2" s="1"/>
      <c r="B2" s="15" t="s">
        <v>168</v>
      </c>
      <c r="C2" s="15"/>
      <c r="D2" s="15"/>
      <c r="E2" s="15"/>
    </row>
    <row r="3" customFormat="false" ht="19.5" hidden="false" customHeight="true" outlineLevel="0" collapsed="false">
      <c r="A3" s="1"/>
      <c r="B3" s="16" t="s">
        <v>169</v>
      </c>
      <c r="C3" s="16"/>
      <c r="D3" s="16"/>
      <c r="E3" s="16"/>
    </row>
    <row r="4" customFormat="false" ht="3.75" hidden="false" customHeight="true" outlineLevel="0" collapsed="false">
      <c r="A4" s="7"/>
      <c r="B4" s="7"/>
      <c r="C4" s="7"/>
      <c r="D4" s="7"/>
      <c r="E4" s="7"/>
    </row>
    <row r="6" customFormat="false" ht="21.75" hidden="false" customHeight="true" outlineLevel="0" collapsed="false">
      <c r="B6" s="24" t="s">
        <v>170</v>
      </c>
      <c r="C6" s="24" t="s">
        <v>171</v>
      </c>
      <c r="D6" s="24" t="s">
        <v>172</v>
      </c>
    </row>
    <row r="7" customFormat="false" ht="49.5" hidden="false" customHeight="true" outlineLevel="0" collapsed="false">
      <c r="B7" s="73" t="n">
        <v>1</v>
      </c>
      <c r="C7" s="74" t="s">
        <v>173</v>
      </c>
      <c r="D7" s="74" t="s">
        <v>174</v>
      </c>
    </row>
    <row r="8" customFormat="false" ht="49.5" hidden="false" customHeight="true" outlineLevel="0" collapsed="false">
      <c r="B8" s="73" t="n">
        <v>2</v>
      </c>
      <c r="C8" s="75" t="s">
        <v>175</v>
      </c>
      <c r="D8" s="75" t="s">
        <v>176</v>
      </c>
    </row>
    <row r="9" customFormat="false" ht="49.5" hidden="false" customHeight="true" outlineLevel="0" collapsed="false">
      <c r="B9" s="73" t="n">
        <v>3</v>
      </c>
      <c r="C9" s="74" t="s">
        <v>177</v>
      </c>
      <c r="D9" s="74" t="s">
        <v>178</v>
      </c>
    </row>
    <row r="10" customFormat="false" ht="49.5" hidden="false" customHeight="true" outlineLevel="0" collapsed="false">
      <c r="B10" s="73" t="n">
        <v>4</v>
      </c>
      <c r="C10" s="75" t="s">
        <v>179</v>
      </c>
      <c r="D10" s="75" t="s">
        <v>180</v>
      </c>
    </row>
    <row r="11" customFormat="false" ht="49.5" hidden="false" customHeight="true" outlineLevel="0" collapsed="false">
      <c r="B11" s="73" t="n">
        <v>5</v>
      </c>
      <c r="C11" s="74" t="s">
        <v>181</v>
      </c>
      <c r="D11" s="74" t="s">
        <v>182</v>
      </c>
    </row>
    <row r="12" customFormat="false" ht="36" hidden="false" customHeight="true" outlineLevel="0" collapsed="false">
      <c r="B12" s="73" t="n">
        <v>6</v>
      </c>
      <c r="C12" s="75" t="s">
        <v>183</v>
      </c>
      <c r="D12" s="75" t="s">
        <v>184</v>
      </c>
    </row>
    <row r="13" customFormat="false" ht="49.5" hidden="false" customHeight="true" outlineLevel="0" collapsed="false">
      <c r="B13" s="73" t="n">
        <v>7</v>
      </c>
      <c r="C13" s="74" t="s">
        <v>185</v>
      </c>
      <c r="D13" s="74" t="s">
        <v>186</v>
      </c>
    </row>
    <row r="14" customFormat="false" ht="49.5" hidden="false" customHeight="true" outlineLevel="0" collapsed="false">
      <c r="B14" s="73" t="n">
        <v>8</v>
      </c>
      <c r="C14" s="75" t="s">
        <v>187</v>
      </c>
      <c r="D14" s="75" t="s">
        <v>188</v>
      </c>
    </row>
    <row r="15" customFormat="false" ht="36" hidden="false" customHeight="true" outlineLevel="0" collapsed="false">
      <c r="B15" s="73" t="n">
        <v>9</v>
      </c>
      <c r="C15" s="74" t="s">
        <v>189</v>
      </c>
      <c r="D15" s="74" t="s">
        <v>190</v>
      </c>
    </row>
    <row r="16" customFormat="false" ht="49.5" hidden="false" customHeight="true" outlineLevel="0" collapsed="false">
      <c r="B16" s="73" t="n">
        <v>10</v>
      </c>
      <c r="C16" s="75" t="s">
        <v>191</v>
      </c>
      <c r="D16" s="75" t="s">
        <v>192</v>
      </c>
    </row>
    <row r="18" customFormat="false" ht="15" hidden="false" customHeight="false" outlineLevel="0" collapsed="false">
      <c r="B18" s="76" t="s">
        <v>193</v>
      </c>
      <c r="C18" s="76"/>
      <c r="D18" s="76"/>
    </row>
    <row r="19" customFormat="false" ht="18" hidden="false" customHeight="true" outlineLevel="0" collapsed="false">
      <c r="B19" s="77"/>
      <c r="C19" s="78" t="s">
        <v>194</v>
      </c>
      <c r="D19" s="78" t="s">
        <v>195</v>
      </c>
    </row>
    <row r="20" customFormat="false" ht="18" hidden="false" customHeight="true" outlineLevel="0" collapsed="false">
      <c r="B20" s="79"/>
      <c r="C20" s="78" t="s">
        <v>196</v>
      </c>
      <c r="D20" s="78" t="s">
        <v>197</v>
      </c>
    </row>
    <row r="21" customFormat="false" ht="18" hidden="false" customHeight="true" outlineLevel="0" collapsed="false">
      <c r="B21" s="80"/>
      <c r="C21" s="78" t="s">
        <v>198</v>
      </c>
      <c r="D21" s="78" t="s">
        <v>199</v>
      </c>
    </row>
    <row r="23" customFormat="false" ht="15" hidden="false" customHeight="false" outlineLevel="0" collapsed="false">
      <c r="B23" s="76" t="s">
        <v>200</v>
      </c>
      <c r="C23" s="76"/>
      <c r="D23" s="76"/>
    </row>
    <row r="24" customFormat="false" ht="49.5" hidden="false" customHeight="true" outlineLevel="0" collapsed="false">
      <c r="B24" s="81"/>
      <c r="C24" s="78" t="s">
        <v>201</v>
      </c>
      <c r="D24" s="78" t="s">
        <v>202</v>
      </c>
    </row>
    <row r="25" customFormat="false" ht="49.5" hidden="false" customHeight="true" outlineLevel="0" collapsed="false">
      <c r="B25" s="81"/>
      <c r="C25" s="78" t="s">
        <v>203</v>
      </c>
      <c r="D25" s="78" t="s">
        <v>204</v>
      </c>
    </row>
    <row r="26" customFormat="false" ht="49.5" hidden="false" customHeight="true" outlineLevel="0" collapsed="false">
      <c r="B26" s="81"/>
      <c r="C26" s="78" t="s">
        <v>205</v>
      </c>
      <c r="D26" s="78" t="s">
        <v>206</v>
      </c>
    </row>
    <row r="28" customFormat="false" ht="15" hidden="false" customHeight="false" outlineLevel="0" collapsed="false">
      <c r="B28" s="76" t="s">
        <v>207</v>
      </c>
      <c r="C28" s="76"/>
      <c r="D28" s="76"/>
    </row>
    <row r="29" customFormat="false" ht="36" hidden="false" customHeight="true" outlineLevel="0" collapsed="false">
      <c r="B29" s="81"/>
      <c r="C29" s="78" t="s">
        <v>208</v>
      </c>
      <c r="D29" s="78" t="s">
        <v>209</v>
      </c>
    </row>
    <row r="30" customFormat="false" ht="49.5" hidden="false" customHeight="true" outlineLevel="0" collapsed="false">
      <c r="B30" s="81"/>
      <c r="C30" s="78" t="s">
        <v>210</v>
      </c>
      <c r="D30" s="78" t="s">
        <v>211</v>
      </c>
    </row>
    <row r="31" customFormat="false" ht="91.5" hidden="false" customHeight="true" outlineLevel="0" collapsed="false">
      <c r="B31" s="81"/>
      <c r="C31" s="78" t="s">
        <v>212</v>
      </c>
      <c r="D31" s="78" t="s">
        <v>213</v>
      </c>
    </row>
  </sheetData>
  <mergeCells count="6">
    <mergeCell ref="B1:E1"/>
    <mergeCell ref="B2:E2"/>
    <mergeCell ref="B3:E3"/>
    <mergeCell ref="B18:D18"/>
    <mergeCell ref="B23:D23"/>
    <mergeCell ref="B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2026-10-01T00:33:18Z</dcterms:created>
  <dc:creator>ProfitTrack</dc:creator>
  <dc:description/>
  <dc:language>en-US</dc:language>
  <cp:lastModifiedBy/>
  <dcterms:modified xsi:type="dcterms:W3CDTF">2026-10-01T00:33:19Z</dcterms:modified>
  <cp:revision>0</cp:revision>
  <dc:subject/>
  <dc:title>ProfitTrack Pricing — Handmade Product Pricing Calculator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