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lip Calculator" sheetId="2" state="visible" r:id="rId4"/>
    <sheet name="Fees" sheetId="3" state="visible" r:id="rId5"/>
    <sheet name="More Too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Rows 6–10 are EXAMPLES – type over them.
Las filas 6–10 son EJEMPLOS – escribe encima.</t>
        </r>
      </text>
    </comment>
  </commentList>
</comments>
</file>

<file path=xl/sharedStrings.xml><?xml version="1.0" encoding="utf-8"?>
<sst xmlns="http://schemas.openxmlformats.org/spreadsheetml/2006/main" count="77" uniqueCount="67">
  <si>
    <t xml:space="preserve">RESELLER TOOLKIT  •  KIT PARA REVENDEDORES</t>
  </si>
  <si>
    <t xml:space="preserve">ProfitTrack</t>
  </si>
  <si>
    <t xml:space="preserve">Free Flip Profit Calculator</t>
  </si>
  <si>
    <t xml:space="preserve">Calculadora Gratis de Ganancia por Reventa</t>
  </si>
  <si>
    <t xml:space="preserve">eBay  •  Facebook Marketplace  •  Etsy  •  Poshmark  •  Mercari  •  Depop</t>
  </si>
  <si>
    <t xml:space="preserve">WHAT'S INSIDE  /  CONTENIDO   (click to open • clic para abrir)</t>
  </si>
  <si>
    <t xml:space="preserve">🧮  Flip Calculator / Calculadora</t>
  </si>
  <si>
    <t xml:space="preserve">Is it worth buying? Know your profit before you pay / ¿Vale la pena? Sabe tu ganancia antes de pagar</t>
  </si>
  <si>
    <t xml:space="preserve">⚙️  Fees / Comisiones</t>
  </si>
  <si>
    <t xml:space="preserve">Typical platform fees – edit to match yours / Comisiones típicas – edítalas</t>
  </si>
  <si>
    <t xml:space="preserve">🧰  More Tools / Más Herramientas</t>
  </si>
  <si>
    <t xml:space="preserve">The full ProfitTrack reseller toolkit / El kit completo</t>
  </si>
  <si>
    <t xml:space="preserve">FREE • GRATIS  —  💻 PC / Mac  •  📱 iPhone / Android  —  Excel • Google Sheets</t>
  </si>
  <si>
    <t xml:space="preserve">Start here → Quick Start Guide   |   Empieza aquí → Guía Rápida</t>
  </si>
  <si>
    <t xml:space="preserve">© ProfitTrack  •  v1.0  •  For personal use only – do not resell or redistribute / Solo para uso personal – prohibida su reventa o distribución</t>
  </si>
  <si>
    <t xml:space="preserve">Flip Calculator  /  Calculadora de Reventa</t>
  </si>
  <si>
    <t xml:space="preserve">Type what you'd pay and what it sells for. Compare up to 25 items before you buy.  •  Escribe cuánto pagarías y en cuánto se vende. Compara hasta 25 artículos antes de comprar.</t>
  </si>
  <si>
    <t xml:space="preserve">Item
Artículo</t>
  </si>
  <si>
    <t xml:space="preserve">Platform
Plataforma</t>
  </si>
  <si>
    <t xml:space="preserve">Buy Price
Precio de Compra</t>
  </si>
  <si>
    <t xml:space="preserve">Sale Price
Precio de Venta</t>
  </si>
  <si>
    <t xml:space="preserve">Shipping You Pay
Envío que Pagas</t>
  </si>
  <si>
    <t xml:space="preserve">Other Costs
Otros Costos</t>
  </si>
  <si>
    <t xml:space="preserve">Fee %
Comisión %</t>
  </si>
  <si>
    <t xml:space="preserve">Fees $
Comisiones $</t>
  </si>
  <si>
    <t xml:space="preserve">Profit
Ganancia</t>
  </si>
  <si>
    <t xml:space="preserve">Margin
Margen</t>
  </si>
  <si>
    <t xml:space="preserve">ROI
Retorno</t>
  </si>
  <si>
    <t xml:space="preserve">Verdict
Veredicto</t>
  </si>
  <si>
    <t xml:space="preserve">Nike Air Max 90</t>
  </si>
  <si>
    <t xml:space="preserve">eBay</t>
  </si>
  <si>
    <t xml:space="preserve">Levi's 501 Jeans</t>
  </si>
  <si>
    <t xml:space="preserve">Poshmark</t>
  </si>
  <si>
    <t xml:space="preserve">Pyrex Bowl Set</t>
  </si>
  <si>
    <t xml:space="preserve">Local / Cash</t>
  </si>
  <si>
    <t xml:space="preserve">Funko Pop</t>
  </si>
  <si>
    <t xml:space="preserve">Mercari</t>
  </si>
  <si>
    <t xml:space="preserve">Bose Headphones</t>
  </si>
  <si>
    <t xml:space="preserve">Want automatic dashboards, inventory alerts and tax-ready expense &amp; mileage logs? → See the 'More Tools' tab.  /  ¿Quieres paneles automáticos, alertas de inventario y registro de gastos y millaje? → Mira la pestaña 'More Tools'.</t>
  </si>
  <si>
    <t xml:space="preserve">Platform Fees  /  Comisiones por Plataforma</t>
  </si>
  <si>
    <t xml:space="preserve">Typical fees (US, 2026). Fees change – edit the yellow cells to match what you pay.  •  Comisiones típicas (EE. UU., 2026). Edita las celdas amarillas con lo que tú pagas.</t>
  </si>
  <si>
    <t xml:space="preserve">Fixed Fee $
Tarifa Fija $</t>
  </si>
  <si>
    <t xml:space="preserve">Notes
Notas</t>
  </si>
  <si>
    <t xml:space="preserve">Most categories; fixed fee per order. / La mayoría de categorías.</t>
  </si>
  <si>
    <t xml:space="preserve">Sales $15+. Under $15: flat $2.95 → set 0% and $2.95. / Ventas de $15+.</t>
  </si>
  <si>
    <t xml:space="preserve">Etsy</t>
  </si>
  <si>
    <t xml:space="preserve">6.5% transaction + 3% processing; $0.25 + $0.20 listing. / Transacción + procesamiento.</t>
  </si>
  <si>
    <t xml:space="preserve">Facebook Marketplace</t>
  </si>
  <si>
    <t xml:space="preserve">Shipped orders. Local cash pickup: use 'Local / Cash'. / Pedidos con envío.</t>
  </si>
  <si>
    <t xml:space="preserve">Check Mercari's current fees. / Revisa las comisiones actuales de Mercari.</t>
  </si>
  <si>
    <t xml:space="preserve">No fees on local cash sales. / Sin comisión en ventas locales.</t>
  </si>
  <si>
    <t xml:space="preserve">Other / Otro</t>
  </si>
  <si>
    <t xml:space="preserve">Enter your rate. / Escribe tu comisión.</t>
  </si>
  <si>
    <t xml:space="preserve">Your Rule  /  Tu Regla</t>
  </si>
  <si>
    <t xml:space="preserve">Good flip = margin at least / Buena reventa = margen mínimo</t>
  </si>
  <si>
    <t xml:space="preserve">The Full ProfitTrack Toolkit  /  El Kit Completo</t>
  </si>
  <si>
    <t xml:space="preserve">Liked this calculator? These tools do the rest – same design, same English + Español layout.  •  ¿Te gustó? Estas herramientas hacen el resto.</t>
  </si>
  <si>
    <t xml:space="preserve">📊 Profit Tracker</t>
  </si>
  <si>
    <t xml:space="preserve">Log every sale – fees, net profit &amp; margin automatic, low-margin alerts, dashboard by platform &amp; month. / Registro de ventas con panel automático.</t>
  </si>
  <si>
    <t xml:space="preserve">📦 Inventory Tracker</t>
  </si>
  <si>
    <t xml:space="preserve">1,000 items, days held, Fresh → Watch → Stale alerts, stock value, sell-through, 10 oldest items. / Inventario con alertas.</t>
  </si>
  <si>
    <t xml:space="preserve">🧾 Expenses &amp; Mileage</t>
  </si>
  <si>
    <t xml:space="preserve">Reseller expense categories, receipt check, mileage at the IRS rate by trip date, total tax deductions. / Gastos y millaje.</t>
  </si>
  <si>
    <t xml:space="preserve">🧰 Reseller Bundle</t>
  </si>
  <si>
    <t xml:space="preserve">All three tools together for less. / Las tres herramientas juntas por menos.</t>
  </si>
  <si>
    <t xml:space="preserve">👉  Get them here / Consíguelas aquí:  https://YOURSHOP.etsy.com</t>
  </si>
  <si>
    <t xml:space="preserve">Free for personal use. Please share the download link, not the file. / Gratis para uso personal. Comparte el enlace, no el archivo.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</si>
</sst>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[RED]&quot;-$&quot;#,##0.00;\-"/>
    <numFmt numFmtId="166" formatCode="0.0%"/>
    <numFmt numFmtId="167" formatCode="0.0%;[RED]\-0.0%;\-"/>
    <numFmt numFmtId="168" formatCode="0%;[RED]\-0%;\-"/>
    <numFmt numFmtId="169" formatCode="0.00%"/>
    <numFmt numFmtId="170" formatCode="\$#,##0.00"/>
    <numFmt numFmtId="171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B8A6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18"/>
      <color rgb="FFCCFBF1"/>
      <name val="Arial"/>
      <family val="0"/>
      <charset val="1"/>
    </font>
    <font>
      <i val="true"/>
      <sz val="14"/>
      <color rgb="FFC7D2F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14B8A6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u val="single"/>
      <sz val="11"/>
      <color rgb="FF14B8A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4B8A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7D2F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3A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sz val="10"/>
      <name val="Arial"/>
      <family val="2"/>
    </font>
    <font>
      <b val="true"/>
      <sz val="10"/>
      <color rgb="FF0B1F3A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u val="single"/>
      <sz val="14"/>
      <color rgb="FF0F766E"/>
      <name val="Arial"/>
      <family val="0"/>
      <charset val="1"/>
    </font>
    <font>
      <i val="true"/>
      <sz val="8"/>
      <color rgb="FF47556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A"/>
        <bgColor rgb="FF16325C"/>
      </patternFill>
    </fill>
    <fill>
      <patternFill patternType="solid">
        <fgColor rgb="FF14B8A6"/>
        <bgColor rgb="FF00CCFF"/>
      </patternFill>
    </fill>
    <fill>
      <patternFill patternType="solid">
        <fgColor rgb="FF16325C"/>
        <bgColor rgb="FF1E3A8A"/>
      </patternFill>
    </fill>
    <fill>
      <patternFill patternType="solid">
        <fgColor rgb="FFF0FDFA"/>
        <bgColor rgb="FFF1F5F9"/>
      </patternFill>
    </fill>
    <fill>
      <patternFill patternType="solid">
        <fgColor rgb="FFF1F5F9"/>
        <bgColor rgb="FFF0FDFA"/>
      </patternFill>
    </fill>
    <fill>
      <patternFill patternType="solid">
        <fgColor rgb="FFFEF9C3"/>
        <bgColor rgb="FFFEF3C7"/>
      </patternFill>
    </fill>
    <fill>
      <patternFill patternType="solid">
        <fgColor rgb="FFCCFBF1"/>
        <bgColor rgb="FFDCFC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/>
      <bottom style="medium">
        <color rgb="FF14B8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3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BD5E1"/>
      <rgbColor rgb="FF808080"/>
      <rgbColor rgb="FF9999FF"/>
      <rgbColor rgb="FF993366"/>
      <rgbColor rgb="FFFEF9C3"/>
      <rgbColor rgb="FFCCFBF1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EF3C7"/>
      <rgbColor rgb="FFF1F5F9"/>
      <rgbColor rgb="FFFF99CC"/>
      <rgbColor rgb="FFCC99FF"/>
      <rgbColor rgb="FFFEE2E2"/>
      <rgbColor rgb="FF3366FF"/>
      <rgbColor rgb="FF14B8A6"/>
      <rgbColor rgb="FF99CC00"/>
      <rgbColor rgb="FFFFCC00"/>
      <rgbColor rgb="FFFF9900"/>
      <rgbColor rgb="FFFF6600"/>
      <rgbColor rgb="FF64748B"/>
      <rgbColor rgb="FF94A3B8"/>
      <rgbColor rgb="FF16325C"/>
      <rgbColor rgb="FF339966"/>
      <rgbColor rgb="FF0B1F3A"/>
      <rgbColor rgb="FF333300"/>
      <rgbColor rgb="FFB45309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REE_ProfitTrack_Flip_Calculator.xlsx" TargetMode="External"/><Relationship Id="rId2" Type="http://schemas.openxmlformats.org/officeDocument/2006/relationships/hyperlink" Target="FREE_ProfitTrack_Flip_Calculator.xlsx" TargetMode="External"/><Relationship Id="rId3" Type="http://schemas.openxmlformats.org/officeDocument/2006/relationships/hyperlink" Target="FREE_ProfitTrack_Flip_Calculator.xlsx" TargetMode="External"/><Relationship Id="rId4" Type="http://schemas.openxmlformats.org/officeDocument/2006/relationships/hyperlink" Target="FREE_ProfitTrack_Flip_Calculato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FREE_ProfitTrack_Flip_Calculator.xlsx" TargetMode="Externa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YOURSHOP.ets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1.75" hidden="false" customHeight="tru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customFormat="false" ht="21.75" hidden="false" customHeight="true" outlineLevel="0" collapsed="false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</row>
    <row r="9" customFormat="false" ht="27.75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4"/>
      <c r="I9" s="4"/>
      <c r="J9" s="4"/>
      <c r="K9" s="4"/>
      <c r="L9" s="1"/>
    </row>
    <row r="10" customFormat="false" ht="21.75" hidden="false" customHeight="true" outlineLevel="0" collapsed="false">
      <c r="A10" s="1"/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1"/>
    </row>
    <row r="11" customFormat="false" ht="15" hidden="false" customHeight="true" outlineLevel="0" collapsed="false">
      <c r="A11" s="1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4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"/>
      <c r="C17" s="9" t="s">
        <v>6</v>
      </c>
      <c r="D17" s="9"/>
      <c r="E17" s="9"/>
      <c r="F17" s="9"/>
      <c r="G17" s="9"/>
      <c r="H17" s="9"/>
      <c r="I17" s="9"/>
      <c r="J17" s="9"/>
      <c r="K17" s="1"/>
      <c r="L17" s="1"/>
    </row>
    <row r="18" customFormat="false" ht="25.5" hidden="false" customHeight="true" outlineLevel="0" collapsed="false">
      <c r="A18" s="1"/>
      <c r="B18" s="1"/>
      <c r="C18" s="10" t="s">
        <v>7</v>
      </c>
      <c r="D18" s="10"/>
      <c r="E18" s="10"/>
      <c r="F18" s="10"/>
      <c r="G18" s="10"/>
      <c r="H18" s="10"/>
      <c r="I18" s="10"/>
      <c r="J18" s="10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1"/>
      <c r="C20" s="9" t="s">
        <v>8</v>
      </c>
      <c r="D20" s="9"/>
      <c r="E20" s="9"/>
      <c r="F20" s="9"/>
      <c r="G20" s="9"/>
      <c r="H20" s="9"/>
      <c r="I20" s="9"/>
      <c r="J20" s="9"/>
      <c r="K20" s="1"/>
      <c r="L20" s="1"/>
    </row>
    <row r="21" customFormat="false" ht="25.5" hidden="false" customHeight="true" outlineLevel="0" collapsed="false">
      <c r="A21" s="1"/>
      <c r="B21" s="1"/>
      <c r="C21" s="10" t="s">
        <v>9</v>
      </c>
      <c r="D21" s="10"/>
      <c r="E21" s="10"/>
      <c r="F21" s="10"/>
      <c r="G21" s="10"/>
      <c r="H21" s="10"/>
      <c r="I21" s="10"/>
      <c r="J21" s="10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1"/>
      <c r="C23" s="9" t="s">
        <v>10</v>
      </c>
      <c r="D23" s="9"/>
      <c r="E23" s="9"/>
      <c r="F23" s="9"/>
      <c r="G23" s="9"/>
      <c r="H23" s="9"/>
      <c r="I23" s="9"/>
      <c r="J23" s="9"/>
      <c r="K23" s="1"/>
      <c r="L23" s="1"/>
    </row>
    <row r="24" customFormat="false" ht="25.5" hidden="false" customHeight="true" outlineLevel="0" collapsed="false">
      <c r="A24" s="1"/>
      <c r="B24" s="1"/>
      <c r="C24" s="10" t="s">
        <v>11</v>
      </c>
      <c r="D24" s="10"/>
      <c r="E24" s="10"/>
      <c r="F24" s="10"/>
      <c r="G24" s="10"/>
      <c r="H24" s="10"/>
      <c r="I24" s="10"/>
      <c r="J24" s="10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true" outlineLevel="0" collapsed="false">
      <c r="A27" s="1"/>
      <c r="B27" s="11" t="s">
        <v>12</v>
      </c>
      <c r="C27" s="11"/>
      <c r="D27" s="11"/>
      <c r="E27" s="11"/>
      <c r="F27" s="11"/>
      <c r="G27" s="11"/>
      <c r="H27" s="11"/>
      <c r="I27" s="11"/>
      <c r="J27" s="11"/>
      <c r="K27" s="1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true" outlineLevel="0" collapsed="false">
      <c r="A29" s="1"/>
      <c r="B29" s="12" t="s">
        <v>13</v>
      </c>
      <c r="C29" s="12"/>
      <c r="D29" s="12"/>
      <c r="E29" s="12"/>
      <c r="F29" s="12"/>
      <c r="G29" s="12"/>
      <c r="H29" s="12"/>
      <c r="I29" s="12"/>
      <c r="J29" s="12"/>
      <c r="K29" s="12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true" outlineLevel="0" collapsed="false">
      <c r="A32" s="1"/>
      <c r="B32" s="13" t="s">
        <v>14</v>
      </c>
      <c r="C32" s="13"/>
      <c r="D32" s="13"/>
      <c r="E32" s="13"/>
      <c r="F32" s="13"/>
      <c r="G32" s="13"/>
      <c r="H32" s="13"/>
      <c r="I32" s="13"/>
      <c r="J32" s="13"/>
      <c r="K32" s="13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15">
    <mergeCell ref="B4:K4"/>
    <mergeCell ref="B6:K8"/>
    <mergeCell ref="B9:K9"/>
    <mergeCell ref="B10:K10"/>
    <mergeCell ref="B11:K11"/>
    <mergeCell ref="B15:K15"/>
    <mergeCell ref="C17:J17"/>
    <mergeCell ref="C18:J18"/>
    <mergeCell ref="C20:J20"/>
    <mergeCell ref="C21:J21"/>
    <mergeCell ref="C23:J23"/>
    <mergeCell ref="C24:J24"/>
    <mergeCell ref="B27:K27"/>
    <mergeCell ref="B29:K29"/>
    <mergeCell ref="B32:K32"/>
  </mergeCells>
  <hyperlinks>
    <hyperlink ref="C17" r:id="rId1" location="'Flip%20Calculator'!A1" display="🧮  Flip Calculator / Calculadora"/>
    <hyperlink ref="C20" r:id="rId2" location="'Fees'!A1" display="⚙️  Fees / Comisiones"/>
    <hyperlink ref="C23" r:id="rId3" location="'More%20Tools'!A1" display="🧰  More Tools / Más Herramientas"/>
    <hyperlink ref="B29" r:id="rId4" location="'Quick%20Start%20Guide'!A1" display="Start here → Quick Start Guide   |   Empieza aquí → Guía Rápid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0" hidden="false" customHeight="true" outlineLevel="0" collapsed="false">
      <c r="A2" s="1"/>
      <c r="B2" s="15" t="s">
        <v>15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19.5" hidden="false" customHeight="true" outlineLevel="0" collapsed="false">
      <c r="A3" s="1"/>
      <c r="B3" s="16" t="s">
        <v>16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48" hidden="false" customHeight="true" outlineLevel="0" collapsed="false"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17" t="s">
        <v>22</v>
      </c>
      <c r="H5" s="17" t="s">
        <v>23</v>
      </c>
      <c r="I5" s="17" t="s">
        <v>24</v>
      </c>
      <c r="J5" s="17" t="s">
        <v>25</v>
      </c>
      <c r="K5" s="17" t="s">
        <v>26</v>
      </c>
      <c r="L5" s="17" t="s">
        <v>27</v>
      </c>
      <c r="M5" s="17" t="s">
        <v>28</v>
      </c>
    </row>
    <row r="6" customFormat="false" ht="15" hidden="false" customHeight="false" outlineLevel="0" collapsed="false">
      <c r="B6" s="18" t="s">
        <v>29</v>
      </c>
      <c r="C6" s="18" t="s">
        <v>30</v>
      </c>
      <c r="D6" s="19" t="n">
        <v>22</v>
      </c>
      <c r="E6" s="19" t="n">
        <v>89.99</v>
      </c>
      <c r="F6" s="19" t="n">
        <v>12.45</v>
      </c>
      <c r="G6" s="19" t="n">
        <v>0</v>
      </c>
      <c r="H6" s="20" t="n">
        <f aca="false">IF(OR(B6="",E6=""),"",IFERROR(INDEX(Fees!$C$7:$C$13,MATCH(C6,Fees!$B$7:$B$13,0)),0))</f>
        <v>0.1325</v>
      </c>
      <c r="I6" s="21" t="n">
        <f aca="false">IF(H6="","",E6*H6+IFERROR(INDEX(Fees!$D$7:$D$13,MATCH(C6,Fees!$B$7:$B$13,0)),0))</f>
        <v>12.323675</v>
      </c>
      <c r="J6" s="21" t="n">
        <f aca="false">IF(I6="","",E6-D6-F6-G6-I6)</f>
        <v>43.216325</v>
      </c>
      <c r="K6" s="22" t="n">
        <f aca="false">IF(J6="","",IF(E6=0,0,J6/E6))</f>
        <v>0.480234748305367</v>
      </c>
      <c r="L6" s="23" t="n">
        <f aca="false">IF(J6="","",IF(D6+G6=0,"∞",J6/(D6+G6)))</f>
        <v>1.96437840909091</v>
      </c>
      <c r="M6" s="24" t="str">
        <f aca="false">IF(J6="","",IF(J6&lt;0,"⚠ LOSS / PÉRDIDA",IF(K6&gt;=Fees!$D$17,"✔ GOOD FLIP / BUENA REVENTA","● THIN MARGIN / MARGEN BAJO")))</f>
        <v>✔ GOOD FLIP / BUENA REVENTA</v>
      </c>
    </row>
    <row r="7" customFormat="false" ht="15" hidden="false" customHeight="false" outlineLevel="0" collapsed="false">
      <c r="B7" s="18" t="s">
        <v>31</v>
      </c>
      <c r="C7" s="18" t="s">
        <v>32</v>
      </c>
      <c r="D7" s="19" t="n">
        <v>6</v>
      </c>
      <c r="E7" s="19" t="n">
        <v>45</v>
      </c>
      <c r="F7" s="19" t="n">
        <v>0</v>
      </c>
      <c r="G7" s="19" t="n">
        <v>0</v>
      </c>
      <c r="H7" s="20" t="n">
        <f aca="false">IF(OR(B7="",E7=""),"",IFERROR(INDEX(Fees!$C$7:$C$13,MATCH(C7,Fees!$B$7:$B$13,0)),0))</f>
        <v>0.2</v>
      </c>
      <c r="I7" s="21" t="n">
        <f aca="false">IF(H7="","",E7*H7+IFERROR(INDEX(Fees!$D$7:$D$13,MATCH(C7,Fees!$B$7:$B$13,0)),0))</f>
        <v>9</v>
      </c>
      <c r="J7" s="21" t="n">
        <f aca="false">IF(I7="","",E7-D7-F7-G7-I7)</f>
        <v>30</v>
      </c>
      <c r="K7" s="22" t="n">
        <f aca="false">IF(J7="","",IF(E7=0,0,J7/E7))</f>
        <v>0.666666666666667</v>
      </c>
      <c r="L7" s="23" t="n">
        <f aca="false">IF(J7="","",IF(D7+G7=0,"∞",J7/(D7+G7)))</f>
        <v>5</v>
      </c>
      <c r="M7" s="24" t="str">
        <f aca="false">IF(J7="","",IF(J7&lt;0,"⚠ LOSS / PÉRDIDA",IF(K7&gt;=Fees!$D$17,"✔ GOOD FLIP / BUENA REVENTA","● THIN MARGIN / MARGEN BAJO")))</f>
        <v>✔ GOOD FLIP / BUENA REVENTA</v>
      </c>
    </row>
    <row r="8" customFormat="false" ht="15" hidden="false" customHeight="false" outlineLevel="0" collapsed="false">
      <c r="B8" s="18" t="s">
        <v>33</v>
      </c>
      <c r="C8" s="18" t="s">
        <v>34</v>
      </c>
      <c r="D8" s="19" t="n">
        <v>8</v>
      </c>
      <c r="E8" s="19" t="n">
        <v>40</v>
      </c>
      <c r="F8" s="19" t="n">
        <v>0</v>
      </c>
      <c r="G8" s="19" t="n">
        <v>0</v>
      </c>
      <c r="H8" s="20" t="n">
        <f aca="false">IF(OR(B8="",E8=""),"",IFERROR(INDEX(Fees!$C$7:$C$13,MATCH(C8,Fees!$B$7:$B$13,0)),0))</f>
        <v>0</v>
      </c>
      <c r="I8" s="21" t="n">
        <f aca="false">IF(H8="","",E8*H8+IFERROR(INDEX(Fees!$D$7:$D$13,MATCH(C8,Fees!$B$7:$B$13,0)),0))</f>
        <v>0</v>
      </c>
      <c r="J8" s="21" t="n">
        <f aca="false">IF(I8="","",E8-D8-F8-G8-I8)</f>
        <v>32</v>
      </c>
      <c r="K8" s="22" t="n">
        <f aca="false">IF(J8="","",IF(E8=0,0,J8/E8))</f>
        <v>0.8</v>
      </c>
      <c r="L8" s="23" t="n">
        <f aca="false">IF(J8="","",IF(D8+G8=0,"∞",J8/(D8+G8)))</f>
        <v>4</v>
      </c>
      <c r="M8" s="24" t="str">
        <f aca="false">IF(J8="","",IF(J8&lt;0,"⚠ LOSS / PÉRDIDA",IF(K8&gt;=Fees!$D$17,"✔ GOOD FLIP / BUENA REVENTA","● THIN MARGIN / MARGEN BAJO")))</f>
        <v>✔ GOOD FLIP / BUENA REVENTA</v>
      </c>
    </row>
    <row r="9" customFormat="false" ht="15" hidden="false" customHeight="false" outlineLevel="0" collapsed="false">
      <c r="B9" s="18" t="s">
        <v>35</v>
      </c>
      <c r="C9" s="18" t="s">
        <v>36</v>
      </c>
      <c r="D9" s="19" t="n">
        <v>14</v>
      </c>
      <c r="E9" s="19" t="n">
        <v>22</v>
      </c>
      <c r="F9" s="19" t="n">
        <v>4.5</v>
      </c>
      <c r="G9" s="19" t="n">
        <v>0</v>
      </c>
      <c r="H9" s="20" t="n">
        <f aca="false">IF(OR(B9="",E9=""),"",IFERROR(INDEX(Fees!$C$7:$C$13,MATCH(C9,Fees!$B$7:$B$13,0)),0))</f>
        <v>0.1</v>
      </c>
      <c r="I9" s="21" t="n">
        <f aca="false">IF(H9="","",E9*H9+IFERROR(INDEX(Fees!$D$7:$D$13,MATCH(C9,Fees!$B$7:$B$13,0)),0))</f>
        <v>2.7</v>
      </c>
      <c r="J9" s="21" t="n">
        <f aca="false">IF(I9="","",E9-D9-F9-G9-I9)</f>
        <v>0.8</v>
      </c>
      <c r="K9" s="22" t="n">
        <f aca="false">IF(J9="","",IF(E9=0,0,J9/E9))</f>
        <v>0.0363636363636364</v>
      </c>
      <c r="L9" s="23" t="n">
        <f aca="false">IF(J9="","",IF(D9+G9=0,"∞",J9/(D9+G9)))</f>
        <v>0.0571428571428571</v>
      </c>
      <c r="M9" s="24" t="str">
        <f aca="false">IF(J9="","",IF(J9&lt;0,"⚠ LOSS / PÉRDIDA",IF(K9&gt;=Fees!$D$17,"✔ GOOD FLIP / BUENA REVENTA","● THIN MARGIN / MARGEN BAJO")))</f>
        <v>● THIN MARGIN / MARGEN BAJO</v>
      </c>
    </row>
    <row r="10" customFormat="false" ht="15" hidden="false" customHeight="false" outlineLevel="0" collapsed="false">
      <c r="B10" s="18" t="s">
        <v>37</v>
      </c>
      <c r="C10" s="18" t="s">
        <v>30</v>
      </c>
      <c r="D10" s="19" t="n">
        <v>95</v>
      </c>
      <c r="E10" s="19" t="n">
        <v>140</v>
      </c>
      <c r="F10" s="19" t="n">
        <v>10</v>
      </c>
      <c r="G10" s="19" t="n">
        <v>0</v>
      </c>
      <c r="H10" s="20" t="n">
        <f aca="false">IF(OR(B10="",E10=""),"",IFERROR(INDEX(Fees!$C$7:$C$13,MATCH(C10,Fees!$B$7:$B$13,0)),0))</f>
        <v>0.1325</v>
      </c>
      <c r="I10" s="21" t="n">
        <f aca="false">IF(H10="","",E10*H10+IFERROR(INDEX(Fees!$D$7:$D$13,MATCH(C10,Fees!$B$7:$B$13,0)),0))</f>
        <v>18.95</v>
      </c>
      <c r="J10" s="21" t="n">
        <f aca="false">IF(I10="","",E10-D10-F10-G10-I10)</f>
        <v>16.05</v>
      </c>
      <c r="K10" s="22" t="n">
        <f aca="false">IF(J10="","",IF(E10=0,0,J10/E10))</f>
        <v>0.114642857142857</v>
      </c>
      <c r="L10" s="23" t="n">
        <f aca="false">IF(J10="","",IF(D10+G10=0,"∞",J10/(D10+G10)))</f>
        <v>0.168947368421053</v>
      </c>
      <c r="M10" s="24" t="str">
        <f aca="false">IF(J10="","",IF(J10&lt;0,"⚠ LOSS / PÉRDIDA",IF(K10&gt;=Fees!$D$17,"✔ GOOD FLIP / BUENA REVENTA","● THIN MARGIN / MARGEN BAJO")))</f>
        <v>● THIN MARGIN / MARGEN BAJO</v>
      </c>
    </row>
    <row r="11" customFormat="false" ht="15" hidden="false" customHeight="false" outlineLevel="0" collapsed="false">
      <c r="B11" s="18"/>
      <c r="C11" s="18"/>
      <c r="D11" s="19"/>
      <c r="E11" s="19"/>
      <c r="F11" s="19"/>
      <c r="G11" s="19"/>
      <c r="H11" s="20" t="str">
        <f aca="false">IF(OR(B11="",E11=""),"",IFERROR(INDEX(Fees!$C$7:$C$13,MATCH(C11,Fees!$B$7:$B$13,0)),0))</f>
        <v/>
      </c>
      <c r="I11" s="21" t="str">
        <f aca="false">IF(H11="","",E11*H11+IFERROR(INDEX(Fees!$D$7:$D$13,MATCH(C11,Fees!$B$7:$B$13,0)),0))</f>
        <v/>
      </c>
      <c r="J11" s="21" t="str">
        <f aca="false">IF(I11="","",E11-D11-F11-G11-I11)</f>
        <v/>
      </c>
      <c r="K11" s="22" t="str">
        <f aca="false">IF(J11="","",IF(E11=0,0,J11/E11))</f>
        <v/>
      </c>
      <c r="L11" s="23" t="str">
        <f aca="false">IF(J11="","",IF(D11+G11=0,"∞",J11/(D11+G11)))</f>
        <v/>
      </c>
      <c r="M11" s="24" t="str">
        <f aca="false">IF(J11="","",IF(J11&lt;0,"⚠ LOSS / PÉRDIDA",IF(K11&gt;=Fees!$D$17,"✔ GOOD FLIP / BUENA REVENTA","● THIN MARGIN / MARGEN BAJO")))</f>
        <v/>
      </c>
    </row>
    <row r="12" customFormat="false" ht="15" hidden="false" customHeight="false" outlineLevel="0" collapsed="false">
      <c r="B12" s="18"/>
      <c r="C12" s="18"/>
      <c r="D12" s="19"/>
      <c r="E12" s="19"/>
      <c r="F12" s="19"/>
      <c r="G12" s="19"/>
      <c r="H12" s="20" t="str">
        <f aca="false">IF(OR(B12="",E12=""),"",IFERROR(INDEX(Fees!$C$7:$C$13,MATCH(C12,Fees!$B$7:$B$13,0)),0))</f>
        <v/>
      </c>
      <c r="I12" s="21" t="str">
        <f aca="false">IF(H12="","",E12*H12+IFERROR(INDEX(Fees!$D$7:$D$13,MATCH(C12,Fees!$B$7:$B$13,0)),0))</f>
        <v/>
      </c>
      <c r="J12" s="21" t="str">
        <f aca="false">IF(I12="","",E12-D12-F12-G12-I12)</f>
        <v/>
      </c>
      <c r="K12" s="22" t="str">
        <f aca="false">IF(J12="","",IF(E12=0,0,J12/E12))</f>
        <v/>
      </c>
      <c r="L12" s="23" t="str">
        <f aca="false">IF(J12="","",IF(D12+G12=0,"∞",J12/(D12+G12)))</f>
        <v/>
      </c>
      <c r="M12" s="24" t="str">
        <f aca="false">IF(J12="","",IF(J12&lt;0,"⚠ LOSS / PÉRDIDA",IF(K12&gt;=Fees!$D$17,"✔ GOOD FLIP / BUENA REVENTA","● THIN MARGIN / MARGEN BAJO")))</f>
        <v/>
      </c>
    </row>
    <row r="13" customFormat="false" ht="15" hidden="false" customHeight="false" outlineLevel="0" collapsed="false">
      <c r="B13" s="18"/>
      <c r="C13" s="18"/>
      <c r="D13" s="19"/>
      <c r="E13" s="19"/>
      <c r="F13" s="19"/>
      <c r="G13" s="19"/>
      <c r="H13" s="20" t="str">
        <f aca="false">IF(OR(B13="",E13=""),"",IFERROR(INDEX(Fees!$C$7:$C$13,MATCH(C13,Fees!$B$7:$B$13,0)),0))</f>
        <v/>
      </c>
      <c r="I13" s="21" t="str">
        <f aca="false">IF(H13="","",E13*H13+IFERROR(INDEX(Fees!$D$7:$D$13,MATCH(C13,Fees!$B$7:$B$13,0)),0))</f>
        <v/>
      </c>
      <c r="J13" s="21" t="str">
        <f aca="false">IF(I13="","",E13-D13-F13-G13-I13)</f>
        <v/>
      </c>
      <c r="K13" s="22" t="str">
        <f aca="false">IF(J13="","",IF(E13=0,0,J13/E13))</f>
        <v/>
      </c>
      <c r="L13" s="23" t="str">
        <f aca="false">IF(J13="","",IF(D13+G13=0,"∞",J13/(D13+G13)))</f>
        <v/>
      </c>
      <c r="M13" s="24" t="str">
        <f aca="false">IF(J13="","",IF(J13&lt;0,"⚠ LOSS / PÉRDIDA",IF(K13&gt;=Fees!$D$17,"✔ GOOD FLIP / BUENA REVENTA","● THIN MARGIN / MARGEN BAJO")))</f>
        <v/>
      </c>
    </row>
    <row r="14" customFormat="false" ht="15" hidden="false" customHeight="false" outlineLevel="0" collapsed="false">
      <c r="B14" s="18"/>
      <c r="C14" s="18"/>
      <c r="D14" s="19"/>
      <c r="E14" s="19"/>
      <c r="F14" s="19"/>
      <c r="G14" s="19"/>
      <c r="H14" s="20" t="str">
        <f aca="false">IF(OR(B14="",E14=""),"",IFERROR(INDEX(Fees!$C$7:$C$13,MATCH(C14,Fees!$B$7:$B$13,0)),0))</f>
        <v/>
      </c>
      <c r="I14" s="21" t="str">
        <f aca="false">IF(H14="","",E14*H14+IFERROR(INDEX(Fees!$D$7:$D$13,MATCH(C14,Fees!$B$7:$B$13,0)),0))</f>
        <v/>
      </c>
      <c r="J14" s="21" t="str">
        <f aca="false">IF(I14="","",E14-D14-F14-G14-I14)</f>
        <v/>
      </c>
      <c r="K14" s="22" t="str">
        <f aca="false">IF(J14="","",IF(E14=0,0,J14/E14))</f>
        <v/>
      </c>
      <c r="L14" s="23" t="str">
        <f aca="false">IF(J14="","",IF(D14+G14=0,"∞",J14/(D14+G14)))</f>
        <v/>
      </c>
      <c r="M14" s="24" t="str">
        <f aca="false">IF(J14="","",IF(J14&lt;0,"⚠ LOSS / PÉRDIDA",IF(K14&gt;=Fees!$D$17,"✔ GOOD FLIP / BUENA REVENTA","● THIN MARGIN / MARGEN BAJO")))</f>
        <v/>
      </c>
    </row>
    <row r="15" customFormat="false" ht="15" hidden="false" customHeight="false" outlineLevel="0" collapsed="false">
      <c r="B15" s="18"/>
      <c r="C15" s="18"/>
      <c r="D15" s="19"/>
      <c r="E15" s="19"/>
      <c r="F15" s="19"/>
      <c r="G15" s="19"/>
      <c r="H15" s="20" t="str">
        <f aca="false">IF(OR(B15="",E15=""),"",IFERROR(INDEX(Fees!$C$7:$C$13,MATCH(C15,Fees!$B$7:$B$13,0)),0))</f>
        <v/>
      </c>
      <c r="I15" s="21" t="str">
        <f aca="false">IF(H15="","",E15*H15+IFERROR(INDEX(Fees!$D$7:$D$13,MATCH(C15,Fees!$B$7:$B$13,0)),0))</f>
        <v/>
      </c>
      <c r="J15" s="21" t="str">
        <f aca="false">IF(I15="","",E15-D15-F15-G15-I15)</f>
        <v/>
      </c>
      <c r="K15" s="22" t="str">
        <f aca="false">IF(J15="","",IF(E15=0,0,J15/E15))</f>
        <v/>
      </c>
      <c r="L15" s="23" t="str">
        <f aca="false">IF(J15="","",IF(D15+G15=0,"∞",J15/(D15+G15)))</f>
        <v/>
      </c>
      <c r="M15" s="24" t="str">
        <f aca="false">IF(J15="","",IF(J15&lt;0,"⚠ LOSS / PÉRDIDA",IF(K15&gt;=Fees!$D$17,"✔ GOOD FLIP / BUENA REVENTA","● THIN MARGIN / MARGEN BAJO")))</f>
        <v/>
      </c>
    </row>
    <row r="16" customFormat="false" ht="15" hidden="false" customHeight="false" outlineLevel="0" collapsed="false">
      <c r="B16" s="18"/>
      <c r="C16" s="18"/>
      <c r="D16" s="19"/>
      <c r="E16" s="19"/>
      <c r="F16" s="19"/>
      <c r="G16" s="19"/>
      <c r="H16" s="20" t="str">
        <f aca="false">IF(OR(B16="",E16=""),"",IFERROR(INDEX(Fees!$C$7:$C$13,MATCH(C16,Fees!$B$7:$B$13,0)),0))</f>
        <v/>
      </c>
      <c r="I16" s="21" t="str">
        <f aca="false">IF(H16="","",E16*H16+IFERROR(INDEX(Fees!$D$7:$D$13,MATCH(C16,Fees!$B$7:$B$13,0)),0))</f>
        <v/>
      </c>
      <c r="J16" s="21" t="str">
        <f aca="false">IF(I16="","",E16-D16-F16-G16-I16)</f>
        <v/>
      </c>
      <c r="K16" s="22" t="str">
        <f aca="false">IF(J16="","",IF(E16=0,0,J16/E16))</f>
        <v/>
      </c>
      <c r="L16" s="23" t="str">
        <f aca="false">IF(J16="","",IF(D16+G16=0,"∞",J16/(D16+G16)))</f>
        <v/>
      </c>
      <c r="M16" s="24" t="str">
        <f aca="false">IF(J16="","",IF(J16&lt;0,"⚠ LOSS / PÉRDIDA",IF(K16&gt;=Fees!$D$17,"✔ GOOD FLIP / BUENA REVENTA","● THIN MARGIN / MARGEN BAJO")))</f>
        <v/>
      </c>
    </row>
    <row r="17" customFormat="false" ht="15" hidden="false" customHeight="false" outlineLevel="0" collapsed="false">
      <c r="B17" s="18"/>
      <c r="C17" s="18"/>
      <c r="D17" s="19"/>
      <c r="E17" s="19"/>
      <c r="F17" s="19"/>
      <c r="G17" s="19"/>
      <c r="H17" s="20" t="str">
        <f aca="false">IF(OR(B17="",E17=""),"",IFERROR(INDEX(Fees!$C$7:$C$13,MATCH(C17,Fees!$B$7:$B$13,0)),0))</f>
        <v/>
      </c>
      <c r="I17" s="21" t="str">
        <f aca="false">IF(H17="","",E17*H17+IFERROR(INDEX(Fees!$D$7:$D$13,MATCH(C17,Fees!$B$7:$B$13,0)),0))</f>
        <v/>
      </c>
      <c r="J17" s="21" t="str">
        <f aca="false">IF(I17="","",E17-D17-F17-G17-I17)</f>
        <v/>
      </c>
      <c r="K17" s="22" t="str">
        <f aca="false">IF(J17="","",IF(E17=0,0,J17/E17))</f>
        <v/>
      </c>
      <c r="L17" s="23" t="str">
        <f aca="false">IF(J17="","",IF(D17+G17=0,"∞",J17/(D17+G17)))</f>
        <v/>
      </c>
      <c r="M17" s="24" t="str">
        <f aca="false">IF(J17="","",IF(J17&lt;0,"⚠ LOSS / PÉRDIDA",IF(K17&gt;=Fees!$D$17,"✔ GOOD FLIP / BUENA REVENTA","● THIN MARGIN / MARGEN BAJO")))</f>
        <v/>
      </c>
    </row>
    <row r="18" customFormat="false" ht="15" hidden="false" customHeight="false" outlineLevel="0" collapsed="false">
      <c r="B18" s="18"/>
      <c r="C18" s="18"/>
      <c r="D18" s="19"/>
      <c r="E18" s="19"/>
      <c r="F18" s="19"/>
      <c r="G18" s="19"/>
      <c r="H18" s="20" t="str">
        <f aca="false">IF(OR(B18="",E18=""),"",IFERROR(INDEX(Fees!$C$7:$C$13,MATCH(C18,Fees!$B$7:$B$13,0)),0))</f>
        <v/>
      </c>
      <c r="I18" s="21" t="str">
        <f aca="false">IF(H18="","",E18*H18+IFERROR(INDEX(Fees!$D$7:$D$13,MATCH(C18,Fees!$B$7:$B$13,0)),0))</f>
        <v/>
      </c>
      <c r="J18" s="21" t="str">
        <f aca="false">IF(I18="","",E18-D18-F18-G18-I18)</f>
        <v/>
      </c>
      <c r="K18" s="22" t="str">
        <f aca="false">IF(J18="","",IF(E18=0,0,J18/E18))</f>
        <v/>
      </c>
      <c r="L18" s="23" t="str">
        <f aca="false">IF(J18="","",IF(D18+G18=0,"∞",J18/(D18+G18)))</f>
        <v/>
      </c>
      <c r="M18" s="24" t="str">
        <f aca="false">IF(J18="","",IF(J18&lt;0,"⚠ LOSS / PÉRDIDA",IF(K18&gt;=Fees!$D$17,"✔ GOOD FLIP / BUENA REVENTA","● THIN MARGIN / MARGEN BAJO")))</f>
        <v/>
      </c>
    </row>
    <row r="19" customFormat="false" ht="15" hidden="false" customHeight="false" outlineLevel="0" collapsed="false">
      <c r="B19" s="18"/>
      <c r="C19" s="18"/>
      <c r="D19" s="19"/>
      <c r="E19" s="19"/>
      <c r="F19" s="19"/>
      <c r="G19" s="19"/>
      <c r="H19" s="20" t="str">
        <f aca="false">IF(OR(B19="",E19=""),"",IFERROR(INDEX(Fees!$C$7:$C$13,MATCH(C19,Fees!$B$7:$B$13,0)),0))</f>
        <v/>
      </c>
      <c r="I19" s="21" t="str">
        <f aca="false">IF(H19="","",E19*H19+IFERROR(INDEX(Fees!$D$7:$D$13,MATCH(C19,Fees!$B$7:$B$13,0)),0))</f>
        <v/>
      </c>
      <c r="J19" s="21" t="str">
        <f aca="false">IF(I19="","",E19-D19-F19-G19-I19)</f>
        <v/>
      </c>
      <c r="K19" s="22" t="str">
        <f aca="false">IF(J19="","",IF(E19=0,0,J19/E19))</f>
        <v/>
      </c>
      <c r="L19" s="23" t="str">
        <f aca="false">IF(J19="","",IF(D19+G19=0,"∞",J19/(D19+G19)))</f>
        <v/>
      </c>
      <c r="M19" s="24" t="str">
        <f aca="false">IF(J19="","",IF(J19&lt;0,"⚠ LOSS / PÉRDIDA",IF(K19&gt;=Fees!$D$17,"✔ GOOD FLIP / BUENA REVENTA","● THIN MARGIN / MARGEN BAJO")))</f>
        <v/>
      </c>
    </row>
    <row r="20" customFormat="false" ht="15" hidden="false" customHeight="false" outlineLevel="0" collapsed="false">
      <c r="B20" s="18"/>
      <c r="C20" s="18"/>
      <c r="D20" s="19"/>
      <c r="E20" s="19"/>
      <c r="F20" s="19"/>
      <c r="G20" s="19"/>
      <c r="H20" s="20" t="str">
        <f aca="false">IF(OR(B20="",E20=""),"",IFERROR(INDEX(Fees!$C$7:$C$13,MATCH(C20,Fees!$B$7:$B$13,0)),0))</f>
        <v/>
      </c>
      <c r="I20" s="21" t="str">
        <f aca="false">IF(H20="","",E20*H20+IFERROR(INDEX(Fees!$D$7:$D$13,MATCH(C20,Fees!$B$7:$B$13,0)),0))</f>
        <v/>
      </c>
      <c r="J20" s="21" t="str">
        <f aca="false">IF(I20="","",E20-D20-F20-G20-I20)</f>
        <v/>
      </c>
      <c r="K20" s="22" t="str">
        <f aca="false">IF(J20="","",IF(E20=0,0,J20/E20))</f>
        <v/>
      </c>
      <c r="L20" s="23" t="str">
        <f aca="false">IF(J20="","",IF(D20+G20=0,"∞",J20/(D20+G20)))</f>
        <v/>
      </c>
      <c r="M20" s="24" t="str">
        <f aca="false">IF(J20="","",IF(J20&lt;0,"⚠ LOSS / PÉRDIDA",IF(K20&gt;=Fees!$D$17,"✔ GOOD FLIP / BUENA REVENTA","● THIN MARGIN / MARGEN BAJO")))</f>
        <v/>
      </c>
    </row>
    <row r="21" customFormat="false" ht="15" hidden="false" customHeight="false" outlineLevel="0" collapsed="false">
      <c r="B21" s="18"/>
      <c r="C21" s="18"/>
      <c r="D21" s="19"/>
      <c r="E21" s="19"/>
      <c r="F21" s="19"/>
      <c r="G21" s="19"/>
      <c r="H21" s="20" t="str">
        <f aca="false">IF(OR(B21="",E21=""),"",IFERROR(INDEX(Fees!$C$7:$C$13,MATCH(C21,Fees!$B$7:$B$13,0)),0))</f>
        <v/>
      </c>
      <c r="I21" s="21" t="str">
        <f aca="false">IF(H21="","",E21*H21+IFERROR(INDEX(Fees!$D$7:$D$13,MATCH(C21,Fees!$B$7:$B$13,0)),0))</f>
        <v/>
      </c>
      <c r="J21" s="21" t="str">
        <f aca="false">IF(I21="","",E21-D21-F21-G21-I21)</f>
        <v/>
      </c>
      <c r="K21" s="22" t="str">
        <f aca="false">IF(J21="","",IF(E21=0,0,J21/E21))</f>
        <v/>
      </c>
      <c r="L21" s="23" t="str">
        <f aca="false">IF(J21="","",IF(D21+G21=0,"∞",J21/(D21+G21)))</f>
        <v/>
      </c>
      <c r="M21" s="24" t="str">
        <f aca="false">IF(J21="","",IF(J21&lt;0,"⚠ LOSS / PÉRDIDA",IF(K21&gt;=Fees!$D$17,"✔ GOOD FLIP / BUENA REVENTA","● THIN MARGIN / MARGEN BAJO")))</f>
        <v/>
      </c>
    </row>
    <row r="22" customFormat="false" ht="15" hidden="false" customHeight="false" outlineLevel="0" collapsed="false">
      <c r="B22" s="18"/>
      <c r="C22" s="18"/>
      <c r="D22" s="19"/>
      <c r="E22" s="19"/>
      <c r="F22" s="19"/>
      <c r="G22" s="19"/>
      <c r="H22" s="20" t="str">
        <f aca="false">IF(OR(B22="",E22=""),"",IFERROR(INDEX(Fees!$C$7:$C$13,MATCH(C22,Fees!$B$7:$B$13,0)),0))</f>
        <v/>
      </c>
      <c r="I22" s="21" t="str">
        <f aca="false">IF(H22="","",E22*H22+IFERROR(INDEX(Fees!$D$7:$D$13,MATCH(C22,Fees!$B$7:$B$13,0)),0))</f>
        <v/>
      </c>
      <c r="J22" s="21" t="str">
        <f aca="false">IF(I22="","",E22-D22-F22-G22-I22)</f>
        <v/>
      </c>
      <c r="K22" s="22" t="str">
        <f aca="false">IF(J22="","",IF(E22=0,0,J22/E22))</f>
        <v/>
      </c>
      <c r="L22" s="23" t="str">
        <f aca="false">IF(J22="","",IF(D22+G22=0,"∞",J22/(D22+G22)))</f>
        <v/>
      </c>
      <c r="M22" s="24" t="str">
        <f aca="false">IF(J22="","",IF(J22&lt;0,"⚠ LOSS / PÉRDIDA",IF(K22&gt;=Fees!$D$17,"✔ GOOD FLIP / BUENA REVENTA","● THIN MARGIN / MARGEN BAJO")))</f>
        <v/>
      </c>
    </row>
    <row r="23" customFormat="false" ht="15" hidden="false" customHeight="false" outlineLevel="0" collapsed="false">
      <c r="B23" s="18"/>
      <c r="C23" s="18"/>
      <c r="D23" s="19"/>
      <c r="E23" s="19"/>
      <c r="F23" s="19"/>
      <c r="G23" s="19"/>
      <c r="H23" s="20" t="str">
        <f aca="false">IF(OR(B23="",E23=""),"",IFERROR(INDEX(Fees!$C$7:$C$13,MATCH(C23,Fees!$B$7:$B$13,0)),0))</f>
        <v/>
      </c>
      <c r="I23" s="21" t="str">
        <f aca="false">IF(H23="","",E23*H23+IFERROR(INDEX(Fees!$D$7:$D$13,MATCH(C23,Fees!$B$7:$B$13,0)),0))</f>
        <v/>
      </c>
      <c r="J23" s="21" t="str">
        <f aca="false">IF(I23="","",E23-D23-F23-G23-I23)</f>
        <v/>
      </c>
      <c r="K23" s="22" t="str">
        <f aca="false">IF(J23="","",IF(E23=0,0,J23/E23))</f>
        <v/>
      </c>
      <c r="L23" s="23" t="str">
        <f aca="false">IF(J23="","",IF(D23+G23=0,"∞",J23/(D23+G23)))</f>
        <v/>
      </c>
      <c r="M23" s="24" t="str">
        <f aca="false">IF(J23="","",IF(J23&lt;0,"⚠ LOSS / PÉRDIDA",IF(K23&gt;=Fees!$D$17,"✔ GOOD FLIP / BUENA REVENTA","● THIN MARGIN / MARGEN BAJO")))</f>
        <v/>
      </c>
    </row>
    <row r="24" customFormat="false" ht="15" hidden="false" customHeight="false" outlineLevel="0" collapsed="false">
      <c r="B24" s="18"/>
      <c r="C24" s="18"/>
      <c r="D24" s="19"/>
      <c r="E24" s="19"/>
      <c r="F24" s="19"/>
      <c r="G24" s="19"/>
      <c r="H24" s="20" t="str">
        <f aca="false">IF(OR(B24="",E24=""),"",IFERROR(INDEX(Fees!$C$7:$C$13,MATCH(C24,Fees!$B$7:$B$13,0)),0))</f>
        <v/>
      </c>
      <c r="I24" s="21" t="str">
        <f aca="false">IF(H24="","",E24*H24+IFERROR(INDEX(Fees!$D$7:$D$13,MATCH(C24,Fees!$B$7:$B$13,0)),0))</f>
        <v/>
      </c>
      <c r="J24" s="21" t="str">
        <f aca="false">IF(I24="","",E24-D24-F24-G24-I24)</f>
        <v/>
      </c>
      <c r="K24" s="22" t="str">
        <f aca="false">IF(J24="","",IF(E24=0,0,J24/E24))</f>
        <v/>
      </c>
      <c r="L24" s="23" t="str">
        <f aca="false">IF(J24="","",IF(D24+G24=0,"∞",J24/(D24+G24)))</f>
        <v/>
      </c>
      <c r="M24" s="24" t="str">
        <f aca="false">IF(J24="","",IF(J24&lt;0,"⚠ LOSS / PÉRDIDA",IF(K24&gt;=Fees!$D$17,"✔ GOOD FLIP / BUENA REVENTA","● THIN MARGIN / MARGEN BAJO")))</f>
        <v/>
      </c>
    </row>
    <row r="25" customFormat="false" ht="15" hidden="false" customHeight="false" outlineLevel="0" collapsed="false">
      <c r="B25" s="18"/>
      <c r="C25" s="18"/>
      <c r="D25" s="19"/>
      <c r="E25" s="19"/>
      <c r="F25" s="19"/>
      <c r="G25" s="19"/>
      <c r="H25" s="20" t="str">
        <f aca="false">IF(OR(B25="",E25=""),"",IFERROR(INDEX(Fees!$C$7:$C$13,MATCH(C25,Fees!$B$7:$B$13,0)),0))</f>
        <v/>
      </c>
      <c r="I25" s="21" t="str">
        <f aca="false">IF(H25="","",E25*H25+IFERROR(INDEX(Fees!$D$7:$D$13,MATCH(C25,Fees!$B$7:$B$13,0)),0))</f>
        <v/>
      </c>
      <c r="J25" s="21" t="str">
        <f aca="false">IF(I25="","",E25-D25-F25-G25-I25)</f>
        <v/>
      </c>
      <c r="K25" s="22" t="str">
        <f aca="false">IF(J25="","",IF(E25=0,0,J25/E25))</f>
        <v/>
      </c>
      <c r="L25" s="23" t="str">
        <f aca="false">IF(J25="","",IF(D25+G25=0,"∞",J25/(D25+G25)))</f>
        <v/>
      </c>
      <c r="M25" s="24" t="str">
        <f aca="false">IF(J25="","",IF(J25&lt;0,"⚠ LOSS / PÉRDIDA",IF(K25&gt;=Fees!$D$17,"✔ GOOD FLIP / BUENA REVENTA","● THIN MARGIN / MARGEN BAJO")))</f>
        <v/>
      </c>
    </row>
    <row r="26" customFormat="false" ht="15" hidden="false" customHeight="false" outlineLevel="0" collapsed="false">
      <c r="B26" s="18"/>
      <c r="C26" s="18"/>
      <c r="D26" s="19"/>
      <c r="E26" s="19"/>
      <c r="F26" s="19"/>
      <c r="G26" s="19"/>
      <c r="H26" s="20" t="str">
        <f aca="false">IF(OR(B26="",E26=""),"",IFERROR(INDEX(Fees!$C$7:$C$13,MATCH(C26,Fees!$B$7:$B$13,0)),0))</f>
        <v/>
      </c>
      <c r="I26" s="21" t="str">
        <f aca="false">IF(H26="","",E26*H26+IFERROR(INDEX(Fees!$D$7:$D$13,MATCH(C26,Fees!$B$7:$B$13,0)),0))</f>
        <v/>
      </c>
      <c r="J26" s="21" t="str">
        <f aca="false">IF(I26="","",E26-D26-F26-G26-I26)</f>
        <v/>
      </c>
      <c r="K26" s="22" t="str">
        <f aca="false">IF(J26="","",IF(E26=0,0,J26/E26))</f>
        <v/>
      </c>
      <c r="L26" s="23" t="str">
        <f aca="false">IF(J26="","",IF(D26+G26=0,"∞",J26/(D26+G26)))</f>
        <v/>
      </c>
      <c r="M26" s="24" t="str">
        <f aca="false">IF(J26="","",IF(J26&lt;0,"⚠ LOSS / PÉRDIDA",IF(K26&gt;=Fees!$D$17,"✔ GOOD FLIP / BUENA REVENTA","● THIN MARGIN / MARGEN BAJO")))</f>
        <v/>
      </c>
    </row>
    <row r="27" customFormat="false" ht="15" hidden="false" customHeight="false" outlineLevel="0" collapsed="false">
      <c r="B27" s="18"/>
      <c r="C27" s="18"/>
      <c r="D27" s="19"/>
      <c r="E27" s="19"/>
      <c r="F27" s="19"/>
      <c r="G27" s="19"/>
      <c r="H27" s="20" t="str">
        <f aca="false">IF(OR(B27="",E27=""),"",IFERROR(INDEX(Fees!$C$7:$C$13,MATCH(C27,Fees!$B$7:$B$13,0)),0))</f>
        <v/>
      </c>
      <c r="I27" s="21" t="str">
        <f aca="false">IF(H27="","",E27*H27+IFERROR(INDEX(Fees!$D$7:$D$13,MATCH(C27,Fees!$B$7:$B$13,0)),0))</f>
        <v/>
      </c>
      <c r="J27" s="21" t="str">
        <f aca="false">IF(I27="","",E27-D27-F27-G27-I27)</f>
        <v/>
      </c>
      <c r="K27" s="22" t="str">
        <f aca="false">IF(J27="","",IF(E27=0,0,J27/E27))</f>
        <v/>
      </c>
      <c r="L27" s="23" t="str">
        <f aca="false">IF(J27="","",IF(D27+G27=0,"∞",J27/(D27+G27)))</f>
        <v/>
      </c>
      <c r="M27" s="24" t="str">
        <f aca="false">IF(J27="","",IF(J27&lt;0,"⚠ LOSS / PÉRDIDA",IF(K27&gt;=Fees!$D$17,"✔ GOOD FLIP / BUENA REVENTA","● THIN MARGIN / MARGEN BAJO")))</f>
        <v/>
      </c>
    </row>
    <row r="28" customFormat="false" ht="15" hidden="false" customHeight="false" outlineLevel="0" collapsed="false">
      <c r="B28" s="18"/>
      <c r="C28" s="18"/>
      <c r="D28" s="19"/>
      <c r="E28" s="19"/>
      <c r="F28" s="19"/>
      <c r="G28" s="19"/>
      <c r="H28" s="20" t="str">
        <f aca="false">IF(OR(B28="",E28=""),"",IFERROR(INDEX(Fees!$C$7:$C$13,MATCH(C28,Fees!$B$7:$B$13,0)),0))</f>
        <v/>
      </c>
      <c r="I28" s="21" t="str">
        <f aca="false">IF(H28="","",E28*H28+IFERROR(INDEX(Fees!$D$7:$D$13,MATCH(C28,Fees!$B$7:$B$13,0)),0))</f>
        <v/>
      </c>
      <c r="J28" s="21" t="str">
        <f aca="false">IF(I28="","",E28-D28-F28-G28-I28)</f>
        <v/>
      </c>
      <c r="K28" s="22" t="str">
        <f aca="false">IF(J28="","",IF(E28=0,0,J28/E28))</f>
        <v/>
      </c>
      <c r="L28" s="23" t="str">
        <f aca="false">IF(J28="","",IF(D28+G28=0,"∞",J28/(D28+G28)))</f>
        <v/>
      </c>
      <c r="M28" s="24" t="str">
        <f aca="false">IF(J28="","",IF(J28&lt;0,"⚠ LOSS / PÉRDIDA",IF(K28&gt;=Fees!$D$17,"✔ GOOD FLIP / BUENA REVENTA","● THIN MARGIN / MARGEN BAJO")))</f>
        <v/>
      </c>
    </row>
    <row r="29" customFormat="false" ht="15" hidden="false" customHeight="false" outlineLevel="0" collapsed="false">
      <c r="B29" s="18"/>
      <c r="C29" s="18"/>
      <c r="D29" s="19"/>
      <c r="E29" s="19"/>
      <c r="F29" s="19"/>
      <c r="G29" s="19"/>
      <c r="H29" s="20" t="str">
        <f aca="false">IF(OR(B29="",E29=""),"",IFERROR(INDEX(Fees!$C$7:$C$13,MATCH(C29,Fees!$B$7:$B$13,0)),0))</f>
        <v/>
      </c>
      <c r="I29" s="21" t="str">
        <f aca="false">IF(H29="","",E29*H29+IFERROR(INDEX(Fees!$D$7:$D$13,MATCH(C29,Fees!$B$7:$B$13,0)),0))</f>
        <v/>
      </c>
      <c r="J29" s="21" t="str">
        <f aca="false">IF(I29="","",E29-D29-F29-G29-I29)</f>
        <v/>
      </c>
      <c r="K29" s="22" t="str">
        <f aca="false">IF(J29="","",IF(E29=0,0,J29/E29))</f>
        <v/>
      </c>
      <c r="L29" s="23" t="str">
        <f aca="false">IF(J29="","",IF(D29+G29=0,"∞",J29/(D29+G29)))</f>
        <v/>
      </c>
      <c r="M29" s="24" t="str">
        <f aca="false">IF(J29="","",IF(J29&lt;0,"⚠ LOSS / PÉRDIDA",IF(K29&gt;=Fees!$D$17,"✔ GOOD FLIP / BUENA REVENTA","● THIN MARGIN / MARGEN BAJO")))</f>
        <v/>
      </c>
    </row>
    <row r="30" customFormat="false" ht="15" hidden="false" customHeight="false" outlineLevel="0" collapsed="false">
      <c r="B30" s="18"/>
      <c r="C30" s="18"/>
      <c r="D30" s="19"/>
      <c r="E30" s="19"/>
      <c r="F30" s="19"/>
      <c r="G30" s="19"/>
      <c r="H30" s="20" t="str">
        <f aca="false">IF(OR(B30="",E30=""),"",IFERROR(INDEX(Fees!$C$7:$C$13,MATCH(C30,Fees!$B$7:$B$13,0)),0))</f>
        <v/>
      </c>
      <c r="I30" s="21" t="str">
        <f aca="false">IF(H30="","",E30*H30+IFERROR(INDEX(Fees!$D$7:$D$13,MATCH(C30,Fees!$B$7:$B$13,0)),0))</f>
        <v/>
      </c>
      <c r="J30" s="21" t="str">
        <f aca="false">IF(I30="","",E30-D30-F30-G30-I30)</f>
        <v/>
      </c>
      <c r="K30" s="22" t="str">
        <f aca="false">IF(J30="","",IF(E30=0,0,J30/E30))</f>
        <v/>
      </c>
      <c r="L30" s="23" t="str">
        <f aca="false">IF(J30="","",IF(D30+G30=0,"∞",J30/(D30+G30)))</f>
        <v/>
      </c>
      <c r="M30" s="24" t="str">
        <f aca="false">IF(J30="","",IF(J30&lt;0,"⚠ LOSS / PÉRDIDA",IF(K30&gt;=Fees!$D$17,"✔ GOOD FLIP / BUENA REVENTA","● THIN MARGIN / MARGEN BAJO")))</f>
        <v/>
      </c>
    </row>
    <row r="32" customFormat="false" ht="15" hidden="false" customHeight="false" outlineLevel="0" collapsed="false">
      <c r="B32" s="25" t="s">
        <v>38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</sheetData>
  <mergeCells count="4">
    <mergeCell ref="B1:N1"/>
    <mergeCell ref="B2:N2"/>
    <mergeCell ref="B3:N3"/>
    <mergeCell ref="B32:M32"/>
  </mergeCells>
  <conditionalFormatting sqref="M6:M30">
    <cfRule type="containsText" priority="2" operator="containsText" aboveAverage="0" equalAverage="0" bottom="0" percent="0" rank="0" text="GOOD" dxfId="0">
      <formula>NOT(ISERROR(SEARCH("GOOD",M6)))</formula>
    </cfRule>
    <cfRule type="containsText" priority="3" operator="containsText" aboveAverage="0" equalAverage="0" bottom="0" percent="0" rank="0" text="THIN" dxfId="1">
      <formula>NOT(ISERROR(SEARCH("THIN",M6)))</formula>
    </cfRule>
    <cfRule type="containsText" priority="4" operator="containsText" aboveAverage="0" equalAverage="0" bottom="0" percent="0" rank="0" text="LOSS" dxfId="2">
      <formula>NOT(ISERROR(SEARCH("LOSS",M6)))</formula>
    </cfRule>
  </conditionalFormatting>
  <dataValidations count="2">
    <dataValidation allowBlank="true" error="Enter a number ≥ 0.&#10;Escribe un número ≥ 0." errorStyle="stop" errorTitle="Number / Número" operator="greaterThanOrEqual" showDropDown="false" showErrorMessage="false" showInputMessage="false" sqref="D6:G30" type="decimal">
      <formula1>0</formula1>
      <formula2>0</formula2>
    </dataValidation>
    <dataValidation allowBlank="true" error="Choose an option from the list.&#10;Elige una opción de la lista." errorStyle="stop" errorTitle="Platform / Plataforma" operator="between" showDropDown="false" showErrorMessage="false" showInputMessage="false" sqref="C6:C30" type="list">
      <formula1>Fees!$B$7:$B$13</formula1>
      <formula2>0</formula2>
    </dataValidation>
  </dataValidations>
  <hyperlinks>
    <hyperlink ref="B32" r:id="rId2" location="'More%20Tools'!A1" display="Want automatic dashboards, inventory alerts and tax-ready expense &amp; mileage logs? → See the 'More Tools' tab.  /  ¿Quieres paneles automáticos, alertas de inventario y registro de gastos y millaje? → Mira la pestaña 'More Tools'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60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39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40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30" hidden="false" customHeight="true" outlineLevel="0" collapsed="false">
      <c r="B6" s="17" t="s">
        <v>18</v>
      </c>
      <c r="C6" s="17" t="s">
        <v>23</v>
      </c>
      <c r="D6" s="17" t="s">
        <v>41</v>
      </c>
      <c r="E6" s="17" t="s">
        <v>42</v>
      </c>
    </row>
    <row r="7" customFormat="false" ht="15" hidden="false" customHeight="false" outlineLevel="0" collapsed="false">
      <c r="B7" s="26" t="s">
        <v>30</v>
      </c>
      <c r="C7" s="27" t="n">
        <v>0.1325</v>
      </c>
      <c r="D7" s="28" t="n">
        <v>0.4</v>
      </c>
      <c r="E7" s="29" t="s">
        <v>43</v>
      </c>
    </row>
    <row r="8" customFormat="false" ht="15" hidden="false" customHeight="false" outlineLevel="0" collapsed="false">
      <c r="B8" s="26" t="s">
        <v>32</v>
      </c>
      <c r="C8" s="27" t="n">
        <v>0.2</v>
      </c>
      <c r="D8" s="28" t="n">
        <v>0</v>
      </c>
      <c r="E8" s="29" t="s">
        <v>44</v>
      </c>
    </row>
    <row r="9" customFormat="false" ht="15" hidden="false" customHeight="false" outlineLevel="0" collapsed="false">
      <c r="B9" s="26" t="s">
        <v>45</v>
      </c>
      <c r="C9" s="27" t="n">
        <v>0.095</v>
      </c>
      <c r="D9" s="28" t="n">
        <v>0.45</v>
      </c>
      <c r="E9" s="29" t="s">
        <v>46</v>
      </c>
    </row>
    <row r="10" customFormat="false" ht="15" hidden="false" customHeight="false" outlineLevel="0" collapsed="false">
      <c r="B10" s="26" t="s">
        <v>47</v>
      </c>
      <c r="C10" s="27" t="n">
        <v>0.1</v>
      </c>
      <c r="D10" s="28" t="n">
        <v>0</v>
      </c>
      <c r="E10" s="29" t="s">
        <v>48</v>
      </c>
    </row>
    <row r="11" customFormat="false" ht="15" hidden="false" customHeight="false" outlineLevel="0" collapsed="false">
      <c r="B11" s="26" t="s">
        <v>36</v>
      </c>
      <c r="C11" s="27" t="n">
        <v>0.1</v>
      </c>
      <c r="D11" s="28" t="n">
        <v>0.5</v>
      </c>
      <c r="E11" s="29" t="s">
        <v>49</v>
      </c>
    </row>
    <row r="12" customFormat="false" ht="15" hidden="false" customHeight="false" outlineLevel="0" collapsed="false">
      <c r="B12" s="26" t="s">
        <v>34</v>
      </c>
      <c r="C12" s="27" t="n">
        <v>0</v>
      </c>
      <c r="D12" s="28" t="n">
        <v>0</v>
      </c>
      <c r="E12" s="29" t="s">
        <v>50</v>
      </c>
    </row>
    <row r="13" customFormat="false" ht="15" hidden="false" customHeight="false" outlineLevel="0" collapsed="false">
      <c r="B13" s="26" t="s">
        <v>51</v>
      </c>
      <c r="C13" s="27" t="n">
        <v>0.1</v>
      </c>
      <c r="D13" s="28" t="n">
        <v>0</v>
      </c>
      <c r="E13" s="29" t="s">
        <v>52</v>
      </c>
    </row>
    <row r="16" customFormat="false" ht="15" hidden="false" customHeight="false" outlineLevel="0" collapsed="false">
      <c r="B16" s="30" t="s">
        <v>53</v>
      </c>
      <c r="C16" s="30"/>
      <c r="D16" s="30"/>
    </row>
    <row r="17" customFormat="false" ht="15" hidden="false" customHeight="false" outlineLevel="0" collapsed="false">
      <c r="B17" s="31" t="s">
        <v>54</v>
      </c>
      <c r="C17" s="31"/>
      <c r="D17" s="32" t="n">
        <v>0.3</v>
      </c>
    </row>
  </sheetData>
  <mergeCells count="5">
    <mergeCell ref="B1:E1"/>
    <mergeCell ref="B2:E2"/>
    <mergeCell ref="B3:E3"/>
    <mergeCell ref="B16:D16"/>
    <mergeCell ref="B17:C17"/>
  </mergeCells>
  <dataValidations count="2">
    <dataValidation allowBlank="true" error="0%–90%" errorStyle="stop" errorTitle="Percent" operator="between" showDropDown="false" showErrorMessage="false" showInputMessage="false" sqref="C7:C13 D17" type="decimal">
      <formula1>0</formula1>
      <formula2>0.9</formula2>
    </dataValidation>
    <dataValidation allowBlank="true" error="Enter a number ≥ 0.&#10;Escribe un número ≥ 0." errorStyle="stop" errorTitle="Number / Número" operator="greaterThanOrEqual" showDropDown="false" showErrorMessage="false" showInputMessage="false" sqref="D7:D1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</row>
    <row r="2" customFormat="false" ht="30" hidden="false" customHeight="true" outlineLevel="0" collapsed="false">
      <c r="A2" s="1"/>
      <c r="B2" s="15" t="s">
        <v>55</v>
      </c>
      <c r="C2" s="15"/>
      <c r="D2" s="15"/>
    </row>
    <row r="3" customFormat="false" ht="19.5" hidden="false" customHeight="true" outlineLevel="0" collapsed="false">
      <c r="A3" s="1"/>
      <c r="B3" s="16" t="s">
        <v>56</v>
      </c>
      <c r="C3" s="16"/>
      <c r="D3" s="16"/>
    </row>
    <row r="4" customFormat="false" ht="3.75" hidden="false" customHeight="true" outlineLevel="0" collapsed="false">
      <c r="A4" s="7"/>
      <c r="B4" s="7"/>
      <c r="C4" s="7"/>
      <c r="D4" s="7"/>
    </row>
    <row r="6" customFormat="false" ht="43.5" hidden="false" customHeight="true" outlineLevel="0" collapsed="false">
      <c r="B6" s="33" t="s">
        <v>57</v>
      </c>
      <c r="C6" s="34" t="s">
        <v>58</v>
      </c>
    </row>
    <row r="7" customFormat="false" ht="43.5" hidden="false" customHeight="true" outlineLevel="0" collapsed="false">
      <c r="B7" s="33" t="s">
        <v>59</v>
      </c>
      <c r="C7" s="34" t="s">
        <v>60</v>
      </c>
    </row>
    <row r="8" customFormat="false" ht="43.5" hidden="false" customHeight="true" outlineLevel="0" collapsed="false">
      <c r="B8" s="33" t="s">
        <v>61</v>
      </c>
      <c r="C8" s="34" t="s">
        <v>62</v>
      </c>
    </row>
    <row r="9" customFormat="false" ht="43.5" hidden="false" customHeight="true" outlineLevel="0" collapsed="false">
      <c r="B9" s="33" t="s">
        <v>63</v>
      </c>
      <c r="C9" s="34" t="s">
        <v>64</v>
      </c>
    </row>
    <row r="11" customFormat="false" ht="30" hidden="false" customHeight="true" outlineLevel="0" collapsed="false">
      <c r="B11" s="35" t="s">
        <v>65</v>
      </c>
      <c r="C11" s="35"/>
    </row>
    <row r="13" customFormat="false" ht="15" hidden="false" customHeight="false" outlineLevel="0" collapsed="false">
      <c r="B13" s="36" t="s">
        <v>66</v>
      </c>
    </row>
  </sheetData>
  <mergeCells count="4">
    <mergeCell ref="B1:D1"/>
    <mergeCell ref="B2:D2"/>
    <mergeCell ref="B3:D3"/>
    <mergeCell ref="B11:C11"/>
  </mergeCells>
  <hyperlinks>
    <hyperlink ref="B11" r:id="rId1" display="👉  Get them here / Consíguelas aquí:  https://YOURSHOP.ets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2026-10-01T00:39:57Z</dcterms:created>
  <dc:creator>ProfitTrack</dc:creator>
  <dc:description/>
  <dc:language>en-US</dc:language>
  <cp:lastModifiedBy/>
  <dcterms:modified xsi:type="dcterms:W3CDTF">2026-10-01T00:39:57Z</dcterms:modified>
  <cp:revision>0</cp:revision>
  <dc:subject/>
  <dc:title>ProfitTrack Flip Calculator (Free)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