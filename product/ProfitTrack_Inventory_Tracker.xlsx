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Inventory" sheetId="3" state="visible" r:id="rId5"/>
    <sheet name="Settings" sheetId="4" state="visible" r:id="rId6"/>
    <sheet name="Quick Start Guide" sheetId="5" state="visible" r:id="rId7"/>
  </sheets>
  <definedNames>
    <definedName function="false" hidden="false" localSheetId="2" name="_xlnm.Print_Titles" vbProcedure="false">Inventory!$5:$5</definedName>
    <definedName function="false" hidden="true" localSheetId="2" name="_xlnm._FilterDatabase" vbProcedure="false">Inventory!$B$5:$Q$1005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Rows 6–27 are EXAMPLES. Select B6:M27 and press Delete to start fresh.
Las filas 6–27 son EJEMPLOS. Selecciona B6:M27 y presiona Suprimir.</t>
        </r>
      </text>
    </comment>
    <comment ref="J5" authorId="0">
      <text>
        <r>
          <rPr>
            <sz val="10"/>
            <rFont val="Arial"/>
            <family val="2"/>
          </rPr>
          <t xml:space="preserve">Blank, In Stock or Listed = still in inventory. Sold, Donated or Damaged = closed.
Vacío, En Inventario o Publicado = sigue en inventario. Vendido, Donado o Dañado = cerrado.</t>
        </r>
      </text>
    </comment>
    <comment ref="N5" authorId="0">
      <text>
        <r>
          <rPr>
            <sz val="10"/>
            <rFont val="Arial"/>
            <family val="2"/>
          </rPr>
          <t xml:space="preserve">Unsold: days since purchase (today − purchase date). Sold: days from purchase to sale.
Sin vender: días desde la compra. Vendido: días de la compra a la venta.</t>
        </r>
      </text>
    </comment>
    <comment ref="O5" authorId="0">
      <text>
        <r>
          <rPr>
            <sz val="10"/>
            <rFont val="Arial"/>
            <family val="2"/>
          </rPr>
          <t xml:space="preserve">Unsold items: List Price − Cost (before fees &amp; shipping).
Sin vender: Precio Publicado − Costo (antes de comisiones y envío).</t>
        </r>
      </text>
    </comment>
    <comment ref="P5" authorId="0">
      <text>
        <r>
          <rPr>
            <sz val="10"/>
            <rFont val="Arial"/>
            <family val="2"/>
          </rPr>
          <t xml:space="preserve">Sold items: Sold Price − Cost (before fees &amp; shipping). For net profit use ProfitTrack Profit Tracker.
Vendidos: Precio de Venta − Costo (antes de comisiones y envío).</t>
        </r>
      </text>
    </comment>
  </commentList>
</comments>
</file>

<file path=xl/sharedStrings.xml><?xml version="1.0" encoding="utf-8"?>
<sst xmlns="http://schemas.openxmlformats.org/spreadsheetml/2006/main" count="317" uniqueCount="227">
  <si>
    <t xml:space="preserve">RESELLER TOOLKIT  •  KIT PARA REVENDEDORES</t>
  </si>
  <si>
    <t xml:space="preserve">ProfitTrack</t>
  </si>
  <si>
    <t xml:space="preserve">Reseller Inventory Tracker</t>
  </si>
  <si>
    <t xml:space="preserve">Control de Inventario para Revendedores</t>
  </si>
  <si>
    <t xml:space="preserve">eBay  •  Facebook Marketplace  •  Etsy  •  Poshmark  •  Mercari  •  Depop</t>
  </si>
  <si>
    <t xml:space="preserve">WHAT'S INSIDE  /  CONTENIDO   (click to open • clic para abrir)</t>
  </si>
  <si>
    <t xml:space="preserve">📊  Dashboard / Panel</t>
  </si>
  <si>
    <t xml:space="preserve">Stock value, stale items, sell-through, oldest items / Valor del inventario, artículos estancados, tasa de venta</t>
  </si>
  <si>
    <t xml:space="preserve">📦  Inventory / Inventario</t>
  </si>
  <si>
    <t xml:space="preserve">Every item from purchase to sale – days held &amp; alerts automatic / Cada artículo de la compra a la venta – días y alertas automáticos</t>
  </si>
  <si>
    <t xml:space="preserve">⚙️  Settings / Configuración</t>
  </si>
  <si>
    <t xml:space="preserve">Stale-item alert days &amp; your categories / Días de alerta y tus categorías</t>
  </si>
  <si>
    <t xml:space="preserve">🚀  Quick Start Guide / Guía Rápida</t>
  </si>
  <si>
    <t xml:space="preserve">Step-by-step setup in 5 minutes / Configuración paso a paso en 5 minutos</t>
  </si>
  <si>
    <t xml:space="preserve">💻 PC / Mac  •  📱 iPhone / Android  —  Excel • Google Sheets   |   Computadora y celular — Excel • Google Sheets</t>
  </si>
  <si>
    <t xml:space="preserve">Start here → Quick Start Guide   |   Empieza aquí → Guía Rápida</t>
  </si>
  <si>
    <t xml:space="preserve">© ProfitTrack  •  v1.0  •  For personal use only – do not resell or redistribute / Solo para uso personal – prohibida su reventa o distribución</t>
  </si>
  <si>
    <t xml:space="preserve">Dashboard  /  Panel de Control</t>
  </si>
  <si>
    <t xml:space="preserve">What you own, what it's worth and what's not moving. Updates automatically.  •  Qué tienes, cuánto vale y qué no se vende. Se actualiza solo.</t>
  </si>
  <si>
    <t xml:space="preserve">ITEMS IN STOCK</t>
  </si>
  <si>
    <t xml:space="preserve">INVENTORY VALUE (COST)</t>
  </si>
  <si>
    <t xml:space="preserve">POTENTIAL REVENUE</t>
  </si>
  <si>
    <t xml:space="preserve">STALE ITEMS</t>
  </si>
  <si>
    <t xml:space="preserve">Artículos en Inventario</t>
  </si>
  <si>
    <t xml:space="preserve">Valor del Inventario (Costo)</t>
  </si>
  <si>
    <t xml:space="preserve">Ingresos Potenciales</t>
  </si>
  <si>
    <t xml:space="preserve">Artículos Estancados</t>
  </si>
  <si>
    <t xml:space="preserve">ITEMS SOLD</t>
  </si>
  <si>
    <t xml:space="preserve">AVG. DAYS TO SELL</t>
  </si>
  <si>
    <t xml:space="preserve">SELL-THROUGH RATE</t>
  </si>
  <si>
    <t xml:space="preserve">GROSS PROFIT (SOLD)</t>
  </si>
  <si>
    <t xml:space="preserve">Artículos Vendidos</t>
  </si>
  <si>
    <t xml:space="preserve">Días Promedio para Vender</t>
  </si>
  <si>
    <t xml:space="preserve">Tasa de Venta</t>
  </si>
  <si>
    <t xml:space="preserve">Ganancia Bruta (Vendidos)</t>
  </si>
  <si>
    <t xml:space="preserve">purchase → sale / compra → venta</t>
  </si>
  <si>
    <t xml:space="preserve">sold ÷ (sold + in stock) / vendidos ÷ total</t>
  </si>
  <si>
    <t xml:space="preserve">Inventory by Category  /  Inventario por Categoría</t>
  </si>
  <si>
    <t xml:space="preserve">Category
Categoría</t>
  </si>
  <si>
    <t xml:space="preserve">In Stock
En Inventario</t>
  </si>
  <si>
    <t xml:space="preserve">Value at Cost
Valor al Costo</t>
  </si>
  <si>
    <t xml:space="preserve">Potential Revenue
Ingreso Potencial</t>
  </si>
  <si>
    <t xml:space="preserve">Sold
Vendidos</t>
  </si>
  <si>
    <t xml:space="preserve">Uncategorized / Sin categoría</t>
  </si>
  <si>
    <t xml:space="preserve">TOTAL</t>
  </si>
  <si>
    <t xml:space="preserve">Unsold Items by Age  /  Artículos sin Vender por Antigüedad</t>
  </si>
  <si>
    <t xml:space="preserve">Age
Antigüedad</t>
  </si>
  <si>
    <t xml:space="preserve">Items
Artículos</t>
  </si>
  <si>
    <t xml:space="preserve">% of Items
% de Artículos</t>
  </si>
  <si>
    <t xml:space="preserve">0–30 days / días</t>
  </si>
  <si>
    <t xml:space="preserve">31–60 days / días</t>
  </si>
  <si>
    <t xml:space="preserve">61–90 days / días</t>
  </si>
  <si>
    <t xml:space="preserve">90+ days / días</t>
  </si>
  <si>
    <t xml:space="preserve">No purchase date / Sin fecha</t>
  </si>
  <si>
    <t xml:space="preserve">IN STOCK / EN INVENTARIO</t>
  </si>
  <si>
    <t xml:space="preserve">10 Oldest Unsold Items – reprice, relist or bundle  /  10 Artículos sin Vender más Antiguos – baja el precio o vuelve a publicar</t>
  </si>
  <si>
    <t xml:space="preserve">Item
Artículo</t>
  </si>
  <si>
    <t xml:space="preserve">SKU
Código</t>
  </si>
  <si>
    <t xml:space="preserve">Days Held
Días</t>
  </si>
  <si>
    <t xml:space="preserve">Cost
Costo</t>
  </si>
  <si>
    <t xml:space="preserve">List Price
Precio</t>
  </si>
  <si>
    <t xml:space="preserve">Platform
Plataforma</t>
  </si>
  <si>
    <t xml:space="preserve">Location
Ubicación</t>
  </si>
  <si>
    <t xml:space="preserve">Alert
Alerta</t>
  </si>
  <si>
    <t xml:space="preserve">Inventory  /  Inventario</t>
  </si>
  <si>
    <t xml:space="preserve">One row per item. Type in the light-teal columns only – grey columns calculate automatically.  •  Una fila por artículo. Escribe solo en las columnas verde claro – las grises se calculan solas.</t>
  </si>
  <si>
    <t xml:space="preserve">Item Name
Artículo</t>
  </si>
  <si>
    <t xml:space="preserve">Source
Fuente</t>
  </si>
  <si>
    <t xml:space="preserve">Purchase Date
Fecha de Compra</t>
  </si>
  <si>
    <t xml:space="preserve">List Price
Precio Publicado</t>
  </si>
  <si>
    <t xml:space="preserve">Status
Estado</t>
  </si>
  <si>
    <t xml:space="preserve">Sold Date
Fecha de Venta</t>
  </si>
  <si>
    <t xml:space="preserve">Sold Price
Precio de Venta</t>
  </si>
  <si>
    <t xml:space="preserve">Location / Bin
Ubicación</t>
  </si>
  <si>
    <t xml:space="preserve">Potential Profit
Ganancia Potencial</t>
  </si>
  <si>
    <t xml:space="preserve">Gross Profit
Ganancia Bruta</t>
  </si>
  <si>
    <t xml:space="preserve">Age Alert
Alerta</t>
  </si>
  <si>
    <t xml:space="preserve">Helper – do not edit: unsold</t>
  </si>
  <si>
    <t xml:space="preserve">Helper – do not edit: sold</t>
  </si>
  <si>
    <t xml:space="preserve">Helper – do not edit: age</t>
  </si>
  <si>
    <t xml:space="preserve">Helper – do not edit: age bucket</t>
  </si>
  <si>
    <t xml:space="preserve">Helper – do not edit: oldest key</t>
  </si>
  <si>
    <t xml:space="preserve">Helper – do not edit: days to sell</t>
  </si>
  <si>
    <t xml:space="preserve">Helper – do not edit: has days to sell</t>
  </si>
  <si>
    <t xml:space="preserve">Helper – do not edit: stale</t>
  </si>
  <si>
    <t xml:space="preserve">Helper – do not edit: not listed</t>
  </si>
  <si>
    <t xml:space="preserve">Helper – do not edit: gross profit</t>
  </si>
  <si>
    <t xml:space="preserve">Helper – do not edit: potential profit</t>
  </si>
  <si>
    <t xml:space="preserve">A-001</t>
  </si>
  <si>
    <t xml:space="preserve">Levi's 501 Jeans 32x30</t>
  </si>
  <si>
    <t xml:space="preserve">Clothing / Ropa</t>
  </si>
  <si>
    <t xml:space="preserve">Goodwill</t>
  </si>
  <si>
    <t xml:space="preserve">Poshmark</t>
  </si>
  <si>
    <t xml:space="preserve">Listed / Publicado</t>
  </si>
  <si>
    <t xml:space="preserve">Bin 1</t>
  </si>
  <si>
    <t xml:space="preserve">A-002</t>
  </si>
  <si>
    <t xml:space="preserve">Nike Air Max 90 – Size 10</t>
  </si>
  <si>
    <t xml:space="preserve">Shoes / Zapatos</t>
  </si>
  <si>
    <t xml:space="preserve">Garage sale</t>
  </si>
  <si>
    <t xml:space="preserve">eBay</t>
  </si>
  <si>
    <t xml:space="preserve">Sold / Vendido</t>
  </si>
  <si>
    <t xml:space="preserve">Shelf A</t>
  </si>
  <si>
    <t xml:space="preserve">A-003</t>
  </si>
  <si>
    <t xml:space="preserve">Coach Leather Crossbody</t>
  </si>
  <si>
    <t xml:space="preserve">Bags &amp; Accessories / Bolsos y Accesorios</t>
  </si>
  <si>
    <t xml:space="preserve">Estate sale</t>
  </si>
  <si>
    <t xml:space="preserve">Shelf B</t>
  </si>
  <si>
    <t xml:space="preserve">A-004</t>
  </si>
  <si>
    <t xml:space="preserve">Pyrex Butterprint Bowl</t>
  </si>
  <si>
    <t xml:space="preserve">Home &amp; Kitchen / Hogar y Cocina</t>
  </si>
  <si>
    <t xml:space="preserve">Thrift store</t>
  </si>
  <si>
    <t xml:space="preserve">Facebook Marketplace</t>
  </si>
  <si>
    <t xml:space="preserve">Shelf C</t>
  </si>
  <si>
    <t xml:space="preserve">A-005</t>
  </si>
  <si>
    <t xml:space="preserve">Vintage Polaroid SX-70</t>
  </si>
  <si>
    <t xml:space="preserve">Electronics / Electrónicos</t>
  </si>
  <si>
    <t xml:space="preserve">Flea market</t>
  </si>
  <si>
    <t xml:space="preserve">Shelf D</t>
  </si>
  <si>
    <t xml:space="preserve">A-006</t>
  </si>
  <si>
    <t xml:space="preserve">Lululemon Align Leggings</t>
  </si>
  <si>
    <t xml:space="preserve">A-007</t>
  </si>
  <si>
    <t xml:space="preserve">LEGO Star Wars Lot</t>
  </si>
  <si>
    <t xml:space="preserve">Toys &amp; Collectibles / Juguetes y Coleccionables</t>
  </si>
  <si>
    <t xml:space="preserve">Facebook</t>
  </si>
  <si>
    <t xml:space="preserve">Shelf E</t>
  </si>
  <si>
    <t xml:space="preserve">A-008</t>
  </si>
  <si>
    <t xml:space="preserve">Harry Potter Hardcover Set</t>
  </si>
  <si>
    <t xml:space="preserve">Books &amp; Media / Libros y Medios</t>
  </si>
  <si>
    <t xml:space="preserve">Library sale</t>
  </si>
  <si>
    <t xml:space="preserve">In Stock / En Inventario</t>
  </si>
  <si>
    <t xml:space="preserve">Bin 4</t>
  </si>
  <si>
    <t xml:space="preserve">A-009</t>
  </si>
  <si>
    <t xml:space="preserve">Mid-Century Teak Bowl</t>
  </si>
  <si>
    <t xml:space="preserve">Vintage &amp; Antiques / Vintage y Antigüedades</t>
  </si>
  <si>
    <t xml:space="preserve">Etsy</t>
  </si>
  <si>
    <t xml:space="preserve">A-010</t>
  </si>
  <si>
    <t xml:space="preserve">Patagonia Better Sweater M</t>
  </si>
  <si>
    <t xml:space="preserve">Savers</t>
  </si>
  <si>
    <t xml:space="preserve">Bin 2</t>
  </si>
  <si>
    <t xml:space="preserve">A-011</t>
  </si>
  <si>
    <t xml:space="preserve">Fossil Men's Watch</t>
  </si>
  <si>
    <t xml:space="preserve">Jewelry &amp; Watches / Joyería y Relojes</t>
  </si>
  <si>
    <t xml:space="preserve">Drawer 1</t>
  </si>
  <si>
    <t xml:space="preserve">A-012</t>
  </si>
  <si>
    <t xml:space="preserve">KitchenAid Mixer Bowl</t>
  </si>
  <si>
    <t xml:space="preserve">A-013</t>
  </si>
  <si>
    <t xml:space="preserve">Funko Pop Exclusive</t>
  </si>
  <si>
    <t xml:space="preserve">Other</t>
  </si>
  <si>
    <t xml:space="preserve">Donated / Donado</t>
  </si>
  <si>
    <t xml:space="preserve">Bin 5</t>
  </si>
  <si>
    <t xml:space="preserve">A-014</t>
  </si>
  <si>
    <t xml:space="preserve">Dr. Martens 1460 – Size 8</t>
  </si>
  <si>
    <t xml:space="preserve">A-015</t>
  </si>
  <si>
    <t xml:space="preserve">Nintendo Switch Games (4)</t>
  </si>
  <si>
    <t xml:space="preserve">A-016</t>
  </si>
  <si>
    <t xml:space="preserve">Anthropologie Maxi Dress</t>
  </si>
  <si>
    <t xml:space="preserve">A-017</t>
  </si>
  <si>
    <t xml:space="preserve">Vintage Band Tee – Nirvana</t>
  </si>
  <si>
    <t xml:space="preserve">Bin 3</t>
  </si>
  <si>
    <t xml:space="preserve">A-018</t>
  </si>
  <si>
    <t xml:space="preserve">Pandora Charm Bracelet</t>
  </si>
  <si>
    <t xml:space="preserve">A-019</t>
  </si>
  <si>
    <t xml:space="preserve">Carhartt Detroit Jacket</t>
  </si>
  <si>
    <t xml:space="preserve">Bins outlet</t>
  </si>
  <si>
    <t xml:space="preserve">Rack 1</t>
  </si>
  <si>
    <t xml:space="preserve">A-020</t>
  </si>
  <si>
    <t xml:space="preserve">Le Creuset Dutch Oven</t>
  </si>
  <si>
    <t xml:space="preserve">A-021</t>
  </si>
  <si>
    <t xml:space="preserve">Kindle Paperwhite</t>
  </si>
  <si>
    <t xml:space="preserve">A-022</t>
  </si>
  <si>
    <t xml:space="preserve">Vintage Pyrex Casserole</t>
  </si>
  <si>
    <t xml:space="preserve">Settings  /  Configuración</t>
  </si>
  <si>
    <t xml:space="preserve">Alert thresholds and item categories.  •  Límites de alerta y categorías.</t>
  </si>
  <si>
    <t xml:space="preserve">Age Alerts  /  Alertas de Antigüedad</t>
  </si>
  <si>
    <t xml:space="preserve">Item Categories  /  Categorías</t>
  </si>
  <si>
    <t xml:space="preserve">'Watch' after (days) / 'Vigilar' después de (días)</t>
  </si>
  <si>
    <t xml:space="preserve">Category (edit or add your own)
Categoría (edita o agrega)</t>
  </si>
  <si>
    <t xml:space="preserve">'Stale' after (days) / 'Estancado' después de (días)</t>
  </si>
  <si>
    <t xml:space="preserve">Unsold items older than these limits are flagged on the Inventory sheet and counted on the Dashboard.
Los artículos sin vender más antiguos que estos límites se marcan en Inventario y se cuentan en el Panel.</t>
  </si>
  <si>
    <t xml:space="preserve">Other / Otro</t>
  </si>
  <si>
    <t xml:space="preserve">Rows 18–19 are free for your own categories. / Las filas 18–19 son para tus propias categorías.</t>
  </si>
  <si>
    <t xml:space="preserve">Quick Start Guide  /  Guía Rápida</t>
  </si>
  <si>
    <t xml:space="preserve">Up and running in 5 minutes.  •  Listo en 5 minutos.</t>
  </si>
  <si>
    <t xml:space="preserve">#</t>
  </si>
  <si>
    <t xml:space="preserve">ENGLISH</t>
  </si>
  <si>
    <t xml:space="preserve">ESPAÑOL</t>
  </si>
  <si>
    <t xml:space="preserve">Clear the example data: on Inventory select B6:M27 and press Delete. Never delete whole rows or the grey columns.</t>
  </si>
  <si>
    <t xml:space="preserve">Borra los datos de ejemplo: en Inventory selecciona B6:M27 y presiona Suprimir. Nunca borres filas completas ni las columnas grises.</t>
  </si>
  <si>
    <t xml:space="preserve">Check Settings: choose when an unsold item becomes 'Watch' (default 60 days) and 'Stale' (default 90 days). Rename or add categories if you like.</t>
  </si>
  <si>
    <t xml:space="preserve">Revisa Settings (Configuración): elige cuándo un artículo sin vender pasa a 'Vigilar' (60 días por defecto) y 'Estancado' (90 días). Puedes renombrar o agregar categorías.</t>
  </si>
  <si>
    <t xml:space="preserve">Add every item the day you buy it: SKU (your own code), name, category, source, purchase date and cost. Write where you stored it in Location / Bin so you can find it fast.</t>
  </si>
  <si>
    <t xml:space="preserve">Agrega cada artículo el día que lo compras: código (SKU), nombre, categoría, fuente, fecha y costo. Escribe dónde lo guardaste en Ubicación para encontrarlo rápido.</t>
  </si>
  <si>
    <t xml:space="preserve">When you list it, choose the Platform, enter the List Price and set Status to 'Listed / Publicado'.</t>
  </si>
  <si>
    <t xml:space="preserve">Cuando lo publiques, elige la Plataforma, escribe el Precio Publicado y cambia el Estado a 'Listed / Publicado'.</t>
  </si>
  <si>
    <t xml:space="preserve">When it sells, set Status to 'Sold / Vendido' and enter the Sold Date and Sold Price. Donated or damaged items: pick that status – they leave your stock totals.</t>
  </si>
  <si>
    <t xml:space="preserve">Cuando se venda, cambia el Estado a 'Sold / Vendido' y escribe la Fecha y el Precio de Venta. Artículos donados o dañados: elige ese estado – salen de tu inventario.</t>
  </si>
  <si>
    <t xml:space="preserve">Grey columns fill in automatically: Days Held, Potential Profit (list − cost), Gross Profit (sold − cost) and the Age Alert: FRESH, WATCH or STALE.</t>
  </si>
  <si>
    <t xml:space="preserve">Las columnas grises se llenan solas: Días, Ganancia Potencial (precio − costo), Ganancia Bruta (venta − costo) y la Alerta: RECIENTE, VIGILAR o ESTANCADO.</t>
  </si>
  <si>
    <t xml:space="preserve">Open the Dashboard: items in stock, inventory value, potential revenue, stale items, items sold, average days to sell, sell-through rate and gross profit – plus the 10 oldest unsold items to reprice or relist. It's locked to protect the formulas.</t>
  </si>
  <si>
    <t xml:space="preserve">Abre el Dashboard (Panel): artículos en inventario, valor, ingresos potenciales, estancados, vendidos, días promedio para vender, tasa de venta y ganancia bruta – más los 10 artículos más antiguos para bajar precio o volver a publicar. Está bloqueado para proteger las fórmulas.</t>
  </si>
  <si>
    <t xml:space="preserve">Weekly habit: sort by Age Alert, reprice STALE items, relist or bundle them, and take a quick photo of your bins.</t>
  </si>
  <si>
    <t xml:space="preserve">Hábito semanal: ordena por Alerta, baja el precio de los ESTANCADOS, vuelve a publicarlos o haz lotes.</t>
  </si>
  <si>
    <t xml:space="preserve">Gross profit here is before platform fees and shipping. For true net profit per sale, use ProfitTrack Profit Tracker.</t>
  </si>
  <si>
    <t xml:space="preserve">La ganancia bruta aquí es antes de comisiones y envío. Para la ganancia neta real por venta, usa ProfitTrack Profit Tracker.</t>
  </si>
  <si>
    <t xml:space="preserve">Google Sheets: upload to Google Drive → Open with Google Sheets → File → Save as Google Sheets. Tip: save a blank copy first and back up monthly.</t>
  </si>
  <si>
    <t xml:space="preserve">Google Sheets: súbelo a Google Drive → Abrir con Google Sheets → Archivo → Guardar como Hojas de cálculo de Google. Consejo: guarda una copia en blanco y respalda cada mes.</t>
  </si>
  <si>
    <t xml:space="preserve">Color Legend  /  Leyenda de Colores</t>
  </si>
  <si>
    <t xml:space="preserve">Light teal = type your data here</t>
  </si>
  <si>
    <t xml:space="preserve">Verde claro = escribe tus datos aquí</t>
  </si>
  <si>
    <t xml:space="preserve">Grey = automatic formula – don't type here</t>
  </si>
  <si>
    <t xml:space="preserve">Gris = fórmula automática – no escribas aquí</t>
  </si>
  <si>
    <t xml:space="preserve">Yellow = settings you can change</t>
  </si>
  <si>
    <t xml:space="preserve">Amarillo = ajustes que puedes cambiar</t>
  </si>
  <si>
    <t xml:space="preserve">FAQ  /  Preguntas Frecuentes</t>
  </si>
  <si>
    <t xml:space="preserve">Q: Why do Days Held change every day?  A: Unsold items count days up to today, so the file stays current on its own.</t>
  </si>
  <si>
    <t xml:space="preserve">P: ¿Por qué cambian los días cada día?  R: Los artículos sin vender cuentan días hasta hoy, así el archivo se actualiza solo.</t>
  </si>
  <si>
    <t xml:space="preserve">Q: How many items?  A: 1,000 rows are ready. Need more? Copy the last row down and extend the Inventory ranges on the Dashboard.</t>
  </si>
  <si>
    <t xml:space="preserve">P: ¿Cuántos artículos?  R: Hay 1,000 filas listas. ¿Necesitas más? Copia la última fila hacia abajo y amplía los rangos en el Panel.</t>
  </si>
  <si>
    <t xml:space="preserve">Q: Why can't I type on the Dashboard?  A: It's locked so formulas can't be erased by accident. To unlock (no password): Excel → Review → Unprotect Sheet.</t>
  </si>
  <si>
    <t xml:space="preserve">P: ¿Por qué no puedo escribir en el Panel?  R: Está bloqueado para no borrar fórmulas por accidente. Para desbloquear (sin contraseña): Excel → Revisar → Desproteger hoja.</t>
  </si>
  <si>
    <t xml:space="preserve">Phone, Tablet &amp; Computer  /  Celular, Tableta y Computadora</t>
  </si>
  <si>
    <t xml:space="preserve">💻 Computer (Windows / Mac): open in Microsoft Excel, or in Google Sheets from any browser. Everything works.</t>
  </si>
  <si>
    <t xml:space="preserve">💻 Computadora (Windows / Mac): ábrelo en Microsoft Excel o en Google Sheets desde cualquier navegador. Todo funciona.</t>
  </si>
  <si>
    <t xml:space="preserve">📱 iPhone, iPad &amp; Android — RECOMMENDED: the free Microsoft Excel app or the free Google Sheets app. Formulas, dropdowns, charts and alerts all work.</t>
  </si>
  <si>
    <t xml:space="preserve">📱 iPhone, iPad y Android — RECOMENDADO: la app gratuita Microsoft Excel o la app gratuita Google Sheets. Fórmulas, listas, gráficas y alertas funcionan.</t>
  </si>
  <si>
    <t xml:space="preserve">🍎 Apple Numbers: formulas, Dashboard, charts and alerts work, but Numbers removes dropdown lists from Excel files (you'll see a message – this is normal). Type the option exactly as listed, or re-add a menu: select the cells → Format → Cell → Data Format → Pop-Up Menu.</t>
  </si>
  <si>
    <t xml:space="preserve">🍎 Apple Numbers: las fórmulas, el Panel, las gráficas y las alertas funcionan, pero Numbers elimina las listas desplegables de los archivos de Excel (verás un aviso – es normal). Escribe la opción tal como aparece, o vuelve a crear el menú: selecciona las celdas → Formato → Celda → Formato de datos → Menú desplegable.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</si>
</sst>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\$#,##0;[RED]&quot;-$&quot;#,##0;\-"/>
    <numFmt numFmtId="167" formatCode="0&quot; not listed yet / sin publicar&quot;"/>
    <numFmt numFmtId="168" formatCode="\$#,##0.00&quot; avg cost / costo prom.&quot;"/>
    <numFmt numFmtId="169" formatCode="\$#,##0&quot; potential profit / ganancia potencial&quot;"/>
    <numFmt numFmtId="170" formatCode="\$#,##0&quot; of cost tied up / de costo inmovilizado&quot;"/>
    <numFmt numFmtId="171" formatCode="0.0"/>
    <numFmt numFmtId="172" formatCode="0.0%;[RED]\-0.0%;\-"/>
    <numFmt numFmtId="173" formatCode="\$#,##0&quot; in sales / en ventas&quot;"/>
    <numFmt numFmtId="174" formatCode="0%&quot; return on cost / retorno sobre costo&quot;"/>
    <numFmt numFmtId="175" formatCode="\$#,##0.00"/>
    <numFmt numFmtId="176" formatCode="0.0%"/>
    <numFmt numFmtId="177" formatCode="0"/>
    <numFmt numFmtId="178" formatCode="\$#,##0.00;[RED]&quot;-$&quot;#,##0.00;\-"/>
    <numFmt numFmtId="179" formatCode="\$#,##0"/>
    <numFmt numFmtId="180" formatCode="yyyy\-mm\-dd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4B8A6"/>
      <name val="Arial"/>
      <family val="0"/>
      <charset val="1"/>
    </font>
    <font>
      <b val="true"/>
      <sz val="48"/>
      <color rgb="FFFFFFFF"/>
      <name val="Arial"/>
      <family val="0"/>
      <charset val="1"/>
    </font>
    <font>
      <b val="true"/>
      <sz val="18"/>
      <color rgb="FFCCFBF1"/>
      <name val="Arial"/>
      <family val="0"/>
      <charset val="1"/>
    </font>
    <font>
      <i val="true"/>
      <sz val="14"/>
      <color rgb="FFC7D2FE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2"/>
      <color rgb="FF14B8A6"/>
      <name val="Arial"/>
      <family val="0"/>
      <charset val="1"/>
    </font>
    <font>
      <b val="true"/>
      <u val="single"/>
      <sz val="13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u val="single"/>
      <sz val="11"/>
      <color rgb="FF14B8A6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9"/>
      <color rgb="FF14B8A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C7D2FE"/>
      <name val="Arial"/>
      <family val="0"/>
      <charset val="1"/>
    </font>
    <font>
      <i val="true"/>
      <sz val="8"/>
      <color rgb="FFC7D2FE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2"/>
      <color rgb="FF0B1F3A"/>
      <name val="Arial"/>
      <family val="2"/>
    </font>
    <font>
      <sz val="10"/>
      <color rgb="FF000000"/>
      <name val="Calibri"/>
      <family val="2"/>
    </font>
    <font>
      <sz val="7.5"/>
      <color rgb="FF000000"/>
      <name val="Calibri"/>
      <family val="2"/>
    </font>
    <font>
      <sz val="8"/>
      <color rgb="FF94A3B8"/>
      <name val="Arial"/>
      <family val="0"/>
      <charset val="1"/>
    </font>
    <font>
      <sz val="10"/>
      <color rgb="FF1E3A8A"/>
      <name val="Arial"/>
      <family val="0"/>
      <charset val="1"/>
    </font>
    <font>
      <sz val="10"/>
      <name val="Arial"/>
      <family val="2"/>
    </font>
    <font>
      <b val="true"/>
      <sz val="11"/>
      <color rgb="FF1E3A8A"/>
      <name val="Arial"/>
      <family val="0"/>
      <charset val="1"/>
    </font>
    <font>
      <i val="true"/>
      <sz val="8"/>
      <color rgb="FF475569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A"/>
        <bgColor rgb="FF16325C"/>
      </patternFill>
    </fill>
    <fill>
      <patternFill patternType="solid">
        <fgColor rgb="FF14B8A6"/>
        <bgColor rgb="FF00CCFF"/>
      </patternFill>
    </fill>
    <fill>
      <patternFill patternType="solid">
        <fgColor rgb="FF16325C"/>
        <bgColor rgb="FF1E3A8A"/>
      </patternFill>
    </fill>
    <fill>
      <patternFill patternType="solid">
        <fgColor rgb="FFCCFBF1"/>
        <bgColor rgb="FFDCFCE7"/>
      </patternFill>
    </fill>
    <fill>
      <patternFill patternType="solid">
        <fgColor rgb="FFFFFFFF"/>
        <bgColor rgb="FFF0FDFA"/>
      </patternFill>
    </fill>
    <fill>
      <patternFill patternType="solid">
        <fgColor rgb="FFF0FDFA"/>
        <bgColor rgb="FFF1F5F9"/>
      </patternFill>
    </fill>
    <fill>
      <patternFill patternType="solid">
        <fgColor rgb="FFF1F5F9"/>
        <bgColor rgb="FFF0FDFA"/>
      </patternFill>
    </fill>
    <fill>
      <patternFill patternType="solid">
        <fgColor rgb="FFFEF9C3"/>
        <bgColor rgb="FFFEF3C7"/>
      </patternFill>
    </fill>
    <fill>
      <patternFill patternType="solid">
        <fgColor rgb="FF0F766E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1" fillId="9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name val="Arial"/>
        <charset val="1"/>
        <family val="0"/>
        <b val="1"/>
        <color rgb="FFDC2626"/>
      </font>
    </dxf>
    <dxf>
      <font>
        <name val="Arial"/>
        <charset val="1"/>
        <family val="0"/>
        <b val="1"/>
        <color rgb="FFB45309"/>
      </font>
    </dxf>
    <dxf>
      <fill>
        <patternFill patternType="solid">
          <fgColor rgb="FF16325C"/>
          <bgColor rgb="FF000000"/>
        </patternFill>
      </fill>
    </dxf>
    <dxf>
      <fill>
        <patternFill patternType="solid">
          <fgColor rgb="FFF0FDFA"/>
          <bgColor rgb="FF000000"/>
        </patternFill>
      </fill>
    </dxf>
    <dxf>
      <fill>
        <patternFill patternType="solid">
          <fgColor rgb="FF1E3A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94A3B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C2626"/>
          <bgColor rgb="FF000000"/>
        </patternFill>
      </fill>
    </dxf>
    <dxf>
      <font>
        <name val="Arial"/>
        <charset val="1"/>
        <family val="0"/>
        <b val="1"/>
        <color rgb="FFDC2626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color rgb="FF15803D"/>
      </font>
      <fill>
        <patternFill>
          <bgColor rgb="FFDCFCE7"/>
        </patternFill>
      </fill>
    </dxf>
    <dxf>
      <font>
        <name val="Arial"/>
        <charset val="1"/>
        <family val="0"/>
        <color rgb="FF0F766E"/>
      </font>
      <fill>
        <patternFill>
          <bgColor rgb="FFCCFBF1"/>
        </patternFill>
      </fill>
    </dxf>
    <dxf>
      <font>
        <name val="Arial"/>
        <charset val="1"/>
        <family val="0"/>
        <i val="1"/>
        <color rgb="FF94A3B8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CBD5E1"/>
      <rgbColor rgb="FF878787"/>
      <rgbColor rgb="FF9999FF"/>
      <rgbColor rgb="FF993366"/>
      <rgbColor rgb="FFFEF9C3"/>
      <rgbColor rgb="FFCCFBF1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EF3C7"/>
      <rgbColor rgb="FFD9D9D9"/>
      <rgbColor rgb="FFF1F5F9"/>
      <rgbColor rgb="FFCC99FF"/>
      <rgbColor rgb="FFFEE2E2"/>
      <rgbColor rgb="FF3366FF"/>
      <rgbColor rgb="FF14B8A6"/>
      <rgbColor rgb="FF99CC00"/>
      <rgbColor rgb="FFFFCC00"/>
      <rgbColor rgb="FFFF9900"/>
      <rgbColor rgb="FFFF6600"/>
      <rgbColor rgb="FF64748B"/>
      <rgbColor rgb="FF94A3B8"/>
      <rgbColor rgb="FF16325C"/>
      <rgbColor rgb="FF339966"/>
      <rgbColor rgb="FF0B1F3A"/>
      <rgbColor rgb="FF333300"/>
      <rgbColor rgb="FFB45309"/>
      <rgbColor rgb="FF993366"/>
      <rgbColor rgb="FF1E3A8A"/>
      <rgbColor rgb="FF47556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1f3a"/>
                </a:solidFill>
                <a:latin typeface="Arial"/>
              </a:defRPr>
            </a:pPr>
            <a:r>
              <a:rPr b="1" sz="1200" spc="-1" strike="noStrike">
                <a:solidFill>
                  <a:srgbClr val="0b1f3a"/>
                </a:solidFill>
                <a:latin typeface="Arial"/>
              </a:rPr>
              <a:t>Inventory Value by Category / Valor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Dashboard!D18</c:f>
              <c:strCache>
                <c:ptCount val="1"/>
                <c:pt idx="0">
                  <c:v>Value at Cost
Valor al Costo</c:v>
                </c:pt>
              </c:strCache>
            </c:strRef>
          </c:tx>
          <c:spPr>
            <a:solidFill>
              <a:srgbClr val="14b8a6"/>
            </a:solidFill>
            <a:ln w="9360">
              <a:solidFill>
                <a:srgbClr val="0f766e"/>
              </a:solidFill>
              <a:round/>
            </a:ln>
          </c:spPr>
          <c:invertIfNegative val="0"/>
          <c:dLbls>
            <c:numFmt formatCode="\$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Dashboard!$B$19:$B$31</c:f>
              <c:strCache>
                <c:ptCount val="13"/>
                <c:pt idx="0">
                  <c:v>Clothing / Ropa</c:v>
                </c:pt>
                <c:pt idx="1">
                  <c:v>Shoes / Zapatos</c:v>
                </c:pt>
                <c:pt idx="2">
                  <c:v>Bags &amp; Accessories / Bolsos y Accesorios</c:v>
                </c:pt>
                <c:pt idx="3">
                  <c:v>Jewelry &amp; Watches / Joyería y Relojes</c:v>
                </c:pt>
                <c:pt idx="4">
                  <c:v>Home &amp; Kitchen / Hogar y Cocina</c:v>
                </c:pt>
                <c:pt idx="5">
                  <c:v>Electronics / Electrónicos</c:v>
                </c:pt>
                <c:pt idx="6">
                  <c:v>Toys &amp; Collectibles / Juguetes y Coleccionables</c:v>
                </c:pt>
                <c:pt idx="7">
                  <c:v>Books &amp; Media / Libros y Medios</c:v>
                </c:pt>
                <c:pt idx="8">
                  <c:v>Vintage &amp; Antiques / Vintage y Antigüedades</c:v>
                </c:pt>
                <c:pt idx="9">
                  <c:v>Other / Otro</c:v>
                </c:pt>
                <c:pt idx="10">
                  <c:v/>
                </c:pt>
                <c:pt idx="11">
                  <c:v/>
                </c:pt>
                <c:pt idx="12">
                  <c:v>Uncategorized / Sin categoría</c:v>
                </c:pt>
              </c:strCache>
            </c:strRef>
          </c:cat>
          <c:val>
            <c:numRef>
              <c:f>Dashboard!$D$19:$D$31</c:f>
              <c:numCache>
                <c:formatCode>\$#,##0.00</c:formatCode>
                <c:ptCount val="13"/>
                <c:pt idx="0">
                  <c:v>41</c:v>
                </c:pt>
                <c:pt idx="1">
                  <c:v>18</c:v>
                </c:pt>
                <c:pt idx="2">
                  <c:v>20</c:v>
                </c:pt>
                <c:pt idx="3">
                  <c:v>23</c:v>
                </c:pt>
                <c:pt idx="4">
                  <c:v>82</c:v>
                </c:pt>
                <c:pt idx="5">
                  <c:v>20</c:v>
                </c:pt>
                <c:pt idx="6">
                  <c:v>60</c:v>
                </c:pt>
                <c:pt idx="7">
                  <c:v>12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gapWidth val="40"/>
        <c:overlap val="0"/>
        <c:axId val="33239816"/>
        <c:axId val="48610330"/>
      </c:barChart>
      <c:catAx>
        <c:axId val="332398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10330"/>
        <c:crosses val="autoZero"/>
        <c:auto val="1"/>
        <c:lblAlgn val="ctr"/>
        <c:lblOffset val="100"/>
        <c:noMultiLvlLbl val="0"/>
      </c:catAx>
      <c:valAx>
        <c:axId val="4861033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3981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1f3a"/>
                </a:solidFill>
                <a:latin typeface="Arial"/>
              </a:defRPr>
            </a:pPr>
            <a:r>
              <a:rPr b="1" sz="1200" spc="-1" strike="noStrike">
                <a:solidFill>
                  <a:srgbClr val="0b1f3a"/>
                </a:solidFill>
                <a:latin typeface="Arial"/>
              </a:rPr>
              <a:t>Unsold Items by Age / Antigüedad del Inventario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Dashboard!C36</c:f>
              <c:strCache>
                <c:ptCount val="1"/>
                <c:pt idx="0">
                  <c:v>Items
Artículos</c:v>
                </c:pt>
              </c:strCache>
            </c:strRef>
          </c:tx>
          <c:spPr>
            <a:solidFill>
              <a:srgbClr val="0b1f3a"/>
            </a:solidFill>
            <a:ln w="9360">
              <a:solidFill>
                <a:srgbClr val="0b1f3a"/>
              </a:solidFill>
              <a:round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Dashboard!$B$37:$B$41</c:f>
              <c:strCache>
                <c:ptCount val="5"/>
                <c:pt idx="0">
                  <c:v>0–30 days / días</c:v>
                </c:pt>
                <c:pt idx="1">
                  <c:v>31–60 days / días</c:v>
                </c:pt>
                <c:pt idx="2">
                  <c:v>61–90 days / días</c:v>
                </c:pt>
                <c:pt idx="3">
                  <c:v>90+ days / días</c:v>
                </c:pt>
                <c:pt idx="4">
                  <c:v>No purchase date / Sin fecha</c:v>
                </c:pt>
              </c:strCache>
            </c:strRef>
          </c:cat>
          <c:val>
            <c:numRef>
              <c:f>Dashboard!$C$37:$C$41</c:f>
              <c:numCache>
                <c:formatCode>#,##0</c:formatCode>
                <c:ptCount val="5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3130215"/>
        <c:axId val="32041236"/>
      </c:barChart>
      <c:catAx>
        <c:axId val="23130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75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41236"/>
        <c:crosses val="autoZero"/>
        <c:auto val="1"/>
        <c:lblAlgn val="ctr"/>
        <c:lblOffset val="100"/>
        <c:noMultiLvlLbl val="0"/>
      </c:catAx>
      <c:valAx>
        <c:axId val="32041236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302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16</xdr:row>
      <xdr:rowOff>0</xdr:rowOff>
    </xdr:from>
    <xdr:to>
      <xdr:col>12</xdr:col>
      <xdr:colOff>340920</xdr:colOff>
      <xdr:row>31</xdr:row>
      <xdr:rowOff>47520</xdr:rowOff>
    </xdr:to>
    <xdr:graphicFrame>
      <xdr:nvGraphicFramePr>
        <xdr:cNvPr id="0" name="Chart 1"/>
        <xdr:cNvGraphicFramePr/>
      </xdr:nvGraphicFramePr>
      <xdr:xfrm>
        <a:off x="8489880" y="3971880"/>
        <a:ext cx="611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12</xdr:col>
      <xdr:colOff>340920</xdr:colOff>
      <xdr:row>42</xdr:row>
      <xdr:rowOff>156960</xdr:rowOff>
    </xdr:to>
    <xdr:graphicFrame>
      <xdr:nvGraphicFramePr>
        <xdr:cNvPr id="1" name="Chart 2"/>
        <xdr:cNvGraphicFramePr/>
      </xdr:nvGraphicFramePr>
      <xdr:xfrm>
        <a:off x="8489880" y="7591320"/>
        <a:ext cx="6119640" cy="18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fitTrack_Inventory_Tracker.xlsx" TargetMode="External"/><Relationship Id="rId2" Type="http://schemas.openxmlformats.org/officeDocument/2006/relationships/hyperlink" Target="ProfitTrack_Inventory_Tracker.xlsx" TargetMode="External"/><Relationship Id="rId3" Type="http://schemas.openxmlformats.org/officeDocument/2006/relationships/hyperlink" Target="ProfitTrack_Inventory_Tracker.xlsx" TargetMode="External"/><Relationship Id="rId4" Type="http://schemas.openxmlformats.org/officeDocument/2006/relationships/hyperlink" Target="ProfitTrack_Inventory_Tracker.xlsx" TargetMode="External"/><Relationship Id="rId5" Type="http://schemas.openxmlformats.org/officeDocument/2006/relationships/hyperlink" Target="ProfitTrack_Inventory_Tracker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/>
      <c r="B4" s="2" t="s">
        <v>0</v>
      </c>
      <c r="C4" s="2"/>
      <c r="D4" s="2"/>
      <c r="E4" s="2"/>
      <c r="F4" s="2"/>
      <c r="G4" s="2"/>
      <c r="H4" s="2"/>
      <c r="I4" s="2"/>
      <c r="J4" s="2"/>
      <c r="K4" s="2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1.75" hidden="false" customHeight="true" outlineLevel="0" collapsed="false">
      <c r="A6" s="1"/>
      <c r="B6" s="3" t="s">
        <v>1</v>
      </c>
      <c r="C6" s="3"/>
      <c r="D6" s="3"/>
      <c r="E6" s="3"/>
      <c r="F6" s="3"/>
      <c r="G6" s="3"/>
      <c r="H6" s="3"/>
      <c r="I6" s="3"/>
      <c r="J6" s="3"/>
      <c r="K6" s="3"/>
      <c r="L6" s="1"/>
    </row>
    <row r="7" customFormat="false" ht="21.75" hidden="false" customHeight="true" outlineLevel="0" collapsed="false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1"/>
    </row>
    <row r="8" customFormat="false" ht="21.75" hidden="false" customHeight="true" outlineLevel="0" collapsed="false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1"/>
    </row>
    <row r="9" customFormat="false" ht="27.75" hidden="false" customHeight="true" outlineLevel="0" collapsed="false">
      <c r="A9" s="1"/>
      <c r="B9" s="4" t="s">
        <v>2</v>
      </c>
      <c r="C9" s="4"/>
      <c r="D9" s="4"/>
      <c r="E9" s="4"/>
      <c r="F9" s="4"/>
      <c r="G9" s="4"/>
      <c r="H9" s="4"/>
      <c r="I9" s="4"/>
      <c r="J9" s="4"/>
      <c r="K9" s="4"/>
      <c r="L9" s="1"/>
    </row>
    <row r="10" customFormat="false" ht="21.75" hidden="false" customHeight="true" outlineLevel="0" collapsed="false">
      <c r="A10" s="1"/>
      <c r="B10" s="5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1"/>
    </row>
    <row r="11" customFormat="false" ht="15" hidden="false" customHeight="true" outlineLevel="0" collapsed="false">
      <c r="A11" s="1"/>
      <c r="B11" s="6" t="s">
        <v>4</v>
      </c>
      <c r="C11" s="6"/>
      <c r="D11" s="6"/>
      <c r="E11" s="6"/>
      <c r="F11" s="6"/>
      <c r="G11" s="6"/>
      <c r="H11" s="6"/>
      <c r="I11" s="6"/>
      <c r="J11" s="6"/>
      <c r="K11" s="6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4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true" outlineLevel="0" collapsed="false">
      <c r="A15" s="1"/>
      <c r="B15" s="8" t="s">
        <v>5</v>
      </c>
      <c r="C15" s="8"/>
      <c r="D15" s="8"/>
      <c r="E15" s="8"/>
      <c r="F15" s="8"/>
      <c r="G15" s="8"/>
      <c r="H15" s="8"/>
      <c r="I15" s="8"/>
      <c r="J15" s="8"/>
      <c r="K15" s="8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1"/>
      <c r="C17" s="9" t="s">
        <v>6</v>
      </c>
      <c r="D17" s="9"/>
      <c r="E17" s="9"/>
      <c r="F17" s="9"/>
      <c r="G17" s="9"/>
      <c r="H17" s="9"/>
      <c r="I17" s="9"/>
      <c r="J17" s="9"/>
      <c r="K17" s="1"/>
      <c r="L17" s="1"/>
    </row>
    <row r="18" customFormat="false" ht="25.5" hidden="false" customHeight="true" outlineLevel="0" collapsed="false">
      <c r="A18" s="1"/>
      <c r="B18" s="1"/>
      <c r="C18" s="10" t="s">
        <v>7</v>
      </c>
      <c r="D18" s="10"/>
      <c r="E18" s="10"/>
      <c r="F18" s="10"/>
      <c r="G18" s="10"/>
      <c r="H18" s="10"/>
      <c r="I18" s="10"/>
      <c r="J18" s="10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1.75" hidden="false" customHeight="true" outlineLevel="0" collapsed="false">
      <c r="A20" s="1"/>
      <c r="B20" s="1"/>
      <c r="C20" s="9" t="s">
        <v>8</v>
      </c>
      <c r="D20" s="9"/>
      <c r="E20" s="9"/>
      <c r="F20" s="9"/>
      <c r="G20" s="9"/>
      <c r="H20" s="9"/>
      <c r="I20" s="9"/>
      <c r="J20" s="9"/>
      <c r="K20" s="1"/>
      <c r="L20" s="1"/>
    </row>
    <row r="21" customFormat="false" ht="25.5" hidden="false" customHeight="true" outlineLevel="0" collapsed="false">
      <c r="A21" s="1"/>
      <c r="B21" s="1"/>
      <c r="C21" s="10" t="s">
        <v>9</v>
      </c>
      <c r="D21" s="10"/>
      <c r="E21" s="10"/>
      <c r="F21" s="10"/>
      <c r="G21" s="10"/>
      <c r="H21" s="10"/>
      <c r="I21" s="10"/>
      <c r="J21" s="10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1"/>
      <c r="C23" s="9" t="s">
        <v>10</v>
      </c>
      <c r="D23" s="9"/>
      <c r="E23" s="9"/>
      <c r="F23" s="9"/>
      <c r="G23" s="9"/>
      <c r="H23" s="9"/>
      <c r="I23" s="9"/>
      <c r="J23" s="9"/>
      <c r="K23" s="1"/>
      <c r="L23" s="1"/>
    </row>
    <row r="24" customFormat="false" ht="25.5" hidden="false" customHeight="true" outlineLevel="0" collapsed="false">
      <c r="A24" s="1"/>
      <c r="B24" s="1"/>
      <c r="C24" s="10" t="s">
        <v>11</v>
      </c>
      <c r="D24" s="10"/>
      <c r="E24" s="10"/>
      <c r="F24" s="10"/>
      <c r="G24" s="10"/>
      <c r="H24" s="10"/>
      <c r="I24" s="10"/>
      <c r="J24" s="10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21.75" hidden="false" customHeight="true" outlineLevel="0" collapsed="false">
      <c r="A26" s="1"/>
      <c r="B26" s="1"/>
      <c r="C26" s="9" t="s">
        <v>12</v>
      </c>
      <c r="D26" s="9"/>
      <c r="E26" s="9"/>
      <c r="F26" s="9"/>
      <c r="G26" s="9"/>
      <c r="H26" s="9"/>
      <c r="I26" s="9"/>
      <c r="J26" s="9"/>
      <c r="K26" s="1"/>
      <c r="L26" s="1"/>
    </row>
    <row r="27" customFormat="false" ht="25.5" hidden="false" customHeight="true" outlineLevel="0" collapsed="false">
      <c r="A27" s="1"/>
      <c r="B27" s="1"/>
      <c r="C27" s="10" t="s">
        <v>13</v>
      </c>
      <c r="D27" s="10"/>
      <c r="E27" s="10"/>
      <c r="F27" s="10"/>
      <c r="G27" s="10"/>
      <c r="H27" s="10"/>
      <c r="I27" s="10"/>
      <c r="J27" s="10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true" outlineLevel="0" collapsed="false">
      <c r="A30" s="1"/>
      <c r="B30" s="11" t="s">
        <v>14</v>
      </c>
      <c r="C30" s="11"/>
      <c r="D30" s="11"/>
      <c r="E30" s="11"/>
      <c r="F30" s="11"/>
      <c r="G30" s="11"/>
      <c r="H30" s="11"/>
      <c r="I30" s="11"/>
      <c r="J30" s="11"/>
      <c r="K30" s="1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true" outlineLevel="0" collapsed="false">
      <c r="A32" s="1"/>
      <c r="B32" s="12" t="s">
        <v>15</v>
      </c>
      <c r="C32" s="12"/>
      <c r="D32" s="12"/>
      <c r="E32" s="12"/>
      <c r="F32" s="12"/>
      <c r="G32" s="12"/>
      <c r="H32" s="12"/>
      <c r="I32" s="12"/>
      <c r="J32" s="12"/>
      <c r="K32" s="12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true" outlineLevel="0" collapsed="false">
      <c r="A35" s="1"/>
      <c r="B35" s="13" t="s">
        <v>16</v>
      </c>
      <c r="C35" s="13"/>
      <c r="D35" s="13"/>
      <c r="E35" s="13"/>
      <c r="F35" s="13"/>
      <c r="G35" s="13"/>
      <c r="H35" s="13"/>
      <c r="I35" s="13"/>
      <c r="J35" s="13"/>
      <c r="K35" s="13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17">
    <mergeCell ref="B4:K4"/>
    <mergeCell ref="B6:K8"/>
    <mergeCell ref="B9:K9"/>
    <mergeCell ref="B10:K10"/>
    <mergeCell ref="B11:K11"/>
    <mergeCell ref="B15:K15"/>
    <mergeCell ref="C17:J17"/>
    <mergeCell ref="C18:J18"/>
    <mergeCell ref="C20:J20"/>
    <mergeCell ref="C21:J21"/>
    <mergeCell ref="C23:J23"/>
    <mergeCell ref="C24:J24"/>
    <mergeCell ref="C26:J26"/>
    <mergeCell ref="C27:J27"/>
    <mergeCell ref="B30:K30"/>
    <mergeCell ref="B32:K32"/>
    <mergeCell ref="B35:K35"/>
  </mergeCells>
  <hyperlinks>
    <hyperlink ref="C17" r:id="rId1" location="'Dashboard'!A1" display="📊  Dashboard / Panel"/>
    <hyperlink ref="C20" r:id="rId2" location="'Inventory'!A1" display="📦  Inventory / Inventario"/>
    <hyperlink ref="C23" r:id="rId3" location="'Settings'!A1" display="⚙️  Settings / Configuración"/>
    <hyperlink ref="C26" r:id="rId4" location="'Quick%20Start%20Guide'!A1" display="🚀  Quick Start Guide / Guía Rápida"/>
    <hyperlink ref="B32" r:id="rId5" location="'Quick%20Start%20Guide'!A1" display="Start here → Quick Start Guide   |   Empieza aquí → Guía Rápid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3"/>
    <col collapsed="false" customWidth="true" hidden="false" outlineLevel="0" max="13" min="8" style="0" width="13"/>
    <col collapsed="false" customWidth="true" hidden="false" outlineLevel="0" max="14" min="14" style="0" width="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customFormat="false" ht="30" hidden="false" customHeight="true" outlineLevel="0" collapsed="false">
      <c r="A2" s="1"/>
      <c r="B2" s="15" t="s">
        <v>17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customFormat="false" ht="19.5" hidden="false" customHeight="true" outlineLevel="0" collapsed="false">
      <c r="A3" s="1"/>
      <c r="B3" s="16" t="s">
        <v>18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6" customFormat="false" ht="19.5" hidden="false" customHeight="true" outlineLevel="0" collapsed="false">
      <c r="B6" s="17" t="s">
        <v>19</v>
      </c>
      <c r="C6" s="18" t="s">
        <v>20</v>
      </c>
      <c r="D6" s="18"/>
      <c r="E6" s="18" t="s">
        <v>21</v>
      </c>
      <c r="F6" s="18"/>
      <c r="H6" s="18" t="s">
        <v>22</v>
      </c>
      <c r="I6" s="18"/>
      <c r="J6" s="18"/>
    </row>
    <row r="7" customFormat="false" ht="15.75" hidden="false" customHeight="true" outlineLevel="0" collapsed="false">
      <c r="B7" s="19" t="s">
        <v>23</v>
      </c>
      <c r="C7" s="20" t="s">
        <v>24</v>
      </c>
      <c r="D7" s="20"/>
      <c r="E7" s="20" t="s">
        <v>25</v>
      </c>
      <c r="F7" s="20"/>
      <c r="H7" s="20" t="s">
        <v>26</v>
      </c>
      <c r="I7" s="20"/>
      <c r="J7" s="20"/>
    </row>
    <row r="8" customFormat="false" ht="37.5" hidden="false" customHeight="true" outlineLevel="0" collapsed="false">
      <c r="B8" s="21" t="n">
        <f aca="false">SUM(Inventory!$S$6:$S$1005)</f>
        <v>15</v>
      </c>
      <c r="C8" s="22" t="n">
        <f aca="false">ROUND(SUMIFS(Inventory!$G$6:$G$1005,Inventory!$S$6:$S$1005,1),2)</f>
        <v>283</v>
      </c>
      <c r="D8" s="22"/>
      <c r="E8" s="22" t="n">
        <f aca="false">ROUND(SUMIFS(Inventory!$I$6:$I$1005,Inventory!$S$6:$S$1005,1),2)</f>
        <v>1107</v>
      </c>
      <c r="F8" s="22"/>
      <c r="H8" s="23" t="n">
        <f aca="false">SUM(Inventory!$Z$6:$Z$1005)</f>
        <v>6</v>
      </c>
      <c r="I8" s="23"/>
      <c r="J8" s="23"/>
    </row>
    <row r="9" customFormat="false" ht="18" hidden="false" customHeight="true" outlineLevel="0" collapsed="false">
      <c r="B9" s="24" t="n">
        <f aca="false">SUM(Inventory!$AA$6:$AA$1005)</f>
        <v>4</v>
      </c>
      <c r="C9" s="25" t="n">
        <f aca="false">IF(B8=0,0,C8/B8)</f>
        <v>18.8666666666667</v>
      </c>
      <c r="D9" s="25"/>
      <c r="E9" s="26" t="n">
        <f aca="false">SUM(Inventory!$AC$6:$AC$1005)</f>
        <v>844</v>
      </c>
      <c r="F9" s="26"/>
      <c r="H9" s="27" t="n">
        <f aca="false">SUMIFS(Inventory!$G$6:$G$1005,Inventory!$Z$6:$Z$1005,1)</f>
        <v>115</v>
      </c>
      <c r="I9" s="27"/>
      <c r="J9" s="27"/>
    </row>
    <row r="11" customFormat="false" ht="19.5" hidden="false" customHeight="true" outlineLevel="0" collapsed="false">
      <c r="B11" s="17" t="s">
        <v>27</v>
      </c>
      <c r="C11" s="18" t="s">
        <v>28</v>
      </c>
      <c r="D11" s="18"/>
      <c r="E11" s="18" t="s">
        <v>29</v>
      </c>
      <c r="F11" s="18"/>
      <c r="H11" s="18" t="s">
        <v>30</v>
      </c>
      <c r="I11" s="18"/>
      <c r="J11" s="18"/>
    </row>
    <row r="12" customFormat="false" ht="15.75" hidden="false" customHeight="true" outlineLevel="0" collapsed="false">
      <c r="B12" s="19" t="s">
        <v>31</v>
      </c>
      <c r="C12" s="20" t="s">
        <v>32</v>
      </c>
      <c r="D12" s="20"/>
      <c r="E12" s="20" t="s">
        <v>33</v>
      </c>
      <c r="F12" s="20"/>
      <c r="H12" s="20" t="s">
        <v>34</v>
      </c>
      <c r="I12" s="20"/>
      <c r="J12" s="20"/>
    </row>
    <row r="13" customFormat="false" ht="37.5" hidden="false" customHeight="true" outlineLevel="0" collapsed="false">
      <c r="B13" s="21" t="n">
        <f aca="false">SUM(Inventory!$T$6:$T$1005)</f>
        <v>6</v>
      </c>
      <c r="C13" s="28" t="n">
        <f aca="false">IF(SUM(Inventory!$Y$6:$Y$1005)=0,0,SUM(Inventory!$X$6:$X$1005)/SUM(Inventory!$Y$6:$Y$1005))</f>
        <v>14.6666666666667</v>
      </c>
      <c r="D13" s="28"/>
      <c r="E13" s="29" t="n">
        <f aca="false">IF(B8+B13=0,0,B13/(B8+B13))</f>
        <v>0.285714285714286</v>
      </c>
      <c r="F13" s="29"/>
      <c r="H13" s="22" t="n">
        <f aca="false">SUM(Inventory!$AB$6:$AB$1005)</f>
        <v>424.99</v>
      </c>
      <c r="I13" s="22"/>
      <c r="J13" s="22"/>
    </row>
    <row r="14" customFormat="false" ht="18" hidden="false" customHeight="true" outlineLevel="0" collapsed="false">
      <c r="B14" s="30" t="n">
        <f aca="false">SUMIFS(Inventory!$L$6:$L$1005,Inventory!$T$6:$T$1005,1)</f>
        <v>568.99</v>
      </c>
      <c r="C14" s="31" t="s">
        <v>35</v>
      </c>
      <c r="D14" s="31"/>
      <c r="E14" s="31" t="s">
        <v>36</v>
      </c>
      <c r="F14" s="31"/>
      <c r="H14" s="32" t="n">
        <f aca="false">IF(SUMIFS(Inventory!$G$6:$G$1005,Inventory!$T$6:$T$1005,1)=0,0,H13/SUMIFS(Inventory!$G$6:$G$1005,Inventory!$T$6:$T$1005,1))</f>
        <v>2.95131944444444</v>
      </c>
      <c r="I14" s="32"/>
      <c r="J14" s="32"/>
    </row>
    <row r="17" customFormat="false" ht="15" hidden="false" customHeight="false" outlineLevel="0" collapsed="false">
      <c r="B17" s="33" t="s">
        <v>37</v>
      </c>
      <c r="C17" s="33"/>
      <c r="D17" s="33"/>
      <c r="E17" s="33"/>
      <c r="F17" s="33"/>
    </row>
    <row r="18" customFormat="false" ht="30" hidden="false" customHeight="true" outlineLevel="0" collapsed="false">
      <c r="B18" s="34" t="s">
        <v>38</v>
      </c>
      <c r="C18" s="34" t="s">
        <v>39</v>
      </c>
      <c r="D18" s="34" t="s">
        <v>40</v>
      </c>
      <c r="E18" s="34" t="s">
        <v>41</v>
      </c>
      <c r="F18" s="34" t="s">
        <v>42</v>
      </c>
    </row>
    <row r="19" customFormat="false" ht="15" hidden="false" customHeight="false" outlineLevel="0" collapsed="false">
      <c r="B19" s="35" t="str">
        <f aca="false">IF(Settings!$F$8="","",Settings!$F$8)</f>
        <v>Clothing / Ropa</v>
      </c>
      <c r="C19" s="36" t="n">
        <f aca="false">IF($B19="",0,COUNTIFS(Inventory!$S$6:$S$1005,1,Inventory!$D$6:$D$1005,$B19))</f>
        <v>4</v>
      </c>
      <c r="D19" s="37" t="n">
        <f aca="false">IF($B19="",0,ROUND(SUMIFS(Inventory!$G$6:$G$1005,Inventory!$S$6:$S$1005,1,Inventory!$D$6:$D$1005,$B19),2))</f>
        <v>41</v>
      </c>
      <c r="E19" s="37" t="n">
        <f aca="false">IF($B19="",0,ROUND(SUMIFS(Inventory!$I$6:$I$1005,Inventory!$S$6:$S$1005,1,Inventory!$D$6:$D$1005,$B19),2))</f>
        <v>257</v>
      </c>
      <c r="F19" s="36" t="n">
        <f aca="false">IF($B19="",0,COUNTIFS(Inventory!$T$6:$T$1005,1,Inventory!$D$6:$D$1005,$B19))</f>
        <v>1</v>
      </c>
    </row>
    <row r="20" customFormat="false" ht="15" hidden="false" customHeight="false" outlineLevel="0" collapsed="false">
      <c r="B20" s="38" t="str">
        <f aca="false">IF(Settings!$F$9="","",Settings!$F$9)</f>
        <v>Shoes / Zapatos</v>
      </c>
      <c r="C20" s="39" t="n">
        <f aca="false">IF($B20="",0,COUNTIFS(Inventory!$S$6:$S$1005,1,Inventory!$D$6:$D$1005,$B20))</f>
        <v>1</v>
      </c>
      <c r="D20" s="40" t="n">
        <f aca="false">IF($B20="",0,ROUND(SUMIFS(Inventory!$G$6:$G$1005,Inventory!$S$6:$S$1005,1,Inventory!$D$6:$D$1005,$B20),2))</f>
        <v>18</v>
      </c>
      <c r="E20" s="40" t="n">
        <f aca="false">IF($B20="",0,ROUND(SUMIFS(Inventory!$I$6:$I$1005,Inventory!$S$6:$S$1005,1,Inventory!$D$6:$D$1005,$B20),2))</f>
        <v>85</v>
      </c>
      <c r="F20" s="39" t="n">
        <f aca="false">IF($B20="",0,COUNTIFS(Inventory!$T$6:$T$1005,1,Inventory!$D$6:$D$1005,$B20))</f>
        <v>1</v>
      </c>
    </row>
    <row r="21" customFormat="false" ht="15" hidden="false" customHeight="false" outlineLevel="0" collapsed="false">
      <c r="B21" s="35" t="str">
        <f aca="false">IF(Settings!$F$10="","",Settings!$F$10)</f>
        <v>Bags &amp; Accessories / Bolsos y Accesorios</v>
      </c>
      <c r="C21" s="36" t="n">
        <f aca="false">IF($B21="",0,COUNTIFS(Inventory!$S$6:$S$1005,1,Inventory!$D$6:$D$1005,$B21))</f>
        <v>1</v>
      </c>
      <c r="D21" s="37" t="n">
        <f aca="false">IF($B21="",0,ROUND(SUMIFS(Inventory!$G$6:$G$1005,Inventory!$S$6:$S$1005,1,Inventory!$D$6:$D$1005,$B21),2))</f>
        <v>20</v>
      </c>
      <c r="E21" s="37" t="n">
        <f aca="false">IF($B21="",0,ROUND(SUMIFS(Inventory!$I$6:$I$1005,Inventory!$S$6:$S$1005,1,Inventory!$D$6:$D$1005,$B21),2))</f>
        <v>120</v>
      </c>
      <c r="F21" s="36" t="n">
        <f aca="false">IF($B21="",0,COUNTIFS(Inventory!$T$6:$T$1005,1,Inventory!$D$6:$D$1005,$B21))</f>
        <v>0</v>
      </c>
    </row>
    <row r="22" customFormat="false" ht="15" hidden="false" customHeight="false" outlineLevel="0" collapsed="false">
      <c r="B22" s="38" t="str">
        <f aca="false">IF(Settings!$F$11="","",Settings!$F$11)</f>
        <v>Jewelry &amp; Watches / Joyería y Relojes</v>
      </c>
      <c r="C22" s="39" t="n">
        <f aca="false">IF($B22="",0,COUNTIFS(Inventory!$S$6:$S$1005,1,Inventory!$D$6:$D$1005,$B22))</f>
        <v>2</v>
      </c>
      <c r="D22" s="40" t="n">
        <f aca="false">IF($B22="",0,ROUND(SUMIFS(Inventory!$G$6:$G$1005,Inventory!$S$6:$S$1005,1,Inventory!$D$6:$D$1005,$B22),2))</f>
        <v>23</v>
      </c>
      <c r="E22" s="40" t="n">
        <f aca="false">IF($B22="",0,ROUND(SUMIFS(Inventory!$I$6:$I$1005,Inventory!$S$6:$S$1005,1,Inventory!$D$6:$D$1005,$B22),2))</f>
        <v>115</v>
      </c>
      <c r="F22" s="39" t="n">
        <f aca="false">IF($B22="",0,COUNTIFS(Inventory!$T$6:$T$1005,1,Inventory!$D$6:$D$1005,$B22))</f>
        <v>0</v>
      </c>
    </row>
    <row r="23" customFormat="false" ht="15" hidden="false" customHeight="false" outlineLevel="0" collapsed="false">
      <c r="B23" s="35" t="str">
        <f aca="false">IF(Settings!$F$12="","",Settings!$F$12)</f>
        <v>Home &amp; Kitchen / Hogar y Cocina</v>
      </c>
      <c r="C23" s="36" t="n">
        <f aca="false">IF($B23="",0,COUNTIFS(Inventory!$S$6:$S$1005,1,Inventory!$D$6:$D$1005,$B23))</f>
        <v>3</v>
      </c>
      <c r="D23" s="37" t="n">
        <f aca="false">IF($B23="",0,ROUND(SUMIFS(Inventory!$G$6:$G$1005,Inventory!$S$6:$S$1005,1,Inventory!$D$6:$D$1005,$B23),2))</f>
        <v>82</v>
      </c>
      <c r="E23" s="37" t="n">
        <f aca="false">IF($B23="",0,ROUND(SUMIFS(Inventory!$I$6:$I$1005,Inventory!$S$6:$S$1005,1,Inventory!$D$6:$D$1005,$B23),2))</f>
        <v>265</v>
      </c>
      <c r="F23" s="36" t="n">
        <f aca="false">IF($B23="",0,COUNTIFS(Inventory!$T$6:$T$1005,1,Inventory!$D$6:$D$1005,$B23))</f>
        <v>1</v>
      </c>
    </row>
    <row r="24" customFormat="false" ht="15" hidden="false" customHeight="false" outlineLevel="0" collapsed="false">
      <c r="B24" s="38" t="str">
        <f aca="false">IF(Settings!$F$13="","",Settings!$F$13)</f>
        <v>Electronics / Electrónicos</v>
      </c>
      <c r="C24" s="39" t="n">
        <f aca="false">IF($B24="",0,COUNTIFS(Inventory!$S$6:$S$1005,1,Inventory!$D$6:$D$1005,$B24))</f>
        <v>1</v>
      </c>
      <c r="D24" s="40" t="n">
        <f aca="false">IF($B24="",0,ROUND(SUMIFS(Inventory!$G$6:$G$1005,Inventory!$S$6:$S$1005,1,Inventory!$D$6:$D$1005,$B24),2))</f>
        <v>20</v>
      </c>
      <c r="E24" s="40" t="n">
        <f aca="false">IF($B24="",0,ROUND(SUMIFS(Inventory!$I$6:$I$1005,Inventory!$S$6:$S$1005,1,Inventory!$D$6:$D$1005,$B24),2))</f>
        <v>0</v>
      </c>
      <c r="F24" s="39" t="n">
        <f aca="false">IF($B24="",0,COUNTIFS(Inventory!$T$6:$T$1005,1,Inventory!$D$6:$D$1005,$B24))</f>
        <v>2</v>
      </c>
    </row>
    <row r="25" customFormat="false" ht="15" hidden="false" customHeight="false" outlineLevel="0" collapsed="false">
      <c r="B25" s="35" t="str">
        <f aca="false">IF(Settings!$F$14="","",Settings!$F$14)</f>
        <v>Toys &amp; Collectibles / Juguetes y Coleccionables</v>
      </c>
      <c r="C25" s="36" t="n">
        <f aca="false">IF($B25="",0,COUNTIFS(Inventory!$S$6:$S$1005,1,Inventory!$D$6:$D$1005,$B25))</f>
        <v>1</v>
      </c>
      <c r="D25" s="37" t="n">
        <f aca="false">IF($B25="",0,ROUND(SUMIFS(Inventory!$G$6:$G$1005,Inventory!$S$6:$S$1005,1,Inventory!$D$6:$D$1005,$B25),2))</f>
        <v>60</v>
      </c>
      <c r="E25" s="37" t="n">
        <f aca="false">IF($B25="",0,ROUND(SUMIFS(Inventory!$I$6:$I$1005,Inventory!$S$6:$S$1005,1,Inventory!$D$6:$D$1005,$B25),2))</f>
        <v>150</v>
      </c>
      <c r="F25" s="36" t="n">
        <f aca="false">IF($B25="",0,COUNTIFS(Inventory!$T$6:$T$1005,1,Inventory!$D$6:$D$1005,$B25))</f>
        <v>0</v>
      </c>
    </row>
    <row r="26" customFormat="false" ht="15" hidden="false" customHeight="false" outlineLevel="0" collapsed="false">
      <c r="B26" s="38" t="str">
        <f aca="false">IF(Settings!$F$15="","",Settings!$F$15)</f>
        <v>Books &amp; Media / Libros y Medios</v>
      </c>
      <c r="C26" s="39" t="n">
        <f aca="false">IF($B26="",0,COUNTIFS(Inventory!$S$6:$S$1005,1,Inventory!$D$6:$D$1005,$B26))</f>
        <v>1</v>
      </c>
      <c r="D26" s="40" t="n">
        <f aca="false">IF($B26="",0,ROUND(SUMIFS(Inventory!$G$6:$G$1005,Inventory!$S$6:$S$1005,1,Inventory!$D$6:$D$1005,$B26),2))</f>
        <v>12</v>
      </c>
      <c r="E26" s="40" t="n">
        <f aca="false">IF($B26="",0,ROUND(SUMIFS(Inventory!$I$6:$I$1005,Inventory!$S$6:$S$1005,1,Inventory!$D$6:$D$1005,$B26),2))</f>
        <v>60</v>
      </c>
      <c r="F26" s="39" t="n">
        <f aca="false">IF($B26="",0,COUNTIFS(Inventory!$T$6:$T$1005,1,Inventory!$D$6:$D$1005,$B26))</f>
        <v>0</v>
      </c>
    </row>
    <row r="27" customFormat="false" ht="15" hidden="false" customHeight="false" outlineLevel="0" collapsed="false">
      <c r="B27" s="35" t="str">
        <f aca="false">IF(Settings!$F$16="","",Settings!$F$16)</f>
        <v>Vintage &amp; Antiques / Vintage y Antigüedades</v>
      </c>
      <c r="C27" s="36" t="n">
        <f aca="false">IF($B27="",0,COUNTIFS(Inventory!$S$6:$S$1005,1,Inventory!$D$6:$D$1005,$B27))</f>
        <v>1</v>
      </c>
      <c r="D27" s="37" t="n">
        <f aca="false">IF($B27="",0,ROUND(SUMIFS(Inventory!$G$6:$G$1005,Inventory!$S$6:$S$1005,1,Inventory!$D$6:$D$1005,$B27),2))</f>
        <v>7</v>
      </c>
      <c r="E27" s="37" t="n">
        <f aca="false">IF($B27="",0,ROUND(SUMIFS(Inventory!$I$6:$I$1005,Inventory!$S$6:$S$1005,1,Inventory!$D$6:$D$1005,$B27),2))</f>
        <v>55</v>
      </c>
      <c r="F27" s="36" t="n">
        <f aca="false">IF($B27="",0,COUNTIFS(Inventory!$T$6:$T$1005,1,Inventory!$D$6:$D$1005,$B27))</f>
        <v>1</v>
      </c>
    </row>
    <row r="28" customFormat="false" ht="15" hidden="false" customHeight="false" outlineLevel="0" collapsed="false">
      <c r="B28" s="38" t="str">
        <f aca="false">IF(Settings!$F$17="","",Settings!$F$17)</f>
        <v>Other / Otro</v>
      </c>
      <c r="C28" s="39" t="n">
        <f aca="false">IF($B28="",0,COUNTIFS(Inventory!$S$6:$S$1005,1,Inventory!$D$6:$D$1005,$B28))</f>
        <v>0</v>
      </c>
      <c r="D28" s="40" t="n">
        <f aca="false">IF($B28="",0,ROUND(SUMIFS(Inventory!$G$6:$G$1005,Inventory!$S$6:$S$1005,1,Inventory!$D$6:$D$1005,$B28),2))</f>
        <v>0</v>
      </c>
      <c r="E28" s="40" t="n">
        <f aca="false">IF($B28="",0,ROUND(SUMIFS(Inventory!$I$6:$I$1005,Inventory!$S$6:$S$1005,1,Inventory!$D$6:$D$1005,$B28),2))</f>
        <v>0</v>
      </c>
      <c r="F28" s="39" t="n">
        <f aca="false">IF($B28="",0,COUNTIFS(Inventory!$T$6:$T$1005,1,Inventory!$D$6:$D$1005,$B28))</f>
        <v>0</v>
      </c>
    </row>
    <row r="29" customFormat="false" ht="15" hidden="false" customHeight="false" outlineLevel="0" collapsed="false">
      <c r="B29" s="35" t="str">
        <f aca="false">IF(Settings!$F$18="","",Settings!$F$18)</f>
        <v/>
      </c>
      <c r="C29" s="36" t="n">
        <f aca="false">IF($B29="",0,COUNTIFS(Inventory!$S$6:$S$1005,1,Inventory!$D$6:$D$1005,$B29))</f>
        <v>0</v>
      </c>
      <c r="D29" s="37" t="n">
        <f aca="false">IF($B29="",0,ROUND(SUMIFS(Inventory!$G$6:$G$1005,Inventory!$S$6:$S$1005,1,Inventory!$D$6:$D$1005,$B29),2))</f>
        <v>0</v>
      </c>
      <c r="E29" s="37" t="n">
        <f aca="false">IF($B29="",0,ROUND(SUMIFS(Inventory!$I$6:$I$1005,Inventory!$S$6:$S$1005,1,Inventory!$D$6:$D$1005,$B29),2))</f>
        <v>0</v>
      </c>
      <c r="F29" s="36" t="n">
        <f aca="false">IF($B29="",0,COUNTIFS(Inventory!$T$6:$T$1005,1,Inventory!$D$6:$D$1005,$B29))</f>
        <v>0</v>
      </c>
    </row>
    <row r="30" customFormat="false" ht="15" hidden="false" customHeight="false" outlineLevel="0" collapsed="false">
      <c r="B30" s="38" t="str">
        <f aca="false">IF(Settings!$F$19="","",Settings!$F$19)</f>
        <v/>
      </c>
      <c r="C30" s="39" t="n">
        <f aca="false">IF($B30="",0,COUNTIFS(Inventory!$S$6:$S$1005,1,Inventory!$D$6:$D$1005,$B30))</f>
        <v>0</v>
      </c>
      <c r="D30" s="40" t="n">
        <f aca="false">IF($B30="",0,ROUND(SUMIFS(Inventory!$G$6:$G$1005,Inventory!$S$6:$S$1005,1,Inventory!$D$6:$D$1005,$B30),2))</f>
        <v>0</v>
      </c>
      <c r="E30" s="40" t="n">
        <f aca="false">IF($B30="",0,ROUND(SUMIFS(Inventory!$I$6:$I$1005,Inventory!$S$6:$S$1005,1,Inventory!$D$6:$D$1005,$B30),2))</f>
        <v>0</v>
      </c>
      <c r="F30" s="39" t="n">
        <f aca="false">IF($B30="",0,COUNTIFS(Inventory!$T$6:$T$1005,1,Inventory!$D$6:$D$1005,$B30))</f>
        <v>0</v>
      </c>
    </row>
    <row r="31" customFormat="false" ht="15" hidden="false" customHeight="false" outlineLevel="0" collapsed="false">
      <c r="B31" s="35" t="s">
        <v>43</v>
      </c>
      <c r="C31" s="36" t="n">
        <f aca="false">C32-SUM(C19:C30)</f>
        <v>0</v>
      </c>
      <c r="D31" s="37" t="n">
        <f aca="false">ROUND(D32-SUM(D19:D30),2)</f>
        <v>0</v>
      </c>
      <c r="E31" s="37" t="n">
        <f aca="false">ROUND(E32-SUM(E19:E30),2)</f>
        <v>0</v>
      </c>
      <c r="F31" s="36" t="n">
        <f aca="false">F32-SUM(F19:F30)</f>
        <v>0</v>
      </c>
    </row>
    <row r="32" customFormat="false" ht="15" hidden="false" customHeight="false" outlineLevel="0" collapsed="false">
      <c r="B32" s="41" t="s">
        <v>44</v>
      </c>
      <c r="C32" s="42" t="n">
        <f aca="false">B8</f>
        <v>15</v>
      </c>
      <c r="D32" s="43" t="n">
        <f aca="false">C8</f>
        <v>283</v>
      </c>
      <c r="E32" s="43" t="n">
        <f aca="false">E8</f>
        <v>1107</v>
      </c>
      <c r="F32" s="42" t="n">
        <f aca="false">B13</f>
        <v>6</v>
      </c>
    </row>
    <row r="35" customFormat="false" ht="15" hidden="false" customHeight="false" outlineLevel="0" collapsed="false">
      <c r="B35" s="33" t="s">
        <v>45</v>
      </c>
      <c r="C35" s="33"/>
      <c r="D35" s="33"/>
      <c r="E35" s="33"/>
      <c r="F35" s="33"/>
    </row>
    <row r="36" customFormat="false" ht="30" hidden="false" customHeight="true" outlineLevel="0" collapsed="false">
      <c r="B36" s="34" t="s">
        <v>46</v>
      </c>
      <c r="C36" s="34" t="s">
        <v>47</v>
      </c>
      <c r="D36" s="34" t="s">
        <v>40</v>
      </c>
      <c r="E36" s="34" t="s">
        <v>41</v>
      </c>
      <c r="F36" s="34" t="s">
        <v>48</v>
      </c>
    </row>
    <row r="37" customFormat="false" ht="15" hidden="false" customHeight="false" outlineLevel="0" collapsed="false">
      <c r="B37" s="44" t="s">
        <v>49</v>
      </c>
      <c r="C37" s="36" t="n">
        <f aca="false">COUNTIF(Inventory!$V$6:$V$1005,1)</f>
        <v>4</v>
      </c>
      <c r="D37" s="37" t="n">
        <f aca="false">ROUND(SUMIFS(Inventory!$G$6:$G$1005,Inventory!$V$6:$V$1005,1),2)</f>
        <v>110</v>
      </c>
      <c r="E37" s="37" t="n">
        <f aca="false">ROUND(SUMIFS(Inventory!$I$6:$I$1005,Inventory!$V$6:$V$1005,1),2)</f>
        <v>360</v>
      </c>
      <c r="F37" s="45" t="n">
        <f aca="false">IF($C$42=0,0,C37/$C$42)</f>
        <v>0.266666666666667</v>
      </c>
    </row>
    <row r="38" customFormat="false" ht="15" hidden="false" customHeight="false" outlineLevel="0" collapsed="false">
      <c r="B38" s="46" t="s">
        <v>50</v>
      </c>
      <c r="C38" s="39" t="n">
        <f aca="false">COUNTIF(Inventory!$V$6:$V$1005,2)</f>
        <v>2</v>
      </c>
      <c r="D38" s="40" t="n">
        <f aca="false">ROUND(SUMIFS(Inventory!$G$6:$G$1005,Inventory!$V$6:$V$1005,2),2)</f>
        <v>22</v>
      </c>
      <c r="E38" s="40" t="n">
        <f aca="false">ROUND(SUMIFS(Inventory!$I$6:$I$1005,Inventory!$V$6:$V$1005,2),2)</f>
        <v>106</v>
      </c>
      <c r="F38" s="47" t="n">
        <f aca="false">IF($C$42=0,0,C38/$C$42)</f>
        <v>0.133333333333333</v>
      </c>
    </row>
    <row r="39" customFormat="false" ht="15" hidden="false" customHeight="false" outlineLevel="0" collapsed="false">
      <c r="B39" s="44" t="s">
        <v>51</v>
      </c>
      <c r="C39" s="36" t="n">
        <f aca="false">COUNTIF(Inventory!$V$6:$V$1005,3)</f>
        <v>3</v>
      </c>
      <c r="D39" s="37" t="n">
        <f aca="false">ROUND(SUMIFS(Inventory!$G$6:$G$1005,Inventory!$V$6:$V$1005,3),2)</f>
        <v>36</v>
      </c>
      <c r="E39" s="37" t="n">
        <f aca="false">ROUND(SUMIFS(Inventory!$I$6:$I$1005,Inventory!$V$6:$V$1005,3),2)</f>
        <v>170</v>
      </c>
      <c r="F39" s="45" t="n">
        <f aca="false">IF($C$42=0,0,C39/$C$42)</f>
        <v>0.2</v>
      </c>
    </row>
    <row r="40" customFormat="false" ht="15" hidden="false" customHeight="false" outlineLevel="0" collapsed="false">
      <c r="B40" s="46" t="s">
        <v>52</v>
      </c>
      <c r="C40" s="39" t="n">
        <f aca="false">COUNTIF(Inventory!$V$6:$V$1005,4)</f>
        <v>6</v>
      </c>
      <c r="D40" s="40" t="n">
        <f aca="false">ROUND(SUMIFS(Inventory!$G$6:$G$1005,Inventory!$V$6:$V$1005,4),2)</f>
        <v>115</v>
      </c>
      <c r="E40" s="40" t="n">
        <f aca="false">ROUND(SUMIFS(Inventory!$I$6:$I$1005,Inventory!$V$6:$V$1005,4),2)</f>
        <v>471</v>
      </c>
      <c r="F40" s="47" t="n">
        <f aca="false">IF($C$42=0,0,C40/$C$42)</f>
        <v>0.4</v>
      </c>
    </row>
    <row r="41" customFormat="false" ht="15" hidden="false" customHeight="false" outlineLevel="0" collapsed="false">
      <c r="B41" s="44" t="s">
        <v>53</v>
      </c>
      <c r="C41" s="36" t="n">
        <f aca="false">COUNTIF(Inventory!$V$6:$V$1005,5)</f>
        <v>0</v>
      </c>
      <c r="D41" s="37" t="n">
        <f aca="false">ROUND(SUMIFS(Inventory!$G$6:$G$1005,Inventory!$V$6:$V$1005,5),2)</f>
        <v>0</v>
      </c>
      <c r="E41" s="37" t="n">
        <f aca="false">ROUND(SUMIFS(Inventory!$I$6:$I$1005,Inventory!$V$6:$V$1005,5),2)</f>
        <v>0</v>
      </c>
      <c r="F41" s="45" t="n">
        <f aca="false">IF($C$42=0,0,C41/$C$42)</f>
        <v>0</v>
      </c>
    </row>
    <row r="42" customFormat="false" ht="15" hidden="false" customHeight="false" outlineLevel="0" collapsed="false">
      <c r="B42" s="41" t="s">
        <v>54</v>
      </c>
      <c r="C42" s="42" t="n">
        <f aca="false">SUM(C37:C41)</f>
        <v>15</v>
      </c>
      <c r="D42" s="43" t="n">
        <f aca="false">SUM(D37:D41)</f>
        <v>283</v>
      </c>
      <c r="E42" s="43" t="n">
        <f aca="false">SUM(E37:E41)</f>
        <v>1107</v>
      </c>
      <c r="F42" s="48" t="n">
        <f aca="false">IF(C42=0,0,1)</f>
        <v>1</v>
      </c>
    </row>
    <row r="45" customFormat="false" ht="15" hidden="false" customHeight="false" outlineLevel="0" collapsed="false">
      <c r="B45" s="33" t="s">
        <v>55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customFormat="false" ht="30" hidden="false" customHeight="true" outlineLevel="0" collapsed="false">
      <c r="B46" s="34" t="s">
        <v>56</v>
      </c>
      <c r="C46" s="34" t="s">
        <v>57</v>
      </c>
      <c r="D46" s="34" t="s">
        <v>58</v>
      </c>
      <c r="E46" s="34" t="s">
        <v>59</v>
      </c>
      <c r="F46" s="34" t="s">
        <v>60</v>
      </c>
      <c r="G46" s="34"/>
      <c r="H46" s="34" t="s">
        <v>61</v>
      </c>
      <c r="I46" s="34"/>
      <c r="J46" s="34" t="s">
        <v>62</v>
      </c>
      <c r="K46" s="34" t="s">
        <v>63</v>
      </c>
      <c r="L46" s="34"/>
      <c r="M46" s="34"/>
    </row>
    <row r="47" customFormat="false" ht="15" hidden="false" customHeight="false" outlineLevel="0" collapsed="false">
      <c r="B47" s="35" t="str">
        <f aca="false">IFERROR(IF(LARGE(Inventory!$W$6:$W$1005,1)&lt;-100000000000000,"—",INDEX(Inventory!$C$6:$C$1005,MATCH(LARGE(Inventory!$W$6:$W$1005,1),Inventory!$W$6:$W$1005,0))),"—")</f>
        <v>Levi's 501 Jeans 32x30</v>
      </c>
      <c r="C47" s="35" t="str">
        <f aca="false">IFERROR(IF(LARGE(Inventory!$W$6:$W$1005,1)&lt;-100000000000000,"",INDEX(Inventory!$B$6:$B$1005,MATCH(LARGE(Inventory!$W$6:$W$1005,1),Inventory!$W$6:$W$1005,0))),"")</f>
        <v>A-001</v>
      </c>
      <c r="D47" s="49" t="n">
        <f aca="false">IFERROR(IF(LARGE(Inventory!$W$6:$W$1005,1)&lt;-100000000000000,"",INDEX(Inventory!$N$6:$N$1005,MATCH(LARGE(Inventory!$W$6:$W$1005,1),Inventory!$W$6:$W$1005,0))),"")</f>
        <v>206</v>
      </c>
      <c r="E47" s="50" t="n">
        <f aca="false">IFERROR(IF(LARGE(Inventory!$W$6:$W$1005,1)&lt;-100000000000000,"",INDEX(Inventory!$G$6:$G$1005,MATCH(LARGE(Inventory!$W$6:$W$1005,1),Inventory!$W$6:$W$1005,0))),"")</f>
        <v>6</v>
      </c>
      <c r="F47" s="50" t="n">
        <f aca="false">IFERROR(IF(LARGE(Inventory!$W$6:$W$1005,1)&lt;-100000000000000,"",INDEX(Inventory!$I$6:$I$1005,MATCH(LARGE(Inventory!$W$6:$W$1005,1),Inventory!$W$6:$W$1005,0))),"")</f>
        <v>38</v>
      </c>
      <c r="G47" s="35"/>
      <c r="H47" s="35" t="str">
        <f aca="false">IFERROR(IF(LARGE(Inventory!$W$6:$W$1005,1)&lt;-100000000000000,"",INDEX(Inventory!$H$6:$H$1005,MATCH(LARGE(Inventory!$W$6:$W$1005,1),Inventory!$W$6:$W$1005,0))),"")</f>
        <v>Poshmark</v>
      </c>
      <c r="I47" s="35"/>
      <c r="J47" s="35" t="str">
        <f aca="false">IFERROR(IF(LARGE(Inventory!$W$6:$W$1005,1)&lt;-100000000000000,"",INDEX(Inventory!$M$6:$M$1005,MATCH(LARGE(Inventory!$W$6:$W$1005,1),Inventory!$W$6:$W$1005,0))),"")</f>
        <v>Bin 1</v>
      </c>
      <c r="K47" s="35" t="str">
        <f aca="false">IFERROR(IF(LARGE(Inventory!$W$6:$W$1005,1)&lt;-100000000000000,"",INDEX(Inventory!$Q$6:$Q$1005,MATCH(LARGE(Inventory!$W$6:$W$1005,1),Inventory!$W$6:$W$1005,0))),"")</f>
        <v>⚠ STALE – REPRICE / ESTANCADO</v>
      </c>
      <c r="L47" s="35"/>
      <c r="M47" s="35"/>
    </row>
    <row r="48" customFormat="false" ht="15" hidden="false" customHeight="false" outlineLevel="0" collapsed="false">
      <c r="B48" s="38" t="str">
        <f aca="false">IFERROR(IF(LARGE(Inventory!$W$6:$W$1005,2)&lt;-100000000000000,"—",INDEX(Inventory!$C$6:$C$1005,MATCH(LARGE(Inventory!$W$6:$W$1005,2),Inventory!$W$6:$W$1005,0))),"—")</f>
        <v>Coach Leather Crossbody</v>
      </c>
      <c r="C48" s="38" t="str">
        <f aca="false">IFERROR(IF(LARGE(Inventory!$W$6:$W$1005,2)&lt;-100000000000000,"",INDEX(Inventory!$B$6:$B$1005,MATCH(LARGE(Inventory!$W$6:$W$1005,2),Inventory!$W$6:$W$1005,0))),"")</f>
        <v>A-003</v>
      </c>
      <c r="D48" s="51" t="n">
        <f aca="false">IFERROR(IF(LARGE(Inventory!$W$6:$W$1005,2)&lt;-100000000000000,"",INDEX(Inventory!$N$6:$N$1005,MATCH(LARGE(Inventory!$W$6:$W$1005,2),Inventory!$W$6:$W$1005,0))),"")</f>
        <v>182</v>
      </c>
      <c r="E48" s="52" t="n">
        <f aca="false">IFERROR(IF(LARGE(Inventory!$W$6:$W$1005,2)&lt;-100000000000000,"",INDEX(Inventory!$G$6:$G$1005,MATCH(LARGE(Inventory!$W$6:$W$1005,2),Inventory!$W$6:$W$1005,0))),"")</f>
        <v>20</v>
      </c>
      <c r="F48" s="52" t="n">
        <f aca="false">IFERROR(IF(LARGE(Inventory!$W$6:$W$1005,2)&lt;-100000000000000,"",INDEX(Inventory!$I$6:$I$1005,MATCH(LARGE(Inventory!$W$6:$W$1005,2),Inventory!$W$6:$W$1005,0))),"")</f>
        <v>120</v>
      </c>
      <c r="G48" s="38"/>
      <c r="H48" s="38" t="str">
        <f aca="false">IFERROR(IF(LARGE(Inventory!$W$6:$W$1005,2)&lt;-100000000000000,"",INDEX(Inventory!$H$6:$H$1005,MATCH(LARGE(Inventory!$W$6:$W$1005,2),Inventory!$W$6:$W$1005,0))),"")</f>
        <v>Poshmark</v>
      </c>
      <c r="I48" s="38"/>
      <c r="J48" s="38" t="str">
        <f aca="false">IFERROR(IF(LARGE(Inventory!$W$6:$W$1005,2)&lt;-100000000000000,"",INDEX(Inventory!$M$6:$M$1005,MATCH(LARGE(Inventory!$W$6:$W$1005,2),Inventory!$W$6:$W$1005,0))),"")</f>
        <v>Shelf B</v>
      </c>
      <c r="K48" s="38" t="str">
        <f aca="false">IFERROR(IF(LARGE(Inventory!$W$6:$W$1005,2)&lt;-100000000000000,"",INDEX(Inventory!$Q$6:$Q$1005,MATCH(LARGE(Inventory!$W$6:$W$1005,2),Inventory!$W$6:$W$1005,0))),"")</f>
        <v>⚠ STALE – REPRICE / ESTANCADO</v>
      </c>
      <c r="L48" s="38"/>
      <c r="M48" s="38"/>
    </row>
    <row r="49" customFormat="false" ht="15" hidden="false" customHeight="false" outlineLevel="0" collapsed="false">
      <c r="B49" s="35" t="str">
        <f aca="false">IFERROR(IF(LARGE(Inventory!$W$6:$W$1005,3)&lt;-100000000000000,"—",INDEX(Inventory!$C$6:$C$1005,MATCH(LARGE(Inventory!$W$6:$W$1005,3),Inventory!$W$6:$W$1005,0))),"—")</f>
        <v>Lululemon Align Leggings</v>
      </c>
      <c r="C49" s="35" t="str">
        <f aca="false">IFERROR(IF(LARGE(Inventory!$W$6:$W$1005,3)&lt;-100000000000000,"",INDEX(Inventory!$B$6:$B$1005,MATCH(LARGE(Inventory!$W$6:$W$1005,3),Inventory!$W$6:$W$1005,0))),"")</f>
        <v>A-006</v>
      </c>
      <c r="D49" s="49" t="n">
        <f aca="false">IFERROR(IF(LARGE(Inventory!$W$6:$W$1005,3)&lt;-100000000000000,"",INDEX(Inventory!$N$6:$N$1005,MATCH(LARGE(Inventory!$W$6:$W$1005,3),Inventory!$W$6:$W$1005,0))),"")</f>
        <v>143</v>
      </c>
      <c r="E49" s="50" t="n">
        <f aca="false">IFERROR(IF(LARGE(Inventory!$W$6:$W$1005,3)&lt;-100000000000000,"",INDEX(Inventory!$G$6:$G$1005,MATCH(LARGE(Inventory!$W$6:$W$1005,3),Inventory!$W$6:$W$1005,0))),"")</f>
        <v>10</v>
      </c>
      <c r="F49" s="50" t="n">
        <f aca="false">IFERROR(IF(LARGE(Inventory!$W$6:$W$1005,3)&lt;-100000000000000,"",INDEX(Inventory!$I$6:$I$1005,MATCH(LARGE(Inventory!$W$6:$W$1005,3),Inventory!$W$6:$W$1005,0))),"")</f>
        <v>48</v>
      </c>
      <c r="G49" s="35"/>
      <c r="H49" s="35" t="str">
        <f aca="false">IFERROR(IF(LARGE(Inventory!$W$6:$W$1005,3)&lt;-100000000000000,"",INDEX(Inventory!$H$6:$H$1005,MATCH(LARGE(Inventory!$W$6:$W$1005,3),Inventory!$W$6:$W$1005,0))),"")</f>
        <v>Poshmark</v>
      </c>
      <c r="I49" s="35"/>
      <c r="J49" s="35" t="str">
        <f aca="false">IFERROR(IF(LARGE(Inventory!$W$6:$W$1005,3)&lt;-100000000000000,"",INDEX(Inventory!$M$6:$M$1005,MATCH(LARGE(Inventory!$W$6:$W$1005,3),Inventory!$W$6:$W$1005,0))),"")</f>
        <v>Bin 1</v>
      </c>
      <c r="K49" s="35" t="str">
        <f aca="false">IFERROR(IF(LARGE(Inventory!$W$6:$W$1005,3)&lt;-100000000000000,"",INDEX(Inventory!$Q$6:$Q$1005,MATCH(LARGE(Inventory!$W$6:$W$1005,3),Inventory!$W$6:$W$1005,0))),"")</f>
        <v>⚠ STALE – REPRICE / ESTANCADO</v>
      </c>
      <c r="L49" s="35"/>
      <c r="M49" s="35"/>
    </row>
    <row r="50" customFormat="false" ht="15" hidden="false" customHeight="false" outlineLevel="0" collapsed="false">
      <c r="B50" s="38" t="str">
        <f aca="false">IFERROR(IF(LARGE(Inventory!$W$6:$W$1005,4)&lt;-100000000000000,"—",INDEX(Inventory!$C$6:$C$1005,MATCH(LARGE(Inventory!$W$6:$W$1005,4),Inventory!$W$6:$W$1005,0))),"—")</f>
        <v>LEGO Star Wars Lot</v>
      </c>
      <c r="C50" s="38" t="str">
        <f aca="false">IFERROR(IF(LARGE(Inventory!$W$6:$W$1005,4)&lt;-100000000000000,"",INDEX(Inventory!$B$6:$B$1005,MATCH(LARGE(Inventory!$W$6:$W$1005,4),Inventory!$W$6:$W$1005,0))),"")</f>
        <v>A-007</v>
      </c>
      <c r="D50" s="51" t="n">
        <f aca="false">IFERROR(IF(LARGE(Inventory!$W$6:$W$1005,4)&lt;-100000000000000,"",INDEX(Inventory!$N$6:$N$1005,MATCH(LARGE(Inventory!$W$6:$W$1005,4),Inventory!$W$6:$W$1005,0))),"")</f>
        <v>135</v>
      </c>
      <c r="E50" s="52" t="n">
        <f aca="false">IFERROR(IF(LARGE(Inventory!$W$6:$W$1005,4)&lt;-100000000000000,"",INDEX(Inventory!$G$6:$G$1005,MATCH(LARGE(Inventory!$W$6:$W$1005,4),Inventory!$W$6:$W$1005,0))),"")</f>
        <v>60</v>
      </c>
      <c r="F50" s="52" t="n">
        <f aca="false">IFERROR(IF(LARGE(Inventory!$W$6:$W$1005,4)&lt;-100000000000000,"",INDEX(Inventory!$I$6:$I$1005,MATCH(LARGE(Inventory!$W$6:$W$1005,4),Inventory!$W$6:$W$1005,0))),"")</f>
        <v>150</v>
      </c>
      <c r="G50" s="38"/>
      <c r="H50" s="38" t="str">
        <f aca="false">IFERROR(IF(LARGE(Inventory!$W$6:$W$1005,4)&lt;-100000000000000,"",INDEX(Inventory!$H$6:$H$1005,MATCH(LARGE(Inventory!$W$6:$W$1005,4),Inventory!$W$6:$W$1005,0))),"")</f>
        <v>eBay</v>
      </c>
      <c r="I50" s="38"/>
      <c r="J50" s="38" t="str">
        <f aca="false">IFERROR(IF(LARGE(Inventory!$W$6:$W$1005,4)&lt;-100000000000000,"",INDEX(Inventory!$M$6:$M$1005,MATCH(LARGE(Inventory!$W$6:$W$1005,4),Inventory!$W$6:$W$1005,0))),"")</f>
        <v>Shelf E</v>
      </c>
      <c r="K50" s="38" t="str">
        <f aca="false">IFERROR(IF(LARGE(Inventory!$W$6:$W$1005,4)&lt;-100000000000000,"",INDEX(Inventory!$Q$6:$Q$1005,MATCH(LARGE(Inventory!$W$6:$W$1005,4),Inventory!$W$6:$W$1005,0))),"")</f>
        <v>⚠ STALE – REPRICE / ESTANCADO</v>
      </c>
      <c r="L50" s="38"/>
      <c r="M50" s="38"/>
    </row>
    <row r="51" customFormat="false" ht="15" hidden="false" customHeight="false" outlineLevel="0" collapsed="false">
      <c r="B51" s="35" t="str">
        <f aca="false">IFERROR(IF(LARGE(Inventory!$W$6:$W$1005,5)&lt;-100000000000000,"—",INDEX(Inventory!$C$6:$C$1005,MATCH(LARGE(Inventory!$W$6:$W$1005,5),Inventory!$W$6:$W$1005,0))),"—")</f>
        <v>Harry Potter Hardcover Set</v>
      </c>
      <c r="C51" s="35" t="str">
        <f aca="false">IFERROR(IF(LARGE(Inventory!$W$6:$W$1005,5)&lt;-100000000000000,"",INDEX(Inventory!$B$6:$B$1005,MATCH(LARGE(Inventory!$W$6:$W$1005,5),Inventory!$W$6:$W$1005,0))),"")</f>
        <v>A-008</v>
      </c>
      <c r="D51" s="49" t="n">
        <f aca="false">IFERROR(IF(LARGE(Inventory!$W$6:$W$1005,5)&lt;-100000000000000,"",INDEX(Inventory!$N$6:$N$1005,MATCH(LARGE(Inventory!$W$6:$W$1005,5),Inventory!$W$6:$W$1005,0))),"")</f>
        <v>121</v>
      </c>
      <c r="E51" s="50" t="n">
        <f aca="false">IFERROR(IF(LARGE(Inventory!$W$6:$W$1005,5)&lt;-100000000000000,"",INDEX(Inventory!$G$6:$G$1005,MATCH(LARGE(Inventory!$W$6:$W$1005,5),Inventory!$W$6:$W$1005,0))),"")</f>
        <v>12</v>
      </c>
      <c r="F51" s="50" t="n">
        <f aca="false">IFERROR(IF(LARGE(Inventory!$W$6:$W$1005,5)&lt;-100000000000000,"",INDEX(Inventory!$I$6:$I$1005,MATCH(LARGE(Inventory!$W$6:$W$1005,5),Inventory!$W$6:$W$1005,0))),"")</f>
        <v>60</v>
      </c>
      <c r="G51" s="35"/>
      <c r="H51" s="35" t="str">
        <f aca="false">IFERROR(IF(LARGE(Inventory!$W$6:$W$1005,5)&lt;-100000000000000,"",INDEX(Inventory!$H$6:$H$1005,MATCH(LARGE(Inventory!$W$6:$W$1005,5),Inventory!$W$6:$W$1005,0))),"")</f>
        <v>eBay</v>
      </c>
      <c r="I51" s="35"/>
      <c r="J51" s="35" t="str">
        <f aca="false">IFERROR(IF(LARGE(Inventory!$W$6:$W$1005,5)&lt;-100000000000000,"",INDEX(Inventory!$M$6:$M$1005,MATCH(LARGE(Inventory!$W$6:$W$1005,5),Inventory!$W$6:$W$1005,0))),"")</f>
        <v>Bin 4</v>
      </c>
      <c r="K51" s="35" t="str">
        <f aca="false">IFERROR(IF(LARGE(Inventory!$W$6:$W$1005,5)&lt;-100000000000000,"",INDEX(Inventory!$Q$6:$Q$1005,MATCH(LARGE(Inventory!$W$6:$W$1005,5),Inventory!$W$6:$W$1005,0))),"")</f>
        <v>⚠ STALE – REPRICE / ESTANCADO</v>
      </c>
      <c r="L51" s="35"/>
      <c r="M51" s="35"/>
    </row>
    <row r="52" customFormat="false" ht="15" hidden="false" customHeight="false" outlineLevel="0" collapsed="false">
      <c r="B52" s="38" t="str">
        <f aca="false">IFERROR(IF(LARGE(Inventory!$W$6:$W$1005,6)&lt;-100000000000000,"—",INDEX(Inventory!$C$6:$C$1005,MATCH(LARGE(Inventory!$W$6:$W$1005,6),Inventory!$W$6:$W$1005,0))),"—")</f>
        <v>Mid-Century Teak Bowl</v>
      </c>
      <c r="C52" s="38" t="str">
        <f aca="false">IFERROR(IF(LARGE(Inventory!$W$6:$W$1005,6)&lt;-100000000000000,"",INDEX(Inventory!$B$6:$B$1005,MATCH(LARGE(Inventory!$W$6:$W$1005,6),Inventory!$W$6:$W$1005,0))),"")</f>
        <v>A-009</v>
      </c>
      <c r="D52" s="51" t="n">
        <f aca="false">IFERROR(IF(LARGE(Inventory!$W$6:$W$1005,6)&lt;-100000000000000,"",INDEX(Inventory!$N$6:$N$1005,MATCH(LARGE(Inventory!$W$6:$W$1005,6),Inventory!$W$6:$W$1005,0))),"")</f>
        <v>108</v>
      </c>
      <c r="E52" s="52" t="n">
        <f aca="false">IFERROR(IF(LARGE(Inventory!$W$6:$W$1005,6)&lt;-100000000000000,"",INDEX(Inventory!$G$6:$G$1005,MATCH(LARGE(Inventory!$W$6:$W$1005,6),Inventory!$W$6:$W$1005,0))),"")</f>
        <v>7</v>
      </c>
      <c r="F52" s="52" t="n">
        <f aca="false">IFERROR(IF(LARGE(Inventory!$W$6:$W$1005,6)&lt;-100000000000000,"",INDEX(Inventory!$I$6:$I$1005,MATCH(LARGE(Inventory!$W$6:$W$1005,6),Inventory!$W$6:$W$1005,0))),"")</f>
        <v>55</v>
      </c>
      <c r="G52" s="38"/>
      <c r="H52" s="38" t="str">
        <f aca="false">IFERROR(IF(LARGE(Inventory!$W$6:$W$1005,6)&lt;-100000000000000,"",INDEX(Inventory!$H$6:$H$1005,MATCH(LARGE(Inventory!$W$6:$W$1005,6),Inventory!$W$6:$W$1005,0))),"")</f>
        <v>Etsy</v>
      </c>
      <c r="I52" s="38"/>
      <c r="J52" s="38" t="str">
        <f aca="false">IFERROR(IF(LARGE(Inventory!$W$6:$W$1005,6)&lt;-100000000000000,"",INDEX(Inventory!$M$6:$M$1005,MATCH(LARGE(Inventory!$W$6:$W$1005,6),Inventory!$W$6:$W$1005,0))),"")</f>
        <v>Shelf C</v>
      </c>
      <c r="K52" s="38" t="str">
        <f aca="false">IFERROR(IF(LARGE(Inventory!$W$6:$W$1005,6)&lt;-100000000000000,"",INDEX(Inventory!$Q$6:$Q$1005,MATCH(LARGE(Inventory!$W$6:$W$1005,6),Inventory!$W$6:$W$1005,0))),"")</f>
        <v>⚠ STALE – REPRICE / ESTANCADO</v>
      </c>
      <c r="L52" s="38"/>
      <c r="M52" s="38"/>
    </row>
    <row r="53" customFormat="false" ht="15" hidden="false" customHeight="false" outlineLevel="0" collapsed="false">
      <c r="B53" s="35" t="str">
        <f aca="false">IFERROR(IF(LARGE(Inventory!$W$6:$W$1005,7)&lt;-100000000000000,"—",INDEX(Inventory!$C$6:$C$1005,MATCH(LARGE(Inventory!$W$6:$W$1005,7),Inventory!$W$6:$W$1005,0))),"—")</f>
        <v>Fossil Men's Watch</v>
      </c>
      <c r="C53" s="35" t="str">
        <f aca="false">IFERROR(IF(LARGE(Inventory!$W$6:$W$1005,7)&lt;-100000000000000,"",INDEX(Inventory!$B$6:$B$1005,MATCH(LARGE(Inventory!$W$6:$W$1005,7),Inventory!$W$6:$W$1005,0))),"")</f>
        <v>A-011</v>
      </c>
      <c r="D53" s="49" t="n">
        <f aca="false">IFERROR(IF(LARGE(Inventory!$W$6:$W$1005,7)&lt;-100000000000000,"",INDEX(Inventory!$N$6:$N$1005,MATCH(LARGE(Inventory!$W$6:$W$1005,7),Inventory!$W$6:$W$1005,0))),"")</f>
        <v>87</v>
      </c>
      <c r="E53" s="50" t="n">
        <f aca="false">IFERROR(IF(LARGE(Inventory!$W$6:$W$1005,7)&lt;-100000000000000,"",INDEX(Inventory!$G$6:$G$1005,MATCH(LARGE(Inventory!$W$6:$W$1005,7),Inventory!$W$6:$W$1005,0))),"")</f>
        <v>8</v>
      </c>
      <c r="F53" s="50" t="n">
        <f aca="false">IFERROR(IF(LARGE(Inventory!$W$6:$W$1005,7)&lt;-100000000000000,"",INDEX(Inventory!$I$6:$I$1005,MATCH(LARGE(Inventory!$W$6:$W$1005,7),Inventory!$W$6:$W$1005,0))),"")</f>
        <v>45</v>
      </c>
      <c r="G53" s="35"/>
      <c r="H53" s="35" t="str">
        <f aca="false">IFERROR(IF(LARGE(Inventory!$W$6:$W$1005,7)&lt;-100000000000000,"",INDEX(Inventory!$H$6:$H$1005,MATCH(LARGE(Inventory!$W$6:$W$1005,7),Inventory!$W$6:$W$1005,0))),"")</f>
        <v>eBay</v>
      </c>
      <c r="I53" s="35"/>
      <c r="J53" s="35" t="str">
        <f aca="false">IFERROR(IF(LARGE(Inventory!$W$6:$W$1005,7)&lt;-100000000000000,"",INDEX(Inventory!$M$6:$M$1005,MATCH(LARGE(Inventory!$W$6:$W$1005,7),Inventory!$W$6:$W$1005,0))),"")</f>
        <v>Drawer 1</v>
      </c>
      <c r="K53" s="35" t="str">
        <f aca="false">IFERROR(IF(LARGE(Inventory!$W$6:$W$1005,7)&lt;-100000000000000,"",INDEX(Inventory!$Q$6:$Q$1005,MATCH(LARGE(Inventory!$W$6:$W$1005,7),Inventory!$W$6:$W$1005,0))),"")</f>
        <v>● WATCH / VIGILAR</v>
      </c>
      <c r="L53" s="35"/>
      <c r="M53" s="35"/>
    </row>
    <row r="54" customFormat="false" ht="15" hidden="false" customHeight="false" outlineLevel="0" collapsed="false">
      <c r="B54" s="38" t="str">
        <f aca="false">IFERROR(IF(LARGE(Inventory!$W$6:$W$1005,8)&lt;-100000000000000,"—",INDEX(Inventory!$C$6:$C$1005,MATCH(LARGE(Inventory!$W$6:$W$1005,8),Inventory!$W$6:$W$1005,0))),"—")</f>
        <v>KitchenAid Mixer Bowl</v>
      </c>
      <c r="C54" s="38" t="str">
        <f aca="false">IFERROR(IF(LARGE(Inventory!$W$6:$W$1005,8)&lt;-100000000000000,"",INDEX(Inventory!$B$6:$B$1005,MATCH(LARGE(Inventory!$W$6:$W$1005,8),Inventory!$W$6:$W$1005,0))),"")</f>
        <v>A-012</v>
      </c>
      <c r="D54" s="51" t="n">
        <f aca="false">IFERROR(IF(LARGE(Inventory!$W$6:$W$1005,8)&lt;-100000000000000,"",INDEX(Inventory!$N$6:$N$1005,MATCH(LARGE(Inventory!$W$6:$W$1005,8),Inventory!$W$6:$W$1005,0))),"")</f>
        <v>80</v>
      </c>
      <c r="E54" s="52" t="n">
        <f aca="false">IFERROR(IF(LARGE(Inventory!$W$6:$W$1005,8)&lt;-100000000000000,"",INDEX(Inventory!$G$6:$G$1005,MATCH(LARGE(Inventory!$W$6:$W$1005,8),Inventory!$W$6:$W$1005,0))),"")</f>
        <v>10</v>
      </c>
      <c r="F54" s="52" t="n">
        <f aca="false">IFERROR(IF(LARGE(Inventory!$W$6:$W$1005,8)&lt;-100000000000000,"",INDEX(Inventory!$I$6:$I$1005,MATCH(LARGE(Inventory!$W$6:$W$1005,8),Inventory!$W$6:$W$1005,0))),"")</f>
        <v>40</v>
      </c>
      <c r="G54" s="38"/>
      <c r="H54" s="38" t="str">
        <f aca="false">IFERROR(IF(LARGE(Inventory!$W$6:$W$1005,8)&lt;-100000000000000,"",INDEX(Inventory!$H$6:$H$1005,MATCH(LARGE(Inventory!$W$6:$W$1005,8),Inventory!$W$6:$W$1005,0))),"")</f>
        <v>Facebook Marketplace</v>
      </c>
      <c r="I54" s="38"/>
      <c r="J54" s="38" t="str">
        <f aca="false">IFERROR(IF(LARGE(Inventory!$W$6:$W$1005,8)&lt;-100000000000000,"",INDEX(Inventory!$M$6:$M$1005,MATCH(LARGE(Inventory!$W$6:$W$1005,8),Inventory!$W$6:$W$1005,0))),"")</f>
        <v>Shelf C</v>
      </c>
      <c r="K54" s="38" t="str">
        <f aca="false">IFERROR(IF(LARGE(Inventory!$W$6:$W$1005,8)&lt;-100000000000000,"",INDEX(Inventory!$Q$6:$Q$1005,MATCH(LARGE(Inventory!$W$6:$W$1005,8),Inventory!$W$6:$W$1005,0))),"")</f>
        <v>● WATCH / VIGILAR</v>
      </c>
      <c r="L54" s="38"/>
      <c r="M54" s="38"/>
    </row>
    <row r="55" customFormat="false" ht="15" hidden="false" customHeight="false" outlineLevel="0" collapsed="false">
      <c r="B55" s="35" t="str">
        <f aca="false">IFERROR(IF(LARGE(Inventory!$W$6:$W$1005,9)&lt;-100000000000000,"—",INDEX(Inventory!$C$6:$C$1005,MATCH(LARGE(Inventory!$W$6:$W$1005,9),Inventory!$W$6:$W$1005,0))),"—")</f>
        <v>Dr. Martens 1460 – Size 8</v>
      </c>
      <c r="C55" s="35" t="str">
        <f aca="false">IFERROR(IF(LARGE(Inventory!$W$6:$W$1005,9)&lt;-100000000000000,"",INDEX(Inventory!$B$6:$B$1005,MATCH(LARGE(Inventory!$W$6:$W$1005,9),Inventory!$W$6:$W$1005,0))),"")</f>
        <v>A-014</v>
      </c>
      <c r="D55" s="49" t="n">
        <f aca="false">IFERROR(IF(LARGE(Inventory!$W$6:$W$1005,9)&lt;-100000000000000,"",INDEX(Inventory!$N$6:$N$1005,MATCH(LARGE(Inventory!$W$6:$W$1005,9),Inventory!$W$6:$W$1005,0))),"")</f>
        <v>66</v>
      </c>
      <c r="E55" s="50" t="n">
        <f aca="false">IFERROR(IF(LARGE(Inventory!$W$6:$W$1005,9)&lt;-100000000000000,"",INDEX(Inventory!$G$6:$G$1005,MATCH(LARGE(Inventory!$W$6:$W$1005,9),Inventory!$W$6:$W$1005,0))),"")</f>
        <v>18</v>
      </c>
      <c r="F55" s="50" t="n">
        <f aca="false">IFERROR(IF(LARGE(Inventory!$W$6:$W$1005,9)&lt;-100000000000000,"",INDEX(Inventory!$I$6:$I$1005,MATCH(LARGE(Inventory!$W$6:$W$1005,9),Inventory!$W$6:$W$1005,0))),"")</f>
        <v>85</v>
      </c>
      <c r="G55" s="35"/>
      <c r="H55" s="35" t="str">
        <f aca="false">IFERROR(IF(LARGE(Inventory!$W$6:$W$1005,9)&lt;-100000000000000,"",INDEX(Inventory!$H$6:$H$1005,MATCH(LARGE(Inventory!$W$6:$W$1005,9),Inventory!$W$6:$W$1005,0))),"")</f>
        <v>Poshmark</v>
      </c>
      <c r="I55" s="35"/>
      <c r="J55" s="35" t="str">
        <f aca="false">IFERROR(IF(LARGE(Inventory!$W$6:$W$1005,9)&lt;-100000000000000,"",INDEX(Inventory!$M$6:$M$1005,MATCH(LARGE(Inventory!$W$6:$W$1005,9),Inventory!$W$6:$W$1005,0))),"")</f>
        <v>Shelf A</v>
      </c>
      <c r="K55" s="35" t="str">
        <f aca="false">IFERROR(IF(LARGE(Inventory!$W$6:$W$1005,9)&lt;-100000000000000,"",INDEX(Inventory!$Q$6:$Q$1005,MATCH(LARGE(Inventory!$W$6:$W$1005,9),Inventory!$W$6:$W$1005,0))),"")</f>
        <v>● WATCH / VIGILAR</v>
      </c>
      <c r="L55" s="35"/>
      <c r="M55" s="35"/>
    </row>
    <row r="56" customFormat="false" ht="15" hidden="false" customHeight="false" outlineLevel="0" collapsed="false">
      <c r="B56" s="38" t="str">
        <f aca="false">IFERROR(IF(LARGE(Inventory!$W$6:$W$1005,10)&lt;-100000000000000,"—",INDEX(Inventory!$C$6:$C$1005,MATCH(LARGE(Inventory!$W$6:$W$1005,10),Inventory!$W$6:$W$1005,0))),"—")</f>
        <v>Anthropologie Maxi Dress</v>
      </c>
      <c r="C56" s="38" t="str">
        <f aca="false">IFERROR(IF(LARGE(Inventory!$W$6:$W$1005,10)&lt;-100000000000000,"",INDEX(Inventory!$B$6:$B$1005,MATCH(LARGE(Inventory!$W$6:$W$1005,10),Inventory!$W$6:$W$1005,0))),"")</f>
        <v>A-016</v>
      </c>
      <c r="D56" s="51" t="n">
        <f aca="false">IFERROR(IF(LARGE(Inventory!$W$6:$W$1005,10)&lt;-100000000000000,"",INDEX(Inventory!$N$6:$N$1005,MATCH(LARGE(Inventory!$W$6:$W$1005,10),Inventory!$W$6:$W$1005,0))),"")</f>
        <v>50</v>
      </c>
      <c r="E56" s="52" t="n">
        <f aca="false">IFERROR(IF(LARGE(Inventory!$W$6:$W$1005,10)&lt;-100000000000000,"",INDEX(Inventory!$G$6:$G$1005,MATCH(LARGE(Inventory!$W$6:$W$1005,10),Inventory!$W$6:$W$1005,0))),"")</f>
        <v>7</v>
      </c>
      <c r="F56" s="52" t="n">
        <f aca="false">IFERROR(IF(LARGE(Inventory!$W$6:$W$1005,10)&lt;-100000000000000,"",INDEX(Inventory!$I$6:$I$1005,MATCH(LARGE(Inventory!$W$6:$W$1005,10),Inventory!$W$6:$W$1005,0))),"")</f>
        <v>36</v>
      </c>
      <c r="G56" s="38"/>
      <c r="H56" s="38" t="str">
        <f aca="false">IFERROR(IF(LARGE(Inventory!$W$6:$W$1005,10)&lt;-100000000000000,"",INDEX(Inventory!$H$6:$H$1005,MATCH(LARGE(Inventory!$W$6:$W$1005,10),Inventory!$W$6:$W$1005,0))),"")</f>
        <v>Poshmark</v>
      </c>
      <c r="I56" s="38"/>
      <c r="J56" s="38" t="str">
        <f aca="false">IFERROR(IF(LARGE(Inventory!$W$6:$W$1005,10)&lt;-100000000000000,"",INDEX(Inventory!$M$6:$M$1005,MATCH(LARGE(Inventory!$W$6:$W$1005,10),Inventory!$W$6:$W$1005,0))),"")</f>
        <v>Bin 2</v>
      </c>
      <c r="K56" s="38" t="str">
        <f aca="false">IFERROR(IF(LARGE(Inventory!$W$6:$W$1005,10)&lt;-100000000000000,"",INDEX(Inventory!$Q$6:$Q$1005,MATCH(LARGE(Inventory!$W$6:$W$1005,10),Inventory!$W$6:$W$1005,0))),"")</f>
        <v>✔ FRESH / RECIENTE</v>
      </c>
      <c r="L56" s="38"/>
      <c r="M56" s="38"/>
    </row>
  </sheetData>
  <sheetProtection sheet="true"/>
  <mergeCells count="52">
    <mergeCell ref="B1:N1"/>
    <mergeCell ref="B2:N2"/>
    <mergeCell ref="B3:N3"/>
    <mergeCell ref="C6:D6"/>
    <mergeCell ref="E6:F6"/>
    <mergeCell ref="H6:J6"/>
    <mergeCell ref="C7:D7"/>
    <mergeCell ref="E7:F7"/>
    <mergeCell ref="H7:J7"/>
    <mergeCell ref="C8:D8"/>
    <mergeCell ref="E8:F8"/>
    <mergeCell ref="H8:J8"/>
    <mergeCell ref="C9:D9"/>
    <mergeCell ref="E9:F9"/>
    <mergeCell ref="H9:J9"/>
    <mergeCell ref="C11:D11"/>
    <mergeCell ref="E11:F11"/>
    <mergeCell ref="H11:J11"/>
    <mergeCell ref="C12:D12"/>
    <mergeCell ref="E12:F12"/>
    <mergeCell ref="H12:J12"/>
    <mergeCell ref="C13:D13"/>
    <mergeCell ref="E13:F13"/>
    <mergeCell ref="H13:J13"/>
    <mergeCell ref="C14:D14"/>
    <mergeCell ref="E14:F14"/>
    <mergeCell ref="H14:J14"/>
    <mergeCell ref="B17:F17"/>
    <mergeCell ref="B35:F35"/>
    <mergeCell ref="B45:M45"/>
    <mergeCell ref="H46:I46"/>
    <mergeCell ref="K46:M46"/>
    <mergeCell ref="H47:I47"/>
    <mergeCell ref="K47:M47"/>
    <mergeCell ref="H48:I48"/>
    <mergeCell ref="K48:M48"/>
    <mergeCell ref="H49:I49"/>
    <mergeCell ref="K49:M49"/>
    <mergeCell ref="H50:I50"/>
    <mergeCell ref="K50:M50"/>
    <mergeCell ref="H51:I51"/>
    <mergeCell ref="K51:M51"/>
    <mergeCell ref="H52:I52"/>
    <mergeCell ref="K52:M52"/>
    <mergeCell ref="H53:I53"/>
    <mergeCell ref="K53:M53"/>
    <mergeCell ref="H54:I54"/>
    <mergeCell ref="K54:M54"/>
    <mergeCell ref="H55:I55"/>
    <mergeCell ref="K55:M55"/>
    <mergeCell ref="H56:I56"/>
    <mergeCell ref="K56:M56"/>
  </mergeCells>
  <conditionalFormatting sqref="K47:K56">
    <cfRule type="containsText" priority="2" operator="containsText" aboveAverage="0" equalAverage="0" bottom="0" percent="0" rank="0" text="⚠" dxfId="0">
      <formula>NOT(ISERROR(SEARCH("⚠",K47)))</formula>
    </cfRule>
    <cfRule type="containsText" priority="3" operator="containsText" aboveAverage="0" equalAverage="0" bottom="0" percent="0" rank="0" text="WATCH" dxfId="1">
      <formula>NOT(ISERROR(SEARCH("WATCH",K47)))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B8A6"/>
    <pageSetUpPr fitToPage="true"/>
  </sheetPr>
  <dimension ref="A1:AC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21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true" outlineLevel="0" max="29" min="19" style="0" width="13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30" hidden="false" customHeight="true" outlineLevel="0" collapsed="false">
      <c r="A2" s="1"/>
      <c r="B2" s="15" t="s">
        <v>64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customFormat="false" ht="19.5" hidden="false" customHeight="true" outlineLevel="0" collapsed="false">
      <c r="A3" s="1"/>
      <c r="B3" s="16" t="s">
        <v>65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48" hidden="false" customHeight="true" outlineLevel="0" collapsed="false">
      <c r="B5" s="34" t="s">
        <v>57</v>
      </c>
      <c r="C5" s="34" t="s">
        <v>66</v>
      </c>
      <c r="D5" s="34" t="s">
        <v>38</v>
      </c>
      <c r="E5" s="34" t="s">
        <v>67</v>
      </c>
      <c r="F5" s="34" t="s">
        <v>68</v>
      </c>
      <c r="G5" s="34" t="s">
        <v>59</v>
      </c>
      <c r="H5" s="34" t="s">
        <v>61</v>
      </c>
      <c r="I5" s="34" t="s">
        <v>69</v>
      </c>
      <c r="J5" s="34" t="s">
        <v>70</v>
      </c>
      <c r="K5" s="34" t="s">
        <v>71</v>
      </c>
      <c r="L5" s="34" t="s">
        <v>72</v>
      </c>
      <c r="M5" s="34" t="s">
        <v>73</v>
      </c>
      <c r="N5" s="34" t="s">
        <v>58</v>
      </c>
      <c r="O5" s="34" t="s">
        <v>74</v>
      </c>
      <c r="P5" s="34" t="s">
        <v>75</v>
      </c>
      <c r="Q5" s="34" t="s">
        <v>76</v>
      </c>
      <c r="S5" s="53" t="s">
        <v>77</v>
      </c>
      <c r="T5" s="53" t="s">
        <v>78</v>
      </c>
      <c r="U5" s="53" t="s">
        <v>79</v>
      </c>
      <c r="V5" s="53" t="s">
        <v>80</v>
      </c>
      <c r="W5" s="53" t="s">
        <v>81</v>
      </c>
      <c r="X5" s="53" t="s">
        <v>82</v>
      </c>
      <c r="Y5" s="53" t="s">
        <v>83</v>
      </c>
      <c r="Z5" s="53" t="s">
        <v>84</v>
      </c>
      <c r="AA5" s="53" t="s">
        <v>85</v>
      </c>
      <c r="AB5" s="53" t="s">
        <v>86</v>
      </c>
      <c r="AC5" s="53" t="s">
        <v>87</v>
      </c>
    </row>
    <row r="6" customFormat="false" ht="15" hidden="false" customHeight="false" outlineLevel="0" collapsed="false">
      <c r="B6" s="54" t="s">
        <v>88</v>
      </c>
      <c r="C6" s="55" t="s">
        <v>89</v>
      </c>
      <c r="D6" s="55" t="s">
        <v>90</v>
      </c>
      <c r="E6" s="55" t="s">
        <v>91</v>
      </c>
      <c r="F6" s="56" t="n">
        <v>46089</v>
      </c>
      <c r="G6" s="57" t="n">
        <v>6</v>
      </c>
      <c r="H6" s="55" t="s">
        <v>92</v>
      </c>
      <c r="I6" s="57" t="n">
        <v>38</v>
      </c>
      <c r="J6" s="54" t="s">
        <v>93</v>
      </c>
      <c r="K6" s="56"/>
      <c r="L6" s="57"/>
      <c r="M6" s="54" t="s">
        <v>94</v>
      </c>
      <c r="N6" s="58" t="n">
        <f aca="false">IF(S6=1,IF(U6&lt;0,"",U6),IF(Y6=1,X6,""))</f>
        <v>206</v>
      </c>
      <c r="O6" s="59" t="n">
        <f aca="false">IF(S6=1,IF(ISNUMBER(I6),I6-G6,""),"")</f>
        <v>32</v>
      </c>
      <c r="P6" s="59" t="str">
        <f aca="false">IF(T6=1,IF(ISNUMBER(L6),L6-G6,""),"")</f>
        <v/>
      </c>
      <c r="Q6" s="60" t="str">
        <f aca="false">IF(C6="","",IF(T6=1,"✔ SOLD / VENDIDO",IF(S6=0,"— CLOSED / CERRADO",IF(U6&lt;0,"⚠ ADD DATE / AGREGA FECHA",IF(U6&gt;=Settings!$C$8,"⚠ STALE – REPRICE / ESTANCADO",IF(U6&gt;=Settings!$C$7,"● WATCH / VIGILAR","✔ FRESH / RECIENTE"))))))</f>
        <v>⚠ STALE – REPRICE / ESTANCADO</v>
      </c>
      <c r="S6" s="53" t="n">
        <f aca="false">IF(C6="",0,IF(OR(J6="",J6="In Stock / En Inventario",J6="Listed / Publicado"),1,0))</f>
        <v>1</v>
      </c>
      <c r="T6" s="53" t="n">
        <f aca="false">IF(C6="",0,IF(J6="Sold / Vendido",1,0))</f>
        <v>0</v>
      </c>
      <c r="U6" s="53" t="n">
        <f aca="true">IF(S6=1,IF(ISNUMBER(F6),TODAY()-F6,-1),-1)</f>
        <v>206</v>
      </c>
      <c r="V6" s="53" t="n">
        <f aca="false">IF(U6&lt;0,IF(S6=1,5,0),IF(U6&lt;=30,1,IF(U6&lt;=60,2,IF(U6&lt;=90,3,4))))</f>
        <v>4</v>
      </c>
      <c r="W6" s="53" t="n">
        <f aca="false">IF(U6&lt;0,-1000000000000000,U6+ROW()/1000000)</f>
        <v>206.000006</v>
      </c>
      <c r="X6" s="53" t="n">
        <f aca="false">IF(T6=1,IF(AND(ISNUMBER(F6),ISNUMBER(K6)),K6-F6,0),0)</f>
        <v>0</v>
      </c>
      <c r="Y6" s="53" t="n">
        <f aca="false">IF(T6=1,IF(AND(ISNUMBER(F6),ISNUMBER(K6)),1,0),0)</f>
        <v>0</v>
      </c>
      <c r="Z6" s="53" t="n">
        <f aca="false">IF(U6&gt;=Settings!$C$8,1,0)</f>
        <v>1</v>
      </c>
      <c r="AA6" s="53" t="n">
        <f aca="false">IF(S6=1,IF(J6="Listed / Publicado",0,1),0)</f>
        <v>0</v>
      </c>
      <c r="AB6" s="53" t="n">
        <f aca="false">IF(T6=1,IF(ISNUMBER(L6),L6-G6,0),0)</f>
        <v>0</v>
      </c>
      <c r="AC6" s="53" t="n">
        <f aca="false">IF(S6=1,IF(ISNUMBER(I6),I6-G6,0),0)</f>
        <v>32</v>
      </c>
    </row>
    <row r="7" customFormat="false" ht="15" hidden="false" customHeight="false" outlineLevel="0" collapsed="false">
      <c r="B7" s="54" t="s">
        <v>95</v>
      </c>
      <c r="C7" s="55" t="s">
        <v>96</v>
      </c>
      <c r="D7" s="55" t="s">
        <v>97</v>
      </c>
      <c r="E7" s="55" t="s">
        <v>98</v>
      </c>
      <c r="F7" s="56" t="n">
        <v>46096</v>
      </c>
      <c r="G7" s="57" t="n">
        <v>15</v>
      </c>
      <c r="H7" s="55" t="s">
        <v>99</v>
      </c>
      <c r="I7" s="57" t="n">
        <v>95</v>
      </c>
      <c r="J7" s="54" t="s">
        <v>100</v>
      </c>
      <c r="K7" s="56" t="n">
        <v>46114</v>
      </c>
      <c r="L7" s="57" t="n">
        <v>89.99</v>
      </c>
      <c r="M7" s="54" t="s">
        <v>101</v>
      </c>
      <c r="N7" s="58" t="n">
        <f aca="false">IF(S7=1,IF(U7&lt;0,"",U7),IF(Y7=1,X7,""))</f>
        <v>18</v>
      </c>
      <c r="O7" s="59" t="str">
        <f aca="false">IF(S7=1,IF(ISNUMBER(I7),I7-G7,""),"")</f>
        <v/>
      </c>
      <c r="P7" s="59" t="n">
        <f aca="false">IF(T7=1,IF(ISNUMBER(L7),L7-G7,""),"")</f>
        <v>74.99</v>
      </c>
      <c r="Q7" s="60" t="str">
        <f aca="false">IF(C7="","",IF(T7=1,"✔ SOLD / VENDIDO",IF(S7=0,"— CLOSED / CERRADO",IF(U7&lt;0,"⚠ ADD DATE / AGREGA FECHA",IF(U7&gt;=Settings!$C$8,"⚠ STALE – REPRICE / ESTANCADO",IF(U7&gt;=Settings!$C$7,"● WATCH / VIGILAR","✔ FRESH / RECIENTE"))))))</f>
        <v>✔ SOLD / VENDIDO</v>
      </c>
      <c r="S7" s="53" t="n">
        <f aca="false">IF(C7="",0,IF(OR(J7="",J7="In Stock / En Inventario",J7="Listed / Publicado"),1,0))</f>
        <v>0</v>
      </c>
      <c r="T7" s="53" t="n">
        <f aca="false">IF(C7="",0,IF(J7="Sold / Vendido",1,0))</f>
        <v>1</v>
      </c>
      <c r="U7" s="53" t="n">
        <f aca="true">IF(S7=1,IF(ISNUMBER(F7),TODAY()-F7,-1),-1)</f>
        <v>-1</v>
      </c>
      <c r="V7" s="53" t="n">
        <f aca="false">IF(U7&lt;0,IF(S7=1,5,0),IF(U7&lt;=30,1,IF(U7&lt;=60,2,IF(U7&lt;=90,3,4))))</f>
        <v>0</v>
      </c>
      <c r="W7" s="53" t="n">
        <f aca="false">IF(U7&lt;0,-1000000000000000,U7+ROW()/1000000)</f>
        <v>-1000000000000000</v>
      </c>
      <c r="X7" s="53" t="n">
        <f aca="false">IF(T7=1,IF(AND(ISNUMBER(F7),ISNUMBER(K7)),K7-F7,0),0)</f>
        <v>18</v>
      </c>
      <c r="Y7" s="53" t="n">
        <f aca="false">IF(T7=1,IF(AND(ISNUMBER(F7),ISNUMBER(K7)),1,0),0)</f>
        <v>1</v>
      </c>
      <c r="Z7" s="53" t="n">
        <f aca="false">IF(U7&gt;=Settings!$C$8,1,0)</f>
        <v>0</v>
      </c>
      <c r="AA7" s="53" t="n">
        <f aca="false">IF(S7=1,IF(J7="Listed / Publicado",0,1),0)</f>
        <v>0</v>
      </c>
      <c r="AB7" s="53" t="n">
        <f aca="false">IF(T7=1,IF(ISNUMBER(L7),L7-G7,0),0)</f>
        <v>74.99</v>
      </c>
      <c r="AC7" s="53" t="n">
        <f aca="false">IF(S7=1,IF(ISNUMBER(I7),I7-G7,0),0)</f>
        <v>0</v>
      </c>
    </row>
    <row r="8" customFormat="false" ht="15" hidden="false" customHeight="false" outlineLevel="0" collapsed="false">
      <c r="B8" s="54" t="s">
        <v>102</v>
      </c>
      <c r="C8" s="55" t="s">
        <v>103</v>
      </c>
      <c r="D8" s="55" t="s">
        <v>104</v>
      </c>
      <c r="E8" s="55" t="s">
        <v>105</v>
      </c>
      <c r="F8" s="56" t="n">
        <v>46113</v>
      </c>
      <c r="G8" s="57" t="n">
        <v>20</v>
      </c>
      <c r="H8" s="55" t="s">
        <v>92</v>
      </c>
      <c r="I8" s="57" t="n">
        <v>120</v>
      </c>
      <c r="J8" s="54" t="s">
        <v>93</v>
      </c>
      <c r="K8" s="56"/>
      <c r="L8" s="57"/>
      <c r="M8" s="54" t="s">
        <v>106</v>
      </c>
      <c r="N8" s="58" t="n">
        <f aca="false">IF(S8=1,IF(U8&lt;0,"",U8),IF(Y8=1,X8,""))</f>
        <v>182</v>
      </c>
      <c r="O8" s="59" t="n">
        <f aca="false">IF(S8=1,IF(ISNUMBER(I8),I8-G8,""),"")</f>
        <v>100</v>
      </c>
      <c r="P8" s="59" t="str">
        <f aca="false">IF(T8=1,IF(ISNUMBER(L8),L8-G8,""),"")</f>
        <v/>
      </c>
      <c r="Q8" s="60" t="str">
        <f aca="false">IF(C8="","",IF(T8=1,"✔ SOLD / VENDIDO",IF(S8=0,"— CLOSED / CERRADO",IF(U8&lt;0,"⚠ ADD DATE / AGREGA FECHA",IF(U8&gt;=Settings!$C$8,"⚠ STALE – REPRICE / ESTANCADO",IF(U8&gt;=Settings!$C$7,"● WATCH / VIGILAR","✔ FRESH / RECIENTE"))))))</f>
        <v>⚠ STALE – REPRICE / ESTANCADO</v>
      </c>
      <c r="S8" s="53" t="n">
        <f aca="false">IF(C8="",0,IF(OR(J8="",J8="In Stock / En Inventario",J8="Listed / Publicado"),1,0))</f>
        <v>1</v>
      </c>
      <c r="T8" s="53" t="n">
        <f aca="false">IF(C8="",0,IF(J8="Sold / Vendido",1,0))</f>
        <v>0</v>
      </c>
      <c r="U8" s="53" t="n">
        <f aca="true">IF(S8=1,IF(ISNUMBER(F8),TODAY()-F8,-1),-1)</f>
        <v>182</v>
      </c>
      <c r="V8" s="53" t="n">
        <f aca="false">IF(U8&lt;0,IF(S8=1,5,0),IF(U8&lt;=30,1,IF(U8&lt;=60,2,IF(U8&lt;=90,3,4))))</f>
        <v>4</v>
      </c>
      <c r="W8" s="53" t="n">
        <f aca="false">IF(U8&lt;0,-1000000000000000,U8+ROW()/1000000)</f>
        <v>182.000008</v>
      </c>
      <c r="X8" s="53" t="n">
        <f aca="false">IF(T8=1,IF(AND(ISNUMBER(F8),ISNUMBER(K8)),K8-F8,0),0)</f>
        <v>0</v>
      </c>
      <c r="Y8" s="53" t="n">
        <f aca="false">IF(T8=1,IF(AND(ISNUMBER(F8),ISNUMBER(K8)),1,0),0)</f>
        <v>0</v>
      </c>
      <c r="Z8" s="53" t="n">
        <f aca="false">IF(U8&gt;=Settings!$C$8,1,0)</f>
        <v>1</v>
      </c>
      <c r="AA8" s="53" t="n">
        <f aca="false">IF(S8=1,IF(J8="Listed / Publicado",0,1),0)</f>
        <v>0</v>
      </c>
      <c r="AB8" s="53" t="n">
        <f aca="false">IF(T8=1,IF(ISNUMBER(L8),L8-G8,0),0)</f>
        <v>0</v>
      </c>
      <c r="AC8" s="53" t="n">
        <f aca="false">IF(S8=1,IF(ISNUMBER(I8),I8-G8,0),0)</f>
        <v>100</v>
      </c>
    </row>
    <row r="9" customFormat="false" ht="15" hidden="false" customHeight="false" outlineLevel="0" collapsed="false">
      <c r="B9" s="54" t="s">
        <v>107</v>
      </c>
      <c r="C9" s="55" t="s">
        <v>108</v>
      </c>
      <c r="D9" s="55" t="s">
        <v>109</v>
      </c>
      <c r="E9" s="55" t="s">
        <v>110</v>
      </c>
      <c r="F9" s="56" t="n">
        <v>46124</v>
      </c>
      <c r="G9" s="57" t="n">
        <v>8</v>
      </c>
      <c r="H9" s="55" t="s">
        <v>111</v>
      </c>
      <c r="I9" s="57" t="n">
        <v>45</v>
      </c>
      <c r="J9" s="54" t="s">
        <v>100</v>
      </c>
      <c r="K9" s="56" t="n">
        <v>46145</v>
      </c>
      <c r="L9" s="57" t="n">
        <v>40</v>
      </c>
      <c r="M9" s="54" t="s">
        <v>112</v>
      </c>
      <c r="N9" s="58" t="n">
        <f aca="false">IF(S9=1,IF(U9&lt;0,"",U9),IF(Y9=1,X9,""))</f>
        <v>21</v>
      </c>
      <c r="O9" s="59" t="str">
        <f aca="false">IF(S9=1,IF(ISNUMBER(I9),I9-G9,""),"")</f>
        <v/>
      </c>
      <c r="P9" s="59" t="n">
        <f aca="false">IF(T9=1,IF(ISNUMBER(L9),L9-G9,""),"")</f>
        <v>32</v>
      </c>
      <c r="Q9" s="60" t="str">
        <f aca="false">IF(C9="","",IF(T9=1,"✔ SOLD / VENDIDO",IF(S9=0,"— CLOSED / CERRADO",IF(U9&lt;0,"⚠ ADD DATE / AGREGA FECHA",IF(U9&gt;=Settings!$C$8,"⚠ STALE – REPRICE / ESTANCADO",IF(U9&gt;=Settings!$C$7,"● WATCH / VIGILAR","✔ FRESH / RECIENTE"))))))</f>
        <v>✔ SOLD / VENDIDO</v>
      </c>
      <c r="S9" s="53" t="n">
        <f aca="false">IF(C9="",0,IF(OR(J9="",J9="In Stock / En Inventario",J9="Listed / Publicado"),1,0))</f>
        <v>0</v>
      </c>
      <c r="T9" s="53" t="n">
        <f aca="false">IF(C9="",0,IF(J9="Sold / Vendido",1,0))</f>
        <v>1</v>
      </c>
      <c r="U9" s="53" t="n">
        <f aca="true">IF(S9=1,IF(ISNUMBER(F9),TODAY()-F9,-1),-1)</f>
        <v>-1</v>
      </c>
      <c r="V9" s="53" t="n">
        <f aca="false">IF(U9&lt;0,IF(S9=1,5,0),IF(U9&lt;=30,1,IF(U9&lt;=60,2,IF(U9&lt;=90,3,4))))</f>
        <v>0</v>
      </c>
      <c r="W9" s="53" t="n">
        <f aca="false">IF(U9&lt;0,-1000000000000000,U9+ROW()/1000000)</f>
        <v>-1000000000000000</v>
      </c>
      <c r="X9" s="53" t="n">
        <f aca="false">IF(T9=1,IF(AND(ISNUMBER(F9),ISNUMBER(K9)),K9-F9,0),0)</f>
        <v>21</v>
      </c>
      <c r="Y9" s="53" t="n">
        <f aca="false">IF(T9=1,IF(AND(ISNUMBER(F9),ISNUMBER(K9)),1,0),0)</f>
        <v>1</v>
      </c>
      <c r="Z9" s="53" t="n">
        <f aca="false">IF(U9&gt;=Settings!$C$8,1,0)</f>
        <v>0</v>
      </c>
      <c r="AA9" s="53" t="n">
        <f aca="false">IF(S9=1,IF(J9="Listed / Publicado",0,1),0)</f>
        <v>0</v>
      </c>
      <c r="AB9" s="53" t="n">
        <f aca="false">IF(T9=1,IF(ISNUMBER(L9),L9-G9,0),0)</f>
        <v>32</v>
      </c>
      <c r="AC9" s="53" t="n">
        <f aca="false">IF(S9=1,IF(ISNUMBER(I9),I9-G9,0),0)</f>
        <v>0</v>
      </c>
    </row>
    <row r="10" customFormat="false" ht="15" hidden="false" customHeight="false" outlineLevel="0" collapsed="false">
      <c r="B10" s="54" t="s">
        <v>113</v>
      </c>
      <c r="C10" s="55" t="s">
        <v>114</v>
      </c>
      <c r="D10" s="55" t="s">
        <v>115</v>
      </c>
      <c r="E10" s="55" t="s">
        <v>116</v>
      </c>
      <c r="F10" s="56" t="n">
        <v>46144</v>
      </c>
      <c r="G10" s="57" t="n">
        <v>45</v>
      </c>
      <c r="H10" s="55" t="s">
        <v>99</v>
      </c>
      <c r="I10" s="57" t="n">
        <v>220</v>
      </c>
      <c r="J10" s="54" t="s">
        <v>100</v>
      </c>
      <c r="K10" s="56" t="n">
        <v>46162</v>
      </c>
      <c r="L10" s="57" t="n">
        <v>210</v>
      </c>
      <c r="M10" s="54" t="s">
        <v>117</v>
      </c>
      <c r="N10" s="58" t="n">
        <f aca="false">IF(S10=1,IF(U10&lt;0,"",U10),IF(Y10=1,X10,""))</f>
        <v>18</v>
      </c>
      <c r="O10" s="59" t="str">
        <f aca="false">IF(S10=1,IF(ISNUMBER(I10),I10-G10,""),"")</f>
        <v/>
      </c>
      <c r="P10" s="59" t="n">
        <f aca="false">IF(T10=1,IF(ISNUMBER(L10),L10-G10,""),"")</f>
        <v>165</v>
      </c>
      <c r="Q10" s="60" t="str">
        <f aca="false">IF(C10="","",IF(T10=1,"✔ SOLD / VENDIDO",IF(S10=0,"— CLOSED / CERRADO",IF(U10&lt;0,"⚠ ADD DATE / AGREGA FECHA",IF(U10&gt;=Settings!$C$8,"⚠ STALE – REPRICE / ESTANCADO",IF(U10&gt;=Settings!$C$7,"● WATCH / VIGILAR","✔ FRESH / RECIENTE"))))))</f>
        <v>✔ SOLD / VENDIDO</v>
      </c>
      <c r="S10" s="53" t="n">
        <f aca="false">IF(C10="",0,IF(OR(J10="",J10="In Stock / En Inventario",J10="Listed / Publicado"),1,0))</f>
        <v>0</v>
      </c>
      <c r="T10" s="53" t="n">
        <f aca="false">IF(C10="",0,IF(J10="Sold / Vendido",1,0))</f>
        <v>1</v>
      </c>
      <c r="U10" s="53" t="n">
        <f aca="true">IF(S10=1,IF(ISNUMBER(F10),TODAY()-F10,-1),-1)</f>
        <v>-1</v>
      </c>
      <c r="V10" s="53" t="n">
        <f aca="false">IF(U10&lt;0,IF(S10=1,5,0),IF(U10&lt;=30,1,IF(U10&lt;=60,2,IF(U10&lt;=90,3,4))))</f>
        <v>0</v>
      </c>
      <c r="W10" s="53" t="n">
        <f aca="false">IF(U10&lt;0,-1000000000000000,U10+ROW()/1000000)</f>
        <v>-1000000000000000</v>
      </c>
      <c r="X10" s="53" t="n">
        <f aca="false">IF(T10=1,IF(AND(ISNUMBER(F10),ISNUMBER(K10)),K10-F10,0),0)</f>
        <v>18</v>
      </c>
      <c r="Y10" s="53" t="n">
        <f aca="false">IF(T10=1,IF(AND(ISNUMBER(F10),ISNUMBER(K10)),1,0),0)</f>
        <v>1</v>
      </c>
      <c r="Z10" s="53" t="n">
        <f aca="false">IF(U10&gt;=Settings!$C$8,1,0)</f>
        <v>0</v>
      </c>
      <c r="AA10" s="53" t="n">
        <f aca="false">IF(S10=1,IF(J10="Listed / Publicado",0,1),0)</f>
        <v>0</v>
      </c>
      <c r="AB10" s="53" t="n">
        <f aca="false">IF(T10=1,IF(ISNUMBER(L10),L10-G10,0),0)</f>
        <v>165</v>
      </c>
      <c r="AC10" s="53" t="n">
        <f aca="false">IF(S10=1,IF(ISNUMBER(I10),I10-G10,0),0)</f>
        <v>0</v>
      </c>
    </row>
    <row r="11" customFormat="false" ht="15" hidden="false" customHeight="false" outlineLevel="0" collapsed="false">
      <c r="B11" s="54" t="s">
        <v>118</v>
      </c>
      <c r="C11" s="55" t="s">
        <v>119</v>
      </c>
      <c r="D11" s="55" t="s">
        <v>90</v>
      </c>
      <c r="E11" s="55" t="s">
        <v>91</v>
      </c>
      <c r="F11" s="56" t="n">
        <v>46152</v>
      </c>
      <c r="G11" s="57" t="n">
        <v>10</v>
      </c>
      <c r="H11" s="55" t="s">
        <v>92</v>
      </c>
      <c r="I11" s="57" t="n">
        <v>48</v>
      </c>
      <c r="J11" s="54" t="s">
        <v>93</v>
      </c>
      <c r="K11" s="56"/>
      <c r="L11" s="57"/>
      <c r="M11" s="54" t="s">
        <v>94</v>
      </c>
      <c r="N11" s="58" t="n">
        <f aca="false">IF(S11=1,IF(U11&lt;0,"",U11),IF(Y11=1,X11,""))</f>
        <v>143</v>
      </c>
      <c r="O11" s="59" t="n">
        <f aca="false">IF(S11=1,IF(ISNUMBER(I11),I11-G11,""),"")</f>
        <v>38</v>
      </c>
      <c r="P11" s="59" t="str">
        <f aca="false">IF(T11=1,IF(ISNUMBER(L11),L11-G11,""),"")</f>
        <v/>
      </c>
      <c r="Q11" s="60" t="str">
        <f aca="false">IF(C11="","",IF(T11=1,"✔ SOLD / VENDIDO",IF(S11=0,"— CLOSED / CERRADO",IF(U11&lt;0,"⚠ ADD DATE / AGREGA FECHA",IF(U11&gt;=Settings!$C$8,"⚠ STALE – REPRICE / ESTANCADO",IF(U11&gt;=Settings!$C$7,"● WATCH / VIGILAR","✔ FRESH / RECIENTE"))))))</f>
        <v>⚠ STALE – REPRICE / ESTANCADO</v>
      </c>
      <c r="S11" s="53" t="n">
        <f aca="false">IF(C11="",0,IF(OR(J11="",J11="In Stock / En Inventario",J11="Listed / Publicado"),1,0))</f>
        <v>1</v>
      </c>
      <c r="T11" s="53" t="n">
        <f aca="false">IF(C11="",0,IF(J11="Sold / Vendido",1,0))</f>
        <v>0</v>
      </c>
      <c r="U11" s="53" t="n">
        <f aca="true">IF(S11=1,IF(ISNUMBER(F11),TODAY()-F11,-1),-1)</f>
        <v>143</v>
      </c>
      <c r="V11" s="53" t="n">
        <f aca="false">IF(U11&lt;0,IF(S11=1,5,0),IF(U11&lt;=30,1,IF(U11&lt;=60,2,IF(U11&lt;=90,3,4))))</f>
        <v>4</v>
      </c>
      <c r="W11" s="53" t="n">
        <f aca="false">IF(U11&lt;0,-1000000000000000,U11+ROW()/1000000)</f>
        <v>143.000011</v>
      </c>
      <c r="X11" s="53" t="n">
        <f aca="false">IF(T11=1,IF(AND(ISNUMBER(F11),ISNUMBER(K11)),K11-F11,0),0)</f>
        <v>0</v>
      </c>
      <c r="Y11" s="53" t="n">
        <f aca="false">IF(T11=1,IF(AND(ISNUMBER(F11),ISNUMBER(K11)),1,0),0)</f>
        <v>0</v>
      </c>
      <c r="Z11" s="53" t="n">
        <f aca="false">IF(U11&gt;=Settings!$C$8,1,0)</f>
        <v>1</v>
      </c>
      <c r="AA11" s="53" t="n">
        <f aca="false">IF(S11=1,IF(J11="Listed / Publicado",0,1),0)</f>
        <v>0</v>
      </c>
      <c r="AB11" s="53" t="n">
        <f aca="false">IF(T11=1,IF(ISNUMBER(L11),L11-G11,0),0)</f>
        <v>0</v>
      </c>
      <c r="AC11" s="53" t="n">
        <f aca="false">IF(S11=1,IF(ISNUMBER(I11),I11-G11,0),0)</f>
        <v>38</v>
      </c>
    </row>
    <row r="12" customFormat="false" ht="15" hidden="false" customHeight="false" outlineLevel="0" collapsed="false">
      <c r="B12" s="54" t="s">
        <v>120</v>
      </c>
      <c r="C12" s="55" t="s">
        <v>121</v>
      </c>
      <c r="D12" s="55" t="s">
        <v>122</v>
      </c>
      <c r="E12" s="55" t="s">
        <v>123</v>
      </c>
      <c r="F12" s="56" t="n">
        <v>46160</v>
      </c>
      <c r="G12" s="57" t="n">
        <v>60</v>
      </c>
      <c r="H12" s="55" t="s">
        <v>99</v>
      </c>
      <c r="I12" s="57" t="n">
        <v>150</v>
      </c>
      <c r="J12" s="54" t="s">
        <v>93</v>
      </c>
      <c r="K12" s="56"/>
      <c r="L12" s="57"/>
      <c r="M12" s="54" t="s">
        <v>124</v>
      </c>
      <c r="N12" s="58" t="n">
        <f aca="false">IF(S12=1,IF(U12&lt;0,"",U12),IF(Y12=1,X12,""))</f>
        <v>135</v>
      </c>
      <c r="O12" s="59" t="n">
        <f aca="false">IF(S12=1,IF(ISNUMBER(I12),I12-G12,""),"")</f>
        <v>90</v>
      </c>
      <c r="P12" s="59" t="str">
        <f aca="false">IF(T12=1,IF(ISNUMBER(L12),L12-G12,""),"")</f>
        <v/>
      </c>
      <c r="Q12" s="60" t="str">
        <f aca="false">IF(C12="","",IF(T12=1,"✔ SOLD / VENDIDO",IF(S12=0,"— CLOSED / CERRADO",IF(U12&lt;0,"⚠ ADD DATE / AGREGA FECHA",IF(U12&gt;=Settings!$C$8,"⚠ STALE – REPRICE / ESTANCADO",IF(U12&gt;=Settings!$C$7,"● WATCH / VIGILAR","✔ FRESH / RECIENTE"))))))</f>
        <v>⚠ STALE – REPRICE / ESTANCADO</v>
      </c>
      <c r="S12" s="53" t="n">
        <f aca="false">IF(C12="",0,IF(OR(J12="",J12="In Stock / En Inventario",J12="Listed / Publicado"),1,0))</f>
        <v>1</v>
      </c>
      <c r="T12" s="53" t="n">
        <f aca="false">IF(C12="",0,IF(J12="Sold / Vendido",1,0))</f>
        <v>0</v>
      </c>
      <c r="U12" s="53" t="n">
        <f aca="true">IF(S12=1,IF(ISNUMBER(F12),TODAY()-F12,-1),-1)</f>
        <v>135</v>
      </c>
      <c r="V12" s="53" t="n">
        <f aca="false">IF(U12&lt;0,IF(S12=1,5,0),IF(U12&lt;=30,1,IF(U12&lt;=60,2,IF(U12&lt;=90,3,4))))</f>
        <v>4</v>
      </c>
      <c r="W12" s="53" t="n">
        <f aca="false">IF(U12&lt;0,-1000000000000000,U12+ROW()/1000000)</f>
        <v>135.000012</v>
      </c>
      <c r="X12" s="53" t="n">
        <f aca="false">IF(T12=1,IF(AND(ISNUMBER(F12),ISNUMBER(K12)),K12-F12,0),0)</f>
        <v>0</v>
      </c>
      <c r="Y12" s="53" t="n">
        <f aca="false">IF(T12=1,IF(AND(ISNUMBER(F12),ISNUMBER(K12)),1,0),0)</f>
        <v>0</v>
      </c>
      <c r="Z12" s="53" t="n">
        <f aca="false">IF(U12&gt;=Settings!$C$8,1,0)</f>
        <v>1</v>
      </c>
      <c r="AA12" s="53" t="n">
        <f aca="false">IF(S12=1,IF(J12="Listed / Publicado",0,1),0)</f>
        <v>0</v>
      </c>
      <c r="AB12" s="53" t="n">
        <f aca="false">IF(T12=1,IF(ISNUMBER(L12),L12-G12,0),0)</f>
        <v>0</v>
      </c>
      <c r="AC12" s="53" t="n">
        <f aca="false">IF(S12=1,IF(ISNUMBER(I12),I12-G12,0),0)</f>
        <v>90</v>
      </c>
    </row>
    <row r="13" customFormat="false" ht="15" hidden="false" customHeight="false" outlineLevel="0" collapsed="false">
      <c r="B13" s="54" t="s">
        <v>125</v>
      </c>
      <c r="C13" s="55" t="s">
        <v>126</v>
      </c>
      <c r="D13" s="55" t="s">
        <v>127</v>
      </c>
      <c r="E13" s="55" t="s">
        <v>128</v>
      </c>
      <c r="F13" s="56" t="n">
        <v>46174</v>
      </c>
      <c r="G13" s="57" t="n">
        <v>12</v>
      </c>
      <c r="H13" s="55" t="s">
        <v>99</v>
      </c>
      <c r="I13" s="57" t="n">
        <v>60</v>
      </c>
      <c r="J13" s="54" t="s">
        <v>129</v>
      </c>
      <c r="K13" s="56"/>
      <c r="L13" s="57"/>
      <c r="M13" s="54" t="s">
        <v>130</v>
      </c>
      <c r="N13" s="58" t="n">
        <f aca="false">IF(S13=1,IF(U13&lt;0,"",U13),IF(Y13=1,X13,""))</f>
        <v>121</v>
      </c>
      <c r="O13" s="59" t="n">
        <f aca="false">IF(S13=1,IF(ISNUMBER(I13),I13-G13,""),"")</f>
        <v>48</v>
      </c>
      <c r="P13" s="59" t="str">
        <f aca="false">IF(T13=1,IF(ISNUMBER(L13),L13-G13,""),"")</f>
        <v/>
      </c>
      <c r="Q13" s="60" t="str">
        <f aca="false">IF(C13="","",IF(T13=1,"✔ SOLD / VENDIDO",IF(S13=0,"— CLOSED / CERRADO",IF(U13&lt;0,"⚠ ADD DATE / AGREGA FECHA",IF(U13&gt;=Settings!$C$8,"⚠ STALE – REPRICE / ESTANCADO",IF(U13&gt;=Settings!$C$7,"● WATCH / VIGILAR","✔ FRESH / RECIENTE"))))))</f>
        <v>⚠ STALE – REPRICE / ESTANCADO</v>
      </c>
      <c r="S13" s="53" t="n">
        <f aca="false">IF(C13="",0,IF(OR(J13="",J13="In Stock / En Inventario",J13="Listed / Publicado"),1,0))</f>
        <v>1</v>
      </c>
      <c r="T13" s="53" t="n">
        <f aca="false">IF(C13="",0,IF(J13="Sold / Vendido",1,0))</f>
        <v>0</v>
      </c>
      <c r="U13" s="53" t="n">
        <f aca="true">IF(S13=1,IF(ISNUMBER(F13),TODAY()-F13,-1),-1)</f>
        <v>121</v>
      </c>
      <c r="V13" s="53" t="n">
        <f aca="false">IF(U13&lt;0,IF(S13=1,5,0),IF(U13&lt;=30,1,IF(U13&lt;=60,2,IF(U13&lt;=90,3,4))))</f>
        <v>4</v>
      </c>
      <c r="W13" s="53" t="n">
        <f aca="false">IF(U13&lt;0,-1000000000000000,U13+ROW()/1000000)</f>
        <v>121.000013</v>
      </c>
      <c r="X13" s="53" t="n">
        <f aca="false">IF(T13=1,IF(AND(ISNUMBER(F13),ISNUMBER(K13)),K13-F13,0),0)</f>
        <v>0</v>
      </c>
      <c r="Y13" s="53" t="n">
        <f aca="false">IF(T13=1,IF(AND(ISNUMBER(F13),ISNUMBER(K13)),1,0),0)</f>
        <v>0</v>
      </c>
      <c r="Z13" s="53" t="n">
        <f aca="false">IF(U13&gt;=Settings!$C$8,1,0)</f>
        <v>1</v>
      </c>
      <c r="AA13" s="53" t="n">
        <f aca="false">IF(S13=1,IF(J13="Listed / Publicado",0,1),0)</f>
        <v>1</v>
      </c>
      <c r="AB13" s="53" t="n">
        <f aca="false">IF(T13=1,IF(ISNUMBER(L13),L13-G13,0),0)</f>
        <v>0</v>
      </c>
      <c r="AC13" s="53" t="n">
        <f aca="false">IF(S13=1,IF(ISNUMBER(I13),I13-G13,0),0)</f>
        <v>48</v>
      </c>
    </row>
    <row r="14" customFormat="false" ht="15" hidden="false" customHeight="false" outlineLevel="0" collapsed="false">
      <c r="B14" s="54" t="s">
        <v>131</v>
      </c>
      <c r="C14" s="55" t="s">
        <v>132</v>
      </c>
      <c r="D14" s="55" t="s">
        <v>133</v>
      </c>
      <c r="E14" s="55" t="s">
        <v>105</v>
      </c>
      <c r="F14" s="56" t="n">
        <v>46187</v>
      </c>
      <c r="G14" s="57" t="n">
        <v>7</v>
      </c>
      <c r="H14" s="55" t="s">
        <v>134</v>
      </c>
      <c r="I14" s="57" t="n">
        <v>55</v>
      </c>
      <c r="J14" s="54" t="s">
        <v>93</v>
      </c>
      <c r="K14" s="56"/>
      <c r="L14" s="57"/>
      <c r="M14" s="54" t="s">
        <v>112</v>
      </c>
      <c r="N14" s="58" t="n">
        <f aca="false">IF(S14=1,IF(U14&lt;0,"",U14),IF(Y14=1,X14,""))</f>
        <v>108</v>
      </c>
      <c r="O14" s="59" t="n">
        <f aca="false">IF(S14=1,IF(ISNUMBER(I14),I14-G14,""),"")</f>
        <v>48</v>
      </c>
      <c r="P14" s="59" t="str">
        <f aca="false">IF(T14=1,IF(ISNUMBER(L14),L14-G14,""),"")</f>
        <v/>
      </c>
      <c r="Q14" s="60" t="str">
        <f aca="false">IF(C14="","",IF(T14=1,"✔ SOLD / VENDIDO",IF(S14=0,"— CLOSED / CERRADO",IF(U14&lt;0,"⚠ ADD DATE / AGREGA FECHA",IF(U14&gt;=Settings!$C$8,"⚠ STALE – REPRICE / ESTANCADO",IF(U14&gt;=Settings!$C$7,"● WATCH / VIGILAR","✔ FRESH / RECIENTE"))))))</f>
        <v>⚠ STALE – REPRICE / ESTANCADO</v>
      </c>
      <c r="S14" s="53" t="n">
        <f aca="false">IF(C14="",0,IF(OR(J14="",J14="In Stock / En Inventario",J14="Listed / Publicado"),1,0))</f>
        <v>1</v>
      </c>
      <c r="T14" s="53" t="n">
        <f aca="false">IF(C14="",0,IF(J14="Sold / Vendido",1,0))</f>
        <v>0</v>
      </c>
      <c r="U14" s="53" t="n">
        <f aca="true">IF(S14=1,IF(ISNUMBER(F14),TODAY()-F14,-1),-1)</f>
        <v>108</v>
      </c>
      <c r="V14" s="53" t="n">
        <f aca="false">IF(U14&lt;0,IF(S14=1,5,0),IF(U14&lt;=30,1,IF(U14&lt;=60,2,IF(U14&lt;=90,3,4))))</f>
        <v>4</v>
      </c>
      <c r="W14" s="53" t="n">
        <f aca="false">IF(U14&lt;0,-1000000000000000,U14+ROW()/1000000)</f>
        <v>108.000014</v>
      </c>
      <c r="X14" s="53" t="n">
        <f aca="false">IF(T14=1,IF(AND(ISNUMBER(F14),ISNUMBER(K14)),K14-F14,0),0)</f>
        <v>0</v>
      </c>
      <c r="Y14" s="53" t="n">
        <f aca="false">IF(T14=1,IF(AND(ISNUMBER(F14),ISNUMBER(K14)),1,0),0)</f>
        <v>0</v>
      </c>
      <c r="Z14" s="53" t="n">
        <f aca="false">IF(U14&gt;=Settings!$C$8,1,0)</f>
        <v>1</v>
      </c>
      <c r="AA14" s="53" t="n">
        <f aca="false">IF(S14=1,IF(J14="Listed / Publicado",0,1),0)</f>
        <v>0</v>
      </c>
      <c r="AB14" s="53" t="n">
        <f aca="false">IF(T14=1,IF(ISNUMBER(L14),L14-G14,0),0)</f>
        <v>0</v>
      </c>
      <c r="AC14" s="53" t="n">
        <f aca="false">IF(S14=1,IF(ISNUMBER(I14),I14-G14,0),0)</f>
        <v>48</v>
      </c>
    </row>
    <row r="15" customFormat="false" ht="15" hidden="false" customHeight="false" outlineLevel="0" collapsed="false">
      <c r="B15" s="54" t="s">
        <v>135</v>
      </c>
      <c r="C15" s="55" t="s">
        <v>136</v>
      </c>
      <c r="D15" s="55" t="s">
        <v>90</v>
      </c>
      <c r="E15" s="55" t="s">
        <v>137</v>
      </c>
      <c r="F15" s="56" t="n">
        <v>46201</v>
      </c>
      <c r="G15" s="57" t="n">
        <v>12</v>
      </c>
      <c r="H15" s="55" t="s">
        <v>99</v>
      </c>
      <c r="I15" s="57" t="n">
        <v>64</v>
      </c>
      <c r="J15" s="54" t="s">
        <v>100</v>
      </c>
      <c r="K15" s="56" t="n">
        <v>46212</v>
      </c>
      <c r="L15" s="57" t="n">
        <v>64</v>
      </c>
      <c r="M15" s="54" t="s">
        <v>138</v>
      </c>
      <c r="N15" s="58" t="n">
        <f aca="false">IF(S15=1,IF(U15&lt;0,"",U15),IF(Y15=1,X15,""))</f>
        <v>11</v>
      </c>
      <c r="O15" s="59" t="str">
        <f aca="false">IF(S15=1,IF(ISNUMBER(I15),I15-G15,""),"")</f>
        <v/>
      </c>
      <c r="P15" s="59" t="n">
        <f aca="false">IF(T15=1,IF(ISNUMBER(L15),L15-G15,""),"")</f>
        <v>52</v>
      </c>
      <c r="Q15" s="60" t="str">
        <f aca="false">IF(C15="","",IF(T15=1,"✔ SOLD / VENDIDO",IF(S15=0,"— CLOSED / CERRADO",IF(U15&lt;0,"⚠ ADD DATE / AGREGA FECHA",IF(U15&gt;=Settings!$C$8,"⚠ STALE – REPRICE / ESTANCADO",IF(U15&gt;=Settings!$C$7,"● WATCH / VIGILAR","✔ FRESH / RECIENTE"))))))</f>
        <v>✔ SOLD / VENDIDO</v>
      </c>
      <c r="S15" s="53" t="n">
        <f aca="false">IF(C15="",0,IF(OR(J15="",J15="In Stock / En Inventario",J15="Listed / Publicado"),1,0))</f>
        <v>0</v>
      </c>
      <c r="T15" s="53" t="n">
        <f aca="false">IF(C15="",0,IF(J15="Sold / Vendido",1,0))</f>
        <v>1</v>
      </c>
      <c r="U15" s="53" t="n">
        <f aca="true">IF(S15=1,IF(ISNUMBER(F15),TODAY()-F15,-1),-1)</f>
        <v>-1</v>
      </c>
      <c r="V15" s="53" t="n">
        <f aca="false">IF(U15&lt;0,IF(S15=1,5,0),IF(U15&lt;=30,1,IF(U15&lt;=60,2,IF(U15&lt;=90,3,4))))</f>
        <v>0</v>
      </c>
      <c r="W15" s="53" t="n">
        <f aca="false">IF(U15&lt;0,-1000000000000000,U15+ROW()/1000000)</f>
        <v>-1000000000000000</v>
      </c>
      <c r="X15" s="53" t="n">
        <f aca="false">IF(T15=1,IF(AND(ISNUMBER(F15),ISNUMBER(K15)),K15-F15,0),0)</f>
        <v>11</v>
      </c>
      <c r="Y15" s="53" t="n">
        <f aca="false">IF(T15=1,IF(AND(ISNUMBER(F15),ISNUMBER(K15)),1,0),0)</f>
        <v>1</v>
      </c>
      <c r="Z15" s="53" t="n">
        <f aca="false">IF(U15&gt;=Settings!$C$8,1,0)</f>
        <v>0</v>
      </c>
      <c r="AA15" s="53" t="n">
        <f aca="false">IF(S15=1,IF(J15="Listed / Publicado",0,1),0)</f>
        <v>0</v>
      </c>
      <c r="AB15" s="53" t="n">
        <f aca="false">IF(T15=1,IF(ISNUMBER(L15),L15-G15,0),0)</f>
        <v>52</v>
      </c>
      <c r="AC15" s="53" t="n">
        <f aca="false">IF(S15=1,IF(ISNUMBER(I15),I15-G15,0),0)</f>
        <v>0</v>
      </c>
    </row>
    <row r="16" customFormat="false" ht="15" hidden="false" customHeight="false" outlineLevel="0" collapsed="false">
      <c r="B16" s="54" t="s">
        <v>139</v>
      </c>
      <c r="C16" s="55" t="s">
        <v>140</v>
      </c>
      <c r="D16" s="55" t="s">
        <v>141</v>
      </c>
      <c r="E16" s="55" t="s">
        <v>98</v>
      </c>
      <c r="F16" s="56" t="n">
        <v>46208</v>
      </c>
      <c r="G16" s="57" t="n">
        <v>8</v>
      </c>
      <c r="H16" s="55" t="s">
        <v>99</v>
      </c>
      <c r="I16" s="57" t="n">
        <v>45</v>
      </c>
      <c r="J16" s="54" t="s">
        <v>93</v>
      </c>
      <c r="K16" s="56"/>
      <c r="L16" s="57"/>
      <c r="M16" s="54" t="s">
        <v>142</v>
      </c>
      <c r="N16" s="58" t="n">
        <f aca="false">IF(S16=1,IF(U16&lt;0,"",U16),IF(Y16=1,X16,""))</f>
        <v>87</v>
      </c>
      <c r="O16" s="59" t="n">
        <f aca="false">IF(S16=1,IF(ISNUMBER(I16),I16-G16,""),"")</f>
        <v>37</v>
      </c>
      <c r="P16" s="59" t="str">
        <f aca="false">IF(T16=1,IF(ISNUMBER(L16),L16-G16,""),"")</f>
        <v/>
      </c>
      <c r="Q16" s="60" t="str">
        <f aca="false">IF(C16="","",IF(T16=1,"✔ SOLD / VENDIDO",IF(S16=0,"— CLOSED / CERRADO",IF(U16&lt;0,"⚠ ADD DATE / AGREGA FECHA",IF(U16&gt;=Settings!$C$8,"⚠ STALE – REPRICE / ESTANCADO",IF(U16&gt;=Settings!$C$7,"● WATCH / VIGILAR","✔ FRESH / RECIENTE"))))))</f>
        <v>● WATCH / VIGILAR</v>
      </c>
      <c r="S16" s="53" t="n">
        <f aca="false">IF(C16="",0,IF(OR(J16="",J16="In Stock / En Inventario",J16="Listed / Publicado"),1,0))</f>
        <v>1</v>
      </c>
      <c r="T16" s="53" t="n">
        <f aca="false">IF(C16="",0,IF(J16="Sold / Vendido",1,0))</f>
        <v>0</v>
      </c>
      <c r="U16" s="53" t="n">
        <f aca="true">IF(S16=1,IF(ISNUMBER(F16),TODAY()-F16,-1),-1)</f>
        <v>87</v>
      </c>
      <c r="V16" s="53" t="n">
        <f aca="false">IF(U16&lt;0,IF(S16=1,5,0),IF(U16&lt;=30,1,IF(U16&lt;=60,2,IF(U16&lt;=90,3,4))))</f>
        <v>3</v>
      </c>
      <c r="W16" s="53" t="n">
        <f aca="false">IF(U16&lt;0,-1000000000000000,U16+ROW()/1000000)</f>
        <v>87.000016</v>
      </c>
      <c r="X16" s="53" t="n">
        <f aca="false">IF(T16=1,IF(AND(ISNUMBER(F16),ISNUMBER(K16)),K16-F16,0),0)</f>
        <v>0</v>
      </c>
      <c r="Y16" s="53" t="n">
        <f aca="false">IF(T16=1,IF(AND(ISNUMBER(F16),ISNUMBER(K16)),1,0),0)</f>
        <v>0</v>
      </c>
      <c r="Z16" s="53" t="n">
        <f aca="false">IF(U16&gt;=Settings!$C$8,1,0)</f>
        <v>0</v>
      </c>
      <c r="AA16" s="53" t="n">
        <f aca="false">IF(S16=1,IF(J16="Listed / Publicado",0,1),0)</f>
        <v>0</v>
      </c>
      <c r="AB16" s="53" t="n">
        <f aca="false">IF(T16=1,IF(ISNUMBER(L16),L16-G16,0),0)</f>
        <v>0</v>
      </c>
      <c r="AC16" s="53" t="n">
        <f aca="false">IF(S16=1,IF(ISNUMBER(I16),I16-G16,0),0)</f>
        <v>37</v>
      </c>
    </row>
    <row r="17" customFormat="false" ht="15" hidden="false" customHeight="false" outlineLevel="0" collapsed="false">
      <c r="B17" s="54" t="s">
        <v>143</v>
      </c>
      <c r="C17" s="55" t="s">
        <v>144</v>
      </c>
      <c r="D17" s="55" t="s">
        <v>109</v>
      </c>
      <c r="E17" s="55" t="s">
        <v>110</v>
      </c>
      <c r="F17" s="56" t="n">
        <v>46215</v>
      </c>
      <c r="G17" s="57" t="n">
        <v>10</v>
      </c>
      <c r="H17" s="55" t="s">
        <v>111</v>
      </c>
      <c r="I17" s="57" t="n">
        <v>40</v>
      </c>
      <c r="J17" s="54" t="s">
        <v>93</v>
      </c>
      <c r="K17" s="56"/>
      <c r="L17" s="57"/>
      <c r="M17" s="54" t="s">
        <v>112</v>
      </c>
      <c r="N17" s="58" t="n">
        <f aca="false">IF(S17=1,IF(U17&lt;0,"",U17),IF(Y17=1,X17,""))</f>
        <v>80</v>
      </c>
      <c r="O17" s="59" t="n">
        <f aca="false">IF(S17=1,IF(ISNUMBER(I17),I17-G17,""),"")</f>
        <v>30</v>
      </c>
      <c r="P17" s="59" t="str">
        <f aca="false">IF(T17=1,IF(ISNUMBER(L17),L17-G17,""),"")</f>
        <v/>
      </c>
      <c r="Q17" s="60" t="str">
        <f aca="false">IF(C17="","",IF(T17=1,"✔ SOLD / VENDIDO",IF(S17=0,"— CLOSED / CERRADO",IF(U17&lt;0,"⚠ ADD DATE / AGREGA FECHA",IF(U17&gt;=Settings!$C$8,"⚠ STALE – REPRICE / ESTANCADO",IF(U17&gt;=Settings!$C$7,"● WATCH / VIGILAR","✔ FRESH / RECIENTE"))))))</f>
        <v>● WATCH / VIGILAR</v>
      </c>
      <c r="S17" s="53" t="n">
        <f aca="false">IF(C17="",0,IF(OR(J17="",J17="In Stock / En Inventario",J17="Listed / Publicado"),1,0))</f>
        <v>1</v>
      </c>
      <c r="T17" s="53" t="n">
        <f aca="false">IF(C17="",0,IF(J17="Sold / Vendido",1,0))</f>
        <v>0</v>
      </c>
      <c r="U17" s="53" t="n">
        <f aca="true">IF(S17=1,IF(ISNUMBER(F17),TODAY()-F17,-1),-1)</f>
        <v>80</v>
      </c>
      <c r="V17" s="53" t="n">
        <f aca="false">IF(U17&lt;0,IF(S17=1,5,0),IF(U17&lt;=30,1,IF(U17&lt;=60,2,IF(U17&lt;=90,3,4))))</f>
        <v>3</v>
      </c>
      <c r="W17" s="53" t="n">
        <f aca="false">IF(U17&lt;0,-1000000000000000,U17+ROW()/1000000)</f>
        <v>80.000017</v>
      </c>
      <c r="X17" s="53" t="n">
        <f aca="false">IF(T17=1,IF(AND(ISNUMBER(F17),ISNUMBER(K17)),K17-F17,0),0)</f>
        <v>0</v>
      </c>
      <c r="Y17" s="53" t="n">
        <f aca="false">IF(T17=1,IF(AND(ISNUMBER(F17),ISNUMBER(K17)),1,0),0)</f>
        <v>0</v>
      </c>
      <c r="Z17" s="53" t="n">
        <f aca="false">IF(U17&gt;=Settings!$C$8,1,0)</f>
        <v>0</v>
      </c>
      <c r="AA17" s="53" t="n">
        <f aca="false">IF(S17=1,IF(J17="Listed / Publicado",0,1),0)</f>
        <v>0</v>
      </c>
      <c r="AB17" s="53" t="n">
        <f aca="false">IF(T17=1,IF(ISNUMBER(L17),L17-G17,0),0)</f>
        <v>0</v>
      </c>
      <c r="AC17" s="53" t="n">
        <f aca="false">IF(S17=1,IF(ISNUMBER(I17),I17-G17,0),0)</f>
        <v>30</v>
      </c>
    </row>
    <row r="18" customFormat="false" ht="15" hidden="false" customHeight="false" outlineLevel="0" collapsed="false">
      <c r="B18" s="54" t="s">
        <v>145</v>
      </c>
      <c r="C18" s="55" t="s">
        <v>146</v>
      </c>
      <c r="D18" s="55" t="s">
        <v>122</v>
      </c>
      <c r="E18" s="55" t="s">
        <v>116</v>
      </c>
      <c r="F18" s="56" t="n">
        <v>46223</v>
      </c>
      <c r="G18" s="57" t="n">
        <v>14</v>
      </c>
      <c r="H18" s="55" t="s">
        <v>147</v>
      </c>
      <c r="I18" s="57" t="n">
        <v>22</v>
      </c>
      <c r="J18" s="54" t="s">
        <v>148</v>
      </c>
      <c r="K18" s="56"/>
      <c r="L18" s="57"/>
      <c r="M18" s="54" t="s">
        <v>149</v>
      </c>
      <c r="N18" s="58" t="str">
        <f aca="false">IF(S18=1,IF(U18&lt;0,"",U18),IF(Y18=1,X18,""))</f>
        <v/>
      </c>
      <c r="O18" s="59" t="str">
        <f aca="false">IF(S18=1,IF(ISNUMBER(I18),I18-G18,""),"")</f>
        <v/>
      </c>
      <c r="P18" s="59" t="str">
        <f aca="false">IF(T18=1,IF(ISNUMBER(L18),L18-G18,""),"")</f>
        <v/>
      </c>
      <c r="Q18" s="60" t="str">
        <f aca="false">IF(C18="","",IF(T18=1,"✔ SOLD / VENDIDO",IF(S18=0,"— CLOSED / CERRADO",IF(U18&lt;0,"⚠ ADD DATE / AGREGA FECHA",IF(U18&gt;=Settings!$C$8,"⚠ STALE – REPRICE / ESTANCADO",IF(U18&gt;=Settings!$C$7,"● WATCH / VIGILAR","✔ FRESH / RECIENTE"))))))</f>
        <v>— CLOSED / CERRADO</v>
      </c>
      <c r="S18" s="53" t="n">
        <f aca="false">IF(C18="",0,IF(OR(J18="",J18="In Stock / En Inventario",J18="Listed / Publicado"),1,0))</f>
        <v>0</v>
      </c>
      <c r="T18" s="53" t="n">
        <f aca="false">IF(C18="",0,IF(J18="Sold / Vendido",1,0))</f>
        <v>0</v>
      </c>
      <c r="U18" s="53" t="n">
        <f aca="true">IF(S18=1,IF(ISNUMBER(F18),TODAY()-F18,-1),-1)</f>
        <v>-1</v>
      </c>
      <c r="V18" s="53" t="n">
        <f aca="false">IF(U18&lt;0,IF(S18=1,5,0),IF(U18&lt;=30,1,IF(U18&lt;=60,2,IF(U18&lt;=90,3,4))))</f>
        <v>0</v>
      </c>
      <c r="W18" s="53" t="n">
        <f aca="false">IF(U18&lt;0,-1000000000000000,U18+ROW()/1000000)</f>
        <v>-1000000000000000</v>
      </c>
      <c r="X18" s="53" t="n">
        <f aca="false">IF(T18=1,IF(AND(ISNUMBER(F18),ISNUMBER(K18)),K18-F18,0),0)</f>
        <v>0</v>
      </c>
      <c r="Y18" s="53" t="n">
        <f aca="false">IF(T18=1,IF(AND(ISNUMBER(F18),ISNUMBER(K18)),1,0),0)</f>
        <v>0</v>
      </c>
      <c r="Z18" s="53" t="n">
        <f aca="false">IF(U18&gt;=Settings!$C$8,1,0)</f>
        <v>0</v>
      </c>
      <c r="AA18" s="53" t="n">
        <f aca="false">IF(S18=1,IF(J18="Listed / Publicado",0,1),0)</f>
        <v>0</v>
      </c>
      <c r="AB18" s="53" t="n">
        <f aca="false">IF(T18=1,IF(ISNUMBER(L18),L18-G18,0),0)</f>
        <v>0</v>
      </c>
      <c r="AC18" s="53" t="n">
        <f aca="false">IF(S18=1,IF(ISNUMBER(I18),I18-G18,0),0)</f>
        <v>0</v>
      </c>
    </row>
    <row r="19" customFormat="false" ht="15" hidden="false" customHeight="false" outlineLevel="0" collapsed="false">
      <c r="B19" s="54" t="s">
        <v>150</v>
      </c>
      <c r="C19" s="55" t="s">
        <v>151</v>
      </c>
      <c r="D19" s="55" t="s">
        <v>97</v>
      </c>
      <c r="E19" s="55" t="s">
        <v>91</v>
      </c>
      <c r="F19" s="56" t="n">
        <v>46229</v>
      </c>
      <c r="G19" s="57" t="n">
        <v>18</v>
      </c>
      <c r="H19" s="55" t="s">
        <v>92</v>
      </c>
      <c r="I19" s="57" t="n">
        <v>85</v>
      </c>
      <c r="J19" s="54" t="s">
        <v>93</v>
      </c>
      <c r="K19" s="56"/>
      <c r="L19" s="57"/>
      <c r="M19" s="54" t="s">
        <v>101</v>
      </c>
      <c r="N19" s="58" t="n">
        <f aca="false">IF(S19=1,IF(U19&lt;0,"",U19),IF(Y19=1,X19,""))</f>
        <v>66</v>
      </c>
      <c r="O19" s="59" t="n">
        <f aca="false">IF(S19=1,IF(ISNUMBER(I19),I19-G19,""),"")</f>
        <v>67</v>
      </c>
      <c r="P19" s="59" t="str">
        <f aca="false">IF(T19=1,IF(ISNUMBER(L19),L19-G19,""),"")</f>
        <v/>
      </c>
      <c r="Q19" s="60" t="str">
        <f aca="false">IF(C19="","",IF(T19=1,"✔ SOLD / VENDIDO",IF(S19=0,"— CLOSED / CERRADO",IF(U19&lt;0,"⚠ ADD DATE / AGREGA FECHA",IF(U19&gt;=Settings!$C$8,"⚠ STALE – REPRICE / ESTANCADO",IF(U19&gt;=Settings!$C$7,"● WATCH / VIGILAR","✔ FRESH / RECIENTE"))))))</f>
        <v>● WATCH / VIGILAR</v>
      </c>
      <c r="S19" s="53" t="n">
        <f aca="false">IF(C19="",0,IF(OR(J19="",J19="In Stock / En Inventario",J19="Listed / Publicado"),1,0))</f>
        <v>1</v>
      </c>
      <c r="T19" s="53" t="n">
        <f aca="false">IF(C19="",0,IF(J19="Sold / Vendido",1,0))</f>
        <v>0</v>
      </c>
      <c r="U19" s="53" t="n">
        <f aca="true">IF(S19=1,IF(ISNUMBER(F19),TODAY()-F19,-1),-1)</f>
        <v>66</v>
      </c>
      <c r="V19" s="53" t="n">
        <f aca="false">IF(U19&lt;0,IF(S19=1,5,0),IF(U19&lt;=30,1,IF(U19&lt;=60,2,IF(U19&lt;=90,3,4))))</f>
        <v>3</v>
      </c>
      <c r="W19" s="53" t="n">
        <f aca="false">IF(U19&lt;0,-1000000000000000,U19+ROW()/1000000)</f>
        <v>66.000019</v>
      </c>
      <c r="X19" s="53" t="n">
        <f aca="false">IF(T19=1,IF(AND(ISNUMBER(F19),ISNUMBER(K19)),K19-F19,0),0)</f>
        <v>0</v>
      </c>
      <c r="Y19" s="53" t="n">
        <f aca="false">IF(T19=1,IF(AND(ISNUMBER(F19),ISNUMBER(K19)),1,0),0)</f>
        <v>0</v>
      </c>
      <c r="Z19" s="53" t="n">
        <f aca="false">IF(U19&gt;=Settings!$C$8,1,0)</f>
        <v>0</v>
      </c>
      <c r="AA19" s="53" t="n">
        <f aca="false">IF(S19=1,IF(J19="Listed / Publicado",0,1),0)</f>
        <v>0</v>
      </c>
      <c r="AB19" s="53" t="n">
        <f aca="false">IF(T19=1,IF(ISNUMBER(L19),L19-G19,0),0)</f>
        <v>0</v>
      </c>
      <c r="AC19" s="53" t="n">
        <f aca="false">IF(S19=1,IF(ISNUMBER(I19),I19-G19,0),0)</f>
        <v>67</v>
      </c>
    </row>
    <row r="20" customFormat="false" ht="15" hidden="false" customHeight="false" outlineLevel="0" collapsed="false">
      <c r="B20" s="54" t="s">
        <v>152</v>
      </c>
      <c r="C20" s="55" t="s">
        <v>153</v>
      </c>
      <c r="D20" s="55" t="s">
        <v>115</v>
      </c>
      <c r="E20" s="55" t="s">
        <v>123</v>
      </c>
      <c r="F20" s="56" t="n">
        <v>46237</v>
      </c>
      <c r="G20" s="57" t="n">
        <v>60</v>
      </c>
      <c r="H20" s="55" t="s">
        <v>111</v>
      </c>
      <c r="I20" s="57" t="n">
        <v>110</v>
      </c>
      <c r="J20" s="54" t="s">
        <v>100</v>
      </c>
      <c r="K20" s="56" t="n">
        <v>46244</v>
      </c>
      <c r="L20" s="57" t="n">
        <v>110</v>
      </c>
      <c r="M20" s="54" t="s">
        <v>117</v>
      </c>
      <c r="N20" s="58" t="n">
        <f aca="false">IF(S20=1,IF(U20&lt;0,"",U20),IF(Y20=1,X20,""))</f>
        <v>7</v>
      </c>
      <c r="O20" s="59" t="str">
        <f aca="false">IF(S20=1,IF(ISNUMBER(I20),I20-G20,""),"")</f>
        <v/>
      </c>
      <c r="P20" s="59" t="n">
        <f aca="false">IF(T20=1,IF(ISNUMBER(L20),L20-G20,""),"")</f>
        <v>50</v>
      </c>
      <c r="Q20" s="60" t="str">
        <f aca="false">IF(C20="","",IF(T20=1,"✔ SOLD / VENDIDO",IF(S20=0,"— CLOSED / CERRADO",IF(U20&lt;0,"⚠ ADD DATE / AGREGA FECHA",IF(U20&gt;=Settings!$C$8,"⚠ STALE – REPRICE / ESTANCADO",IF(U20&gt;=Settings!$C$7,"● WATCH / VIGILAR","✔ FRESH / RECIENTE"))))))</f>
        <v>✔ SOLD / VENDIDO</v>
      </c>
      <c r="S20" s="53" t="n">
        <f aca="false">IF(C20="",0,IF(OR(J20="",J20="In Stock / En Inventario",J20="Listed / Publicado"),1,0))</f>
        <v>0</v>
      </c>
      <c r="T20" s="53" t="n">
        <f aca="false">IF(C20="",0,IF(J20="Sold / Vendido",1,0))</f>
        <v>1</v>
      </c>
      <c r="U20" s="53" t="n">
        <f aca="true">IF(S20=1,IF(ISNUMBER(F20),TODAY()-F20,-1),-1)</f>
        <v>-1</v>
      </c>
      <c r="V20" s="53" t="n">
        <f aca="false">IF(U20&lt;0,IF(S20=1,5,0),IF(U20&lt;=30,1,IF(U20&lt;=60,2,IF(U20&lt;=90,3,4))))</f>
        <v>0</v>
      </c>
      <c r="W20" s="53" t="n">
        <f aca="false">IF(U20&lt;0,-1000000000000000,U20+ROW()/1000000)</f>
        <v>-1000000000000000</v>
      </c>
      <c r="X20" s="53" t="n">
        <f aca="false">IF(T20=1,IF(AND(ISNUMBER(F20),ISNUMBER(K20)),K20-F20,0),0)</f>
        <v>7</v>
      </c>
      <c r="Y20" s="53" t="n">
        <f aca="false">IF(T20=1,IF(AND(ISNUMBER(F20),ISNUMBER(K20)),1,0),0)</f>
        <v>1</v>
      </c>
      <c r="Z20" s="53" t="n">
        <f aca="false">IF(U20&gt;=Settings!$C$8,1,0)</f>
        <v>0</v>
      </c>
      <c r="AA20" s="53" t="n">
        <f aca="false">IF(S20=1,IF(J20="Listed / Publicado",0,1),0)</f>
        <v>0</v>
      </c>
      <c r="AB20" s="53" t="n">
        <f aca="false">IF(T20=1,IF(ISNUMBER(L20),L20-G20,0),0)</f>
        <v>50</v>
      </c>
      <c r="AC20" s="53" t="n">
        <f aca="false">IF(S20=1,IF(ISNUMBER(I20),I20-G20,0),0)</f>
        <v>0</v>
      </c>
    </row>
    <row r="21" customFormat="false" ht="15" hidden="false" customHeight="false" outlineLevel="0" collapsed="false">
      <c r="B21" s="54" t="s">
        <v>154</v>
      </c>
      <c r="C21" s="55" t="s">
        <v>155</v>
      </c>
      <c r="D21" s="55" t="s">
        <v>90</v>
      </c>
      <c r="E21" s="55" t="s">
        <v>110</v>
      </c>
      <c r="F21" s="56" t="n">
        <v>46245</v>
      </c>
      <c r="G21" s="57" t="n">
        <v>7</v>
      </c>
      <c r="H21" s="55" t="s">
        <v>92</v>
      </c>
      <c r="I21" s="57" t="n">
        <v>36</v>
      </c>
      <c r="J21" s="54" t="s">
        <v>93</v>
      </c>
      <c r="K21" s="56"/>
      <c r="L21" s="57"/>
      <c r="M21" s="54" t="s">
        <v>138</v>
      </c>
      <c r="N21" s="58" t="n">
        <f aca="false">IF(S21=1,IF(U21&lt;0,"",U21),IF(Y21=1,X21,""))</f>
        <v>50</v>
      </c>
      <c r="O21" s="59" t="n">
        <f aca="false">IF(S21=1,IF(ISNUMBER(I21),I21-G21,""),"")</f>
        <v>29</v>
      </c>
      <c r="P21" s="59" t="str">
        <f aca="false">IF(T21=1,IF(ISNUMBER(L21),L21-G21,""),"")</f>
        <v/>
      </c>
      <c r="Q21" s="60" t="str">
        <f aca="false">IF(C21="","",IF(T21=1,"✔ SOLD / VENDIDO",IF(S21=0,"— CLOSED / CERRADO",IF(U21&lt;0,"⚠ ADD DATE / AGREGA FECHA",IF(U21&gt;=Settings!$C$8,"⚠ STALE – REPRICE / ESTANCADO",IF(U21&gt;=Settings!$C$7,"● WATCH / VIGILAR","✔ FRESH / RECIENTE"))))))</f>
        <v>✔ FRESH / RECIENTE</v>
      </c>
      <c r="S21" s="53" t="n">
        <f aca="false">IF(C21="",0,IF(OR(J21="",J21="In Stock / En Inventario",J21="Listed / Publicado"),1,0))</f>
        <v>1</v>
      </c>
      <c r="T21" s="53" t="n">
        <f aca="false">IF(C21="",0,IF(J21="Sold / Vendido",1,0))</f>
        <v>0</v>
      </c>
      <c r="U21" s="53" t="n">
        <f aca="true">IF(S21=1,IF(ISNUMBER(F21),TODAY()-F21,-1),-1)</f>
        <v>50</v>
      </c>
      <c r="V21" s="53" t="n">
        <f aca="false">IF(U21&lt;0,IF(S21=1,5,0),IF(U21&lt;=30,1,IF(U21&lt;=60,2,IF(U21&lt;=90,3,4))))</f>
        <v>2</v>
      </c>
      <c r="W21" s="53" t="n">
        <f aca="false">IF(U21&lt;0,-1000000000000000,U21+ROW()/1000000)</f>
        <v>50.000021</v>
      </c>
      <c r="X21" s="53" t="n">
        <f aca="false">IF(T21=1,IF(AND(ISNUMBER(F21),ISNUMBER(K21)),K21-F21,0),0)</f>
        <v>0</v>
      </c>
      <c r="Y21" s="53" t="n">
        <f aca="false">IF(T21=1,IF(AND(ISNUMBER(F21),ISNUMBER(K21)),1,0),0)</f>
        <v>0</v>
      </c>
      <c r="Z21" s="53" t="n">
        <f aca="false">IF(U21&gt;=Settings!$C$8,1,0)</f>
        <v>0</v>
      </c>
      <c r="AA21" s="53" t="n">
        <f aca="false">IF(S21=1,IF(J21="Listed / Publicado",0,1),0)</f>
        <v>0</v>
      </c>
      <c r="AB21" s="53" t="n">
        <f aca="false">IF(T21=1,IF(ISNUMBER(L21),L21-G21,0),0)</f>
        <v>0</v>
      </c>
      <c r="AC21" s="53" t="n">
        <f aca="false">IF(S21=1,IF(ISNUMBER(I21),I21-G21,0),0)</f>
        <v>29</v>
      </c>
    </row>
    <row r="22" customFormat="false" ht="15" hidden="false" customHeight="false" outlineLevel="0" collapsed="false">
      <c r="B22" s="54" t="s">
        <v>156</v>
      </c>
      <c r="C22" s="55" t="s">
        <v>157</v>
      </c>
      <c r="D22" s="55" t="s">
        <v>133</v>
      </c>
      <c r="E22" s="55" t="s">
        <v>105</v>
      </c>
      <c r="F22" s="56" t="n">
        <v>46253</v>
      </c>
      <c r="G22" s="57" t="n">
        <v>4</v>
      </c>
      <c r="H22" s="55" t="s">
        <v>134</v>
      </c>
      <c r="I22" s="57" t="n">
        <v>55</v>
      </c>
      <c r="J22" s="54" t="s">
        <v>100</v>
      </c>
      <c r="K22" s="56" t="n">
        <v>46266</v>
      </c>
      <c r="L22" s="57" t="n">
        <v>55</v>
      </c>
      <c r="M22" s="54" t="s">
        <v>158</v>
      </c>
      <c r="N22" s="58" t="n">
        <f aca="false">IF(S22=1,IF(U22&lt;0,"",U22),IF(Y22=1,X22,""))</f>
        <v>13</v>
      </c>
      <c r="O22" s="59" t="str">
        <f aca="false">IF(S22=1,IF(ISNUMBER(I22),I22-G22,""),"")</f>
        <v/>
      </c>
      <c r="P22" s="59" t="n">
        <f aca="false">IF(T22=1,IF(ISNUMBER(L22),L22-G22,""),"")</f>
        <v>51</v>
      </c>
      <c r="Q22" s="60" t="str">
        <f aca="false">IF(C22="","",IF(T22=1,"✔ SOLD / VENDIDO",IF(S22=0,"— CLOSED / CERRADO",IF(U22&lt;0,"⚠ ADD DATE / AGREGA FECHA",IF(U22&gt;=Settings!$C$8,"⚠ STALE – REPRICE / ESTANCADO",IF(U22&gt;=Settings!$C$7,"● WATCH / VIGILAR","✔ FRESH / RECIENTE"))))))</f>
        <v>✔ SOLD / VENDIDO</v>
      </c>
      <c r="S22" s="53" t="n">
        <f aca="false">IF(C22="",0,IF(OR(J22="",J22="In Stock / En Inventario",J22="Listed / Publicado"),1,0))</f>
        <v>0</v>
      </c>
      <c r="T22" s="53" t="n">
        <f aca="false">IF(C22="",0,IF(J22="Sold / Vendido",1,0))</f>
        <v>1</v>
      </c>
      <c r="U22" s="53" t="n">
        <f aca="true">IF(S22=1,IF(ISNUMBER(F22),TODAY()-F22,-1),-1)</f>
        <v>-1</v>
      </c>
      <c r="V22" s="53" t="n">
        <f aca="false">IF(U22&lt;0,IF(S22=1,5,0),IF(U22&lt;=30,1,IF(U22&lt;=60,2,IF(U22&lt;=90,3,4))))</f>
        <v>0</v>
      </c>
      <c r="W22" s="53" t="n">
        <f aca="false">IF(U22&lt;0,-1000000000000000,U22+ROW()/1000000)</f>
        <v>-1000000000000000</v>
      </c>
      <c r="X22" s="53" t="n">
        <f aca="false">IF(T22=1,IF(AND(ISNUMBER(F22),ISNUMBER(K22)),K22-F22,0),0)</f>
        <v>13</v>
      </c>
      <c r="Y22" s="53" t="n">
        <f aca="false">IF(T22=1,IF(AND(ISNUMBER(F22),ISNUMBER(K22)),1,0),0)</f>
        <v>1</v>
      </c>
      <c r="Z22" s="53" t="n">
        <f aca="false">IF(U22&gt;=Settings!$C$8,1,0)</f>
        <v>0</v>
      </c>
      <c r="AA22" s="53" t="n">
        <f aca="false">IF(S22=1,IF(J22="Listed / Publicado",0,1),0)</f>
        <v>0</v>
      </c>
      <c r="AB22" s="53" t="n">
        <f aca="false">IF(T22=1,IF(ISNUMBER(L22),L22-G22,0),0)</f>
        <v>51</v>
      </c>
      <c r="AC22" s="53" t="n">
        <f aca="false">IF(S22=1,IF(ISNUMBER(I22),I22-G22,0),0)</f>
        <v>0</v>
      </c>
    </row>
    <row r="23" customFormat="false" ht="15" hidden="false" customHeight="false" outlineLevel="0" collapsed="false">
      <c r="B23" s="54" t="s">
        <v>159</v>
      </c>
      <c r="C23" s="55" t="s">
        <v>160</v>
      </c>
      <c r="D23" s="55" t="s">
        <v>141</v>
      </c>
      <c r="E23" s="55" t="s">
        <v>98</v>
      </c>
      <c r="F23" s="56" t="n">
        <v>46264</v>
      </c>
      <c r="G23" s="57" t="n">
        <v>15</v>
      </c>
      <c r="H23" s="55" t="s">
        <v>99</v>
      </c>
      <c r="I23" s="57" t="n">
        <v>70</v>
      </c>
      <c r="J23" s="54" t="s">
        <v>93</v>
      </c>
      <c r="K23" s="56"/>
      <c r="L23" s="57"/>
      <c r="M23" s="54" t="s">
        <v>142</v>
      </c>
      <c r="N23" s="58" t="n">
        <f aca="false">IF(S23=1,IF(U23&lt;0,"",U23),IF(Y23=1,X23,""))</f>
        <v>31</v>
      </c>
      <c r="O23" s="59" t="n">
        <f aca="false">IF(S23=1,IF(ISNUMBER(I23),I23-G23,""),"")</f>
        <v>55</v>
      </c>
      <c r="P23" s="59" t="str">
        <f aca="false">IF(T23=1,IF(ISNUMBER(L23),L23-G23,""),"")</f>
        <v/>
      </c>
      <c r="Q23" s="60" t="str">
        <f aca="false">IF(C23="","",IF(T23=1,"✔ SOLD / VENDIDO",IF(S23=0,"— CLOSED / CERRADO",IF(U23&lt;0,"⚠ ADD DATE / AGREGA FECHA",IF(U23&gt;=Settings!$C$8,"⚠ STALE – REPRICE / ESTANCADO",IF(U23&gt;=Settings!$C$7,"● WATCH / VIGILAR","✔ FRESH / RECIENTE"))))))</f>
        <v>✔ FRESH / RECIENTE</v>
      </c>
      <c r="S23" s="53" t="n">
        <f aca="false">IF(C23="",0,IF(OR(J23="",J23="In Stock / En Inventario",J23="Listed / Publicado"),1,0))</f>
        <v>1</v>
      </c>
      <c r="T23" s="53" t="n">
        <f aca="false">IF(C23="",0,IF(J23="Sold / Vendido",1,0))</f>
        <v>0</v>
      </c>
      <c r="U23" s="53" t="n">
        <f aca="true">IF(S23=1,IF(ISNUMBER(F23),TODAY()-F23,-1),-1)</f>
        <v>31</v>
      </c>
      <c r="V23" s="53" t="n">
        <f aca="false">IF(U23&lt;0,IF(S23=1,5,0),IF(U23&lt;=30,1,IF(U23&lt;=60,2,IF(U23&lt;=90,3,4))))</f>
        <v>2</v>
      </c>
      <c r="W23" s="53" t="n">
        <f aca="false">IF(U23&lt;0,-1000000000000000,U23+ROW()/1000000)</f>
        <v>31.000023</v>
      </c>
      <c r="X23" s="53" t="n">
        <f aca="false">IF(T23=1,IF(AND(ISNUMBER(F23),ISNUMBER(K23)),K23-F23,0),0)</f>
        <v>0</v>
      </c>
      <c r="Y23" s="53" t="n">
        <f aca="false">IF(T23=1,IF(AND(ISNUMBER(F23),ISNUMBER(K23)),1,0),0)</f>
        <v>0</v>
      </c>
      <c r="Z23" s="53" t="n">
        <f aca="false">IF(U23&gt;=Settings!$C$8,1,0)</f>
        <v>0</v>
      </c>
      <c r="AA23" s="53" t="n">
        <f aca="false">IF(S23=1,IF(J23="Listed / Publicado",0,1),0)</f>
        <v>0</v>
      </c>
      <c r="AB23" s="53" t="n">
        <f aca="false">IF(T23=1,IF(ISNUMBER(L23),L23-G23,0),0)</f>
        <v>0</v>
      </c>
      <c r="AC23" s="53" t="n">
        <f aca="false">IF(S23=1,IF(ISNUMBER(I23),I23-G23,0),0)</f>
        <v>55</v>
      </c>
    </row>
    <row r="24" customFormat="false" ht="15" hidden="false" customHeight="false" outlineLevel="0" collapsed="false">
      <c r="B24" s="54" t="s">
        <v>161</v>
      </c>
      <c r="C24" s="55" t="s">
        <v>162</v>
      </c>
      <c r="D24" s="55" t="s">
        <v>90</v>
      </c>
      <c r="E24" s="55" t="s">
        <v>163</v>
      </c>
      <c r="F24" s="56" t="n">
        <v>46271</v>
      </c>
      <c r="G24" s="57" t="n">
        <v>18</v>
      </c>
      <c r="H24" s="55" t="s">
        <v>99</v>
      </c>
      <c r="I24" s="57" t="n">
        <v>135</v>
      </c>
      <c r="J24" s="54" t="s">
        <v>93</v>
      </c>
      <c r="K24" s="56"/>
      <c r="L24" s="57"/>
      <c r="M24" s="54" t="s">
        <v>164</v>
      </c>
      <c r="N24" s="58" t="n">
        <f aca="false">IF(S24=1,IF(U24&lt;0,"",U24),IF(Y24=1,X24,""))</f>
        <v>24</v>
      </c>
      <c r="O24" s="59" t="n">
        <f aca="false">IF(S24=1,IF(ISNUMBER(I24),I24-G24,""),"")</f>
        <v>117</v>
      </c>
      <c r="P24" s="59" t="str">
        <f aca="false">IF(T24=1,IF(ISNUMBER(L24),L24-G24,""),"")</f>
        <v/>
      </c>
      <c r="Q24" s="60" t="str">
        <f aca="false">IF(C24="","",IF(T24=1,"✔ SOLD / VENDIDO",IF(S24=0,"— CLOSED / CERRADO",IF(U24&lt;0,"⚠ ADD DATE / AGREGA FECHA",IF(U24&gt;=Settings!$C$8,"⚠ STALE – REPRICE / ESTANCADO",IF(U24&gt;=Settings!$C$7,"● WATCH / VIGILAR","✔ FRESH / RECIENTE"))))))</f>
        <v>✔ FRESH / RECIENTE</v>
      </c>
      <c r="S24" s="53" t="n">
        <f aca="false">IF(C24="",0,IF(OR(J24="",J24="In Stock / En Inventario",J24="Listed / Publicado"),1,0))</f>
        <v>1</v>
      </c>
      <c r="T24" s="53" t="n">
        <f aca="false">IF(C24="",0,IF(J24="Sold / Vendido",1,0))</f>
        <v>0</v>
      </c>
      <c r="U24" s="53" t="n">
        <f aca="true">IF(S24=1,IF(ISNUMBER(F24),TODAY()-F24,-1),-1)</f>
        <v>24</v>
      </c>
      <c r="V24" s="53" t="n">
        <f aca="false">IF(U24&lt;0,IF(S24=1,5,0),IF(U24&lt;=30,1,IF(U24&lt;=60,2,IF(U24&lt;=90,3,4))))</f>
        <v>1</v>
      </c>
      <c r="W24" s="53" t="n">
        <f aca="false">IF(U24&lt;0,-1000000000000000,U24+ROW()/1000000)</f>
        <v>24.000024</v>
      </c>
      <c r="X24" s="53" t="n">
        <f aca="false">IF(T24=1,IF(AND(ISNUMBER(F24),ISNUMBER(K24)),K24-F24,0),0)</f>
        <v>0</v>
      </c>
      <c r="Y24" s="53" t="n">
        <f aca="false">IF(T24=1,IF(AND(ISNUMBER(F24),ISNUMBER(K24)),1,0),0)</f>
        <v>0</v>
      </c>
      <c r="Z24" s="53" t="n">
        <f aca="false">IF(U24&gt;=Settings!$C$8,1,0)</f>
        <v>0</v>
      </c>
      <c r="AA24" s="53" t="n">
        <f aca="false">IF(S24=1,IF(J24="Listed / Publicado",0,1),0)</f>
        <v>0</v>
      </c>
      <c r="AB24" s="53" t="n">
        <f aca="false">IF(T24=1,IF(ISNUMBER(L24),L24-G24,0),0)</f>
        <v>0</v>
      </c>
      <c r="AC24" s="53" t="n">
        <f aca="false">IF(S24=1,IF(ISNUMBER(I24),I24-G24,0),0)</f>
        <v>117</v>
      </c>
    </row>
    <row r="25" customFormat="false" ht="15" hidden="false" customHeight="false" outlineLevel="0" collapsed="false">
      <c r="B25" s="54" t="s">
        <v>165</v>
      </c>
      <c r="C25" s="55" t="s">
        <v>166</v>
      </c>
      <c r="D25" s="55" t="s">
        <v>109</v>
      </c>
      <c r="E25" s="55" t="s">
        <v>105</v>
      </c>
      <c r="F25" s="56" t="n">
        <v>46278</v>
      </c>
      <c r="G25" s="57" t="n">
        <v>60</v>
      </c>
      <c r="H25" s="55" t="s">
        <v>111</v>
      </c>
      <c r="I25" s="57" t="n">
        <v>180</v>
      </c>
      <c r="J25" s="54" t="s">
        <v>129</v>
      </c>
      <c r="K25" s="56"/>
      <c r="L25" s="57"/>
      <c r="M25" s="54" t="s">
        <v>112</v>
      </c>
      <c r="N25" s="58" t="n">
        <f aca="false">IF(S25=1,IF(U25&lt;0,"",U25),IF(Y25=1,X25,""))</f>
        <v>17</v>
      </c>
      <c r="O25" s="59" t="n">
        <f aca="false">IF(S25=1,IF(ISNUMBER(I25),I25-G25,""),"")</f>
        <v>120</v>
      </c>
      <c r="P25" s="59" t="str">
        <f aca="false">IF(T25=1,IF(ISNUMBER(L25),L25-G25,""),"")</f>
        <v/>
      </c>
      <c r="Q25" s="60" t="str">
        <f aca="false">IF(C25="","",IF(T25=1,"✔ SOLD / VENDIDO",IF(S25=0,"— CLOSED / CERRADO",IF(U25&lt;0,"⚠ ADD DATE / AGREGA FECHA",IF(U25&gt;=Settings!$C$8,"⚠ STALE – REPRICE / ESTANCADO",IF(U25&gt;=Settings!$C$7,"● WATCH / VIGILAR","✔ FRESH / RECIENTE"))))))</f>
        <v>✔ FRESH / RECIENTE</v>
      </c>
      <c r="S25" s="53" t="n">
        <f aca="false">IF(C25="",0,IF(OR(J25="",J25="In Stock / En Inventario",J25="Listed / Publicado"),1,0))</f>
        <v>1</v>
      </c>
      <c r="T25" s="53" t="n">
        <f aca="false">IF(C25="",0,IF(J25="Sold / Vendido",1,0))</f>
        <v>0</v>
      </c>
      <c r="U25" s="53" t="n">
        <f aca="true">IF(S25=1,IF(ISNUMBER(F25),TODAY()-F25,-1),-1)</f>
        <v>17</v>
      </c>
      <c r="V25" s="53" t="n">
        <f aca="false">IF(U25&lt;0,IF(S25=1,5,0),IF(U25&lt;=30,1,IF(U25&lt;=60,2,IF(U25&lt;=90,3,4))))</f>
        <v>1</v>
      </c>
      <c r="W25" s="53" t="n">
        <f aca="false">IF(U25&lt;0,-1000000000000000,U25+ROW()/1000000)</f>
        <v>17.000025</v>
      </c>
      <c r="X25" s="53" t="n">
        <f aca="false">IF(T25=1,IF(AND(ISNUMBER(F25),ISNUMBER(K25)),K25-F25,0),0)</f>
        <v>0</v>
      </c>
      <c r="Y25" s="53" t="n">
        <f aca="false">IF(T25=1,IF(AND(ISNUMBER(F25),ISNUMBER(K25)),1,0),0)</f>
        <v>0</v>
      </c>
      <c r="Z25" s="53" t="n">
        <f aca="false">IF(U25&gt;=Settings!$C$8,1,0)</f>
        <v>0</v>
      </c>
      <c r="AA25" s="53" t="n">
        <f aca="false">IF(S25=1,IF(J25="Listed / Publicado",0,1),0)</f>
        <v>1</v>
      </c>
      <c r="AB25" s="53" t="n">
        <f aca="false">IF(T25=1,IF(ISNUMBER(L25),L25-G25,0),0)</f>
        <v>0</v>
      </c>
      <c r="AC25" s="53" t="n">
        <f aca="false">IF(S25=1,IF(ISNUMBER(I25),I25-G25,0),0)</f>
        <v>120</v>
      </c>
    </row>
    <row r="26" customFormat="false" ht="15" hidden="false" customHeight="false" outlineLevel="0" collapsed="false">
      <c r="B26" s="54" t="s">
        <v>167</v>
      </c>
      <c r="C26" s="55" t="s">
        <v>168</v>
      </c>
      <c r="D26" s="55" t="s">
        <v>115</v>
      </c>
      <c r="E26" s="55" t="s">
        <v>91</v>
      </c>
      <c r="F26" s="56" t="n">
        <v>46285</v>
      </c>
      <c r="G26" s="57" t="n">
        <v>20</v>
      </c>
      <c r="H26" s="55"/>
      <c r="I26" s="57"/>
      <c r="J26" s="54" t="s">
        <v>129</v>
      </c>
      <c r="K26" s="56"/>
      <c r="L26" s="57"/>
      <c r="M26" s="54" t="s">
        <v>117</v>
      </c>
      <c r="N26" s="58" t="n">
        <f aca="false">IF(S26=1,IF(U26&lt;0,"",U26),IF(Y26=1,X26,""))</f>
        <v>10</v>
      </c>
      <c r="O26" s="59" t="str">
        <f aca="false">IF(S26=1,IF(ISNUMBER(I26),I26-G26,""),"")</f>
        <v/>
      </c>
      <c r="P26" s="59" t="str">
        <f aca="false">IF(T26=1,IF(ISNUMBER(L26),L26-G26,""),"")</f>
        <v/>
      </c>
      <c r="Q26" s="60" t="str">
        <f aca="false">IF(C26="","",IF(T26=1,"✔ SOLD / VENDIDO",IF(S26=0,"— CLOSED / CERRADO",IF(U26&lt;0,"⚠ ADD DATE / AGREGA FECHA",IF(U26&gt;=Settings!$C$8,"⚠ STALE – REPRICE / ESTANCADO",IF(U26&gt;=Settings!$C$7,"● WATCH / VIGILAR","✔ FRESH / RECIENTE"))))))</f>
        <v>✔ FRESH / RECIENTE</v>
      </c>
      <c r="S26" s="53" t="n">
        <f aca="false">IF(C26="",0,IF(OR(J26="",J26="In Stock / En Inventario",J26="Listed / Publicado"),1,0))</f>
        <v>1</v>
      </c>
      <c r="T26" s="53" t="n">
        <f aca="false">IF(C26="",0,IF(J26="Sold / Vendido",1,0))</f>
        <v>0</v>
      </c>
      <c r="U26" s="53" t="n">
        <f aca="true">IF(S26=1,IF(ISNUMBER(F26),TODAY()-F26,-1),-1)</f>
        <v>10</v>
      </c>
      <c r="V26" s="53" t="n">
        <f aca="false">IF(U26&lt;0,IF(S26=1,5,0),IF(U26&lt;=30,1,IF(U26&lt;=60,2,IF(U26&lt;=90,3,4))))</f>
        <v>1</v>
      </c>
      <c r="W26" s="53" t="n">
        <f aca="false">IF(U26&lt;0,-1000000000000000,U26+ROW()/1000000)</f>
        <v>10.000026</v>
      </c>
      <c r="X26" s="53" t="n">
        <f aca="false">IF(T26=1,IF(AND(ISNUMBER(F26),ISNUMBER(K26)),K26-F26,0),0)</f>
        <v>0</v>
      </c>
      <c r="Y26" s="53" t="n">
        <f aca="false">IF(T26=1,IF(AND(ISNUMBER(F26),ISNUMBER(K26)),1,0),0)</f>
        <v>0</v>
      </c>
      <c r="Z26" s="53" t="n">
        <f aca="false">IF(U26&gt;=Settings!$C$8,1,0)</f>
        <v>0</v>
      </c>
      <c r="AA26" s="53" t="n">
        <f aca="false">IF(S26=1,IF(J26="Listed / Publicado",0,1),0)</f>
        <v>1</v>
      </c>
      <c r="AB26" s="53" t="n">
        <f aca="false">IF(T26=1,IF(ISNUMBER(L26),L26-G26,0),0)</f>
        <v>0</v>
      </c>
      <c r="AC26" s="53" t="n">
        <f aca="false">IF(S26=1,IF(ISNUMBER(I26),I26-G26,0),0)</f>
        <v>0</v>
      </c>
    </row>
    <row r="27" customFormat="false" ht="15" hidden="false" customHeight="false" outlineLevel="0" collapsed="false">
      <c r="B27" s="54" t="s">
        <v>169</v>
      </c>
      <c r="C27" s="55" t="s">
        <v>170</v>
      </c>
      <c r="D27" s="55" t="s">
        <v>109</v>
      </c>
      <c r="E27" s="55" t="s">
        <v>110</v>
      </c>
      <c r="F27" s="56" t="n">
        <v>46292</v>
      </c>
      <c r="G27" s="57" t="n">
        <v>12</v>
      </c>
      <c r="H27" s="55" t="s">
        <v>134</v>
      </c>
      <c r="I27" s="57" t="n">
        <v>45</v>
      </c>
      <c r="J27" s="54" t="s">
        <v>129</v>
      </c>
      <c r="K27" s="56"/>
      <c r="L27" s="57"/>
      <c r="M27" s="54" t="s">
        <v>112</v>
      </c>
      <c r="N27" s="58" t="n">
        <f aca="false">IF(S27=1,IF(U27&lt;0,"",U27),IF(Y27=1,X27,""))</f>
        <v>3</v>
      </c>
      <c r="O27" s="59" t="n">
        <f aca="false">IF(S27=1,IF(ISNUMBER(I27),I27-G27,""),"")</f>
        <v>33</v>
      </c>
      <c r="P27" s="59" t="str">
        <f aca="false">IF(T27=1,IF(ISNUMBER(L27),L27-G27,""),"")</f>
        <v/>
      </c>
      <c r="Q27" s="60" t="str">
        <f aca="false">IF(C27="","",IF(T27=1,"✔ SOLD / VENDIDO",IF(S27=0,"— CLOSED / CERRADO",IF(U27&lt;0,"⚠ ADD DATE / AGREGA FECHA",IF(U27&gt;=Settings!$C$8,"⚠ STALE – REPRICE / ESTANCADO",IF(U27&gt;=Settings!$C$7,"● WATCH / VIGILAR","✔ FRESH / RECIENTE"))))))</f>
        <v>✔ FRESH / RECIENTE</v>
      </c>
      <c r="S27" s="53" t="n">
        <f aca="false">IF(C27="",0,IF(OR(J27="",J27="In Stock / En Inventario",J27="Listed / Publicado"),1,0))</f>
        <v>1</v>
      </c>
      <c r="T27" s="53" t="n">
        <f aca="false">IF(C27="",0,IF(J27="Sold / Vendido",1,0))</f>
        <v>0</v>
      </c>
      <c r="U27" s="53" t="n">
        <f aca="true">IF(S27=1,IF(ISNUMBER(F27),TODAY()-F27,-1),-1)</f>
        <v>3</v>
      </c>
      <c r="V27" s="53" t="n">
        <f aca="false">IF(U27&lt;0,IF(S27=1,5,0),IF(U27&lt;=30,1,IF(U27&lt;=60,2,IF(U27&lt;=90,3,4))))</f>
        <v>1</v>
      </c>
      <c r="W27" s="53" t="n">
        <f aca="false">IF(U27&lt;0,-1000000000000000,U27+ROW()/1000000)</f>
        <v>3.000027</v>
      </c>
      <c r="X27" s="53" t="n">
        <f aca="false">IF(T27=1,IF(AND(ISNUMBER(F27),ISNUMBER(K27)),K27-F27,0),0)</f>
        <v>0</v>
      </c>
      <c r="Y27" s="53" t="n">
        <f aca="false">IF(T27=1,IF(AND(ISNUMBER(F27),ISNUMBER(K27)),1,0),0)</f>
        <v>0</v>
      </c>
      <c r="Z27" s="53" t="n">
        <f aca="false">IF(U27&gt;=Settings!$C$8,1,0)</f>
        <v>0</v>
      </c>
      <c r="AA27" s="53" t="n">
        <f aca="false">IF(S27=1,IF(J27="Listed / Publicado",0,1),0)</f>
        <v>1</v>
      </c>
      <c r="AB27" s="53" t="n">
        <f aca="false">IF(T27=1,IF(ISNUMBER(L27),L27-G27,0),0)</f>
        <v>0</v>
      </c>
      <c r="AC27" s="53" t="n">
        <f aca="false">IF(S27=1,IF(ISNUMBER(I27),I27-G27,0),0)</f>
        <v>33</v>
      </c>
    </row>
    <row r="28" customFormat="false" ht="15" hidden="false" customHeight="false" outlineLevel="0" collapsed="false">
      <c r="B28" s="54"/>
      <c r="C28" s="55"/>
      <c r="D28" s="55"/>
      <c r="E28" s="55"/>
      <c r="F28" s="56"/>
      <c r="G28" s="57"/>
      <c r="H28" s="55"/>
      <c r="I28" s="57"/>
      <c r="J28" s="54"/>
      <c r="K28" s="56"/>
      <c r="L28" s="57"/>
      <c r="M28" s="54"/>
      <c r="N28" s="58" t="str">
        <f aca="false">IF(S28=1,IF(U28&lt;0,"",U28),IF(Y28=1,X28,""))</f>
        <v/>
      </c>
      <c r="O28" s="59" t="str">
        <f aca="false">IF(S28=1,IF(ISNUMBER(I28),I28-G28,""),"")</f>
        <v/>
      </c>
      <c r="P28" s="59" t="str">
        <f aca="false">IF(T28=1,IF(ISNUMBER(L28),L28-G28,""),"")</f>
        <v/>
      </c>
      <c r="Q28" s="60" t="str">
        <f aca="false">IF(C28="","",IF(T28=1,"✔ SOLD / VENDIDO",IF(S28=0,"— CLOSED / CERRADO",IF(U28&lt;0,"⚠ ADD DATE / AGREGA FECHA",IF(U28&gt;=Settings!$C$8,"⚠ STALE – REPRICE / ESTANCADO",IF(U28&gt;=Settings!$C$7,"● WATCH / VIGILAR","✔ FRESH / RECIENTE"))))))</f>
        <v/>
      </c>
      <c r="S28" s="53" t="n">
        <f aca="false">IF(C28="",0,IF(OR(J28="",J28="In Stock / En Inventario",J28="Listed / Publicado"),1,0))</f>
        <v>0</v>
      </c>
      <c r="T28" s="53" t="n">
        <f aca="false">IF(C28="",0,IF(J28="Sold / Vendido",1,0))</f>
        <v>0</v>
      </c>
      <c r="U28" s="53" t="n">
        <f aca="true">IF(S28=1,IF(ISNUMBER(F28),TODAY()-F28,-1),-1)</f>
        <v>-1</v>
      </c>
      <c r="V28" s="53" t="n">
        <f aca="false">IF(U28&lt;0,IF(S28=1,5,0),IF(U28&lt;=30,1,IF(U28&lt;=60,2,IF(U28&lt;=90,3,4))))</f>
        <v>0</v>
      </c>
      <c r="W28" s="53" t="n">
        <f aca="false">IF(U28&lt;0,-1000000000000000,U28+ROW()/1000000)</f>
        <v>-1000000000000000</v>
      </c>
      <c r="X28" s="53" t="n">
        <f aca="false">IF(T28=1,IF(AND(ISNUMBER(F28),ISNUMBER(K28)),K28-F28,0),0)</f>
        <v>0</v>
      </c>
      <c r="Y28" s="53" t="n">
        <f aca="false">IF(T28=1,IF(AND(ISNUMBER(F28),ISNUMBER(K28)),1,0),0)</f>
        <v>0</v>
      </c>
      <c r="Z28" s="53" t="n">
        <f aca="false">IF(U28&gt;=Settings!$C$8,1,0)</f>
        <v>0</v>
      </c>
      <c r="AA28" s="53" t="n">
        <f aca="false">IF(S28=1,IF(J28="Listed / Publicado",0,1),0)</f>
        <v>0</v>
      </c>
      <c r="AB28" s="53" t="n">
        <f aca="false">IF(T28=1,IF(ISNUMBER(L28),L28-G28,0),0)</f>
        <v>0</v>
      </c>
      <c r="AC28" s="53" t="n">
        <f aca="false">IF(S28=1,IF(ISNUMBER(I28),I28-G28,0),0)</f>
        <v>0</v>
      </c>
    </row>
    <row r="29" customFormat="false" ht="15" hidden="false" customHeight="false" outlineLevel="0" collapsed="false">
      <c r="B29" s="54"/>
      <c r="C29" s="55"/>
      <c r="D29" s="55"/>
      <c r="E29" s="55"/>
      <c r="F29" s="56"/>
      <c r="G29" s="57"/>
      <c r="H29" s="55"/>
      <c r="I29" s="57"/>
      <c r="J29" s="54"/>
      <c r="K29" s="56"/>
      <c r="L29" s="57"/>
      <c r="M29" s="54"/>
      <c r="N29" s="58" t="str">
        <f aca="false">IF(S29=1,IF(U29&lt;0,"",U29),IF(Y29=1,X29,""))</f>
        <v/>
      </c>
      <c r="O29" s="59" t="str">
        <f aca="false">IF(S29=1,IF(ISNUMBER(I29),I29-G29,""),"")</f>
        <v/>
      </c>
      <c r="P29" s="59" t="str">
        <f aca="false">IF(T29=1,IF(ISNUMBER(L29),L29-G29,""),"")</f>
        <v/>
      </c>
      <c r="Q29" s="60" t="str">
        <f aca="false">IF(C29="","",IF(T29=1,"✔ SOLD / VENDIDO",IF(S29=0,"— CLOSED / CERRADO",IF(U29&lt;0,"⚠ ADD DATE / AGREGA FECHA",IF(U29&gt;=Settings!$C$8,"⚠ STALE – REPRICE / ESTANCADO",IF(U29&gt;=Settings!$C$7,"● WATCH / VIGILAR","✔ FRESH / RECIENTE"))))))</f>
        <v/>
      </c>
      <c r="S29" s="53" t="n">
        <f aca="false">IF(C29="",0,IF(OR(J29="",J29="In Stock / En Inventario",J29="Listed / Publicado"),1,0))</f>
        <v>0</v>
      </c>
      <c r="T29" s="53" t="n">
        <f aca="false">IF(C29="",0,IF(J29="Sold / Vendido",1,0))</f>
        <v>0</v>
      </c>
      <c r="U29" s="53" t="n">
        <f aca="true">IF(S29=1,IF(ISNUMBER(F29),TODAY()-F29,-1),-1)</f>
        <v>-1</v>
      </c>
      <c r="V29" s="53" t="n">
        <f aca="false">IF(U29&lt;0,IF(S29=1,5,0),IF(U29&lt;=30,1,IF(U29&lt;=60,2,IF(U29&lt;=90,3,4))))</f>
        <v>0</v>
      </c>
      <c r="W29" s="53" t="n">
        <f aca="false">IF(U29&lt;0,-1000000000000000,U29+ROW()/1000000)</f>
        <v>-1000000000000000</v>
      </c>
      <c r="X29" s="53" t="n">
        <f aca="false">IF(T29=1,IF(AND(ISNUMBER(F29),ISNUMBER(K29)),K29-F29,0),0)</f>
        <v>0</v>
      </c>
      <c r="Y29" s="53" t="n">
        <f aca="false">IF(T29=1,IF(AND(ISNUMBER(F29),ISNUMBER(K29)),1,0),0)</f>
        <v>0</v>
      </c>
      <c r="Z29" s="53" t="n">
        <f aca="false">IF(U29&gt;=Settings!$C$8,1,0)</f>
        <v>0</v>
      </c>
      <c r="AA29" s="53" t="n">
        <f aca="false">IF(S29=1,IF(J29="Listed / Publicado",0,1),0)</f>
        <v>0</v>
      </c>
      <c r="AB29" s="53" t="n">
        <f aca="false">IF(T29=1,IF(ISNUMBER(L29),L29-G29,0),0)</f>
        <v>0</v>
      </c>
      <c r="AC29" s="53" t="n">
        <f aca="false">IF(S29=1,IF(ISNUMBER(I29),I29-G29,0),0)</f>
        <v>0</v>
      </c>
    </row>
    <row r="30" customFormat="false" ht="15" hidden="false" customHeight="false" outlineLevel="0" collapsed="false">
      <c r="B30" s="54"/>
      <c r="C30" s="55"/>
      <c r="D30" s="55"/>
      <c r="E30" s="55"/>
      <c r="F30" s="56"/>
      <c r="G30" s="57"/>
      <c r="H30" s="55"/>
      <c r="I30" s="57"/>
      <c r="J30" s="54"/>
      <c r="K30" s="56"/>
      <c r="L30" s="57"/>
      <c r="M30" s="54"/>
      <c r="N30" s="58" t="str">
        <f aca="false">IF(S30=1,IF(U30&lt;0,"",U30),IF(Y30=1,X30,""))</f>
        <v/>
      </c>
      <c r="O30" s="59" t="str">
        <f aca="false">IF(S30=1,IF(ISNUMBER(I30),I30-G30,""),"")</f>
        <v/>
      </c>
      <c r="P30" s="59" t="str">
        <f aca="false">IF(T30=1,IF(ISNUMBER(L30),L30-G30,""),"")</f>
        <v/>
      </c>
      <c r="Q30" s="60" t="str">
        <f aca="false">IF(C30="","",IF(T30=1,"✔ SOLD / VENDIDO",IF(S30=0,"— CLOSED / CERRADO",IF(U30&lt;0,"⚠ ADD DATE / AGREGA FECHA",IF(U30&gt;=Settings!$C$8,"⚠ STALE – REPRICE / ESTANCADO",IF(U30&gt;=Settings!$C$7,"● WATCH / VIGILAR","✔ FRESH / RECIENTE"))))))</f>
        <v/>
      </c>
      <c r="S30" s="53" t="n">
        <f aca="false">IF(C30="",0,IF(OR(J30="",J30="In Stock / En Inventario",J30="Listed / Publicado"),1,0))</f>
        <v>0</v>
      </c>
      <c r="T30" s="53" t="n">
        <f aca="false">IF(C30="",0,IF(J30="Sold / Vendido",1,0))</f>
        <v>0</v>
      </c>
      <c r="U30" s="53" t="n">
        <f aca="true">IF(S30=1,IF(ISNUMBER(F30),TODAY()-F30,-1),-1)</f>
        <v>-1</v>
      </c>
      <c r="V30" s="53" t="n">
        <f aca="false">IF(U30&lt;0,IF(S30=1,5,0),IF(U30&lt;=30,1,IF(U30&lt;=60,2,IF(U30&lt;=90,3,4))))</f>
        <v>0</v>
      </c>
      <c r="W30" s="53" t="n">
        <f aca="false">IF(U30&lt;0,-1000000000000000,U30+ROW()/1000000)</f>
        <v>-1000000000000000</v>
      </c>
      <c r="X30" s="53" t="n">
        <f aca="false">IF(T30=1,IF(AND(ISNUMBER(F30),ISNUMBER(K30)),K30-F30,0),0)</f>
        <v>0</v>
      </c>
      <c r="Y30" s="53" t="n">
        <f aca="false">IF(T30=1,IF(AND(ISNUMBER(F30),ISNUMBER(K30)),1,0),0)</f>
        <v>0</v>
      </c>
      <c r="Z30" s="53" t="n">
        <f aca="false">IF(U30&gt;=Settings!$C$8,1,0)</f>
        <v>0</v>
      </c>
      <c r="AA30" s="53" t="n">
        <f aca="false">IF(S30=1,IF(J30="Listed / Publicado",0,1),0)</f>
        <v>0</v>
      </c>
      <c r="AB30" s="53" t="n">
        <f aca="false">IF(T30=1,IF(ISNUMBER(L30),L30-G30,0),0)</f>
        <v>0</v>
      </c>
      <c r="AC30" s="53" t="n">
        <f aca="false">IF(S30=1,IF(ISNUMBER(I30),I30-G30,0),0)</f>
        <v>0</v>
      </c>
    </row>
    <row r="31" customFormat="false" ht="15" hidden="false" customHeight="false" outlineLevel="0" collapsed="false">
      <c r="B31" s="54"/>
      <c r="C31" s="55"/>
      <c r="D31" s="55"/>
      <c r="E31" s="55"/>
      <c r="F31" s="56"/>
      <c r="G31" s="57"/>
      <c r="H31" s="55"/>
      <c r="I31" s="57"/>
      <c r="J31" s="54"/>
      <c r="K31" s="56"/>
      <c r="L31" s="57"/>
      <c r="M31" s="54"/>
      <c r="N31" s="58" t="str">
        <f aca="false">IF(S31=1,IF(U31&lt;0,"",U31),IF(Y31=1,X31,""))</f>
        <v/>
      </c>
      <c r="O31" s="59" t="str">
        <f aca="false">IF(S31=1,IF(ISNUMBER(I31),I31-G31,""),"")</f>
        <v/>
      </c>
      <c r="P31" s="59" t="str">
        <f aca="false">IF(T31=1,IF(ISNUMBER(L31),L31-G31,""),"")</f>
        <v/>
      </c>
      <c r="Q31" s="60" t="str">
        <f aca="false">IF(C31="","",IF(T31=1,"✔ SOLD / VENDIDO",IF(S31=0,"— CLOSED / CERRADO",IF(U31&lt;0,"⚠ ADD DATE / AGREGA FECHA",IF(U31&gt;=Settings!$C$8,"⚠ STALE – REPRICE / ESTANCADO",IF(U31&gt;=Settings!$C$7,"● WATCH / VIGILAR","✔ FRESH / RECIENTE"))))))</f>
        <v/>
      </c>
      <c r="S31" s="53" t="n">
        <f aca="false">IF(C31="",0,IF(OR(J31="",J31="In Stock / En Inventario",J31="Listed / Publicado"),1,0))</f>
        <v>0</v>
      </c>
      <c r="T31" s="53" t="n">
        <f aca="false">IF(C31="",0,IF(J31="Sold / Vendido",1,0))</f>
        <v>0</v>
      </c>
      <c r="U31" s="53" t="n">
        <f aca="true">IF(S31=1,IF(ISNUMBER(F31),TODAY()-F31,-1),-1)</f>
        <v>-1</v>
      </c>
      <c r="V31" s="53" t="n">
        <f aca="false">IF(U31&lt;0,IF(S31=1,5,0),IF(U31&lt;=30,1,IF(U31&lt;=60,2,IF(U31&lt;=90,3,4))))</f>
        <v>0</v>
      </c>
      <c r="W31" s="53" t="n">
        <f aca="false">IF(U31&lt;0,-1000000000000000,U31+ROW()/1000000)</f>
        <v>-1000000000000000</v>
      </c>
      <c r="X31" s="53" t="n">
        <f aca="false">IF(T31=1,IF(AND(ISNUMBER(F31),ISNUMBER(K31)),K31-F31,0),0)</f>
        <v>0</v>
      </c>
      <c r="Y31" s="53" t="n">
        <f aca="false">IF(T31=1,IF(AND(ISNUMBER(F31),ISNUMBER(K31)),1,0),0)</f>
        <v>0</v>
      </c>
      <c r="Z31" s="53" t="n">
        <f aca="false">IF(U31&gt;=Settings!$C$8,1,0)</f>
        <v>0</v>
      </c>
      <c r="AA31" s="53" t="n">
        <f aca="false">IF(S31=1,IF(J31="Listed / Publicado",0,1),0)</f>
        <v>0</v>
      </c>
      <c r="AB31" s="53" t="n">
        <f aca="false">IF(T31=1,IF(ISNUMBER(L31),L31-G31,0),0)</f>
        <v>0</v>
      </c>
      <c r="AC31" s="53" t="n">
        <f aca="false">IF(S31=1,IF(ISNUMBER(I31),I31-G31,0),0)</f>
        <v>0</v>
      </c>
    </row>
    <row r="32" customFormat="false" ht="15" hidden="false" customHeight="false" outlineLevel="0" collapsed="false">
      <c r="B32" s="54"/>
      <c r="C32" s="55"/>
      <c r="D32" s="55"/>
      <c r="E32" s="55"/>
      <c r="F32" s="56"/>
      <c r="G32" s="57"/>
      <c r="H32" s="55"/>
      <c r="I32" s="57"/>
      <c r="J32" s="54"/>
      <c r="K32" s="56"/>
      <c r="L32" s="57"/>
      <c r="M32" s="54"/>
      <c r="N32" s="58" t="str">
        <f aca="false">IF(S32=1,IF(U32&lt;0,"",U32),IF(Y32=1,X32,""))</f>
        <v/>
      </c>
      <c r="O32" s="59" t="str">
        <f aca="false">IF(S32=1,IF(ISNUMBER(I32),I32-G32,""),"")</f>
        <v/>
      </c>
      <c r="P32" s="59" t="str">
        <f aca="false">IF(T32=1,IF(ISNUMBER(L32),L32-G32,""),"")</f>
        <v/>
      </c>
      <c r="Q32" s="60" t="str">
        <f aca="false">IF(C32="","",IF(T32=1,"✔ SOLD / VENDIDO",IF(S32=0,"— CLOSED / CERRADO",IF(U32&lt;0,"⚠ ADD DATE / AGREGA FECHA",IF(U32&gt;=Settings!$C$8,"⚠ STALE – REPRICE / ESTANCADO",IF(U32&gt;=Settings!$C$7,"● WATCH / VIGILAR","✔ FRESH / RECIENTE"))))))</f>
        <v/>
      </c>
      <c r="S32" s="53" t="n">
        <f aca="false">IF(C32="",0,IF(OR(J32="",J32="In Stock / En Inventario",J32="Listed / Publicado"),1,0))</f>
        <v>0</v>
      </c>
      <c r="T32" s="53" t="n">
        <f aca="false">IF(C32="",0,IF(J32="Sold / Vendido",1,0))</f>
        <v>0</v>
      </c>
      <c r="U32" s="53" t="n">
        <f aca="true">IF(S32=1,IF(ISNUMBER(F32),TODAY()-F32,-1),-1)</f>
        <v>-1</v>
      </c>
      <c r="V32" s="53" t="n">
        <f aca="false">IF(U32&lt;0,IF(S32=1,5,0),IF(U32&lt;=30,1,IF(U32&lt;=60,2,IF(U32&lt;=90,3,4))))</f>
        <v>0</v>
      </c>
      <c r="W32" s="53" t="n">
        <f aca="false">IF(U32&lt;0,-1000000000000000,U32+ROW()/1000000)</f>
        <v>-1000000000000000</v>
      </c>
      <c r="X32" s="53" t="n">
        <f aca="false">IF(T32=1,IF(AND(ISNUMBER(F32),ISNUMBER(K32)),K32-F32,0),0)</f>
        <v>0</v>
      </c>
      <c r="Y32" s="53" t="n">
        <f aca="false">IF(T32=1,IF(AND(ISNUMBER(F32),ISNUMBER(K32)),1,0),0)</f>
        <v>0</v>
      </c>
      <c r="Z32" s="53" t="n">
        <f aca="false">IF(U32&gt;=Settings!$C$8,1,0)</f>
        <v>0</v>
      </c>
      <c r="AA32" s="53" t="n">
        <f aca="false">IF(S32=1,IF(J32="Listed / Publicado",0,1),0)</f>
        <v>0</v>
      </c>
      <c r="AB32" s="53" t="n">
        <f aca="false">IF(T32=1,IF(ISNUMBER(L32),L32-G32,0),0)</f>
        <v>0</v>
      </c>
      <c r="AC32" s="53" t="n">
        <f aca="false">IF(S32=1,IF(ISNUMBER(I32),I32-G32,0),0)</f>
        <v>0</v>
      </c>
    </row>
    <row r="33" customFormat="false" ht="15" hidden="false" customHeight="false" outlineLevel="0" collapsed="false">
      <c r="B33" s="54"/>
      <c r="C33" s="55"/>
      <c r="D33" s="55"/>
      <c r="E33" s="55"/>
      <c r="F33" s="56"/>
      <c r="G33" s="57"/>
      <c r="H33" s="55"/>
      <c r="I33" s="57"/>
      <c r="J33" s="54"/>
      <c r="K33" s="56"/>
      <c r="L33" s="57"/>
      <c r="M33" s="54"/>
      <c r="N33" s="58" t="str">
        <f aca="false">IF(S33=1,IF(U33&lt;0,"",U33),IF(Y33=1,X33,""))</f>
        <v/>
      </c>
      <c r="O33" s="59" t="str">
        <f aca="false">IF(S33=1,IF(ISNUMBER(I33),I33-G33,""),"")</f>
        <v/>
      </c>
      <c r="P33" s="59" t="str">
        <f aca="false">IF(T33=1,IF(ISNUMBER(L33),L33-G33,""),"")</f>
        <v/>
      </c>
      <c r="Q33" s="60" t="str">
        <f aca="false">IF(C33="","",IF(T33=1,"✔ SOLD / VENDIDO",IF(S33=0,"— CLOSED / CERRADO",IF(U33&lt;0,"⚠ ADD DATE / AGREGA FECHA",IF(U33&gt;=Settings!$C$8,"⚠ STALE – REPRICE / ESTANCADO",IF(U33&gt;=Settings!$C$7,"● WATCH / VIGILAR","✔ FRESH / RECIENTE"))))))</f>
        <v/>
      </c>
      <c r="S33" s="53" t="n">
        <f aca="false">IF(C33="",0,IF(OR(J33="",J33="In Stock / En Inventario",J33="Listed / Publicado"),1,0))</f>
        <v>0</v>
      </c>
      <c r="T33" s="53" t="n">
        <f aca="false">IF(C33="",0,IF(J33="Sold / Vendido",1,0))</f>
        <v>0</v>
      </c>
      <c r="U33" s="53" t="n">
        <f aca="true">IF(S33=1,IF(ISNUMBER(F33),TODAY()-F33,-1),-1)</f>
        <v>-1</v>
      </c>
      <c r="V33" s="53" t="n">
        <f aca="false">IF(U33&lt;0,IF(S33=1,5,0),IF(U33&lt;=30,1,IF(U33&lt;=60,2,IF(U33&lt;=90,3,4))))</f>
        <v>0</v>
      </c>
      <c r="W33" s="53" t="n">
        <f aca="false">IF(U33&lt;0,-1000000000000000,U33+ROW()/1000000)</f>
        <v>-1000000000000000</v>
      </c>
      <c r="X33" s="53" t="n">
        <f aca="false">IF(T33=1,IF(AND(ISNUMBER(F33),ISNUMBER(K33)),K33-F33,0),0)</f>
        <v>0</v>
      </c>
      <c r="Y33" s="53" t="n">
        <f aca="false">IF(T33=1,IF(AND(ISNUMBER(F33),ISNUMBER(K33)),1,0),0)</f>
        <v>0</v>
      </c>
      <c r="Z33" s="53" t="n">
        <f aca="false">IF(U33&gt;=Settings!$C$8,1,0)</f>
        <v>0</v>
      </c>
      <c r="AA33" s="53" t="n">
        <f aca="false">IF(S33=1,IF(J33="Listed / Publicado",0,1),0)</f>
        <v>0</v>
      </c>
      <c r="AB33" s="53" t="n">
        <f aca="false">IF(T33=1,IF(ISNUMBER(L33),L33-G33,0),0)</f>
        <v>0</v>
      </c>
      <c r="AC33" s="53" t="n">
        <f aca="false">IF(S33=1,IF(ISNUMBER(I33),I33-G33,0),0)</f>
        <v>0</v>
      </c>
    </row>
    <row r="34" customFormat="false" ht="15" hidden="false" customHeight="false" outlineLevel="0" collapsed="false">
      <c r="B34" s="54"/>
      <c r="C34" s="55"/>
      <c r="D34" s="55"/>
      <c r="E34" s="55"/>
      <c r="F34" s="56"/>
      <c r="G34" s="57"/>
      <c r="H34" s="55"/>
      <c r="I34" s="57"/>
      <c r="J34" s="54"/>
      <c r="K34" s="56"/>
      <c r="L34" s="57"/>
      <c r="M34" s="54"/>
      <c r="N34" s="58" t="str">
        <f aca="false">IF(S34=1,IF(U34&lt;0,"",U34),IF(Y34=1,X34,""))</f>
        <v/>
      </c>
      <c r="O34" s="59" t="str">
        <f aca="false">IF(S34=1,IF(ISNUMBER(I34),I34-G34,""),"")</f>
        <v/>
      </c>
      <c r="P34" s="59" t="str">
        <f aca="false">IF(T34=1,IF(ISNUMBER(L34),L34-G34,""),"")</f>
        <v/>
      </c>
      <c r="Q34" s="60" t="str">
        <f aca="false">IF(C34="","",IF(T34=1,"✔ SOLD / VENDIDO",IF(S34=0,"— CLOSED / CERRADO",IF(U34&lt;0,"⚠ ADD DATE / AGREGA FECHA",IF(U34&gt;=Settings!$C$8,"⚠ STALE – REPRICE / ESTANCADO",IF(U34&gt;=Settings!$C$7,"● WATCH / VIGILAR","✔ FRESH / RECIENTE"))))))</f>
        <v/>
      </c>
      <c r="S34" s="53" t="n">
        <f aca="false">IF(C34="",0,IF(OR(J34="",J34="In Stock / En Inventario",J34="Listed / Publicado"),1,0))</f>
        <v>0</v>
      </c>
      <c r="T34" s="53" t="n">
        <f aca="false">IF(C34="",0,IF(J34="Sold / Vendido",1,0))</f>
        <v>0</v>
      </c>
      <c r="U34" s="53" t="n">
        <f aca="true">IF(S34=1,IF(ISNUMBER(F34),TODAY()-F34,-1),-1)</f>
        <v>-1</v>
      </c>
      <c r="V34" s="53" t="n">
        <f aca="false">IF(U34&lt;0,IF(S34=1,5,0),IF(U34&lt;=30,1,IF(U34&lt;=60,2,IF(U34&lt;=90,3,4))))</f>
        <v>0</v>
      </c>
      <c r="W34" s="53" t="n">
        <f aca="false">IF(U34&lt;0,-1000000000000000,U34+ROW()/1000000)</f>
        <v>-1000000000000000</v>
      </c>
      <c r="X34" s="53" t="n">
        <f aca="false">IF(T34=1,IF(AND(ISNUMBER(F34),ISNUMBER(K34)),K34-F34,0),0)</f>
        <v>0</v>
      </c>
      <c r="Y34" s="53" t="n">
        <f aca="false">IF(T34=1,IF(AND(ISNUMBER(F34),ISNUMBER(K34)),1,0),0)</f>
        <v>0</v>
      </c>
      <c r="Z34" s="53" t="n">
        <f aca="false">IF(U34&gt;=Settings!$C$8,1,0)</f>
        <v>0</v>
      </c>
      <c r="AA34" s="53" t="n">
        <f aca="false">IF(S34=1,IF(J34="Listed / Publicado",0,1),0)</f>
        <v>0</v>
      </c>
      <c r="AB34" s="53" t="n">
        <f aca="false">IF(T34=1,IF(ISNUMBER(L34),L34-G34,0),0)</f>
        <v>0</v>
      </c>
      <c r="AC34" s="53" t="n">
        <f aca="false">IF(S34=1,IF(ISNUMBER(I34),I34-G34,0),0)</f>
        <v>0</v>
      </c>
    </row>
    <row r="35" customFormat="false" ht="15" hidden="false" customHeight="false" outlineLevel="0" collapsed="false">
      <c r="B35" s="54"/>
      <c r="C35" s="55"/>
      <c r="D35" s="55"/>
      <c r="E35" s="55"/>
      <c r="F35" s="56"/>
      <c r="G35" s="57"/>
      <c r="H35" s="55"/>
      <c r="I35" s="57"/>
      <c r="J35" s="54"/>
      <c r="K35" s="56"/>
      <c r="L35" s="57"/>
      <c r="M35" s="54"/>
      <c r="N35" s="58" t="str">
        <f aca="false">IF(S35=1,IF(U35&lt;0,"",U35),IF(Y35=1,X35,""))</f>
        <v/>
      </c>
      <c r="O35" s="59" t="str">
        <f aca="false">IF(S35=1,IF(ISNUMBER(I35),I35-G35,""),"")</f>
        <v/>
      </c>
      <c r="P35" s="59" t="str">
        <f aca="false">IF(T35=1,IF(ISNUMBER(L35),L35-G35,""),"")</f>
        <v/>
      </c>
      <c r="Q35" s="60" t="str">
        <f aca="false">IF(C35="","",IF(T35=1,"✔ SOLD / VENDIDO",IF(S35=0,"— CLOSED / CERRADO",IF(U35&lt;0,"⚠ ADD DATE / AGREGA FECHA",IF(U35&gt;=Settings!$C$8,"⚠ STALE – REPRICE / ESTANCADO",IF(U35&gt;=Settings!$C$7,"● WATCH / VIGILAR","✔ FRESH / RECIENTE"))))))</f>
        <v/>
      </c>
      <c r="S35" s="53" t="n">
        <f aca="false">IF(C35="",0,IF(OR(J35="",J35="In Stock / En Inventario",J35="Listed / Publicado"),1,0))</f>
        <v>0</v>
      </c>
      <c r="T35" s="53" t="n">
        <f aca="false">IF(C35="",0,IF(J35="Sold / Vendido",1,0))</f>
        <v>0</v>
      </c>
      <c r="U35" s="53" t="n">
        <f aca="true">IF(S35=1,IF(ISNUMBER(F35),TODAY()-F35,-1),-1)</f>
        <v>-1</v>
      </c>
      <c r="V35" s="53" t="n">
        <f aca="false">IF(U35&lt;0,IF(S35=1,5,0),IF(U35&lt;=30,1,IF(U35&lt;=60,2,IF(U35&lt;=90,3,4))))</f>
        <v>0</v>
      </c>
      <c r="W35" s="53" t="n">
        <f aca="false">IF(U35&lt;0,-1000000000000000,U35+ROW()/1000000)</f>
        <v>-1000000000000000</v>
      </c>
      <c r="X35" s="53" t="n">
        <f aca="false">IF(T35=1,IF(AND(ISNUMBER(F35),ISNUMBER(K35)),K35-F35,0),0)</f>
        <v>0</v>
      </c>
      <c r="Y35" s="53" t="n">
        <f aca="false">IF(T35=1,IF(AND(ISNUMBER(F35),ISNUMBER(K35)),1,0),0)</f>
        <v>0</v>
      </c>
      <c r="Z35" s="53" t="n">
        <f aca="false">IF(U35&gt;=Settings!$C$8,1,0)</f>
        <v>0</v>
      </c>
      <c r="AA35" s="53" t="n">
        <f aca="false">IF(S35=1,IF(J35="Listed / Publicado",0,1),0)</f>
        <v>0</v>
      </c>
      <c r="AB35" s="53" t="n">
        <f aca="false">IF(T35=1,IF(ISNUMBER(L35),L35-G35,0),0)</f>
        <v>0</v>
      </c>
      <c r="AC35" s="53" t="n">
        <f aca="false">IF(S35=1,IF(ISNUMBER(I35),I35-G35,0),0)</f>
        <v>0</v>
      </c>
    </row>
    <row r="36" customFormat="false" ht="15" hidden="false" customHeight="false" outlineLevel="0" collapsed="false">
      <c r="B36" s="54"/>
      <c r="C36" s="55"/>
      <c r="D36" s="55"/>
      <c r="E36" s="55"/>
      <c r="F36" s="56"/>
      <c r="G36" s="57"/>
      <c r="H36" s="55"/>
      <c r="I36" s="57"/>
      <c r="J36" s="54"/>
      <c r="K36" s="56"/>
      <c r="L36" s="57"/>
      <c r="M36" s="54"/>
      <c r="N36" s="58" t="str">
        <f aca="false">IF(S36=1,IF(U36&lt;0,"",U36),IF(Y36=1,X36,""))</f>
        <v/>
      </c>
      <c r="O36" s="59" t="str">
        <f aca="false">IF(S36=1,IF(ISNUMBER(I36),I36-G36,""),"")</f>
        <v/>
      </c>
      <c r="P36" s="59" t="str">
        <f aca="false">IF(T36=1,IF(ISNUMBER(L36),L36-G36,""),"")</f>
        <v/>
      </c>
      <c r="Q36" s="60" t="str">
        <f aca="false">IF(C36="","",IF(T36=1,"✔ SOLD / VENDIDO",IF(S36=0,"— CLOSED / CERRADO",IF(U36&lt;0,"⚠ ADD DATE / AGREGA FECHA",IF(U36&gt;=Settings!$C$8,"⚠ STALE – REPRICE / ESTANCADO",IF(U36&gt;=Settings!$C$7,"● WATCH / VIGILAR","✔ FRESH / RECIENTE"))))))</f>
        <v/>
      </c>
      <c r="S36" s="53" t="n">
        <f aca="false">IF(C36="",0,IF(OR(J36="",J36="In Stock / En Inventario",J36="Listed / Publicado"),1,0))</f>
        <v>0</v>
      </c>
      <c r="T36" s="53" t="n">
        <f aca="false">IF(C36="",0,IF(J36="Sold / Vendido",1,0))</f>
        <v>0</v>
      </c>
      <c r="U36" s="53" t="n">
        <f aca="true">IF(S36=1,IF(ISNUMBER(F36),TODAY()-F36,-1),-1)</f>
        <v>-1</v>
      </c>
      <c r="V36" s="53" t="n">
        <f aca="false">IF(U36&lt;0,IF(S36=1,5,0),IF(U36&lt;=30,1,IF(U36&lt;=60,2,IF(U36&lt;=90,3,4))))</f>
        <v>0</v>
      </c>
      <c r="W36" s="53" t="n">
        <f aca="false">IF(U36&lt;0,-1000000000000000,U36+ROW()/1000000)</f>
        <v>-1000000000000000</v>
      </c>
      <c r="X36" s="53" t="n">
        <f aca="false">IF(T36=1,IF(AND(ISNUMBER(F36),ISNUMBER(K36)),K36-F36,0),0)</f>
        <v>0</v>
      </c>
      <c r="Y36" s="53" t="n">
        <f aca="false">IF(T36=1,IF(AND(ISNUMBER(F36),ISNUMBER(K36)),1,0),0)</f>
        <v>0</v>
      </c>
      <c r="Z36" s="53" t="n">
        <f aca="false">IF(U36&gt;=Settings!$C$8,1,0)</f>
        <v>0</v>
      </c>
      <c r="AA36" s="53" t="n">
        <f aca="false">IF(S36=1,IF(J36="Listed / Publicado",0,1),0)</f>
        <v>0</v>
      </c>
      <c r="AB36" s="53" t="n">
        <f aca="false">IF(T36=1,IF(ISNUMBER(L36),L36-G36,0),0)</f>
        <v>0</v>
      </c>
      <c r="AC36" s="53" t="n">
        <f aca="false">IF(S36=1,IF(ISNUMBER(I36),I36-G36,0),0)</f>
        <v>0</v>
      </c>
    </row>
    <row r="37" customFormat="false" ht="15" hidden="false" customHeight="false" outlineLevel="0" collapsed="false">
      <c r="B37" s="54"/>
      <c r="C37" s="55"/>
      <c r="D37" s="55"/>
      <c r="E37" s="55"/>
      <c r="F37" s="56"/>
      <c r="G37" s="57"/>
      <c r="H37" s="55"/>
      <c r="I37" s="57"/>
      <c r="J37" s="54"/>
      <c r="K37" s="56"/>
      <c r="L37" s="57"/>
      <c r="M37" s="54"/>
      <c r="N37" s="58" t="str">
        <f aca="false">IF(S37=1,IF(U37&lt;0,"",U37),IF(Y37=1,X37,""))</f>
        <v/>
      </c>
      <c r="O37" s="59" t="str">
        <f aca="false">IF(S37=1,IF(ISNUMBER(I37),I37-G37,""),"")</f>
        <v/>
      </c>
      <c r="P37" s="59" t="str">
        <f aca="false">IF(T37=1,IF(ISNUMBER(L37),L37-G37,""),"")</f>
        <v/>
      </c>
      <c r="Q37" s="60" t="str">
        <f aca="false">IF(C37="","",IF(T37=1,"✔ SOLD / VENDIDO",IF(S37=0,"— CLOSED / CERRADO",IF(U37&lt;0,"⚠ ADD DATE / AGREGA FECHA",IF(U37&gt;=Settings!$C$8,"⚠ STALE – REPRICE / ESTANCADO",IF(U37&gt;=Settings!$C$7,"● WATCH / VIGILAR","✔ FRESH / RECIENTE"))))))</f>
        <v/>
      </c>
      <c r="S37" s="53" t="n">
        <f aca="false">IF(C37="",0,IF(OR(J37="",J37="In Stock / En Inventario",J37="Listed / Publicado"),1,0))</f>
        <v>0</v>
      </c>
      <c r="T37" s="53" t="n">
        <f aca="false">IF(C37="",0,IF(J37="Sold / Vendido",1,0))</f>
        <v>0</v>
      </c>
      <c r="U37" s="53" t="n">
        <f aca="true">IF(S37=1,IF(ISNUMBER(F37),TODAY()-F37,-1),-1)</f>
        <v>-1</v>
      </c>
      <c r="V37" s="53" t="n">
        <f aca="false">IF(U37&lt;0,IF(S37=1,5,0),IF(U37&lt;=30,1,IF(U37&lt;=60,2,IF(U37&lt;=90,3,4))))</f>
        <v>0</v>
      </c>
      <c r="W37" s="53" t="n">
        <f aca="false">IF(U37&lt;0,-1000000000000000,U37+ROW()/1000000)</f>
        <v>-1000000000000000</v>
      </c>
      <c r="X37" s="53" t="n">
        <f aca="false">IF(T37=1,IF(AND(ISNUMBER(F37),ISNUMBER(K37)),K37-F37,0),0)</f>
        <v>0</v>
      </c>
      <c r="Y37" s="53" t="n">
        <f aca="false">IF(T37=1,IF(AND(ISNUMBER(F37),ISNUMBER(K37)),1,0),0)</f>
        <v>0</v>
      </c>
      <c r="Z37" s="53" t="n">
        <f aca="false">IF(U37&gt;=Settings!$C$8,1,0)</f>
        <v>0</v>
      </c>
      <c r="AA37" s="53" t="n">
        <f aca="false">IF(S37=1,IF(J37="Listed / Publicado",0,1),0)</f>
        <v>0</v>
      </c>
      <c r="AB37" s="53" t="n">
        <f aca="false">IF(T37=1,IF(ISNUMBER(L37),L37-G37,0),0)</f>
        <v>0</v>
      </c>
      <c r="AC37" s="53" t="n">
        <f aca="false">IF(S37=1,IF(ISNUMBER(I37),I37-G37,0),0)</f>
        <v>0</v>
      </c>
    </row>
    <row r="38" customFormat="false" ht="15" hidden="false" customHeight="false" outlineLevel="0" collapsed="false">
      <c r="B38" s="54"/>
      <c r="C38" s="55"/>
      <c r="D38" s="55"/>
      <c r="E38" s="55"/>
      <c r="F38" s="56"/>
      <c r="G38" s="57"/>
      <c r="H38" s="55"/>
      <c r="I38" s="57"/>
      <c r="J38" s="54"/>
      <c r="K38" s="56"/>
      <c r="L38" s="57"/>
      <c r="M38" s="54"/>
      <c r="N38" s="58" t="str">
        <f aca="false">IF(S38=1,IF(U38&lt;0,"",U38),IF(Y38=1,X38,""))</f>
        <v/>
      </c>
      <c r="O38" s="59" t="str">
        <f aca="false">IF(S38=1,IF(ISNUMBER(I38),I38-G38,""),"")</f>
        <v/>
      </c>
      <c r="P38" s="59" t="str">
        <f aca="false">IF(T38=1,IF(ISNUMBER(L38),L38-G38,""),"")</f>
        <v/>
      </c>
      <c r="Q38" s="60" t="str">
        <f aca="false">IF(C38="","",IF(T38=1,"✔ SOLD / VENDIDO",IF(S38=0,"— CLOSED / CERRADO",IF(U38&lt;0,"⚠ ADD DATE / AGREGA FECHA",IF(U38&gt;=Settings!$C$8,"⚠ STALE – REPRICE / ESTANCADO",IF(U38&gt;=Settings!$C$7,"● WATCH / VIGILAR","✔ FRESH / RECIENTE"))))))</f>
        <v/>
      </c>
      <c r="S38" s="53" t="n">
        <f aca="false">IF(C38="",0,IF(OR(J38="",J38="In Stock / En Inventario",J38="Listed / Publicado"),1,0))</f>
        <v>0</v>
      </c>
      <c r="T38" s="53" t="n">
        <f aca="false">IF(C38="",0,IF(J38="Sold / Vendido",1,0))</f>
        <v>0</v>
      </c>
      <c r="U38" s="53" t="n">
        <f aca="true">IF(S38=1,IF(ISNUMBER(F38),TODAY()-F38,-1),-1)</f>
        <v>-1</v>
      </c>
      <c r="V38" s="53" t="n">
        <f aca="false">IF(U38&lt;0,IF(S38=1,5,0),IF(U38&lt;=30,1,IF(U38&lt;=60,2,IF(U38&lt;=90,3,4))))</f>
        <v>0</v>
      </c>
      <c r="W38" s="53" t="n">
        <f aca="false">IF(U38&lt;0,-1000000000000000,U38+ROW()/1000000)</f>
        <v>-1000000000000000</v>
      </c>
      <c r="X38" s="53" t="n">
        <f aca="false">IF(T38=1,IF(AND(ISNUMBER(F38),ISNUMBER(K38)),K38-F38,0),0)</f>
        <v>0</v>
      </c>
      <c r="Y38" s="53" t="n">
        <f aca="false">IF(T38=1,IF(AND(ISNUMBER(F38),ISNUMBER(K38)),1,0),0)</f>
        <v>0</v>
      </c>
      <c r="Z38" s="53" t="n">
        <f aca="false">IF(U38&gt;=Settings!$C$8,1,0)</f>
        <v>0</v>
      </c>
      <c r="AA38" s="53" t="n">
        <f aca="false">IF(S38=1,IF(J38="Listed / Publicado",0,1),0)</f>
        <v>0</v>
      </c>
      <c r="AB38" s="53" t="n">
        <f aca="false">IF(T38=1,IF(ISNUMBER(L38),L38-G38,0),0)</f>
        <v>0</v>
      </c>
      <c r="AC38" s="53" t="n">
        <f aca="false">IF(S38=1,IF(ISNUMBER(I38),I38-G38,0),0)</f>
        <v>0</v>
      </c>
    </row>
    <row r="39" customFormat="false" ht="15" hidden="false" customHeight="false" outlineLevel="0" collapsed="false">
      <c r="B39" s="54"/>
      <c r="C39" s="55"/>
      <c r="D39" s="55"/>
      <c r="E39" s="55"/>
      <c r="F39" s="56"/>
      <c r="G39" s="57"/>
      <c r="H39" s="55"/>
      <c r="I39" s="57"/>
      <c r="J39" s="54"/>
      <c r="K39" s="56"/>
      <c r="L39" s="57"/>
      <c r="M39" s="54"/>
      <c r="N39" s="58" t="str">
        <f aca="false">IF(S39=1,IF(U39&lt;0,"",U39),IF(Y39=1,X39,""))</f>
        <v/>
      </c>
      <c r="O39" s="59" t="str">
        <f aca="false">IF(S39=1,IF(ISNUMBER(I39),I39-G39,""),"")</f>
        <v/>
      </c>
      <c r="P39" s="59" t="str">
        <f aca="false">IF(T39=1,IF(ISNUMBER(L39),L39-G39,""),"")</f>
        <v/>
      </c>
      <c r="Q39" s="60" t="str">
        <f aca="false">IF(C39="","",IF(T39=1,"✔ SOLD / VENDIDO",IF(S39=0,"— CLOSED / CERRADO",IF(U39&lt;0,"⚠ ADD DATE / AGREGA FECHA",IF(U39&gt;=Settings!$C$8,"⚠ STALE – REPRICE / ESTANCADO",IF(U39&gt;=Settings!$C$7,"● WATCH / VIGILAR","✔ FRESH / RECIENTE"))))))</f>
        <v/>
      </c>
      <c r="S39" s="53" t="n">
        <f aca="false">IF(C39="",0,IF(OR(J39="",J39="In Stock / En Inventario",J39="Listed / Publicado"),1,0))</f>
        <v>0</v>
      </c>
      <c r="T39" s="53" t="n">
        <f aca="false">IF(C39="",0,IF(J39="Sold / Vendido",1,0))</f>
        <v>0</v>
      </c>
      <c r="U39" s="53" t="n">
        <f aca="true">IF(S39=1,IF(ISNUMBER(F39),TODAY()-F39,-1),-1)</f>
        <v>-1</v>
      </c>
      <c r="V39" s="53" t="n">
        <f aca="false">IF(U39&lt;0,IF(S39=1,5,0),IF(U39&lt;=30,1,IF(U39&lt;=60,2,IF(U39&lt;=90,3,4))))</f>
        <v>0</v>
      </c>
      <c r="W39" s="53" t="n">
        <f aca="false">IF(U39&lt;0,-1000000000000000,U39+ROW()/1000000)</f>
        <v>-1000000000000000</v>
      </c>
      <c r="X39" s="53" t="n">
        <f aca="false">IF(T39=1,IF(AND(ISNUMBER(F39),ISNUMBER(K39)),K39-F39,0),0)</f>
        <v>0</v>
      </c>
      <c r="Y39" s="53" t="n">
        <f aca="false">IF(T39=1,IF(AND(ISNUMBER(F39),ISNUMBER(K39)),1,0),0)</f>
        <v>0</v>
      </c>
      <c r="Z39" s="53" t="n">
        <f aca="false">IF(U39&gt;=Settings!$C$8,1,0)</f>
        <v>0</v>
      </c>
      <c r="AA39" s="53" t="n">
        <f aca="false">IF(S39=1,IF(J39="Listed / Publicado",0,1),0)</f>
        <v>0</v>
      </c>
      <c r="AB39" s="53" t="n">
        <f aca="false">IF(T39=1,IF(ISNUMBER(L39),L39-G39,0),0)</f>
        <v>0</v>
      </c>
      <c r="AC39" s="53" t="n">
        <f aca="false">IF(S39=1,IF(ISNUMBER(I39),I39-G39,0),0)</f>
        <v>0</v>
      </c>
    </row>
    <row r="40" customFormat="false" ht="15" hidden="false" customHeight="false" outlineLevel="0" collapsed="false">
      <c r="B40" s="54"/>
      <c r="C40" s="55"/>
      <c r="D40" s="55"/>
      <c r="E40" s="55"/>
      <c r="F40" s="56"/>
      <c r="G40" s="57"/>
      <c r="H40" s="55"/>
      <c r="I40" s="57"/>
      <c r="J40" s="54"/>
      <c r="K40" s="56"/>
      <c r="L40" s="57"/>
      <c r="M40" s="54"/>
      <c r="N40" s="58" t="str">
        <f aca="false">IF(S40=1,IF(U40&lt;0,"",U40),IF(Y40=1,X40,""))</f>
        <v/>
      </c>
      <c r="O40" s="59" t="str">
        <f aca="false">IF(S40=1,IF(ISNUMBER(I40),I40-G40,""),"")</f>
        <v/>
      </c>
      <c r="P40" s="59" t="str">
        <f aca="false">IF(T40=1,IF(ISNUMBER(L40),L40-G40,""),"")</f>
        <v/>
      </c>
      <c r="Q40" s="60" t="str">
        <f aca="false">IF(C40="","",IF(T40=1,"✔ SOLD / VENDIDO",IF(S40=0,"— CLOSED / CERRADO",IF(U40&lt;0,"⚠ ADD DATE / AGREGA FECHA",IF(U40&gt;=Settings!$C$8,"⚠ STALE – REPRICE / ESTANCADO",IF(U40&gt;=Settings!$C$7,"● WATCH / VIGILAR","✔ FRESH / RECIENTE"))))))</f>
        <v/>
      </c>
      <c r="S40" s="53" t="n">
        <f aca="false">IF(C40="",0,IF(OR(J40="",J40="In Stock / En Inventario",J40="Listed / Publicado"),1,0))</f>
        <v>0</v>
      </c>
      <c r="T40" s="53" t="n">
        <f aca="false">IF(C40="",0,IF(J40="Sold / Vendido",1,0))</f>
        <v>0</v>
      </c>
      <c r="U40" s="53" t="n">
        <f aca="true">IF(S40=1,IF(ISNUMBER(F40),TODAY()-F40,-1),-1)</f>
        <v>-1</v>
      </c>
      <c r="V40" s="53" t="n">
        <f aca="false">IF(U40&lt;0,IF(S40=1,5,0),IF(U40&lt;=30,1,IF(U40&lt;=60,2,IF(U40&lt;=90,3,4))))</f>
        <v>0</v>
      </c>
      <c r="W40" s="53" t="n">
        <f aca="false">IF(U40&lt;0,-1000000000000000,U40+ROW()/1000000)</f>
        <v>-1000000000000000</v>
      </c>
      <c r="X40" s="53" t="n">
        <f aca="false">IF(T40=1,IF(AND(ISNUMBER(F40),ISNUMBER(K40)),K40-F40,0),0)</f>
        <v>0</v>
      </c>
      <c r="Y40" s="53" t="n">
        <f aca="false">IF(T40=1,IF(AND(ISNUMBER(F40),ISNUMBER(K40)),1,0),0)</f>
        <v>0</v>
      </c>
      <c r="Z40" s="53" t="n">
        <f aca="false">IF(U40&gt;=Settings!$C$8,1,0)</f>
        <v>0</v>
      </c>
      <c r="AA40" s="53" t="n">
        <f aca="false">IF(S40=1,IF(J40="Listed / Publicado",0,1),0)</f>
        <v>0</v>
      </c>
      <c r="AB40" s="53" t="n">
        <f aca="false">IF(T40=1,IF(ISNUMBER(L40),L40-G40,0),0)</f>
        <v>0</v>
      </c>
      <c r="AC40" s="53" t="n">
        <f aca="false">IF(S40=1,IF(ISNUMBER(I40),I40-G40,0),0)</f>
        <v>0</v>
      </c>
    </row>
    <row r="41" customFormat="false" ht="15" hidden="false" customHeight="false" outlineLevel="0" collapsed="false">
      <c r="B41" s="54"/>
      <c r="C41" s="55"/>
      <c r="D41" s="55"/>
      <c r="E41" s="55"/>
      <c r="F41" s="56"/>
      <c r="G41" s="57"/>
      <c r="H41" s="55"/>
      <c r="I41" s="57"/>
      <c r="J41" s="54"/>
      <c r="K41" s="56"/>
      <c r="L41" s="57"/>
      <c r="M41" s="54"/>
      <c r="N41" s="58" t="str">
        <f aca="false">IF(S41=1,IF(U41&lt;0,"",U41),IF(Y41=1,X41,""))</f>
        <v/>
      </c>
      <c r="O41" s="59" t="str">
        <f aca="false">IF(S41=1,IF(ISNUMBER(I41),I41-G41,""),"")</f>
        <v/>
      </c>
      <c r="P41" s="59" t="str">
        <f aca="false">IF(T41=1,IF(ISNUMBER(L41),L41-G41,""),"")</f>
        <v/>
      </c>
      <c r="Q41" s="60" t="str">
        <f aca="false">IF(C41="","",IF(T41=1,"✔ SOLD / VENDIDO",IF(S41=0,"— CLOSED / CERRADO",IF(U41&lt;0,"⚠ ADD DATE / AGREGA FECHA",IF(U41&gt;=Settings!$C$8,"⚠ STALE – REPRICE / ESTANCADO",IF(U41&gt;=Settings!$C$7,"● WATCH / VIGILAR","✔ FRESH / RECIENTE"))))))</f>
        <v/>
      </c>
      <c r="S41" s="53" t="n">
        <f aca="false">IF(C41="",0,IF(OR(J41="",J41="In Stock / En Inventario",J41="Listed / Publicado"),1,0))</f>
        <v>0</v>
      </c>
      <c r="T41" s="53" t="n">
        <f aca="false">IF(C41="",0,IF(J41="Sold / Vendido",1,0))</f>
        <v>0</v>
      </c>
      <c r="U41" s="53" t="n">
        <f aca="true">IF(S41=1,IF(ISNUMBER(F41),TODAY()-F41,-1),-1)</f>
        <v>-1</v>
      </c>
      <c r="V41" s="53" t="n">
        <f aca="false">IF(U41&lt;0,IF(S41=1,5,0),IF(U41&lt;=30,1,IF(U41&lt;=60,2,IF(U41&lt;=90,3,4))))</f>
        <v>0</v>
      </c>
      <c r="W41" s="53" t="n">
        <f aca="false">IF(U41&lt;0,-1000000000000000,U41+ROW()/1000000)</f>
        <v>-1000000000000000</v>
      </c>
      <c r="X41" s="53" t="n">
        <f aca="false">IF(T41=1,IF(AND(ISNUMBER(F41),ISNUMBER(K41)),K41-F41,0),0)</f>
        <v>0</v>
      </c>
      <c r="Y41" s="53" t="n">
        <f aca="false">IF(T41=1,IF(AND(ISNUMBER(F41),ISNUMBER(K41)),1,0),0)</f>
        <v>0</v>
      </c>
      <c r="Z41" s="53" t="n">
        <f aca="false">IF(U41&gt;=Settings!$C$8,1,0)</f>
        <v>0</v>
      </c>
      <c r="AA41" s="53" t="n">
        <f aca="false">IF(S41=1,IF(J41="Listed / Publicado",0,1),0)</f>
        <v>0</v>
      </c>
      <c r="AB41" s="53" t="n">
        <f aca="false">IF(T41=1,IF(ISNUMBER(L41),L41-G41,0),0)</f>
        <v>0</v>
      </c>
      <c r="AC41" s="53" t="n">
        <f aca="false">IF(S41=1,IF(ISNUMBER(I41),I41-G41,0),0)</f>
        <v>0</v>
      </c>
    </row>
    <row r="42" customFormat="false" ht="15" hidden="false" customHeight="false" outlineLevel="0" collapsed="false">
      <c r="B42" s="54"/>
      <c r="C42" s="55"/>
      <c r="D42" s="55"/>
      <c r="E42" s="55"/>
      <c r="F42" s="56"/>
      <c r="G42" s="57"/>
      <c r="H42" s="55"/>
      <c r="I42" s="57"/>
      <c r="J42" s="54"/>
      <c r="K42" s="56"/>
      <c r="L42" s="57"/>
      <c r="M42" s="54"/>
      <c r="N42" s="58" t="str">
        <f aca="false">IF(S42=1,IF(U42&lt;0,"",U42),IF(Y42=1,X42,""))</f>
        <v/>
      </c>
      <c r="O42" s="59" t="str">
        <f aca="false">IF(S42=1,IF(ISNUMBER(I42),I42-G42,""),"")</f>
        <v/>
      </c>
      <c r="P42" s="59" t="str">
        <f aca="false">IF(T42=1,IF(ISNUMBER(L42),L42-G42,""),"")</f>
        <v/>
      </c>
      <c r="Q42" s="60" t="str">
        <f aca="false">IF(C42="","",IF(T42=1,"✔ SOLD / VENDIDO",IF(S42=0,"— CLOSED / CERRADO",IF(U42&lt;0,"⚠ ADD DATE / AGREGA FECHA",IF(U42&gt;=Settings!$C$8,"⚠ STALE – REPRICE / ESTANCADO",IF(U42&gt;=Settings!$C$7,"● WATCH / VIGILAR","✔ FRESH / RECIENTE"))))))</f>
        <v/>
      </c>
      <c r="S42" s="53" t="n">
        <f aca="false">IF(C42="",0,IF(OR(J42="",J42="In Stock / En Inventario",J42="Listed / Publicado"),1,0))</f>
        <v>0</v>
      </c>
      <c r="T42" s="53" t="n">
        <f aca="false">IF(C42="",0,IF(J42="Sold / Vendido",1,0))</f>
        <v>0</v>
      </c>
      <c r="U42" s="53" t="n">
        <f aca="true">IF(S42=1,IF(ISNUMBER(F42),TODAY()-F42,-1),-1)</f>
        <v>-1</v>
      </c>
      <c r="V42" s="53" t="n">
        <f aca="false">IF(U42&lt;0,IF(S42=1,5,0),IF(U42&lt;=30,1,IF(U42&lt;=60,2,IF(U42&lt;=90,3,4))))</f>
        <v>0</v>
      </c>
      <c r="W42" s="53" t="n">
        <f aca="false">IF(U42&lt;0,-1000000000000000,U42+ROW()/1000000)</f>
        <v>-1000000000000000</v>
      </c>
      <c r="X42" s="53" t="n">
        <f aca="false">IF(T42=1,IF(AND(ISNUMBER(F42),ISNUMBER(K42)),K42-F42,0),0)</f>
        <v>0</v>
      </c>
      <c r="Y42" s="53" t="n">
        <f aca="false">IF(T42=1,IF(AND(ISNUMBER(F42),ISNUMBER(K42)),1,0),0)</f>
        <v>0</v>
      </c>
      <c r="Z42" s="53" t="n">
        <f aca="false">IF(U42&gt;=Settings!$C$8,1,0)</f>
        <v>0</v>
      </c>
      <c r="AA42" s="53" t="n">
        <f aca="false">IF(S42=1,IF(J42="Listed / Publicado",0,1),0)</f>
        <v>0</v>
      </c>
      <c r="AB42" s="53" t="n">
        <f aca="false">IF(T42=1,IF(ISNUMBER(L42),L42-G42,0),0)</f>
        <v>0</v>
      </c>
      <c r="AC42" s="53" t="n">
        <f aca="false">IF(S42=1,IF(ISNUMBER(I42),I42-G42,0),0)</f>
        <v>0</v>
      </c>
    </row>
    <row r="43" customFormat="false" ht="15" hidden="false" customHeight="false" outlineLevel="0" collapsed="false">
      <c r="B43" s="54"/>
      <c r="C43" s="55"/>
      <c r="D43" s="55"/>
      <c r="E43" s="55"/>
      <c r="F43" s="56"/>
      <c r="G43" s="57"/>
      <c r="H43" s="55"/>
      <c r="I43" s="57"/>
      <c r="J43" s="54"/>
      <c r="K43" s="56"/>
      <c r="L43" s="57"/>
      <c r="M43" s="54"/>
      <c r="N43" s="58" t="str">
        <f aca="false">IF(S43=1,IF(U43&lt;0,"",U43),IF(Y43=1,X43,""))</f>
        <v/>
      </c>
      <c r="O43" s="59" t="str">
        <f aca="false">IF(S43=1,IF(ISNUMBER(I43),I43-G43,""),"")</f>
        <v/>
      </c>
      <c r="P43" s="59" t="str">
        <f aca="false">IF(T43=1,IF(ISNUMBER(L43),L43-G43,""),"")</f>
        <v/>
      </c>
      <c r="Q43" s="60" t="str">
        <f aca="false">IF(C43="","",IF(T43=1,"✔ SOLD / VENDIDO",IF(S43=0,"— CLOSED / CERRADO",IF(U43&lt;0,"⚠ ADD DATE / AGREGA FECHA",IF(U43&gt;=Settings!$C$8,"⚠ STALE – REPRICE / ESTANCADO",IF(U43&gt;=Settings!$C$7,"● WATCH / VIGILAR","✔ FRESH / RECIENTE"))))))</f>
        <v/>
      </c>
      <c r="S43" s="53" t="n">
        <f aca="false">IF(C43="",0,IF(OR(J43="",J43="In Stock / En Inventario",J43="Listed / Publicado"),1,0))</f>
        <v>0</v>
      </c>
      <c r="T43" s="53" t="n">
        <f aca="false">IF(C43="",0,IF(J43="Sold / Vendido",1,0))</f>
        <v>0</v>
      </c>
      <c r="U43" s="53" t="n">
        <f aca="true">IF(S43=1,IF(ISNUMBER(F43),TODAY()-F43,-1),-1)</f>
        <v>-1</v>
      </c>
      <c r="V43" s="53" t="n">
        <f aca="false">IF(U43&lt;0,IF(S43=1,5,0),IF(U43&lt;=30,1,IF(U43&lt;=60,2,IF(U43&lt;=90,3,4))))</f>
        <v>0</v>
      </c>
      <c r="W43" s="53" t="n">
        <f aca="false">IF(U43&lt;0,-1000000000000000,U43+ROW()/1000000)</f>
        <v>-1000000000000000</v>
      </c>
      <c r="X43" s="53" t="n">
        <f aca="false">IF(T43=1,IF(AND(ISNUMBER(F43),ISNUMBER(K43)),K43-F43,0),0)</f>
        <v>0</v>
      </c>
      <c r="Y43" s="53" t="n">
        <f aca="false">IF(T43=1,IF(AND(ISNUMBER(F43),ISNUMBER(K43)),1,0),0)</f>
        <v>0</v>
      </c>
      <c r="Z43" s="53" t="n">
        <f aca="false">IF(U43&gt;=Settings!$C$8,1,0)</f>
        <v>0</v>
      </c>
      <c r="AA43" s="53" t="n">
        <f aca="false">IF(S43=1,IF(J43="Listed / Publicado",0,1),0)</f>
        <v>0</v>
      </c>
      <c r="AB43" s="53" t="n">
        <f aca="false">IF(T43=1,IF(ISNUMBER(L43),L43-G43,0),0)</f>
        <v>0</v>
      </c>
      <c r="AC43" s="53" t="n">
        <f aca="false">IF(S43=1,IF(ISNUMBER(I43),I43-G43,0),0)</f>
        <v>0</v>
      </c>
    </row>
    <row r="44" customFormat="false" ht="15" hidden="false" customHeight="false" outlineLevel="0" collapsed="false">
      <c r="B44" s="54"/>
      <c r="C44" s="55"/>
      <c r="D44" s="55"/>
      <c r="E44" s="55"/>
      <c r="F44" s="56"/>
      <c r="G44" s="57"/>
      <c r="H44" s="55"/>
      <c r="I44" s="57"/>
      <c r="J44" s="54"/>
      <c r="K44" s="56"/>
      <c r="L44" s="57"/>
      <c r="M44" s="54"/>
      <c r="N44" s="58" t="str">
        <f aca="false">IF(S44=1,IF(U44&lt;0,"",U44),IF(Y44=1,X44,""))</f>
        <v/>
      </c>
      <c r="O44" s="59" t="str">
        <f aca="false">IF(S44=1,IF(ISNUMBER(I44),I44-G44,""),"")</f>
        <v/>
      </c>
      <c r="P44" s="59" t="str">
        <f aca="false">IF(T44=1,IF(ISNUMBER(L44),L44-G44,""),"")</f>
        <v/>
      </c>
      <c r="Q44" s="60" t="str">
        <f aca="false">IF(C44="","",IF(T44=1,"✔ SOLD / VENDIDO",IF(S44=0,"— CLOSED / CERRADO",IF(U44&lt;0,"⚠ ADD DATE / AGREGA FECHA",IF(U44&gt;=Settings!$C$8,"⚠ STALE – REPRICE / ESTANCADO",IF(U44&gt;=Settings!$C$7,"● WATCH / VIGILAR","✔ FRESH / RECIENTE"))))))</f>
        <v/>
      </c>
      <c r="S44" s="53" t="n">
        <f aca="false">IF(C44="",0,IF(OR(J44="",J44="In Stock / En Inventario",J44="Listed / Publicado"),1,0))</f>
        <v>0</v>
      </c>
      <c r="T44" s="53" t="n">
        <f aca="false">IF(C44="",0,IF(J44="Sold / Vendido",1,0))</f>
        <v>0</v>
      </c>
      <c r="U44" s="53" t="n">
        <f aca="true">IF(S44=1,IF(ISNUMBER(F44),TODAY()-F44,-1),-1)</f>
        <v>-1</v>
      </c>
      <c r="V44" s="53" t="n">
        <f aca="false">IF(U44&lt;0,IF(S44=1,5,0),IF(U44&lt;=30,1,IF(U44&lt;=60,2,IF(U44&lt;=90,3,4))))</f>
        <v>0</v>
      </c>
      <c r="W44" s="53" t="n">
        <f aca="false">IF(U44&lt;0,-1000000000000000,U44+ROW()/1000000)</f>
        <v>-1000000000000000</v>
      </c>
      <c r="X44" s="53" t="n">
        <f aca="false">IF(T44=1,IF(AND(ISNUMBER(F44),ISNUMBER(K44)),K44-F44,0),0)</f>
        <v>0</v>
      </c>
      <c r="Y44" s="53" t="n">
        <f aca="false">IF(T44=1,IF(AND(ISNUMBER(F44),ISNUMBER(K44)),1,0),0)</f>
        <v>0</v>
      </c>
      <c r="Z44" s="53" t="n">
        <f aca="false">IF(U44&gt;=Settings!$C$8,1,0)</f>
        <v>0</v>
      </c>
      <c r="AA44" s="53" t="n">
        <f aca="false">IF(S44=1,IF(J44="Listed / Publicado",0,1),0)</f>
        <v>0</v>
      </c>
      <c r="AB44" s="53" t="n">
        <f aca="false">IF(T44=1,IF(ISNUMBER(L44),L44-G44,0),0)</f>
        <v>0</v>
      </c>
      <c r="AC44" s="53" t="n">
        <f aca="false">IF(S44=1,IF(ISNUMBER(I44),I44-G44,0),0)</f>
        <v>0</v>
      </c>
    </row>
    <row r="45" customFormat="false" ht="15" hidden="false" customHeight="false" outlineLevel="0" collapsed="false">
      <c r="B45" s="54"/>
      <c r="C45" s="55"/>
      <c r="D45" s="55"/>
      <c r="E45" s="55"/>
      <c r="F45" s="56"/>
      <c r="G45" s="57"/>
      <c r="H45" s="55"/>
      <c r="I45" s="57"/>
      <c r="J45" s="54"/>
      <c r="K45" s="56"/>
      <c r="L45" s="57"/>
      <c r="M45" s="54"/>
      <c r="N45" s="58" t="str">
        <f aca="false">IF(S45=1,IF(U45&lt;0,"",U45),IF(Y45=1,X45,""))</f>
        <v/>
      </c>
      <c r="O45" s="59" t="str">
        <f aca="false">IF(S45=1,IF(ISNUMBER(I45),I45-G45,""),"")</f>
        <v/>
      </c>
      <c r="P45" s="59" t="str">
        <f aca="false">IF(T45=1,IF(ISNUMBER(L45),L45-G45,""),"")</f>
        <v/>
      </c>
      <c r="Q45" s="60" t="str">
        <f aca="false">IF(C45="","",IF(T45=1,"✔ SOLD / VENDIDO",IF(S45=0,"— CLOSED / CERRADO",IF(U45&lt;0,"⚠ ADD DATE / AGREGA FECHA",IF(U45&gt;=Settings!$C$8,"⚠ STALE – REPRICE / ESTANCADO",IF(U45&gt;=Settings!$C$7,"● WATCH / VIGILAR","✔ FRESH / RECIENTE"))))))</f>
        <v/>
      </c>
      <c r="S45" s="53" t="n">
        <f aca="false">IF(C45="",0,IF(OR(J45="",J45="In Stock / En Inventario",J45="Listed / Publicado"),1,0))</f>
        <v>0</v>
      </c>
      <c r="T45" s="53" t="n">
        <f aca="false">IF(C45="",0,IF(J45="Sold / Vendido",1,0))</f>
        <v>0</v>
      </c>
      <c r="U45" s="53" t="n">
        <f aca="true">IF(S45=1,IF(ISNUMBER(F45),TODAY()-F45,-1),-1)</f>
        <v>-1</v>
      </c>
      <c r="V45" s="53" t="n">
        <f aca="false">IF(U45&lt;0,IF(S45=1,5,0),IF(U45&lt;=30,1,IF(U45&lt;=60,2,IF(U45&lt;=90,3,4))))</f>
        <v>0</v>
      </c>
      <c r="W45" s="53" t="n">
        <f aca="false">IF(U45&lt;0,-1000000000000000,U45+ROW()/1000000)</f>
        <v>-1000000000000000</v>
      </c>
      <c r="X45" s="53" t="n">
        <f aca="false">IF(T45=1,IF(AND(ISNUMBER(F45),ISNUMBER(K45)),K45-F45,0),0)</f>
        <v>0</v>
      </c>
      <c r="Y45" s="53" t="n">
        <f aca="false">IF(T45=1,IF(AND(ISNUMBER(F45),ISNUMBER(K45)),1,0),0)</f>
        <v>0</v>
      </c>
      <c r="Z45" s="53" t="n">
        <f aca="false">IF(U45&gt;=Settings!$C$8,1,0)</f>
        <v>0</v>
      </c>
      <c r="AA45" s="53" t="n">
        <f aca="false">IF(S45=1,IF(J45="Listed / Publicado",0,1),0)</f>
        <v>0</v>
      </c>
      <c r="AB45" s="53" t="n">
        <f aca="false">IF(T45=1,IF(ISNUMBER(L45),L45-G45,0),0)</f>
        <v>0</v>
      </c>
      <c r="AC45" s="53" t="n">
        <f aca="false">IF(S45=1,IF(ISNUMBER(I45),I45-G45,0),0)</f>
        <v>0</v>
      </c>
    </row>
    <row r="46" customFormat="false" ht="15" hidden="false" customHeight="false" outlineLevel="0" collapsed="false">
      <c r="B46" s="54"/>
      <c r="C46" s="55"/>
      <c r="D46" s="55"/>
      <c r="E46" s="55"/>
      <c r="F46" s="56"/>
      <c r="G46" s="57"/>
      <c r="H46" s="55"/>
      <c r="I46" s="57"/>
      <c r="J46" s="54"/>
      <c r="K46" s="56"/>
      <c r="L46" s="57"/>
      <c r="M46" s="54"/>
      <c r="N46" s="58" t="str">
        <f aca="false">IF(S46=1,IF(U46&lt;0,"",U46),IF(Y46=1,X46,""))</f>
        <v/>
      </c>
      <c r="O46" s="59" t="str">
        <f aca="false">IF(S46=1,IF(ISNUMBER(I46),I46-G46,""),"")</f>
        <v/>
      </c>
      <c r="P46" s="59" t="str">
        <f aca="false">IF(T46=1,IF(ISNUMBER(L46),L46-G46,""),"")</f>
        <v/>
      </c>
      <c r="Q46" s="60" t="str">
        <f aca="false">IF(C46="","",IF(T46=1,"✔ SOLD / VENDIDO",IF(S46=0,"— CLOSED / CERRADO",IF(U46&lt;0,"⚠ ADD DATE / AGREGA FECHA",IF(U46&gt;=Settings!$C$8,"⚠ STALE – REPRICE / ESTANCADO",IF(U46&gt;=Settings!$C$7,"● WATCH / VIGILAR","✔ FRESH / RECIENTE"))))))</f>
        <v/>
      </c>
      <c r="S46" s="53" t="n">
        <f aca="false">IF(C46="",0,IF(OR(J46="",J46="In Stock / En Inventario",J46="Listed / Publicado"),1,0))</f>
        <v>0</v>
      </c>
      <c r="T46" s="53" t="n">
        <f aca="false">IF(C46="",0,IF(J46="Sold / Vendido",1,0))</f>
        <v>0</v>
      </c>
      <c r="U46" s="53" t="n">
        <f aca="true">IF(S46=1,IF(ISNUMBER(F46),TODAY()-F46,-1),-1)</f>
        <v>-1</v>
      </c>
      <c r="V46" s="53" t="n">
        <f aca="false">IF(U46&lt;0,IF(S46=1,5,0),IF(U46&lt;=30,1,IF(U46&lt;=60,2,IF(U46&lt;=90,3,4))))</f>
        <v>0</v>
      </c>
      <c r="W46" s="53" t="n">
        <f aca="false">IF(U46&lt;0,-1000000000000000,U46+ROW()/1000000)</f>
        <v>-1000000000000000</v>
      </c>
      <c r="X46" s="53" t="n">
        <f aca="false">IF(T46=1,IF(AND(ISNUMBER(F46),ISNUMBER(K46)),K46-F46,0),0)</f>
        <v>0</v>
      </c>
      <c r="Y46" s="53" t="n">
        <f aca="false">IF(T46=1,IF(AND(ISNUMBER(F46),ISNUMBER(K46)),1,0),0)</f>
        <v>0</v>
      </c>
      <c r="Z46" s="53" t="n">
        <f aca="false">IF(U46&gt;=Settings!$C$8,1,0)</f>
        <v>0</v>
      </c>
      <c r="AA46" s="53" t="n">
        <f aca="false">IF(S46=1,IF(J46="Listed / Publicado",0,1),0)</f>
        <v>0</v>
      </c>
      <c r="AB46" s="53" t="n">
        <f aca="false">IF(T46=1,IF(ISNUMBER(L46),L46-G46,0),0)</f>
        <v>0</v>
      </c>
      <c r="AC46" s="53" t="n">
        <f aca="false">IF(S46=1,IF(ISNUMBER(I46),I46-G46,0),0)</f>
        <v>0</v>
      </c>
    </row>
    <row r="47" customFormat="false" ht="15" hidden="false" customHeight="false" outlineLevel="0" collapsed="false">
      <c r="B47" s="54"/>
      <c r="C47" s="55"/>
      <c r="D47" s="55"/>
      <c r="E47" s="55"/>
      <c r="F47" s="56"/>
      <c r="G47" s="57"/>
      <c r="H47" s="55"/>
      <c r="I47" s="57"/>
      <c r="J47" s="54"/>
      <c r="K47" s="56"/>
      <c r="L47" s="57"/>
      <c r="M47" s="54"/>
      <c r="N47" s="58" t="str">
        <f aca="false">IF(S47=1,IF(U47&lt;0,"",U47),IF(Y47=1,X47,""))</f>
        <v/>
      </c>
      <c r="O47" s="59" t="str">
        <f aca="false">IF(S47=1,IF(ISNUMBER(I47),I47-G47,""),"")</f>
        <v/>
      </c>
      <c r="P47" s="59" t="str">
        <f aca="false">IF(T47=1,IF(ISNUMBER(L47),L47-G47,""),"")</f>
        <v/>
      </c>
      <c r="Q47" s="60" t="str">
        <f aca="false">IF(C47="","",IF(T47=1,"✔ SOLD / VENDIDO",IF(S47=0,"— CLOSED / CERRADO",IF(U47&lt;0,"⚠ ADD DATE / AGREGA FECHA",IF(U47&gt;=Settings!$C$8,"⚠ STALE – REPRICE / ESTANCADO",IF(U47&gt;=Settings!$C$7,"● WATCH / VIGILAR","✔ FRESH / RECIENTE"))))))</f>
        <v/>
      </c>
      <c r="S47" s="53" t="n">
        <f aca="false">IF(C47="",0,IF(OR(J47="",J47="In Stock / En Inventario",J47="Listed / Publicado"),1,0))</f>
        <v>0</v>
      </c>
      <c r="T47" s="53" t="n">
        <f aca="false">IF(C47="",0,IF(J47="Sold / Vendido",1,0))</f>
        <v>0</v>
      </c>
      <c r="U47" s="53" t="n">
        <f aca="true">IF(S47=1,IF(ISNUMBER(F47),TODAY()-F47,-1),-1)</f>
        <v>-1</v>
      </c>
      <c r="V47" s="53" t="n">
        <f aca="false">IF(U47&lt;0,IF(S47=1,5,0),IF(U47&lt;=30,1,IF(U47&lt;=60,2,IF(U47&lt;=90,3,4))))</f>
        <v>0</v>
      </c>
      <c r="W47" s="53" t="n">
        <f aca="false">IF(U47&lt;0,-1000000000000000,U47+ROW()/1000000)</f>
        <v>-1000000000000000</v>
      </c>
      <c r="X47" s="53" t="n">
        <f aca="false">IF(T47=1,IF(AND(ISNUMBER(F47),ISNUMBER(K47)),K47-F47,0),0)</f>
        <v>0</v>
      </c>
      <c r="Y47" s="53" t="n">
        <f aca="false">IF(T47=1,IF(AND(ISNUMBER(F47),ISNUMBER(K47)),1,0),0)</f>
        <v>0</v>
      </c>
      <c r="Z47" s="53" t="n">
        <f aca="false">IF(U47&gt;=Settings!$C$8,1,0)</f>
        <v>0</v>
      </c>
      <c r="AA47" s="53" t="n">
        <f aca="false">IF(S47=1,IF(J47="Listed / Publicado",0,1),0)</f>
        <v>0</v>
      </c>
      <c r="AB47" s="53" t="n">
        <f aca="false">IF(T47=1,IF(ISNUMBER(L47),L47-G47,0),0)</f>
        <v>0</v>
      </c>
      <c r="AC47" s="53" t="n">
        <f aca="false">IF(S47=1,IF(ISNUMBER(I47),I47-G47,0),0)</f>
        <v>0</v>
      </c>
    </row>
    <row r="48" customFormat="false" ht="15" hidden="false" customHeight="false" outlineLevel="0" collapsed="false">
      <c r="B48" s="54"/>
      <c r="C48" s="55"/>
      <c r="D48" s="55"/>
      <c r="E48" s="55"/>
      <c r="F48" s="56"/>
      <c r="G48" s="57"/>
      <c r="H48" s="55"/>
      <c r="I48" s="57"/>
      <c r="J48" s="54"/>
      <c r="K48" s="56"/>
      <c r="L48" s="57"/>
      <c r="M48" s="54"/>
      <c r="N48" s="58" t="str">
        <f aca="false">IF(S48=1,IF(U48&lt;0,"",U48),IF(Y48=1,X48,""))</f>
        <v/>
      </c>
      <c r="O48" s="59" t="str">
        <f aca="false">IF(S48=1,IF(ISNUMBER(I48),I48-G48,""),"")</f>
        <v/>
      </c>
      <c r="P48" s="59" t="str">
        <f aca="false">IF(T48=1,IF(ISNUMBER(L48),L48-G48,""),"")</f>
        <v/>
      </c>
      <c r="Q48" s="60" t="str">
        <f aca="false">IF(C48="","",IF(T48=1,"✔ SOLD / VENDIDO",IF(S48=0,"— CLOSED / CERRADO",IF(U48&lt;0,"⚠ ADD DATE / AGREGA FECHA",IF(U48&gt;=Settings!$C$8,"⚠ STALE – REPRICE / ESTANCADO",IF(U48&gt;=Settings!$C$7,"● WATCH / VIGILAR","✔ FRESH / RECIENTE"))))))</f>
        <v/>
      </c>
      <c r="S48" s="53" t="n">
        <f aca="false">IF(C48="",0,IF(OR(J48="",J48="In Stock / En Inventario",J48="Listed / Publicado"),1,0))</f>
        <v>0</v>
      </c>
      <c r="T48" s="53" t="n">
        <f aca="false">IF(C48="",0,IF(J48="Sold / Vendido",1,0))</f>
        <v>0</v>
      </c>
      <c r="U48" s="53" t="n">
        <f aca="true">IF(S48=1,IF(ISNUMBER(F48),TODAY()-F48,-1),-1)</f>
        <v>-1</v>
      </c>
      <c r="V48" s="53" t="n">
        <f aca="false">IF(U48&lt;0,IF(S48=1,5,0),IF(U48&lt;=30,1,IF(U48&lt;=60,2,IF(U48&lt;=90,3,4))))</f>
        <v>0</v>
      </c>
      <c r="W48" s="53" t="n">
        <f aca="false">IF(U48&lt;0,-1000000000000000,U48+ROW()/1000000)</f>
        <v>-1000000000000000</v>
      </c>
      <c r="X48" s="53" t="n">
        <f aca="false">IF(T48=1,IF(AND(ISNUMBER(F48),ISNUMBER(K48)),K48-F48,0),0)</f>
        <v>0</v>
      </c>
      <c r="Y48" s="53" t="n">
        <f aca="false">IF(T48=1,IF(AND(ISNUMBER(F48),ISNUMBER(K48)),1,0),0)</f>
        <v>0</v>
      </c>
      <c r="Z48" s="53" t="n">
        <f aca="false">IF(U48&gt;=Settings!$C$8,1,0)</f>
        <v>0</v>
      </c>
      <c r="AA48" s="53" t="n">
        <f aca="false">IF(S48=1,IF(J48="Listed / Publicado",0,1),0)</f>
        <v>0</v>
      </c>
      <c r="AB48" s="53" t="n">
        <f aca="false">IF(T48=1,IF(ISNUMBER(L48),L48-G48,0),0)</f>
        <v>0</v>
      </c>
      <c r="AC48" s="53" t="n">
        <f aca="false">IF(S48=1,IF(ISNUMBER(I48),I48-G48,0),0)</f>
        <v>0</v>
      </c>
    </row>
    <row r="49" customFormat="false" ht="15" hidden="false" customHeight="false" outlineLevel="0" collapsed="false">
      <c r="B49" s="54"/>
      <c r="C49" s="55"/>
      <c r="D49" s="55"/>
      <c r="E49" s="55"/>
      <c r="F49" s="56"/>
      <c r="G49" s="57"/>
      <c r="H49" s="55"/>
      <c r="I49" s="57"/>
      <c r="J49" s="54"/>
      <c r="K49" s="56"/>
      <c r="L49" s="57"/>
      <c r="M49" s="54"/>
      <c r="N49" s="58" t="str">
        <f aca="false">IF(S49=1,IF(U49&lt;0,"",U49),IF(Y49=1,X49,""))</f>
        <v/>
      </c>
      <c r="O49" s="59" t="str">
        <f aca="false">IF(S49=1,IF(ISNUMBER(I49),I49-G49,""),"")</f>
        <v/>
      </c>
      <c r="P49" s="59" t="str">
        <f aca="false">IF(T49=1,IF(ISNUMBER(L49),L49-G49,""),"")</f>
        <v/>
      </c>
      <c r="Q49" s="60" t="str">
        <f aca="false">IF(C49="","",IF(T49=1,"✔ SOLD / VENDIDO",IF(S49=0,"— CLOSED / CERRADO",IF(U49&lt;0,"⚠ ADD DATE / AGREGA FECHA",IF(U49&gt;=Settings!$C$8,"⚠ STALE – REPRICE / ESTANCADO",IF(U49&gt;=Settings!$C$7,"● WATCH / VIGILAR","✔ FRESH / RECIENTE"))))))</f>
        <v/>
      </c>
      <c r="S49" s="53" t="n">
        <f aca="false">IF(C49="",0,IF(OR(J49="",J49="In Stock / En Inventario",J49="Listed / Publicado"),1,0))</f>
        <v>0</v>
      </c>
      <c r="T49" s="53" t="n">
        <f aca="false">IF(C49="",0,IF(J49="Sold / Vendido",1,0))</f>
        <v>0</v>
      </c>
      <c r="U49" s="53" t="n">
        <f aca="true">IF(S49=1,IF(ISNUMBER(F49),TODAY()-F49,-1),-1)</f>
        <v>-1</v>
      </c>
      <c r="V49" s="53" t="n">
        <f aca="false">IF(U49&lt;0,IF(S49=1,5,0),IF(U49&lt;=30,1,IF(U49&lt;=60,2,IF(U49&lt;=90,3,4))))</f>
        <v>0</v>
      </c>
      <c r="W49" s="53" t="n">
        <f aca="false">IF(U49&lt;0,-1000000000000000,U49+ROW()/1000000)</f>
        <v>-1000000000000000</v>
      </c>
      <c r="X49" s="53" t="n">
        <f aca="false">IF(T49=1,IF(AND(ISNUMBER(F49),ISNUMBER(K49)),K49-F49,0),0)</f>
        <v>0</v>
      </c>
      <c r="Y49" s="53" t="n">
        <f aca="false">IF(T49=1,IF(AND(ISNUMBER(F49),ISNUMBER(K49)),1,0),0)</f>
        <v>0</v>
      </c>
      <c r="Z49" s="53" t="n">
        <f aca="false">IF(U49&gt;=Settings!$C$8,1,0)</f>
        <v>0</v>
      </c>
      <c r="AA49" s="53" t="n">
        <f aca="false">IF(S49=1,IF(J49="Listed / Publicado",0,1),0)</f>
        <v>0</v>
      </c>
      <c r="AB49" s="53" t="n">
        <f aca="false">IF(T49=1,IF(ISNUMBER(L49),L49-G49,0),0)</f>
        <v>0</v>
      </c>
      <c r="AC49" s="53" t="n">
        <f aca="false">IF(S49=1,IF(ISNUMBER(I49),I49-G49,0),0)</f>
        <v>0</v>
      </c>
    </row>
    <row r="50" customFormat="false" ht="15" hidden="false" customHeight="false" outlineLevel="0" collapsed="false">
      <c r="B50" s="54"/>
      <c r="C50" s="55"/>
      <c r="D50" s="55"/>
      <c r="E50" s="55"/>
      <c r="F50" s="56"/>
      <c r="G50" s="57"/>
      <c r="H50" s="55"/>
      <c r="I50" s="57"/>
      <c r="J50" s="54"/>
      <c r="K50" s="56"/>
      <c r="L50" s="57"/>
      <c r="M50" s="54"/>
      <c r="N50" s="58" t="str">
        <f aca="false">IF(S50=1,IF(U50&lt;0,"",U50),IF(Y50=1,X50,""))</f>
        <v/>
      </c>
      <c r="O50" s="59" t="str">
        <f aca="false">IF(S50=1,IF(ISNUMBER(I50),I50-G50,""),"")</f>
        <v/>
      </c>
      <c r="P50" s="59" t="str">
        <f aca="false">IF(T50=1,IF(ISNUMBER(L50),L50-G50,""),"")</f>
        <v/>
      </c>
      <c r="Q50" s="60" t="str">
        <f aca="false">IF(C50="","",IF(T50=1,"✔ SOLD / VENDIDO",IF(S50=0,"— CLOSED / CERRADO",IF(U50&lt;0,"⚠ ADD DATE / AGREGA FECHA",IF(U50&gt;=Settings!$C$8,"⚠ STALE – REPRICE / ESTANCADO",IF(U50&gt;=Settings!$C$7,"● WATCH / VIGILAR","✔ FRESH / RECIENTE"))))))</f>
        <v/>
      </c>
      <c r="S50" s="53" t="n">
        <f aca="false">IF(C50="",0,IF(OR(J50="",J50="In Stock / En Inventario",J50="Listed / Publicado"),1,0))</f>
        <v>0</v>
      </c>
      <c r="T50" s="53" t="n">
        <f aca="false">IF(C50="",0,IF(J50="Sold / Vendido",1,0))</f>
        <v>0</v>
      </c>
      <c r="U50" s="53" t="n">
        <f aca="true">IF(S50=1,IF(ISNUMBER(F50),TODAY()-F50,-1),-1)</f>
        <v>-1</v>
      </c>
      <c r="V50" s="53" t="n">
        <f aca="false">IF(U50&lt;0,IF(S50=1,5,0),IF(U50&lt;=30,1,IF(U50&lt;=60,2,IF(U50&lt;=90,3,4))))</f>
        <v>0</v>
      </c>
      <c r="W50" s="53" t="n">
        <f aca="false">IF(U50&lt;0,-1000000000000000,U50+ROW()/1000000)</f>
        <v>-1000000000000000</v>
      </c>
      <c r="X50" s="53" t="n">
        <f aca="false">IF(T50=1,IF(AND(ISNUMBER(F50),ISNUMBER(K50)),K50-F50,0),0)</f>
        <v>0</v>
      </c>
      <c r="Y50" s="53" t="n">
        <f aca="false">IF(T50=1,IF(AND(ISNUMBER(F50),ISNUMBER(K50)),1,0),0)</f>
        <v>0</v>
      </c>
      <c r="Z50" s="53" t="n">
        <f aca="false">IF(U50&gt;=Settings!$C$8,1,0)</f>
        <v>0</v>
      </c>
      <c r="AA50" s="53" t="n">
        <f aca="false">IF(S50=1,IF(J50="Listed / Publicado",0,1),0)</f>
        <v>0</v>
      </c>
      <c r="AB50" s="53" t="n">
        <f aca="false">IF(T50=1,IF(ISNUMBER(L50),L50-G50,0),0)</f>
        <v>0</v>
      </c>
      <c r="AC50" s="53" t="n">
        <f aca="false">IF(S50=1,IF(ISNUMBER(I50),I50-G50,0),0)</f>
        <v>0</v>
      </c>
    </row>
    <row r="51" customFormat="false" ht="15" hidden="false" customHeight="false" outlineLevel="0" collapsed="false">
      <c r="B51" s="54"/>
      <c r="C51" s="55"/>
      <c r="D51" s="55"/>
      <c r="E51" s="55"/>
      <c r="F51" s="56"/>
      <c r="G51" s="57"/>
      <c r="H51" s="55"/>
      <c r="I51" s="57"/>
      <c r="J51" s="54"/>
      <c r="K51" s="56"/>
      <c r="L51" s="57"/>
      <c r="M51" s="54"/>
      <c r="N51" s="58" t="str">
        <f aca="false">IF(S51=1,IF(U51&lt;0,"",U51),IF(Y51=1,X51,""))</f>
        <v/>
      </c>
      <c r="O51" s="59" t="str">
        <f aca="false">IF(S51=1,IF(ISNUMBER(I51),I51-G51,""),"")</f>
        <v/>
      </c>
      <c r="P51" s="59" t="str">
        <f aca="false">IF(T51=1,IF(ISNUMBER(L51),L51-G51,""),"")</f>
        <v/>
      </c>
      <c r="Q51" s="60" t="str">
        <f aca="false">IF(C51="","",IF(T51=1,"✔ SOLD / VENDIDO",IF(S51=0,"— CLOSED / CERRADO",IF(U51&lt;0,"⚠ ADD DATE / AGREGA FECHA",IF(U51&gt;=Settings!$C$8,"⚠ STALE – REPRICE / ESTANCADO",IF(U51&gt;=Settings!$C$7,"● WATCH / VIGILAR","✔ FRESH / RECIENTE"))))))</f>
        <v/>
      </c>
      <c r="S51" s="53" t="n">
        <f aca="false">IF(C51="",0,IF(OR(J51="",J51="In Stock / En Inventario",J51="Listed / Publicado"),1,0))</f>
        <v>0</v>
      </c>
      <c r="T51" s="53" t="n">
        <f aca="false">IF(C51="",0,IF(J51="Sold / Vendido",1,0))</f>
        <v>0</v>
      </c>
      <c r="U51" s="53" t="n">
        <f aca="true">IF(S51=1,IF(ISNUMBER(F51),TODAY()-F51,-1),-1)</f>
        <v>-1</v>
      </c>
      <c r="V51" s="53" t="n">
        <f aca="false">IF(U51&lt;0,IF(S51=1,5,0),IF(U51&lt;=30,1,IF(U51&lt;=60,2,IF(U51&lt;=90,3,4))))</f>
        <v>0</v>
      </c>
      <c r="W51" s="53" t="n">
        <f aca="false">IF(U51&lt;0,-1000000000000000,U51+ROW()/1000000)</f>
        <v>-1000000000000000</v>
      </c>
      <c r="X51" s="53" t="n">
        <f aca="false">IF(T51=1,IF(AND(ISNUMBER(F51),ISNUMBER(K51)),K51-F51,0),0)</f>
        <v>0</v>
      </c>
      <c r="Y51" s="53" t="n">
        <f aca="false">IF(T51=1,IF(AND(ISNUMBER(F51),ISNUMBER(K51)),1,0),0)</f>
        <v>0</v>
      </c>
      <c r="Z51" s="53" t="n">
        <f aca="false">IF(U51&gt;=Settings!$C$8,1,0)</f>
        <v>0</v>
      </c>
      <c r="AA51" s="53" t="n">
        <f aca="false">IF(S51=1,IF(J51="Listed / Publicado",0,1),0)</f>
        <v>0</v>
      </c>
      <c r="AB51" s="53" t="n">
        <f aca="false">IF(T51=1,IF(ISNUMBER(L51),L51-G51,0),0)</f>
        <v>0</v>
      </c>
      <c r="AC51" s="53" t="n">
        <f aca="false">IF(S51=1,IF(ISNUMBER(I51),I51-G51,0),0)</f>
        <v>0</v>
      </c>
    </row>
    <row r="52" customFormat="false" ht="15" hidden="false" customHeight="false" outlineLevel="0" collapsed="false">
      <c r="B52" s="54"/>
      <c r="C52" s="55"/>
      <c r="D52" s="55"/>
      <c r="E52" s="55"/>
      <c r="F52" s="56"/>
      <c r="G52" s="57"/>
      <c r="H52" s="55"/>
      <c r="I52" s="57"/>
      <c r="J52" s="54"/>
      <c r="K52" s="56"/>
      <c r="L52" s="57"/>
      <c r="M52" s="54"/>
      <c r="N52" s="58" t="str">
        <f aca="false">IF(S52=1,IF(U52&lt;0,"",U52),IF(Y52=1,X52,""))</f>
        <v/>
      </c>
      <c r="O52" s="59" t="str">
        <f aca="false">IF(S52=1,IF(ISNUMBER(I52),I52-G52,""),"")</f>
        <v/>
      </c>
      <c r="P52" s="59" t="str">
        <f aca="false">IF(T52=1,IF(ISNUMBER(L52),L52-G52,""),"")</f>
        <v/>
      </c>
      <c r="Q52" s="60" t="str">
        <f aca="false">IF(C52="","",IF(T52=1,"✔ SOLD / VENDIDO",IF(S52=0,"— CLOSED / CERRADO",IF(U52&lt;0,"⚠ ADD DATE / AGREGA FECHA",IF(U52&gt;=Settings!$C$8,"⚠ STALE – REPRICE / ESTANCADO",IF(U52&gt;=Settings!$C$7,"● WATCH / VIGILAR","✔ FRESH / RECIENTE"))))))</f>
        <v/>
      </c>
      <c r="S52" s="53" t="n">
        <f aca="false">IF(C52="",0,IF(OR(J52="",J52="In Stock / En Inventario",J52="Listed / Publicado"),1,0))</f>
        <v>0</v>
      </c>
      <c r="T52" s="53" t="n">
        <f aca="false">IF(C52="",0,IF(J52="Sold / Vendido",1,0))</f>
        <v>0</v>
      </c>
      <c r="U52" s="53" t="n">
        <f aca="true">IF(S52=1,IF(ISNUMBER(F52),TODAY()-F52,-1),-1)</f>
        <v>-1</v>
      </c>
      <c r="V52" s="53" t="n">
        <f aca="false">IF(U52&lt;0,IF(S52=1,5,0),IF(U52&lt;=30,1,IF(U52&lt;=60,2,IF(U52&lt;=90,3,4))))</f>
        <v>0</v>
      </c>
      <c r="W52" s="53" t="n">
        <f aca="false">IF(U52&lt;0,-1000000000000000,U52+ROW()/1000000)</f>
        <v>-1000000000000000</v>
      </c>
      <c r="X52" s="53" t="n">
        <f aca="false">IF(T52=1,IF(AND(ISNUMBER(F52),ISNUMBER(K52)),K52-F52,0),0)</f>
        <v>0</v>
      </c>
      <c r="Y52" s="53" t="n">
        <f aca="false">IF(T52=1,IF(AND(ISNUMBER(F52),ISNUMBER(K52)),1,0),0)</f>
        <v>0</v>
      </c>
      <c r="Z52" s="53" t="n">
        <f aca="false">IF(U52&gt;=Settings!$C$8,1,0)</f>
        <v>0</v>
      </c>
      <c r="AA52" s="53" t="n">
        <f aca="false">IF(S52=1,IF(J52="Listed / Publicado",0,1),0)</f>
        <v>0</v>
      </c>
      <c r="AB52" s="53" t="n">
        <f aca="false">IF(T52=1,IF(ISNUMBER(L52),L52-G52,0),0)</f>
        <v>0</v>
      </c>
      <c r="AC52" s="53" t="n">
        <f aca="false">IF(S52=1,IF(ISNUMBER(I52),I52-G52,0),0)</f>
        <v>0</v>
      </c>
    </row>
    <row r="53" customFormat="false" ht="15" hidden="false" customHeight="false" outlineLevel="0" collapsed="false">
      <c r="B53" s="54"/>
      <c r="C53" s="55"/>
      <c r="D53" s="55"/>
      <c r="E53" s="55"/>
      <c r="F53" s="56"/>
      <c r="G53" s="57"/>
      <c r="H53" s="55"/>
      <c r="I53" s="57"/>
      <c r="J53" s="54"/>
      <c r="K53" s="56"/>
      <c r="L53" s="57"/>
      <c r="M53" s="54"/>
      <c r="N53" s="58" t="str">
        <f aca="false">IF(S53=1,IF(U53&lt;0,"",U53),IF(Y53=1,X53,""))</f>
        <v/>
      </c>
      <c r="O53" s="59" t="str">
        <f aca="false">IF(S53=1,IF(ISNUMBER(I53),I53-G53,""),"")</f>
        <v/>
      </c>
      <c r="P53" s="59" t="str">
        <f aca="false">IF(T53=1,IF(ISNUMBER(L53),L53-G53,""),"")</f>
        <v/>
      </c>
      <c r="Q53" s="60" t="str">
        <f aca="false">IF(C53="","",IF(T53=1,"✔ SOLD / VENDIDO",IF(S53=0,"— CLOSED / CERRADO",IF(U53&lt;0,"⚠ ADD DATE / AGREGA FECHA",IF(U53&gt;=Settings!$C$8,"⚠ STALE – REPRICE / ESTANCADO",IF(U53&gt;=Settings!$C$7,"● WATCH / VIGILAR","✔ FRESH / RECIENTE"))))))</f>
        <v/>
      </c>
      <c r="S53" s="53" t="n">
        <f aca="false">IF(C53="",0,IF(OR(J53="",J53="In Stock / En Inventario",J53="Listed / Publicado"),1,0))</f>
        <v>0</v>
      </c>
      <c r="T53" s="53" t="n">
        <f aca="false">IF(C53="",0,IF(J53="Sold / Vendido",1,0))</f>
        <v>0</v>
      </c>
      <c r="U53" s="53" t="n">
        <f aca="true">IF(S53=1,IF(ISNUMBER(F53),TODAY()-F53,-1),-1)</f>
        <v>-1</v>
      </c>
      <c r="V53" s="53" t="n">
        <f aca="false">IF(U53&lt;0,IF(S53=1,5,0),IF(U53&lt;=30,1,IF(U53&lt;=60,2,IF(U53&lt;=90,3,4))))</f>
        <v>0</v>
      </c>
      <c r="W53" s="53" t="n">
        <f aca="false">IF(U53&lt;0,-1000000000000000,U53+ROW()/1000000)</f>
        <v>-1000000000000000</v>
      </c>
      <c r="X53" s="53" t="n">
        <f aca="false">IF(T53=1,IF(AND(ISNUMBER(F53),ISNUMBER(K53)),K53-F53,0),0)</f>
        <v>0</v>
      </c>
      <c r="Y53" s="53" t="n">
        <f aca="false">IF(T53=1,IF(AND(ISNUMBER(F53),ISNUMBER(K53)),1,0),0)</f>
        <v>0</v>
      </c>
      <c r="Z53" s="53" t="n">
        <f aca="false">IF(U53&gt;=Settings!$C$8,1,0)</f>
        <v>0</v>
      </c>
      <c r="AA53" s="53" t="n">
        <f aca="false">IF(S53=1,IF(J53="Listed / Publicado",0,1),0)</f>
        <v>0</v>
      </c>
      <c r="AB53" s="53" t="n">
        <f aca="false">IF(T53=1,IF(ISNUMBER(L53),L53-G53,0),0)</f>
        <v>0</v>
      </c>
      <c r="AC53" s="53" t="n">
        <f aca="false">IF(S53=1,IF(ISNUMBER(I53),I53-G53,0),0)</f>
        <v>0</v>
      </c>
    </row>
    <row r="54" customFormat="false" ht="15" hidden="false" customHeight="false" outlineLevel="0" collapsed="false">
      <c r="B54" s="54"/>
      <c r="C54" s="55"/>
      <c r="D54" s="55"/>
      <c r="E54" s="55"/>
      <c r="F54" s="56"/>
      <c r="G54" s="57"/>
      <c r="H54" s="55"/>
      <c r="I54" s="57"/>
      <c r="J54" s="54"/>
      <c r="K54" s="56"/>
      <c r="L54" s="57"/>
      <c r="M54" s="54"/>
      <c r="N54" s="58" t="str">
        <f aca="false">IF(S54=1,IF(U54&lt;0,"",U54),IF(Y54=1,X54,""))</f>
        <v/>
      </c>
      <c r="O54" s="59" t="str">
        <f aca="false">IF(S54=1,IF(ISNUMBER(I54),I54-G54,""),"")</f>
        <v/>
      </c>
      <c r="P54" s="59" t="str">
        <f aca="false">IF(T54=1,IF(ISNUMBER(L54),L54-G54,""),"")</f>
        <v/>
      </c>
      <c r="Q54" s="60" t="str">
        <f aca="false">IF(C54="","",IF(T54=1,"✔ SOLD / VENDIDO",IF(S54=0,"— CLOSED / CERRADO",IF(U54&lt;0,"⚠ ADD DATE / AGREGA FECHA",IF(U54&gt;=Settings!$C$8,"⚠ STALE – REPRICE / ESTANCADO",IF(U54&gt;=Settings!$C$7,"● WATCH / VIGILAR","✔ FRESH / RECIENTE"))))))</f>
        <v/>
      </c>
      <c r="S54" s="53" t="n">
        <f aca="false">IF(C54="",0,IF(OR(J54="",J54="In Stock / En Inventario",J54="Listed / Publicado"),1,0))</f>
        <v>0</v>
      </c>
      <c r="T54" s="53" t="n">
        <f aca="false">IF(C54="",0,IF(J54="Sold / Vendido",1,0))</f>
        <v>0</v>
      </c>
      <c r="U54" s="53" t="n">
        <f aca="true">IF(S54=1,IF(ISNUMBER(F54),TODAY()-F54,-1),-1)</f>
        <v>-1</v>
      </c>
      <c r="V54" s="53" t="n">
        <f aca="false">IF(U54&lt;0,IF(S54=1,5,0),IF(U54&lt;=30,1,IF(U54&lt;=60,2,IF(U54&lt;=90,3,4))))</f>
        <v>0</v>
      </c>
      <c r="W54" s="53" t="n">
        <f aca="false">IF(U54&lt;0,-1000000000000000,U54+ROW()/1000000)</f>
        <v>-1000000000000000</v>
      </c>
      <c r="X54" s="53" t="n">
        <f aca="false">IF(T54=1,IF(AND(ISNUMBER(F54),ISNUMBER(K54)),K54-F54,0),0)</f>
        <v>0</v>
      </c>
      <c r="Y54" s="53" t="n">
        <f aca="false">IF(T54=1,IF(AND(ISNUMBER(F54),ISNUMBER(K54)),1,0),0)</f>
        <v>0</v>
      </c>
      <c r="Z54" s="53" t="n">
        <f aca="false">IF(U54&gt;=Settings!$C$8,1,0)</f>
        <v>0</v>
      </c>
      <c r="AA54" s="53" t="n">
        <f aca="false">IF(S54=1,IF(J54="Listed / Publicado",0,1),0)</f>
        <v>0</v>
      </c>
      <c r="AB54" s="53" t="n">
        <f aca="false">IF(T54=1,IF(ISNUMBER(L54),L54-G54,0),0)</f>
        <v>0</v>
      </c>
      <c r="AC54" s="53" t="n">
        <f aca="false">IF(S54=1,IF(ISNUMBER(I54),I54-G54,0),0)</f>
        <v>0</v>
      </c>
    </row>
    <row r="55" customFormat="false" ht="15" hidden="false" customHeight="false" outlineLevel="0" collapsed="false">
      <c r="B55" s="54"/>
      <c r="C55" s="55"/>
      <c r="D55" s="55"/>
      <c r="E55" s="55"/>
      <c r="F55" s="56"/>
      <c r="G55" s="57"/>
      <c r="H55" s="55"/>
      <c r="I55" s="57"/>
      <c r="J55" s="54"/>
      <c r="K55" s="56"/>
      <c r="L55" s="57"/>
      <c r="M55" s="54"/>
      <c r="N55" s="58" t="str">
        <f aca="false">IF(S55=1,IF(U55&lt;0,"",U55),IF(Y55=1,X55,""))</f>
        <v/>
      </c>
      <c r="O55" s="59" t="str">
        <f aca="false">IF(S55=1,IF(ISNUMBER(I55),I55-G55,""),"")</f>
        <v/>
      </c>
      <c r="P55" s="59" t="str">
        <f aca="false">IF(T55=1,IF(ISNUMBER(L55),L55-G55,""),"")</f>
        <v/>
      </c>
      <c r="Q55" s="60" t="str">
        <f aca="false">IF(C55="","",IF(T55=1,"✔ SOLD / VENDIDO",IF(S55=0,"— CLOSED / CERRADO",IF(U55&lt;0,"⚠ ADD DATE / AGREGA FECHA",IF(U55&gt;=Settings!$C$8,"⚠ STALE – REPRICE / ESTANCADO",IF(U55&gt;=Settings!$C$7,"● WATCH / VIGILAR","✔ FRESH / RECIENTE"))))))</f>
        <v/>
      </c>
      <c r="S55" s="53" t="n">
        <f aca="false">IF(C55="",0,IF(OR(J55="",J55="In Stock / En Inventario",J55="Listed / Publicado"),1,0))</f>
        <v>0</v>
      </c>
      <c r="T55" s="53" t="n">
        <f aca="false">IF(C55="",0,IF(J55="Sold / Vendido",1,0))</f>
        <v>0</v>
      </c>
      <c r="U55" s="53" t="n">
        <f aca="true">IF(S55=1,IF(ISNUMBER(F55),TODAY()-F55,-1),-1)</f>
        <v>-1</v>
      </c>
      <c r="V55" s="53" t="n">
        <f aca="false">IF(U55&lt;0,IF(S55=1,5,0),IF(U55&lt;=30,1,IF(U55&lt;=60,2,IF(U55&lt;=90,3,4))))</f>
        <v>0</v>
      </c>
      <c r="W55" s="53" t="n">
        <f aca="false">IF(U55&lt;0,-1000000000000000,U55+ROW()/1000000)</f>
        <v>-1000000000000000</v>
      </c>
      <c r="X55" s="53" t="n">
        <f aca="false">IF(T55=1,IF(AND(ISNUMBER(F55),ISNUMBER(K55)),K55-F55,0),0)</f>
        <v>0</v>
      </c>
      <c r="Y55" s="53" t="n">
        <f aca="false">IF(T55=1,IF(AND(ISNUMBER(F55),ISNUMBER(K55)),1,0),0)</f>
        <v>0</v>
      </c>
      <c r="Z55" s="53" t="n">
        <f aca="false">IF(U55&gt;=Settings!$C$8,1,0)</f>
        <v>0</v>
      </c>
      <c r="AA55" s="53" t="n">
        <f aca="false">IF(S55=1,IF(J55="Listed / Publicado",0,1),0)</f>
        <v>0</v>
      </c>
      <c r="AB55" s="53" t="n">
        <f aca="false">IF(T55=1,IF(ISNUMBER(L55),L55-G55,0),0)</f>
        <v>0</v>
      </c>
      <c r="AC55" s="53" t="n">
        <f aca="false">IF(S55=1,IF(ISNUMBER(I55),I55-G55,0),0)</f>
        <v>0</v>
      </c>
    </row>
    <row r="56" customFormat="false" ht="15" hidden="false" customHeight="false" outlineLevel="0" collapsed="false">
      <c r="B56" s="54"/>
      <c r="C56" s="55"/>
      <c r="D56" s="55"/>
      <c r="E56" s="55"/>
      <c r="F56" s="56"/>
      <c r="G56" s="57"/>
      <c r="H56" s="55"/>
      <c r="I56" s="57"/>
      <c r="J56" s="54"/>
      <c r="K56" s="56"/>
      <c r="L56" s="57"/>
      <c r="M56" s="54"/>
      <c r="N56" s="58" t="str">
        <f aca="false">IF(S56=1,IF(U56&lt;0,"",U56),IF(Y56=1,X56,""))</f>
        <v/>
      </c>
      <c r="O56" s="59" t="str">
        <f aca="false">IF(S56=1,IF(ISNUMBER(I56),I56-G56,""),"")</f>
        <v/>
      </c>
      <c r="P56" s="59" t="str">
        <f aca="false">IF(T56=1,IF(ISNUMBER(L56),L56-G56,""),"")</f>
        <v/>
      </c>
      <c r="Q56" s="60" t="str">
        <f aca="false">IF(C56="","",IF(T56=1,"✔ SOLD / VENDIDO",IF(S56=0,"— CLOSED / CERRADO",IF(U56&lt;0,"⚠ ADD DATE / AGREGA FECHA",IF(U56&gt;=Settings!$C$8,"⚠ STALE – REPRICE / ESTANCADO",IF(U56&gt;=Settings!$C$7,"● WATCH / VIGILAR","✔ FRESH / RECIENTE"))))))</f>
        <v/>
      </c>
      <c r="S56" s="53" t="n">
        <f aca="false">IF(C56="",0,IF(OR(J56="",J56="In Stock / En Inventario",J56="Listed / Publicado"),1,0))</f>
        <v>0</v>
      </c>
      <c r="T56" s="53" t="n">
        <f aca="false">IF(C56="",0,IF(J56="Sold / Vendido",1,0))</f>
        <v>0</v>
      </c>
      <c r="U56" s="53" t="n">
        <f aca="true">IF(S56=1,IF(ISNUMBER(F56),TODAY()-F56,-1),-1)</f>
        <v>-1</v>
      </c>
      <c r="V56" s="53" t="n">
        <f aca="false">IF(U56&lt;0,IF(S56=1,5,0),IF(U56&lt;=30,1,IF(U56&lt;=60,2,IF(U56&lt;=90,3,4))))</f>
        <v>0</v>
      </c>
      <c r="W56" s="53" t="n">
        <f aca="false">IF(U56&lt;0,-1000000000000000,U56+ROW()/1000000)</f>
        <v>-1000000000000000</v>
      </c>
      <c r="X56" s="53" t="n">
        <f aca="false">IF(T56=1,IF(AND(ISNUMBER(F56),ISNUMBER(K56)),K56-F56,0),0)</f>
        <v>0</v>
      </c>
      <c r="Y56" s="53" t="n">
        <f aca="false">IF(T56=1,IF(AND(ISNUMBER(F56),ISNUMBER(K56)),1,0),0)</f>
        <v>0</v>
      </c>
      <c r="Z56" s="53" t="n">
        <f aca="false">IF(U56&gt;=Settings!$C$8,1,0)</f>
        <v>0</v>
      </c>
      <c r="AA56" s="53" t="n">
        <f aca="false">IF(S56=1,IF(J56="Listed / Publicado",0,1),0)</f>
        <v>0</v>
      </c>
      <c r="AB56" s="53" t="n">
        <f aca="false">IF(T56=1,IF(ISNUMBER(L56),L56-G56,0),0)</f>
        <v>0</v>
      </c>
      <c r="AC56" s="53" t="n">
        <f aca="false">IF(S56=1,IF(ISNUMBER(I56),I56-G56,0),0)</f>
        <v>0</v>
      </c>
    </row>
    <row r="57" customFormat="false" ht="15" hidden="false" customHeight="false" outlineLevel="0" collapsed="false">
      <c r="B57" s="54"/>
      <c r="C57" s="55"/>
      <c r="D57" s="55"/>
      <c r="E57" s="55"/>
      <c r="F57" s="56"/>
      <c r="G57" s="57"/>
      <c r="H57" s="55"/>
      <c r="I57" s="57"/>
      <c r="J57" s="54"/>
      <c r="K57" s="56"/>
      <c r="L57" s="57"/>
      <c r="M57" s="54"/>
      <c r="N57" s="58" t="str">
        <f aca="false">IF(S57=1,IF(U57&lt;0,"",U57),IF(Y57=1,X57,""))</f>
        <v/>
      </c>
      <c r="O57" s="59" t="str">
        <f aca="false">IF(S57=1,IF(ISNUMBER(I57),I57-G57,""),"")</f>
        <v/>
      </c>
      <c r="P57" s="59" t="str">
        <f aca="false">IF(T57=1,IF(ISNUMBER(L57),L57-G57,""),"")</f>
        <v/>
      </c>
      <c r="Q57" s="60" t="str">
        <f aca="false">IF(C57="","",IF(T57=1,"✔ SOLD / VENDIDO",IF(S57=0,"— CLOSED / CERRADO",IF(U57&lt;0,"⚠ ADD DATE / AGREGA FECHA",IF(U57&gt;=Settings!$C$8,"⚠ STALE – REPRICE / ESTANCADO",IF(U57&gt;=Settings!$C$7,"● WATCH / VIGILAR","✔ FRESH / RECIENTE"))))))</f>
        <v/>
      </c>
      <c r="S57" s="53" t="n">
        <f aca="false">IF(C57="",0,IF(OR(J57="",J57="In Stock / En Inventario",J57="Listed / Publicado"),1,0))</f>
        <v>0</v>
      </c>
      <c r="T57" s="53" t="n">
        <f aca="false">IF(C57="",0,IF(J57="Sold / Vendido",1,0))</f>
        <v>0</v>
      </c>
      <c r="U57" s="53" t="n">
        <f aca="true">IF(S57=1,IF(ISNUMBER(F57),TODAY()-F57,-1),-1)</f>
        <v>-1</v>
      </c>
      <c r="V57" s="53" t="n">
        <f aca="false">IF(U57&lt;0,IF(S57=1,5,0),IF(U57&lt;=30,1,IF(U57&lt;=60,2,IF(U57&lt;=90,3,4))))</f>
        <v>0</v>
      </c>
      <c r="W57" s="53" t="n">
        <f aca="false">IF(U57&lt;0,-1000000000000000,U57+ROW()/1000000)</f>
        <v>-1000000000000000</v>
      </c>
      <c r="X57" s="53" t="n">
        <f aca="false">IF(T57=1,IF(AND(ISNUMBER(F57),ISNUMBER(K57)),K57-F57,0),0)</f>
        <v>0</v>
      </c>
      <c r="Y57" s="53" t="n">
        <f aca="false">IF(T57=1,IF(AND(ISNUMBER(F57),ISNUMBER(K57)),1,0),0)</f>
        <v>0</v>
      </c>
      <c r="Z57" s="53" t="n">
        <f aca="false">IF(U57&gt;=Settings!$C$8,1,0)</f>
        <v>0</v>
      </c>
      <c r="AA57" s="53" t="n">
        <f aca="false">IF(S57=1,IF(J57="Listed / Publicado",0,1),0)</f>
        <v>0</v>
      </c>
      <c r="AB57" s="53" t="n">
        <f aca="false">IF(T57=1,IF(ISNUMBER(L57),L57-G57,0),0)</f>
        <v>0</v>
      </c>
      <c r="AC57" s="53" t="n">
        <f aca="false">IF(S57=1,IF(ISNUMBER(I57),I57-G57,0),0)</f>
        <v>0</v>
      </c>
    </row>
    <row r="58" customFormat="false" ht="15" hidden="false" customHeight="false" outlineLevel="0" collapsed="false">
      <c r="B58" s="54"/>
      <c r="C58" s="55"/>
      <c r="D58" s="55"/>
      <c r="E58" s="55"/>
      <c r="F58" s="56"/>
      <c r="G58" s="57"/>
      <c r="H58" s="55"/>
      <c r="I58" s="57"/>
      <c r="J58" s="54"/>
      <c r="K58" s="56"/>
      <c r="L58" s="57"/>
      <c r="M58" s="54"/>
      <c r="N58" s="58" t="str">
        <f aca="false">IF(S58=1,IF(U58&lt;0,"",U58),IF(Y58=1,X58,""))</f>
        <v/>
      </c>
      <c r="O58" s="59" t="str">
        <f aca="false">IF(S58=1,IF(ISNUMBER(I58),I58-G58,""),"")</f>
        <v/>
      </c>
      <c r="P58" s="59" t="str">
        <f aca="false">IF(T58=1,IF(ISNUMBER(L58),L58-G58,""),"")</f>
        <v/>
      </c>
      <c r="Q58" s="60" t="str">
        <f aca="false">IF(C58="","",IF(T58=1,"✔ SOLD / VENDIDO",IF(S58=0,"— CLOSED / CERRADO",IF(U58&lt;0,"⚠ ADD DATE / AGREGA FECHA",IF(U58&gt;=Settings!$C$8,"⚠ STALE – REPRICE / ESTANCADO",IF(U58&gt;=Settings!$C$7,"● WATCH / VIGILAR","✔ FRESH / RECIENTE"))))))</f>
        <v/>
      </c>
      <c r="S58" s="53" t="n">
        <f aca="false">IF(C58="",0,IF(OR(J58="",J58="In Stock / En Inventario",J58="Listed / Publicado"),1,0))</f>
        <v>0</v>
      </c>
      <c r="T58" s="53" t="n">
        <f aca="false">IF(C58="",0,IF(J58="Sold / Vendido",1,0))</f>
        <v>0</v>
      </c>
      <c r="U58" s="53" t="n">
        <f aca="true">IF(S58=1,IF(ISNUMBER(F58),TODAY()-F58,-1),-1)</f>
        <v>-1</v>
      </c>
      <c r="V58" s="53" t="n">
        <f aca="false">IF(U58&lt;0,IF(S58=1,5,0),IF(U58&lt;=30,1,IF(U58&lt;=60,2,IF(U58&lt;=90,3,4))))</f>
        <v>0</v>
      </c>
      <c r="W58" s="53" t="n">
        <f aca="false">IF(U58&lt;0,-1000000000000000,U58+ROW()/1000000)</f>
        <v>-1000000000000000</v>
      </c>
      <c r="X58" s="53" t="n">
        <f aca="false">IF(T58=1,IF(AND(ISNUMBER(F58),ISNUMBER(K58)),K58-F58,0),0)</f>
        <v>0</v>
      </c>
      <c r="Y58" s="53" t="n">
        <f aca="false">IF(T58=1,IF(AND(ISNUMBER(F58),ISNUMBER(K58)),1,0),0)</f>
        <v>0</v>
      </c>
      <c r="Z58" s="53" t="n">
        <f aca="false">IF(U58&gt;=Settings!$C$8,1,0)</f>
        <v>0</v>
      </c>
      <c r="AA58" s="53" t="n">
        <f aca="false">IF(S58=1,IF(J58="Listed / Publicado",0,1),0)</f>
        <v>0</v>
      </c>
      <c r="AB58" s="53" t="n">
        <f aca="false">IF(T58=1,IF(ISNUMBER(L58),L58-G58,0),0)</f>
        <v>0</v>
      </c>
      <c r="AC58" s="53" t="n">
        <f aca="false">IF(S58=1,IF(ISNUMBER(I58),I58-G58,0),0)</f>
        <v>0</v>
      </c>
    </row>
    <row r="59" customFormat="false" ht="15" hidden="false" customHeight="false" outlineLevel="0" collapsed="false">
      <c r="B59" s="54"/>
      <c r="C59" s="55"/>
      <c r="D59" s="55"/>
      <c r="E59" s="55"/>
      <c r="F59" s="56"/>
      <c r="G59" s="57"/>
      <c r="H59" s="55"/>
      <c r="I59" s="57"/>
      <c r="J59" s="54"/>
      <c r="K59" s="56"/>
      <c r="L59" s="57"/>
      <c r="M59" s="54"/>
      <c r="N59" s="58" t="str">
        <f aca="false">IF(S59=1,IF(U59&lt;0,"",U59),IF(Y59=1,X59,""))</f>
        <v/>
      </c>
      <c r="O59" s="59" t="str">
        <f aca="false">IF(S59=1,IF(ISNUMBER(I59),I59-G59,""),"")</f>
        <v/>
      </c>
      <c r="P59" s="59" t="str">
        <f aca="false">IF(T59=1,IF(ISNUMBER(L59),L59-G59,""),"")</f>
        <v/>
      </c>
      <c r="Q59" s="60" t="str">
        <f aca="false">IF(C59="","",IF(T59=1,"✔ SOLD / VENDIDO",IF(S59=0,"— CLOSED / CERRADO",IF(U59&lt;0,"⚠ ADD DATE / AGREGA FECHA",IF(U59&gt;=Settings!$C$8,"⚠ STALE – REPRICE / ESTANCADO",IF(U59&gt;=Settings!$C$7,"● WATCH / VIGILAR","✔ FRESH / RECIENTE"))))))</f>
        <v/>
      </c>
      <c r="S59" s="53" t="n">
        <f aca="false">IF(C59="",0,IF(OR(J59="",J59="In Stock / En Inventario",J59="Listed / Publicado"),1,0))</f>
        <v>0</v>
      </c>
      <c r="T59" s="53" t="n">
        <f aca="false">IF(C59="",0,IF(J59="Sold / Vendido",1,0))</f>
        <v>0</v>
      </c>
      <c r="U59" s="53" t="n">
        <f aca="true">IF(S59=1,IF(ISNUMBER(F59),TODAY()-F59,-1),-1)</f>
        <v>-1</v>
      </c>
      <c r="V59" s="53" t="n">
        <f aca="false">IF(U59&lt;0,IF(S59=1,5,0),IF(U59&lt;=30,1,IF(U59&lt;=60,2,IF(U59&lt;=90,3,4))))</f>
        <v>0</v>
      </c>
      <c r="W59" s="53" t="n">
        <f aca="false">IF(U59&lt;0,-1000000000000000,U59+ROW()/1000000)</f>
        <v>-1000000000000000</v>
      </c>
      <c r="X59" s="53" t="n">
        <f aca="false">IF(T59=1,IF(AND(ISNUMBER(F59),ISNUMBER(K59)),K59-F59,0),0)</f>
        <v>0</v>
      </c>
      <c r="Y59" s="53" t="n">
        <f aca="false">IF(T59=1,IF(AND(ISNUMBER(F59),ISNUMBER(K59)),1,0),0)</f>
        <v>0</v>
      </c>
      <c r="Z59" s="53" t="n">
        <f aca="false">IF(U59&gt;=Settings!$C$8,1,0)</f>
        <v>0</v>
      </c>
      <c r="AA59" s="53" t="n">
        <f aca="false">IF(S59=1,IF(J59="Listed / Publicado",0,1),0)</f>
        <v>0</v>
      </c>
      <c r="AB59" s="53" t="n">
        <f aca="false">IF(T59=1,IF(ISNUMBER(L59),L59-G59,0),0)</f>
        <v>0</v>
      </c>
      <c r="AC59" s="53" t="n">
        <f aca="false">IF(S59=1,IF(ISNUMBER(I59),I59-G59,0),0)</f>
        <v>0</v>
      </c>
    </row>
    <row r="60" customFormat="false" ht="15" hidden="false" customHeight="false" outlineLevel="0" collapsed="false">
      <c r="B60" s="54"/>
      <c r="C60" s="55"/>
      <c r="D60" s="55"/>
      <c r="E60" s="55"/>
      <c r="F60" s="56"/>
      <c r="G60" s="57"/>
      <c r="H60" s="55"/>
      <c r="I60" s="57"/>
      <c r="J60" s="54"/>
      <c r="K60" s="56"/>
      <c r="L60" s="57"/>
      <c r="M60" s="54"/>
      <c r="N60" s="58" t="str">
        <f aca="false">IF(S60=1,IF(U60&lt;0,"",U60),IF(Y60=1,X60,""))</f>
        <v/>
      </c>
      <c r="O60" s="59" t="str">
        <f aca="false">IF(S60=1,IF(ISNUMBER(I60),I60-G60,""),"")</f>
        <v/>
      </c>
      <c r="P60" s="59" t="str">
        <f aca="false">IF(T60=1,IF(ISNUMBER(L60),L60-G60,""),"")</f>
        <v/>
      </c>
      <c r="Q60" s="60" t="str">
        <f aca="false">IF(C60="","",IF(T60=1,"✔ SOLD / VENDIDO",IF(S60=0,"— CLOSED / CERRADO",IF(U60&lt;0,"⚠ ADD DATE / AGREGA FECHA",IF(U60&gt;=Settings!$C$8,"⚠ STALE – REPRICE / ESTANCADO",IF(U60&gt;=Settings!$C$7,"● WATCH / VIGILAR","✔ FRESH / RECIENTE"))))))</f>
        <v/>
      </c>
      <c r="S60" s="53" t="n">
        <f aca="false">IF(C60="",0,IF(OR(J60="",J60="In Stock / En Inventario",J60="Listed / Publicado"),1,0))</f>
        <v>0</v>
      </c>
      <c r="T60" s="53" t="n">
        <f aca="false">IF(C60="",0,IF(J60="Sold / Vendido",1,0))</f>
        <v>0</v>
      </c>
      <c r="U60" s="53" t="n">
        <f aca="true">IF(S60=1,IF(ISNUMBER(F60),TODAY()-F60,-1),-1)</f>
        <v>-1</v>
      </c>
      <c r="V60" s="53" t="n">
        <f aca="false">IF(U60&lt;0,IF(S60=1,5,0),IF(U60&lt;=30,1,IF(U60&lt;=60,2,IF(U60&lt;=90,3,4))))</f>
        <v>0</v>
      </c>
      <c r="W60" s="53" t="n">
        <f aca="false">IF(U60&lt;0,-1000000000000000,U60+ROW()/1000000)</f>
        <v>-1000000000000000</v>
      </c>
      <c r="X60" s="53" t="n">
        <f aca="false">IF(T60=1,IF(AND(ISNUMBER(F60),ISNUMBER(K60)),K60-F60,0),0)</f>
        <v>0</v>
      </c>
      <c r="Y60" s="53" t="n">
        <f aca="false">IF(T60=1,IF(AND(ISNUMBER(F60),ISNUMBER(K60)),1,0),0)</f>
        <v>0</v>
      </c>
      <c r="Z60" s="53" t="n">
        <f aca="false">IF(U60&gt;=Settings!$C$8,1,0)</f>
        <v>0</v>
      </c>
      <c r="AA60" s="53" t="n">
        <f aca="false">IF(S60=1,IF(J60="Listed / Publicado",0,1),0)</f>
        <v>0</v>
      </c>
      <c r="AB60" s="53" t="n">
        <f aca="false">IF(T60=1,IF(ISNUMBER(L60),L60-G60,0),0)</f>
        <v>0</v>
      </c>
      <c r="AC60" s="53" t="n">
        <f aca="false">IF(S60=1,IF(ISNUMBER(I60),I60-G60,0),0)</f>
        <v>0</v>
      </c>
    </row>
    <row r="61" customFormat="false" ht="15" hidden="false" customHeight="false" outlineLevel="0" collapsed="false">
      <c r="B61" s="54"/>
      <c r="C61" s="55"/>
      <c r="D61" s="55"/>
      <c r="E61" s="55"/>
      <c r="F61" s="56"/>
      <c r="G61" s="57"/>
      <c r="H61" s="55"/>
      <c r="I61" s="57"/>
      <c r="J61" s="54"/>
      <c r="K61" s="56"/>
      <c r="L61" s="57"/>
      <c r="M61" s="54"/>
      <c r="N61" s="58" t="str">
        <f aca="false">IF(S61=1,IF(U61&lt;0,"",U61),IF(Y61=1,X61,""))</f>
        <v/>
      </c>
      <c r="O61" s="59" t="str">
        <f aca="false">IF(S61=1,IF(ISNUMBER(I61),I61-G61,""),"")</f>
        <v/>
      </c>
      <c r="P61" s="59" t="str">
        <f aca="false">IF(T61=1,IF(ISNUMBER(L61),L61-G61,""),"")</f>
        <v/>
      </c>
      <c r="Q61" s="60" t="str">
        <f aca="false">IF(C61="","",IF(T61=1,"✔ SOLD / VENDIDO",IF(S61=0,"— CLOSED / CERRADO",IF(U61&lt;0,"⚠ ADD DATE / AGREGA FECHA",IF(U61&gt;=Settings!$C$8,"⚠ STALE – REPRICE / ESTANCADO",IF(U61&gt;=Settings!$C$7,"● WATCH / VIGILAR","✔ FRESH / RECIENTE"))))))</f>
        <v/>
      </c>
      <c r="S61" s="53" t="n">
        <f aca="false">IF(C61="",0,IF(OR(J61="",J61="In Stock / En Inventario",J61="Listed / Publicado"),1,0))</f>
        <v>0</v>
      </c>
      <c r="T61" s="53" t="n">
        <f aca="false">IF(C61="",0,IF(J61="Sold / Vendido",1,0))</f>
        <v>0</v>
      </c>
      <c r="U61" s="53" t="n">
        <f aca="true">IF(S61=1,IF(ISNUMBER(F61),TODAY()-F61,-1),-1)</f>
        <v>-1</v>
      </c>
      <c r="V61" s="53" t="n">
        <f aca="false">IF(U61&lt;0,IF(S61=1,5,0),IF(U61&lt;=30,1,IF(U61&lt;=60,2,IF(U61&lt;=90,3,4))))</f>
        <v>0</v>
      </c>
      <c r="W61" s="53" t="n">
        <f aca="false">IF(U61&lt;0,-1000000000000000,U61+ROW()/1000000)</f>
        <v>-1000000000000000</v>
      </c>
      <c r="X61" s="53" t="n">
        <f aca="false">IF(T61=1,IF(AND(ISNUMBER(F61),ISNUMBER(K61)),K61-F61,0),0)</f>
        <v>0</v>
      </c>
      <c r="Y61" s="53" t="n">
        <f aca="false">IF(T61=1,IF(AND(ISNUMBER(F61),ISNUMBER(K61)),1,0),0)</f>
        <v>0</v>
      </c>
      <c r="Z61" s="53" t="n">
        <f aca="false">IF(U61&gt;=Settings!$C$8,1,0)</f>
        <v>0</v>
      </c>
      <c r="AA61" s="53" t="n">
        <f aca="false">IF(S61=1,IF(J61="Listed / Publicado",0,1),0)</f>
        <v>0</v>
      </c>
      <c r="AB61" s="53" t="n">
        <f aca="false">IF(T61=1,IF(ISNUMBER(L61),L61-G61,0),0)</f>
        <v>0</v>
      </c>
      <c r="AC61" s="53" t="n">
        <f aca="false">IF(S61=1,IF(ISNUMBER(I61),I61-G61,0),0)</f>
        <v>0</v>
      </c>
    </row>
    <row r="62" customFormat="false" ht="15" hidden="false" customHeight="false" outlineLevel="0" collapsed="false">
      <c r="B62" s="54"/>
      <c r="C62" s="55"/>
      <c r="D62" s="55"/>
      <c r="E62" s="55"/>
      <c r="F62" s="56"/>
      <c r="G62" s="57"/>
      <c r="H62" s="55"/>
      <c r="I62" s="57"/>
      <c r="J62" s="54"/>
      <c r="K62" s="56"/>
      <c r="L62" s="57"/>
      <c r="M62" s="54"/>
      <c r="N62" s="58" t="str">
        <f aca="false">IF(S62=1,IF(U62&lt;0,"",U62),IF(Y62=1,X62,""))</f>
        <v/>
      </c>
      <c r="O62" s="59" t="str">
        <f aca="false">IF(S62=1,IF(ISNUMBER(I62),I62-G62,""),"")</f>
        <v/>
      </c>
      <c r="P62" s="59" t="str">
        <f aca="false">IF(T62=1,IF(ISNUMBER(L62),L62-G62,""),"")</f>
        <v/>
      </c>
      <c r="Q62" s="60" t="str">
        <f aca="false">IF(C62="","",IF(T62=1,"✔ SOLD / VENDIDO",IF(S62=0,"— CLOSED / CERRADO",IF(U62&lt;0,"⚠ ADD DATE / AGREGA FECHA",IF(U62&gt;=Settings!$C$8,"⚠ STALE – REPRICE / ESTANCADO",IF(U62&gt;=Settings!$C$7,"● WATCH / VIGILAR","✔ FRESH / RECIENTE"))))))</f>
        <v/>
      </c>
      <c r="S62" s="53" t="n">
        <f aca="false">IF(C62="",0,IF(OR(J62="",J62="In Stock / En Inventario",J62="Listed / Publicado"),1,0))</f>
        <v>0</v>
      </c>
      <c r="T62" s="53" t="n">
        <f aca="false">IF(C62="",0,IF(J62="Sold / Vendido",1,0))</f>
        <v>0</v>
      </c>
      <c r="U62" s="53" t="n">
        <f aca="true">IF(S62=1,IF(ISNUMBER(F62),TODAY()-F62,-1),-1)</f>
        <v>-1</v>
      </c>
      <c r="V62" s="53" t="n">
        <f aca="false">IF(U62&lt;0,IF(S62=1,5,0),IF(U62&lt;=30,1,IF(U62&lt;=60,2,IF(U62&lt;=90,3,4))))</f>
        <v>0</v>
      </c>
      <c r="W62" s="53" t="n">
        <f aca="false">IF(U62&lt;0,-1000000000000000,U62+ROW()/1000000)</f>
        <v>-1000000000000000</v>
      </c>
      <c r="X62" s="53" t="n">
        <f aca="false">IF(T62=1,IF(AND(ISNUMBER(F62),ISNUMBER(K62)),K62-F62,0),0)</f>
        <v>0</v>
      </c>
      <c r="Y62" s="53" t="n">
        <f aca="false">IF(T62=1,IF(AND(ISNUMBER(F62),ISNUMBER(K62)),1,0),0)</f>
        <v>0</v>
      </c>
      <c r="Z62" s="53" t="n">
        <f aca="false">IF(U62&gt;=Settings!$C$8,1,0)</f>
        <v>0</v>
      </c>
      <c r="AA62" s="53" t="n">
        <f aca="false">IF(S62=1,IF(J62="Listed / Publicado",0,1),0)</f>
        <v>0</v>
      </c>
      <c r="AB62" s="53" t="n">
        <f aca="false">IF(T62=1,IF(ISNUMBER(L62),L62-G62,0),0)</f>
        <v>0</v>
      </c>
      <c r="AC62" s="53" t="n">
        <f aca="false">IF(S62=1,IF(ISNUMBER(I62),I62-G62,0),0)</f>
        <v>0</v>
      </c>
    </row>
    <row r="63" customFormat="false" ht="15" hidden="false" customHeight="false" outlineLevel="0" collapsed="false">
      <c r="B63" s="54"/>
      <c r="C63" s="55"/>
      <c r="D63" s="55"/>
      <c r="E63" s="55"/>
      <c r="F63" s="56"/>
      <c r="G63" s="57"/>
      <c r="H63" s="55"/>
      <c r="I63" s="57"/>
      <c r="J63" s="54"/>
      <c r="K63" s="56"/>
      <c r="L63" s="57"/>
      <c r="M63" s="54"/>
      <c r="N63" s="58" t="str">
        <f aca="false">IF(S63=1,IF(U63&lt;0,"",U63),IF(Y63=1,X63,""))</f>
        <v/>
      </c>
      <c r="O63" s="59" t="str">
        <f aca="false">IF(S63=1,IF(ISNUMBER(I63),I63-G63,""),"")</f>
        <v/>
      </c>
      <c r="P63" s="59" t="str">
        <f aca="false">IF(T63=1,IF(ISNUMBER(L63),L63-G63,""),"")</f>
        <v/>
      </c>
      <c r="Q63" s="60" t="str">
        <f aca="false">IF(C63="","",IF(T63=1,"✔ SOLD / VENDIDO",IF(S63=0,"— CLOSED / CERRADO",IF(U63&lt;0,"⚠ ADD DATE / AGREGA FECHA",IF(U63&gt;=Settings!$C$8,"⚠ STALE – REPRICE / ESTANCADO",IF(U63&gt;=Settings!$C$7,"● WATCH / VIGILAR","✔ FRESH / RECIENTE"))))))</f>
        <v/>
      </c>
      <c r="S63" s="53" t="n">
        <f aca="false">IF(C63="",0,IF(OR(J63="",J63="In Stock / En Inventario",J63="Listed / Publicado"),1,0))</f>
        <v>0</v>
      </c>
      <c r="T63" s="53" t="n">
        <f aca="false">IF(C63="",0,IF(J63="Sold / Vendido",1,0))</f>
        <v>0</v>
      </c>
      <c r="U63" s="53" t="n">
        <f aca="true">IF(S63=1,IF(ISNUMBER(F63),TODAY()-F63,-1),-1)</f>
        <v>-1</v>
      </c>
      <c r="V63" s="53" t="n">
        <f aca="false">IF(U63&lt;0,IF(S63=1,5,0),IF(U63&lt;=30,1,IF(U63&lt;=60,2,IF(U63&lt;=90,3,4))))</f>
        <v>0</v>
      </c>
      <c r="W63" s="53" t="n">
        <f aca="false">IF(U63&lt;0,-1000000000000000,U63+ROW()/1000000)</f>
        <v>-1000000000000000</v>
      </c>
      <c r="X63" s="53" t="n">
        <f aca="false">IF(T63=1,IF(AND(ISNUMBER(F63),ISNUMBER(K63)),K63-F63,0),0)</f>
        <v>0</v>
      </c>
      <c r="Y63" s="53" t="n">
        <f aca="false">IF(T63=1,IF(AND(ISNUMBER(F63),ISNUMBER(K63)),1,0),0)</f>
        <v>0</v>
      </c>
      <c r="Z63" s="53" t="n">
        <f aca="false">IF(U63&gt;=Settings!$C$8,1,0)</f>
        <v>0</v>
      </c>
      <c r="AA63" s="53" t="n">
        <f aca="false">IF(S63=1,IF(J63="Listed / Publicado",0,1),0)</f>
        <v>0</v>
      </c>
      <c r="AB63" s="53" t="n">
        <f aca="false">IF(T63=1,IF(ISNUMBER(L63),L63-G63,0),0)</f>
        <v>0</v>
      </c>
      <c r="AC63" s="53" t="n">
        <f aca="false">IF(S63=1,IF(ISNUMBER(I63),I63-G63,0),0)</f>
        <v>0</v>
      </c>
    </row>
    <row r="64" customFormat="false" ht="15" hidden="false" customHeight="false" outlineLevel="0" collapsed="false">
      <c r="B64" s="54"/>
      <c r="C64" s="55"/>
      <c r="D64" s="55"/>
      <c r="E64" s="55"/>
      <c r="F64" s="56"/>
      <c r="G64" s="57"/>
      <c r="H64" s="55"/>
      <c r="I64" s="57"/>
      <c r="J64" s="54"/>
      <c r="K64" s="56"/>
      <c r="L64" s="57"/>
      <c r="M64" s="54"/>
      <c r="N64" s="58" t="str">
        <f aca="false">IF(S64=1,IF(U64&lt;0,"",U64),IF(Y64=1,X64,""))</f>
        <v/>
      </c>
      <c r="O64" s="59" t="str">
        <f aca="false">IF(S64=1,IF(ISNUMBER(I64),I64-G64,""),"")</f>
        <v/>
      </c>
      <c r="P64" s="59" t="str">
        <f aca="false">IF(T64=1,IF(ISNUMBER(L64),L64-G64,""),"")</f>
        <v/>
      </c>
      <c r="Q64" s="60" t="str">
        <f aca="false">IF(C64="","",IF(T64=1,"✔ SOLD / VENDIDO",IF(S64=0,"— CLOSED / CERRADO",IF(U64&lt;0,"⚠ ADD DATE / AGREGA FECHA",IF(U64&gt;=Settings!$C$8,"⚠ STALE – REPRICE / ESTANCADO",IF(U64&gt;=Settings!$C$7,"● WATCH / VIGILAR","✔ FRESH / RECIENTE"))))))</f>
        <v/>
      </c>
      <c r="S64" s="53" t="n">
        <f aca="false">IF(C64="",0,IF(OR(J64="",J64="In Stock / En Inventario",J64="Listed / Publicado"),1,0))</f>
        <v>0</v>
      </c>
      <c r="T64" s="53" t="n">
        <f aca="false">IF(C64="",0,IF(J64="Sold / Vendido",1,0))</f>
        <v>0</v>
      </c>
      <c r="U64" s="53" t="n">
        <f aca="true">IF(S64=1,IF(ISNUMBER(F64),TODAY()-F64,-1),-1)</f>
        <v>-1</v>
      </c>
      <c r="V64" s="53" t="n">
        <f aca="false">IF(U64&lt;0,IF(S64=1,5,0),IF(U64&lt;=30,1,IF(U64&lt;=60,2,IF(U64&lt;=90,3,4))))</f>
        <v>0</v>
      </c>
      <c r="W64" s="53" t="n">
        <f aca="false">IF(U64&lt;0,-1000000000000000,U64+ROW()/1000000)</f>
        <v>-1000000000000000</v>
      </c>
      <c r="X64" s="53" t="n">
        <f aca="false">IF(T64=1,IF(AND(ISNUMBER(F64),ISNUMBER(K64)),K64-F64,0),0)</f>
        <v>0</v>
      </c>
      <c r="Y64" s="53" t="n">
        <f aca="false">IF(T64=1,IF(AND(ISNUMBER(F64),ISNUMBER(K64)),1,0),0)</f>
        <v>0</v>
      </c>
      <c r="Z64" s="53" t="n">
        <f aca="false">IF(U64&gt;=Settings!$C$8,1,0)</f>
        <v>0</v>
      </c>
      <c r="AA64" s="53" t="n">
        <f aca="false">IF(S64=1,IF(J64="Listed / Publicado",0,1),0)</f>
        <v>0</v>
      </c>
      <c r="AB64" s="53" t="n">
        <f aca="false">IF(T64=1,IF(ISNUMBER(L64),L64-G64,0),0)</f>
        <v>0</v>
      </c>
      <c r="AC64" s="53" t="n">
        <f aca="false">IF(S64=1,IF(ISNUMBER(I64),I64-G64,0),0)</f>
        <v>0</v>
      </c>
    </row>
    <row r="65" customFormat="false" ht="15" hidden="false" customHeight="false" outlineLevel="0" collapsed="false">
      <c r="B65" s="54"/>
      <c r="C65" s="55"/>
      <c r="D65" s="55"/>
      <c r="E65" s="55"/>
      <c r="F65" s="56"/>
      <c r="G65" s="57"/>
      <c r="H65" s="55"/>
      <c r="I65" s="57"/>
      <c r="J65" s="54"/>
      <c r="K65" s="56"/>
      <c r="L65" s="57"/>
      <c r="M65" s="54"/>
      <c r="N65" s="58" t="str">
        <f aca="false">IF(S65=1,IF(U65&lt;0,"",U65),IF(Y65=1,X65,""))</f>
        <v/>
      </c>
      <c r="O65" s="59" t="str">
        <f aca="false">IF(S65=1,IF(ISNUMBER(I65),I65-G65,""),"")</f>
        <v/>
      </c>
      <c r="P65" s="59" t="str">
        <f aca="false">IF(T65=1,IF(ISNUMBER(L65),L65-G65,""),"")</f>
        <v/>
      </c>
      <c r="Q65" s="60" t="str">
        <f aca="false">IF(C65="","",IF(T65=1,"✔ SOLD / VENDIDO",IF(S65=0,"— CLOSED / CERRADO",IF(U65&lt;0,"⚠ ADD DATE / AGREGA FECHA",IF(U65&gt;=Settings!$C$8,"⚠ STALE – REPRICE / ESTANCADO",IF(U65&gt;=Settings!$C$7,"● WATCH / VIGILAR","✔ FRESH / RECIENTE"))))))</f>
        <v/>
      </c>
      <c r="S65" s="53" t="n">
        <f aca="false">IF(C65="",0,IF(OR(J65="",J65="In Stock / En Inventario",J65="Listed / Publicado"),1,0))</f>
        <v>0</v>
      </c>
      <c r="T65" s="53" t="n">
        <f aca="false">IF(C65="",0,IF(J65="Sold / Vendido",1,0))</f>
        <v>0</v>
      </c>
      <c r="U65" s="53" t="n">
        <f aca="true">IF(S65=1,IF(ISNUMBER(F65),TODAY()-F65,-1),-1)</f>
        <v>-1</v>
      </c>
      <c r="V65" s="53" t="n">
        <f aca="false">IF(U65&lt;0,IF(S65=1,5,0),IF(U65&lt;=30,1,IF(U65&lt;=60,2,IF(U65&lt;=90,3,4))))</f>
        <v>0</v>
      </c>
      <c r="W65" s="53" t="n">
        <f aca="false">IF(U65&lt;0,-1000000000000000,U65+ROW()/1000000)</f>
        <v>-1000000000000000</v>
      </c>
      <c r="X65" s="53" t="n">
        <f aca="false">IF(T65=1,IF(AND(ISNUMBER(F65),ISNUMBER(K65)),K65-F65,0),0)</f>
        <v>0</v>
      </c>
      <c r="Y65" s="53" t="n">
        <f aca="false">IF(T65=1,IF(AND(ISNUMBER(F65),ISNUMBER(K65)),1,0),0)</f>
        <v>0</v>
      </c>
      <c r="Z65" s="53" t="n">
        <f aca="false">IF(U65&gt;=Settings!$C$8,1,0)</f>
        <v>0</v>
      </c>
      <c r="AA65" s="53" t="n">
        <f aca="false">IF(S65=1,IF(J65="Listed / Publicado",0,1),0)</f>
        <v>0</v>
      </c>
      <c r="AB65" s="53" t="n">
        <f aca="false">IF(T65=1,IF(ISNUMBER(L65),L65-G65,0),0)</f>
        <v>0</v>
      </c>
      <c r="AC65" s="53" t="n">
        <f aca="false">IF(S65=1,IF(ISNUMBER(I65),I65-G65,0),0)</f>
        <v>0</v>
      </c>
    </row>
    <row r="66" customFormat="false" ht="15" hidden="false" customHeight="false" outlineLevel="0" collapsed="false">
      <c r="B66" s="54"/>
      <c r="C66" s="55"/>
      <c r="D66" s="55"/>
      <c r="E66" s="55"/>
      <c r="F66" s="56"/>
      <c r="G66" s="57"/>
      <c r="H66" s="55"/>
      <c r="I66" s="57"/>
      <c r="J66" s="54"/>
      <c r="K66" s="56"/>
      <c r="L66" s="57"/>
      <c r="M66" s="54"/>
      <c r="N66" s="58" t="str">
        <f aca="false">IF(S66=1,IF(U66&lt;0,"",U66),IF(Y66=1,X66,""))</f>
        <v/>
      </c>
      <c r="O66" s="59" t="str">
        <f aca="false">IF(S66=1,IF(ISNUMBER(I66),I66-G66,""),"")</f>
        <v/>
      </c>
      <c r="P66" s="59" t="str">
        <f aca="false">IF(T66=1,IF(ISNUMBER(L66),L66-G66,""),"")</f>
        <v/>
      </c>
      <c r="Q66" s="60" t="str">
        <f aca="false">IF(C66="","",IF(T66=1,"✔ SOLD / VENDIDO",IF(S66=0,"— CLOSED / CERRADO",IF(U66&lt;0,"⚠ ADD DATE / AGREGA FECHA",IF(U66&gt;=Settings!$C$8,"⚠ STALE – REPRICE / ESTANCADO",IF(U66&gt;=Settings!$C$7,"● WATCH / VIGILAR","✔ FRESH / RECIENTE"))))))</f>
        <v/>
      </c>
      <c r="S66" s="53" t="n">
        <f aca="false">IF(C66="",0,IF(OR(J66="",J66="In Stock / En Inventario",J66="Listed / Publicado"),1,0))</f>
        <v>0</v>
      </c>
      <c r="T66" s="53" t="n">
        <f aca="false">IF(C66="",0,IF(J66="Sold / Vendido",1,0))</f>
        <v>0</v>
      </c>
      <c r="U66" s="53" t="n">
        <f aca="true">IF(S66=1,IF(ISNUMBER(F66),TODAY()-F66,-1),-1)</f>
        <v>-1</v>
      </c>
      <c r="V66" s="53" t="n">
        <f aca="false">IF(U66&lt;0,IF(S66=1,5,0),IF(U66&lt;=30,1,IF(U66&lt;=60,2,IF(U66&lt;=90,3,4))))</f>
        <v>0</v>
      </c>
      <c r="W66" s="53" t="n">
        <f aca="false">IF(U66&lt;0,-1000000000000000,U66+ROW()/1000000)</f>
        <v>-1000000000000000</v>
      </c>
      <c r="X66" s="53" t="n">
        <f aca="false">IF(T66=1,IF(AND(ISNUMBER(F66),ISNUMBER(K66)),K66-F66,0),0)</f>
        <v>0</v>
      </c>
      <c r="Y66" s="53" t="n">
        <f aca="false">IF(T66=1,IF(AND(ISNUMBER(F66),ISNUMBER(K66)),1,0),0)</f>
        <v>0</v>
      </c>
      <c r="Z66" s="53" t="n">
        <f aca="false">IF(U66&gt;=Settings!$C$8,1,0)</f>
        <v>0</v>
      </c>
      <c r="AA66" s="53" t="n">
        <f aca="false">IF(S66=1,IF(J66="Listed / Publicado",0,1),0)</f>
        <v>0</v>
      </c>
      <c r="AB66" s="53" t="n">
        <f aca="false">IF(T66=1,IF(ISNUMBER(L66),L66-G66,0),0)</f>
        <v>0</v>
      </c>
      <c r="AC66" s="53" t="n">
        <f aca="false">IF(S66=1,IF(ISNUMBER(I66),I66-G66,0),0)</f>
        <v>0</v>
      </c>
    </row>
    <row r="67" customFormat="false" ht="15" hidden="false" customHeight="false" outlineLevel="0" collapsed="false">
      <c r="B67" s="54"/>
      <c r="C67" s="55"/>
      <c r="D67" s="55"/>
      <c r="E67" s="55"/>
      <c r="F67" s="56"/>
      <c r="G67" s="57"/>
      <c r="H67" s="55"/>
      <c r="I67" s="57"/>
      <c r="J67" s="54"/>
      <c r="K67" s="56"/>
      <c r="L67" s="57"/>
      <c r="M67" s="54"/>
      <c r="N67" s="58" t="str">
        <f aca="false">IF(S67=1,IF(U67&lt;0,"",U67),IF(Y67=1,X67,""))</f>
        <v/>
      </c>
      <c r="O67" s="59" t="str">
        <f aca="false">IF(S67=1,IF(ISNUMBER(I67),I67-G67,""),"")</f>
        <v/>
      </c>
      <c r="P67" s="59" t="str">
        <f aca="false">IF(T67=1,IF(ISNUMBER(L67),L67-G67,""),"")</f>
        <v/>
      </c>
      <c r="Q67" s="60" t="str">
        <f aca="false">IF(C67="","",IF(T67=1,"✔ SOLD / VENDIDO",IF(S67=0,"— CLOSED / CERRADO",IF(U67&lt;0,"⚠ ADD DATE / AGREGA FECHA",IF(U67&gt;=Settings!$C$8,"⚠ STALE – REPRICE / ESTANCADO",IF(U67&gt;=Settings!$C$7,"● WATCH / VIGILAR","✔ FRESH / RECIENTE"))))))</f>
        <v/>
      </c>
      <c r="S67" s="53" t="n">
        <f aca="false">IF(C67="",0,IF(OR(J67="",J67="In Stock / En Inventario",J67="Listed / Publicado"),1,0))</f>
        <v>0</v>
      </c>
      <c r="T67" s="53" t="n">
        <f aca="false">IF(C67="",0,IF(J67="Sold / Vendido",1,0))</f>
        <v>0</v>
      </c>
      <c r="U67" s="53" t="n">
        <f aca="true">IF(S67=1,IF(ISNUMBER(F67),TODAY()-F67,-1),-1)</f>
        <v>-1</v>
      </c>
      <c r="V67" s="53" t="n">
        <f aca="false">IF(U67&lt;0,IF(S67=1,5,0),IF(U67&lt;=30,1,IF(U67&lt;=60,2,IF(U67&lt;=90,3,4))))</f>
        <v>0</v>
      </c>
      <c r="W67" s="53" t="n">
        <f aca="false">IF(U67&lt;0,-1000000000000000,U67+ROW()/1000000)</f>
        <v>-1000000000000000</v>
      </c>
      <c r="X67" s="53" t="n">
        <f aca="false">IF(T67=1,IF(AND(ISNUMBER(F67),ISNUMBER(K67)),K67-F67,0),0)</f>
        <v>0</v>
      </c>
      <c r="Y67" s="53" t="n">
        <f aca="false">IF(T67=1,IF(AND(ISNUMBER(F67),ISNUMBER(K67)),1,0),0)</f>
        <v>0</v>
      </c>
      <c r="Z67" s="53" t="n">
        <f aca="false">IF(U67&gt;=Settings!$C$8,1,0)</f>
        <v>0</v>
      </c>
      <c r="AA67" s="53" t="n">
        <f aca="false">IF(S67=1,IF(J67="Listed / Publicado",0,1),0)</f>
        <v>0</v>
      </c>
      <c r="AB67" s="53" t="n">
        <f aca="false">IF(T67=1,IF(ISNUMBER(L67),L67-G67,0),0)</f>
        <v>0</v>
      </c>
      <c r="AC67" s="53" t="n">
        <f aca="false">IF(S67=1,IF(ISNUMBER(I67),I67-G67,0),0)</f>
        <v>0</v>
      </c>
    </row>
    <row r="68" customFormat="false" ht="15" hidden="false" customHeight="false" outlineLevel="0" collapsed="false">
      <c r="B68" s="54"/>
      <c r="C68" s="55"/>
      <c r="D68" s="55"/>
      <c r="E68" s="55"/>
      <c r="F68" s="56"/>
      <c r="G68" s="57"/>
      <c r="H68" s="55"/>
      <c r="I68" s="57"/>
      <c r="J68" s="54"/>
      <c r="K68" s="56"/>
      <c r="L68" s="57"/>
      <c r="M68" s="54"/>
      <c r="N68" s="58" t="str">
        <f aca="false">IF(S68=1,IF(U68&lt;0,"",U68),IF(Y68=1,X68,""))</f>
        <v/>
      </c>
      <c r="O68" s="59" t="str">
        <f aca="false">IF(S68=1,IF(ISNUMBER(I68),I68-G68,""),"")</f>
        <v/>
      </c>
      <c r="P68" s="59" t="str">
        <f aca="false">IF(T68=1,IF(ISNUMBER(L68),L68-G68,""),"")</f>
        <v/>
      </c>
      <c r="Q68" s="60" t="str">
        <f aca="false">IF(C68="","",IF(T68=1,"✔ SOLD / VENDIDO",IF(S68=0,"— CLOSED / CERRADO",IF(U68&lt;0,"⚠ ADD DATE / AGREGA FECHA",IF(U68&gt;=Settings!$C$8,"⚠ STALE – REPRICE / ESTANCADO",IF(U68&gt;=Settings!$C$7,"● WATCH / VIGILAR","✔ FRESH / RECIENTE"))))))</f>
        <v/>
      </c>
      <c r="S68" s="53" t="n">
        <f aca="false">IF(C68="",0,IF(OR(J68="",J68="In Stock / En Inventario",J68="Listed / Publicado"),1,0))</f>
        <v>0</v>
      </c>
      <c r="T68" s="53" t="n">
        <f aca="false">IF(C68="",0,IF(J68="Sold / Vendido",1,0))</f>
        <v>0</v>
      </c>
      <c r="U68" s="53" t="n">
        <f aca="true">IF(S68=1,IF(ISNUMBER(F68),TODAY()-F68,-1),-1)</f>
        <v>-1</v>
      </c>
      <c r="V68" s="53" t="n">
        <f aca="false">IF(U68&lt;0,IF(S68=1,5,0),IF(U68&lt;=30,1,IF(U68&lt;=60,2,IF(U68&lt;=90,3,4))))</f>
        <v>0</v>
      </c>
      <c r="W68" s="53" t="n">
        <f aca="false">IF(U68&lt;0,-1000000000000000,U68+ROW()/1000000)</f>
        <v>-1000000000000000</v>
      </c>
      <c r="X68" s="53" t="n">
        <f aca="false">IF(T68=1,IF(AND(ISNUMBER(F68),ISNUMBER(K68)),K68-F68,0),0)</f>
        <v>0</v>
      </c>
      <c r="Y68" s="53" t="n">
        <f aca="false">IF(T68=1,IF(AND(ISNUMBER(F68),ISNUMBER(K68)),1,0),0)</f>
        <v>0</v>
      </c>
      <c r="Z68" s="53" t="n">
        <f aca="false">IF(U68&gt;=Settings!$C$8,1,0)</f>
        <v>0</v>
      </c>
      <c r="AA68" s="53" t="n">
        <f aca="false">IF(S68=1,IF(J68="Listed / Publicado",0,1),0)</f>
        <v>0</v>
      </c>
      <c r="AB68" s="53" t="n">
        <f aca="false">IF(T68=1,IF(ISNUMBER(L68),L68-G68,0),0)</f>
        <v>0</v>
      </c>
      <c r="AC68" s="53" t="n">
        <f aca="false">IF(S68=1,IF(ISNUMBER(I68),I68-G68,0),0)</f>
        <v>0</v>
      </c>
    </row>
    <row r="69" customFormat="false" ht="15" hidden="false" customHeight="false" outlineLevel="0" collapsed="false">
      <c r="B69" s="54"/>
      <c r="C69" s="55"/>
      <c r="D69" s="55"/>
      <c r="E69" s="55"/>
      <c r="F69" s="56"/>
      <c r="G69" s="57"/>
      <c r="H69" s="55"/>
      <c r="I69" s="57"/>
      <c r="J69" s="54"/>
      <c r="K69" s="56"/>
      <c r="L69" s="57"/>
      <c r="M69" s="54"/>
      <c r="N69" s="58" t="str">
        <f aca="false">IF(S69=1,IF(U69&lt;0,"",U69),IF(Y69=1,X69,""))</f>
        <v/>
      </c>
      <c r="O69" s="59" t="str">
        <f aca="false">IF(S69=1,IF(ISNUMBER(I69),I69-G69,""),"")</f>
        <v/>
      </c>
      <c r="P69" s="59" t="str">
        <f aca="false">IF(T69=1,IF(ISNUMBER(L69),L69-G69,""),"")</f>
        <v/>
      </c>
      <c r="Q69" s="60" t="str">
        <f aca="false">IF(C69="","",IF(T69=1,"✔ SOLD / VENDIDO",IF(S69=0,"— CLOSED / CERRADO",IF(U69&lt;0,"⚠ ADD DATE / AGREGA FECHA",IF(U69&gt;=Settings!$C$8,"⚠ STALE – REPRICE / ESTANCADO",IF(U69&gt;=Settings!$C$7,"● WATCH / VIGILAR","✔ FRESH / RECIENTE"))))))</f>
        <v/>
      </c>
      <c r="S69" s="53" t="n">
        <f aca="false">IF(C69="",0,IF(OR(J69="",J69="In Stock / En Inventario",J69="Listed / Publicado"),1,0))</f>
        <v>0</v>
      </c>
      <c r="T69" s="53" t="n">
        <f aca="false">IF(C69="",0,IF(J69="Sold / Vendido",1,0))</f>
        <v>0</v>
      </c>
      <c r="U69" s="53" t="n">
        <f aca="true">IF(S69=1,IF(ISNUMBER(F69),TODAY()-F69,-1),-1)</f>
        <v>-1</v>
      </c>
      <c r="V69" s="53" t="n">
        <f aca="false">IF(U69&lt;0,IF(S69=1,5,0),IF(U69&lt;=30,1,IF(U69&lt;=60,2,IF(U69&lt;=90,3,4))))</f>
        <v>0</v>
      </c>
      <c r="W69" s="53" t="n">
        <f aca="false">IF(U69&lt;0,-1000000000000000,U69+ROW()/1000000)</f>
        <v>-1000000000000000</v>
      </c>
      <c r="X69" s="53" t="n">
        <f aca="false">IF(T69=1,IF(AND(ISNUMBER(F69),ISNUMBER(K69)),K69-F69,0),0)</f>
        <v>0</v>
      </c>
      <c r="Y69" s="53" t="n">
        <f aca="false">IF(T69=1,IF(AND(ISNUMBER(F69),ISNUMBER(K69)),1,0),0)</f>
        <v>0</v>
      </c>
      <c r="Z69" s="53" t="n">
        <f aca="false">IF(U69&gt;=Settings!$C$8,1,0)</f>
        <v>0</v>
      </c>
      <c r="AA69" s="53" t="n">
        <f aca="false">IF(S69=1,IF(J69="Listed / Publicado",0,1),0)</f>
        <v>0</v>
      </c>
      <c r="AB69" s="53" t="n">
        <f aca="false">IF(T69=1,IF(ISNUMBER(L69),L69-G69,0),0)</f>
        <v>0</v>
      </c>
      <c r="AC69" s="53" t="n">
        <f aca="false">IF(S69=1,IF(ISNUMBER(I69),I69-G69,0),0)</f>
        <v>0</v>
      </c>
    </row>
    <row r="70" customFormat="false" ht="15" hidden="false" customHeight="false" outlineLevel="0" collapsed="false">
      <c r="B70" s="54"/>
      <c r="C70" s="55"/>
      <c r="D70" s="55"/>
      <c r="E70" s="55"/>
      <c r="F70" s="56"/>
      <c r="G70" s="57"/>
      <c r="H70" s="55"/>
      <c r="I70" s="57"/>
      <c r="J70" s="54"/>
      <c r="K70" s="56"/>
      <c r="L70" s="57"/>
      <c r="M70" s="54"/>
      <c r="N70" s="58" t="str">
        <f aca="false">IF(S70=1,IF(U70&lt;0,"",U70),IF(Y70=1,X70,""))</f>
        <v/>
      </c>
      <c r="O70" s="59" t="str">
        <f aca="false">IF(S70=1,IF(ISNUMBER(I70),I70-G70,""),"")</f>
        <v/>
      </c>
      <c r="P70" s="59" t="str">
        <f aca="false">IF(T70=1,IF(ISNUMBER(L70),L70-G70,""),"")</f>
        <v/>
      </c>
      <c r="Q70" s="60" t="str">
        <f aca="false">IF(C70="","",IF(T70=1,"✔ SOLD / VENDIDO",IF(S70=0,"— CLOSED / CERRADO",IF(U70&lt;0,"⚠ ADD DATE / AGREGA FECHA",IF(U70&gt;=Settings!$C$8,"⚠ STALE – REPRICE / ESTANCADO",IF(U70&gt;=Settings!$C$7,"● WATCH / VIGILAR","✔ FRESH / RECIENTE"))))))</f>
        <v/>
      </c>
      <c r="S70" s="53" t="n">
        <f aca="false">IF(C70="",0,IF(OR(J70="",J70="In Stock / En Inventario",J70="Listed / Publicado"),1,0))</f>
        <v>0</v>
      </c>
      <c r="T70" s="53" t="n">
        <f aca="false">IF(C70="",0,IF(J70="Sold / Vendido",1,0))</f>
        <v>0</v>
      </c>
      <c r="U70" s="53" t="n">
        <f aca="true">IF(S70=1,IF(ISNUMBER(F70),TODAY()-F70,-1),-1)</f>
        <v>-1</v>
      </c>
      <c r="V70" s="53" t="n">
        <f aca="false">IF(U70&lt;0,IF(S70=1,5,0),IF(U70&lt;=30,1,IF(U70&lt;=60,2,IF(U70&lt;=90,3,4))))</f>
        <v>0</v>
      </c>
      <c r="W70" s="53" t="n">
        <f aca="false">IF(U70&lt;0,-1000000000000000,U70+ROW()/1000000)</f>
        <v>-1000000000000000</v>
      </c>
      <c r="X70" s="53" t="n">
        <f aca="false">IF(T70=1,IF(AND(ISNUMBER(F70),ISNUMBER(K70)),K70-F70,0),0)</f>
        <v>0</v>
      </c>
      <c r="Y70" s="53" t="n">
        <f aca="false">IF(T70=1,IF(AND(ISNUMBER(F70),ISNUMBER(K70)),1,0),0)</f>
        <v>0</v>
      </c>
      <c r="Z70" s="53" t="n">
        <f aca="false">IF(U70&gt;=Settings!$C$8,1,0)</f>
        <v>0</v>
      </c>
      <c r="AA70" s="53" t="n">
        <f aca="false">IF(S70=1,IF(J70="Listed / Publicado",0,1),0)</f>
        <v>0</v>
      </c>
      <c r="AB70" s="53" t="n">
        <f aca="false">IF(T70=1,IF(ISNUMBER(L70),L70-G70,0),0)</f>
        <v>0</v>
      </c>
      <c r="AC70" s="53" t="n">
        <f aca="false">IF(S70=1,IF(ISNUMBER(I70),I70-G70,0),0)</f>
        <v>0</v>
      </c>
    </row>
    <row r="71" customFormat="false" ht="15" hidden="false" customHeight="false" outlineLevel="0" collapsed="false">
      <c r="B71" s="54"/>
      <c r="C71" s="55"/>
      <c r="D71" s="55"/>
      <c r="E71" s="55"/>
      <c r="F71" s="56"/>
      <c r="G71" s="57"/>
      <c r="H71" s="55"/>
      <c r="I71" s="57"/>
      <c r="J71" s="54"/>
      <c r="K71" s="56"/>
      <c r="L71" s="57"/>
      <c r="M71" s="54"/>
      <c r="N71" s="58" t="str">
        <f aca="false">IF(S71=1,IF(U71&lt;0,"",U71),IF(Y71=1,X71,""))</f>
        <v/>
      </c>
      <c r="O71" s="59" t="str">
        <f aca="false">IF(S71=1,IF(ISNUMBER(I71),I71-G71,""),"")</f>
        <v/>
      </c>
      <c r="P71" s="59" t="str">
        <f aca="false">IF(T71=1,IF(ISNUMBER(L71),L71-G71,""),"")</f>
        <v/>
      </c>
      <c r="Q71" s="60" t="str">
        <f aca="false">IF(C71="","",IF(T71=1,"✔ SOLD / VENDIDO",IF(S71=0,"— CLOSED / CERRADO",IF(U71&lt;0,"⚠ ADD DATE / AGREGA FECHA",IF(U71&gt;=Settings!$C$8,"⚠ STALE – REPRICE / ESTANCADO",IF(U71&gt;=Settings!$C$7,"● WATCH / VIGILAR","✔ FRESH / RECIENTE"))))))</f>
        <v/>
      </c>
      <c r="S71" s="53" t="n">
        <f aca="false">IF(C71="",0,IF(OR(J71="",J71="In Stock / En Inventario",J71="Listed / Publicado"),1,0))</f>
        <v>0</v>
      </c>
      <c r="T71" s="53" t="n">
        <f aca="false">IF(C71="",0,IF(J71="Sold / Vendido",1,0))</f>
        <v>0</v>
      </c>
      <c r="U71" s="53" t="n">
        <f aca="true">IF(S71=1,IF(ISNUMBER(F71),TODAY()-F71,-1),-1)</f>
        <v>-1</v>
      </c>
      <c r="V71" s="53" t="n">
        <f aca="false">IF(U71&lt;0,IF(S71=1,5,0),IF(U71&lt;=30,1,IF(U71&lt;=60,2,IF(U71&lt;=90,3,4))))</f>
        <v>0</v>
      </c>
      <c r="W71" s="53" t="n">
        <f aca="false">IF(U71&lt;0,-1000000000000000,U71+ROW()/1000000)</f>
        <v>-1000000000000000</v>
      </c>
      <c r="X71" s="53" t="n">
        <f aca="false">IF(T71=1,IF(AND(ISNUMBER(F71),ISNUMBER(K71)),K71-F71,0),0)</f>
        <v>0</v>
      </c>
      <c r="Y71" s="53" t="n">
        <f aca="false">IF(T71=1,IF(AND(ISNUMBER(F71),ISNUMBER(K71)),1,0),0)</f>
        <v>0</v>
      </c>
      <c r="Z71" s="53" t="n">
        <f aca="false">IF(U71&gt;=Settings!$C$8,1,0)</f>
        <v>0</v>
      </c>
      <c r="AA71" s="53" t="n">
        <f aca="false">IF(S71=1,IF(J71="Listed / Publicado",0,1),0)</f>
        <v>0</v>
      </c>
      <c r="AB71" s="53" t="n">
        <f aca="false">IF(T71=1,IF(ISNUMBER(L71),L71-G71,0),0)</f>
        <v>0</v>
      </c>
      <c r="AC71" s="53" t="n">
        <f aca="false">IF(S71=1,IF(ISNUMBER(I71),I71-G71,0),0)</f>
        <v>0</v>
      </c>
    </row>
    <row r="72" customFormat="false" ht="15" hidden="false" customHeight="false" outlineLevel="0" collapsed="false">
      <c r="B72" s="54"/>
      <c r="C72" s="55"/>
      <c r="D72" s="55"/>
      <c r="E72" s="55"/>
      <c r="F72" s="56"/>
      <c r="G72" s="57"/>
      <c r="H72" s="55"/>
      <c r="I72" s="57"/>
      <c r="J72" s="54"/>
      <c r="K72" s="56"/>
      <c r="L72" s="57"/>
      <c r="M72" s="54"/>
      <c r="N72" s="58" t="str">
        <f aca="false">IF(S72=1,IF(U72&lt;0,"",U72),IF(Y72=1,X72,""))</f>
        <v/>
      </c>
      <c r="O72" s="59" t="str">
        <f aca="false">IF(S72=1,IF(ISNUMBER(I72),I72-G72,""),"")</f>
        <v/>
      </c>
      <c r="P72" s="59" t="str">
        <f aca="false">IF(T72=1,IF(ISNUMBER(L72),L72-G72,""),"")</f>
        <v/>
      </c>
      <c r="Q72" s="60" t="str">
        <f aca="false">IF(C72="","",IF(T72=1,"✔ SOLD / VENDIDO",IF(S72=0,"— CLOSED / CERRADO",IF(U72&lt;0,"⚠ ADD DATE / AGREGA FECHA",IF(U72&gt;=Settings!$C$8,"⚠ STALE – REPRICE / ESTANCADO",IF(U72&gt;=Settings!$C$7,"● WATCH / VIGILAR","✔ FRESH / RECIENTE"))))))</f>
        <v/>
      </c>
      <c r="S72" s="53" t="n">
        <f aca="false">IF(C72="",0,IF(OR(J72="",J72="In Stock / En Inventario",J72="Listed / Publicado"),1,0))</f>
        <v>0</v>
      </c>
      <c r="T72" s="53" t="n">
        <f aca="false">IF(C72="",0,IF(J72="Sold / Vendido",1,0))</f>
        <v>0</v>
      </c>
      <c r="U72" s="53" t="n">
        <f aca="true">IF(S72=1,IF(ISNUMBER(F72),TODAY()-F72,-1),-1)</f>
        <v>-1</v>
      </c>
      <c r="V72" s="53" t="n">
        <f aca="false">IF(U72&lt;0,IF(S72=1,5,0),IF(U72&lt;=30,1,IF(U72&lt;=60,2,IF(U72&lt;=90,3,4))))</f>
        <v>0</v>
      </c>
      <c r="W72" s="53" t="n">
        <f aca="false">IF(U72&lt;0,-1000000000000000,U72+ROW()/1000000)</f>
        <v>-1000000000000000</v>
      </c>
      <c r="X72" s="53" t="n">
        <f aca="false">IF(T72=1,IF(AND(ISNUMBER(F72),ISNUMBER(K72)),K72-F72,0),0)</f>
        <v>0</v>
      </c>
      <c r="Y72" s="53" t="n">
        <f aca="false">IF(T72=1,IF(AND(ISNUMBER(F72),ISNUMBER(K72)),1,0),0)</f>
        <v>0</v>
      </c>
      <c r="Z72" s="53" t="n">
        <f aca="false">IF(U72&gt;=Settings!$C$8,1,0)</f>
        <v>0</v>
      </c>
      <c r="AA72" s="53" t="n">
        <f aca="false">IF(S72=1,IF(J72="Listed / Publicado",0,1),0)</f>
        <v>0</v>
      </c>
      <c r="AB72" s="53" t="n">
        <f aca="false">IF(T72=1,IF(ISNUMBER(L72),L72-G72,0),0)</f>
        <v>0</v>
      </c>
      <c r="AC72" s="53" t="n">
        <f aca="false">IF(S72=1,IF(ISNUMBER(I72),I72-G72,0),0)</f>
        <v>0</v>
      </c>
    </row>
    <row r="73" customFormat="false" ht="15" hidden="false" customHeight="false" outlineLevel="0" collapsed="false">
      <c r="B73" s="54"/>
      <c r="C73" s="55"/>
      <c r="D73" s="55"/>
      <c r="E73" s="55"/>
      <c r="F73" s="56"/>
      <c r="G73" s="57"/>
      <c r="H73" s="55"/>
      <c r="I73" s="57"/>
      <c r="J73" s="54"/>
      <c r="K73" s="56"/>
      <c r="L73" s="57"/>
      <c r="M73" s="54"/>
      <c r="N73" s="58" t="str">
        <f aca="false">IF(S73=1,IF(U73&lt;0,"",U73),IF(Y73=1,X73,""))</f>
        <v/>
      </c>
      <c r="O73" s="59" t="str">
        <f aca="false">IF(S73=1,IF(ISNUMBER(I73),I73-G73,""),"")</f>
        <v/>
      </c>
      <c r="P73" s="59" t="str">
        <f aca="false">IF(T73=1,IF(ISNUMBER(L73),L73-G73,""),"")</f>
        <v/>
      </c>
      <c r="Q73" s="60" t="str">
        <f aca="false">IF(C73="","",IF(T73=1,"✔ SOLD / VENDIDO",IF(S73=0,"— CLOSED / CERRADO",IF(U73&lt;0,"⚠ ADD DATE / AGREGA FECHA",IF(U73&gt;=Settings!$C$8,"⚠ STALE – REPRICE / ESTANCADO",IF(U73&gt;=Settings!$C$7,"● WATCH / VIGILAR","✔ FRESH / RECIENTE"))))))</f>
        <v/>
      </c>
      <c r="S73" s="53" t="n">
        <f aca="false">IF(C73="",0,IF(OR(J73="",J73="In Stock / En Inventario",J73="Listed / Publicado"),1,0))</f>
        <v>0</v>
      </c>
      <c r="T73" s="53" t="n">
        <f aca="false">IF(C73="",0,IF(J73="Sold / Vendido",1,0))</f>
        <v>0</v>
      </c>
      <c r="U73" s="53" t="n">
        <f aca="true">IF(S73=1,IF(ISNUMBER(F73),TODAY()-F73,-1),-1)</f>
        <v>-1</v>
      </c>
      <c r="V73" s="53" t="n">
        <f aca="false">IF(U73&lt;0,IF(S73=1,5,0),IF(U73&lt;=30,1,IF(U73&lt;=60,2,IF(U73&lt;=90,3,4))))</f>
        <v>0</v>
      </c>
      <c r="W73" s="53" t="n">
        <f aca="false">IF(U73&lt;0,-1000000000000000,U73+ROW()/1000000)</f>
        <v>-1000000000000000</v>
      </c>
      <c r="X73" s="53" t="n">
        <f aca="false">IF(T73=1,IF(AND(ISNUMBER(F73),ISNUMBER(K73)),K73-F73,0),0)</f>
        <v>0</v>
      </c>
      <c r="Y73" s="53" t="n">
        <f aca="false">IF(T73=1,IF(AND(ISNUMBER(F73),ISNUMBER(K73)),1,0),0)</f>
        <v>0</v>
      </c>
      <c r="Z73" s="53" t="n">
        <f aca="false">IF(U73&gt;=Settings!$C$8,1,0)</f>
        <v>0</v>
      </c>
      <c r="AA73" s="53" t="n">
        <f aca="false">IF(S73=1,IF(J73="Listed / Publicado",0,1),0)</f>
        <v>0</v>
      </c>
      <c r="AB73" s="53" t="n">
        <f aca="false">IF(T73=1,IF(ISNUMBER(L73),L73-G73,0),0)</f>
        <v>0</v>
      </c>
      <c r="AC73" s="53" t="n">
        <f aca="false">IF(S73=1,IF(ISNUMBER(I73),I73-G73,0),0)</f>
        <v>0</v>
      </c>
    </row>
    <row r="74" customFormat="false" ht="15" hidden="false" customHeight="false" outlineLevel="0" collapsed="false">
      <c r="B74" s="54"/>
      <c r="C74" s="55"/>
      <c r="D74" s="55"/>
      <c r="E74" s="55"/>
      <c r="F74" s="56"/>
      <c r="G74" s="57"/>
      <c r="H74" s="55"/>
      <c r="I74" s="57"/>
      <c r="J74" s="54"/>
      <c r="K74" s="56"/>
      <c r="L74" s="57"/>
      <c r="M74" s="54"/>
      <c r="N74" s="58" t="str">
        <f aca="false">IF(S74=1,IF(U74&lt;0,"",U74),IF(Y74=1,X74,""))</f>
        <v/>
      </c>
      <c r="O74" s="59" t="str">
        <f aca="false">IF(S74=1,IF(ISNUMBER(I74),I74-G74,""),"")</f>
        <v/>
      </c>
      <c r="P74" s="59" t="str">
        <f aca="false">IF(T74=1,IF(ISNUMBER(L74),L74-G74,""),"")</f>
        <v/>
      </c>
      <c r="Q74" s="60" t="str">
        <f aca="false">IF(C74="","",IF(T74=1,"✔ SOLD / VENDIDO",IF(S74=0,"— CLOSED / CERRADO",IF(U74&lt;0,"⚠ ADD DATE / AGREGA FECHA",IF(U74&gt;=Settings!$C$8,"⚠ STALE – REPRICE / ESTANCADO",IF(U74&gt;=Settings!$C$7,"● WATCH / VIGILAR","✔ FRESH / RECIENTE"))))))</f>
        <v/>
      </c>
      <c r="S74" s="53" t="n">
        <f aca="false">IF(C74="",0,IF(OR(J74="",J74="In Stock / En Inventario",J74="Listed / Publicado"),1,0))</f>
        <v>0</v>
      </c>
      <c r="T74" s="53" t="n">
        <f aca="false">IF(C74="",0,IF(J74="Sold / Vendido",1,0))</f>
        <v>0</v>
      </c>
      <c r="U74" s="53" t="n">
        <f aca="true">IF(S74=1,IF(ISNUMBER(F74),TODAY()-F74,-1),-1)</f>
        <v>-1</v>
      </c>
      <c r="V74" s="53" t="n">
        <f aca="false">IF(U74&lt;0,IF(S74=1,5,0),IF(U74&lt;=30,1,IF(U74&lt;=60,2,IF(U74&lt;=90,3,4))))</f>
        <v>0</v>
      </c>
      <c r="W74" s="53" t="n">
        <f aca="false">IF(U74&lt;0,-1000000000000000,U74+ROW()/1000000)</f>
        <v>-1000000000000000</v>
      </c>
      <c r="X74" s="53" t="n">
        <f aca="false">IF(T74=1,IF(AND(ISNUMBER(F74),ISNUMBER(K74)),K74-F74,0),0)</f>
        <v>0</v>
      </c>
      <c r="Y74" s="53" t="n">
        <f aca="false">IF(T74=1,IF(AND(ISNUMBER(F74),ISNUMBER(K74)),1,0),0)</f>
        <v>0</v>
      </c>
      <c r="Z74" s="53" t="n">
        <f aca="false">IF(U74&gt;=Settings!$C$8,1,0)</f>
        <v>0</v>
      </c>
      <c r="AA74" s="53" t="n">
        <f aca="false">IF(S74=1,IF(J74="Listed / Publicado",0,1),0)</f>
        <v>0</v>
      </c>
      <c r="AB74" s="53" t="n">
        <f aca="false">IF(T74=1,IF(ISNUMBER(L74),L74-G74,0),0)</f>
        <v>0</v>
      </c>
      <c r="AC74" s="53" t="n">
        <f aca="false">IF(S74=1,IF(ISNUMBER(I74),I74-G74,0),0)</f>
        <v>0</v>
      </c>
    </row>
    <row r="75" customFormat="false" ht="15" hidden="false" customHeight="false" outlineLevel="0" collapsed="false">
      <c r="B75" s="54"/>
      <c r="C75" s="55"/>
      <c r="D75" s="55"/>
      <c r="E75" s="55"/>
      <c r="F75" s="56"/>
      <c r="G75" s="57"/>
      <c r="H75" s="55"/>
      <c r="I75" s="57"/>
      <c r="J75" s="54"/>
      <c r="K75" s="56"/>
      <c r="L75" s="57"/>
      <c r="M75" s="54"/>
      <c r="N75" s="58" t="str">
        <f aca="false">IF(S75=1,IF(U75&lt;0,"",U75),IF(Y75=1,X75,""))</f>
        <v/>
      </c>
      <c r="O75" s="59" t="str">
        <f aca="false">IF(S75=1,IF(ISNUMBER(I75),I75-G75,""),"")</f>
        <v/>
      </c>
      <c r="P75" s="59" t="str">
        <f aca="false">IF(T75=1,IF(ISNUMBER(L75),L75-G75,""),"")</f>
        <v/>
      </c>
      <c r="Q75" s="60" t="str">
        <f aca="false">IF(C75="","",IF(T75=1,"✔ SOLD / VENDIDO",IF(S75=0,"— CLOSED / CERRADO",IF(U75&lt;0,"⚠ ADD DATE / AGREGA FECHA",IF(U75&gt;=Settings!$C$8,"⚠ STALE – REPRICE / ESTANCADO",IF(U75&gt;=Settings!$C$7,"● WATCH / VIGILAR","✔ FRESH / RECIENTE"))))))</f>
        <v/>
      </c>
      <c r="S75" s="53" t="n">
        <f aca="false">IF(C75="",0,IF(OR(J75="",J75="In Stock / En Inventario",J75="Listed / Publicado"),1,0))</f>
        <v>0</v>
      </c>
      <c r="T75" s="53" t="n">
        <f aca="false">IF(C75="",0,IF(J75="Sold / Vendido",1,0))</f>
        <v>0</v>
      </c>
      <c r="U75" s="53" t="n">
        <f aca="true">IF(S75=1,IF(ISNUMBER(F75),TODAY()-F75,-1),-1)</f>
        <v>-1</v>
      </c>
      <c r="V75" s="53" t="n">
        <f aca="false">IF(U75&lt;0,IF(S75=1,5,0),IF(U75&lt;=30,1,IF(U75&lt;=60,2,IF(U75&lt;=90,3,4))))</f>
        <v>0</v>
      </c>
      <c r="W75" s="53" t="n">
        <f aca="false">IF(U75&lt;0,-1000000000000000,U75+ROW()/1000000)</f>
        <v>-1000000000000000</v>
      </c>
      <c r="X75" s="53" t="n">
        <f aca="false">IF(T75=1,IF(AND(ISNUMBER(F75),ISNUMBER(K75)),K75-F75,0),0)</f>
        <v>0</v>
      </c>
      <c r="Y75" s="53" t="n">
        <f aca="false">IF(T75=1,IF(AND(ISNUMBER(F75),ISNUMBER(K75)),1,0),0)</f>
        <v>0</v>
      </c>
      <c r="Z75" s="53" t="n">
        <f aca="false">IF(U75&gt;=Settings!$C$8,1,0)</f>
        <v>0</v>
      </c>
      <c r="AA75" s="53" t="n">
        <f aca="false">IF(S75=1,IF(J75="Listed / Publicado",0,1),0)</f>
        <v>0</v>
      </c>
      <c r="AB75" s="53" t="n">
        <f aca="false">IF(T75=1,IF(ISNUMBER(L75),L75-G75,0),0)</f>
        <v>0</v>
      </c>
      <c r="AC75" s="53" t="n">
        <f aca="false">IF(S75=1,IF(ISNUMBER(I75),I75-G75,0),0)</f>
        <v>0</v>
      </c>
    </row>
    <row r="76" customFormat="false" ht="15" hidden="false" customHeight="false" outlineLevel="0" collapsed="false">
      <c r="B76" s="54"/>
      <c r="C76" s="55"/>
      <c r="D76" s="55"/>
      <c r="E76" s="55"/>
      <c r="F76" s="56"/>
      <c r="G76" s="57"/>
      <c r="H76" s="55"/>
      <c r="I76" s="57"/>
      <c r="J76" s="54"/>
      <c r="K76" s="56"/>
      <c r="L76" s="57"/>
      <c r="M76" s="54"/>
      <c r="N76" s="58" t="str">
        <f aca="false">IF(S76=1,IF(U76&lt;0,"",U76),IF(Y76=1,X76,""))</f>
        <v/>
      </c>
      <c r="O76" s="59" t="str">
        <f aca="false">IF(S76=1,IF(ISNUMBER(I76),I76-G76,""),"")</f>
        <v/>
      </c>
      <c r="P76" s="59" t="str">
        <f aca="false">IF(T76=1,IF(ISNUMBER(L76),L76-G76,""),"")</f>
        <v/>
      </c>
      <c r="Q76" s="60" t="str">
        <f aca="false">IF(C76="","",IF(T76=1,"✔ SOLD / VENDIDO",IF(S76=0,"— CLOSED / CERRADO",IF(U76&lt;0,"⚠ ADD DATE / AGREGA FECHA",IF(U76&gt;=Settings!$C$8,"⚠ STALE – REPRICE / ESTANCADO",IF(U76&gt;=Settings!$C$7,"● WATCH / VIGILAR","✔ FRESH / RECIENTE"))))))</f>
        <v/>
      </c>
      <c r="S76" s="53" t="n">
        <f aca="false">IF(C76="",0,IF(OR(J76="",J76="In Stock / En Inventario",J76="Listed / Publicado"),1,0))</f>
        <v>0</v>
      </c>
      <c r="T76" s="53" t="n">
        <f aca="false">IF(C76="",0,IF(J76="Sold / Vendido",1,0))</f>
        <v>0</v>
      </c>
      <c r="U76" s="53" t="n">
        <f aca="true">IF(S76=1,IF(ISNUMBER(F76),TODAY()-F76,-1),-1)</f>
        <v>-1</v>
      </c>
      <c r="V76" s="53" t="n">
        <f aca="false">IF(U76&lt;0,IF(S76=1,5,0),IF(U76&lt;=30,1,IF(U76&lt;=60,2,IF(U76&lt;=90,3,4))))</f>
        <v>0</v>
      </c>
      <c r="W76" s="53" t="n">
        <f aca="false">IF(U76&lt;0,-1000000000000000,U76+ROW()/1000000)</f>
        <v>-1000000000000000</v>
      </c>
      <c r="X76" s="53" t="n">
        <f aca="false">IF(T76=1,IF(AND(ISNUMBER(F76),ISNUMBER(K76)),K76-F76,0),0)</f>
        <v>0</v>
      </c>
      <c r="Y76" s="53" t="n">
        <f aca="false">IF(T76=1,IF(AND(ISNUMBER(F76),ISNUMBER(K76)),1,0),0)</f>
        <v>0</v>
      </c>
      <c r="Z76" s="53" t="n">
        <f aca="false">IF(U76&gt;=Settings!$C$8,1,0)</f>
        <v>0</v>
      </c>
      <c r="AA76" s="53" t="n">
        <f aca="false">IF(S76=1,IF(J76="Listed / Publicado",0,1),0)</f>
        <v>0</v>
      </c>
      <c r="AB76" s="53" t="n">
        <f aca="false">IF(T76=1,IF(ISNUMBER(L76),L76-G76,0),0)</f>
        <v>0</v>
      </c>
      <c r="AC76" s="53" t="n">
        <f aca="false">IF(S76=1,IF(ISNUMBER(I76),I76-G76,0),0)</f>
        <v>0</v>
      </c>
    </row>
    <row r="77" customFormat="false" ht="15" hidden="false" customHeight="false" outlineLevel="0" collapsed="false">
      <c r="B77" s="54"/>
      <c r="C77" s="55"/>
      <c r="D77" s="55"/>
      <c r="E77" s="55"/>
      <c r="F77" s="56"/>
      <c r="G77" s="57"/>
      <c r="H77" s="55"/>
      <c r="I77" s="57"/>
      <c r="J77" s="54"/>
      <c r="K77" s="56"/>
      <c r="L77" s="57"/>
      <c r="M77" s="54"/>
      <c r="N77" s="58" t="str">
        <f aca="false">IF(S77=1,IF(U77&lt;0,"",U77),IF(Y77=1,X77,""))</f>
        <v/>
      </c>
      <c r="O77" s="59" t="str">
        <f aca="false">IF(S77=1,IF(ISNUMBER(I77),I77-G77,""),"")</f>
        <v/>
      </c>
      <c r="P77" s="59" t="str">
        <f aca="false">IF(T77=1,IF(ISNUMBER(L77),L77-G77,""),"")</f>
        <v/>
      </c>
      <c r="Q77" s="60" t="str">
        <f aca="false">IF(C77="","",IF(T77=1,"✔ SOLD / VENDIDO",IF(S77=0,"— CLOSED / CERRADO",IF(U77&lt;0,"⚠ ADD DATE / AGREGA FECHA",IF(U77&gt;=Settings!$C$8,"⚠ STALE – REPRICE / ESTANCADO",IF(U77&gt;=Settings!$C$7,"● WATCH / VIGILAR","✔ FRESH / RECIENTE"))))))</f>
        <v/>
      </c>
      <c r="S77" s="53" t="n">
        <f aca="false">IF(C77="",0,IF(OR(J77="",J77="In Stock / En Inventario",J77="Listed / Publicado"),1,0))</f>
        <v>0</v>
      </c>
      <c r="T77" s="53" t="n">
        <f aca="false">IF(C77="",0,IF(J77="Sold / Vendido",1,0))</f>
        <v>0</v>
      </c>
      <c r="U77" s="53" t="n">
        <f aca="true">IF(S77=1,IF(ISNUMBER(F77),TODAY()-F77,-1),-1)</f>
        <v>-1</v>
      </c>
      <c r="V77" s="53" t="n">
        <f aca="false">IF(U77&lt;0,IF(S77=1,5,0),IF(U77&lt;=30,1,IF(U77&lt;=60,2,IF(U77&lt;=90,3,4))))</f>
        <v>0</v>
      </c>
      <c r="W77" s="53" t="n">
        <f aca="false">IF(U77&lt;0,-1000000000000000,U77+ROW()/1000000)</f>
        <v>-1000000000000000</v>
      </c>
      <c r="X77" s="53" t="n">
        <f aca="false">IF(T77=1,IF(AND(ISNUMBER(F77),ISNUMBER(K77)),K77-F77,0),0)</f>
        <v>0</v>
      </c>
      <c r="Y77" s="53" t="n">
        <f aca="false">IF(T77=1,IF(AND(ISNUMBER(F77),ISNUMBER(K77)),1,0),0)</f>
        <v>0</v>
      </c>
      <c r="Z77" s="53" t="n">
        <f aca="false">IF(U77&gt;=Settings!$C$8,1,0)</f>
        <v>0</v>
      </c>
      <c r="AA77" s="53" t="n">
        <f aca="false">IF(S77=1,IF(J77="Listed / Publicado",0,1),0)</f>
        <v>0</v>
      </c>
      <c r="AB77" s="53" t="n">
        <f aca="false">IF(T77=1,IF(ISNUMBER(L77),L77-G77,0),0)</f>
        <v>0</v>
      </c>
      <c r="AC77" s="53" t="n">
        <f aca="false">IF(S77=1,IF(ISNUMBER(I77),I77-G77,0),0)</f>
        <v>0</v>
      </c>
    </row>
    <row r="78" customFormat="false" ht="15" hidden="false" customHeight="false" outlineLevel="0" collapsed="false">
      <c r="B78" s="54"/>
      <c r="C78" s="55"/>
      <c r="D78" s="55"/>
      <c r="E78" s="55"/>
      <c r="F78" s="56"/>
      <c r="G78" s="57"/>
      <c r="H78" s="55"/>
      <c r="I78" s="57"/>
      <c r="J78" s="54"/>
      <c r="K78" s="56"/>
      <c r="L78" s="57"/>
      <c r="M78" s="54"/>
      <c r="N78" s="58" t="str">
        <f aca="false">IF(S78=1,IF(U78&lt;0,"",U78),IF(Y78=1,X78,""))</f>
        <v/>
      </c>
      <c r="O78" s="59" t="str">
        <f aca="false">IF(S78=1,IF(ISNUMBER(I78),I78-G78,""),"")</f>
        <v/>
      </c>
      <c r="P78" s="59" t="str">
        <f aca="false">IF(T78=1,IF(ISNUMBER(L78),L78-G78,""),"")</f>
        <v/>
      </c>
      <c r="Q78" s="60" t="str">
        <f aca="false">IF(C78="","",IF(T78=1,"✔ SOLD / VENDIDO",IF(S78=0,"— CLOSED / CERRADO",IF(U78&lt;0,"⚠ ADD DATE / AGREGA FECHA",IF(U78&gt;=Settings!$C$8,"⚠ STALE – REPRICE / ESTANCADO",IF(U78&gt;=Settings!$C$7,"● WATCH / VIGILAR","✔ FRESH / RECIENTE"))))))</f>
        <v/>
      </c>
      <c r="S78" s="53" t="n">
        <f aca="false">IF(C78="",0,IF(OR(J78="",J78="In Stock / En Inventario",J78="Listed / Publicado"),1,0))</f>
        <v>0</v>
      </c>
      <c r="T78" s="53" t="n">
        <f aca="false">IF(C78="",0,IF(J78="Sold / Vendido",1,0))</f>
        <v>0</v>
      </c>
      <c r="U78" s="53" t="n">
        <f aca="true">IF(S78=1,IF(ISNUMBER(F78),TODAY()-F78,-1),-1)</f>
        <v>-1</v>
      </c>
      <c r="V78" s="53" t="n">
        <f aca="false">IF(U78&lt;0,IF(S78=1,5,0),IF(U78&lt;=30,1,IF(U78&lt;=60,2,IF(U78&lt;=90,3,4))))</f>
        <v>0</v>
      </c>
      <c r="W78" s="53" t="n">
        <f aca="false">IF(U78&lt;0,-1000000000000000,U78+ROW()/1000000)</f>
        <v>-1000000000000000</v>
      </c>
      <c r="X78" s="53" t="n">
        <f aca="false">IF(T78=1,IF(AND(ISNUMBER(F78),ISNUMBER(K78)),K78-F78,0),0)</f>
        <v>0</v>
      </c>
      <c r="Y78" s="53" t="n">
        <f aca="false">IF(T78=1,IF(AND(ISNUMBER(F78),ISNUMBER(K78)),1,0),0)</f>
        <v>0</v>
      </c>
      <c r="Z78" s="53" t="n">
        <f aca="false">IF(U78&gt;=Settings!$C$8,1,0)</f>
        <v>0</v>
      </c>
      <c r="AA78" s="53" t="n">
        <f aca="false">IF(S78=1,IF(J78="Listed / Publicado",0,1),0)</f>
        <v>0</v>
      </c>
      <c r="AB78" s="53" t="n">
        <f aca="false">IF(T78=1,IF(ISNUMBER(L78),L78-G78,0),0)</f>
        <v>0</v>
      </c>
      <c r="AC78" s="53" t="n">
        <f aca="false">IF(S78=1,IF(ISNUMBER(I78),I78-G78,0),0)</f>
        <v>0</v>
      </c>
    </row>
    <row r="79" customFormat="false" ht="15" hidden="false" customHeight="false" outlineLevel="0" collapsed="false">
      <c r="B79" s="54"/>
      <c r="C79" s="55"/>
      <c r="D79" s="55"/>
      <c r="E79" s="55"/>
      <c r="F79" s="56"/>
      <c r="G79" s="57"/>
      <c r="H79" s="55"/>
      <c r="I79" s="57"/>
      <c r="J79" s="54"/>
      <c r="K79" s="56"/>
      <c r="L79" s="57"/>
      <c r="M79" s="54"/>
      <c r="N79" s="58" t="str">
        <f aca="false">IF(S79=1,IF(U79&lt;0,"",U79),IF(Y79=1,X79,""))</f>
        <v/>
      </c>
      <c r="O79" s="59" t="str">
        <f aca="false">IF(S79=1,IF(ISNUMBER(I79),I79-G79,""),"")</f>
        <v/>
      </c>
      <c r="P79" s="59" t="str">
        <f aca="false">IF(T79=1,IF(ISNUMBER(L79),L79-G79,""),"")</f>
        <v/>
      </c>
      <c r="Q79" s="60" t="str">
        <f aca="false">IF(C79="","",IF(T79=1,"✔ SOLD / VENDIDO",IF(S79=0,"— CLOSED / CERRADO",IF(U79&lt;0,"⚠ ADD DATE / AGREGA FECHA",IF(U79&gt;=Settings!$C$8,"⚠ STALE – REPRICE / ESTANCADO",IF(U79&gt;=Settings!$C$7,"● WATCH / VIGILAR","✔ FRESH / RECIENTE"))))))</f>
        <v/>
      </c>
      <c r="S79" s="53" t="n">
        <f aca="false">IF(C79="",0,IF(OR(J79="",J79="In Stock / En Inventario",J79="Listed / Publicado"),1,0))</f>
        <v>0</v>
      </c>
      <c r="T79" s="53" t="n">
        <f aca="false">IF(C79="",0,IF(J79="Sold / Vendido",1,0))</f>
        <v>0</v>
      </c>
      <c r="U79" s="53" t="n">
        <f aca="true">IF(S79=1,IF(ISNUMBER(F79),TODAY()-F79,-1),-1)</f>
        <v>-1</v>
      </c>
      <c r="V79" s="53" t="n">
        <f aca="false">IF(U79&lt;0,IF(S79=1,5,0),IF(U79&lt;=30,1,IF(U79&lt;=60,2,IF(U79&lt;=90,3,4))))</f>
        <v>0</v>
      </c>
      <c r="W79" s="53" t="n">
        <f aca="false">IF(U79&lt;0,-1000000000000000,U79+ROW()/1000000)</f>
        <v>-1000000000000000</v>
      </c>
      <c r="X79" s="53" t="n">
        <f aca="false">IF(T79=1,IF(AND(ISNUMBER(F79),ISNUMBER(K79)),K79-F79,0),0)</f>
        <v>0</v>
      </c>
      <c r="Y79" s="53" t="n">
        <f aca="false">IF(T79=1,IF(AND(ISNUMBER(F79),ISNUMBER(K79)),1,0),0)</f>
        <v>0</v>
      </c>
      <c r="Z79" s="53" t="n">
        <f aca="false">IF(U79&gt;=Settings!$C$8,1,0)</f>
        <v>0</v>
      </c>
      <c r="AA79" s="53" t="n">
        <f aca="false">IF(S79=1,IF(J79="Listed / Publicado",0,1),0)</f>
        <v>0</v>
      </c>
      <c r="AB79" s="53" t="n">
        <f aca="false">IF(T79=1,IF(ISNUMBER(L79),L79-G79,0),0)</f>
        <v>0</v>
      </c>
      <c r="AC79" s="53" t="n">
        <f aca="false">IF(S79=1,IF(ISNUMBER(I79),I79-G79,0),0)</f>
        <v>0</v>
      </c>
    </row>
    <row r="80" customFormat="false" ht="15" hidden="false" customHeight="false" outlineLevel="0" collapsed="false">
      <c r="B80" s="54"/>
      <c r="C80" s="55"/>
      <c r="D80" s="55"/>
      <c r="E80" s="55"/>
      <c r="F80" s="56"/>
      <c r="G80" s="57"/>
      <c r="H80" s="55"/>
      <c r="I80" s="57"/>
      <c r="J80" s="54"/>
      <c r="K80" s="56"/>
      <c r="L80" s="57"/>
      <c r="M80" s="54"/>
      <c r="N80" s="58" t="str">
        <f aca="false">IF(S80=1,IF(U80&lt;0,"",U80),IF(Y80=1,X80,""))</f>
        <v/>
      </c>
      <c r="O80" s="59" t="str">
        <f aca="false">IF(S80=1,IF(ISNUMBER(I80),I80-G80,""),"")</f>
        <v/>
      </c>
      <c r="P80" s="59" t="str">
        <f aca="false">IF(T80=1,IF(ISNUMBER(L80),L80-G80,""),"")</f>
        <v/>
      </c>
      <c r="Q80" s="60" t="str">
        <f aca="false">IF(C80="","",IF(T80=1,"✔ SOLD / VENDIDO",IF(S80=0,"— CLOSED / CERRADO",IF(U80&lt;0,"⚠ ADD DATE / AGREGA FECHA",IF(U80&gt;=Settings!$C$8,"⚠ STALE – REPRICE / ESTANCADO",IF(U80&gt;=Settings!$C$7,"● WATCH / VIGILAR","✔ FRESH / RECIENTE"))))))</f>
        <v/>
      </c>
      <c r="S80" s="53" t="n">
        <f aca="false">IF(C80="",0,IF(OR(J80="",J80="In Stock / En Inventario",J80="Listed / Publicado"),1,0))</f>
        <v>0</v>
      </c>
      <c r="T80" s="53" t="n">
        <f aca="false">IF(C80="",0,IF(J80="Sold / Vendido",1,0))</f>
        <v>0</v>
      </c>
      <c r="U80" s="53" t="n">
        <f aca="true">IF(S80=1,IF(ISNUMBER(F80),TODAY()-F80,-1),-1)</f>
        <v>-1</v>
      </c>
      <c r="V80" s="53" t="n">
        <f aca="false">IF(U80&lt;0,IF(S80=1,5,0),IF(U80&lt;=30,1,IF(U80&lt;=60,2,IF(U80&lt;=90,3,4))))</f>
        <v>0</v>
      </c>
      <c r="W80" s="53" t="n">
        <f aca="false">IF(U80&lt;0,-1000000000000000,U80+ROW()/1000000)</f>
        <v>-1000000000000000</v>
      </c>
      <c r="X80" s="53" t="n">
        <f aca="false">IF(T80=1,IF(AND(ISNUMBER(F80),ISNUMBER(K80)),K80-F80,0),0)</f>
        <v>0</v>
      </c>
      <c r="Y80" s="53" t="n">
        <f aca="false">IF(T80=1,IF(AND(ISNUMBER(F80),ISNUMBER(K80)),1,0),0)</f>
        <v>0</v>
      </c>
      <c r="Z80" s="53" t="n">
        <f aca="false">IF(U80&gt;=Settings!$C$8,1,0)</f>
        <v>0</v>
      </c>
      <c r="AA80" s="53" t="n">
        <f aca="false">IF(S80=1,IF(J80="Listed / Publicado",0,1),0)</f>
        <v>0</v>
      </c>
      <c r="AB80" s="53" t="n">
        <f aca="false">IF(T80=1,IF(ISNUMBER(L80),L80-G80,0),0)</f>
        <v>0</v>
      </c>
      <c r="AC80" s="53" t="n">
        <f aca="false">IF(S80=1,IF(ISNUMBER(I80),I80-G80,0),0)</f>
        <v>0</v>
      </c>
    </row>
    <row r="81" customFormat="false" ht="15" hidden="false" customHeight="false" outlineLevel="0" collapsed="false">
      <c r="B81" s="54"/>
      <c r="C81" s="55"/>
      <c r="D81" s="55"/>
      <c r="E81" s="55"/>
      <c r="F81" s="56"/>
      <c r="G81" s="57"/>
      <c r="H81" s="55"/>
      <c r="I81" s="57"/>
      <c r="J81" s="54"/>
      <c r="K81" s="56"/>
      <c r="L81" s="57"/>
      <c r="M81" s="54"/>
      <c r="N81" s="58" t="str">
        <f aca="false">IF(S81=1,IF(U81&lt;0,"",U81),IF(Y81=1,X81,""))</f>
        <v/>
      </c>
      <c r="O81" s="59" t="str">
        <f aca="false">IF(S81=1,IF(ISNUMBER(I81),I81-G81,""),"")</f>
        <v/>
      </c>
      <c r="P81" s="59" t="str">
        <f aca="false">IF(T81=1,IF(ISNUMBER(L81),L81-G81,""),"")</f>
        <v/>
      </c>
      <c r="Q81" s="60" t="str">
        <f aca="false">IF(C81="","",IF(T81=1,"✔ SOLD / VENDIDO",IF(S81=0,"— CLOSED / CERRADO",IF(U81&lt;0,"⚠ ADD DATE / AGREGA FECHA",IF(U81&gt;=Settings!$C$8,"⚠ STALE – REPRICE / ESTANCADO",IF(U81&gt;=Settings!$C$7,"● WATCH / VIGILAR","✔ FRESH / RECIENTE"))))))</f>
        <v/>
      </c>
      <c r="S81" s="53" t="n">
        <f aca="false">IF(C81="",0,IF(OR(J81="",J81="In Stock / En Inventario",J81="Listed / Publicado"),1,0))</f>
        <v>0</v>
      </c>
      <c r="T81" s="53" t="n">
        <f aca="false">IF(C81="",0,IF(J81="Sold / Vendido",1,0))</f>
        <v>0</v>
      </c>
      <c r="U81" s="53" t="n">
        <f aca="true">IF(S81=1,IF(ISNUMBER(F81),TODAY()-F81,-1),-1)</f>
        <v>-1</v>
      </c>
      <c r="V81" s="53" t="n">
        <f aca="false">IF(U81&lt;0,IF(S81=1,5,0),IF(U81&lt;=30,1,IF(U81&lt;=60,2,IF(U81&lt;=90,3,4))))</f>
        <v>0</v>
      </c>
      <c r="W81" s="53" t="n">
        <f aca="false">IF(U81&lt;0,-1000000000000000,U81+ROW()/1000000)</f>
        <v>-1000000000000000</v>
      </c>
      <c r="X81" s="53" t="n">
        <f aca="false">IF(T81=1,IF(AND(ISNUMBER(F81),ISNUMBER(K81)),K81-F81,0),0)</f>
        <v>0</v>
      </c>
      <c r="Y81" s="53" t="n">
        <f aca="false">IF(T81=1,IF(AND(ISNUMBER(F81),ISNUMBER(K81)),1,0),0)</f>
        <v>0</v>
      </c>
      <c r="Z81" s="53" t="n">
        <f aca="false">IF(U81&gt;=Settings!$C$8,1,0)</f>
        <v>0</v>
      </c>
      <c r="AA81" s="53" t="n">
        <f aca="false">IF(S81=1,IF(J81="Listed / Publicado",0,1),0)</f>
        <v>0</v>
      </c>
      <c r="AB81" s="53" t="n">
        <f aca="false">IF(T81=1,IF(ISNUMBER(L81),L81-G81,0),0)</f>
        <v>0</v>
      </c>
      <c r="AC81" s="53" t="n">
        <f aca="false">IF(S81=1,IF(ISNUMBER(I81),I81-G81,0),0)</f>
        <v>0</v>
      </c>
    </row>
    <row r="82" customFormat="false" ht="15" hidden="false" customHeight="false" outlineLevel="0" collapsed="false">
      <c r="B82" s="54"/>
      <c r="C82" s="55"/>
      <c r="D82" s="55"/>
      <c r="E82" s="55"/>
      <c r="F82" s="56"/>
      <c r="G82" s="57"/>
      <c r="H82" s="55"/>
      <c r="I82" s="57"/>
      <c r="J82" s="54"/>
      <c r="K82" s="56"/>
      <c r="L82" s="57"/>
      <c r="M82" s="54"/>
      <c r="N82" s="58" t="str">
        <f aca="false">IF(S82=1,IF(U82&lt;0,"",U82),IF(Y82=1,X82,""))</f>
        <v/>
      </c>
      <c r="O82" s="59" t="str">
        <f aca="false">IF(S82=1,IF(ISNUMBER(I82),I82-G82,""),"")</f>
        <v/>
      </c>
      <c r="P82" s="59" t="str">
        <f aca="false">IF(T82=1,IF(ISNUMBER(L82),L82-G82,""),"")</f>
        <v/>
      </c>
      <c r="Q82" s="60" t="str">
        <f aca="false">IF(C82="","",IF(T82=1,"✔ SOLD / VENDIDO",IF(S82=0,"— CLOSED / CERRADO",IF(U82&lt;0,"⚠ ADD DATE / AGREGA FECHA",IF(U82&gt;=Settings!$C$8,"⚠ STALE – REPRICE / ESTANCADO",IF(U82&gt;=Settings!$C$7,"● WATCH / VIGILAR","✔ FRESH / RECIENTE"))))))</f>
        <v/>
      </c>
      <c r="S82" s="53" t="n">
        <f aca="false">IF(C82="",0,IF(OR(J82="",J82="In Stock / En Inventario",J82="Listed / Publicado"),1,0))</f>
        <v>0</v>
      </c>
      <c r="T82" s="53" t="n">
        <f aca="false">IF(C82="",0,IF(J82="Sold / Vendido",1,0))</f>
        <v>0</v>
      </c>
      <c r="U82" s="53" t="n">
        <f aca="true">IF(S82=1,IF(ISNUMBER(F82),TODAY()-F82,-1),-1)</f>
        <v>-1</v>
      </c>
      <c r="V82" s="53" t="n">
        <f aca="false">IF(U82&lt;0,IF(S82=1,5,0),IF(U82&lt;=30,1,IF(U82&lt;=60,2,IF(U82&lt;=90,3,4))))</f>
        <v>0</v>
      </c>
      <c r="W82" s="53" t="n">
        <f aca="false">IF(U82&lt;0,-1000000000000000,U82+ROW()/1000000)</f>
        <v>-1000000000000000</v>
      </c>
      <c r="X82" s="53" t="n">
        <f aca="false">IF(T82=1,IF(AND(ISNUMBER(F82),ISNUMBER(K82)),K82-F82,0),0)</f>
        <v>0</v>
      </c>
      <c r="Y82" s="53" t="n">
        <f aca="false">IF(T82=1,IF(AND(ISNUMBER(F82),ISNUMBER(K82)),1,0),0)</f>
        <v>0</v>
      </c>
      <c r="Z82" s="53" t="n">
        <f aca="false">IF(U82&gt;=Settings!$C$8,1,0)</f>
        <v>0</v>
      </c>
      <c r="AA82" s="53" t="n">
        <f aca="false">IF(S82=1,IF(J82="Listed / Publicado",0,1),0)</f>
        <v>0</v>
      </c>
      <c r="AB82" s="53" t="n">
        <f aca="false">IF(T82=1,IF(ISNUMBER(L82),L82-G82,0),0)</f>
        <v>0</v>
      </c>
      <c r="AC82" s="53" t="n">
        <f aca="false">IF(S82=1,IF(ISNUMBER(I82),I82-G82,0),0)</f>
        <v>0</v>
      </c>
    </row>
    <row r="83" customFormat="false" ht="15" hidden="false" customHeight="false" outlineLevel="0" collapsed="false">
      <c r="B83" s="54"/>
      <c r="C83" s="55"/>
      <c r="D83" s="55"/>
      <c r="E83" s="55"/>
      <c r="F83" s="56"/>
      <c r="G83" s="57"/>
      <c r="H83" s="55"/>
      <c r="I83" s="57"/>
      <c r="J83" s="54"/>
      <c r="K83" s="56"/>
      <c r="L83" s="57"/>
      <c r="M83" s="54"/>
      <c r="N83" s="58" t="str">
        <f aca="false">IF(S83=1,IF(U83&lt;0,"",U83),IF(Y83=1,X83,""))</f>
        <v/>
      </c>
      <c r="O83" s="59" t="str">
        <f aca="false">IF(S83=1,IF(ISNUMBER(I83),I83-G83,""),"")</f>
        <v/>
      </c>
      <c r="P83" s="59" t="str">
        <f aca="false">IF(T83=1,IF(ISNUMBER(L83),L83-G83,""),"")</f>
        <v/>
      </c>
      <c r="Q83" s="60" t="str">
        <f aca="false">IF(C83="","",IF(T83=1,"✔ SOLD / VENDIDO",IF(S83=0,"— CLOSED / CERRADO",IF(U83&lt;0,"⚠ ADD DATE / AGREGA FECHA",IF(U83&gt;=Settings!$C$8,"⚠ STALE – REPRICE / ESTANCADO",IF(U83&gt;=Settings!$C$7,"● WATCH / VIGILAR","✔ FRESH / RECIENTE"))))))</f>
        <v/>
      </c>
      <c r="S83" s="53" t="n">
        <f aca="false">IF(C83="",0,IF(OR(J83="",J83="In Stock / En Inventario",J83="Listed / Publicado"),1,0))</f>
        <v>0</v>
      </c>
      <c r="T83" s="53" t="n">
        <f aca="false">IF(C83="",0,IF(J83="Sold / Vendido",1,0))</f>
        <v>0</v>
      </c>
      <c r="U83" s="53" t="n">
        <f aca="true">IF(S83=1,IF(ISNUMBER(F83),TODAY()-F83,-1),-1)</f>
        <v>-1</v>
      </c>
      <c r="V83" s="53" t="n">
        <f aca="false">IF(U83&lt;0,IF(S83=1,5,0),IF(U83&lt;=30,1,IF(U83&lt;=60,2,IF(U83&lt;=90,3,4))))</f>
        <v>0</v>
      </c>
      <c r="W83" s="53" t="n">
        <f aca="false">IF(U83&lt;0,-1000000000000000,U83+ROW()/1000000)</f>
        <v>-1000000000000000</v>
      </c>
      <c r="X83" s="53" t="n">
        <f aca="false">IF(T83=1,IF(AND(ISNUMBER(F83),ISNUMBER(K83)),K83-F83,0),0)</f>
        <v>0</v>
      </c>
      <c r="Y83" s="53" t="n">
        <f aca="false">IF(T83=1,IF(AND(ISNUMBER(F83),ISNUMBER(K83)),1,0),0)</f>
        <v>0</v>
      </c>
      <c r="Z83" s="53" t="n">
        <f aca="false">IF(U83&gt;=Settings!$C$8,1,0)</f>
        <v>0</v>
      </c>
      <c r="AA83" s="53" t="n">
        <f aca="false">IF(S83=1,IF(J83="Listed / Publicado",0,1),0)</f>
        <v>0</v>
      </c>
      <c r="AB83" s="53" t="n">
        <f aca="false">IF(T83=1,IF(ISNUMBER(L83),L83-G83,0),0)</f>
        <v>0</v>
      </c>
      <c r="AC83" s="53" t="n">
        <f aca="false">IF(S83=1,IF(ISNUMBER(I83),I83-G83,0),0)</f>
        <v>0</v>
      </c>
    </row>
    <row r="84" customFormat="false" ht="15" hidden="false" customHeight="false" outlineLevel="0" collapsed="false">
      <c r="B84" s="54"/>
      <c r="C84" s="55"/>
      <c r="D84" s="55"/>
      <c r="E84" s="55"/>
      <c r="F84" s="56"/>
      <c r="G84" s="57"/>
      <c r="H84" s="55"/>
      <c r="I84" s="57"/>
      <c r="J84" s="54"/>
      <c r="K84" s="56"/>
      <c r="L84" s="57"/>
      <c r="M84" s="54"/>
      <c r="N84" s="58" t="str">
        <f aca="false">IF(S84=1,IF(U84&lt;0,"",U84),IF(Y84=1,X84,""))</f>
        <v/>
      </c>
      <c r="O84" s="59" t="str">
        <f aca="false">IF(S84=1,IF(ISNUMBER(I84),I84-G84,""),"")</f>
        <v/>
      </c>
      <c r="P84" s="59" t="str">
        <f aca="false">IF(T84=1,IF(ISNUMBER(L84),L84-G84,""),"")</f>
        <v/>
      </c>
      <c r="Q84" s="60" t="str">
        <f aca="false">IF(C84="","",IF(T84=1,"✔ SOLD / VENDIDO",IF(S84=0,"— CLOSED / CERRADO",IF(U84&lt;0,"⚠ ADD DATE / AGREGA FECHA",IF(U84&gt;=Settings!$C$8,"⚠ STALE – REPRICE / ESTANCADO",IF(U84&gt;=Settings!$C$7,"● WATCH / VIGILAR","✔ FRESH / RECIENTE"))))))</f>
        <v/>
      </c>
      <c r="S84" s="53" t="n">
        <f aca="false">IF(C84="",0,IF(OR(J84="",J84="In Stock / En Inventario",J84="Listed / Publicado"),1,0))</f>
        <v>0</v>
      </c>
      <c r="T84" s="53" t="n">
        <f aca="false">IF(C84="",0,IF(J84="Sold / Vendido",1,0))</f>
        <v>0</v>
      </c>
      <c r="U84" s="53" t="n">
        <f aca="true">IF(S84=1,IF(ISNUMBER(F84),TODAY()-F84,-1),-1)</f>
        <v>-1</v>
      </c>
      <c r="V84" s="53" t="n">
        <f aca="false">IF(U84&lt;0,IF(S84=1,5,0),IF(U84&lt;=30,1,IF(U84&lt;=60,2,IF(U84&lt;=90,3,4))))</f>
        <v>0</v>
      </c>
      <c r="W84" s="53" t="n">
        <f aca="false">IF(U84&lt;0,-1000000000000000,U84+ROW()/1000000)</f>
        <v>-1000000000000000</v>
      </c>
      <c r="X84" s="53" t="n">
        <f aca="false">IF(T84=1,IF(AND(ISNUMBER(F84),ISNUMBER(K84)),K84-F84,0),0)</f>
        <v>0</v>
      </c>
      <c r="Y84" s="53" t="n">
        <f aca="false">IF(T84=1,IF(AND(ISNUMBER(F84),ISNUMBER(K84)),1,0),0)</f>
        <v>0</v>
      </c>
      <c r="Z84" s="53" t="n">
        <f aca="false">IF(U84&gt;=Settings!$C$8,1,0)</f>
        <v>0</v>
      </c>
      <c r="AA84" s="53" t="n">
        <f aca="false">IF(S84=1,IF(J84="Listed / Publicado",0,1),0)</f>
        <v>0</v>
      </c>
      <c r="AB84" s="53" t="n">
        <f aca="false">IF(T84=1,IF(ISNUMBER(L84),L84-G84,0),0)</f>
        <v>0</v>
      </c>
      <c r="AC84" s="53" t="n">
        <f aca="false">IF(S84=1,IF(ISNUMBER(I84),I84-G84,0),0)</f>
        <v>0</v>
      </c>
    </row>
    <row r="85" customFormat="false" ht="15" hidden="false" customHeight="false" outlineLevel="0" collapsed="false">
      <c r="B85" s="54"/>
      <c r="C85" s="55"/>
      <c r="D85" s="55"/>
      <c r="E85" s="55"/>
      <c r="F85" s="56"/>
      <c r="G85" s="57"/>
      <c r="H85" s="55"/>
      <c r="I85" s="57"/>
      <c r="J85" s="54"/>
      <c r="K85" s="56"/>
      <c r="L85" s="57"/>
      <c r="M85" s="54"/>
      <c r="N85" s="58" t="str">
        <f aca="false">IF(S85=1,IF(U85&lt;0,"",U85),IF(Y85=1,X85,""))</f>
        <v/>
      </c>
      <c r="O85" s="59" t="str">
        <f aca="false">IF(S85=1,IF(ISNUMBER(I85),I85-G85,""),"")</f>
        <v/>
      </c>
      <c r="P85" s="59" t="str">
        <f aca="false">IF(T85=1,IF(ISNUMBER(L85),L85-G85,""),"")</f>
        <v/>
      </c>
      <c r="Q85" s="60" t="str">
        <f aca="false">IF(C85="","",IF(T85=1,"✔ SOLD / VENDIDO",IF(S85=0,"— CLOSED / CERRADO",IF(U85&lt;0,"⚠ ADD DATE / AGREGA FECHA",IF(U85&gt;=Settings!$C$8,"⚠ STALE – REPRICE / ESTANCADO",IF(U85&gt;=Settings!$C$7,"● WATCH / VIGILAR","✔ FRESH / RECIENTE"))))))</f>
        <v/>
      </c>
      <c r="S85" s="53" t="n">
        <f aca="false">IF(C85="",0,IF(OR(J85="",J85="In Stock / En Inventario",J85="Listed / Publicado"),1,0))</f>
        <v>0</v>
      </c>
      <c r="T85" s="53" t="n">
        <f aca="false">IF(C85="",0,IF(J85="Sold / Vendido",1,0))</f>
        <v>0</v>
      </c>
      <c r="U85" s="53" t="n">
        <f aca="true">IF(S85=1,IF(ISNUMBER(F85),TODAY()-F85,-1),-1)</f>
        <v>-1</v>
      </c>
      <c r="V85" s="53" t="n">
        <f aca="false">IF(U85&lt;0,IF(S85=1,5,0),IF(U85&lt;=30,1,IF(U85&lt;=60,2,IF(U85&lt;=90,3,4))))</f>
        <v>0</v>
      </c>
      <c r="W85" s="53" t="n">
        <f aca="false">IF(U85&lt;0,-1000000000000000,U85+ROW()/1000000)</f>
        <v>-1000000000000000</v>
      </c>
      <c r="X85" s="53" t="n">
        <f aca="false">IF(T85=1,IF(AND(ISNUMBER(F85),ISNUMBER(K85)),K85-F85,0),0)</f>
        <v>0</v>
      </c>
      <c r="Y85" s="53" t="n">
        <f aca="false">IF(T85=1,IF(AND(ISNUMBER(F85),ISNUMBER(K85)),1,0),0)</f>
        <v>0</v>
      </c>
      <c r="Z85" s="53" t="n">
        <f aca="false">IF(U85&gt;=Settings!$C$8,1,0)</f>
        <v>0</v>
      </c>
      <c r="AA85" s="53" t="n">
        <f aca="false">IF(S85=1,IF(J85="Listed / Publicado",0,1),0)</f>
        <v>0</v>
      </c>
      <c r="AB85" s="53" t="n">
        <f aca="false">IF(T85=1,IF(ISNUMBER(L85),L85-G85,0),0)</f>
        <v>0</v>
      </c>
      <c r="AC85" s="53" t="n">
        <f aca="false">IF(S85=1,IF(ISNUMBER(I85),I85-G85,0),0)</f>
        <v>0</v>
      </c>
    </row>
    <row r="86" customFormat="false" ht="15" hidden="false" customHeight="false" outlineLevel="0" collapsed="false">
      <c r="B86" s="54"/>
      <c r="C86" s="55"/>
      <c r="D86" s="55"/>
      <c r="E86" s="55"/>
      <c r="F86" s="56"/>
      <c r="G86" s="57"/>
      <c r="H86" s="55"/>
      <c r="I86" s="57"/>
      <c r="J86" s="54"/>
      <c r="K86" s="56"/>
      <c r="L86" s="57"/>
      <c r="M86" s="54"/>
      <c r="N86" s="58" t="str">
        <f aca="false">IF(S86=1,IF(U86&lt;0,"",U86),IF(Y86=1,X86,""))</f>
        <v/>
      </c>
      <c r="O86" s="59" t="str">
        <f aca="false">IF(S86=1,IF(ISNUMBER(I86),I86-G86,""),"")</f>
        <v/>
      </c>
      <c r="P86" s="59" t="str">
        <f aca="false">IF(T86=1,IF(ISNUMBER(L86),L86-G86,""),"")</f>
        <v/>
      </c>
      <c r="Q86" s="60" t="str">
        <f aca="false">IF(C86="","",IF(T86=1,"✔ SOLD / VENDIDO",IF(S86=0,"— CLOSED / CERRADO",IF(U86&lt;0,"⚠ ADD DATE / AGREGA FECHA",IF(U86&gt;=Settings!$C$8,"⚠ STALE – REPRICE / ESTANCADO",IF(U86&gt;=Settings!$C$7,"● WATCH / VIGILAR","✔ FRESH / RECIENTE"))))))</f>
        <v/>
      </c>
      <c r="S86" s="53" t="n">
        <f aca="false">IF(C86="",0,IF(OR(J86="",J86="In Stock / En Inventario",J86="Listed / Publicado"),1,0))</f>
        <v>0</v>
      </c>
      <c r="T86" s="53" t="n">
        <f aca="false">IF(C86="",0,IF(J86="Sold / Vendido",1,0))</f>
        <v>0</v>
      </c>
      <c r="U86" s="53" t="n">
        <f aca="true">IF(S86=1,IF(ISNUMBER(F86),TODAY()-F86,-1),-1)</f>
        <v>-1</v>
      </c>
      <c r="V86" s="53" t="n">
        <f aca="false">IF(U86&lt;0,IF(S86=1,5,0),IF(U86&lt;=30,1,IF(U86&lt;=60,2,IF(U86&lt;=90,3,4))))</f>
        <v>0</v>
      </c>
      <c r="W86" s="53" t="n">
        <f aca="false">IF(U86&lt;0,-1000000000000000,U86+ROW()/1000000)</f>
        <v>-1000000000000000</v>
      </c>
      <c r="X86" s="53" t="n">
        <f aca="false">IF(T86=1,IF(AND(ISNUMBER(F86),ISNUMBER(K86)),K86-F86,0),0)</f>
        <v>0</v>
      </c>
      <c r="Y86" s="53" t="n">
        <f aca="false">IF(T86=1,IF(AND(ISNUMBER(F86),ISNUMBER(K86)),1,0),0)</f>
        <v>0</v>
      </c>
      <c r="Z86" s="53" t="n">
        <f aca="false">IF(U86&gt;=Settings!$C$8,1,0)</f>
        <v>0</v>
      </c>
      <c r="AA86" s="53" t="n">
        <f aca="false">IF(S86=1,IF(J86="Listed / Publicado",0,1),0)</f>
        <v>0</v>
      </c>
      <c r="AB86" s="53" t="n">
        <f aca="false">IF(T86=1,IF(ISNUMBER(L86),L86-G86,0),0)</f>
        <v>0</v>
      </c>
      <c r="AC86" s="53" t="n">
        <f aca="false">IF(S86=1,IF(ISNUMBER(I86),I86-G86,0),0)</f>
        <v>0</v>
      </c>
    </row>
    <row r="87" customFormat="false" ht="15" hidden="false" customHeight="false" outlineLevel="0" collapsed="false">
      <c r="B87" s="54"/>
      <c r="C87" s="55"/>
      <c r="D87" s="55"/>
      <c r="E87" s="55"/>
      <c r="F87" s="56"/>
      <c r="G87" s="57"/>
      <c r="H87" s="55"/>
      <c r="I87" s="57"/>
      <c r="J87" s="54"/>
      <c r="K87" s="56"/>
      <c r="L87" s="57"/>
      <c r="M87" s="54"/>
      <c r="N87" s="58" t="str">
        <f aca="false">IF(S87=1,IF(U87&lt;0,"",U87),IF(Y87=1,X87,""))</f>
        <v/>
      </c>
      <c r="O87" s="59" t="str">
        <f aca="false">IF(S87=1,IF(ISNUMBER(I87),I87-G87,""),"")</f>
        <v/>
      </c>
      <c r="P87" s="59" t="str">
        <f aca="false">IF(T87=1,IF(ISNUMBER(L87),L87-G87,""),"")</f>
        <v/>
      </c>
      <c r="Q87" s="60" t="str">
        <f aca="false">IF(C87="","",IF(T87=1,"✔ SOLD / VENDIDO",IF(S87=0,"— CLOSED / CERRADO",IF(U87&lt;0,"⚠ ADD DATE / AGREGA FECHA",IF(U87&gt;=Settings!$C$8,"⚠ STALE – REPRICE / ESTANCADO",IF(U87&gt;=Settings!$C$7,"● WATCH / VIGILAR","✔ FRESH / RECIENTE"))))))</f>
        <v/>
      </c>
      <c r="S87" s="53" t="n">
        <f aca="false">IF(C87="",0,IF(OR(J87="",J87="In Stock / En Inventario",J87="Listed / Publicado"),1,0))</f>
        <v>0</v>
      </c>
      <c r="T87" s="53" t="n">
        <f aca="false">IF(C87="",0,IF(J87="Sold / Vendido",1,0))</f>
        <v>0</v>
      </c>
      <c r="U87" s="53" t="n">
        <f aca="true">IF(S87=1,IF(ISNUMBER(F87),TODAY()-F87,-1),-1)</f>
        <v>-1</v>
      </c>
      <c r="V87" s="53" t="n">
        <f aca="false">IF(U87&lt;0,IF(S87=1,5,0),IF(U87&lt;=30,1,IF(U87&lt;=60,2,IF(U87&lt;=90,3,4))))</f>
        <v>0</v>
      </c>
      <c r="W87" s="53" t="n">
        <f aca="false">IF(U87&lt;0,-1000000000000000,U87+ROW()/1000000)</f>
        <v>-1000000000000000</v>
      </c>
      <c r="X87" s="53" t="n">
        <f aca="false">IF(T87=1,IF(AND(ISNUMBER(F87),ISNUMBER(K87)),K87-F87,0),0)</f>
        <v>0</v>
      </c>
      <c r="Y87" s="53" t="n">
        <f aca="false">IF(T87=1,IF(AND(ISNUMBER(F87),ISNUMBER(K87)),1,0),0)</f>
        <v>0</v>
      </c>
      <c r="Z87" s="53" t="n">
        <f aca="false">IF(U87&gt;=Settings!$C$8,1,0)</f>
        <v>0</v>
      </c>
      <c r="AA87" s="53" t="n">
        <f aca="false">IF(S87=1,IF(J87="Listed / Publicado",0,1),0)</f>
        <v>0</v>
      </c>
      <c r="AB87" s="53" t="n">
        <f aca="false">IF(T87=1,IF(ISNUMBER(L87),L87-G87,0),0)</f>
        <v>0</v>
      </c>
      <c r="AC87" s="53" t="n">
        <f aca="false">IF(S87=1,IF(ISNUMBER(I87),I87-G87,0),0)</f>
        <v>0</v>
      </c>
    </row>
    <row r="88" customFormat="false" ht="15" hidden="false" customHeight="false" outlineLevel="0" collapsed="false">
      <c r="B88" s="54"/>
      <c r="C88" s="55"/>
      <c r="D88" s="55"/>
      <c r="E88" s="55"/>
      <c r="F88" s="56"/>
      <c r="G88" s="57"/>
      <c r="H88" s="55"/>
      <c r="I88" s="57"/>
      <c r="J88" s="54"/>
      <c r="K88" s="56"/>
      <c r="L88" s="57"/>
      <c r="M88" s="54"/>
      <c r="N88" s="58" t="str">
        <f aca="false">IF(S88=1,IF(U88&lt;0,"",U88),IF(Y88=1,X88,""))</f>
        <v/>
      </c>
      <c r="O88" s="59" t="str">
        <f aca="false">IF(S88=1,IF(ISNUMBER(I88),I88-G88,""),"")</f>
        <v/>
      </c>
      <c r="P88" s="59" t="str">
        <f aca="false">IF(T88=1,IF(ISNUMBER(L88),L88-G88,""),"")</f>
        <v/>
      </c>
      <c r="Q88" s="60" t="str">
        <f aca="false">IF(C88="","",IF(T88=1,"✔ SOLD / VENDIDO",IF(S88=0,"— CLOSED / CERRADO",IF(U88&lt;0,"⚠ ADD DATE / AGREGA FECHA",IF(U88&gt;=Settings!$C$8,"⚠ STALE – REPRICE / ESTANCADO",IF(U88&gt;=Settings!$C$7,"● WATCH / VIGILAR","✔ FRESH / RECIENTE"))))))</f>
        <v/>
      </c>
      <c r="S88" s="53" t="n">
        <f aca="false">IF(C88="",0,IF(OR(J88="",J88="In Stock / En Inventario",J88="Listed / Publicado"),1,0))</f>
        <v>0</v>
      </c>
      <c r="T88" s="53" t="n">
        <f aca="false">IF(C88="",0,IF(J88="Sold / Vendido",1,0))</f>
        <v>0</v>
      </c>
      <c r="U88" s="53" t="n">
        <f aca="true">IF(S88=1,IF(ISNUMBER(F88),TODAY()-F88,-1),-1)</f>
        <v>-1</v>
      </c>
      <c r="V88" s="53" t="n">
        <f aca="false">IF(U88&lt;0,IF(S88=1,5,0),IF(U88&lt;=30,1,IF(U88&lt;=60,2,IF(U88&lt;=90,3,4))))</f>
        <v>0</v>
      </c>
      <c r="W88" s="53" t="n">
        <f aca="false">IF(U88&lt;0,-1000000000000000,U88+ROW()/1000000)</f>
        <v>-1000000000000000</v>
      </c>
      <c r="X88" s="53" t="n">
        <f aca="false">IF(T88=1,IF(AND(ISNUMBER(F88),ISNUMBER(K88)),K88-F88,0),0)</f>
        <v>0</v>
      </c>
      <c r="Y88" s="53" t="n">
        <f aca="false">IF(T88=1,IF(AND(ISNUMBER(F88),ISNUMBER(K88)),1,0),0)</f>
        <v>0</v>
      </c>
      <c r="Z88" s="53" t="n">
        <f aca="false">IF(U88&gt;=Settings!$C$8,1,0)</f>
        <v>0</v>
      </c>
      <c r="AA88" s="53" t="n">
        <f aca="false">IF(S88=1,IF(J88="Listed / Publicado",0,1),0)</f>
        <v>0</v>
      </c>
      <c r="AB88" s="53" t="n">
        <f aca="false">IF(T88=1,IF(ISNUMBER(L88),L88-G88,0),0)</f>
        <v>0</v>
      </c>
      <c r="AC88" s="53" t="n">
        <f aca="false">IF(S88=1,IF(ISNUMBER(I88),I88-G88,0),0)</f>
        <v>0</v>
      </c>
    </row>
    <row r="89" customFormat="false" ht="15" hidden="false" customHeight="false" outlineLevel="0" collapsed="false">
      <c r="B89" s="54"/>
      <c r="C89" s="55"/>
      <c r="D89" s="55"/>
      <c r="E89" s="55"/>
      <c r="F89" s="56"/>
      <c r="G89" s="57"/>
      <c r="H89" s="55"/>
      <c r="I89" s="57"/>
      <c r="J89" s="54"/>
      <c r="K89" s="56"/>
      <c r="L89" s="57"/>
      <c r="M89" s="54"/>
      <c r="N89" s="58" t="str">
        <f aca="false">IF(S89=1,IF(U89&lt;0,"",U89),IF(Y89=1,X89,""))</f>
        <v/>
      </c>
      <c r="O89" s="59" t="str">
        <f aca="false">IF(S89=1,IF(ISNUMBER(I89),I89-G89,""),"")</f>
        <v/>
      </c>
      <c r="P89" s="59" t="str">
        <f aca="false">IF(T89=1,IF(ISNUMBER(L89),L89-G89,""),"")</f>
        <v/>
      </c>
      <c r="Q89" s="60" t="str">
        <f aca="false">IF(C89="","",IF(T89=1,"✔ SOLD / VENDIDO",IF(S89=0,"— CLOSED / CERRADO",IF(U89&lt;0,"⚠ ADD DATE / AGREGA FECHA",IF(U89&gt;=Settings!$C$8,"⚠ STALE – REPRICE / ESTANCADO",IF(U89&gt;=Settings!$C$7,"● WATCH / VIGILAR","✔ FRESH / RECIENTE"))))))</f>
        <v/>
      </c>
      <c r="S89" s="53" t="n">
        <f aca="false">IF(C89="",0,IF(OR(J89="",J89="In Stock / En Inventario",J89="Listed / Publicado"),1,0))</f>
        <v>0</v>
      </c>
      <c r="T89" s="53" t="n">
        <f aca="false">IF(C89="",0,IF(J89="Sold / Vendido",1,0))</f>
        <v>0</v>
      </c>
      <c r="U89" s="53" t="n">
        <f aca="true">IF(S89=1,IF(ISNUMBER(F89),TODAY()-F89,-1),-1)</f>
        <v>-1</v>
      </c>
      <c r="V89" s="53" t="n">
        <f aca="false">IF(U89&lt;0,IF(S89=1,5,0),IF(U89&lt;=30,1,IF(U89&lt;=60,2,IF(U89&lt;=90,3,4))))</f>
        <v>0</v>
      </c>
      <c r="W89" s="53" t="n">
        <f aca="false">IF(U89&lt;0,-1000000000000000,U89+ROW()/1000000)</f>
        <v>-1000000000000000</v>
      </c>
      <c r="X89" s="53" t="n">
        <f aca="false">IF(T89=1,IF(AND(ISNUMBER(F89),ISNUMBER(K89)),K89-F89,0),0)</f>
        <v>0</v>
      </c>
      <c r="Y89" s="53" t="n">
        <f aca="false">IF(T89=1,IF(AND(ISNUMBER(F89),ISNUMBER(K89)),1,0),0)</f>
        <v>0</v>
      </c>
      <c r="Z89" s="53" t="n">
        <f aca="false">IF(U89&gt;=Settings!$C$8,1,0)</f>
        <v>0</v>
      </c>
      <c r="AA89" s="53" t="n">
        <f aca="false">IF(S89=1,IF(J89="Listed / Publicado",0,1),0)</f>
        <v>0</v>
      </c>
      <c r="AB89" s="53" t="n">
        <f aca="false">IF(T89=1,IF(ISNUMBER(L89),L89-G89,0),0)</f>
        <v>0</v>
      </c>
      <c r="AC89" s="53" t="n">
        <f aca="false">IF(S89=1,IF(ISNUMBER(I89),I89-G89,0),0)</f>
        <v>0</v>
      </c>
    </row>
    <row r="90" customFormat="false" ht="15" hidden="false" customHeight="false" outlineLevel="0" collapsed="false">
      <c r="B90" s="54"/>
      <c r="C90" s="55"/>
      <c r="D90" s="55"/>
      <c r="E90" s="55"/>
      <c r="F90" s="56"/>
      <c r="G90" s="57"/>
      <c r="H90" s="55"/>
      <c r="I90" s="57"/>
      <c r="J90" s="54"/>
      <c r="K90" s="56"/>
      <c r="L90" s="57"/>
      <c r="M90" s="54"/>
      <c r="N90" s="58" t="str">
        <f aca="false">IF(S90=1,IF(U90&lt;0,"",U90),IF(Y90=1,X90,""))</f>
        <v/>
      </c>
      <c r="O90" s="59" t="str">
        <f aca="false">IF(S90=1,IF(ISNUMBER(I90),I90-G90,""),"")</f>
        <v/>
      </c>
      <c r="P90" s="59" t="str">
        <f aca="false">IF(T90=1,IF(ISNUMBER(L90),L90-G90,""),"")</f>
        <v/>
      </c>
      <c r="Q90" s="60" t="str">
        <f aca="false">IF(C90="","",IF(T90=1,"✔ SOLD / VENDIDO",IF(S90=0,"— CLOSED / CERRADO",IF(U90&lt;0,"⚠ ADD DATE / AGREGA FECHA",IF(U90&gt;=Settings!$C$8,"⚠ STALE – REPRICE / ESTANCADO",IF(U90&gt;=Settings!$C$7,"● WATCH / VIGILAR","✔ FRESH / RECIENTE"))))))</f>
        <v/>
      </c>
      <c r="S90" s="53" t="n">
        <f aca="false">IF(C90="",0,IF(OR(J90="",J90="In Stock / En Inventario",J90="Listed / Publicado"),1,0))</f>
        <v>0</v>
      </c>
      <c r="T90" s="53" t="n">
        <f aca="false">IF(C90="",0,IF(J90="Sold / Vendido",1,0))</f>
        <v>0</v>
      </c>
      <c r="U90" s="53" t="n">
        <f aca="true">IF(S90=1,IF(ISNUMBER(F90),TODAY()-F90,-1),-1)</f>
        <v>-1</v>
      </c>
      <c r="V90" s="53" t="n">
        <f aca="false">IF(U90&lt;0,IF(S90=1,5,0),IF(U90&lt;=30,1,IF(U90&lt;=60,2,IF(U90&lt;=90,3,4))))</f>
        <v>0</v>
      </c>
      <c r="W90" s="53" t="n">
        <f aca="false">IF(U90&lt;0,-1000000000000000,U90+ROW()/1000000)</f>
        <v>-1000000000000000</v>
      </c>
      <c r="X90" s="53" t="n">
        <f aca="false">IF(T90=1,IF(AND(ISNUMBER(F90),ISNUMBER(K90)),K90-F90,0),0)</f>
        <v>0</v>
      </c>
      <c r="Y90" s="53" t="n">
        <f aca="false">IF(T90=1,IF(AND(ISNUMBER(F90),ISNUMBER(K90)),1,0),0)</f>
        <v>0</v>
      </c>
      <c r="Z90" s="53" t="n">
        <f aca="false">IF(U90&gt;=Settings!$C$8,1,0)</f>
        <v>0</v>
      </c>
      <c r="AA90" s="53" t="n">
        <f aca="false">IF(S90=1,IF(J90="Listed / Publicado",0,1),0)</f>
        <v>0</v>
      </c>
      <c r="AB90" s="53" t="n">
        <f aca="false">IF(T90=1,IF(ISNUMBER(L90),L90-G90,0),0)</f>
        <v>0</v>
      </c>
      <c r="AC90" s="53" t="n">
        <f aca="false">IF(S90=1,IF(ISNUMBER(I90),I90-G90,0),0)</f>
        <v>0</v>
      </c>
    </row>
    <row r="91" customFormat="false" ht="15" hidden="false" customHeight="false" outlineLevel="0" collapsed="false">
      <c r="B91" s="54"/>
      <c r="C91" s="55"/>
      <c r="D91" s="55"/>
      <c r="E91" s="55"/>
      <c r="F91" s="56"/>
      <c r="G91" s="57"/>
      <c r="H91" s="55"/>
      <c r="I91" s="57"/>
      <c r="J91" s="54"/>
      <c r="K91" s="56"/>
      <c r="L91" s="57"/>
      <c r="M91" s="54"/>
      <c r="N91" s="58" t="str">
        <f aca="false">IF(S91=1,IF(U91&lt;0,"",U91),IF(Y91=1,X91,""))</f>
        <v/>
      </c>
      <c r="O91" s="59" t="str">
        <f aca="false">IF(S91=1,IF(ISNUMBER(I91),I91-G91,""),"")</f>
        <v/>
      </c>
      <c r="P91" s="59" t="str">
        <f aca="false">IF(T91=1,IF(ISNUMBER(L91),L91-G91,""),"")</f>
        <v/>
      </c>
      <c r="Q91" s="60" t="str">
        <f aca="false">IF(C91="","",IF(T91=1,"✔ SOLD / VENDIDO",IF(S91=0,"— CLOSED / CERRADO",IF(U91&lt;0,"⚠ ADD DATE / AGREGA FECHA",IF(U91&gt;=Settings!$C$8,"⚠ STALE – REPRICE / ESTANCADO",IF(U91&gt;=Settings!$C$7,"● WATCH / VIGILAR","✔ FRESH / RECIENTE"))))))</f>
        <v/>
      </c>
      <c r="S91" s="53" t="n">
        <f aca="false">IF(C91="",0,IF(OR(J91="",J91="In Stock / En Inventario",J91="Listed / Publicado"),1,0))</f>
        <v>0</v>
      </c>
      <c r="T91" s="53" t="n">
        <f aca="false">IF(C91="",0,IF(J91="Sold / Vendido",1,0))</f>
        <v>0</v>
      </c>
      <c r="U91" s="53" t="n">
        <f aca="true">IF(S91=1,IF(ISNUMBER(F91),TODAY()-F91,-1),-1)</f>
        <v>-1</v>
      </c>
      <c r="V91" s="53" t="n">
        <f aca="false">IF(U91&lt;0,IF(S91=1,5,0),IF(U91&lt;=30,1,IF(U91&lt;=60,2,IF(U91&lt;=90,3,4))))</f>
        <v>0</v>
      </c>
      <c r="W91" s="53" t="n">
        <f aca="false">IF(U91&lt;0,-1000000000000000,U91+ROW()/1000000)</f>
        <v>-1000000000000000</v>
      </c>
      <c r="X91" s="53" t="n">
        <f aca="false">IF(T91=1,IF(AND(ISNUMBER(F91),ISNUMBER(K91)),K91-F91,0),0)</f>
        <v>0</v>
      </c>
      <c r="Y91" s="53" t="n">
        <f aca="false">IF(T91=1,IF(AND(ISNUMBER(F91),ISNUMBER(K91)),1,0),0)</f>
        <v>0</v>
      </c>
      <c r="Z91" s="53" t="n">
        <f aca="false">IF(U91&gt;=Settings!$C$8,1,0)</f>
        <v>0</v>
      </c>
      <c r="AA91" s="53" t="n">
        <f aca="false">IF(S91=1,IF(J91="Listed / Publicado",0,1),0)</f>
        <v>0</v>
      </c>
      <c r="AB91" s="53" t="n">
        <f aca="false">IF(T91=1,IF(ISNUMBER(L91),L91-G91,0),0)</f>
        <v>0</v>
      </c>
      <c r="AC91" s="53" t="n">
        <f aca="false">IF(S91=1,IF(ISNUMBER(I91),I91-G91,0),0)</f>
        <v>0</v>
      </c>
    </row>
    <row r="92" customFormat="false" ht="15" hidden="false" customHeight="false" outlineLevel="0" collapsed="false">
      <c r="B92" s="54"/>
      <c r="C92" s="55"/>
      <c r="D92" s="55"/>
      <c r="E92" s="55"/>
      <c r="F92" s="56"/>
      <c r="G92" s="57"/>
      <c r="H92" s="55"/>
      <c r="I92" s="57"/>
      <c r="J92" s="54"/>
      <c r="K92" s="56"/>
      <c r="L92" s="57"/>
      <c r="M92" s="54"/>
      <c r="N92" s="58" t="str">
        <f aca="false">IF(S92=1,IF(U92&lt;0,"",U92),IF(Y92=1,X92,""))</f>
        <v/>
      </c>
      <c r="O92" s="59" t="str">
        <f aca="false">IF(S92=1,IF(ISNUMBER(I92),I92-G92,""),"")</f>
        <v/>
      </c>
      <c r="P92" s="59" t="str">
        <f aca="false">IF(T92=1,IF(ISNUMBER(L92),L92-G92,""),"")</f>
        <v/>
      </c>
      <c r="Q92" s="60" t="str">
        <f aca="false">IF(C92="","",IF(T92=1,"✔ SOLD / VENDIDO",IF(S92=0,"— CLOSED / CERRADO",IF(U92&lt;0,"⚠ ADD DATE / AGREGA FECHA",IF(U92&gt;=Settings!$C$8,"⚠ STALE – REPRICE / ESTANCADO",IF(U92&gt;=Settings!$C$7,"● WATCH / VIGILAR","✔ FRESH / RECIENTE"))))))</f>
        <v/>
      </c>
      <c r="S92" s="53" t="n">
        <f aca="false">IF(C92="",0,IF(OR(J92="",J92="In Stock / En Inventario",J92="Listed / Publicado"),1,0))</f>
        <v>0</v>
      </c>
      <c r="T92" s="53" t="n">
        <f aca="false">IF(C92="",0,IF(J92="Sold / Vendido",1,0))</f>
        <v>0</v>
      </c>
      <c r="U92" s="53" t="n">
        <f aca="true">IF(S92=1,IF(ISNUMBER(F92),TODAY()-F92,-1),-1)</f>
        <v>-1</v>
      </c>
      <c r="V92" s="53" t="n">
        <f aca="false">IF(U92&lt;0,IF(S92=1,5,0),IF(U92&lt;=30,1,IF(U92&lt;=60,2,IF(U92&lt;=90,3,4))))</f>
        <v>0</v>
      </c>
      <c r="W92" s="53" t="n">
        <f aca="false">IF(U92&lt;0,-1000000000000000,U92+ROW()/1000000)</f>
        <v>-1000000000000000</v>
      </c>
      <c r="X92" s="53" t="n">
        <f aca="false">IF(T92=1,IF(AND(ISNUMBER(F92),ISNUMBER(K92)),K92-F92,0),0)</f>
        <v>0</v>
      </c>
      <c r="Y92" s="53" t="n">
        <f aca="false">IF(T92=1,IF(AND(ISNUMBER(F92),ISNUMBER(K92)),1,0),0)</f>
        <v>0</v>
      </c>
      <c r="Z92" s="53" t="n">
        <f aca="false">IF(U92&gt;=Settings!$C$8,1,0)</f>
        <v>0</v>
      </c>
      <c r="AA92" s="53" t="n">
        <f aca="false">IF(S92=1,IF(J92="Listed / Publicado",0,1),0)</f>
        <v>0</v>
      </c>
      <c r="AB92" s="53" t="n">
        <f aca="false">IF(T92=1,IF(ISNUMBER(L92),L92-G92,0),0)</f>
        <v>0</v>
      </c>
      <c r="AC92" s="53" t="n">
        <f aca="false">IF(S92=1,IF(ISNUMBER(I92),I92-G92,0),0)</f>
        <v>0</v>
      </c>
    </row>
    <row r="93" customFormat="false" ht="15" hidden="false" customHeight="false" outlineLevel="0" collapsed="false">
      <c r="B93" s="54"/>
      <c r="C93" s="55"/>
      <c r="D93" s="55"/>
      <c r="E93" s="55"/>
      <c r="F93" s="56"/>
      <c r="G93" s="57"/>
      <c r="H93" s="55"/>
      <c r="I93" s="57"/>
      <c r="J93" s="54"/>
      <c r="K93" s="56"/>
      <c r="L93" s="57"/>
      <c r="M93" s="54"/>
      <c r="N93" s="58" t="str">
        <f aca="false">IF(S93=1,IF(U93&lt;0,"",U93),IF(Y93=1,X93,""))</f>
        <v/>
      </c>
      <c r="O93" s="59" t="str">
        <f aca="false">IF(S93=1,IF(ISNUMBER(I93),I93-G93,""),"")</f>
        <v/>
      </c>
      <c r="P93" s="59" t="str">
        <f aca="false">IF(T93=1,IF(ISNUMBER(L93),L93-G93,""),"")</f>
        <v/>
      </c>
      <c r="Q93" s="60" t="str">
        <f aca="false">IF(C93="","",IF(T93=1,"✔ SOLD / VENDIDO",IF(S93=0,"— CLOSED / CERRADO",IF(U93&lt;0,"⚠ ADD DATE / AGREGA FECHA",IF(U93&gt;=Settings!$C$8,"⚠ STALE – REPRICE / ESTANCADO",IF(U93&gt;=Settings!$C$7,"● WATCH / VIGILAR","✔ FRESH / RECIENTE"))))))</f>
        <v/>
      </c>
      <c r="S93" s="53" t="n">
        <f aca="false">IF(C93="",0,IF(OR(J93="",J93="In Stock / En Inventario",J93="Listed / Publicado"),1,0))</f>
        <v>0</v>
      </c>
      <c r="T93" s="53" t="n">
        <f aca="false">IF(C93="",0,IF(J93="Sold / Vendido",1,0))</f>
        <v>0</v>
      </c>
      <c r="U93" s="53" t="n">
        <f aca="true">IF(S93=1,IF(ISNUMBER(F93),TODAY()-F93,-1),-1)</f>
        <v>-1</v>
      </c>
      <c r="V93" s="53" t="n">
        <f aca="false">IF(U93&lt;0,IF(S93=1,5,0),IF(U93&lt;=30,1,IF(U93&lt;=60,2,IF(U93&lt;=90,3,4))))</f>
        <v>0</v>
      </c>
      <c r="W93" s="53" t="n">
        <f aca="false">IF(U93&lt;0,-1000000000000000,U93+ROW()/1000000)</f>
        <v>-1000000000000000</v>
      </c>
      <c r="X93" s="53" t="n">
        <f aca="false">IF(T93=1,IF(AND(ISNUMBER(F93),ISNUMBER(K93)),K93-F93,0),0)</f>
        <v>0</v>
      </c>
      <c r="Y93" s="53" t="n">
        <f aca="false">IF(T93=1,IF(AND(ISNUMBER(F93),ISNUMBER(K93)),1,0),0)</f>
        <v>0</v>
      </c>
      <c r="Z93" s="53" t="n">
        <f aca="false">IF(U93&gt;=Settings!$C$8,1,0)</f>
        <v>0</v>
      </c>
      <c r="AA93" s="53" t="n">
        <f aca="false">IF(S93=1,IF(J93="Listed / Publicado",0,1),0)</f>
        <v>0</v>
      </c>
      <c r="AB93" s="53" t="n">
        <f aca="false">IF(T93=1,IF(ISNUMBER(L93),L93-G93,0),0)</f>
        <v>0</v>
      </c>
      <c r="AC93" s="53" t="n">
        <f aca="false">IF(S93=1,IF(ISNUMBER(I93),I93-G93,0),0)</f>
        <v>0</v>
      </c>
    </row>
    <row r="94" customFormat="false" ht="15" hidden="false" customHeight="false" outlineLevel="0" collapsed="false">
      <c r="B94" s="54"/>
      <c r="C94" s="55"/>
      <c r="D94" s="55"/>
      <c r="E94" s="55"/>
      <c r="F94" s="56"/>
      <c r="G94" s="57"/>
      <c r="H94" s="55"/>
      <c r="I94" s="57"/>
      <c r="J94" s="54"/>
      <c r="K94" s="56"/>
      <c r="L94" s="57"/>
      <c r="M94" s="54"/>
      <c r="N94" s="58" t="str">
        <f aca="false">IF(S94=1,IF(U94&lt;0,"",U94),IF(Y94=1,X94,""))</f>
        <v/>
      </c>
      <c r="O94" s="59" t="str">
        <f aca="false">IF(S94=1,IF(ISNUMBER(I94),I94-G94,""),"")</f>
        <v/>
      </c>
      <c r="P94" s="59" t="str">
        <f aca="false">IF(T94=1,IF(ISNUMBER(L94),L94-G94,""),"")</f>
        <v/>
      </c>
      <c r="Q94" s="60" t="str">
        <f aca="false">IF(C94="","",IF(T94=1,"✔ SOLD / VENDIDO",IF(S94=0,"— CLOSED / CERRADO",IF(U94&lt;0,"⚠ ADD DATE / AGREGA FECHA",IF(U94&gt;=Settings!$C$8,"⚠ STALE – REPRICE / ESTANCADO",IF(U94&gt;=Settings!$C$7,"● WATCH / VIGILAR","✔ FRESH / RECIENTE"))))))</f>
        <v/>
      </c>
      <c r="S94" s="53" t="n">
        <f aca="false">IF(C94="",0,IF(OR(J94="",J94="In Stock / En Inventario",J94="Listed / Publicado"),1,0))</f>
        <v>0</v>
      </c>
      <c r="T94" s="53" t="n">
        <f aca="false">IF(C94="",0,IF(J94="Sold / Vendido",1,0))</f>
        <v>0</v>
      </c>
      <c r="U94" s="53" t="n">
        <f aca="true">IF(S94=1,IF(ISNUMBER(F94),TODAY()-F94,-1),-1)</f>
        <v>-1</v>
      </c>
      <c r="V94" s="53" t="n">
        <f aca="false">IF(U94&lt;0,IF(S94=1,5,0),IF(U94&lt;=30,1,IF(U94&lt;=60,2,IF(U94&lt;=90,3,4))))</f>
        <v>0</v>
      </c>
      <c r="W94" s="53" t="n">
        <f aca="false">IF(U94&lt;0,-1000000000000000,U94+ROW()/1000000)</f>
        <v>-1000000000000000</v>
      </c>
      <c r="X94" s="53" t="n">
        <f aca="false">IF(T94=1,IF(AND(ISNUMBER(F94),ISNUMBER(K94)),K94-F94,0),0)</f>
        <v>0</v>
      </c>
      <c r="Y94" s="53" t="n">
        <f aca="false">IF(T94=1,IF(AND(ISNUMBER(F94),ISNUMBER(K94)),1,0),0)</f>
        <v>0</v>
      </c>
      <c r="Z94" s="53" t="n">
        <f aca="false">IF(U94&gt;=Settings!$C$8,1,0)</f>
        <v>0</v>
      </c>
      <c r="AA94" s="53" t="n">
        <f aca="false">IF(S94=1,IF(J94="Listed / Publicado",0,1),0)</f>
        <v>0</v>
      </c>
      <c r="AB94" s="53" t="n">
        <f aca="false">IF(T94=1,IF(ISNUMBER(L94),L94-G94,0),0)</f>
        <v>0</v>
      </c>
      <c r="AC94" s="53" t="n">
        <f aca="false">IF(S94=1,IF(ISNUMBER(I94),I94-G94,0),0)</f>
        <v>0</v>
      </c>
    </row>
    <row r="95" customFormat="false" ht="15" hidden="false" customHeight="false" outlineLevel="0" collapsed="false">
      <c r="B95" s="54"/>
      <c r="C95" s="55"/>
      <c r="D95" s="55"/>
      <c r="E95" s="55"/>
      <c r="F95" s="56"/>
      <c r="G95" s="57"/>
      <c r="H95" s="55"/>
      <c r="I95" s="57"/>
      <c r="J95" s="54"/>
      <c r="K95" s="56"/>
      <c r="L95" s="57"/>
      <c r="M95" s="54"/>
      <c r="N95" s="58" t="str">
        <f aca="false">IF(S95=1,IF(U95&lt;0,"",U95),IF(Y95=1,X95,""))</f>
        <v/>
      </c>
      <c r="O95" s="59" t="str">
        <f aca="false">IF(S95=1,IF(ISNUMBER(I95),I95-G95,""),"")</f>
        <v/>
      </c>
      <c r="P95" s="59" t="str">
        <f aca="false">IF(T95=1,IF(ISNUMBER(L95),L95-G95,""),"")</f>
        <v/>
      </c>
      <c r="Q95" s="60" t="str">
        <f aca="false">IF(C95="","",IF(T95=1,"✔ SOLD / VENDIDO",IF(S95=0,"— CLOSED / CERRADO",IF(U95&lt;0,"⚠ ADD DATE / AGREGA FECHA",IF(U95&gt;=Settings!$C$8,"⚠ STALE – REPRICE / ESTANCADO",IF(U95&gt;=Settings!$C$7,"● WATCH / VIGILAR","✔ FRESH / RECIENTE"))))))</f>
        <v/>
      </c>
      <c r="S95" s="53" t="n">
        <f aca="false">IF(C95="",0,IF(OR(J95="",J95="In Stock / En Inventario",J95="Listed / Publicado"),1,0))</f>
        <v>0</v>
      </c>
      <c r="T95" s="53" t="n">
        <f aca="false">IF(C95="",0,IF(J95="Sold / Vendido",1,0))</f>
        <v>0</v>
      </c>
      <c r="U95" s="53" t="n">
        <f aca="true">IF(S95=1,IF(ISNUMBER(F95),TODAY()-F95,-1),-1)</f>
        <v>-1</v>
      </c>
      <c r="V95" s="53" t="n">
        <f aca="false">IF(U95&lt;0,IF(S95=1,5,0),IF(U95&lt;=30,1,IF(U95&lt;=60,2,IF(U95&lt;=90,3,4))))</f>
        <v>0</v>
      </c>
      <c r="W95" s="53" t="n">
        <f aca="false">IF(U95&lt;0,-1000000000000000,U95+ROW()/1000000)</f>
        <v>-1000000000000000</v>
      </c>
      <c r="X95" s="53" t="n">
        <f aca="false">IF(T95=1,IF(AND(ISNUMBER(F95),ISNUMBER(K95)),K95-F95,0),0)</f>
        <v>0</v>
      </c>
      <c r="Y95" s="53" t="n">
        <f aca="false">IF(T95=1,IF(AND(ISNUMBER(F95),ISNUMBER(K95)),1,0),0)</f>
        <v>0</v>
      </c>
      <c r="Z95" s="53" t="n">
        <f aca="false">IF(U95&gt;=Settings!$C$8,1,0)</f>
        <v>0</v>
      </c>
      <c r="AA95" s="53" t="n">
        <f aca="false">IF(S95=1,IF(J95="Listed / Publicado",0,1),0)</f>
        <v>0</v>
      </c>
      <c r="AB95" s="53" t="n">
        <f aca="false">IF(T95=1,IF(ISNUMBER(L95),L95-G95,0),0)</f>
        <v>0</v>
      </c>
      <c r="AC95" s="53" t="n">
        <f aca="false">IF(S95=1,IF(ISNUMBER(I95),I95-G95,0),0)</f>
        <v>0</v>
      </c>
    </row>
    <row r="96" customFormat="false" ht="15" hidden="false" customHeight="false" outlineLevel="0" collapsed="false">
      <c r="B96" s="54"/>
      <c r="C96" s="55"/>
      <c r="D96" s="55"/>
      <c r="E96" s="55"/>
      <c r="F96" s="56"/>
      <c r="G96" s="57"/>
      <c r="H96" s="55"/>
      <c r="I96" s="57"/>
      <c r="J96" s="54"/>
      <c r="K96" s="56"/>
      <c r="L96" s="57"/>
      <c r="M96" s="54"/>
      <c r="N96" s="58" t="str">
        <f aca="false">IF(S96=1,IF(U96&lt;0,"",U96),IF(Y96=1,X96,""))</f>
        <v/>
      </c>
      <c r="O96" s="59" t="str">
        <f aca="false">IF(S96=1,IF(ISNUMBER(I96),I96-G96,""),"")</f>
        <v/>
      </c>
      <c r="P96" s="59" t="str">
        <f aca="false">IF(T96=1,IF(ISNUMBER(L96),L96-G96,""),"")</f>
        <v/>
      </c>
      <c r="Q96" s="60" t="str">
        <f aca="false">IF(C96="","",IF(T96=1,"✔ SOLD / VENDIDO",IF(S96=0,"— CLOSED / CERRADO",IF(U96&lt;0,"⚠ ADD DATE / AGREGA FECHA",IF(U96&gt;=Settings!$C$8,"⚠ STALE – REPRICE / ESTANCADO",IF(U96&gt;=Settings!$C$7,"● WATCH / VIGILAR","✔ FRESH / RECIENTE"))))))</f>
        <v/>
      </c>
      <c r="S96" s="53" t="n">
        <f aca="false">IF(C96="",0,IF(OR(J96="",J96="In Stock / En Inventario",J96="Listed / Publicado"),1,0))</f>
        <v>0</v>
      </c>
      <c r="T96" s="53" t="n">
        <f aca="false">IF(C96="",0,IF(J96="Sold / Vendido",1,0))</f>
        <v>0</v>
      </c>
      <c r="U96" s="53" t="n">
        <f aca="true">IF(S96=1,IF(ISNUMBER(F96),TODAY()-F96,-1),-1)</f>
        <v>-1</v>
      </c>
      <c r="V96" s="53" t="n">
        <f aca="false">IF(U96&lt;0,IF(S96=1,5,0),IF(U96&lt;=30,1,IF(U96&lt;=60,2,IF(U96&lt;=90,3,4))))</f>
        <v>0</v>
      </c>
      <c r="W96" s="53" t="n">
        <f aca="false">IF(U96&lt;0,-1000000000000000,U96+ROW()/1000000)</f>
        <v>-1000000000000000</v>
      </c>
      <c r="X96" s="53" t="n">
        <f aca="false">IF(T96=1,IF(AND(ISNUMBER(F96),ISNUMBER(K96)),K96-F96,0),0)</f>
        <v>0</v>
      </c>
      <c r="Y96" s="53" t="n">
        <f aca="false">IF(T96=1,IF(AND(ISNUMBER(F96),ISNUMBER(K96)),1,0),0)</f>
        <v>0</v>
      </c>
      <c r="Z96" s="53" t="n">
        <f aca="false">IF(U96&gt;=Settings!$C$8,1,0)</f>
        <v>0</v>
      </c>
      <c r="AA96" s="53" t="n">
        <f aca="false">IF(S96=1,IF(J96="Listed / Publicado",0,1),0)</f>
        <v>0</v>
      </c>
      <c r="AB96" s="53" t="n">
        <f aca="false">IF(T96=1,IF(ISNUMBER(L96),L96-G96,0),0)</f>
        <v>0</v>
      </c>
      <c r="AC96" s="53" t="n">
        <f aca="false">IF(S96=1,IF(ISNUMBER(I96),I96-G96,0),0)</f>
        <v>0</v>
      </c>
    </row>
    <row r="97" customFormat="false" ht="15" hidden="false" customHeight="false" outlineLevel="0" collapsed="false">
      <c r="B97" s="54"/>
      <c r="C97" s="55"/>
      <c r="D97" s="55"/>
      <c r="E97" s="55"/>
      <c r="F97" s="56"/>
      <c r="G97" s="57"/>
      <c r="H97" s="55"/>
      <c r="I97" s="57"/>
      <c r="J97" s="54"/>
      <c r="K97" s="56"/>
      <c r="L97" s="57"/>
      <c r="M97" s="54"/>
      <c r="N97" s="58" t="str">
        <f aca="false">IF(S97=1,IF(U97&lt;0,"",U97),IF(Y97=1,X97,""))</f>
        <v/>
      </c>
      <c r="O97" s="59" t="str">
        <f aca="false">IF(S97=1,IF(ISNUMBER(I97),I97-G97,""),"")</f>
        <v/>
      </c>
      <c r="P97" s="59" t="str">
        <f aca="false">IF(T97=1,IF(ISNUMBER(L97),L97-G97,""),"")</f>
        <v/>
      </c>
      <c r="Q97" s="60" t="str">
        <f aca="false">IF(C97="","",IF(T97=1,"✔ SOLD / VENDIDO",IF(S97=0,"— CLOSED / CERRADO",IF(U97&lt;0,"⚠ ADD DATE / AGREGA FECHA",IF(U97&gt;=Settings!$C$8,"⚠ STALE – REPRICE / ESTANCADO",IF(U97&gt;=Settings!$C$7,"● WATCH / VIGILAR","✔ FRESH / RECIENTE"))))))</f>
        <v/>
      </c>
      <c r="S97" s="53" t="n">
        <f aca="false">IF(C97="",0,IF(OR(J97="",J97="In Stock / En Inventario",J97="Listed / Publicado"),1,0))</f>
        <v>0</v>
      </c>
      <c r="T97" s="53" t="n">
        <f aca="false">IF(C97="",0,IF(J97="Sold / Vendido",1,0))</f>
        <v>0</v>
      </c>
      <c r="U97" s="53" t="n">
        <f aca="true">IF(S97=1,IF(ISNUMBER(F97),TODAY()-F97,-1),-1)</f>
        <v>-1</v>
      </c>
      <c r="V97" s="53" t="n">
        <f aca="false">IF(U97&lt;0,IF(S97=1,5,0),IF(U97&lt;=30,1,IF(U97&lt;=60,2,IF(U97&lt;=90,3,4))))</f>
        <v>0</v>
      </c>
      <c r="W97" s="53" t="n">
        <f aca="false">IF(U97&lt;0,-1000000000000000,U97+ROW()/1000000)</f>
        <v>-1000000000000000</v>
      </c>
      <c r="X97" s="53" t="n">
        <f aca="false">IF(T97=1,IF(AND(ISNUMBER(F97),ISNUMBER(K97)),K97-F97,0),0)</f>
        <v>0</v>
      </c>
      <c r="Y97" s="53" t="n">
        <f aca="false">IF(T97=1,IF(AND(ISNUMBER(F97),ISNUMBER(K97)),1,0),0)</f>
        <v>0</v>
      </c>
      <c r="Z97" s="53" t="n">
        <f aca="false">IF(U97&gt;=Settings!$C$8,1,0)</f>
        <v>0</v>
      </c>
      <c r="AA97" s="53" t="n">
        <f aca="false">IF(S97=1,IF(J97="Listed / Publicado",0,1),0)</f>
        <v>0</v>
      </c>
      <c r="AB97" s="53" t="n">
        <f aca="false">IF(T97=1,IF(ISNUMBER(L97),L97-G97,0),0)</f>
        <v>0</v>
      </c>
      <c r="AC97" s="53" t="n">
        <f aca="false">IF(S97=1,IF(ISNUMBER(I97),I97-G97,0),0)</f>
        <v>0</v>
      </c>
    </row>
    <row r="98" customFormat="false" ht="15" hidden="false" customHeight="false" outlineLevel="0" collapsed="false">
      <c r="B98" s="54"/>
      <c r="C98" s="55"/>
      <c r="D98" s="55"/>
      <c r="E98" s="55"/>
      <c r="F98" s="56"/>
      <c r="G98" s="57"/>
      <c r="H98" s="55"/>
      <c r="I98" s="57"/>
      <c r="J98" s="54"/>
      <c r="K98" s="56"/>
      <c r="L98" s="57"/>
      <c r="M98" s="54"/>
      <c r="N98" s="58" t="str">
        <f aca="false">IF(S98=1,IF(U98&lt;0,"",U98),IF(Y98=1,X98,""))</f>
        <v/>
      </c>
      <c r="O98" s="59" t="str">
        <f aca="false">IF(S98=1,IF(ISNUMBER(I98),I98-G98,""),"")</f>
        <v/>
      </c>
      <c r="P98" s="59" t="str">
        <f aca="false">IF(T98=1,IF(ISNUMBER(L98),L98-G98,""),"")</f>
        <v/>
      </c>
      <c r="Q98" s="60" t="str">
        <f aca="false">IF(C98="","",IF(T98=1,"✔ SOLD / VENDIDO",IF(S98=0,"— CLOSED / CERRADO",IF(U98&lt;0,"⚠ ADD DATE / AGREGA FECHA",IF(U98&gt;=Settings!$C$8,"⚠ STALE – REPRICE / ESTANCADO",IF(U98&gt;=Settings!$C$7,"● WATCH / VIGILAR","✔ FRESH / RECIENTE"))))))</f>
        <v/>
      </c>
      <c r="S98" s="53" t="n">
        <f aca="false">IF(C98="",0,IF(OR(J98="",J98="In Stock / En Inventario",J98="Listed / Publicado"),1,0))</f>
        <v>0</v>
      </c>
      <c r="T98" s="53" t="n">
        <f aca="false">IF(C98="",0,IF(J98="Sold / Vendido",1,0))</f>
        <v>0</v>
      </c>
      <c r="U98" s="53" t="n">
        <f aca="true">IF(S98=1,IF(ISNUMBER(F98),TODAY()-F98,-1),-1)</f>
        <v>-1</v>
      </c>
      <c r="V98" s="53" t="n">
        <f aca="false">IF(U98&lt;0,IF(S98=1,5,0),IF(U98&lt;=30,1,IF(U98&lt;=60,2,IF(U98&lt;=90,3,4))))</f>
        <v>0</v>
      </c>
      <c r="W98" s="53" t="n">
        <f aca="false">IF(U98&lt;0,-1000000000000000,U98+ROW()/1000000)</f>
        <v>-1000000000000000</v>
      </c>
      <c r="X98" s="53" t="n">
        <f aca="false">IF(T98=1,IF(AND(ISNUMBER(F98),ISNUMBER(K98)),K98-F98,0),0)</f>
        <v>0</v>
      </c>
      <c r="Y98" s="53" t="n">
        <f aca="false">IF(T98=1,IF(AND(ISNUMBER(F98),ISNUMBER(K98)),1,0),0)</f>
        <v>0</v>
      </c>
      <c r="Z98" s="53" t="n">
        <f aca="false">IF(U98&gt;=Settings!$C$8,1,0)</f>
        <v>0</v>
      </c>
      <c r="AA98" s="53" t="n">
        <f aca="false">IF(S98=1,IF(J98="Listed / Publicado",0,1),0)</f>
        <v>0</v>
      </c>
      <c r="AB98" s="53" t="n">
        <f aca="false">IF(T98=1,IF(ISNUMBER(L98),L98-G98,0),0)</f>
        <v>0</v>
      </c>
      <c r="AC98" s="53" t="n">
        <f aca="false">IF(S98=1,IF(ISNUMBER(I98),I98-G98,0),0)</f>
        <v>0</v>
      </c>
    </row>
    <row r="99" customFormat="false" ht="15" hidden="false" customHeight="false" outlineLevel="0" collapsed="false">
      <c r="B99" s="54"/>
      <c r="C99" s="55"/>
      <c r="D99" s="55"/>
      <c r="E99" s="55"/>
      <c r="F99" s="56"/>
      <c r="G99" s="57"/>
      <c r="H99" s="55"/>
      <c r="I99" s="57"/>
      <c r="J99" s="54"/>
      <c r="K99" s="56"/>
      <c r="L99" s="57"/>
      <c r="M99" s="54"/>
      <c r="N99" s="58" t="str">
        <f aca="false">IF(S99=1,IF(U99&lt;0,"",U99),IF(Y99=1,X99,""))</f>
        <v/>
      </c>
      <c r="O99" s="59" t="str">
        <f aca="false">IF(S99=1,IF(ISNUMBER(I99),I99-G99,""),"")</f>
        <v/>
      </c>
      <c r="P99" s="59" t="str">
        <f aca="false">IF(T99=1,IF(ISNUMBER(L99),L99-G99,""),"")</f>
        <v/>
      </c>
      <c r="Q99" s="60" t="str">
        <f aca="false">IF(C99="","",IF(T99=1,"✔ SOLD / VENDIDO",IF(S99=0,"— CLOSED / CERRADO",IF(U99&lt;0,"⚠ ADD DATE / AGREGA FECHA",IF(U99&gt;=Settings!$C$8,"⚠ STALE – REPRICE / ESTANCADO",IF(U99&gt;=Settings!$C$7,"● WATCH / VIGILAR","✔ FRESH / RECIENTE"))))))</f>
        <v/>
      </c>
      <c r="S99" s="53" t="n">
        <f aca="false">IF(C99="",0,IF(OR(J99="",J99="In Stock / En Inventario",J99="Listed / Publicado"),1,0))</f>
        <v>0</v>
      </c>
      <c r="T99" s="53" t="n">
        <f aca="false">IF(C99="",0,IF(J99="Sold / Vendido",1,0))</f>
        <v>0</v>
      </c>
      <c r="U99" s="53" t="n">
        <f aca="true">IF(S99=1,IF(ISNUMBER(F99),TODAY()-F99,-1),-1)</f>
        <v>-1</v>
      </c>
      <c r="V99" s="53" t="n">
        <f aca="false">IF(U99&lt;0,IF(S99=1,5,0),IF(U99&lt;=30,1,IF(U99&lt;=60,2,IF(U99&lt;=90,3,4))))</f>
        <v>0</v>
      </c>
      <c r="W99" s="53" t="n">
        <f aca="false">IF(U99&lt;0,-1000000000000000,U99+ROW()/1000000)</f>
        <v>-1000000000000000</v>
      </c>
      <c r="X99" s="53" t="n">
        <f aca="false">IF(T99=1,IF(AND(ISNUMBER(F99),ISNUMBER(K99)),K99-F99,0),0)</f>
        <v>0</v>
      </c>
      <c r="Y99" s="53" t="n">
        <f aca="false">IF(T99=1,IF(AND(ISNUMBER(F99),ISNUMBER(K99)),1,0),0)</f>
        <v>0</v>
      </c>
      <c r="Z99" s="53" t="n">
        <f aca="false">IF(U99&gt;=Settings!$C$8,1,0)</f>
        <v>0</v>
      </c>
      <c r="AA99" s="53" t="n">
        <f aca="false">IF(S99=1,IF(J99="Listed / Publicado",0,1),0)</f>
        <v>0</v>
      </c>
      <c r="AB99" s="53" t="n">
        <f aca="false">IF(T99=1,IF(ISNUMBER(L99),L99-G99,0),0)</f>
        <v>0</v>
      </c>
      <c r="AC99" s="53" t="n">
        <f aca="false">IF(S99=1,IF(ISNUMBER(I99),I99-G99,0),0)</f>
        <v>0</v>
      </c>
    </row>
    <row r="100" customFormat="false" ht="15" hidden="false" customHeight="false" outlineLevel="0" collapsed="false">
      <c r="B100" s="54"/>
      <c r="C100" s="55"/>
      <c r="D100" s="55"/>
      <c r="E100" s="55"/>
      <c r="F100" s="56"/>
      <c r="G100" s="57"/>
      <c r="H100" s="55"/>
      <c r="I100" s="57"/>
      <c r="J100" s="54"/>
      <c r="K100" s="56"/>
      <c r="L100" s="57"/>
      <c r="M100" s="54"/>
      <c r="N100" s="58" t="str">
        <f aca="false">IF(S100=1,IF(U100&lt;0,"",U100),IF(Y100=1,X100,""))</f>
        <v/>
      </c>
      <c r="O100" s="59" t="str">
        <f aca="false">IF(S100=1,IF(ISNUMBER(I100),I100-G100,""),"")</f>
        <v/>
      </c>
      <c r="P100" s="59" t="str">
        <f aca="false">IF(T100=1,IF(ISNUMBER(L100),L100-G100,""),"")</f>
        <v/>
      </c>
      <c r="Q100" s="60" t="str">
        <f aca="false">IF(C100="","",IF(T100=1,"✔ SOLD / VENDIDO",IF(S100=0,"— CLOSED / CERRADO",IF(U100&lt;0,"⚠ ADD DATE / AGREGA FECHA",IF(U100&gt;=Settings!$C$8,"⚠ STALE – REPRICE / ESTANCADO",IF(U100&gt;=Settings!$C$7,"● WATCH / VIGILAR","✔ FRESH / RECIENTE"))))))</f>
        <v/>
      </c>
      <c r="S100" s="53" t="n">
        <f aca="false">IF(C100="",0,IF(OR(J100="",J100="In Stock / En Inventario",J100="Listed / Publicado"),1,0))</f>
        <v>0</v>
      </c>
      <c r="T100" s="53" t="n">
        <f aca="false">IF(C100="",0,IF(J100="Sold / Vendido",1,0))</f>
        <v>0</v>
      </c>
      <c r="U100" s="53" t="n">
        <f aca="true">IF(S100=1,IF(ISNUMBER(F100),TODAY()-F100,-1),-1)</f>
        <v>-1</v>
      </c>
      <c r="V100" s="53" t="n">
        <f aca="false">IF(U100&lt;0,IF(S100=1,5,0),IF(U100&lt;=30,1,IF(U100&lt;=60,2,IF(U100&lt;=90,3,4))))</f>
        <v>0</v>
      </c>
      <c r="W100" s="53" t="n">
        <f aca="false">IF(U100&lt;0,-1000000000000000,U100+ROW()/1000000)</f>
        <v>-1000000000000000</v>
      </c>
      <c r="X100" s="53" t="n">
        <f aca="false">IF(T100=1,IF(AND(ISNUMBER(F100),ISNUMBER(K100)),K100-F100,0),0)</f>
        <v>0</v>
      </c>
      <c r="Y100" s="53" t="n">
        <f aca="false">IF(T100=1,IF(AND(ISNUMBER(F100),ISNUMBER(K100)),1,0),0)</f>
        <v>0</v>
      </c>
      <c r="Z100" s="53" t="n">
        <f aca="false">IF(U100&gt;=Settings!$C$8,1,0)</f>
        <v>0</v>
      </c>
      <c r="AA100" s="53" t="n">
        <f aca="false">IF(S100=1,IF(J100="Listed / Publicado",0,1),0)</f>
        <v>0</v>
      </c>
      <c r="AB100" s="53" t="n">
        <f aca="false">IF(T100=1,IF(ISNUMBER(L100),L100-G100,0),0)</f>
        <v>0</v>
      </c>
      <c r="AC100" s="53" t="n">
        <f aca="false">IF(S100=1,IF(ISNUMBER(I100),I100-G100,0),0)</f>
        <v>0</v>
      </c>
    </row>
    <row r="101" customFormat="false" ht="15" hidden="false" customHeight="false" outlineLevel="0" collapsed="false">
      <c r="B101" s="54"/>
      <c r="C101" s="55"/>
      <c r="D101" s="55"/>
      <c r="E101" s="55"/>
      <c r="F101" s="56"/>
      <c r="G101" s="57"/>
      <c r="H101" s="55"/>
      <c r="I101" s="57"/>
      <c r="J101" s="54"/>
      <c r="K101" s="56"/>
      <c r="L101" s="57"/>
      <c r="M101" s="54"/>
      <c r="N101" s="58" t="str">
        <f aca="false">IF(S101=1,IF(U101&lt;0,"",U101),IF(Y101=1,X101,""))</f>
        <v/>
      </c>
      <c r="O101" s="59" t="str">
        <f aca="false">IF(S101=1,IF(ISNUMBER(I101),I101-G101,""),"")</f>
        <v/>
      </c>
      <c r="P101" s="59" t="str">
        <f aca="false">IF(T101=1,IF(ISNUMBER(L101),L101-G101,""),"")</f>
        <v/>
      </c>
      <c r="Q101" s="60" t="str">
        <f aca="false">IF(C101="","",IF(T101=1,"✔ SOLD / VENDIDO",IF(S101=0,"— CLOSED / CERRADO",IF(U101&lt;0,"⚠ ADD DATE / AGREGA FECHA",IF(U101&gt;=Settings!$C$8,"⚠ STALE – REPRICE / ESTANCADO",IF(U101&gt;=Settings!$C$7,"● WATCH / VIGILAR","✔ FRESH / RECIENTE"))))))</f>
        <v/>
      </c>
      <c r="S101" s="53" t="n">
        <f aca="false">IF(C101="",0,IF(OR(J101="",J101="In Stock / En Inventario",J101="Listed / Publicado"),1,0))</f>
        <v>0</v>
      </c>
      <c r="T101" s="53" t="n">
        <f aca="false">IF(C101="",0,IF(J101="Sold / Vendido",1,0))</f>
        <v>0</v>
      </c>
      <c r="U101" s="53" t="n">
        <f aca="true">IF(S101=1,IF(ISNUMBER(F101),TODAY()-F101,-1),-1)</f>
        <v>-1</v>
      </c>
      <c r="V101" s="53" t="n">
        <f aca="false">IF(U101&lt;0,IF(S101=1,5,0),IF(U101&lt;=30,1,IF(U101&lt;=60,2,IF(U101&lt;=90,3,4))))</f>
        <v>0</v>
      </c>
      <c r="W101" s="53" t="n">
        <f aca="false">IF(U101&lt;0,-1000000000000000,U101+ROW()/1000000)</f>
        <v>-1000000000000000</v>
      </c>
      <c r="X101" s="53" t="n">
        <f aca="false">IF(T101=1,IF(AND(ISNUMBER(F101),ISNUMBER(K101)),K101-F101,0),0)</f>
        <v>0</v>
      </c>
      <c r="Y101" s="53" t="n">
        <f aca="false">IF(T101=1,IF(AND(ISNUMBER(F101),ISNUMBER(K101)),1,0),0)</f>
        <v>0</v>
      </c>
      <c r="Z101" s="53" t="n">
        <f aca="false">IF(U101&gt;=Settings!$C$8,1,0)</f>
        <v>0</v>
      </c>
      <c r="AA101" s="53" t="n">
        <f aca="false">IF(S101=1,IF(J101="Listed / Publicado",0,1),0)</f>
        <v>0</v>
      </c>
      <c r="AB101" s="53" t="n">
        <f aca="false">IF(T101=1,IF(ISNUMBER(L101),L101-G101,0),0)</f>
        <v>0</v>
      </c>
      <c r="AC101" s="53" t="n">
        <f aca="false">IF(S101=1,IF(ISNUMBER(I101),I101-G101,0),0)</f>
        <v>0</v>
      </c>
    </row>
    <row r="102" customFormat="false" ht="15" hidden="false" customHeight="false" outlineLevel="0" collapsed="false">
      <c r="B102" s="54"/>
      <c r="C102" s="55"/>
      <c r="D102" s="55"/>
      <c r="E102" s="55"/>
      <c r="F102" s="56"/>
      <c r="G102" s="57"/>
      <c r="H102" s="55"/>
      <c r="I102" s="57"/>
      <c r="J102" s="54"/>
      <c r="K102" s="56"/>
      <c r="L102" s="57"/>
      <c r="M102" s="54"/>
      <c r="N102" s="58" t="str">
        <f aca="false">IF(S102=1,IF(U102&lt;0,"",U102),IF(Y102=1,X102,""))</f>
        <v/>
      </c>
      <c r="O102" s="59" t="str">
        <f aca="false">IF(S102=1,IF(ISNUMBER(I102),I102-G102,""),"")</f>
        <v/>
      </c>
      <c r="P102" s="59" t="str">
        <f aca="false">IF(T102=1,IF(ISNUMBER(L102),L102-G102,""),"")</f>
        <v/>
      </c>
      <c r="Q102" s="60" t="str">
        <f aca="false">IF(C102="","",IF(T102=1,"✔ SOLD / VENDIDO",IF(S102=0,"— CLOSED / CERRADO",IF(U102&lt;0,"⚠ ADD DATE / AGREGA FECHA",IF(U102&gt;=Settings!$C$8,"⚠ STALE – REPRICE / ESTANCADO",IF(U102&gt;=Settings!$C$7,"● WATCH / VIGILAR","✔ FRESH / RECIENTE"))))))</f>
        <v/>
      </c>
      <c r="S102" s="53" t="n">
        <f aca="false">IF(C102="",0,IF(OR(J102="",J102="In Stock / En Inventario",J102="Listed / Publicado"),1,0))</f>
        <v>0</v>
      </c>
      <c r="T102" s="53" t="n">
        <f aca="false">IF(C102="",0,IF(J102="Sold / Vendido",1,0))</f>
        <v>0</v>
      </c>
      <c r="U102" s="53" t="n">
        <f aca="true">IF(S102=1,IF(ISNUMBER(F102),TODAY()-F102,-1),-1)</f>
        <v>-1</v>
      </c>
      <c r="V102" s="53" t="n">
        <f aca="false">IF(U102&lt;0,IF(S102=1,5,0),IF(U102&lt;=30,1,IF(U102&lt;=60,2,IF(U102&lt;=90,3,4))))</f>
        <v>0</v>
      </c>
      <c r="W102" s="53" t="n">
        <f aca="false">IF(U102&lt;0,-1000000000000000,U102+ROW()/1000000)</f>
        <v>-1000000000000000</v>
      </c>
      <c r="X102" s="53" t="n">
        <f aca="false">IF(T102=1,IF(AND(ISNUMBER(F102),ISNUMBER(K102)),K102-F102,0),0)</f>
        <v>0</v>
      </c>
      <c r="Y102" s="53" t="n">
        <f aca="false">IF(T102=1,IF(AND(ISNUMBER(F102),ISNUMBER(K102)),1,0),0)</f>
        <v>0</v>
      </c>
      <c r="Z102" s="53" t="n">
        <f aca="false">IF(U102&gt;=Settings!$C$8,1,0)</f>
        <v>0</v>
      </c>
      <c r="AA102" s="53" t="n">
        <f aca="false">IF(S102=1,IF(J102="Listed / Publicado",0,1),0)</f>
        <v>0</v>
      </c>
      <c r="AB102" s="53" t="n">
        <f aca="false">IF(T102=1,IF(ISNUMBER(L102),L102-G102,0),0)</f>
        <v>0</v>
      </c>
      <c r="AC102" s="53" t="n">
        <f aca="false">IF(S102=1,IF(ISNUMBER(I102),I102-G102,0),0)</f>
        <v>0</v>
      </c>
    </row>
    <row r="103" customFormat="false" ht="15" hidden="false" customHeight="false" outlineLevel="0" collapsed="false">
      <c r="B103" s="54"/>
      <c r="C103" s="55"/>
      <c r="D103" s="55"/>
      <c r="E103" s="55"/>
      <c r="F103" s="56"/>
      <c r="G103" s="57"/>
      <c r="H103" s="55"/>
      <c r="I103" s="57"/>
      <c r="J103" s="54"/>
      <c r="K103" s="56"/>
      <c r="L103" s="57"/>
      <c r="M103" s="54"/>
      <c r="N103" s="58" t="str">
        <f aca="false">IF(S103=1,IF(U103&lt;0,"",U103),IF(Y103=1,X103,""))</f>
        <v/>
      </c>
      <c r="O103" s="59" t="str">
        <f aca="false">IF(S103=1,IF(ISNUMBER(I103),I103-G103,""),"")</f>
        <v/>
      </c>
      <c r="P103" s="59" t="str">
        <f aca="false">IF(T103=1,IF(ISNUMBER(L103),L103-G103,""),"")</f>
        <v/>
      </c>
      <c r="Q103" s="60" t="str">
        <f aca="false">IF(C103="","",IF(T103=1,"✔ SOLD / VENDIDO",IF(S103=0,"— CLOSED / CERRADO",IF(U103&lt;0,"⚠ ADD DATE / AGREGA FECHA",IF(U103&gt;=Settings!$C$8,"⚠ STALE – REPRICE / ESTANCADO",IF(U103&gt;=Settings!$C$7,"● WATCH / VIGILAR","✔ FRESH / RECIENTE"))))))</f>
        <v/>
      </c>
      <c r="S103" s="53" t="n">
        <f aca="false">IF(C103="",0,IF(OR(J103="",J103="In Stock / En Inventario",J103="Listed / Publicado"),1,0))</f>
        <v>0</v>
      </c>
      <c r="T103" s="53" t="n">
        <f aca="false">IF(C103="",0,IF(J103="Sold / Vendido",1,0))</f>
        <v>0</v>
      </c>
      <c r="U103" s="53" t="n">
        <f aca="true">IF(S103=1,IF(ISNUMBER(F103),TODAY()-F103,-1),-1)</f>
        <v>-1</v>
      </c>
      <c r="V103" s="53" t="n">
        <f aca="false">IF(U103&lt;0,IF(S103=1,5,0),IF(U103&lt;=30,1,IF(U103&lt;=60,2,IF(U103&lt;=90,3,4))))</f>
        <v>0</v>
      </c>
      <c r="W103" s="53" t="n">
        <f aca="false">IF(U103&lt;0,-1000000000000000,U103+ROW()/1000000)</f>
        <v>-1000000000000000</v>
      </c>
      <c r="X103" s="53" t="n">
        <f aca="false">IF(T103=1,IF(AND(ISNUMBER(F103),ISNUMBER(K103)),K103-F103,0),0)</f>
        <v>0</v>
      </c>
      <c r="Y103" s="53" t="n">
        <f aca="false">IF(T103=1,IF(AND(ISNUMBER(F103),ISNUMBER(K103)),1,0),0)</f>
        <v>0</v>
      </c>
      <c r="Z103" s="53" t="n">
        <f aca="false">IF(U103&gt;=Settings!$C$8,1,0)</f>
        <v>0</v>
      </c>
      <c r="AA103" s="53" t="n">
        <f aca="false">IF(S103=1,IF(J103="Listed / Publicado",0,1),0)</f>
        <v>0</v>
      </c>
      <c r="AB103" s="53" t="n">
        <f aca="false">IF(T103=1,IF(ISNUMBER(L103),L103-G103,0),0)</f>
        <v>0</v>
      </c>
      <c r="AC103" s="53" t="n">
        <f aca="false">IF(S103=1,IF(ISNUMBER(I103),I103-G103,0),0)</f>
        <v>0</v>
      </c>
    </row>
    <row r="104" customFormat="false" ht="15" hidden="false" customHeight="false" outlineLevel="0" collapsed="false">
      <c r="B104" s="54"/>
      <c r="C104" s="55"/>
      <c r="D104" s="55"/>
      <c r="E104" s="55"/>
      <c r="F104" s="56"/>
      <c r="G104" s="57"/>
      <c r="H104" s="55"/>
      <c r="I104" s="57"/>
      <c r="J104" s="54"/>
      <c r="K104" s="56"/>
      <c r="L104" s="57"/>
      <c r="M104" s="54"/>
      <c r="N104" s="58" t="str">
        <f aca="false">IF(S104=1,IF(U104&lt;0,"",U104),IF(Y104=1,X104,""))</f>
        <v/>
      </c>
      <c r="O104" s="59" t="str">
        <f aca="false">IF(S104=1,IF(ISNUMBER(I104),I104-G104,""),"")</f>
        <v/>
      </c>
      <c r="P104" s="59" t="str">
        <f aca="false">IF(T104=1,IF(ISNUMBER(L104),L104-G104,""),"")</f>
        <v/>
      </c>
      <c r="Q104" s="60" t="str">
        <f aca="false">IF(C104="","",IF(T104=1,"✔ SOLD / VENDIDO",IF(S104=0,"— CLOSED / CERRADO",IF(U104&lt;0,"⚠ ADD DATE / AGREGA FECHA",IF(U104&gt;=Settings!$C$8,"⚠ STALE – REPRICE / ESTANCADO",IF(U104&gt;=Settings!$C$7,"● WATCH / VIGILAR","✔ FRESH / RECIENTE"))))))</f>
        <v/>
      </c>
      <c r="S104" s="53" t="n">
        <f aca="false">IF(C104="",0,IF(OR(J104="",J104="In Stock / En Inventario",J104="Listed / Publicado"),1,0))</f>
        <v>0</v>
      </c>
      <c r="T104" s="53" t="n">
        <f aca="false">IF(C104="",0,IF(J104="Sold / Vendido",1,0))</f>
        <v>0</v>
      </c>
      <c r="U104" s="53" t="n">
        <f aca="true">IF(S104=1,IF(ISNUMBER(F104),TODAY()-F104,-1),-1)</f>
        <v>-1</v>
      </c>
      <c r="V104" s="53" t="n">
        <f aca="false">IF(U104&lt;0,IF(S104=1,5,0),IF(U104&lt;=30,1,IF(U104&lt;=60,2,IF(U104&lt;=90,3,4))))</f>
        <v>0</v>
      </c>
      <c r="W104" s="53" t="n">
        <f aca="false">IF(U104&lt;0,-1000000000000000,U104+ROW()/1000000)</f>
        <v>-1000000000000000</v>
      </c>
      <c r="X104" s="53" t="n">
        <f aca="false">IF(T104=1,IF(AND(ISNUMBER(F104),ISNUMBER(K104)),K104-F104,0),0)</f>
        <v>0</v>
      </c>
      <c r="Y104" s="53" t="n">
        <f aca="false">IF(T104=1,IF(AND(ISNUMBER(F104),ISNUMBER(K104)),1,0),0)</f>
        <v>0</v>
      </c>
      <c r="Z104" s="53" t="n">
        <f aca="false">IF(U104&gt;=Settings!$C$8,1,0)</f>
        <v>0</v>
      </c>
      <c r="AA104" s="53" t="n">
        <f aca="false">IF(S104=1,IF(J104="Listed / Publicado",0,1),0)</f>
        <v>0</v>
      </c>
      <c r="AB104" s="53" t="n">
        <f aca="false">IF(T104=1,IF(ISNUMBER(L104),L104-G104,0),0)</f>
        <v>0</v>
      </c>
      <c r="AC104" s="53" t="n">
        <f aca="false">IF(S104=1,IF(ISNUMBER(I104),I104-G104,0),0)</f>
        <v>0</v>
      </c>
    </row>
    <row r="105" customFormat="false" ht="15" hidden="false" customHeight="false" outlineLevel="0" collapsed="false">
      <c r="B105" s="54"/>
      <c r="C105" s="55"/>
      <c r="D105" s="55"/>
      <c r="E105" s="55"/>
      <c r="F105" s="56"/>
      <c r="G105" s="57"/>
      <c r="H105" s="55"/>
      <c r="I105" s="57"/>
      <c r="J105" s="54"/>
      <c r="K105" s="56"/>
      <c r="L105" s="57"/>
      <c r="M105" s="54"/>
      <c r="N105" s="58" t="str">
        <f aca="false">IF(S105=1,IF(U105&lt;0,"",U105),IF(Y105=1,X105,""))</f>
        <v/>
      </c>
      <c r="O105" s="59" t="str">
        <f aca="false">IF(S105=1,IF(ISNUMBER(I105),I105-G105,""),"")</f>
        <v/>
      </c>
      <c r="P105" s="59" t="str">
        <f aca="false">IF(T105=1,IF(ISNUMBER(L105),L105-G105,""),"")</f>
        <v/>
      </c>
      <c r="Q105" s="60" t="str">
        <f aca="false">IF(C105="","",IF(T105=1,"✔ SOLD / VENDIDO",IF(S105=0,"— CLOSED / CERRADO",IF(U105&lt;0,"⚠ ADD DATE / AGREGA FECHA",IF(U105&gt;=Settings!$C$8,"⚠ STALE – REPRICE / ESTANCADO",IF(U105&gt;=Settings!$C$7,"● WATCH / VIGILAR","✔ FRESH / RECIENTE"))))))</f>
        <v/>
      </c>
      <c r="S105" s="53" t="n">
        <f aca="false">IF(C105="",0,IF(OR(J105="",J105="In Stock / En Inventario",J105="Listed / Publicado"),1,0))</f>
        <v>0</v>
      </c>
      <c r="T105" s="53" t="n">
        <f aca="false">IF(C105="",0,IF(J105="Sold / Vendido",1,0))</f>
        <v>0</v>
      </c>
      <c r="U105" s="53" t="n">
        <f aca="true">IF(S105=1,IF(ISNUMBER(F105),TODAY()-F105,-1),-1)</f>
        <v>-1</v>
      </c>
      <c r="V105" s="53" t="n">
        <f aca="false">IF(U105&lt;0,IF(S105=1,5,0),IF(U105&lt;=30,1,IF(U105&lt;=60,2,IF(U105&lt;=90,3,4))))</f>
        <v>0</v>
      </c>
      <c r="W105" s="53" t="n">
        <f aca="false">IF(U105&lt;0,-1000000000000000,U105+ROW()/1000000)</f>
        <v>-1000000000000000</v>
      </c>
      <c r="X105" s="53" t="n">
        <f aca="false">IF(T105=1,IF(AND(ISNUMBER(F105),ISNUMBER(K105)),K105-F105,0),0)</f>
        <v>0</v>
      </c>
      <c r="Y105" s="53" t="n">
        <f aca="false">IF(T105=1,IF(AND(ISNUMBER(F105),ISNUMBER(K105)),1,0),0)</f>
        <v>0</v>
      </c>
      <c r="Z105" s="53" t="n">
        <f aca="false">IF(U105&gt;=Settings!$C$8,1,0)</f>
        <v>0</v>
      </c>
      <c r="AA105" s="53" t="n">
        <f aca="false">IF(S105=1,IF(J105="Listed / Publicado",0,1),0)</f>
        <v>0</v>
      </c>
      <c r="AB105" s="53" t="n">
        <f aca="false">IF(T105=1,IF(ISNUMBER(L105),L105-G105,0),0)</f>
        <v>0</v>
      </c>
      <c r="AC105" s="53" t="n">
        <f aca="false">IF(S105=1,IF(ISNUMBER(I105),I105-G105,0),0)</f>
        <v>0</v>
      </c>
    </row>
    <row r="106" customFormat="false" ht="15" hidden="false" customHeight="false" outlineLevel="0" collapsed="false">
      <c r="B106" s="54"/>
      <c r="C106" s="55"/>
      <c r="D106" s="55"/>
      <c r="E106" s="55"/>
      <c r="F106" s="56"/>
      <c r="G106" s="57"/>
      <c r="H106" s="55"/>
      <c r="I106" s="57"/>
      <c r="J106" s="54"/>
      <c r="K106" s="56"/>
      <c r="L106" s="57"/>
      <c r="M106" s="54"/>
      <c r="N106" s="58" t="str">
        <f aca="false">IF(S106=1,IF(U106&lt;0,"",U106),IF(Y106=1,X106,""))</f>
        <v/>
      </c>
      <c r="O106" s="59" t="str">
        <f aca="false">IF(S106=1,IF(ISNUMBER(I106),I106-G106,""),"")</f>
        <v/>
      </c>
      <c r="P106" s="59" t="str">
        <f aca="false">IF(T106=1,IF(ISNUMBER(L106),L106-G106,""),"")</f>
        <v/>
      </c>
      <c r="Q106" s="60" t="str">
        <f aca="false">IF(C106="","",IF(T106=1,"✔ SOLD / VENDIDO",IF(S106=0,"— CLOSED / CERRADO",IF(U106&lt;0,"⚠ ADD DATE / AGREGA FECHA",IF(U106&gt;=Settings!$C$8,"⚠ STALE – REPRICE / ESTANCADO",IF(U106&gt;=Settings!$C$7,"● WATCH / VIGILAR","✔ FRESH / RECIENTE"))))))</f>
        <v/>
      </c>
      <c r="S106" s="53" t="n">
        <f aca="false">IF(C106="",0,IF(OR(J106="",J106="In Stock / En Inventario",J106="Listed / Publicado"),1,0))</f>
        <v>0</v>
      </c>
      <c r="T106" s="53" t="n">
        <f aca="false">IF(C106="",0,IF(J106="Sold / Vendido",1,0))</f>
        <v>0</v>
      </c>
      <c r="U106" s="53" t="n">
        <f aca="true">IF(S106=1,IF(ISNUMBER(F106),TODAY()-F106,-1),-1)</f>
        <v>-1</v>
      </c>
      <c r="V106" s="53" t="n">
        <f aca="false">IF(U106&lt;0,IF(S106=1,5,0),IF(U106&lt;=30,1,IF(U106&lt;=60,2,IF(U106&lt;=90,3,4))))</f>
        <v>0</v>
      </c>
      <c r="W106" s="53" t="n">
        <f aca="false">IF(U106&lt;0,-1000000000000000,U106+ROW()/1000000)</f>
        <v>-1000000000000000</v>
      </c>
      <c r="X106" s="53" t="n">
        <f aca="false">IF(T106=1,IF(AND(ISNUMBER(F106),ISNUMBER(K106)),K106-F106,0),0)</f>
        <v>0</v>
      </c>
      <c r="Y106" s="53" t="n">
        <f aca="false">IF(T106=1,IF(AND(ISNUMBER(F106),ISNUMBER(K106)),1,0),0)</f>
        <v>0</v>
      </c>
      <c r="Z106" s="53" t="n">
        <f aca="false">IF(U106&gt;=Settings!$C$8,1,0)</f>
        <v>0</v>
      </c>
      <c r="AA106" s="53" t="n">
        <f aca="false">IF(S106=1,IF(J106="Listed / Publicado",0,1),0)</f>
        <v>0</v>
      </c>
      <c r="AB106" s="53" t="n">
        <f aca="false">IF(T106=1,IF(ISNUMBER(L106),L106-G106,0),0)</f>
        <v>0</v>
      </c>
      <c r="AC106" s="53" t="n">
        <f aca="false">IF(S106=1,IF(ISNUMBER(I106),I106-G106,0),0)</f>
        <v>0</v>
      </c>
    </row>
    <row r="107" customFormat="false" ht="15" hidden="false" customHeight="false" outlineLevel="0" collapsed="false">
      <c r="B107" s="54"/>
      <c r="C107" s="55"/>
      <c r="D107" s="55"/>
      <c r="E107" s="55"/>
      <c r="F107" s="56"/>
      <c r="G107" s="57"/>
      <c r="H107" s="55"/>
      <c r="I107" s="57"/>
      <c r="J107" s="54"/>
      <c r="K107" s="56"/>
      <c r="L107" s="57"/>
      <c r="M107" s="54"/>
      <c r="N107" s="58" t="str">
        <f aca="false">IF(S107=1,IF(U107&lt;0,"",U107),IF(Y107=1,X107,""))</f>
        <v/>
      </c>
      <c r="O107" s="59" t="str">
        <f aca="false">IF(S107=1,IF(ISNUMBER(I107),I107-G107,""),"")</f>
        <v/>
      </c>
      <c r="P107" s="59" t="str">
        <f aca="false">IF(T107=1,IF(ISNUMBER(L107),L107-G107,""),"")</f>
        <v/>
      </c>
      <c r="Q107" s="60" t="str">
        <f aca="false">IF(C107="","",IF(T107=1,"✔ SOLD / VENDIDO",IF(S107=0,"— CLOSED / CERRADO",IF(U107&lt;0,"⚠ ADD DATE / AGREGA FECHA",IF(U107&gt;=Settings!$C$8,"⚠ STALE – REPRICE / ESTANCADO",IF(U107&gt;=Settings!$C$7,"● WATCH / VIGILAR","✔ FRESH / RECIENTE"))))))</f>
        <v/>
      </c>
      <c r="S107" s="53" t="n">
        <f aca="false">IF(C107="",0,IF(OR(J107="",J107="In Stock / En Inventario",J107="Listed / Publicado"),1,0))</f>
        <v>0</v>
      </c>
      <c r="T107" s="53" t="n">
        <f aca="false">IF(C107="",0,IF(J107="Sold / Vendido",1,0))</f>
        <v>0</v>
      </c>
      <c r="U107" s="53" t="n">
        <f aca="true">IF(S107=1,IF(ISNUMBER(F107),TODAY()-F107,-1),-1)</f>
        <v>-1</v>
      </c>
      <c r="V107" s="53" t="n">
        <f aca="false">IF(U107&lt;0,IF(S107=1,5,0),IF(U107&lt;=30,1,IF(U107&lt;=60,2,IF(U107&lt;=90,3,4))))</f>
        <v>0</v>
      </c>
      <c r="W107" s="53" t="n">
        <f aca="false">IF(U107&lt;0,-1000000000000000,U107+ROW()/1000000)</f>
        <v>-1000000000000000</v>
      </c>
      <c r="X107" s="53" t="n">
        <f aca="false">IF(T107=1,IF(AND(ISNUMBER(F107),ISNUMBER(K107)),K107-F107,0),0)</f>
        <v>0</v>
      </c>
      <c r="Y107" s="53" t="n">
        <f aca="false">IF(T107=1,IF(AND(ISNUMBER(F107),ISNUMBER(K107)),1,0),0)</f>
        <v>0</v>
      </c>
      <c r="Z107" s="53" t="n">
        <f aca="false">IF(U107&gt;=Settings!$C$8,1,0)</f>
        <v>0</v>
      </c>
      <c r="AA107" s="53" t="n">
        <f aca="false">IF(S107=1,IF(J107="Listed / Publicado",0,1),0)</f>
        <v>0</v>
      </c>
      <c r="AB107" s="53" t="n">
        <f aca="false">IF(T107=1,IF(ISNUMBER(L107),L107-G107,0),0)</f>
        <v>0</v>
      </c>
      <c r="AC107" s="53" t="n">
        <f aca="false">IF(S107=1,IF(ISNUMBER(I107),I107-G107,0),0)</f>
        <v>0</v>
      </c>
    </row>
    <row r="108" customFormat="false" ht="15" hidden="false" customHeight="false" outlineLevel="0" collapsed="false">
      <c r="B108" s="54"/>
      <c r="C108" s="55"/>
      <c r="D108" s="55"/>
      <c r="E108" s="55"/>
      <c r="F108" s="56"/>
      <c r="G108" s="57"/>
      <c r="H108" s="55"/>
      <c r="I108" s="57"/>
      <c r="J108" s="54"/>
      <c r="K108" s="56"/>
      <c r="L108" s="57"/>
      <c r="M108" s="54"/>
      <c r="N108" s="58" t="str">
        <f aca="false">IF(S108=1,IF(U108&lt;0,"",U108),IF(Y108=1,X108,""))</f>
        <v/>
      </c>
      <c r="O108" s="59" t="str">
        <f aca="false">IF(S108=1,IF(ISNUMBER(I108),I108-G108,""),"")</f>
        <v/>
      </c>
      <c r="P108" s="59" t="str">
        <f aca="false">IF(T108=1,IF(ISNUMBER(L108),L108-G108,""),"")</f>
        <v/>
      </c>
      <c r="Q108" s="60" t="str">
        <f aca="false">IF(C108="","",IF(T108=1,"✔ SOLD / VENDIDO",IF(S108=0,"— CLOSED / CERRADO",IF(U108&lt;0,"⚠ ADD DATE / AGREGA FECHA",IF(U108&gt;=Settings!$C$8,"⚠ STALE – REPRICE / ESTANCADO",IF(U108&gt;=Settings!$C$7,"● WATCH / VIGILAR","✔ FRESH / RECIENTE"))))))</f>
        <v/>
      </c>
      <c r="S108" s="53" t="n">
        <f aca="false">IF(C108="",0,IF(OR(J108="",J108="In Stock / En Inventario",J108="Listed / Publicado"),1,0))</f>
        <v>0</v>
      </c>
      <c r="T108" s="53" t="n">
        <f aca="false">IF(C108="",0,IF(J108="Sold / Vendido",1,0))</f>
        <v>0</v>
      </c>
      <c r="U108" s="53" t="n">
        <f aca="true">IF(S108=1,IF(ISNUMBER(F108),TODAY()-F108,-1),-1)</f>
        <v>-1</v>
      </c>
      <c r="V108" s="53" t="n">
        <f aca="false">IF(U108&lt;0,IF(S108=1,5,0),IF(U108&lt;=30,1,IF(U108&lt;=60,2,IF(U108&lt;=90,3,4))))</f>
        <v>0</v>
      </c>
      <c r="W108" s="53" t="n">
        <f aca="false">IF(U108&lt;0,-1000000000000000,U108+ROW()/1000000)</f>
        <v>-1000000000000000</v>
      </c>
      <c r="X108" s="53" t="n">
        <f aca="false">IF(T108=1,IF(AND(ISNUMBER(F108),ISNUMBER(K108)),K108-F108,0),0)</f>
        <v>0</v>
      </c>
      <c r="Y108" s="53" t="n">
        <f aca="false">IF(T108=1,IF(AND(ISNUMBER(F108),ISNUMBER(K108)),1,0),0)</f>
        <v>0</v>
      </c>
      <c r="Z108" s="53" t="n">
        <f aca="false">IF(U108&gt;=Settings!$C$8,1,0)</f>
        <v>0</v>
      </c>
      <c r="AA108" s="53" t="n">
        <f aca="false">IF(S108=1,IF(J108="Listed / Publicado",0,1),0)</f>
        <v>0</v>
      </c>
      <c r="AB108" s="53" t="n">
        <f aca="false">IF(T108=1,IF(ISNUMBER(L108),L108-G108,0),0)</f>
        <v>0</v>
      </c>
      <c r="AC108" s="53" t="n">
        <f aca="false">IF(S108=1,IF(ISNUMBER(I108),I108-G108,0),0)</f>
        <v>0</v>
      </c>
    </row>
    <row r="109" customFormat="false" ht="15" hidden="false" customHeight="false" outlineLevel="0" collapsed="false">
      <c r="B109" s="54"/>
      <c r="C109" s="55"/>
      <c r="D109" s="55"/>
      <c r="E109" s="55"/>
      <c r="F109" s="56"/>
      <c r="G109" s="57"/>
      <c r="H109" s="55"/>
      <c r="I109" s="57"/>
      <c r="J109" s="54"/>
      <c r="K109" s="56"/>
      <c r="L109" s="57"/>
      <c r="M109" s="54"/>
      <c r="N109" s="58" t="str">
        <f aca="false">IF(S109=1,IF(U109&lt;0,"",U109),IF(Y109=1,X109,""))</f>
        <v/>
      </c>
      <c r="O109" s="59" t="str">
        <f aca="false">IF(S109=1,IF(ISNUMBER(I109),I109-G109,""),"")</f>
        <v/>
      </c>
      <c r="P109" s="59" t="str">
        <f aca="false">IF(T109=1,IF(ISNUMBER(L109),L109-G109,""),"")</f>
        <v/>
      </c>
      <c r="Q109" s="60" t="str">
        <f aca="false">IF(C109="","",IF(T109=1,"✔ SOLD / VENDIDO",IF(S109=0,"— CLOSED / CERRADO",IF(U109&lt;0,"⚠ ADD DATE / AGREGA FECHA",IF(U109&gt;=Settings!$C$8,"⚠ STALE – REPRICE / ESTANCADO",IF(U109&gt;=Settings!$C$7,"● WATCH / VIGILAR","✔ FRESH / RECIENTE"))))))</f>
        <v/>
      </c>
      <c r="S109" s="53" t="n">
        <f aca="false">IF(C109="",0,IF(OR(J109="",J109="In Stock / En Inventario",J109="Listed / Publicado"),1,0))</f>
        <v>0</v>
      </c>
      <c r="T109" s="53" t="n">
        <f aca="false">IF(C109="",0,IF(J109="Sold / Vendido",1,0))</f>
        <v>0</v>
      </c>
      <c r="U109" s="53" t="n">
        <f aca="true">IF(S109=1,IF(ISNUMBER(F109),TODAY()-F109,-1),-1)</f>
        <v>-1</v>
      </c>
      <c r="V109" s="53" t="n">
        <f aca="false">IF(U109&lt;0,IF(S109=1,5,0),IF(U109&lt;=30,1,IF(U109&lt;=60,2,IF(U109&lt;=90,3,4))))</f>
        <v>0</v>
      </c>
      <c r="W109" s="53" t="n">
        <f aca="false">IF(U109&lt;0,-1000000000000000,U109+ROW()/1000000)</f>
        <v>-1000000000000000</v>
      </c>
      <c r="X109" s="53" t="n">
        <f aca="false">IF(T109=1,IF(AND(ISNUMBER(F109),ISNUMBER(K109)),K109-F109,0),0)</f>
        <v>0</v>
      </c>
      <c r="Y109" s="53" t="n">
        <f aca="false">IF(T109=1,IF(AND(ISNUMBER(F109),ISNUMBER(K109)),1,0),0)</f>
        <v>0</v>
      </c>
      <c r="Z109" s="53" t="n">
        <f aca="false">IF(U109&gt;=Settings!$C$8,1,0)</f>
        <v>0</v>
      </c>
      <c r="AA109" s="53" t="n">
        <f aca="false">IF(S109=1,IF(J109="Listed / Publicado",0,1),0)</f>
        <v>0</v>
      </c>
      <c r="AB109" s="53" t="n">
        <f aca="false">IF(T109=1,IF(ISNUMBER(L109),L109-G109,0),0)</f>
        <v>0</v>
      </c>
      <c r="AC109" s="53" t="n">
        <f aca="false">IF(S109=1,IF(ISNUMBER(I109),I109-G109,0),0)</f>
        <v>0</v>
      </c>
    </row>
    <row r="110" customFormat="false" ht="15" hidden="false" customHeight="false" outlineLevel="0" collapsed="false">
      <c r="B110" s="54"/>
      <c r="C110" s="55"/>
      <c r="D110" s="55"/>
      <c r="E110" s="55"/>
      <c r="F110" s="56"/>
      <c r="G110" s="57"/>
      <c r="H110" s="55"/>
      <c r="I110" s="57"/>
      <c r="J110" s="54"/>
      <c r="K110" s="56"/>
      <c r="L110" s="57"/>
      <c r="M110" s="54"/>
      <c r="N110" s="58" t="str">
        <f aca="false">IF(S110=1,IF(U110&lt;0,"",U110),IF(Y110=1,X110,""))</f>
        <v/>
      </c>
      <c r="O110" s="59" t="str">
        <f aca="false">IF(S110=1,IF(ISNUMBER(I110),I110-G110,""),"")</f>
        <v/>
      </c>
      <c r="P110" s="59" t="str">
        <f aca="false">IF(T110=1,IF(ISNUMBER(L110),L110-G110,""),"")</f>
        <v/>
      </c>
      <c r="Q110" s="60" t="str">
        <f aca="false">IF(C110="","",IF(T110=1,"✔ SOLD / VENDIDO",IF(S110=0,"— CLOSED / CERRADO",IF(U110&lt;0,"⚠ ADD DATE / AGREGA FECHA",IF(U110&gt;=Settings!$C$8,"⚠ STALE – REPRICE / ESTANCADO",IF(U110&gt;=Settings!$C$7,"● WATCH / VIGILAR","✔ FRESH / RECIENTE"))))))</f>
        <v/>
      </c>
      <c r="S110" s="53" t="n">
        <f aca="false">IF(C110="",0,IF(OR(J110="",J110="In Stock / En Inventario",J110="Listed / Publicado"),1,0))</f>
        <v>0</v>
      </c>
      <c r="T110" s="53" t="n">
        <f aca="false">IF(C110="",0,IF(J110="Sold / Vendido",1,0))</f>
        <v>0</v>
      </c>
      <c r="U110" s="53" t="n">
        <f aca="true">IF(S110=1,IF(ISNUMBER(F110),TODAY()-F110,-1),-1)</f>
        <v>-1</v>
      </c>
      <c r="V110" s="53" t="n">
        <f aca="false">IF(U110&lt;0,IF(S110=1,5,0),IF(U110&lt;=30,1,IF(U110&lt;=60,2,IF(U110&lt;=90,3,4))))</f>
        <v>0</v>
      </c>
      <c r="W110" s="53" t="n">
        <f aca="false">IF(U110&lt;0,-1000000000000000,U110+ROW()/1000000)</f>
        <v>-1000000000000000</v>
      </c>
      <c r="X110" s="53" t="n">
        <f aca="false">IF(T110=1,IF(AND(ISNUMBER(F110),ISNUMBER(K110)),K110-F110,0),0)</f>
        <v>0</v>
      </c>
      <c r="Y110" s="53" t="n">
        <f aca="false">IF(T110=1,IF(AND(ISNUMBER(F110),ISNUMBER(K110)),1,0),0)</f>
        <v>0</v>
      </c>
      <c r="Z110" s="53" t="n">
        <f aca="false">IF(U110&gt;=Settings!$C$8,1,0)</f>
        <v>0</v>
      </c>
      <c r="AA110" s="53" t="n">
        <f aca="false">IF(S110=1,IF(J110="Listed / Publicado",0,1),0)</f>
        <v>0</v>
      </c>
      <c r="AB110" s="53" t="n">
        <f aca="false">IF(T110=1,IF(ISNUMBER(L110),L110-G110,0),0)</f>
        <v>0</v>
      </c>
      <c r="AC110" s="53" t="n">
        <f aca="false">IF(S110=1,IF(ISNUMBER(I110),I110-G110,0),0)</f>
        <v>0</v>
      </c>
    </row>
    <row r="111" customFormat="false" ht="15" hidden="false" customHeight="false" outlineLevel="0" collapsed="false">
      <c r="B111" s="54"/>
      <c r="C111" s="55"/>
      <c r="D111" s="55"/>
      <c r="E111" s="55"/>
      <c r="F111" s="56"/>
      <c r="G111" s="57"/>
      <c r="H111" s="55"/>
      <c r="I111" s="57"/>
      <c r="J111" s="54"/>
      <c r="K111" s="56"/>
      <c r="L111" s="57"/>
      <c r="M111" s="54"/>
      <c r="N111" s="58" t="str">
        <f aca="false">IF(S111=1,IF(U111&lt;0,"",U111),IF(Y111=1,X111,""))</f>
        <v/>
      </c>
      <c r="O111" s="59" t="str">
        <f aca="false">IF(S111=1,IF(ISNUMBER(I111),I111-G111,""),"")</f>
        <v/>
      </c>
      <c r="P111" s="59" t="str">
        <f aca="false">IF(T111=1,IF(ISNUMBER(L111),L111-G111,""),"")</f>
        <v/>
      </c>
      <c r="Q111" s="60" t="str">
        <f aca="false">IF(C111="","",IF(T111=1,"✔ SOLD / VENDIDO",IF(S111=0,"— CLOSED / CERRADO",IF(U111&lt;0,"⚠ ADD DATE / AGREGA FECHA",IF(U111&gt;=Settings!$C$8,"⚠ STALE – REPRICE / ESTANCADO",IF(U111&gt;=Settings!$C$7,"● WATCH / VIGILAR","✔ FRESH / RECIENTE"))))))</f>
        <v/>
      </c>
      <c r="S111" s="53" t="n">
        <f aca="false">IF(C111="",0,IF(OR(J111="",J111="In Stock / En Inventario",J111="Listed / Publicado"),1,0))</f>
        <v>0</v>
      </c>
      <c r="T111" s="53" t="n">
        <f aca="false">IF(C111="",0,IF(J111="Sold / Vendido",1,0))</f>
        <v>0</v>
      </c>
      <c r="U111" s="53" t="n">
        <f aca="true">IF(S111=1,IF(ISNUMBER(F111),TODAY()-F111,-1),-1)</f>
        <v>-1</v>
      </c>
      <c r="V111" s="53" t="n">
        <f aca="false">IF(U111&lt;0,IF(S111=1,5,0),IF(U111&lt;=30,1,IF(U111&lt;=60,2,IF(U111&lt;=90,3,4))))</f>
        <v>0</v>
      </c>
      <c r="W111" s="53" t="n">
        <f aca="false">IF(U111&lt;0,-1000000000000000,U111+ROW()/1000000)</f>
        <v>-1000000000000000</v>
      </c>
      <c r="X111" s="53" t="n">
        <f aca="false">IF(T111=1,IF(AND(ISNUMBER(F111),ISNUMBER(K111)),K111-F111,0),0)</f>
        <v>0</v>
      </c>
      <c r="Y111" s="53" t="n">
        <f aca="false">IF(T111=1,IF(AND(ISNUMBER(F111),ISNUMBER(K111)),1,0),0)</f>
        <v>0</v>
      </c>
      <c r="Z111" s="53" t="n">
        <f aca="false">IF(U111&gt;=Settings!$C$8,1,0)</f>
        <v>0</v>
      </c>
      <c r="AA111" s="53" t="n">
        <f aca="false">IF(S111=1,IF(J111="Listed / Publicado",0,1),0)</f>
        <v>0</v>
      </c>
      <c r="AB111" s="53" t="n">
        <f aca="false">IF(T111=1,IF(ISNUMBER(L111),L111-G111,0),0)</f>
        <v>0</v>
      </c>
      <c r="AC111" s="53" t="n">
        <f aca="false">IF(S111=1,IF(ISNUMBER(I111),I111-G111,0),0)</f>
        <v>0</v>
      </c>
    </row>
    <row r="112" customFormat="false" ht="15" hidden="false" customHeight="false" outlineLevel="0" collapsed="false">
      <c r="B112" s="54"/>
      <c r="C112" s="55"/>
      <c r="D112" s="55"/>
      <c r="E112" s="55"/>
      <c r="F112" s="56"/>
      <c r="G112" s="57"/>
      <c r="H112" s="55"/>
      <c r="I112" s="57"/>
      <c r="J112" s="54"/>
      <c r="K112" s="56"/>
      <c r="L112" s="57"/>
      <c r="M112" s="54"/>
      <c r="N112" s="58" t="str">
        <f aca="false">IF(S112=1,IF(U112&lt;0,"",U112),IF(Y112=1,X112,""))</f>
        <v/>
      </c>
      <c r="O112" s="59" t="str">
        <f aca="false">IF(S112=1,IF(ISNUMBER(I112),I112-G112,""),"")</f>
        <v/>
      </c>
      <c r="P112" s="59" t="str">
        <f aca="false">IF(T112=1,IF(ISNUMBER(L112),L112-G112,""),"")</f>
        <v/>
      </c>
      <c r="Q112" s="60" t="str">
        <f aca="false">IF(C112="","",IF(T112=1,"✔ SOLD / VENDIDO",IF(S112=0,"— CLOSED / CERRADO",IF(U112&lt;0,"⚠ ADD DATE / AGREGA FECHA",IF(U112&gt;=Settings!$C$8,"⚠ STALE – REPRICE / ESTANCADO",IF(U112&gt;=Settings!$C$7,"● WATCH / VIGILAR","✔ FRESH / RECIENTE"))))))</f>
        <v/>
      </c>
      <c r="S112" s="53" t="n">
        <f aca="false">IF(C112="",0,IF(OR(J112="",J112="In Stock / En Inventario",J112="Listed / Publicado"),1,0))</f>
        <v>0</v>
      </c>
      <c r="T112" s="53" t="n">
        <f aca="false">IF(C112="",0,IF(J112="Sold / Vendido",1,0))</f>
        <v>0</v>
      </c>
      <c r="U112" s="53" t="n">
        <f aca="true">IF(S112=1,IF(ISNUMBER(F112),TODAY()-F112,-1),-1)</f>
        <v>-1</v>
      </c>
      <c r="V112" s="53" t="n">
        <f aca="false">IF(U112&lt;0,IF(S112=1,5,0),IF(U112&lt;=30,1,IF(U112&lt;=60,2,IF(U112&lt;=90,3,4))))</f>
        <v>0</v>
      </c>
      <c r="W112" s="53" t="n">
        <f aca="false">IF(U112&lt;0,-1000000000000000,U112+ROW()/1000000)</f>
        <v>-1000000000000000</v>
      </c>
      <c r="X112" s="53" t="n">
        <f aca="false">IF(T112=1,IF(AND(ISNUMBER(F112),ISNUMBER(K112)),K112-F112,0),0)</f>
        <v>0</v>
      </c>
      <c r="Y112" s="53" t="n">
        <f aca="false">IF(T112=1,IF(AND(ISNUMBER(F112),ISNUMBER(K112)),1,0),0)</f>
        <v>0</v>
      </c>
      <c r="Z112" s="53" t="n">
        <f aca="false">IF(U112&gt;=Settings!$C$8,1,0)</f>
        <v>0</v>
      </c>
      <c r="AA112" s="53" t="n">
        <f aca="false">IF(S112=1,IF(J112="Listed / Publicado",0,1),0)</f>
        <v>0</v>
      </c>
      <c r="AB112" s="53" t="n">
        <f aca="false">IF(T112=1,IF(ISNUMBER(L112),L112-G112,0),0)</f>
        <v>0</v>
      </c>
      <c r="AC112" s="53" t="n">
        <f aca="false">IF(S112=1,IF(ISNUMBER(I112),I112-G112,0),0)</f>
        <v>0</v>
      </c>
    </row>
    <row r="113" customFormat="false" ht="15" hidden="false" customHeight="false" outlineLevel="0" collapsed="false">
      <c r="B113" s="54"/>
      <c r="C113" s="55"/>
      <c r="D113" s="55"/>
      <c r="E113" s="55"/>
      <c r="F113" s="56"/>
      <c r="G113" s="57"/>
      <c r="H113" s="55"/>
      <c r="I113" s="57"/>
      <c r="J113" s="54"/>
      <c r="K113" s="56"/>
      <c r="L113" s="57"/>
      <c r="M113" s="54"/>
      <c r="N113" s="58" t="str">
        <f aca="false">IF(S113=1,IF(U113&lt;0,"",U113),IF(Y113=1,X113,""))</f>
        <v/>
      </c>
      <c r="O113" s="59" t="str">
        <f aca="false">IF(S113=1,IF(ISNUMBER(I113),I113-G113,""),"")</f>
        <v/>
      </c>
      <c r="P113" s="59" t="str">
        <f aca="false">IF(T113=1,IF(ISNUMBER(L113),L113-G113,""),"")</f>
        <v/>
      </c>
      <c r="Q113" s="60" t="str">
        <f aca="false">IF(C113="","",IF(T113=1,"✔ SOLD / VENDIDO",IF(S113=0,"— CLOSED / CERRADO",IF(U113&lt;0,"⚠ ADD DATE / AGREGA FECHA",IF(U113&gt;=Settings!$C$8,"⚠ STALE – REPRICE / ESTANCADO",IF(U113&gt;=Settings!$C$7,"● WATCH / VIGILAR","✔ FRESH / RECIENTE"))))))</f>
        <v/>
      </c>
      <c r="S113" s="53" t="n">
        <f aca="false">IF(C113="",0,IF(OR(J113="",J113="In Stock / En Inventario",J113="Listed / Publicado"),1,0))</f>
        <v>0</v>
      </c>
      <c r="T113" s="53" t="n">
        <f aca="false">IF(C113="",0,IF(J113="Sold / Vendido",1,0))</f>
        <v>0</v>
      </c>
      <c r="U113" s="53" t="n">
        <f aca="true">IF(S113=1,IF(ISNUMBER(F113),TODAY()-F113,-1),-1)</f>
        <v>-1</v>
      </c>
      <c r="V113" s="53" t="n">
        <f aca="false">IF(U113&lt;0,IF(S113=1,5,0),IF(U113&lt;=30,1,IF(U113&lt;=60,2,IF(U113&lt;=90,3,4))))</f>
        <v>0</v>
      </c>
      <c r="W113" s="53" t="n">
        <f aca="false">IF(U113&lt;0,-1000000000000000,U113+ROW()/1000000)</f>
        <v>-1000000000000000</v>
      </c>
      <c r="X113" s="53" t="n">
        <f aca="false">IF(T113=1,IF(AND(ISNUMBER(F113),ISNUMBER(K113)),K113-F113,0),0)</f>
        <v>0</v>
      </c>
      <c r="Y113" s="53" t="n">
        <f aca="false">IF(T113=1,IF(AND(ISNUMBER(F113),ISNUMBER(K113)),1,0),0)</f>
        <v>0</v>
      </c>
      <c r="Z113" s="53" t="n">
        <f aca="false">IF(U113&gt;=Settings!$C$8,1,0)</f>
        <v>0</v>
      </c>
      <c r="AA113" s="53" t="n">
        <f aca="false">IF(S113=1,IF(J113="Listed / Publicado",0,1),0)</f>
        <v>0</v>
      </c>
      <c r="AB113" s="53" t="n">
        <f aca="false">IF(T113=1,IF(ISNUMBER(L113),L113-G113,0),0)</f>
        <v>0</v>
      </c>
      <c r="AC113" s="53" t="n">
        <f aca="false">IF(S113=1,IF(ISNUMBER(I113),I113-G113,0),0)</f>
        <v>0</v>
      </c>
    </row>
    <row r="114" customFormat="false" ht="15" hidden="false" customHeight="false" outlineLevel="0" collapsed="false">
      <c r="B114" s="54"/>
      <c r="C114" s="55"/>
      <c r="D114" s="55"/>
      <c r="E114" s="55"/>
      <c r="F114" s="56"/>
      <c r="G114" s="57"/>
      <c r="H114" s="55"/>
      <c r="I114" s="57"/>
      <c r="J114" s="54"/>
      <c r="K114" s="56"/>
      <c r="L114" s="57"/>
      <c r="M114" s="54"/>
      <c r="N114" s="58" t="str">
        <f aca="false">IF(S114=1,IF(U114&lt;0,"",U114),IF(Y114=1,X114,""))</f>
        <v/>
      </c>
      <c r="O114" s="59" t="str">
        <f aca="false">IF(S114=1,IF(ISNUMBER(I114),I114-G114,""),"")</f>
        <v/>
      </c>
      <c r="P114" s="59" t="str">
        <f aca="false">IF(T114=1,IF(ISNUMBER(L114),L114-G114,""),"")</f>
        <v/>
      </c>
      <c r="Q114" s="60" t="str">
        <f aca="false">IF(C114="","",IF(T114=1,"✔ SOLD / VENDIDO",IF(S114=0,"— CLOSED / CERRADO",IF(U114&lt;0,"⚠ ADD DATE / AGREGA FECHA",IF(U114&gt;=Settings!$C$8,"⚠ STALE – REPRICE / ESTANCADO",IF(U114&gt;=Settings!$C$7,"● WATCH / VIGILAR","✔ FRESH / RECIENTE"))))))</f>
        <v/>
      </c>
      <c r="S114" s="53" t="n">
        <f aca="false">IF(C114="",0,IF(OR(J114="",J114="In Stock / En Inventario",J114="Listed / Publicado"),1,0))</f>
        <v>0</v>
      </c>
      <c r="T114" s="53" t="n">
        <f aca="false">IF(C114="",0,IF(J114="Sold / Vendido",1,0))</f>
        <v>0</v>
      </c>
      <c r="U114" s="53" t="n">
        <f aca="true">IF(S114=1,IF(ISNUMBER(F114),TODAY()-F114,-1),-1)</f>
        <v>-1</v>
      </c>
      <c r="V114" s="53" t="n">
        <f aca="false">IF(U114&lt;0,IF(S114=1,5,0),IF(U114&lt;=30,1,IF(U114&lt;=60,2,IF(U114&lt;=90,3,4))))</f>
        <v>0</v>
      </c>
      <c r="W114" s="53" t="n">
        <f aca="false">IF(U114&lt;0,-1000000000000000,U114+ROW()/1000000)</f>
        <v>-1000000000000000</v>
      </c>
      <c r="X114" s="53" t="n">
        <f aca="false">IF(T114=1,IF(AND(ISNUMBER(F114),ISNUMBER(K114)),K114-F114,0),0)</f>
        <v>0</v>
      </c>
      <c r="Y114" s="53" t="n">
        <f aca="false">IF(T114=1,IF(AND(ISNUMBER(F114),ISNUMBER(K114)),1,0),0)</f>
        <v>0</v>
      </c>
      <c r="Z114" s="53" t="n">
        <f aca="false">IF(U114&gt;=Settings!$C$8,1,0)</f>
        <v>0</v>
      </c>
      <c r="AA114" s="53" t="n">
        <f aca="false">IF(S114=1,IF(J114="Listed / Publicado",0,1),0)</f>
        <v>0</v>
      </c>
      <c r="AB114" s="53" t="n">
        <f aca="false">IF(T114=1,IF(ISNUMBER(L114),L114-G114,0),0)</f>
        <v>0</v>
      </c>
      <c r="AC114" s="53" t="n">
        <f aca="false">IF(S114=1,IF(ISNUMBER(I114),I114-G114,0),0)</f>
        <v>0</v>
      </c>
    </row>
    <row r="115" customFormat="false" ht="15" hidden="false" customHeight="false" outlineLevel="0" collapsed="false">
      <c r="B115" s="54"/>
      <c r="C115" s="55"/>
      <c r="D115" s="55"/>
      <c r="E115" s="55"/>
      <c r="F115" s="56"/>
      <c r="G115" s="57"/>
      <c r="H115" s="55"/>
      <c r="I115" s="57"/>
      <c r="J115" s="54"/>
      <c r="K115" s="56"/>
      <c r="L115" s="57"/>
      <c r="M115" s="54"/>
      <c r="N115" s="58" t="str">
        <f aca="false">IF(S115=1,IF(U115&lt;0,"",U115),IF(Y115=1,X115,""))</f>
        <v/>
      </c>
      <c r="O115" s="59" t="str">
        <f aca="false">IF(S115=1,IF(ISNUMBER(I115),I115-G115,""),"")</f>
        <v/>
      </c>
      <c r="P115" s="59" t="str">
        <f aca="false">IF(T115=1,IF(ISNUMBER(L115),L115-G115,""),"")</f>
        <v/>
      </c>
      <c r="Q115" s="60" t="str">
        <f aca="false">IF(C115="","",IF(T115=1,"✔ SOLD / VENDIDO",IF(S115=0,"— CLOSED / CERRADO",IF(U115&lt;0,"⚠ ADD DATE / AGREGA FECHA",IF(U115&gt;=Settings!$C$8,"⚠ STALE – REPRICE / ESTANCADO",IF(U115&gt;=Settings!$C$7,"● WATCH / VIGILAR","✔ FRESH / RECIENTE"))))))</f>
        <v/>
      </c>
      <c r="S115" s="53" t="n">
        <f aca="false">IF(C115="",0,IF(OR(J115="",J115="In Stock / En Inventario",J115="Listed / Publicado"),1,0))</f>
        <v>0</v>
      </c>
      <c r="T115" s="53" t="n">
        <f aca="false">IF(C115="",0,IF(J115="Sold / Vendido",1,0))</f>
        <v>0</v>
      </c>
      <c r="U115" s="53" t="n">
        <f aca="true">IF(S115=1,IF(ISNUMBER(F115),TODAY()-F115,-1),-1)</f>
        <v>-1</v>
      </c>
      <c r="V115" s="53" t="n">
        <f aca="false">IF(U115&lt;0,IF(S115=1,5,0),IF(U115&lt;=30,1,IF(U115&lt;=60,2,IF(U115&lt;=90,3,4))))</f>
        <v>0</v>
      </c>
      <c r="W115" s="53" t="n">
        <f aca="false">IF(U115&lt;0,-1000000000000000,U115+ROW()/1000000)</f>
        <v>-1000000000000000</v>
      </c>
      <c r="X115" s="53" t="n">
        <f aca="false">IF(T115=1,IF(AND(ISNUMBER(F115),ISNUMBER(K115)),K115-F115,0),0)</f>
        <v>0</v>
      </c>
      <c r="Y115" s="53" t="n">
        <f aca="false">IF(T115=1,IF(AND(ISNUMBER(F115),ISNUMBER(K115)),1,0),0)</f>
        <v>0</v>
      </c>
      <c r="Z115" s="53" t="n">
        <f aca="false">IF(U115&gt;=Settings!$C$8,1,0)</f>
        <v>0</v>
      </c>
      <c r="AA115" s="53" t="n">
        <f aca="false">IF(S115=1,IF(J115="Listed / Publicado",0,1),0)</f>
        <v>0</v>
      </c>
      <c r="AB115" s="53" t="n">
        <f aca="false">IF(T115=1,IF(ISNUMBER(L115),L115-G115,0),0)</f>
        <v>0</v>
      </c>
      <c r="AC115" s="53" t="n">
        <f aca="false">IF(S115=1,IF(ISNUMBER(I115),I115-G115,0),0)</f>
        <v>0</v>
      </c>
    </row>
    <row r="116" customFormat="false" ht="15" hidden="false" customHeight="false" outlineLevel="0" collapsed="false">
      <c r="B116" s="54"/>
      <c r="C116" s="55"/>
      <c r="D116" s="55"/>
      <c r="E116" s="55"/>
      <c r="F116" s="56"/>
      <c r="G116" s="57"/>
      <c r="H116" s="55"/>
      <c r="I116" s="57"/>
      <c r="J116" s="54"/>
      <c r="K116" s="56"/>
      <c r="L116" s="57"/>
      <c r="M116" s="54"/>
      <c r="N116" s="58" t="str">
        <f aca="false">IF(S116=1,IF(U116&lt;0,"",U116),IF(Y116=1,X116,""))</f>
        <v/>
      </c>
      <c r="O116" s="59" t="str">
        <f aca="false">IF(S116=1,IF(ISNUMBER(I116),I116-G116,""),"")</f>
        <v/>
      </c>
      <c r="P116" s="59" t="str">
        <f aca="false">IF(T116=1,IF(ISNUMBER(L116),L116-G116,""),"")</f>
        <v/>
      </c>
      <c r="Q116" s="60" t="str">
        <f aca="false">IF(C116="","",IF(T116=1,"✔ SOLD / VENDIDO",IF(S116=0,"— CLOSED / CERRADO",IF(U116&lt;0,"⚠ ADD DATE / AGREGA FECHA",IF(U116&gt;=Settings!$C$8,"⚠ STALE – REPRICE / ESTANCADO",IF(U116&gt;=Settings!$C$7,"● WATCH / VIGILAR","✔ FRESH / RECIENTE"))))))</f>
        <v/>
      </c>
      <c r="S116" s="53" t="n">
        <f aca="false">IF(C116="",0,IF(OR(J116="",J116="In Stock / En Inventario",J116="Listed / Publicado"),1,0))</f>
        <v>0</v>
      </c>
      <c r="T116" s="53" t="n">
        <f aca="false">IF(C116="",0,IF(J116="Sold / Vendido",1,0))</f>
        <v>0</v>
      </c>
      <c r="U116" s="53" t="n">
        <f aca="true">IF(S116=1,IF(ISNUMBER(F116),TODAY()-F116,-1),-1)</f>
        <v>-1</v>
      </c>
      <c r="V116" s="53" t="n">
        <f aca="false">IF(U116&lt;0,IF(S116=1,5,0),IF(U116&lt;=30,1,IF(U116&lt;=60,2,IF(U116&lt;=90,3,4))))</f>
        <v>0</v>
      </c>
      <c r="W116" s="53" t="n">
        <f aca="false">IF(U116&lt;0,-1000000000000000,U116+ROW()/1000000)</f>
        <v>-1000000000000000</v>
      </c>
      <c r="X116" s="53" t="n">
        <f aca="false">IF(T116=1,IF(AND(ISNUMBER(F116),ISNUMBER(K116)),K116-F116,0),0)</f>
        <v>0</v>
      </c>
      <c r="Y116" s="53" t="n">
        <f aca="false">IF(T116=1,IF(AND(ISNUMBER(F116),ISNUMBER(K116)),1,0),0)</f>
        <v>0</v>
      </c>
      <c r="Z116" s="53" t="n">
        <f aca="false">IF(U116&gt;=Settings!$C$8,1,0)</f>
        <v>0</v>
      </c>
      <c r="AA116" s="53" t="n">
        <f aca="false">IF(S116=1,IF(J116="Listed / Publicado",0,1),0)</f>
        <v>0</v>
      </c>
      <c r="AB116" s="53" t="n">
        <f aca="false">IF(T116=1,IF(ISNUMBER(L116),L116-G116,0),0)</f>
        <v>0</v>
      </c>
      <c r="AC116" s="53" t="n">
        <f aca="false">IF(S116=1,IF(ISNUMBER(I116),I116-G116,0),0)</f>
        <v>0</v>
      </c>
    </row>
    <row r="117" customFormat="false" ht="15" hidden="false" customHeight="false" outlineLevel="0" collapsed="false">
      <c r="B117" s="54"/>
      <c r="C117" s="55"/>
      <c r="D117" s="55"/>
      <c r="E117" s="55"/>
      <c r="F117" s="56"/>
      <c r="G117" s="57"/>
      <c r="H117" s="55"/>
      <c r="I117" s="57"/>
      <c r="J117" s="54"/>
      <c r="K117" s="56"/>
      <c r="L117" s="57"/>
      <c r="M117" s="54"/>
      <c r="N117" s="58" t="str">
        <f aca="false">IF(S117=1,IF(U117&lt;0,"",U117),IF(Y117=1,X117,""))</f>
        <v/>
      </c>
      <c r="O117" s="59" t="str">
        <f aca="false">IF(S117=1,IF(ISNUMBER(I117),I117-G117,""),"")</f>
        <v/>
      </c>
      <c r="P117" s="59" t="str">
        <f aca="false">IF(T117=1,IF(ISNUMBER(L117),L117-G117,""),"")</f>
        <v/>
      </c>
      <c r="Q117" s="60" t="str">
        <f aca="false">IF(C117="","",IF(T117=1,"✔ SOLD / VENDIDO",IF(S117=0,"— CLOSED / CERRADO",IF(U117&lt;0,"⚠ ADD DATE / AGREGA FECHA",IF(U117&gt;=Settings!$C$8,"⚠ STALE – REPRICE / ESTANCADO",IF(U117&gt;=Settings!$C$7,"● WATCH / VIGILAR","✔ FRESH / RECIENTE"))))))</f>
        <v/>
      </c>
      <c r="S117" s="53" t="n">
        <f aca="false">IF(C117="",0,IF(OR(J117="",J117="In Stock / En Inventario",J117="Listed / Publicado"),1,0))</f>
        <v>0</v>
      </c>
      <c r="T117" s="53" t="n">
        <f aca="false">IF(C117="",0,IF(J117="Sold / Vendido",1,0))</f>
        <v>0</v>
      </c>
      <c r="U117" s="53" t="n">
        <f aca="true">IF(S117=1,IF(ISNUMBER(F117),TODAY()-F117,-1),-1)</f>
        <v>-1</v>
      </c>
      <c r="V117" s="53" t="n">
        <f aca="false">IF(U117&lt;0,IF(S117=1,5,0),IF(U117&lt;=30,1,IF(U117&lt;=60,2,IF(U117&lt;=90,3,4))))</f>
        <v>0</v>
      </c>
      <c r="W117" s="53" t="n">
        <f aca="false">IF(U117&lt;0,-1000000000000000,U117+ROW()/1000000)</f>
        <v>-1000000000000000</v>
      </c>
      <c r="X117" s="53" t="n">
        <f aca="false">IF(T117=1,IF(AND(ISNUMBER(F117),ISNUMBER(K117)),K117-F117,0),0)</f>
        <v>0</v>
      </c>
      <c r="Y117" s="53" t="n">
        <f aca="false">IF(T117=1,IF(AND(ISNUMBER(F117),ISNUMBER(K117)),1,0),0)</f>
        <v>0</v>
      </c>
      <c r="Z117" s="53" t="n">
        <f aca="false">IF(U117&gt;=Settings!$C$8,1,0)</f>
        <v>0</v>
      </c>
      <c r="AA117" s="53" t="n">
        <f aca="false">IF(S117=1,IF(J117="Listed / Publicado",0,1),0)</f>
        <v>0</v>
      </c>
      <c r="AB117" s="53" t="n">
        <f aca="false">IF(T117=1,IF(ISNUMBER(L117),L117-G117,0),0)</f>
        <v>0</v>
      </c>
      <c r="AC117" s="53" t="n">
        <f aca="false">IF(S117=1,IF(ISNUMBER(I117),I117-G117,0),0)</f>
        <v>0</v>
      </c>
    </row>
    <row r="118" customFormat="false" ht="15" hidden="false" customHeight="false" outlineLevel="0" collapsed="false">
      <c r="B118" s="54"/>
      <c r="C118" s="55"/>
      <c r="D118" s="55"/>
      <c r="E118" s="55"/>
      <c r="F118" s="56"/>
      <c r="G118" s="57"/>
      <c r="H118" s="55"/>
      <c r="I118" s="57"/>
      <c r="J118" s="54"/>
      <c r="K118" s="56"/>
      <c r="L118" s="57"/>
      <c r="M118" s="54"/>
      <c r="N118" s="58" t="str">
        <f aca="false">IF(S118=1,IF(U118&lt;0,"",U118),IF(Y118=1,X118,""))</f>
        <v/>
      </c>
      <c r="O118" s="59" t="str">
        <f aca="false">IF(S118=1,IF(ISNUMBER(I118),I118-G118,""),"")</f>
        <v/>
      </c>
      <c r="P118" s="59" t="str">
        <f aca="false">IF(T118=1,IF(ISNUMBER(L118),L118-G118,""),"")</f>
        <v/>
      </c>
      <c r="Q118" s="60" t="str">
        <f aca="false">IF(C118="","",IF(T118=1,"✔ SOLD / VENDIDO",IF(S118=0,"— CLOSED / CERRADO",IF(U118&lt;0,"⚠ ADD DATE / AGREGA FECHA",IF(U118&gt;=Settings!$C$8,"⚠ STALE – REPRICE / ESTANCADO",IF(U118&gt;=Settings!$C$7,"● WATCH / VIGILAR","✔ FRESH / RECIENTE"))))))</f>
        <v/>
      </c>
      <c r="S118" s="53" t="n">
        <f aca="false">IF(C118="",0,IF(OR(J118="",J118="In Stock / En Inventario",J118="Listed / Publicado"),1,0))</f>
        <v>0</v>
      </c>
      <c r="T118" s="53" t="n">
        <f aca="false">IF(C118="",0,IF(J118="Sold / Vendido",1,0))</f>
        <v>0</v>
      </c>
      <c r="U118" s="53" t="n">
        <f aca="true">IF(S118=1,IF(ISNUMBER(F118),TODAY()-F118,-1),-1)</f>
        <v>-1</v>
      </c>
      <c r="V118" s="53" t="n">
        <f aca="false">IF(U118&lt;0,IF(S118=1,5,0),IF(U118&lt;=30,1,IF(U118&lt;=60,2,IF(U118&lt;=90,3,4))))</f>
        <v>0</v>
      </c>
      <c r="W118" s="53" t="n">
        <f aca="false">IF(U118&lt;0,-1000000000000000,U118+ROW()/1000000)</f>
        <v>-1000000000000000</v>
      </c>
      <c r="X118" s="53" t="n">
        <f aca="false">IF(T118=1,IF(AND(ISNUMBER(F118),ISNUMBER(K118)),K118-F118,0),0)</f>
        <v>0</v>
      </c>
      <c r="Y118" s="53" t="n">
        <f aca="false">IF(T118=1,IF(AND(ISNUMBER(F118),ISNUMBER(K118)),1,0),0)</f>
        <v>0</v>
      </c>
      <c r="Z118" s="53" t="n">
        <f aca="false">IF(U118&gt;=Settings!$C$8,1,0)</f>
        <v>0</v>
      </c>
      <c r="AA118" s="53" t="n">
        <f aca="false">IF(S118=1,IF(J118="Listed / Publicado",0,1),0)</f>
        <v>0</v>
      </c>
      <c r="AB118" s="53" t="n">
        <f aca="false">IF(T118=1,IF(ISNUMBER(L118),L118-G118,0),0)</f>
        <v>0</v>
      </c>
      <c r="AC118" s="53" t="n">
        <f aca="false">IF(S118=1,IF(ISNUMBER(I118),I118-G118,0),0)</f>
        <v>0</v>
      </c>
    </row>
    <row r="119" customFormat="false" ht="15" hidden="false" customHeight="false" outlineLevel="0" collapsed="false">
      <c r="B119" s="54"/>
      <c r="C119" s="55"/>
      <c r="D119" s="55"/>
      <c r="E119" s="55"/>
      <c r="F119" s="56"/>
      <c r="G119" s="57"/>
      <c r="H119" s="55"/>
      <c r="I119" s="57"/>
      <c r="J119" s="54"/>
      <c r="K119" s="56"/>
      <c r="L119" s="57"/>
      <c r="M119" s="54"/>
      <c r="N119" s="58" t="str">
        <f aca="false">IF(S119=1,IF(U119&lt;0,"",U119),IF(Y119=1,X119,""))</f>
        <v/>
      </c>
      <c r="O119" s="59" t="str">
        <f aca="false">IF(S119=1,IF(ISNUMBER(I119),I119-G119,""),"")</f>
        <v/>
      </c>
      <c r="P119" s="59" t="str">
        <f aca="false">IF(T119=1,IF(ISNUMBER(L119),L119-G119,""),"")</f>
        <v/>
      </c>
      <c r="Q119" s="60" t="str">
        <f aca="false">IF(C119="","",IF(T119=1,"✔ SOLD / VENDIDO",IF(S119=0,"— CLOSED / CERRADO",IF(U119&lt;0,"⚠ ADD DATE / AGREGA FECHA",IF(U119&gt;=Settings!$C$8,"⚠ STALE – REPRICE / ESTANCADO",IF(U119&gt;=Settings!$C$7,"● WATCH / VIGILAR","✔ FRESH / RECIENTE"))))))</f>
        <v/>
      </c>
      <c r="S119" s="53" t="n">
        <f aca="false">IF(C119="",0,IF(OR(J119="",J119="In Stock / En Inventario",J119="Listed / Publicado"),1,0))</f>
        <v>0</v>
      </c>
      <c r="T119" s="53" t="n">
        <f aca="false">IF(C119="",0,IF(J119="Sold / Vendido",1,0))</f>
        <v>0</v>
      </c>
      <c r="U119" s="53" t="n">
        <f aca="true">IF(S119=1,IF(ISNUMBER(F119),TODAY()-F119,-1),-1)</f>
        <v>-1</v>
      </c>
      <c r="V119" s="53" t="n">
        <f aca="false">IF(U119&lt;0,IF(S119=1,5,0),IF(U119&lt;=30,1,IF(U119&lt;=60,2,IF(U119&lt;=90,3,4))))</f>
        <v>0</v>
      </c>
      <c r="W119" s="53" t="n">
        <f aca="false">IF(U119&lt;0,-1000000000000000,U119+ROW()/1000000)</f>
        <v>-1000000000000000</v>
      </c>
      <c r="X119" s="53" t="n">
        <f aca="false">IF(T119=1,IF(AND(ISNUMBER(F119),ISNUMBER(K119)),K119-F119,0),0)</f>
        <v>0</v>
      </c>
      <c r="Y119" s="53" t="n">
        <f aca="false">IF(T119=1,IF(AND(ISNUMBER(F119),ISNUMBER(K119)),1,0),0)</f>
        <v>0</v>
      </c>
      <c r="Z119" s="53" t="n">
        <f aca="false">IF(U119&gt;=Settings!$C$8,1,0)</f>
        <v>0</v>
      </c>
      <c r="AA119" s="53" t="n">
        <f aca="false">IF(S119=1,IF(J119="Listed / Publicado",0,1),0)</f>
        <v>0</v>
      </c>
      <c r="AB119" s="53" t="n">
        <f aca="false">IF(T119=1,IF(ISNUMBER(L119),L119-G119,0),0)</f>
        <v>0</v>
      </c>
      <c r="AC119" s="53" t="n">
        <f aca="false">IF(S119=1,IF(ISNUMBER(I119),I119-G119,0),0)</f>
        <v>0</v>
      </c>
    </row>
    <row r="120" customFormat="false" ht="15" hidden="false" customHeight="false" outlineLevel="0" collapsed="false">
      <c r="B120" s="54"/>
      <c r="C120" s="55"/>
      <c r="D120" s="55"/>
      <c r="E120" s="55"/>
      <c r="F120" s="56"/>
      <c r="G120" s="57"/>
      <c r="H120" s="55"/>
      <c r="I120" s="57"/>
      <c r="J120" s="54"/>
      <c r="K120" s="56"/>
      <c r="L120" s="57"/>
      <c r="M120" s="54"/>
      <c r="N120" s="58" t="str">
        <f aca="false">IF(S120=1,IF(U120&lt;0,"",U120),IF(Y120=1,X120,""))</f>
        <v/>
      </c>
      <c r="O120" s="59" t="str">
        <f aca="false">IF(S120=1,IF(ISNUMBER(I120),I120-G120,""),"")</f>
        <v/>
      </c>
      <c r="P120" s="59" t="str">
        <f aca="false">IF(T120=1,IF(ISNUMBER(L120),L120-G120,""),"")</f>
        <v/>
      </c>
      <c r="Q120" s="60" t="str">
        <f aca="false">IF(C120="","",IF(T120=1,"✔ SOLD / VENDIDO",IF(S120=0,"— CLOSED / CERRADO",IF(U120&lt;0,"⚠ ADD DATE / AGREGA FECHA",IF(U120&gt;=Settings!$C$8,"⚠ STALE – REPRICE / ESTANCADO",IF(U120&gt;=Settings!$C$7,"● WATCH / VIGILAR","✔ FRESH / RECIENTE"))))))</f>
        <v/>
      </c>
      <c r="S120" s="53" t="n">
        <f aca="false">IF(C120="",0,IF(OR(J120="",J120="In Stock / En Inventario",J120="Listed / Publicado"),1,0))</f>
        <v>0</v>
      </c>
      <c r="T120" s="53" t="n">
        <f aca="false">IF(C120="",0,IF(J120="Sold / Vendido",1,0))</f>
        <v>0</v>
      </c>
      <c r="U120" s="53" t="n">
        <f aca="true">IF(S120=1,IF(ISNUMBER(F120),TODAY()-F120,-1),-1)</f>
        <v>-1</v>
      </c>
      <c r="V120" s="53" t="n">
        <f aca="false">IF(U120&lt;0,IF(S120=1,5,0),IF(U120&lt;=30,1,IF(U120&lt;=60,2,IF(U120&lt;=90,3,4))))</f>
        <v>0</v>
      </c>
      <c r="W120" s="53" t="n">
        <f aca="false">IF(U120&lt;0,-1000000000000000,U120+ROW()/1000000)</f>
        <v>-1000000000000000</v>
      </c>
      <c r="X120" s="53" t="n">
        <f aca="false">IF(T120=1,IF(AND(ISNUMBER(F120),ISNUMBER(K120)),K120-F120,0),0)</f>
        <v>0</v>
      </c>
      <c r="Y120" s="53" t="n">
        <f aca="false">IF(T120=1,IF(AND(ISNUMBER(F120),ISNUMBER(K120)),1,0),0)</f>
        <v>0</v>
      </c>
      <c r="Z120" s="53" t="n">
        <f aca="false">IF(U120&gt;=Settings!$C$8,1,0)</f>
        <v>0</v>
      </c>
      <c r="AA120" s="53" t="n">
        <f aca="false">IF(S120=1,IF(J120="Listed / Publicado",0,1),0)</f>
        <v>0</v>
      </c>
      <c r="AB120" s="53" t="n">
        <f aca="false">IF(T120=1,IF(ISNUMBER(L120),L120-G120,0),0)</f>
        <v>0</v>
      </c>
      <c r="AC120" s="53" t="n">
        <f aca="false">IF(S120=1,IF(ISNUMBER(I120),I120-G120,0),0)</f>
        <v>0</v>
      </c>
    </row>
    <row r="121" customFormat="false" ht="15" hidden="false" customHeight="false" outlineLevel="0" collapsed="false">
      <c r="B121" s="54"/>
      <c r="C121" s="55"/>
      <c r="D121" s="55"/>
      <c r="E121" s="55"/>
      <c r="F121" s="56"/>
      <c r="G121" s="57"/>
      <c r="H121" s="55"/>
      <c r="I121" s="57"/>
      <c r="J121" s="54"/>
      <c r="K121" s="56"/>
      <c r="L121" s="57"/>
      <c r="M121" s="54"/>
      <c r="N121" s="58" t="str">
        <f aca="false">IF(S121=1,IF(U121&lt;0,"",U121),IF(Y121=1,X121,""))</f>
        <v/>
      </c>
      <c r="O121" s="59" t="str">
        <f aca="false">IF(S121=1,IF(ISNUMBER(I121),I121-G121,""),"")</f>
        <v/>
      </c>
      <c r="P121" s="59" t="str">
        <f aca="false">IF(T121=1,IF(ISNUMBER(L121),L121-G121,""),"")</f>
        <v/>
      </c>
      <c r="Q121" s="60" t="str">
        <f aca="false">IF(C121="","",IF(T121=1,"✔ SOLD / VENDIDO",IF(S121=0,"— CLOSED / CERRADO",IF(U121&lt;0,"⚠ ADD DATE / AGREGA FECHA",IF(U121&gt;=Settings!$C$8,"⚠ STALE – REPRICE / ESTANCADO",IF(U121&gt;=Settings!$C$7,"● WATCH / VIGILAR","✔ FRESH / RECIENTE"))))))</f>
        <v/>
      </c>
      <c r="S121" s="53" t="n">
        <f aca="false">IF(C121="",0,IF(OR(J121="",J121="In Stock / En Inventario",J121="Listed / Publicado"),1,0))</f>
        <v>0</v>
      </c>
      <c r="T121" s="53" t="n">
        <f aca="false">IF(C121="",0,IF(J121="Sold / Vendido",1,0))</f>
        <v>0</v>
      </c>
      <c r="U121" s="53" t="n">
        <f aca="true">IF(S121=1,IF(ISNUMBER(F121),TODAY()-F121,-1),-1)</f>
        <v>-1</v>
      </c>
      <c r="V121" s="53" t="n">
        <f aca="false">IF(U121&lt;0,IF(S121=1,5,0),IF(U121&lt;=30,1,IF(U121&lt;=60,2,IF(U121&lt;=90,3,4))))</f>
        <v>0</v>
      </c>
      <c r="W121" s="53" t="n">
        <f aca="false">IF(U121&lt;0,-1000000000000000,U121+ROW()/1000000)</f>
        <v>-1000000000000000</v>
      </c>
      <c r="X121" s="53" t="n">
        <f aca="false">IF(T121=1,IF(AND(ISNUMBER(F121),ISNUMBER(K121)),K121-F121,0),0)</f>
        <v>0</v>
      </c>
      <c r="Y121" s="53" t="n">
        <f aca="false">IF(T121=1,IF(AND(ISNUMBER(F121),ISNUMBER(K121)),1,0),0)</f>
        <v>0</v>
      </c>
      <c r="Z121" s="53" t="n">
        <f aca="false">IF(U121&gt;=Settings!$C$8,1,0)</f>
        <v>0</v>
      </c>
      <c r="AA121" s="53" t="n">
        <f aca="false">IF(S121=1,IF(J121="Listed / Publicado",0,1),0)</f>
        <v>0</v>
      </c>
      <c r="AB121" s="53" t="n">
        <f aca="false">IF(T121=1,IF(ISNUMBER(L121),L121-G121,0),0)</f>
        <v>0</v>
      </c>
      <c r="AC121" s="53" t="n">
        <f aca="false">IF(S121=1,IF(ISNUMBER(I121),I121-G121,0),0)</f>
        <v>0</v>
      </c>
    </row>
    <row r="122" customFormat="false" ht="15" hidden="false" customHeight="false" outlineLevel="0" collapsed="false">
      <c r="B122" s="54"/>
      <c r="C122" s="55"/>
      <c r="D122" s="55"/>
      <c r="E122" s="55"/>
      <c r="F122" s="56"/>
      <c r="G122" s="57"/>
      <c r="H122" s="55"/>
      <c r="I122" s="57"/>
      <c r="J122" s="54"/>
      <c r="K122" s="56"/>
      <c r="L122" s="57"/>
      <c r="M122" s="54"/>
      <c r="N122" s="58" t="str">
        <f aca="false">IF(S122=1,IF(U122&lt;0,"",U122),IF(Y122=1,X122,""))</f>
        <v/>
      </c>
      <c r="O122" s="59" t="str">
        <f aca="false">IF(S122=1,IF(ISNUMBER(I122),I122-G122,""),"")</f>
        <v/>
      </c>
      <c r="P122" s="59" t="str">
        <f aca="false">IF(T122=1,IF(ISNUMBER(L122),L122-G122,""),"")</f>
        <v/>
      </c>
      <c r="Q122" s="60" t="str">
        <f aca="false">IF(C122="","",IF(T122=1,"✔ SOLD / VENDIDO",IF(S122=0,"— CLOSED / CERRADO",IF(U122&lt;0,"⚠ ADD DATE / AGREGA FECHA",IF(U122&gt;=Settings!$C$8,"⚠ STALE – REPRICE / ESTANCADO",IF(U122&gt;=Settings!$C$7,"● WATCH / VIGILAR","✔ FRESH / RECIENTE"))))))</f>
        <v/>
      </c>
      <c r="S122" s="53" t="n">
        <f aca="false">IF(C122="",0,IF(OR(J122="",J122="In Stock / En Inventario",J122="Listed / Publicado"),1,0))</f>
        <v>0</v>
      </c>
      <c r="T122" s="53" t="n">
        <f aca="false">IF(C122="",0,IF(J122="Sold / Vendido",1,0))</f>
        <v>0</v>
      </c>
      <c r="U122" s="53" t="n">
        <f aca="true">IF(S122=1,IF(ISNUMBER(F122),TODAY()-F122,-1),-1)</f>
        <v>-1</v>
      </c>
      <c r="V122" s="53" t="n">
        <f aca="false">IF(U122&lt;0,IF(S122=1,5,0),IF(U122&lt;=30,1,IF(U122&lt;=60,2,IF(U122&lt;=90,3,4))))</f>
        <v>0</v>
      </c>
      <c r="W122" s="53" t="n">
        <f aca="false">IF(U122&lt;0,-1000000000000000,U122+ROW()/1000000)</f>
        <v>-1000000000000000</v>
      </c>
      <c r="X122" s="53" t="n">
        <f aca="false">IF(T122=1,IF(AND(ISNUMBER(F122),ISNUMBER(K122)),K122-F122,0),0)</f>
        <v>0</v>
      </c>
      <c r="Y122" s="53" t="n">
        <f aca="false">IF(T122=1,IF(AND(ISNUMBER(F122),ISNUMBER(K122)),1,0),0)</f>
        <v>0</v>
      </c>
      <c r="Z122" s="53" t="n">
        <f aca="false">IF(U122&gt;=Settings!$C$8,1,0)</f>
        <v>0</v>
      </c>
      <c r="AA122" s="53" t="n">
        <f aca="false">IF(S122=1,IF(J122="Listed / Publicado",0,1),0)</f>
        <v>0</v>
      </c>
      <c r="AB122" s="53" t="n">
        <f aca="false">IF(T122=1,IF(ISNUMBER(L122),L122-G122,0),0)</f>
        <v>0</v>
      </c>
      <c r="AC122" s="53" t="n">
        <f aca="false">IF(S122=1,IF(ISNUMBER(I122),I122-G122,0),0)</f>
        <v>0</v>
      </c>
    </row>
    <row r="123" customFormat="false" ht="15" hidden="false" customHeight="false" outlineLevel="0" collapsed="false">
      <c r="B123" s="54"/>
      <c r="C123" s="55"/>
      <c r="D123" s="55"/>
      <c r="E123" s="55"/>
      <c r="F123" s="56"/>
      <c r="G123" s="57"/>
      <c r="H123" s="55"/>
      <c r="I123" s="57"/>
      <c r="J123" s="54"/>
      <c r="K123" s="56"/>
      <c r="L123" s="57"/>
      <c r="M123" s="54"/>
      <c r="N123" s="58" t="str">
        <f aca="false">IF(S123=1,IF(U123&lt;0,"",U123),IF(Y123=1,X123,""))</f>
        <v/>
      </c>
      <c r="O123" s="59" t="str">
        <f aca="false">IF(S123=1,IF(ISNUMBER(I123),I123-G123,""),"")</f>
        <v/>
      </c>
      <c r="P123" s="59" t="str">
        <f aca="false">IF(T123=1,IF(ISNUMBER(L123),L123-G123,""),"")</f>
        <v/>
      </c>
      <c r="Q123" s="60" t="str">
        <f aca="false">IF(C123="","",IF(T123=1,"✔ SOLD / VENDIDO",IF(S123=0,"— CLOSED / CERRADO",IF(U123&lt;0,"⚠ ADD DATE / AGREGA FECHA",IF(U123&gt;=Settings!$C$8,"⚠ STALE – REPRICE / ESTANCADO",IF(U123&gt;=Settings!$C$7,"● WATCH / VIGILAR","✔ FRESH / RECIENTE"))))))</f>
        <v/>
      </c>
      <c r="S123" s="53" t="n">
        <f aca="false">IF(C123="",0,IF(OR(J123="",J123="In Stock / En Inventario",J123="Listed / Publicado"),1,0))</f>
        <v>0</v>
      </c>
      <c r="T123" s="53" t="n">
        <f aca="false">IF(C123="",0,IF(J123="Sold / Vendido",1,0))</f>
        <v>0</v>
      </c>
      <c r="U123" s="53" t="n">
        <f aca="true">IF(S123=1,IF(ISNUMBER(F123),TODAY()-F123,-1),-1)</f>
        <v>-1</v>
      </c>
      <c r="V123" s="53" t="n">
        <f aca="false">IF(U123&lt;0,IF(S123=1,5,0),IF(U123&lt;=30,1,IF(U123&lt;=60,2,IF(U123&lt;=90,3,4))))</f>
        <v>0</v>
      </c>
      <c r="W123" s="53" t="n">
        <f aca="false">IF(U123&lt;0,-1000000000000000,U123+ROW()/1000000)</f>
        <v>-1000000000000000</v>
      </c>
      <c r="X123" s="53" t="n">
        <f aca="false">IF(T123=1,IF(AND(ISNUMBER(F123),ISNUMBER(K123)),K123-F123,0),0)</f>
        <v>0</v>
      </c>
      <c r="Y123" s="53" t="n">
        <f aca="false">IF(T123=1,IF(AND(ISNUMBER(F123),ISNUMBER(K123)),1,0),0)</f>
        <v>0</v>
      </c>
      <c r="Z123" s="53" t="n">
        <f aca="false">IF(U123&gt;=Settings!$C$8,1,0)</f>
        <v>0</v>
      </c>
      <c r="AA123" s="53" t="n">
        <f aca="false">IF(S123=1,IF(J123="Listed / Publicado",0,1),0)</f>
        <v>0</v>
      </c>
      <c r="AB123" s="53" t="n">
        <f aca="false">IF(T123=1,IF(ISNUMBER(L123),L123-G123,0),0)</f>
        <v>0</v>
      </c>
      <c r="AC123" s="53" t="n">
        <f aca="false">IF(S123=1,IF(ISNUMBER(I123),I123-G123,0),0)</f>
        <v>0</v>
      </c>
    </row>
    <row r="124" customFormat="false" ht="15" hidden="false" customHeight="false" outlineLevel="0" collapsed="false">
      <c r="B124" s="54"/>
      <c r="C124" s="55"/>
      <c r="D124" s="55"/>
      <c r="E124" s="55"/>
      <c r="F124" s="56"/>
      <c r="G124" s="57"/>
      <c r="H124" s="55"/>
      <c r="I124" s="57"/>
      <c r="J124" s="54"/>
      <c r="K124" s="56"/>
      <c r="L124" s="57"/>
      <c r="M124" s="54"/>
      <c r="N124" s="58" t="str">
        <f aca="false">IF(S124=1,IF(U124&lt;0,"",U124),IF(Y124=1,X124,""))</f>
        <v/>
      </c>
      <c r="O124" s="59" t="str">
        <f aca="false">IF(S124=1,IF(ISNUMBER(I124),I124-G124,""),"")</f>
        <v/>
      </c>
      <c r="P124" s="59" t="str">
        <f aca="false">IF(T124=1,IF(ISNUMBER(L124),L124-G124,""),"")</f>
        <v/>
      </c>
      <c r="Q124" s="60" t="str">
        <f aca="false">IF(C124="","",IF(T124=1,"✔ SOLD / VENDIDO",IF(S124=0,"— CLOSED / CERRADO",IF(U124&lt;0,"⚠ ADD DATE / AGREGA FECHA",IF(U124&gt;=Settings!$C$8,"⚠ STALE – REPRICE / ESTANCADO",IF(U124&gt;=Settings!$C$7,"● WATCH / VIGILAR","✔ FRESH / RECIENTE"))))))</f>
        <v/>
      </c>
      <c r="S124" s="53" t="n">
        <f aca="false">IF(C124="",0,IF(OR(J124="",J124="In Stock / En Inventario",J124="Listed / Publicado"),1,0))</f>
        <v>0</v>
      </c>
      <c r="T124" s="53" t="n">
        <f aca="false">IF(C124="",0,IF(J124="Sold / Vendido",1,0))</f>
        <v>0</v>
      </c>
      <c r="U124" s="53" t="n">
        <f aca="true">IF(S124=1,IF(ISNUMBER(F124),TODAY()-F124,-1),-1)</f>
        <v>-1</v>
      </c>
      <c r="V124" s="53" t="n">
        <f aca="false">IF(U124&lt;0,IF(S124=1,5,0),IF(U124&lt;=30,1,IF(U124&lt;=60,2,IF(U124&lt;=90,3,4))))</f>
        <v>0</v>
      </c>
      <c r="W124" s="53" t="n">
        <f aca="false">IF(U124&lt;0,-1000000000000000,U124+ROW()/1000000)</f>
        <v>-1000000000000000</v>
      </c>
      <c r="X124" s="53" t="n">
        <f aca="false">IF(T124=1,IF(AND(ISNUMBER(F124),ISNUMBER(K124)),K124-F124,0),0)</f>
        <v>0</v>
      </c>
      <c r="Y124" s="53" t="n">
        <f aca="false">IF(T124=1,IF(AND(ISNUMBER(F124),ISNUMBER(K124)),1,0),0)</f>
        <v>0</v>
      </c>
      <c r="Z124" s="53" t="n">
        <f aca="false">IF(U124&gt;=Settings!$C$8,1,0)</f>
        <v>0</v>
      </c>
      <c r="AA124" s="53" t="n">
        <f aca="false">IF(S124=1,IF(J124="Listed / Publicado",0,1),0)</f>
        <v>0</v>
      </c>
      <c r="AB124" s="53" t="n">
        <f aca="false">IF(T124=1,IF(ISNUMBER(L124),L124-G124,0),0)</f>
        <v>0</v>
      </c>
      <c r="AC124" s="53" t="n">
        <f aca="false">IF(S124=1,IF(ISNUMBER(I124),I124-G124,0),0)</f>
        <v>0</v>
      </c>
    </row>
    <row r="125" customFormat="false" ht="15" hidden="false" customHeight="false" outlineLevel="0" collapsed="false">
      <c r="B125" s="54"/>
      <c r="C125" s="55"/>
      <c r="D125" s="55"/>
      <c r="E125" s="55"/>
      <c r="F125" s="56"/>
      <c r="G125" s="57"/>
      <c r="H125" s="55"/>
      <c r="I125" s="57"/>
      <c r="J125" s="54"/>
      <c r="K125" s="56"/>
      <c r="L125" s="57"/>
      <c r="M125" s="54"/>
      <c r="N125" s="58" t="str">
        <f aca="false">IF(S125=1,IF(U125&lt;0,"",U125),IF(Y125=1,X125,""))</f>
        <v/>
      </c>
      <c r="O125" s="59" t="str">
        <f aca="false">IF(S125=1,IF(ISNUMBER(I125),I125-G125,""),"")</f>
        <v/>
      </c>
      <c r="P125" s="59" t="str">
        <f aca="false">IF(T125=1,IF(ISNUMBER(L125),L125-G125,""),"")</f>
        <v/>
      </c>
      <c r="Q125" s="60" t="str">
        <f aca="false">IF(C125="","",IF(T125=1,"✔ SOLD / VENDIDO",IF(S125=0,"— CLOSED / CERRADO",IF(U125&lt;0,"⚠ ADD DATE / AGREGA FECHA",IF(U125&gt;=Settings!$C$8,"⚠ STALE – REPRICE / ESTANCADO",IF(U125&gt;=Settings!$C$7,"● WATCH / VIGILAR","✔ FRESH / RECIENTE"))))))</f>
        <v/>
      </c>
      <c r="S125" s="53" t="n">
        <f aca="false">IF(C125="",0,IF(OR(J125="",J125="In Stock / En Inventario",J125="Listed / Publicado"),1,0))</f>
        <v>0</v>
      </c>
      <c r="T125" s="53" t="n">
        <f aca="false">IF(C125="",0,IF(J125="Sold / Vendido",1,0))</f>
        <v>0</v>
      </c>
      <c r="U125" s="53" t="n">
        <f aca="true">IF(S125=1,IF(ISNUMBER(F125),TODAY()-F125,-1),-1)</f>
        <v>-1</v>
      </c>
      <c r="V125" s="53" t="n">
        <f aca="false">IF(U125&lt;0,IF(S125=1,5,0),IF(U125&lt;=30,1,IF(U125&lt;=60,2,IF(U125&lt;=90,3,4))))</f>
        <v>0</v>
      </c>
      <c r="W125" s="53" t="n">
        <f aca="false">IF(U125&lt;0,-1000000000000000,U125+ROW()/1000000)</f>
        <v>-1000000000000000</v>
      </c>
      <c r="X125" s="53" t="n">
        <f aca="false">IF(T125=1,IF(AND(ISNUMBER(F125),ISNUMBER(K125)),K125-F125,0),0)</f>
        <v>0</v>
      </c>
      <c r="Y125" s="53" t="n">
        <f aca="false">IF(T125=1,IF(AND(ISNUMBER(F125),ISNUMBER(K125)),1,0),0)</f>
        <v>0</v>
      </c>
      <c r="Z125" s="53" t="n">
        <f aca="false">IF(U125&gt;=Settings!$C$8,1,0)</f>
        <v>0</v>
      </c>
      <c r="AA125" s="53" t="n">
        <f aca="false">IF(S125=1,IF(J125="Listed / Publicado",0,1),0)</f>
        <v>0</v>
      </c>
      <c r="AB125" s="53" t="n">
        <f aca="false">IF(T125=1,IF(ISNUMBER(L125),L125-G125,0),0)</f>
        <v>0</v>
      </c>
      <c r="AC125" s="53" t="n">
        <f aca="false">IF(S125=1,IF(ISNUMBER(I125),I125-G125,0),0)</f>
        <v>0</v>
      </c>
    </row>
    <row r="126" customFormat="false" ht="15" hidden="false" customHeight="false" outlineLevel="0" collapsed="false">
      <c r="B126" s="54"/>
      <c r="C126" s="55"/>
      <c r="D126" s="55"/>
      <c r="E126" s="55"/>
      <c r="F126" s="56"/>
      <c r="G126" s="57"/>
      <c r="H126" s="55"/>
      <c r="I126" s="57"/>
      <c r="J126" s="54"/>
      <c r="K126" s="56"/>
      <c r="L126" s="57"/>
      <c r="M126" s="54"/>
      <c r="N126" s="58" t="str">
        <f aca="false">IF(S126=1,IF(U126&lt;0,"",U126),IF(Y126=1,X126,""))</f>
        <v/>
      </c>
      <c r="O126" s="59" t="str">
        <f aca="false">IF(S126=1,IF(ISNUMBER(I126),I126-G126,""),"")</f>
        <v/>
      </c>
      <c r="P126" s="59" t="str">
        <f aca="false">IF(T126=1,IF(ISNUMBER(L126),L126-G126,""),"")</f>
        <v/>
      </c>
      <c r="Q126" s="60" t="str">
        <f aca="false">IF(C126="","",IF(T126=1,"✔ SOLD / VENDIDO",IF(S126=0,"— CLOSED / CERRADO",IF(U126&lt;0,"⚠ ADD DATE / AGREGA FECHA",IF(U126&gt;=Settings!$C$8,"⚠ STALE – REPRICE / ESTANCADO",IF(U126&gt;=Settings!$C$7,"● WATCH / VIGILAR","✔ FRESH / RECIENTE"))))))</f>
        <v/>
      </c>
      <c r="S126" s="53" t="n">
        <f aca="false">IF(C126="",0,IF(OR(J126="",J126="In Stock / En Inventario",J126="Listed / Publicado"),1,0))</f>
        <v>0</v>
      </c>
      <c r="T126" s="53" t="n">
        <f aca="false">IF(C126="",0,IF(J126="Sold / Vendido",1,0))</f>
        <v>0</v>
      </c>
      <c r="U126" s="53" t="n">
        <f aca="true">IF(S126=1,IF(ISNUMBER(F126),TODAY()-F126,-1),-1)</f>
        <v>-1</v>
      </c>
      <c r="V126" s="53" t="n">
        <f aca="false">IF(U126&lt;0,IF(S126=1,5,0),IF(U126&lt;=30,1,IF(U126&lt;=60,2,IF(U126&lt;=90,3,4))))</f>
        <v>0</v>
      </c>
      <c r="W126" s="53" t="n">
        <f aca="false">IF(U126&lt;0,-1000000000000000,U126+ROW()/1000000)</f>
        <v>-1000000000000000</v>
      </c>
      <c r="X126" s="53" t="n">
        <f aca="false">IF(T126=1,IF(AND(ISNUMBER(F126),ISNUMBER(K126)),K126-F126,0),0)</f>
        <v>0</v>
      </c>
      <c r="Y126" s="53" t="n">
        <f aca="false">IF(T126=1,IF(AND(ISNUMBER(F126),ISNUMBER(K126)),1,0),0)</f>
        <v>0</v>
      </c>
      <c r="Z126" s="53" t="n">
        <f aca="false">IF(U126&gt;=Settings!$C$8,1,0)</f>
        <v>0</v>
      </c>
      <c r="AA126" s="53" t="n">
        <f aca="false">IF(S126=1,IF(J126="Listed / Publicado",0,1),0)</f>
        <v>0</v>
      </c>
      <c r="AB126" s="53" t="n">
        <f aca="false">IF(T126=1,IF(ISNUMBER(L126),L126-G126,0),0)</f>
        <v>0</v>
      </c>
      <c r="AC126" s="53" t="n">
        <f aca="false">IF(S126=1,IF(ISNUMBER(I126),I126-G126,0),0)</f>
        <v>0</v>
      </c>
    </row>
    <row r="127" customFormat="false" ht="15" hidden="false" customHeight="false" outlineLevel="0" collapsed="false">
      <c r="B127" s="54"/>
      <c r="C127" s="55"/>
      <c r="D127" s="55"/>
      <c r="E127" s="55"/>
      <c r="F127" s="56"/>
      <c r="G127" s="57"/>
      <c r="H127" s="55"/>
      <c r="I127" s="57"/>
      <c r="J127" s="54"/>
      <c r="K127" s="56"/>
      <c r="L127" s="57"/>
      <c r="M127" s="54"/>
      <c r="N127" s="58" t="str">
        <f aca="false">IF(S127=1,IF(U127&lt;0,"",U127),IF(Y127=1,X127,""))</f>
        <v/>
      </c>
      <c r="O127" s="59" t="str">
        <f aca="false">IF(S127=1,IF(ISNUMBER(I127),I127-G127,""),"")</f>
        <v/>
      </c>
      <c r="P127" s="59" t="str">
        <f aca="false">IF(T127=1,IF(ISNUMBER(L127),L127-G127,""),"")</f>
        <v/>
      </c>
      <c r="Q127" s="60" t="str">
        <f aca="false">IF(C127="","",IF(T127=1,"✔ SOLD / VENDIDO",IF(S127=0,"— CLOSED / CERRADO",IF(U127&lt;0,"⚠ ADD DATE / AGREGA FECHA",IF(U127&gt;=Settings!$C$8,"⚠ STALE – REPRICE / ESTANCADO",IF(U127&gt;=Settings!$C$7,"● WATCH / VIGILAR","✔ FRESH / RECIENTE"))))))</f>
        <v/>
      </c>
      <c r="S127" s="53" t="n">
        <f aca="false">IF(C127="",0,IF(OR(J127="",J127="In Stock / En Inventario",J127="Listed / Publicado"),1,0))</f>
        <v>0</v>
      </c>
      <c r="T127" s="53" t="n">
        <f aca="false">IF(C127="",0,IF(J127="Sold / Vendido",1,0))</f>
        <v>0</v>
      </c>
      <c r="U127" s="53" t="n">
        <f aca="true">IF(S127=1,IF(ISNUMBER(F127),TODAY()-F127,-1),-1)</f>
        <v>-1</v>
      </c>
      <c r="V127" s="53" t="n">
        <f aca="false">IF(U127&lt;0,IF(S127=1,5,0),IF(U127&lt;=30,1,IF(U127&lt;=60,2,IF(U127&lt;=90,3,4))))</f>
        <v>0</v>
      </c>
      <c r="W127" s="53" t="n">
        <f aca="false">IF(U127&lt;0,-1000000000000000,U127+ROW()/1000000)</f>
        <v>-1000000000000000</v>
      </c>
      <c r="X127" s="53" t="n">
        <f aca="false">IF(T127=1,IF(AND(ISNUMBER(F127),ISNUMBER(K127)),K127-F127,0),0)</f>
        <v>0</v>
      </c>
      <c r="Y127" s="53" t="n">
        <f aca="false">IF(T127=1,IF(AND(ISNUMBER(F127),ISNUMBER(K127)),1,0),0)</f>
        <v>0</v>
      </c>
      <c r="Z127" s="53" t="n">
        <f aca="false">IF(U127&gt;=Settings!$C$8,1,0)</f>
        <v>0</v>
      </c>
      <c r="AA127" s="53" t="n">
        <f aca="false">IF(S127=1,IF(J127="Listed / Publicado",0,1),0)</f>
        <v>0</v>
      </c>
      <c r="AB127" s="53" t="n">
        <f aca="false">IF(T127=1,IF(ISNUMBER(L127),L127-G127,0),0)</f>
        <v>0</v>
      </c>
      <c r="AC127" s="53" t="n">
        <f aca="false">IF(S127=1,IF(ISNUMBER(I127),I127-G127,0),0)</f>
        <v>0</v>
      </c>
    </row>
    <row r="128" customFormat="false" ht="15" hidden="false" customHeight="false" outlineLevel="0" collapsed="false">
      <c r="B128" s="54"/>
      <c r="C128" s="55"/>
      <c r="D128" s="55"/>
      <c r="E128" s="55"/>
      <c r="F128" s="56"/>
      <c r="G128" s="57"/>
      <c r="H128" s="55"/>
      <c r="I128" s="57"/>
      <c r="J128" s="54"/>
      <c r="K128" s="56"/>
      <c r="L128" s="57"/>
      <c r="M128" s="54"/>
      <c r="N128" s="58" t="str">
        <f aca="false">IF(S128=1,IF(U128&lt;0,"",U128),IF(Y128=1,X128,""))</f>
        <v/>
      </c>
      <c r="O128" s="59" t="str">
        <f aca="false">IF(S128=1,IF(ISNUMBER(I128),I128-G128,""),"")</f>
        <v/>
      </c>
      <c r="P128" s="59" t="str">
        <f aca="false">IF(T128=1,IF(ISNUMBER(L128),L128-G128,""),"")</f>
        <v/>
      </c>
      <c r="Q128" s="60" t="str">
        <f aca="false">IF(C128="","",IF(T128=1,"✔ SOLD / VENDIDO",IF(S128=0,"— CLOSED / CERRADO",IF(U128&lt;0,"⚠ ADD DATE / AGREGA FECHA",IF(U128&gt;=Settings!$C$8,"⚠ STALE – REPRICE / ESTANCADO",IF(U128&gt;=Settings!$C$7,"● WATCH / VIGILAR","✔ FRESH / RECIENTE"))))))</f>
        <v/>
      </c>
      <c r="S128" s="53" t="n">
        <f aca="false">IF(C128="",0,IF(OR(J128="",J128="In Stock / En Inventario",J128="Listed / Publicado"),1,0))</f>
        <v>0</v>
      </c>
      <c r="T128" s="53" t="n">
        <f aca="false">IF(C128="",0,IF(J128="Sold / Vendido",1,0))</f>
        <v>0</v>
      </c>
      <c r="U128" s="53" t="n">
        <f aca="true">IF(S128=1,IF(ISNUMBER(F128),TODAY()-F128,-1),-1)</f>
        <v>-1</v>
      </c>
      <c r="V128" s="53" t="n">
        <f aca="false">IF(U128&lt;0,IF(S128=1,5,0),IF(U128&lt;=30,1,IF(U128&lt;=60,2,IF(U128&lt;=90,3,4))))</f>
        <v>0</v>
      </c>
      <c r="W128" s="53" t="n">
        <f aca="false">IF(U128&lt;0,-1000000000000000,U128+ROW()/1000000)</f>
        <v>-1000000000000000</v>
      </c>
      <c r="X128" s="53" t="n">
        <f aca="false">IF(T128=1,IF(AND(ISNUMBER(F128),ISNUMBER(K128)),K128-F128,0),0)</f>
        <v>0</v>
      </c>
      <c r="Y128" s="53" t="n">
        <f aca="false">IF(T128=1,IF(AND(ISNUMBER(F128),ISNUMBER(K128)),1,0),0)</f>
        <v>0</v>
      </c>
      <c r="Z128" s="53" t="n">
        <f aca="false">IF(U128&gt;=Settings!$C$8,1,0)</f>
        <v>0</v>
      </c>
      <c r="AA128" s="53" t="n">
        <f aca="false">IF(S128=1,IF(J128="Listed / Publicado",0,1),0)</f>
        <v>0</v>
      </c>
      <c r="AB128" s="53" t="n">
        <f aca="false">IF(T128=1,IF(ISNUMBER(L128),L128-G128,0),0)</f>
        <v>0</v>
      </c>
      <c r="AC128" s="53" t="n">
        <f aca="false">IF(S128=1,IF(ISNUMBER(I128),I128-G128,0),0)</f>
        <v>0</v>
      </c>
    </row>
    <row r="129" customFormat="false" ht="15" hidden="false" customHeight="false" outlineLevel="0" collapsed="false">
      <c r="B129" s="54"/>
      <c r="C129" s="55"/>
      <c r="D129" s="55"/>
      <c r="E129" s="55"/>
      <c r="F129" s="56"/>
      <c r="G129" s="57"/>
      <c r="H129" s="55"/>
      <c r="I129" s="57"/>
      <c r="J129" s="54"/>
      <c r="K129" s="56"/>
      <c r="L129" s="57"/>
      <c r="M129" s="54"/>
      <c r="N129" s="58" t="str">
        <f aca="false">IF(S129=1,IF(U129&lt;0,"",U129),IF(Y129=1,X129,""))</f>
        <v/>
      </c>
      <c r="O129" s="59" t="str">
        <f aca="false">IF(S129=1,IF(ISNUMBER(I129),I129-G129,""),"")</f>
        <v/>
      </c>
      <c r="P129" s="59" t="str">
        <f aca="false">IF(T129=1,IF(ISNUMBER(L129),L129-G129,""),"")</f>
        <v/>
      </c>
      <c r="Q129" s="60" t="str">
        <f aca="false">IF(C129="","",IF(T129=1,"✔ SOLD / VENDIDO",IF(S129=0,"— CLOSED / CERRADO",IF(U129&lt;0,"⚠ ADD DATE / AGREGA FECHA",IF(U129&gt;=Settings!$C$8,"⚠ STALE – REPRICE / ESTANCADO",IF(U129&gt;=Settings!$C$7,"● WATCH / VIGILAR","✔ FRESH / RECIENTE"))))))</f>
        <v/>
      </c>
      <c r="S129" s="53" t="n">
        <f aca="false">IF(C129="",0,IF(OR(J129="",J129="In Stock / En Inventario",J129="Listed / Publicado"),1,0))</f>
        <v>0</v>
      </c>
      <c r="T129" s="53" t="n">
        <f aca="false">IF(C129="",0,IF(J129="Sold / Vendido",1,0))</f>
        <v>0</v>
      </c>
      <c r="U129" s="53" t="n">
        <f aca="true">IF(S129=1,IF(ISNUMBER(F129),TODAY()-F129,-1),-1)</f>
        <v>-1</v>
      </c>
      <c r="V129" s="53" t="n">
        <f aca="false">IF(U129&lt;0,IF(S129=1,5,0),IF(U129&lt;=30,1,IF(U129&lt;=60,2,IF(U129&lt;=90,3,4))))</f>
        <v>0</v>
      </c>
      <c r="W129" s="53" t="n">
        <f aca="false">IF(U129&lt;0,-1000000000000000,U129+ROW()/1000000)</f>
        <v>-1000000000000000</v>
      </c>
      <c r="X129" s="53" t="n">
        <f aca="false">IF(T129=1,IF(AND(ISNUMBER(F129),ISNUMBER(K129)),K129-F129,0),0)</f>
        <v>0</v>
      </c>
      <c r="Y129" s="53" t="n">
        <f aca="false">IF(T129=1,IF(AND(ISNUMBER(F129),ISNUMBER(K129)),1,0),0)</f>
        <v>0</v>
      </c>
      <c r="Z129" s="53" t="n">
        <f aca="false">IF(U129&gt;=Settings!$C$8,1,0)</f>
        <v>0</v>
      </c>
      <c r="AA129" s="53" t="n">
        <f aca="false">IF(S129=1,IF(J129="Listed / Publicado",0,1),0)</f>
        <v>0</v>
      </c>
      <c r="AB129" s="53" t="n">
        <f aca="false">IF(T129=1,IF(ISNUMBER(L129),L129-G129,0),0)</f>
        <v>0</v>
      </c>
      <c r="AC129" s="53" t="n">
        <f aca="false">IF(S129=1,IF(ISNUMBER(I129),I129-G129,0),0)</f>
        <v>0</v>
      </c>
    </row>
    <row r="130" customFormat="false" ht="15" hidden="false" customHeight="false" outlineLevel="0" collapsed="false">
      <c r="B130" s="54"/>
      <c r="C130" s="55"/>
      <c r="D130" s="55"/>
      <c r="E130" s="55"/>
      <c r="F130" s="56"/>
      <c r="G130" s="57"/>
      <c r="H130" s="55"/>
      <c r="I130" s="57"/>
      <c r="J130" s="54"/>
      <c r="K130" s="56"/>
      <c r="L130" s="57"/>
      <c r="M130" s="54"/>
      <c r="N130" s="58" t="str">
        <f aca="false">IF(S130=1,IF(U130&lt;0,"",U130),IF(Y130=1,X130,""))</f>
        <v/>
      </c>
      <c r="O130" s="59" t="str">
        <f aca="false">IF(S130=1,IF(ISNUMBER(I130),I130-G130,""),"")</f>
        <v/>
      </c>
      <c r="P130" s="59" t="str">
        <f aca="false">IF(T130=1,IF(ISNUMBER(L130),L130-G130,""),"")</f>
        <v/>
      </c>
      <c r="Q130" s="60" t="str">
        <f aca="false">IF(C130="","",IF(T130=1,"✔ SOLD / VENDIDO",IF(S130=0,"— CLOSED / CERRADO",IF(U130&lt;0,"⚠ ADD DATE / AGREGA FECHA",IF(U130&gt;=Settings!$C$8,"⚠ STALE – REPRICE / ESTANCADO",IF(U130&gt;=Settings!$C$7,"● WATCH / VIGILAR","✔ FRESH / RECIENTE"))))))</f>
        <v/>
      </c>
      <c r="S130" s="53" t="n">
        <f aca="false">IF(C130="",0,IF(OR(J130="",J130="In Stock / En Inventario",J130="Listed / Publicado"),1,0))</f>
        <v>0</v>
      </c>
      <c r="T130" s="53" t="n">
        <f aca="false">IF(C130="",0,IF(J130="Sold / Vendido",1,0))</f>
        <v>0</v>
      </c>
      <c r="U130" s="53" t="n">
        <f aca="true">IF(S130=1,IF(ISNUMBER(F130),TODAY()-F130,-1),-1)</f>
        <v>-1</v>
      </c>
      <c r="V130" s="53" t="n">
        <f aca="false">IF(U130&lt;0,IF(S130=1,5,0),IF(U130&lt;=30,1,IF(U130&lt;=60,2,IF(U130&lt;=90,3,4))))</f>
        <v>0</v>
      </c>
      <c r="W130" s="53" t="n">
        <f aca="false">IF(U130&lt;0,-1000000000000000,U130+ROW()/1000000)</f>
        <v>-1000000000000000</v>
      </c>
      <c r="X130" s="53" t="n">
        <f aca="false">IF(T130=1,IF(AND(ISNUMBER(F130),ISNUMBER(K130)),K130-F130,0),0)</f>
        <v>0</v>
      </c>
      <c r="Y130" s="53" t="n">
        <f aca="false">IF(T130=1,IF(AND(ISNUMBER(F130),ISNUMBER(K130)),1,0),0)</f>
        <v>0</v>
      </c>
      <c r="Z130" s="53" t="n">
        <f aca="false">IF(U130&gt;=Settings!$C$8,1,0)</f>
        <v>0</v>
      </c>
      <c r="AA130" s="53" t="n">
        <f aca="false">IF(S130=1,IF(J130="Listed / Publicado",0,1),0)</f>
        <v>0</v>
      </c>
      <c r="AB130" s="53" t="n">
        <f aca="false">IF(T130=1,IF(ISNUMBER(L130),L130-G130,0),0)</f>
        <v>0</v>
      </c>
      <c r="AC130" s="53" t="n">
        <f aca="false">IF(S130=1,IF(ISNUMBER(I130),I130-G130,0),0)</f>
        <v>0</v>
      </c>
    </row>
    <row r="131" customFormat="false" ht="15" hidden="false" customHeight="false" outlineLevel="0" collapsed="false">
      <c r="B131" s="54"/>
      <c r="C131" s="55"/>
      <c r="D131" s="55"/>
      <c r="E131" s="55"/>
      <c r="F131" s="56"/>
      <c r="G131" s="57"/>
      <c r="H131" s="55"/>
      <c r="I131" s="57"/>
      <c r="J131" s="54"/>
      <c r="K131" s="56"/>
      <c r="L131" s="57"/>
      <c r="M131" s="54"/>
      <c r="N131" s="58" t="str">
        <f aca="false">IF(S131=1,IF(U131&lt;0,"",U131),IF(Y131=1,X131,""))</f>
        <v/>
      </c>
      <c r="O131" s="59" t="str">
        <f aca="false">IF(S131=1,IF(ISNUMBER(I131),I131-G131,""),"")</f>
        <v/>
      </c>
      <c r="P131" s="59" t="str">
        <f aca="false">IF(T131=1,IF(ISNUMBER(L131),L131-G131,""),"")</f>
        <v/>
      </c>
      <c r="Q131" s="60" t="str">
        <f aca="false">IF(C131="","",IF(T131=1,"✔ SOLD / VENDIDO",IF(S131=0,"— CLOSED / CERRADO",IF(U131&lt;0,"⚠ ADD DATE / AGREGA FECHA",IF(U131&gt;=Settings!$C$8,"⚠ STALE – REPRICE / ESTANCADO",IF(U131&gt;=Settings!$C$7,"● WATCH / VIGILAR","✔ FRESH / RECIENTE"))))))</f>
        <v/>
      </c>
      <c r="S131" s="53" t="n">
        <f aca="false">IF(C131="",0,IF(OR(J131="",J131="In Stock / En Inventario",J131="Listed / Publicado"),1,0))</f>
        <v>0</v>
      </c>
      <c r="T131" s="53" t="n">
        <f aca="false">IF(C131="",0,IF(J131="Sold / Vendido",1,0))</f>
        <v>0</v>
      </c>
      <c r="U131" s="53" t="n">
        <f aca="true">IF(S131=1,IF(ISNUMBER(F131),TODAY()-F131,-1),-1)</f>
        <v>-1</v>
      </c>
      <c r="V131" s="53" t="n">
        <f aca="false">IF(U131&lt;0,IF(S131=1,5,0),IF(U131&lt;=30,1,IF(U131&lt;=60,2,IF(U131&lt;=90,3,4))))</f>
        <v>0</v>
      </c>
      <c r="W131" s="53" t="n">
        <f aca="false">IF(U131&lt;0,-1000000000000000,U131+ROW()/1000000)</f>
        <v>-1000000000000000</v>
      </c>
      <c r="X131" s="53" t="n">
        <f aca="false">IF(T131=1,IF(AND(ISNUMBER(F131),ISNUMBER(K131)),K131-F131,0),0)</f>
        <v>0</v>
      </c>
      <c r="Y131" s="53" t="n">
        <f aca="false">IF(T131=1,IF(AND(ISNUMBER(F131),ISNUMBER(K131)),1,0),0)</f>
        <v>0</v>
      </c>
      <c r="Z131" s="53" t="n">
        <f aca="false">IF(U131&gt;=Settings!$C$8,1,0)</f>
        <v>0</v>
      </c>
      <c r="AA131" s="53" t="n">
        <f aca="false">IF(S131=1,IF(J131="Listed / Publicado",0,1),0)</f>
        <v>0</v>
      </c>
      <c r="AB131" s="53" t="n">
        <f aca="false">IF(T131=1,IF(ISNUMBER(L131),L131-G131,0),0)</f>
        <v>0</v>
      </c>
      <c r="AC131" s="53" t="n">
        <f aca="false">IF(S131=1,IF(ISNUMBER(I131),I131-G131,0),0)</f>
        <v>0</v>
      </c>
    </row>
    <row r="132" customFormat="false" ht="15" hidden="false" customHeight="false" outlineLevel="0" collapsed="false">
      <c r="B132" s="54"/>
      <c r="C132" s="55"/>
      <c r="D132" s="55"/>
      <c r="E132" s="55"/>
      <c r="F132" s="56"/>
      <c r="G132" s="57"/>
      <c r="H132" s="55"/>
      <c r="I132" s="57"/>
      <c r="J132" s="54"/>
      <c r="K132" s="56"/>
      <c r="L132" s="57"/>
      <c r="M132" s="54"/>
      <c r="N132" s="58" t="str">
        <f aca="false">IF(S132=1,IF(U132&lt;0,"",U132),IF(Y132=1,X132,""))</f>
        <v/>
      </c>
      <c r="O132" s="59" t="str">
        <f aca="false">IF(S132=1,IF(ISNUMBER(I132),I132-G132,""),"")</f>
        <v/>
      </c>
      <c r="P132" s="59" t="str">
        <f aca="false">IF(T132=1,IF(ISNUMBER(L132),L132-G132,""),"")</f>
        <v/>
      </c>
      <c r="Q132" s="60" t="str">
        <f aca="false">IF(C132="","",IF(T132=1,"✔ SOLD / VENDIDO",IF(S132=0,"— CLOSED / CERRADO",IF(U132&lt;0,"⚠ ADD DATE / AGREGA FECHA",IF(U132&gt;=Settings!$C$8,"⚠ STALE – REPRICE / ESTANCADO",IF(U132&gt;=Settings!$C$7,"● WATCH / VIGILAR","✔ FRESH / RECIENTE"))))))</f>
        <v/>
      </c>
      <c r="S132" s="53" t="n">
        <f aca="false">IF(C132="",0,IF(OR(J132="",J132="In Stock / En Inventario",J132="Listed / Publicado"),1,0))</f>
        <v>0</v>
      </c>
      <c r="T132" s="53" t="n">
        <f aca="false">IF(C132="",0,IF(J132="Sold / Vendido",1,0))</f>
        <v>0</v>
      </c>
      <c r="U132" s="53" t="n">
        <f aca="true">IF(S132=1,IF(ISNUMBER(F132),TODAY()-F132,-1),-1)</f>
        <v>-1</v>
      </c>
      <c r="V132" s="53" t="n">
        <f aca="false">IF(U132&lt;0,IF(S132=1,5,0),IF(U132&lt;=30,1,IF(U132&lt;=60,2,IF(U132&lt;=90,3,4))))</f>
        <v>0</v>
      </c>
      <c r="W132" s="53" t="n">
        <f aca="false">IF(U132&lt;0,-1000000000000000,U132+ROW()/1000000)</f>
        <v>-1000000000000000</v>
      </c>
      <c r="X132" s="53" t="n">
        <f aca="false">IF(T132=1,IF(AND(ISNUMBER(F132),ISNUMBER(K132)),K132-F132,0),0)</f>
        <v>0</v>
      </c>
      <c r="Y132" s="53" t="n">
        <f aca="false">IF(T132=1,IF(AND(ISNUMBER(F132),ISNUMBER(K132)),1,0),0)</f>
        <v>0</v>
      </c>
      <c r="Z132" s="53" t="n">
        <f aca="false">IF(U132&gt;=Settings!$C$8,1,0)</f>
        <v>0</v>
      </c>
      <c r="AA132" s="53" t="n">
        <f aca="false">IF(S132=1,IF(J132="Listed / Publicado",0,1),0)</f>
        <v>0</v>
      </c>
      <c r="AB132" s="53" t="n">
        <f aca="false">IF(T132=1,IF(ISNUMBER(L132),L132-G132,0),0)</f>
        <v>0</v>
      </c>
      <c r="AC132" s="53" t="n">
        <f aca="false">IF(S132=1,IF(ISNUMBER(I132),I132-G132,0),0)</f>
        <v>0</v>
      </c>
    </row>
    <row r="133" customFormat="false" ht="15" hidden="false" customHeight="false" outlineLevel="0" collapsed="false">
      <c r="B133" s="54"/>
      <c r="C133" s="55"/>
      <c r="D133" s="55"/>
      <c r="E133" s="55"/>
      <c r="F133" s="56"/>
      <c r="G133" s="57"/>
      <c r="H133" s="55"/>
      <c r="I133" s="57"/>
      <c r="J133" s="54"/>
      <c r="K133" s="56"/>
      <c r="L133" s="57"/>
      <c r="M133" s="54"/>
      <c r="N133" s="58" t="str">
        <f aca="false">IF(S133=1,IF(U133&lt;0,"",U133),IF(Y133=1,X133,""))</f>
        <v/>
      </c>
      <c r="O133" s="59" t="str">
        <f aca="false">IF(S133=1,IF(ISNUMBER(I133),I133-G133,""),"")</f>
        <v/>
      </c>
      <c r="P133" s="59" t="str">
        <f aca="false">IF(T133=1,IF(ISNUMBER(L133),L133-G133,""),"")</f>
        <v/>
      </c>
      <c r="Q133" s="60" t="str">
        <f aca="false">IF(C133="","",IF(T133=1,"✔ SOLD / VENDIDO",IF(S133=0,"— CLOSED / CERRADO",IF(U133&lt;0,"⚠ ADD DATE / AGREGA FECHA",IF(U133&gt;=Settings!$C$8,"⚠ STALE – REPRICE / ESTANCADO",IF(U133&gt;=Settings!$C$7,"● WATCH / VIGILAR","✔ FRESH / RECIENTE"))))))</f>
        <v/>
      </c>
      <c r="S133" s="53" t="n">
        <f aca="false">IF(C133="",0,IF(OR(J133="",J133="In Stock / En Inventario",J133="Listed / Publicado"),1,0))</f>
        <v>0</v>
      </c>
      <c r="T133" s="53" t="n">
        <f aca="false">IF(C133="",0,IF(J133="Sold / Vendido",1,0))</f>
        <v>0</v>
      </c>
      <c r="U133" s="53" t="n">
        <f aca="true">IF(S133=1,IF(ISNUMBER(F133),TODAY()-F133,-1),-1)</f>
        <v>-1</v>
      </c>
      <c r="V133" s="53" t="n">
        <f aca="false">IF(U133&lt;0,IF(S133=1,5,0),IF(U133&lt;=30,1,IF(U133&lt;=60,2,IF(U133&lt;=90,3,4))))</f>
        <v>0</v>
      </c>
      <c r="W133" s="53" t="n">
        <f aca="false">IF(U133&lt;0,-1000000000000000,U133+ROW()/1000000)</f>
        <v>-1000000000000000</v>
      </c>
      <c r="X133" s="53" t="n">
        <f aca="false">IF(T133=1,IF(AND(ISNUMBER(F133),ISNUMBER(K133)),K133-F133,0),0)</f>
        <v>0</v>
      </c>
      <c r="Y133" s="53" t="n">
        <f aca="false">IF(T133=1,IF(AND(ISNUMBER(F133),ISNUMBER(K133)),1,0),0)</f>
        <v>0</v>
      </c>
      <c r="Z133" s="53" t="n">
        <f aca="false">IF(U133&gt;=Settings!$C$8,1,0)</f>
        <v>0</v>
      </c>
      <c r="AA133" s="53" t="n">
        <f aca="false">IF(S133=1,IF(J133="Listed / Publicado",0,1),0)</f>
        <v>0</v>
      </c>
      <c r="AB133" s="53" t="n">
        <f aca="false">IF(T133=1,IF(ISNUMBER(L133),L133-G133,0),0)</f>
        <v>0</v>
      </c>
      <c r="AC133" s="53" t="n">
        <f aca="false">IF(S133=1,IF(ISNUMBER(I133),I133-G133,0),0)</f>
        <v>0</v>
      </c>
    </row>
    <row r="134" customFormat="false" ht="15" hidden="false" customHeight="false" outlineLevel="0" collapsed="false">
      <c r="B134" s="54"/>
      <c r="C134" s="55"/>
      <c r="D134" s="55"/>
      <c r="E134" s="55"/>
      <c r="F134" s="56"/>
      <c r="G134" s="57"/>
      <c r="H134" s="55"/>
      <c r="I134" s="57"/>
      <c r="J134" s="54"/>
      <c r="K134" s="56"/>
      <c r="L134" s="57"/>
      <c r="M134" s="54"/>
      <c r="N134" s="58" t="str">
        <f aca="false">IF(S134=1,IF(U134&lt;0,"",U134),IF(Y134=1,X134,""))</f>
        <v/>
      </c>
      <c r="O134" s="59" t="str">
        <f aca="false">IF(S134=1,IF(ISNUMBER(I134),I134-G134,""),"")</f>
        <v/>
      </c>
      <c r="P134" s="59" t="str">
        <f aca="false">IF(T134=1,IF(ISNUMBER(L134),L134-G134,""),"")</f>
        <v/>
      </c>
      <c r="Q134" s="60" t="str">
        <f aca="false">IF(C134="","",IF(T134=1,"✔ SOLD / VENDIDO",IF(S134=0,"— CLOSED / CERRADO",IF(U134&lt;0,"⚠ ADD DATE / AGREGA FECHA",IF(U134&gt;=Settings!$C$8,"⚠ STALE – REPRICE / ESTANCADO",IF(U134&gt;=Settings!$C$7,"● WATCH / VIGILAR","✔ FRESH / RECIENTE"))))))</f>
        <v/>
      </c>
      <c r="S134" s="53" t="n">
        <f aca="false">IF(C134="",0,IF(OR(J134="",J134="In Stock / En Inventario",J134="Listed / Publicado"),1,0))</f>
        <v>0</v>
      </c>
      <c r="T134" s="53" t="n">
        <f aca="false">IF(C134="",0,IF(J134="Sold / Vendido",1,0))</f>
        <v>0</v>
      </c>
      <c r="U134" s="53" t="n">
        <f aca="true">IF(S134=1,IF(ISNUMBER(F134),TODAY()-F134,-1),-1)</f>
        <v>-1</v>
      </c>
      <c r="V134" s="53" t="n">
        <f aca="false">IF(U134&lt;0,IF(S134=1,5,0),IF(U134&lt;=30,1,IF(U134&lt;=60,2,IF(U134&lt;=90,3,4))))</f>
        <v>0</v>
      </c>
      <c r="W134" s="53" t="n">
        <f aca="false">IF(U134&lt;0,-1000000000000000,U134+ROW()/1000000)</f>
        <v>-1000000000000000</v>
      </c>
      <c r="X134" s="53" t="n">
        <f aca="false">IF(T134=1,IF(AND(ISNUMBER(F134),ISNUMBER(K134)),K134-F134,0),0)</f>
        <v>0</v>
      </c>
      <c r="Y134" s="53" t="n">
        <f aca="false">IF(T134=1,IF(AND(ISNUMBER(F134),ISNUMBER(K134)),1,0),0)</f>
        <v>0</v>
      </c>
      <c r="Z134" s="53" t="n">
        <f aca="false">IF(U134&gt;=Settings!$C$8,1,0)</f>
        <v>0</v>
      </c>
      <c r="AA134" s="53" t="n">
        <f aca="false">IF(S134=1,IF(J134="Listed / Publicado",0,1),0)</f>
        <v>0</v>
      </c>
      <c r="AB134" s="53" t="n">
        <f aca="false">IF(T134=1,IF(ISNUMBER(L134),L134-G134,0),0)</f>
        <v>0</v>
      </c>
      <c r="AC134" s="53" t="n">
        <f aca="false">IF(S134=1,IF(ISNUMBER(I134),I134-G134,0),0)</f>
        <v>0</v>
      </c>
    </row>
    <row r="135" customFormat="false" ht="15" hidden="false" customHeight="false" outlineLevel="0" collapsed="false">
      <c r="B135" s="54"/>
      <c r="C135" s="55"/>
      <c r="D135" s="55"/>
      <c r="E135" s="55"/>
      <c r="F135" s="56"/>
      <c r="G135" s="57"/>
      <c r="H135" s="55"/>
      <c r="I135" s="57"/>
      <c r="J135" s="54"/>
      <c r="K135" s="56"/>
      <c r="L135" s="57"/>
      <c r="M135" s="54"/>
      <c r="N135" s="58" t="str">
        <f aca="false">IF(S135=1,IF(U135&lt;0,"",U135),IF(Y135=1,X135,""))</f>
        <v/>
      </c>
      <c r="O135" s="59" t="str">
        <f aca="false">IF(S135=1,IF(ISNUMBER(I135),I135-G135,""),"")</f>
        <v/>
      </c>
      <c r="P135" s="59" t="str">
        <f aca="false">IF(T135=1,IF(ISNUMBER(L135),L135-G135,""),"")</f>
        <v/>
      </c>
      <c r="Q135" s="60" t="str">
        <f aca="false">IF(C135="","",IF(T135=1,"✔ SOLD / VENDIDO",IF(S135=0,"— CLOSED / CERRADO",IF(U135&lt;0,"⚠ ADD DATE / AGREGA FECHA",IF(U135&gt;=Settings!$C$8,"⚠ STALE – REPRICE / ESTANCADO",IF(U135&gt;=Settings!$C$7,"● WATCH / VIGILAR","✔ FRESH / RECIENTE"))))))</f>
        <v/>
      </c>
      <c r="S135" s="53" t="n">
        <f aca="false">IF(C135="",0,IF(OR(J135="",J135="In Stock / En Inventario",J135="Listed / Publicado"),1,0))</f>
        <v>0</v>
      </c>
      <c r="T135" s="53" t="n">
        <f aca="false">IF(C135="",0,IF(J135="Sold / Vendido",1,0))</f>
        <v>0</v>
      </c>
      <c r="U135" s="53" t="n">
        <f aca="true">IF(S135=1,IF(ISNUMBER(F135),TODAY()-F135,-1),-1)</f>
        <v>-1</v>
      </c>
      <c r="V135" s="53" t="n">
        <f aca="false">IF(U135&lt;0,IF(S135=1,5,0),IF(U135&lt;=30,1,IF(U135&lt;=60,2,IF(U135&lt;=90,3,4))))</f>
        <v>0</v>
      </c>
      <c r="W135" s="53" t="n">
        <f aca="false">IF(U135&lt;0,-1000000000000000,U135+ROW()/1000000)</f>
        <v>-1000000000000000</v>
      </c>
      <c r="X135" s="53" t="n">
        <f aca="false">IF(T135=1,IF(AND(ISNUMBER(F135),ISNUMBER(K135)),K135-F135,0),0)</f>
        <v>0</v>
      </c>
      <c r="Y135" s="53" t="n">
        <f aca="false">IF(T135=1,IF(AND(ISNUMBER(F135),ISNUMBER(K135)),1,0),0)</f>
        <v>0</v>
      </c>
      <c r="Z135" s="53" t="n">
        <f aca="false">IF(U135&gt;=Settings!$C$8,1,0)</f>
        <v>0</v>
      </c>
      <c r="AA135" s="53" t="n">
        <f aca="false">IF(S135=1,IF(J135="Listed / Publicado",0,1),0)</f>
        <v>0</v>
      </c>
      <c r="AB135" s="53" t="n">
        <f aca="false">IF(T135=1,IF(ISNUMBER(L135),L135-G135,0),0)</f>
        <v>0</v>
      </c>
      <c r="AC135" s="53" t="n">
        <f aca="false">IF(S135=1,IF(ISNUMBER(I135),I135-G135,0),0)</f>
        <v>0</v>
      </c>
    </row>
    <row r="136" customFormat="false" ht="15" hidden="false" customHeight="false" outlineLevel="0" collapsed="false">
      <c r="B136" s="54"/>
      <c r="C136" s="55"/>
      <c r="D136" s="55"/>
      <c r="E136" s="55"/>
      <c r="F136" s="56"/>
      <c r="G136" s="57"/>
      <c r="H136" s="55"/>
      <c r="I136" s="57"/>
      <c r="J136" s="54"/>
      <c r="K136" s="56"/>
      <c r="L136" s="57"/>
      <c r="M136" s="54"/>
      <c r="N136" s="58" t="str">
        <f aca="false">IF(S136=1,IF(U136&lt;0,"",U136),IF(Y136=1,X136,""))</f>
        <v/>
      </c>
      <c r="O136" s="59" t="str">
        <f aca="false">IF(S136=1,IF(ISNUMBER(I136),I136-G136,""),"")</f>
        <v/>
      </c>
      <c r="P136" s="59" t="str">
        <f aca="false">IF(T136=1,IF(ISNUMBER(L136),L136-G136,""),"")</f>
        <v/>
      </c>
      <c r="Q136" s="60" t="str">
        <f aca="false">IF(C136="","",IF(T136=1,"✔ SOLD / VENDIDO",IF(S136=0,"— CLOSED / CERRADO",IF(U136&lt;0,"⚠ ADD DATE / AGREGA FECHA",IF(U136&gt;=Settings!$C$8,"⚠ STALE – REPRICE / ESTANCADO",IF(U136&gt;=Settings!$C$7,"● WATCH / VIGILAR","✔ FRESH / RECIENTE"))))))</f>
        <v/>
      </c>
      <c r="S136" s="53" t="n">
        <f aca="false">IF(C136="",0,IF(OR(J136="",J136="In Stock / En Inventario",J136="Listed / Publicado"),1,0))</f>
        <v>0</v>
      </c>
      <c r="T136" s="53" t="n">
        <f aca="false">IF(C136="",0,IF(J136="Sold / Vendido",1,0))</f>
        <v>0</v>
      </c>
      <c r="U136" s="53" t="n">
        <f aca="true">IF(S136=1,IF(ISNUMBER(F136),TODAY()-F136,-1),-1)</f>
        <v>-1</v>
      </c>
      <c r="V136" s="53" t="n">
        <f aca="false">IF(U136&lt;0,IF(S136=1,5,0),IF(U136&lt;=30,1,IF(U136&lt;=60,2,IF(U136&lt;=90,3,4))))</f>
        <v>0</v>
      </c>
      <c r="W136" s="53" t="n">
        <f aca="false">IF(U136&lt;0,-1000000000000000,U136+ROW()/1000000)</f>
        <v>-1000000000000000</v>
      </c>
      <c r="X136" s="53" t="n">
        <f aca="false">IF(T136=1,IF(AND(ISNUMBER(F136),ISNUMBER(K136)),K136-F136,0),0)</f>
        <v>0</v>
      </c>
      <c r="Y136" s="53" t="n">
        <f aca="false">IF(T136=1,IF(AND(ISNUMBER(F136),ISNUMBER(K136)),1,0),0)</f>
        <v>0</v>
      </c>
      <c r="Z136" s="53" t="n">
        <f aca="false">IF(U136&gt;=Settings!$C$8,1,0)</f>
        <v>0</v>
      </c>
      <c r="AA136" s="53" t="n">
        <f aca="false">IF(S136=1,IF(J136="Listed / Publicado",0,1),0)</f>
        <v>0</v>
      </c>
      <c r="AB136" s="53" t="n">
        <f aca="false">IF(T136=1,IF(ISNUMBER(L136),L136-G136,0),0)</f>
        <v>0</v>
      </c>
      <c r="AC136" s="53" t="n">
        <f aca="false">IF(S136=1,IF(ISNUMBER(I136),I136-G136,0),0)</f>
        <v>0</v>
      </c>
    </row>
    <row r="137" customFormat="false" ht="15" hidden="false" customHeight="false" outlineLevel="0" collapsed="false">
      <c r="B137" s="54"/>
      <c r="C137" s="55"/>
      <c r="D137" s="55"/>
      <c r="E137" s="55"/>
      <c r="F137" s="56"/>
      <c r="G137" s="57"/>
      <c r="H137" s="55"/>
      <c r="I137" s="57"/>
      <c r="J137" s="54"/>
      <c r="K137" s="56"/>
      <c r="L137" s="57"/>
      <c r="M137" s="54"/>
      <c r="N137" s="58" t="str">
        <f aca="false">IF(S137=1,IF(U137&lt;0,"",U137),IF(Y137=1,X137,""))</f>
        <v/>
      </c>
      <c r="O137" s="59" t="str">
        <f aca="false">IF(S137=1,IF(ISNUMBER(I137),I137-G137,""),"")</f>
        <v/>
      </c>
      <c r="P137" s="59" t="str">
        <f aca="false">IF(T137=1,IF(ISNUMBER(L137),L137-G137,""),"")</f>
        <v/>
      </c>
      <c r="Q137" s="60" t="str">
        <f aca="false">IF(C137="","",IF(T137=1,"✔ SOLD / VENDIDO",IF(S137=0,"— CLOSED / CERRADO",IF(U137&lt;0,"⚠ ADD DATE / AGREGA FECHA",IF(U137&gt;=Settings!$C$8,"⚠ STALE – REPRICE / ESTANCADO",IF(U137&gt;=Settings!$C$7,"● WATCH / VIGILAR","✔ FRESH / RECIENTE"))))))</f>
        <v/>
      </c>
      <c r="S137" s="53" t="n">
        <f aca="false">IF(C137="",0,IF(OR(J137="",J137="In Stock / En Inventario",J137="Listed / Publicado"),1,0))</f>
        <v>0</v>
      </c>
      <c r="T137" s="53" t="n">
        <f aca="false">IF(C137="",0,IF(J137="Sold / Vendido",1,0))</f>
        <v>0</v>
      </c>
      <c r="U137" s="53" t="n">
        <f aca="true">IF(S137=1,IF(ISNUMBER(F137),TODAY()-F137,-1),-1)</f>
        <v>-1</v>
      </c>
      <c r="V137" s="53" t="n">
        <f aca="false">IF(U137&lt;0,IF(S137=1,5,0),IF(U137&lt;=30,1,IF(U137&lt;=60,2,IF(U137&lt;=90,3,4))))</f>
        <v>0</v>
      </c>
      <c r="W137" s="53" t="n">
        <f aca="false">IF(U137&lt;0,-1000000000000000,U137+ROW()/1000000)</f>
        <v>-1000000000000000</v>
      </c>
      <c r="X137" s="53" t="n">
        <f aca="false">IF(T137=1,IF(AND(ISNUMBER(F137),ISNUMBER(K137)),K137-F137,0),0)</f>
        <v>0</v>
      </c>
      <c r="Y137" s="53" t="n">
        <f aca="false">IF(T137=1,IF(AND(ISNUMBER(F137),ISNUMBER(K137)),1,0),0)</f>
        <v>0</v>
      </c>
      <c r="Z137" s="53" t="n">
        <f aca="false">IF(U137&gt;=Settings!$C$8,1,0)</f>
        <v>0</v>
      </c>
      <c r="AA137" s="53" t="n">
        <f aca="false">IF(S137=1,IF(J137="Listed / Publicado",0,1),0)</f>
        <v>0</v>
      </c>
      <c r="AB137" s="53" t="n">
        <f aca="false">IF(T137=1,IF(ISNUMBER(L137),L137-G137,0),0)</f>
        <v>0</v>
      </c>
      <c r="AC137" s="53" t="n">
        <f aca="false">IF(S137=1,IF(ISNUMBER(I137),I137-G137,0),0)</f>
        <v>0</v>
      </c>
    </row>
    <row r="138" customFormat="false" ht="15" hidden="false" customHeight="false" outlineLevel="0" collapsed="false">
      <c r="B138" s="54"/>
      <c r="C138" s="55"/>
      <c r="D138" s="55"/>
      <c r="E138" s="55"/>
      <c r="F138" s="56"/>
      <c r="G138" s="57"/>
      <c r="H138" s="55"/>
      <c r="I138" s="57"/>
      <c r="J138" s="54"/>
      <c r="K138" s="56"/>
      <c r="L138" s="57"/>
      <c r="M138" s="54"/>
      <c r="N138" s="58" t="str">
        <f aca="false">IF(S138=1,IF(U138&lt;0,"",U138),IF(Y138=1,X138,""))</f>
        <v/>
      </c>
      <c r="O138" s="59" t="str">
        <f aca="false">IF(S138=1,IF(ISNUMBER(I138),I138-G138,""),"")</f>
        <v/>
      </c>
      <c r="P138" s="59" t="str">
        <f aca="false">IF(T138=1,IF(ISNUMBER(L138),L138-G138,""),"")</f>
        <v/>
      </c>
      <c r="Q138" s="60" t="str">
        <f aca="false">IF(C138="","",IF(T138=1,"✔ SOLD / VENDIDO",IF(S138=0,"— CLOSED / CERRADO",IF(U138&lt;0,"⚠ ADD DATE / AGREGA FECHA",IF(U138&gt;=Settings!$C$8,"⚠ STALE – REPRICE / ESTANCADO",IF(U138&gt;=Settings!$C$7,"● WATCH / VIGILAR","✔ FRESH / RECIENTE"))))))</f>
        <v/>
      </c>
      <c r="S138" s="53" t="n">
        <f aca="false">IF(C138="",0,IF(OR(J138="",J138="In Stock / En Inventario",J138="Listed / Publicado"),1,0))</f>
        <v>0</v>
      </c>
      <c r="T138" s="53" t="n">
        <f aca="false">IF(C138="",0,IF(J138="Sold / Vendido",1,0))</f>
        <v>0</v>
      </c>
      <c r="U138" s="53" t="n">
        <f aca="true">IF(S138=1,IF(ISNUMBER(F138),TODAY()-F138,-1),-1)</f>
        <v>-1</v>
      </c>
      <c r="V138" s="53" t="n">
        <f aca="false">IF(U138&lt;0,IF(S138=1,5,0),IF(U138&lt;=30,1,IF(U138&lt;=60,2,IF(U138&lt;=90,3,4))))</f>
        <v>0</v>
      </c>
      <c r="W138" s="53" t="n">
        <f aca="false">IF(U138&lt;0,-1000000000000000,U138+ROW()/1000000)</f>
        <v>-1000000000000000</v>
      </c>
      <c r="X138" s="53" t="n">
        <f aca="false">IF(T138=1,IF(AND(ISNUMBER(F138),ISNUMBER(K138)),K138-F138,0),0)</f>
        <v>0</v>
      </c>
      <c r="Y138" s="53" t="n">
        <f aca="false">IF(T138=1,IF(AND(ISNUMBER(F138),ISNUMBER(K138)),1,0),0)</f>
        <v>0</v>
      </c>
      <c r="Z138" s="53" t="n">
        <f aca="false">IF(U138&gt;=Settings!$C$8,1,0)</f>
        <v>0</v>
      </c>
      <c r="AA138" s="53" t="n">
        <f aca="false">IF(S138=1,IF(J138="Listed / Publicado",0,1),0)</f>
        <v>0</v>
      </c>
      <c r="AB138" s="53" t="n">
        <f aca="false">IF(T138=1,IF(ISNUMBER(L138),L138-G138,0),0)</f>
        <v>0</v>
      </c>
      <c r="AC138" s="53" t="n">
        <f aca="false">IF(S138=1,IF(ISNUMBER(I138),I138-G138,0),0)</f>
        <v>0</v>
      </c>
    </row>
    <row r="139" customFormat="false" ht="15" hidden="false" customHeight="false" outlineLevel="0" collapsed="false">
      <c r="B139" s="54"/>
      <c r="C139" s="55"/>
      <c r="D139" s="55"/>
      <c r="E139" s="55"/>
      <c r="F139" s="56"/>
      <c r="G139" s="57"/>
      <c r="H139" s="55"/>
      <c r="I139" s="57"/>
      <c r="J139" s="54"/>
      <c r="K139" s="56"/>
      <c r="L139" s="57"/>
      <c r="M139" s="54"/>
      <c r="N139" s="58" t="str">
        <f aca="false">IF(S139=1,IF(U139&lt;0,"",U139),IF(Y139=1,X139,""))</f>
        <v/>
      </c>
      <c r="O139" s="59" t="str">
        <f aca="false">IF(S139=1,IF(ISNUMBER(I139),I139-G139,""),"")</f>
        <v/>
      </c>
      <c r="P139" s="59" t="str">
        <f aca="false">IF(T139=1,IF(ISNUMBER(L139),L139-G139,""),"")</f>
        <v/>
      </c>
      <c r="Q139" s="60" t="str">
        <f aca="false">IF(C139="","",IF(T139=1,"✔ SOLD / VENDIDO",IF(S139=0,"— CLOSED / CERRADO",IF(U139&lt;0,"⚠ ADD DATE / AGREGA FECHA",IF(U139&gt;=Settings!$C$8,"⚠ STALE – REPRICE / ESTANCADO",IF(U139&gt;=Settings!$C$7,"● WATCH / VIGILAR","✔ FRESH / RECIENTE"))))))</f>
        <v/>
      </c>
      <c r="S139" s="53" t="n">
        <f aca="false">IF(C139="",0,IF(OR(J139="",J139="In Stock / En Inventario",J139="Listed / Publicado"),1,0))</f>
        <v>0</v>
      </c>
      <c r="T139" s="53" t="n">
        <f aca="false">IF(C139="",0,IF(J139="Sold / Vendido",1,0))</f>
        <v>0</v>
      </c>
      <c r="U139" s="53" t="n">
        <f aca="true">IF(S139=1,IF(ISNUMBER(F139),TODAY()-F139,-1),-1)</f>
        <v>-1</v>
      </c>
      <c r="V139" s="53" t="n">
        <f aca="false">IF(U139&lt;0,IF(S139=1,5,0),IF(U139&lt;=30,1,IF(U139&lt;=60,2,IF(U139&lt;=90,3,4))))</f>
        <v>0</v>
      </c>
      <c r="W139" s="53" t="n">
        <f aca="false">IF(U139&lt;0,-1000000000000000,U139+ROW()/1000000)</f>
        <v>-1000000000000000</v>
      </c>
      <c r="X139" s="53" t="n">
        <f aca="false">IF(T139=1,IF(AND(ISNUMBER(F139),ISNUMBER(K139)),K139-F139,0),0)</f>
        <v>0</v>
      </c>
      <c r="Y139" s="53" t="n">
        <f aca="false">IF(T139=1,IF(AND(ISNUMBER(F139),ISNUMBER(K139)),1,0),0)</f>
        <v>0</v>
      </c>
      <c r="Z139" s="53" t="n">
        <f aca="false">IF(U139&gt;=Settings!$C$8,1,0)</f>
        <v>0</v>
      </c>
      <c r="AA139" s="53" t="n">
        <f aca="false">IF(S139=1,IF(J139="Listed / Publicado",0,1),0)</f>
        <v>0</v>
      </c>
      <c r="AB139" s="53" t="n">
        <f aca="false">IF(T139=1,IF(ISNUMBER(L139),L139-G139,0),0)</f>
        <v>0</v>
      </c>
      <c r="AC139" s="53" t="n">
        <f aca="false">IF(S139=1,IF(ISNUMBER(I139),I139-G139,0),0)</f>
        <v>0</v>
      </c>
    </row>
    <row r="140" customFormat="false" ht="15" hidden="false" customHeight="false" outlineLevel="0" collapsed="false">
      <c r="B140" s="54"/>
      <c r="C140" s="55"/>
      <c r="D140" s="55"/>
      <c r="E140" s="55"/>
      <c r="F140" s="56"/>
      <c r="G140" s="57"/>
      <c r="H140" s="55"/>
      <c r="I140" s="57"/>
      <c r="J140" s="54"/>
      <c r="K140" s="56"/>
      <c r="L140" s="57"/>
      <c r="M140" s="54"/>
      <c r="N140" s="58" t="str">
        <f aca="false">IF(S140=1,IF(U140&lt;0,"",U140),IF(Y140=1,X140,""))</f>
        <v/>
      </c>
      <c r="O140" s="59" t="str">
        <f aca="false">IF(S140=1,IF(ISNUMBER(I140),I140-G140,""),"")</f>
        <v/>
      </c>
      <c r="P140" s="59" t="str">
        <f aca="false">IF(T140=1,IF(ISNUMBER(L140),L140-G140,""),"")</f>
        <v/>
      </c>
      <c r="Q140" s="60" t="str">
        <f aca="false">IF(C140="","",IF(T140=1,"✔ SOLD / VENDIDO",IF(S140=0,"— CLOSED / CERRADO",IF(U140&lt;0,"⚠ ADD DATE / AGREGA FECHA",IF(U140&gt;=Settings!$C$8,"⚠ STALE – REPRICE / ESTANCADO",IF(U140&gt;=Settings!$C$7,"● WATCH / VIGILAR","✔ FRESH / RECIENTE"))))))</f>
        <v/>
      </c>
      <c r="S140" s="53" t="n">
        <f aca="false">IF(C140="",0,IF(OR(J140="",J140="In Stock / En Inventario",J140="Listed / Publicado"),1,0))</f>
        <v>0</v>
      </c>
      <c r="T140" s="53" t="n">
        <f aca="false">IF(C140="",0,IF(J140="Sold / Vendido",1,0))</f>
        <v>0</v>
      </c>
      <c r="U140" s="53" t="n">
        <f aca="true">IF(S140=1,IF(ISNUMBER(F140),TODAY()-F140,-1),-1)</f>
        <v>-1</v>
      </c>
      <c r="V140" s="53" t="n">
        <f aca="false">IF(U140&lt;0,IF(S140=1,5,0),IF(U140&lt;=30,1,IF(U140&lt;=60,2,IF(U140&lt;=90,3,4))))</f>
        <v>0</v>
      </c>
      <c r="W140" s="53" t="n">
        <f aca="false">IF(U140&lt;0,-1000000000000000,U140+ROW()/1000000)</f>
        <v>-1000000000000000</v>
      </c>
      <c r="X140" s="53" t="n">
        <f aca="false">IF(T140=1,IF(AND(ISNUMBER(F140),ISNUMBER(K140)),K140-F140,0),0)</f>
        <v>0</v>
      </c>
      <c r="Y140" s="53" t="n">
        <f aca="false">IF(T140=1,IF(AND(ISNUMBER(F140),ISNUMBER(K140)),1,0),0)</f>
        <v>0</v>
      </c>
      <c r="Z140" s="53" t="n">
        <f aca="false">IF(U140&gt;=Settings!$C$8,1,0)</f>
        <v>0</v>
      </c>
      <c r="AA140" s="53" t="n">
        <f aca="false">IF(S140=1,IF(J140="Listed / Publicado",0,1),0)</f>
        <v>0</v>
      </c>
      <c r="AB140" s="53" t="n">
        <f aca="false">IF(T140=1,IF(ISNUMBER(L140),L140-G140,0),0)</f>
        <v>0</v>
      </c>
      <c r="AC140" s="53" t="n">
        <f aca="false">IF(S140=1,IF(ISNUMBER(I140),I140-G140,0),0)</f>
        <v>0</v>
      </c>
    </row>
    <row r="141" customFormat="false" ht="15" hidden="false" customHeight="false" outlineLevel="0" collapsed="false">
      <c r="B141" s="54"/>
      <c r="C141" s="55"/>
      <c r="D141" s="55"/>
      <c r="E141" s="55"/>
      <c r="F141" s="56"/>
      <c r="G141" s="57"/>
      <c r="H141" s="55"/>
      <c r="I141" s="57"/>
      <c r="J141" s="54"/>
      <c r="K141" s="56"/>
      <c r="L141" s="57"/>
      <c r="M141" s="54"/>
      <c r="N141" s="58" t="str">
        <f aca="false">IF(S141=1,IF(U141&lt;0,"",U141),IF(Y141=1,X141,""))</f>
        <v/>
      </c>
      <c r="O141" s="59" t="str">
        <f aca="false">IF(S141=1,IF(ISNUMBER(I141),I141-G141,""),"")</f>
        <v/>
      </c>
      <c r="P141" s="59" t="str">
        <f aca="false">IF(T141=1,IF(ISNUMBER(L141),L141-G141,""),"")</f>
        <v/>
      </c>
      <c r="Q141" s="60" t="str">
        <f aca="false">IF(C141="","",IF(T141=1,"✔ SOLD / VENDIDO",IF(S141=0,"— CLOSED / CERRADO",IF(U141&lt;0,"⚠ ADD DATE / AGREGA FECHA",IF(U141&gt;=Settings!$C$8,"⚠ STALE – REPRICE / ESTANCADO",IF(U141&gt;=Settings!$C$7,"● WATCH / VIGILAR","✔ FRESH / RECIENTE"))))))</f>
        <v/>
      </c>
      <c r="S141" s="53" t="n">
        <f aca="false">IF(C141="",0,IF(OR(J141="",J141="In Stock / En Inventario",J141="Listed / Publicado"),1,0))</f>
        <v>0</v>
      </c>
      <c r="T141" s="53" t="n">
        <f aca="false">IF(C141="",0,IF(J141="Sold / Vendido",1,0))</f>
        <v>0</v>
      </c>
      <c r="U141" s="53" t="n">
        <f aca="true">IF(S141=1,IF(ISNUMBER(F141),TODAY()-F141,-1),-1)</f>
        <v>-1</v>
      </c>
      <c r="V141" s="53" t="n">
        <f aca="false">IF(U141&lt;0,IF(S141=1,5,0),IF(U141&lt;=30,1,IF(U141&lt;=60,2,IF(U141&lt;=90,3,4))))</f>
        <v>0</v>
      </c>
      <c r="W141" s="53" t="n">
        <f aca="false">IF(U141&lt;0,-1000000000000000,U141+ROW()/1000000)</f>
        <v>-1000000000000000</v>
      </c>
      <c r="X141" s="53" t="n">
        <f aca="false">IF(T141=1,IF(AND(ISNUMBER(F141),ISNUMBER(K141)),K141-F141,0),0)</f>
        <v>0</v>
      </c>
      <c r="Y141" s="53" t="n">
        <f aca="false">IF(T141=1,IF(AND(ISNUMBER(F141),ISNUMBER(K141)),1,0),0)</f>
        <v>0</v>
      </c>
      <c r="Z141" s="53" t="n">
        <f aca="false">IF(U141&gt;=Settings!$C$8,1,0)</f>
        <v>0</v>
      </c>
      <c r="AA141" s="53" t="n">
        <f aca="false">IF(S141=1,IF(J141="Listed / Publicado",0,1),0)</f>
        <v>0</v>
      </c>
      <c r="AB141" s="53" t="n">
        <f aca="false">IF(T141=1,IF(ISNUMBER(L141),L141-G141,0),0)</f>
        <v>0</v>
      </c>
      <c r="AC141" s="53" t="n">
        <f aca="false">IF(S141=1,IF(ISNUMBER(I141),I141-G141,0),0)</f>
        <v>0</v>
      </c>
    </row>
    <row r="142" customFormat="false" ht="15" hidden="false" customHeight="false" outlineLevel="0" collapsed="false">
      <c r="B142" s="54"/>
      <c r="C142" s="55"/>
      <c r="D142" s="55"/>
      <c r="E142" s="55"/>
      <c r="F142" s="56"/>
      <c r="G142" s="57"/>
      <c r="H142" s="55"/>
      <c r="I142" s="57"/>
      <c r="J142" s="54"/>
      <c r="K142" s="56"/>
      <c r="L142" s="57"/>
      <c r="M142" s="54"/>
      <c r="N142" s="58" t="str">
        <f aca="false">IF(S142=1,IF(U142&lt;0,"",U142),IF(Y142=1,X142,""))</f>
        <v/>
      </c>
      <c r="O142" s="59" t="str">
        <f aca="false">IF(S142=1,IF(ISNUMBER(I142),I142-G142,""),"")</f>
        <v/>
      </c>
      <c r="P142" s="59" t="str">
        <f aca="false">IF(T142=1,IF(ISNUMBER(L142),L142-G142,""),"")</f>
        <v/>
      </c>
      <c r="Q142" s="60" t="str">
        <f aca="false">IF(C142="","",IF(T142=1,"✔ SOLD / VENDIDO",IF(S142=0,"— CLOSED / CERRADO",IF(U142&lt;0,"⚠ ADD DATE / AGREGA FECHA",IF(U142&gt;=Settings!$C$8,"⚠ STALE – REPRICE / ESTANCADO",IF(U142&gt;=Settings!$C$7,"● WATCH / VIGILAR","✔ FRESH / RECIENTE"))))))</f>
        <v/>
      </c>
      <c r="S142" s="53" t="n">
        <f aca="false">IF(C142="",0,IF(OR(J142="",J142="In Stock / En Inventario",J142="Listed / Publicado"),1,0))</f>
        <v>0</v>
      </c>
      <c r="T142" s="53" t="n">
        <f aca="false">IF(C142="",0,IF(J142="Sold / Vendido",1,0))</f>
        <v>0</v>
      </c>
      <c r="U142" s="53" t="n">
        <f aca="true">IF(S142=1,IF(ISNUMBER(F142),TODAY()-F142,-1),-1)</f>
        <v>-1</v>
      </c>
      <c r="V142" s="53" t="n">
        <f aca="false">IF(U142&lt;0,IF(S142=1,5,0),IF(U142&lt;=30,1,IF(U142&lt;=60,2,IF(U142&lt;=90,3,4))))</f>
        <v>0</v>
      </c>
      <c r="W142" s="53" t="n">
        <f aca="false">IF(U142&lt;0,-1000000000000000,U142+ROW()/1000000)</f>
        <v>-1000000000000000</v>
      </c>
      <c r="X142" s="53" t="n">
        <f aca="false">IF(T142=1,IF(AND(ISNUMBER(F142),ISNUMBER(K142)),K142-F142,0),0)</f>
        <v>0</v>
      </c>
      <c r="Y142" s="53" t="n">
        <f aca="false">IF(T142=1,IF(AND(ISNUMBER(F142),ISNUMBER(K142)),1,0),0)</f>
        <v>0</v>
      </c>
      <c r="Z142" s="53" t="n">
        <f aca="false">IF(U142&gt;=Settings!$C$8,1,0)</f>
        <v>0</v>
      </c>
      <c r="AA142" s="53" t="n">
        <f aca="false">IF(S142=1,IF(J142="Listed / Publicado",0,1),0)</f>
        <v>0</v>
      </c>
      <c r="AB142" s="53" t="n">
        <f aca="false">IF(T142=1,IF(ISNUMBER(L142),L142-G142,0),0)</f>
        <v>0</v>
      </c>
      <c r="AC142" s="53" t="n">
        <f aca="false">IF(S142=1,IF(ISNUMBER(I142),I142-G142,0),0)</f>
        <v>0</v>
      </c>
    </row>
    <row r="143" customFormat="false" ht="15" hidden="false" customHeight="false" outlineLevel="0" collapsed="false">
      <c r="B143" s="54"/>
      <c r="C143" s="55"/>
      <c r="D143" s="55"/>
      <c r="E143" s="55"/>
      <c r="F143" s="56"/>
      <c r="G143" s="57"/>
      <c r="H143" s="55"/>
      <c r="I143" s="57"/>
      <c r="J143" s="54"/>
      <c r="K143" s="56"/>
      <c r="L143" s="57"/>
      <c r="M143" s="54"/>
      <c r="N143" s="58" t="str">
        <f aca="false">IF(S143=1,IF(U143&lt;0,"",U143),IF(Y143=1,X143,""))</f>
        <v/>
      </c>
      <c r="O143" s="59" t="str">
        <f aca="false">IF(S143=1,IF(ISNUMBER(I143),I143-G143,""),"")</f>
        <v/>
      </c>
      <c r="P143" s="59" t="str">
        <f aca="false">IF(T143=1,IF(ISNUMBER(L143),L143-G143,""),"")</f>
        <v/>
      </c>
      <c r="Q143" s="60" t="str">
        <f aca="false">IF(C143="","",IF(T143=1,"✔ SOLD / VENDIDO",IF(S143=0,"— CLOSED / CERRADO",IF(U143&lt;0,"⚠ ADD DATE / AGREGA FECHA",IF(U143&gt;=Settings!$C$8,"⚠ STALE – REPRICE / ESTANCADO",IF(U143&gt;=Settings!$C$7,"● WATCH / VIGILAR","✔ FRESH / RECIENTE"))))))</f>
        <v/>
      </c>
      <c r="S143" s="53" t="n">
        <f aca="false">IF(C143="",0,IF(OR(J143="",J143="In Stock / En Inventario",J143="Listed / Publicado"),1,0))</f>
        <v>0</v>
      </c>
      <c r="T143" s="53" t="n">
        <f aca="false">IF(C143="",0,IF(J143="Sold / Vendido",1,0))</f>
        <v>0</v>
      </c>
      <c r="U143" s="53" t="n">
        <f aca="true">IF(S143=1,IF(ISNUMBER(F143),TODAY()-F143,-1),-1)</f>
        <v>-1</v>
      </c>
      <c r="V143" s="53" t="n">
        <f aca="false">IF(U143&lt;0,IF(S143=1,5,0),IF(U143&lt;=30,1,IF(U143&lt;=60,2,IF(U143&lt;=90,3,4))))</f>
        <v>0</v>
      </c>
      <c r="W143" s="53" t="n">
        <f aca="false">IF(U143&lt;0,-1000000000000000,U143+ROW()/1000000)</f>
        <v>-1000000000000000</v>
      </c>
      <c r="X143" s="53" t="n">
        <f aca="false">IF(T143=1,IF(AND(ISNUMBER(F143),ISNUMBER(K143)),K143-F143,0),0)</f>
        <v>0</v>
      </c>
      <c r="Y143" s="53" t="n">
        <f aca="false">IF(T143=1,IF(AND(ISNUMBER(F143),ISNUMBER(K143)),1,0),0)</f>
        <v>0</v>
      </c>
      <c r="Z143" s="53" t="n">
        <f aca="false">IF(U143&gt;=Settings!$C$8,1,0)</f>
        <v>0</v>
      </c>
      <c r="AA143" s="53" t="n">
        <f aca="false">IF(S143=1,IF(J143="Listed / Publicado",0,1),0)</f>
        <v>0</v>
      </c>
      <c r="AB143" s="53" t="n">
        <f aca="false">IF(T143=1,IF(ISNUMBER(L143),L143-G143,0),0)</f>
        <v>0</v>
      </c>
      <c r="AC143" s="53" t="n">
        <f aca="false">IF(S143=1,IF(ISNUMBER(I143),I143-G143,0),0)</f>
        <v>0</v>
      </c>
    </row>
    <row r="144" customFormat="false" ht="15" hidden="false" customHeight="false" outlineLevel="0" collapsed="false">
      <c r="B144" s="54"/>
      <c r="C144" s="55"/>
      <c r="D144" s="55"/>
      <c r="E144" s="55"/>
      <c r="F144" s="56"/>
      <c r="G144" s="57"/>
      <c r="H144" s="55"/>
      <c r="I144" s="57"/>
      <c r="J144" s="54"/>
      <c r="K144" s="56"/>
      <c r="L144" s="57"/>
      <c r="M144" s="54"/>
      <c r="N144" s="58" t="str">
        <f aca="false">IF(S144=1,IF(U144&lt;0,"",U144),IF(Y144=1,X144,""))</f>
        <v/>
      </c>
      <c r="O144" s="59" t="str">
        <f aca="false">IF(S144=1,IF(ISNUMBER(I144),I144-G144,""),"")</f>
        <v/>
      </c>
      <c r="P144" s="59" t="str">
        <f aca="false">IF(T144=1,IF(ISNUMBER(L144),L144-G144,""),"")</f>
        <v/>
      </c>
      <c r="Q144" s="60" t="str">
        <f aca="false">IF(C144="","",IF(T144=1,"✔ SOLD / VENDIDO",IF(S144=0,"— CLOSED / CERRADO",IF(U144&lt;0,"⚠ ADD DATE / AGREGA FECHA",IF(U144&gt;=Settings!$C$8,"⚠ STALE – REPRICE / ESTANCADO",IF(U144&gt;=Settings!$C$7,"● WATCH / VIGILAR","✔ FRESH / RECIENTE"))))))</f>
        <v/>
      </c>
      <c r="S144" s="53" t="n">
        <f aca="false">IF(C144="",0,IF(OR(J144="",J144="In Stock / En Inventario",J144="Listed / Publicado"),1,0))</f>
        <v>0</v>
      </c>
      <c r="T144" s="53" t="n">
        <f aca="false">IF(C144="",0,IF(J144="Sold / Vendido",1,0))</f>
        <v>0</v>
      </c>
      <c r="U144" s="53" t="n">
        <f aca="true">IF(S144=1,IF(ISNUMBER(F144),TODAY()-F144,-1),-1)</f>
        <v>-1</v>
      </c>
      <c r="V144" s="53" t="n">
        <f aca="false">IF(U144&lt;0,IF(S144=1,5,0),IF(U144&lt;=30,1,IF(U144&lt;=60,2,IF(U144&lt;=90,3,4))))</f>
        <v>0</v>
      </c>
      <c r="W144" s="53" t="n">
        <f aca="false">IF(U144&lt;0,-1000000000000000,U144+ROW()/1000000)</f>
        <v>-1000000000000000</v>
      </c>
      <c r="X144" s="53" t="n">
        <f aca="false">IF(T144=1,IF(AND(ISNUMBER(F144),ISNUMBER(K144)),K144-F144,0),0)</f>
        <v>0</v>
      </c>
      <c r="Y144" s="53" t="n">
        <f aca="false">IF(T144=1,IF(AND(ISNUMBER(F144),ISNUMBER(K144)),1,0),0)</f>
        <v>0</v>
      </c>
      <c r="Z144" s="53" t="n">
        <f aca="false">IF(U144&gt;=Settings!$C$8,1,0)</f>
        <v>0</v>
      </c>
      <c r="AA144" s="53" t="n">
        <f aca="false">IF(S144=1,IF(J144="Listed / Publicado",0,1),0)</f>
        <v>0</v>
      </c>
      <c r="AB144" s="53" t="n">
        <f aca="false">IF(T144=1,IF(ISNUMBER(L144),L144-G144,0),0)</f>
        <v>0</v>
      </c>
      <c r="AC144" s="53" t="n">
        <f aca="false">IF(S144=1,IF(ISNUMBER(I144),I144-G144,0),0)</f>
        <v>0</v>
      </c>
    </row>
    <row r="145" customFormat="false" ht="15" hidden="false" customHeight="false" outlineLevel="0" collapsed="false">
      <c r="B145" s="54"/>
      <c r="C145" s="55"/>
      <c r="D145" s="55"/>
      <c r="E145" s="55"/>
      <c r="F145" s="56"/>
      <c r="G145" s="57"/>
      <c r="H145" s="55"/>
      <c r="I145" s="57"/>
      <c r="J145" s="54"/>
      <c r="K145" s="56"/>
      <c r="L145" s="57"/>
      <c r="M145" s="54"/>
      <c r="N145" s="58" t="str">
        <f aca="false">IF(S145=1,IF(U145&lt;0,"",U145),IF(Y145=1,X145,""))</f>
        <v/>
      </c>
      <c r="O145" s="59" t="str">
        <f aca="false">IF(S145=1,IF(ISNUMBER(I145),I145-G145,""),"")</f>
        <v/>
      </c>
      <c r="P145" s="59" t="str">
        <f aca="false">IF(T145=1,IF(ISNUMBER(L145),L145-G145,""),"")</f>
        <v/>
      </c>
      <c r="Q145" s="60" t="str">
        <f aca="false">IF(C145="","",IF(T145=1,"✔ SOLD / VENDIDO",IF(S145=0,"— CLOSED / CERRADO",IF(U145&lt;0,"⚠ ADD DATE / AGREGA FECHA",IF(U145&gt;=Settings!$C$8,"⚠ STALE – REPRICE / ESTANCADO",IF(U145&gt;=Settings!$C$7,"● WATCH / VIGILAR","✔ FRESH / RECIENTE"))))))</f>
        <v/>
      </c>
      <c r="S145" s="53" t="n">
        <f aca="false">IF(C145="",0,IF(OR(J145="",J145="In Stock / En Inventario",J145="Listed / Publicado"),1,0))</f>
        <v>0</v>
      </c>
      <c r="T145" s="53" t="n">
        <f aca="false">IF(C145="",0,IF(J145="Sold / Vendido",1,0))</f>
        <v>0</v>
      </c>
      <c r="U145" s="53" t="n">
        <f aca="true">IF(S145=1,IF(ISNUMBER(F145),TODAY()-F145,-1),-1)</f>
        <v>-1</v>
      </c>
      <c r="V145" s="53" t="n">
        <f aca="false">IF(U145&lt;0,IF(S145=1,5,0),IF(U145&lt;=30,1,IF(U145&lt;=60,2,IF(U145&lt;=90,3,4))))</f>
        <v>0</v>
      </c>
      <c r="W145" s="53" t="n">
        <f aca="false">IF(U145&lt;0,-1000000000000000,U145+ROW()/1000000)</f>
        <v>-1000000000000000</v>
      </c>
      <c r="X145" s="53" t="n">
        <f aca="false">IF(T145=1,IF(AND(ISNUMBER(F145),ISNUMBER(K145)),K145-F145,0),0)</f>
        <v>0</v>
      </c>
      <c r="Y145" s="53" t="n">
        <f aca="false">IF(T145=1,IF(AND(ISNUMBER(F145),ISNUMBER(K145)),1,0),0)</f>
        <v>0</v>
      </c>
      <c r="Z145" s="53" t="n">
        <f aca="false">IF(U145&gt;=Settings!$C$8,1,0)</f>
        <v>0</v>
      </c>
      <c r="AA145" s="53" t="n">
        <f aca="false">IF(S145=1,IF(J145="Listed / Publicado",0,1),0)</f>
        <v>0</v>
      </c>
      <c r="AB145" s="53" t="n">
        <f aca="false">IF(T145=1,IF(ISNUMBER(L145),L145-G145,0),0)</f>
        <v>0</v>
      </c>
      <c r="AC145" s="53" t="n">
        <f aca="false">IF(S145=1,IF(ISNUMBER(I145),I145-G145,0),0)</f>
        <v>0</v>
      </c>
    </row>
    <row r="146" customFormat="false" ht="15" hidden="false" customHeight="false" outlineLevel="0" collapsed="false">
      <c r="B146" s="54"/>
      <c r="C146" s="55"/>
      <c r="D146" s="55"/>
      <c r="E146" s="55"/>
      <c r="F146" s="56"/>
      <c r="G146" s="57"/>
      <c r="H146" s="55"/>
      <c r="I146" s="57"/>
      <c r="J146" s="54"/>
      <c r="K146" s="56"/>
      <c r="L146" s="57"/>
      <c r="M146" s="54"/>
      <c r="N146" s="58" t="str">
        <f aca="false">IF(S146=1,IF(U146&lt;0,"",U146),IF(Y146=1,X146,""))</f>
        <v/>
      </c>
      <c r="O146" s="59" t="str">
        <f aca="false">IF(S146=1,IF(ISNUMBER(I146),I146-G146,""),"")</f>
        <v/>
      </c>
      <c r="P146" s="59" t="str">
        <f aca="false">IF(T146=1,IF(ISNUMBER(L146),L146-G146,""),"")</f>
        <v/>
      </c>
      <c r="Q146" s="60" t="str">
        <f aca="false">IF(C146="","",IF(T146=1,"✔ SOLD / VENDIDO",IF(S146=0,"— CLOSED / CERRADO",IF(U146&lt;0,"⚠ ADD DATE / AGREGA FECHA",IF(U146&gt;=Settings!$C$8,"⚠ STALE – REPRICE / ESTANCADO",IF(U146&gt;=Settings!$C$7,"● WATCH / VIGILAR","✔ FRESH / RECIENTE"))))))</f>
        <v/>
      </c>
      <c r="S146" s="53" t="n">
        <f aca="false">IF(C146="",0,IF(OR(J146="",J146="In Stock / En Inventario",J146="Listed / Publicado"),1,0))</f>
        <v>0</v>
      </c>
      <c r="T146" s="53" t="n">
        <f aca="false">IF(C146="",0,IF(J146="Sold / Vendido",1,0))</f>
        <v>0</v>
      </c>
      <c r="U146" s="53" t="n">
        <f aca="true">IF(S146=1,IF(ISNUMBER(F146),TODAY()-F146,-1),-1)</f>
        <v>-1</v>
      </c>
      <c r="V146" s="53" t="n">
        <f aca="false">IF(U146&lt;0,IF(S146=1,5,0),IF(U146&lt;=30,1,IF(U146&lt;=60,2,IF(U146&lt;=90,3,4))))</f>
        <v>0</v>
      </c>
      <c r="W146" s="53" t="n">
        <f aca="false">IF(U146&lt;0,-1000000000000000,U146+ROW()/1000000)</f>
        <v>-1000000000000000</v>
      </c>
      <c r="X146" s="53" t="n">
        <f aca="false">IF(T146=1,IF(AND(ISNUMBER(F146),ISNUMBER(K146)),K146-F146,0),0)</f>
        <v>0</v>
      </c>
      <c r="Y146" s="53" t="n">
        <f aca="false">IF(T146=1,IF(AND(ISNUMBER(F146),ISNUMBER(K146)),1,0),0)</f>
        <v>0</v>
      </c>
      <c r="Z146" s="53" t="n">
        <f aca="false">IF(U146&gt;=Settings!$C$8,1,0)</f>
        <v>0</v>
      </c>
      <c r="AA146" s="53" t="n">
        <f aca="false">IF(S146=1,IF(J146="Listed / Publicado",0,1),0)</f>
        <v>0</v>
      </c>
      <c r="AB146" s="53" t="n">
        <f aca="false">IF(T146=1,IF(ISNUMBER(L146),L146-G146,0),0)</f>
        <v>0</v>
      </c>
      <c r="AC146" s="53" t="n">
        <f aca="false">IF(S146=1,IF(ISNUMBER(I146),I146-G146,0),0)</f>
        <v>0</v>
      </c>
    </row>
    <row r="147" customFormat="false" ht="15" hidden="false" customHeight="false" outlineLevel="0" collapsed="false">
      <c r="B147" s="54"/>
      <c r="C147" s="55"/>
      <c r="D147" s="55"/>
      <c r="E147" s="55"/>
      <c r="F147" s="56"/>
      <c r="G147" s="57"/>
      <c r="H147" s="55"/>
      <c r="I147" s="57"/>
      <c r="J147" s="54"/>
      <c r="K147" s="56"/>
      <c r="L147" s="57"/>
      <c r="M147" s="54"/>
      <c r="N147" s="58" t="str">
        <f aca="false">IF(S147=1,IF(U147&lt;0,"",U147),IF(Y147=1,X147,""))</f>
        <v/>
      </c>
      <c r="O147" s="59" t="str">
        <f aca="false">IF(S147=1,IF(ISNUMBER(I147),I147-G147,""),"")</f>
        <v/>
      </c>
      <c r="P147" s="59" t="str">
        <f aca="false">IF(T147=1,IF(ISNUMBER(L147),L147-G147,""),"")</f>
        <v/>
      </c>
      <c r="Q147" s="60" t="str">
        <f aca="false">IF(C147="","",IF(T147=1,"✔ SOLD / VENDIDO",IF(S147=0,"— CLOSED / CERRADO",IF(U147&lt;0,"⚠ ADD DATE / AGREGA FECHA",IF(U147&gt;=Settings!$C$8,"⚠ STALE – REPRICE / ESTANCADO",IF(U147&gt;=Settings!$C$7,"● WATCH / VIGILAR","✔ FRESH / RECIENTE"))))))</f>
        <v/>
      </c>
      <c r="S147" s="53" t="n">
        <f aca="false">IF(C147="",0,IF(OR(J147="",J147="In Stock / En Inventario",J147="Listed / Publicado"),1,0))</f>
        <v>0</v>
      </c>
      <c r="T147" s="53" t="n">
        <f aca="false">IF(C147="",0,IF(J147="Sold / Vendido",1,0))</f>
        <v>0</v>
      </c>
      <c r="U147" s="53" t="n">
        <f aca="true">IF(S147=1,IF(ISNUMBER(F147),TODAY()-F147,-1),-1)</f>
        <v>-1</v>
      </c>
      <c r="V147" s="53" t="n">
        <f aca="false">IF(U147&lt;0,IF(S147=1,5,0),IF(U147&lt;=30,1,IF(U147&lt;=60,2,IF(U147&lt;=90,3,4))))</f>
        <v>0</v>
      </c>
      <c r="W147" s="53" t="n">
        <f aca="false">IF(U147&lt;0,-1000000000000000,U147+ROW()/1000000)</f>
        <v>-1000000000000000</v>
      </c>
      <c r="X147" s="53" t="n">
        <f aca="false">IF(T147=1,IF(AND(ISNUMBER(F147),ISNUMBER(K147)),K147-F147,0),0)</f>
        <v>0</v>
      </c>
      <c r="Y147" s="53" t="n">
        <f aca="false">IF(T147=1,IF(AND(ISNUMBER(F147),ISNUMBER(K147)),1,0),0)</f>
        <v>0</v>
      </c>
      <c r="Z147" s="53" t="n">
        <f aca="false">IF(U147&gt;=Settings!$C$8,1,0)</f>
        <v>0</v>
      </c>
      <c r="AA147" s="53" t="n">
        <f aca="false">IF(S147=1,IF(J147="Listed / Publicado",0,1),0)</f>
        <v>0</v>
      </c>
      <c r="AB147" s="53" t="n">
        <f aca="false">IF(T147=1,IF(ISNUMBER(L147),L147-G147,0),0)</f>
        <v>0</v>
      </c>
      <c r="AC147" s="53" t="n">
        <f aca="false">IF(S147=1,IF(ISNUMBER(I147),I147-G147,0),0)</f>
        <v>0</v>
      </c>
    </row>
    <row r="148" customFormat="false" ht="15" hidden="false" customHeight="false" outlineLevel="0" collapsed="false">
      <c r="B148" s="54"/>
      <c r="C148" s="55"/>
      <c r="D148" s="55"/>
      <c r="E148" s="55"/>
      <c r="F148" s="56"/>
      <c r="G148" s="57"/>
      <c r="H148" s="55"/>
      <c r="I148" s="57"/>
      <c r="J148" s="54"/>
      <c r="K148" s="56"/>
      <c r="L148" s="57"/>
      <c r="M148" s="54"/>
      <c r="N148" s="58" t="str">
        <f aca="false">IF(S148=1,IF(U148&lt;0,"",U148),IF(Y148=1,X148,""))</f>
        <v/>
      </c>
      <c r="O148" s="59" t="str">
        <f aca="false">IF(S148=1,IF(ISNUMBER(I148),I148-G148,""),"")</f>
        <v/>
      </c>
      <c r="P148" s="59" t="str">
        <f aca="false">IF(T148=1,IF(ISNUMBER(L148),L148-G148,""),"")</f>
        <v/>
      </c>
      <c r="Q148" s="60" t="str">
        <f aca="false">IF(C148="","",IF(T148=1,"✔ SOLD / VENDIDO",IF(S148=0,"— CLOSED / CERRADO",IF(U148&lt;0,"⚠ ADD DATE / AGREGA FECHA",IF(U148&gt;=Settings!$C$8,"⚠ STALE – REPRICE / ESTANCADO",IF(U148&gt;=Settings!$C$7,"● WATCH / VIGILAR","✔ FRESH / RECIENTE"))))))</f>
        <v/>
      </c>
      <c r="S148" s="53" t="n">
        <f aca="false">IF(C148="",0,IF(OR(J148="",J148="In Stock / En Inventario",J148="Listed / Publicado"),1,0))</f>
        <v>0</v>
      </c>
      <c r="T148" s="53" t="n">
        <f aca="false">IF(C148="",0,IF(J148="Sold / Vendido",1,0))</f>
        <v>0</v>
      </c>
      <c r="U148" s="53" t="n">
        <f aca="true">IF(S148=1,IF(ISNUMBER(F148),TODAY()-F148,-1),-1)</f>
        <v>-1</v>
      </c>
      <c r="V148" s="53" t="n">
        <f aca="false">IF(U148&lt;0,IF(S148=1,5,0),IF(U148&lt;=30,1,IF(U148&lt;=60,2,IF(U148&lt;=90,3,4))))</f>
        <v>0</v>
      </c>
      <c r="W148" s="53" t="n">
        <f aca="false">IF(U148&lt;0,-1000000000000000,U148+ROW()/1000000)</f>
        <v>-1000000000000000</v>
      </c>
      <c r="X148" s="53" t="n">
        <f aca="false">IF(T148=1,IF(AND(ISNUMBER(F148),ISNUMBER(K148)),K148-F148,0),0)</f>
        <v>0</v>
      </c>
      <c r="Y148" s="53" t="n">
        <f aca="false">IF(T148=1,IF(AND(ISNUMBER(F148),ISNUMBER(K148)),1,0),0)</f>
        <v>0</v>
      </c>
      <c r="Z148" s="53" t="n">
        <f aca="false">IF(U148&gt;=Settings!$C$8,1,0)</f>
        <v>0</v>
      </c>
      <c r="AA148" s="53" t="n">
        <f aca="false">IF(S148=1,IF(J148="Listed / Publicado",0,1),0)</f>
        <v>0</v>
      </c>
      <c r="AB148" s="53" t="n">
        <f aca="false">IF(T148=1,IF(ISNUMBER(L148),L148-G148,0),0)</f>
        <v>0</v>
      </c>
      <c r="AC148" s="53" t="n">
        <f aca="false">IF(S148=1,IF(ISNUMBER(I148),I148-G148,0),0)</f>
        <v>0</v>
      </c>
    </row>
    <row r="149" customFormat="false" ht="15" hidden="false" customHeight="false" outlineLevel="0" collapsed="false">
      <c r="B149" s="54"/>
      <c r="C149" s="55"/>
      <c r="D149" s="55"/>
      <c r="E149" s="55"/>
      <c r="F149" s="56"/>
      <c r="G149" s="57"/>
      <c r="H149" s="55"/>
      <c r="I149" s="57"/>
      <c r="J149" s="54"/>
      <c r="K149" s="56"/>
      <c r="L149" s="57"/>
      <c r="M149" s="54"/>
      <c r="N149" s="58" t="str">
        <f aca="false">IF(S149=1,IF(U149&lt;0,"",U149),IF(Y149=1,X149,""))</f>
        <v/>
      </c>
      <c r="O149" s="59" t="str">
        <f aca="false">IF(S149=1,IF(ISNUMBER(I149),I149-G149,""),"")</f>
        <v/>
      </c>
      <c r="P149" s="59" t="str">
        <f aca="false">IF(T149=1,IF(ISNUMBER(L149),L149-G149,""),"")</f>
        <v/>
      </c>
      <c r="Q149" s="60" t="str">
        <f aca="false">IF(C149="","",IF(T149=1,"✔ SOLD / VENDIDO",IF(S149=0,"— CLOSED / CERRADO",IF(U149&lt;0,"⚠ ADD DATE / AGREGA FECHA",IF(U149&gt;=Settings!$C$8,"⚠ STALE – REPRICE / ESTANCADO",IF(U149&gt;=Settings!$C$7,"● WATCH / VIGILAR","✔ FRESH / RECIENTE"))))))</f>
        <v/>
      </c>
      <c r="S149" s="53" t="n">
        <f aca="false">IF(C149="",0,IF(OR(J149="",J149="In Stock / En Inventario",J149="Listed / Publicado"),1,0))</f>
        <v>0</v>
      </c>
      <c r="T149" s="53" t="n">
        <f aca="false">IF(C149="",0,IF(J149="Sold / Vendido",1,0))</f>
        <v>0</v>
      </c>
      <c r="U149" s="53" t="n">
        <f aca="true">IF(S149=1,IF(ISNUMBER(F149),TODAY()-F149,-1),-1)</f>
        <v>-1</v>
      </c>
      <c r="V149" s="53" t="n">
        <f aca="false">IF(U149&lt;0,IF(S149=1,5,0),IF(U149&lt;=30,1,IF(U149&lt;=60,2,IF(U149&lt;=90,3,4))))</f>
        <v>0</v>
      </c>
      <c r="W149" s="53" t="n">
        <f aca="false">IF(U149&lt;0,-1000000000000000,U149+ROW()/1000000)</f>
        <v>-1000000000000000</v>
      </c>
      <c r="X149" s="53" t="n">
        <f aca="false">IF(T149=1,IF(AND(ISNUMBER(F149),ISNUMBER(K149)),K149-F149,0),0)</f>
        <v>0</v>
      </c>
      <c r="Y149" s="53" t="n">
        <f aca="false">IF(T149=1,IF(AND(ISNUMBER(F149),ISNUMBER(K149)),1,0),0)</f>
        <v>0</v>
      </c>
      <c r="Z149" s="53" t="n">
        <f aca="false">IF(U149&gt;=Settings!$C$8,1,0)</f>
        <v>0</v>
      </c>
      <c r="AA149" s="53" t="n">
        <f aca="false">IF(S149=1,IF(J149="Listed / Publicado",0,1),0)</f>
        <v>0</v>
      </c>
      <c r="AB149" s="53" t="n">
        <f aca="false">IF(T149=1,IF(ISNUMBER(L149),L149-G149,0),0)</f>
        <v>0</v>
      </c>
      <c r="AC149" s="53" t="n">
        <f aca="false">IF(S149=1,IF(ISNUMBER(I149),I149-G149,0),0)</f>
        <v>0</v>
      </c>
    </row>
    <row r="150" customFormat="false" ht="15" hidden="false" customHeight="false" outlineLevel="0" collapsed="false">
      <c r="B150" s="54"/>
      <c r="C150" s="55"/>
      <c r="D150" s="55"/>
      <c r="E150" s="55"/>
      <c r="F150" s="56"/>
      <c r="G150" s="57"/>
      <c r="H150" s="55"/>
      <c r="I150" s="57"/>
      <c r="J150" s="54"/>
      <c r="K150" s="56"/>
      <c r="L150" s="57"/>
      <c r="M150" s="54"/>
      <c r="N150" s="58" t="str">
        <f aca="false">IF(S150=1,IF(U150&lt;0,"",U150),IF(Y150=1,X150,""))</f>
        <v/>
      </c>
      <c r="O150" s="59" t="str">
        <f aca="false">IF(S150=1,IF(ISNUMBER(I150),I150-G150,""),"")</f>
        <v/>
      </c>
      <c r="P150" s="59" t="str">
        <f aca="false">IF(T150=1,IF(ISNUMBER(L150),L150-G150,""),"")</f>
        <v/>
      </c>
      <c r="Q150" s="60" t="str">
        <f aca="false">IF(C150="","",IF(T150=1,"✔ SOLD / VENDIDO",IF(S150=0,"— CLOSED / CERRADO",IF(U150&lt;0,"⚠ ADD DATE / AGREGA FECHA",IF(U150&gt;=Settings!$C$8,"⚠ STALE – REPRICE / ESTANCADO",IF(U150&gt;=Settings!$C$7,"● WATCH / VIGILAR","✔ FRESH / RECIENTE"))))))</f>
        <v/>
      </c>
      <c r="S150" s="53" t="n">
        <f aca="false">IF(C150="",0,IF(OR(J150="",J150="In Stock / En Inventario",J150="Listed / Publicado"),1,0))</f>
        <v>0</v>
      </c>
      <c r="T150" s="53" t="n">
        <f aca="false">IF(C150="",0,IF(J150="Sold / Vendido",1,0))</f>
        <v>0</v>
      </c>
      <c r="U150" s="53" t="n">
        <f aca="true">IF(S150=1,IF(ISNUMBER(F150),TODAY()-F150,-1),-1)</f>
        <v>-1</v>
      </c>
      <c r="V150" s="53" t="n">
        <f aca="false">IF(U150&lt;0,IF(S150=1,5,0),IF(U150&lt;=30,1,IF(U150&lt;=60,2,IF(U150&lt;=90,3,4))))</f>
        <v>0</v>
      </c>
      <c r="W150" s="53" t="n">
        <f aca="false">IF(U150&lt;0,-1000000000000000,U150+ROW()/1000000)</f>
        <v>-1000000000000000</v>
      </c>
      <c r="X150" s="53" t="n">
        <f aca="false">IF(T150=1,IF(AND(ISNUMBER(F150),ISNUMBER(K150)),K150-F150,0),0)</f>
        <v>0</v>
      </c>
      <c r="Y150" s="53" t="n">
        <f aca="false">IF(T150=1,IF(AND(ISNUMBER(F150),ISNUMBER(K150)),1,0),0)</f>
        <v>0</v>
      </c>
      <c r="Z150" s="53" t="n">
        <f aca="false">IF(U150&gt;=Settings!$C$8,1,0)</f>
        <v>0</v>
      </c>
      <c r="AA150" s="53" t="n">
        <f aca="false">IF(S150=1,IF(J150="Listed / Publicado",0,1),0)</f>
        <v>0</v>
      </c>
      <c r="AB150" s="53" t="n">
        <f aca="false">IF(T150=1,IF(ISNUMBER(L150),L150-G150,0),0)</f>
        <v>0</v>
      </c>
      <c r="AC150" s="53" t="n">
        <f aca="false">IF(S150=1,IF(ISNUMBER(I150),I150-G150,0),0)</f>
        <v>0</v>
      </c>
    </row>
    <row r="151" customFormat="false" ht="15" hidden="false" customHeight="false" outlineLevel="0" collapsed="false">
      <c r="B151" s="54"/>
      <c r="C151" s="55"/>
      <c r="D151" s="55"/>
      <c r="E151" s="55"/>
      <c r="F151" s="56"/>
      <c r="G151" s="57"/>
      <c r="H151" s="55"/>
      <c r="I151" s="57"/>
      <c r="J151" s="54"/>
      <c r="K151" s="56"/>
      <c r="L151" s="57"/>
      <c r="M151" s="54"/>
      <c r="N151" s="58" t="str">
        <f aca="false">IF(S151=1,IF(U151&lt;0,"",U151),IF(Y151=1,X151,""))</f>
        <v/>
      </c>
      <c r="O151" s="59" t="str">
        <f aca="false">IF(S151=1,IF(ISNUMBER(I151),I151-G151,""),"")</f>
        <v/>
      </c>
      <c r="P151" s="59" t="str">
        <f aca="false">IF(T151=1,IF(ISNUMBER(L151),L151-G151,""),"")</f>
        <v/>
      </c>
      <c r="Q151" s="60" t="str">
        <f aca="false">IF(C151="","",IF(T151=1,"✔ SOLD / VENDIDO",IF(S151=0,"— CLOSED / CERRADO",IF(U151&lt;0,"⚠ ADD DATE / AGREGA FECHA",IF(U151&gt;=Settings!$C$8,"⚠ STALE – REPRICE / ESTANCADO",IF(U151&gt;=Settings!$C$7,"● WATCH / VIGILAR","✔ FRESH / RECIENTE"))))))</f>
        <v/>
      </c>
      <c r="S151" s="53" t="n">
        <f aca="false">IF(C151="",0,IF(OR(J151="",J151="In Stock / En Inventario",J151="Listed / Publicado"),1,0))</f>
        <v>0</v>
      </c>
      <c r="T151" s="53" t="n">
        <f aca="false">IF(C151="",0,IF(J151="Sold / Vendido",1,0))</f>
        <v>0</v>
      </c>
      <c r="U151" s="53" t="n">
        <f aca="true">IF(S151=1,IF(ISNUMBER(F151),TODAY()-F151,-1),-1)</f>
        <v>-1</v>
      </c>
      <c r="V151" s="53" t="n">
        <f aca="false">IF(U151&lt;0,IF(S151=1,5,0),IF(U151&lt;=30,1,IF(U151&lt;=60,2,IF(U151&lt;=90,3,4))))</f>
        <v>0</v>
      </c>
      <c r="W151" s="53" t="n">
        <f aca="false">IF(U151&lt;0,-1000000000000000,U151+ROW()/1000000)</f>
        <v>-1000000000000000</v>
      </c>
      <c r="X151" s="53" t="n">
        <f aca="false">IF(T151=1,IF(AND(ISNUMBER(F151),ISNUMBER(K151)),K151-F151,0),0)</f>
        <v>0</v>
      </c>
      <c r="Y151" s="53" t="n">
        <f aca="false">IF(T151=1,IF(AND(ISNUMBER(F151),ISNUMBER(K151)),1,0),0)</f>
        <v>0</v>
      </c>
      <c r="Z151" s="53" t="n">
        <f aca="false">IF(U151&gt;=Settings!$C$8,1,0)</f>
        <v>0</v>
      </c>
      <c r="AA151" s="53" t="n">
        <f aca="false">IF(S151=1,IF(J151="Listed / Publicado",0,1),0)</f>
        <v>0</v>
      </c>
      <c r="AB151" s="53" t="n">
        <f aca="false">IF(T151=1,IF(ISNUMBER(L151),L151-G151,0),0)</f>
        <v>0</v>
      </c>
      <c r="AC151" s="53" t="n">
        <f aca="false">IF(S151=1,IF(ISNUMBER(I151),I151-G151,0),0)</f>
        <v>0</v>
      </c>
    </row>
    <row r="152" customFormat="false" ht="15" hidden="false" customHeight="false" outlineLevel="0" collapsed="false">
      <c r="B152" s="54"/>
      <c r="C152" s="55"/>
      <c r="D152" s="55"/>
      <c r="E152" s="55"/>
      <c r="F152" s="56"/>
      <c r="G152" s="57"/>
      <c r="H152" s="55"/>
      <c r="I152" s="57"/>
      <c r="J152" s="54"/>
      <c r="K152" s="56"/>
      <c r="L152" s="57"/>
      <c r="M152" s="54"/>
      <c r="N152" s="58" t="str">
        <f aca="false">IF(S152=1,IF(U152&lt;0,"",U152),IF(Y152=1,X152,""))</f>
        <v/>
      </c>
      <c r="O152" s="59" t="str">
        <f aca="false">IF(S152=1,IF(ISNUMBER(I152),I152-G152,""),"")</f>
        <v/>
      </c>
      <c r="P152" s="59" t="str">
        <f aca="false">IF(T152=1,IF(ISNUMBER(L152),L152-G152,""),"")</f>
        <v/>
      </c>
      <c r="Q152" s="60" t="str">
        <f aca="false">IF(C152="","",IF(T152=1,"✔ SOLD / VENDIDO",IF(S152=0,"— CLOSED / CERRADO",IF(U152&lt;0,"⚠ ADD DATE / AGREGA FECHA",IF(U152&gt;=Settings!$C$8,"⚠ STALE – REPRICE / ESTANCADO",IF(U152&gt;=Settings!$C$7,"● WATCH / VIGILAR","✔ FRESH / RECIENTE"))))))</f>
        <v/>
      </c>
      <c r="S152" s="53" t="n">
        <f aca="false">IF(C152="",0,IF(OR(J152="",J152="In Stock / En Inventario",J152="Listed / Publicado"),1,0))</f>
        <v>0</v>
      </c>
      <c r="T152" s="53" t="n">
        <f aca="false">IF(C152="",0,IF(J152="Sold / Vendido",1,0))</f>
        <v>0</v>
      </c>
      <c r="U152" s="53" t="n">
        <f aca="true">IF(S152=1,IF(ISNUMBER(F152),TODAY()-F152,-1),-1)</f>
        <v>-1</v>
      </c>
      <c r="V152" s="53" t="n">
        <f aca="false">IF(U152&lt;0,IF(S152=1,5,0),IF(U152&lt;=30,1,IF(U152&lt;=60,2,IF(U152&lt;=90,3,4))))</f>
        <v>0</v>
      </c>
      <c r="W152" s="53" t="n">
        <f aca="false">IF(U152&lt;0,-1000000000000000,U152+ROW()/1000000)</f>
        <v>-1000000000000000</v>
      </c>
      <c r="X152" s="53" t="n">
        <f aca="false">IF(T152=1,IF(AND(ISNUMBER(F152),ISNUMBER(K152)),K152-F152,0),0)</f>
        <v>0</v>
      </c>
      <c r="Y152" s="53" t="n">
        <f aca="false">IF(T152=1,IF(AND(ISNUMBER(F152),ISNUMBER(K152)),1,0),0)</f>
        <v>0</v>
      </c>
      <c r="Z152" s="53" t="n">
        <f aca="false">IF(U152&gt;=Settings!$C$8,1,0)</f>
        <v>0</v>
      </c>
      <c r="AA152" s="53" t="n">
        <f aca="false">IF(S152=1,IF(J152="Listed / Publicado",0,1),0)</f>
        <v>0</v>
      </c>
      <c r="AB152" s="53" t="n">
        <f aca="false">IF(T152=1,IF(ISNUMBER(L152),L152-G152,0),0)</f>
        <v>0</v>
      </c>
      <c r="AC152" s="53" t="n">
        <f aca="false">IF(S152=1,IF(ISNUMBER(I152),I152-G152,0),0)</f>
        <v>0</v>
      </c>
    </row>
    <row r="153" customFormat="false" ht="15" hidden="false" customHeight="false" outlineLevel="0" collapsed="false">
      <c r="B153" s="54"/>
      <c r="C153" s="55"/>
      <c r="D153" s="55"/>
      <c r="E153" s="55"/>
      <c r="F153" s="56"/>
      <c r="G153" s="57"/>
      <c r="H153" s="55"/>
      <c r="I153" s="57"/>
      <c r="J153" s="54"/>
      <c r="K153" s="56"/>
      <c r="L153" s="57"/>
      <c r="M153" s="54"/>
      <c r="N153" s="58" t="str">
        <f aca="false">IF(S153=1,IF(U153&lt;0,"",U153),IF(Y153=1,X153,""))</f>
        <v/>
      </c>
      <c r="O153" s="59" t="str">
        <f aca="false">IF(S153=1,IF(ISNUMBER(I153),I153-G153,""),"")</f>
        <v/>
      </c>
      <c r="P153" s="59" t="str">
        <f aca="false">IF(T153=1,IF(ISNUMBER(L153),L153-G153,""),"")</f>
        <v/>
      </c>
      <c r="Q153" s="60" t="str">
        <f aca="false">IF(C153="","",IF(T153=1,"✔ SOLD / VENDIDO",IF(S153=0,"— CLOSED / CERRADO",IF(U153&lt;0,"⚠ ADD DATE / AGREGA FECHA",IF(U153&gt;=Settings!$C$8,"⚠ STALE – REPRICE / ESTANCADO",IF(U153&gt;=Settings!$C$7,"● WATCH / VIGILAR","✔ FRESH / RECIENTE"))))))</f>
        <v/>
      </c>
      <c r="S153" s="53" t="n">
        <f aca="false">IF(C153="",0,IF(OR(J153="",J153="In Stock / En Inventario",J153="Listed / Publicado"),1,0))</f>
        <v>0</v>
      </c>
      <c r="T153" s="53" t="n">
        <f aca="false">IF(C153="",0,IF(J153="Sold / Vendido",1,0))</f>
        <v>0</v>
      </c>
      <c r="U153" s="53" t="n">
        <f aca="true">IF(S153=1,IF(ISNUMBER(F153),TODAY()-F153,-1),-1)</f>
        <v>-1</v>
      </c>
      <c r="V153" s="53" t="n">
        <f aca="false">IF(U153&lt;0,IF(S153=1,5,0),IF(U153&lt;=30,1,IF(U153&lt;=60,2,IF(U153&lt;=90,3,4))))</f>
        <v>0</v>
      </c>
      <c r="W153" s="53" t="n">
        <f aca="false">IF(U153&lt;0,-1000000000000000,U153+ROW()/1000000)</f>
        <v>-1000000000000000</v>
      </c>
      <c r="X153" s="53" t="n">
        <f aca="false">IF(T153=1,IF(AND(ISNUMBER(F153),ISNUMBER(K153)),K153-F153,0),0)</f>
        <v>0</v>
      </c>
      <c r="Y153" s="53" t="n">
        <f aca="false">IF(T153=1,IF(AND(ISNUMBER(F153),ISNUMBER(K153)),1,0),0)</f>
        <v>0</v>
      </c>
      <c r="Z153" s="53" t="n">
        <f aca="false">IF(U153&gt;=Settings!$C$8,1,0)</f>
        <v>0</v>
      </c>
      <c r="AA153" s="53" t="n">
        <f aca="false">IF(S153=1,IF(J153="Listed / Publicado",0,1),0)</f>
        <v>0</v>
      </c>
      <c r="AB153" s="53" t="n">
        <f aca="false">IF(T153=1,IF(ISNUMBER(L153),L153-G153,0),0)</f>
        <v>0</v>
      </c>
      <c r="AC153" s="53" t="n">
        <f aca="false">IF(S153=1,IF(ISNUMBER(I153),I153-G153,0),0)</f>
        <v>0</v>
      </c>
    </row>
    <row r="154" customFormat="false" ht="15" hidden="false" customHeight="false" outlineLevel="0" collapsed="false">
      <c r="B154" s="54"/>
      <c r="C154" s="55"/>
      <c r="D154" s="55"/>
      <c r="E154" s="55"/>
      <c r="F154" s="56"/>
      <c r="G154" s="57"/>
      <c r="H154" s="55"/>
      <c r="I154" s="57"/>
      <c r="J154" s="54"/>
      <c r="K154" s="56"/>
      <c r="L154" s="57"/>
      <c r="M154" s="54"/>
      <c r="N154" s="58" t="str">
        <f aca="false">IF(S154=1,IF(U154&lt;0,"",U154),IF(Y154=1,X154,""))</f>
        <v/>
      </c>
      <c r="O154" s="59" t="str">
        <f aca="false">IF(S154=1,IF(ISNUMBER(I154),I154-G154,""),"")</f>
        <v/>
      </c>
      <c r="P154" s="59" t="str">
        <f aca="false">IF(T154=1,IF(ISNUMBER(L154),L154-G154,""),"")</f>
        <v/>
      </c>
      <c r="Q154" s="60" t="str">
        <f aca="false">IF(C154="","",IF(T154=1,"✔ SOLD / VENDIDO",IF(S154=0,"— CLOSED / CERRADO",IF(U154&lt;0,"⚠ ADD DATE / AGREGA FECHA",IF(U154&gt;=Settings!$C$8,"⚠ STALE – REPRICE / ESTANCADO",IF(U154&gt;=Settings!$C$7,"● WATCH / VIGILAR","✔ FRESH / RECIENTE"))))))</f>
        <v/>
      </c>
      <c r="S154" s="53" t="n">
        <f aca="false">IF(C154="",0,IF(OR(J154="",J154="In Stock / En Inventario",J154="Listed / Publicado"),1,0))</f>
        <v>0</v>
      </c>
      <c r="T154" s="53" t="n">
        <f aca="false">IF(C154="",0,IF(J154="Sold / Vendido",1,0))</f>
        <v>0</v>
      </c>
      <c r="U154" s="53" t="n">
        <f aca="true">IF(S154=1,IF(ISNUMBER(F154),TODAY()-F154,-1),-1)</f>
        <v>-1</v>
      </c>
      <c r="V154" s="53" t="n">
        <f aca="false">IF(U154&lt;0,IF(S154=1,5,0),IF(U154&lt;=30,1,IF(U154&lt;=60,2,IF(U154&lt;=90,3,4))))</f>
        <v>0</v>
      </c>
      <c r="W154" s="53" t="n">
        <f aca="false">IF(U154&lt;0,-1000000000000000,U154+ROW()/1000000)</f>
        <v>-1000000000000000</v>
      </c>
      <c r="X154" s="53" t="n">
        <f aca="false">IF(T154=1,IF(AND(ISNUMBER(F154),ISNUMBER(K154)),K154-F154,0),0)</f>
        <v>0</v>
      </c>
      <c r="Y154" s="53" t="n">
        <f aca="false">IF(T154=1,IF(AND(ISNUMBER(F154),ISNUMBER(K154)),1,0),0)</f>
        <v>0</v>
      </c>
      <c r="Z154" s="53" t="n">
        <f aca="false">IF(U154&gt;=Settings!$C$8,1,0)</f>
        <v>0</v>
      </c>
      <c r="AA154" s="53" t="n">
        <f aca="false">IF(S154=1,IF(J154="Listed / Publicado",0,1),0)</f>
        <v>0</v>
      </c>
      <c r="AB154" s="53" t="n">
        <f aca="false">IF(T154=1,IF(ISNUMBER(L154),L154-G154,0),0)</f>
        <v>0</v>
      </c>
      <c r="AC154" s="53" t="n">
        <f aca="false">IF(S154=1,IF(ISNUMBER(I154),I154-G154,0),0)</f>
        <v>0</v>
      </c>
    </row>
    <row r="155" customFormat="false" ht="15" hidden="false" customHeight="false" outlineLevel="0" collapsed="false">
      <c r="B155" s="54"/>
      <c r="C155" s="55"/>
      <c r="D155" s="55"/>
      <c r="E155" s="55"/>
      <c r="F155" s="56"/>
      <c r="G155" s="57"/>
      <c r="H155" s="55"/>
      <c r="I155" s="57"/>
      <c r="J155" s="54"/>
      <c r="K155" s="56"/>
      <c r="L155" s="57"/>
      <c r="M155" s="54"/>
      <c r="N155" s="58" t="str">
        <f aca="false">IF(S155=1,IF(U155&lt;0,"",U155),IF(Y155=1,X155,""))</f>
        <v/>
      </c>
      <c r="O155" s="59" t="str">
        <f aca="false">IF(S155=1,IF(ISNUMBER(I155),I155-G155,""),"")</f>
        <v/>
      </c>
      <c r="P155" s="59" t="str">
        <f aca="false">IF(T155=1,IF(ISNUMBER(L155),L155-G155,""),"")</f>
        <v/>
      </c>
      <c r="Q155" s="60" t="str">
        <f aca="false">IF(C155="","",IF(T155=1,"✔ SOLD / VENDIDO",IF(S155=0,"— CLOSED / CERRADO",IF(U155&lt;0,"⚠ ADD DATE / AGREGA FECHA",IF(U155&gt;=Settings!$C$8,"⚠ STALE – REPRICE / ESTANCADO",IF(U155&gt;=Settings!$C$7,"● WATCH / VIGILAR","✔ FRESH / RECIENTE"))))))</f>
        <v/>
      </c>
      <c r="S155" s="53" t="n">
        <f aca="false">IF(C155="",0,IF(OR(J155="",J155="In Stock / En Inventario",J155="Listed / Publicado"),1,0))</f>
        <v>0</v>
      </c>
      <c r="T155" s="53" t="n">
        <f aca="false">IF(C155="",0,IF(J155="Sold / Vendido",1,0))</f>
        <v>0</v>
      </c>
      <c r="U155" s="53" t="n">
        <f aca="true">IF(S155=1,IF(ISNUMBER(F155),TODAY()-F155,-1),-1)</f>
        <v>-1</v>
      </c>
      <c r="V155" s="53" t="n">
        <f aca="false">IF(U155&lt;0,IF(S155=1,5,0),IF(U155&lt;=30,1,IF(U155&lt;=60,2,IF(U155&lt;=90,3,4))))</f>
        <v>0</v>
      </c>
      <c r="W155" s="53" t="n">
        <f aca="false">IF(U155&lt;0,-1000000000000000,U155+ROW()/1000000)</f>
        <v>-1000000000000000</v>
      </c>
      <c r="X155" s="53" t="n">
        <f aca="false">IF(T155=1,IF(AND(ISNUMBER(F155),ISNUMBER(K155)),K155-F155,0),0)</f>
        <v>0</v>
      </c>
      <c r="Y155" s="53" t="n">
        <f aca="false">IF(T155=1,IF(AND(ISNUMBER(F155),ISNUMBER(K155)),1,0),0)</f>
        <v>0</v>
      </c>
      <c r="Z155" s="53" t="n">
        <f aca="false">IF(U155&gt;=Settings!$C$8,1,0)</f>
        <v>0</v>
      </c>
      <c r="AA155" s="53" t="n">
        <f aca="false">IF(S155=1,IF(J155="Listed / Publicado",0,1),0)</f>
        <v>0</v>
      </c>
      <c r="AB155" s="53" t="n">
        <f aca="false">IF(T155=1,IF(ISNUMBER(L155),L155-G155,0),0)</f>
        <v>0</v>
      </c>
      <c r="AC155" s="53" t="n">
        <f aca="false">IF(S155=1,IF(ISNUMBER(I155),I155-G155,0),0)</f>
        <v>0</v>
      </c>
    </row>
    <row r="156" customFormat="false" ht="15" hidden="false" customHeight="false" outlineLevel="0" collapsed="false">
      <c r="B156" s="54"/>
      <c r="C156" s="55"/>
      <c r="D156" s="55"/>
      <c r="E156" s="55"/>
      <c r="F156" s="56"/>
      <c r="G156" s="57"/>
      <c r="H156" s="55"/>
      <c r="I156" s="57"/>
      <c r="J156" s="54"/>
      <c r="K156" s="56"/>
      <c r="L156" s="57"/>
      <c r="M156" s="54"/>
      <c r="N156" s="58" t="str">
        <f aca="false">IF(S156=1,IF(U156&lt;0,"",U156),IF(Y156=1,X156,""))</f>
        <v/>
      </c>
      <c r="O156" s="59" t="str">
        <f aca="false">IF(S156=1,IF(ISNUMBER(I156),I156-G156,""),"")</f>
        <v/>
      </c>
      <c r="P156" s="59" t="str">
        <f aca="false">IF(T156=1,IF(ISNUMBER(L156),L156-G156,""),"")</f>
        <v/>
      </c>
      <c r="Q156" s="60" t="str">
        <f aca="false">IF(C156="","",IF(T156=1,"✔ SOLD / VENDIDO",IF(S156=0,"— CLOSED / CERRADO",IF(U156&lt;0,"⚠ ADD DATE / AGREGA FECHA",IF(U156&gt;=Settings!$C$8,"⚠ STALE – REPRICE / ESTANCADO",IF(U156&gt;=Settings!$C$7,"● WATCH / VIGILAR","✔ FRESH / RECIENTE"))))))</f>
        <v/>
      </c>
      <c r="S156" s="53" t="n">
        <f aca="false">IF(C156="",0,IF(OR(J156="",J156="In Stock / En Inventario",J156="Listed / Publicado"),1,0))</f>
        <v>0</v>
      </c>
      <c r="T156" s="53" t="n">
        <f aca="false">IF(C156="",0,IF(J156="Sold / Vendido",1,0))</f>
        <v>0</v>
      </c>
      <c r="U156" s="53" t="n">
        <f aca="true">IF(S156=1,IF(ISNUMBER(F156),TODAY()-F156,-1),-1)</f>
        <v>-1</v>
      </c>
      <c r="V156" s="53" t="n">
        <f aca="false">IF(U156&lt;0,IF(S156=1,5,0),IF(U156&lt;=30,1,IF(U156&lt;=60,2,IF(U156&lt;=90,3,4))))</f>
        <v>0</v>
      </c>
      <c r="W156" s="53" t="n">
        <f aca="false">IF(U156&lt;0,-1000000000000000,U156+ROW()/1000000)</f>
        <v>-1000000000000000</v>
      </c>
      <c r="X156" s="53" t="n">
        <f aca="false">IF(T156=1,IF(AND(ISNUMBER(F156),ISNUMBER(K156)),K156-F156,0),0)</f>
        <v>0</v>
      </c>
      <c r="Y156" s="53" t="n">
        <f aca="false">IF(T156=1,IF(AND(ISNUMBER(F156),ISNUMBER(K156)),1,0),0)</f>
        <v>0</v>
      </c>
      <c r="Z156" s="53" t="n">
        <f aca="false">IF(U156&gt;=Settings!$C$8,1,0)</f>
        <v>0</v>
      </c>
      <c r="AA156" s="53" t="n">
        <f aca="false">IF(S156=1,IF(J156="Listed / Publicado",0,1),0)</f>
        <v>0</v>
      </c>
      <c r="AB156" s="53" t="n">
        <f aca="false">IF(T156=1,IF(ISNUMBER(L156),L156-G156,0),0)</f>
        <v>0</v>
      </c>
      <c r="AC156" s="53" t="n">
        <f aca="false">IF(S156=1,IF(ISNUMBER(I156),I156-G156,0),0)</f>
        <v>0</v>
      </c>
    </row>
    <row r="157" customFormat="false" ht="15" hidden="false" customHeight="false" outlineLevel="0" collapsed="false">
      <c r="B157" s="54"/>
      <c r="C157" s="55"/>
      <c r="D157" s="55"/>
      <c r="E157" s="55"/>
      <c r="F157" s="56"/>
      <c r="G157" s="57"/>
      <c r="H157" s="55"/>
      <c r="I157" s="57"/>
      <c r="J157" s="54"/>
      <c r="K157" s="56"/>
      <c r="L157" s="57"/>
      <c r="M157" s="54"/>
      <c r="N157" s="58" t="str">
        <f aca="false">IF(S157=1,IF(U157&lt;0,"",U157),IF(Y157=1,X157,""))</f>
        <v/>
      </c>
      <c r="O157" s="59" t="str">
        <f aca="false">IF(S157=1,IF(ISNUMBER(I157),I157-G157,""),"")</f>
        <v/>
      </c>
      <c r="P157" s="59" t="str">
        <f aca="false">IF(T157=1,IF(ISNUMBER(L157),L157-G157,""),"")</f>
        <v/>
      </c>
      <c r="Q157" s="60" t="str">
        <f aca="false">IF(C157="","",IF(T157=1,"✔ SOLD / VENDIDO",IF(S157=0,"— CLOSED / CERRADO",IF(U157&lt;0,"⚠ ADD DATE / AGREGA FECHA",IF(U157&gt;=Settings!$C$8,"⚠ STALE – REPRICE / ESTANCADO",IF(U157&gt;=Settings!$C$7,"● WATCH / VIGILAR","✔ FRESH / RECIENTE"))))))</f>
        <v/>
      </c>
      <c r="S157" s="53" t="n">
        <f aca="false">IF(C157="",0,IF(OR(J157="",J157="In Stock / En Inventario",J157="Listed / Publicado"),1,0))</f>
        <v>0</v>
      </c>
      <c r="T157" s="53" t="n">
        <f aca="false">IF(C157="",0,IF(J157="Sold / Vendido",1,0))</f>
        <v>0</v>
      </c>
      <c r="U157" s="53" t="n">
        <f aca="true">IF(S157=1,IF(ISNUMBER(F157),TODAY()-F157,-1),-1)</f>
        <v>-1</v>
      </c>
      <c r="V157" s="53" t="n">
        <f aca="false">IF(U157&lt;0,IF(S157=1,5,0),IF(U157&lt;=30,1,IF(U157&lt;=60,2,IF(U157&lt;=90,3,4))))</f>
        <v>0</v>
      </c>
      <c r="W157" s="53" t="n">
        <f aca="false">IF(U157&lt;0,-1000000000000000,U157+ROW()/1000000)</f>
        <v>-1000000000000000</v>
      </c>
      <c r="X157" s="53" t="n">
        <f aca="false">IF(T157=1,IF(AND(ISNUMBER(F157),ISNUMBER(K157)),K157-F157,0),0)</f>
        <v>0</v>
      </c>
      <c r="Y157" s="53" t="n">
        <f aca="false">IF(T157=1,IF(AND(ISNUMBER(F157),ISNUMBER(K157)),1,0),0)</f>
        <v>0</v>
      </c>
      <c r="Z157" s="53" t="n">
        <f aca="false">IF(U157&gt;=Settings!$C$8,1,0)</f>
        <v>0</v>
      </c>
      <c r="AA157" s="53" t="n">
        <f aca="false">IF(S157=1,IF(J157="Listed / Publicado",0,1),0)</f>
        <v>0</v>
      </c>
      <c r="AB157" s="53" t="n">
        <f aca="false">IF(T157=1,IF(ISNUMBER(L157),L157-G157,0),0)</f>
        <v>0</v>
      </c>
      <c r="AC157" s="53" t="n">
        <f aca="false">IF(S157=1,IF(ISNUMBER(I157),I157-G157,0),0)</f>
        <v>0</v>
      </c>
    </row>
    <row r="158" customFormat="false" ht="15" hidden="false" customHeight="false" outlineLevel="0" collapsed="false">
      <c r="B158" s="54"/>
      <c r="C158" s="55"/>
      <c r="D158" s="55"/>
      <c r="E158" s="55"/>
      <c r="F158" s="56"/>
      <c r="G158" s="57"/>
      <c r="H158" s="55"/>
      <c r="I158" s="57"/>
      <c r="J158" s="54"/>
      <c r="K158" s="56"/>
      <c r="L158" s="57"/>
      <c r="M158" s="54"/>
      <c r="N158" s="58" t="str">
        <f aca="false">IF(S158=1,IF(U158&lt;0,"",U158),IF(Y158=1,X158,""))</f>
        <v/>
      </c>
      <c r="O158" s="59" t="str">
        <f aca="false">IF(S158=1,IF(ISNUMBER(I158),I158-G158,""),"")</f>
        <v/>
      </c>
      <c r="P158" s="59" t="str">
        <f aca="false">IF(T158=1,IF(ISNUMBER(L158),L158-G158,""),"")</f>
        <v/>
      </c>
      <c r="Q158" s="60" t="str">
        <f aca="false">IF(C158="","",IF(T158=1,"✔ SOLD / VENDIDO",IF(S158=0,"— CLOSED / CERRADO",IF(U158&lt;0,"⚠ ADD DATE / AGREGA FECHA",IF(U158&gt;=Settings!$C$8,"⚠ STALE – REPRICE / ESTANCADO",IF(U158&gt;=Settings!$C$7,"● WATCH / VIGILAR","✔ FRESH / RECIENTE"))))))</f>
        <v/>
      </c>
      <c r="S158" s="53" t="n">
        <f aca="false">IF(C158="",0,IF(OR(J158="",J158="In Stock / En Inventario",J158="Listed / Publicado"),1,0))</f>
        <v>0</v>
      </c>
      <c r="T158" s="53" t="n">
        <f aca="false">IF(C158="",0,IF(J158="Sold / Vendido",1,0))</f>
        <v>0</v>
      </c>
      <c r="U158" s="53" t="n">
        <f aca="true">IF(S158=1,IF(ISNUMBER(F158),TODAY()-F158,-1),-1)</f>
        <v>-1</v>
      </c>
      <c r="V158" s="53" t="n">
        <f aca="false">IF(U158&lt;0,IF(S158=1,5,0),IF(U158&lt;=30,1,IF(U158&lt;=60,2,IF(U158&lt;=90,3,4))))</f>
        <v>0</v>
      </c>
      <c r="W158" s="53" t="n">
        <f aca="false">IF(U158&lt;0,-1000000000000000,U158+ROW()/1000000)</f>
        <v>-1000000000000000</v>
      </c>
      <c r="X158" s="53" t="n">
        <f aca="false">IF(T158=1,IF(AND(ISNUMBER(F158),ISNUMBER(K158)),K158-F158,0),0)</f>
        <v>0</v>
      </c>
      <c r="Y158" s="53" t="n">
        <f aca="false">IF(T158=1,IF(AND(ISNUMBER(F158),ISNUMBER(K158)),1,0),0)</f>
        <v>0</v>
      </c>
      <c r="Z158" s="53" t="n">
        <f aca="false">IF(U158&gt;=Settings!$C$8,1,0)</f>
        <v>0</v>
      </c>
      <c r="AA158" s="53" t="n">
        <f aca="false">IF(S158=1,IF(J158="Listed / Publicado",0,1),0)</f>
        <v>0</v>
      </c>
      <c r="AB158" s="53" t="n">
        <f aca="false">IF(T158=1,IF(ISNUMBER(L158),L158-G158,0),0)</f>
        <v>0</v>
      </c>
      <c r="AC158" s="53" t="n">
        <f aca="false">IF(S158=1,IF(ISNUMBER(I158),I158-G158,0),0)</f>
        <v>0</v>
      </c>
    </row>
    <row r="159" customFormat="false" ht="15" hidden="false" customHeight="false" outlineLevel="0" collapsed="false">
      <c r="B159" s="54"/>
      <c r="C159" s="55"/>
      <c r="D159" s="55"/>
      <c r="E159" s="55"/>
      <c r="F159" s="56"/>
      <c r="G159" s="57"/>
      <c r="H159" s="55"/>
      <c r="I159" s="57"/>
      <c r="J159" s="54"/>
      <c r="K159" s="56"/>
      <c r="L159" s="57"/>
      <c r="M159" s="54"/>
      <c r="N159" s="58" t="str">
        <f aca="false">IF(S159=1,IF(U159&lt;0,"",U159),IF(Y159=1,X159,""))</f>
        <v/>
      </c>
      <c r="O159" s="59" t="str">
        <f aca="false">IF(S159=1,IF(ISNUMBER(I159),I159-G159,""),"")</f>
        <v/>
      </c>
      <c r="P159" s="59" t="str">
        <f aca="false">IF(T159=1,IF(ISNUMBER(L159),L159-G159,""),"")</f>
        <v/>
      </c>
      <c r="Q159" s="60" t="str">
        <f aca="false">IF(C159="","",IF(T159=1,"✔ SOLD / VENDIDO",IF(S159=0,"— CLOSED / CERRADO",IF(U159&lt;0,"⚠ ADD DATE / AGREGA FECHA",IF(U159&gt;=Settings!$C$8,"⚠ STALE – REPRICE / ESTANCADO",IF(U159&gt;=Settings!$C$7,"● WATCH / VIGILAR","✔ FRESH / RECIENTE"))))))</f>
        <v/>
      </c>
      <c r="S159" s="53" t="n">
        <f aca="false">IF(C159="",0,IF(OR(J159="",J159="In Stock / En Inventario",J159="Listed / Publicado"),1,0))</f>
        <v>0</v>
      </c>
      <c r="T159" s="53" t="n">
        <f aca="false">IF(C159="",0,IF(J159="Sold / Vendido",1,0))</f>
        <v>0</v>
      </c>
      <c r="U159" s="53" t="n">
        <f aca="true">IF(S159=1,IF(ISNUMBER(F159),TODAY()-F159,-1),-1)</f>
        <v>-1</v>
      </c>
      <c r="V159" s="53" t="n">
        <f aca="false">IF(U159&lt;0,IF(S159=1,5,0),IF(U159&lt;=30,1,IF(U159&lt;=60,2,IF(U159&lt;=90,3,4))))</f>
        <v>0</v>
      </c>
      <c r="W159" s="53" t="n">
        <f aca="false">IF(U159&lt;0,-1000000000000000,U159+ROW()/1000000)</f>
        <v>-1000000000000000</v>
      </c>
      <c r="X159" s="53" t="n">
        <f aca="false">IF(T159=1,IF(AND(ISNUMBER(F159),ISNUMBER(K159)),K159-F159,0),0)</f>
        <v>0</v>
      </c>
      <c r="Y159" s="53" t="n">
        <f aca="false">IF(T159=1,IF(AND(ISNUMBER(F159),ISNUMBER(K159)),1,0),0)</f>
        <v>0</v>
      </c>
      <c r="Z159" s="53" t="n">
        <f aca="false">IF(U159&gt;=Settings!$C$8,1,0)</f>
        <v>0</v>
      </c>
      <c r="AA159" s="53" t="n">
        <f aca="false">IF(S159=1,IF(J159="Listed / Publicado",0,1),0)</f>
        <v>0</v>
      </c>
      <c r="AB159" s="53" t="n">
        <f aca="false">IF(T159=1,IF(ISNUMBER(L159),L159-G159,0),0)</f>
        <v>0</v>
      </c>
      <c r="AC159" s="53" t="n">
        <f aca="false">IF(S159=1,IF(ISNUMBER(I159),I159-G159,0),0)</f>
        <v>0</v>
      </c>
    </row>
    <row r="160" customFormat="false" ht="15" hidden="false" customHeight="false" outlineLevel="0" collapsed="false">
      <c r="B160" s="54"/>
      <c r="C160" s="55"/>
      <c r="D160" s="55"/>
      <c r="E160" s="55"/>
      <c r="F160" s="56"/>
      <c r="G160" s="57"/>
      <c r="H160" s="55"/>
      <c r="I160" s="57"/>
      <c r="J160" s="54"/>
      <c r="K160" s="56"/>
      <c r="L160" s="57"/>
      <c r="M160" s="54"/>
      <c r="N160" s="58" t="str">
        <f aca="false">IF(S160=1,IF(U160&lt;0,"",U160),IF(Y160=1,X160,""))</f>
        <v/>
      </c>
      <c r="O160" s="59" t="str">
        <f aca="false">IF(S160=1,IF(ISNUMBER(I160),I160-G160,""),"")</f>
        <v/>
      </c>
      <c r="P160" s="59" t="str">
        <f aca="false">IF(T160=1,IF(ISNUMBER(L160),L160-G160,""),"")</f>
        <v/>
      </c>
      <c r="Q160" s="60" t="str">
        <f aca="false">IF(C160="","",IF(T160=1,"✔ SOLD / VENDIDO",IF(S160=0,"— CLOSED / CERRADO",IF(U160&lt;0,"⚠ ADD DATE / AGREGA FECHA",IF(U160&gt;=Settings!$C$8,"⚠ STALE – REPRICE / ESTANCADO",IF(U160&gt;=Settings!$C$7,"● WATCH / VIGILAR","✔ FRESH / RECIENTE"))))))</f>
        <v/>
      </c>
      <c r="S160" s="53" t="n">
        <f aca="false">IF(C160="",0,IF(OR(J160="",J160="In Stock / En Inventario",J160="Listed / Publicado"),1,0))</f>
        <v>0</v>
      </c>
      <c r="T160" s="53" t="n">
        <f aca="false">IF(C160="",0,IF(J160="Sold / Vendido",1,0))</f>
        <v>0</v>
      </c>
      <c r="U160" s="53" t="n">
        <f aca="true">IF(S160=1,IF(ISNUMBER(F160),TODAY()-F160,-1),-1)</f>
        <v>-1</v>
      </c>
      <c r="V160" s="53" t="n">
        <f aca="false">IF(U160&lt;0,IF(S160=1,5,0),IF(U160&lt;=30,1,IF(U160&lt;=60,2,IF(U160&lt;=90,3,4))))</f>
        <v>0</v>
      </c>
      <c r="W160" s="53" t="n">
        <f aca="false">IF(U160&lt;0,-1000000000000000,U160+ROW()/1000000)</f>
        <v>-1000000000000000</v>
      </c>
      <c r="X160" s="53" t="n">
        <f aca="false">IF(T160=1,IF(AND(ISNUMBER(F160),ISNUMBER(K160)),K160-F160,0),0)</f>
        <v>0</v>
      </c>
      <c r="Y160" s="53" t="n">
        <f aca="false">IF(T160=1,IF(AND(ISNUMBER(F160),ISNUMBER(K160)),1,0),0)</f>
        <v>0</v>
      </c>
      <c r="Z160" s="53" t="n">
        <f aca="false">IF(U160&gt;=Settings!$C$8,1,0)</f>
        <v>0</v>
      </c>
      <c r="AA160" s="53" t="n">
        <f aca="false">IF(S160=1,IF(J160="Listed / Publicado",0,1),0)</f>
        <v>0</v>
      </c>
      <c r="AB160" s="53" t="n">
        <f aca="false">IF(T160=1,IF(ISNUMBER(L160),L160-G160,0),0)</f>
        <v>0</v>
      </c>
      <c r="AC160" s="53" t="n">
        <f aca="false">IF(S160=1,IF(ISNUMBER(I160),I160-G160,0),0)</f>
        <v>0</v>
      </c>
    </row>
    <row r="161" customFormat="false" ht="15" hidden="false" customHeight="false" outlineLevel="0" collapsed="false">
      <c r="B161" s="54"/>
      <c r="C161" s="55"/>
      <c r="D161" s="55"/>
      <c r="E161" s="55"/>
      <c r="F161" s="56"/>
      <c r="G161" s="57"/>
      <c r="H161" s="55"/>
      <c r="I161" s="57"/>
      <c r="J161" s="54"/>
      <c r="K161" s="56"/>
      <c r="L161" s="57"/>
      <c r="M161" s="54"/>
      <c r="N161" s="58" t="str">
        <f aca="false">IF(S161=1,IF(U161&lt;0,"",U161),IF(Y161=1,X161,""))</f>
        <v/>
      </c>
      <c r="O161" s="59" t="str">
        <f aca="false">IF(S161=1,IF(ISNUMBER(I161),I161-G161,""),"")</f>
        <v/>
      </c>
      <c r="P161" s="59" t="str">
        <f aca="false">IF(T161=1,IF(ISNUMBER(L161),L161-G161,""),"")</f>
        <v/>
      </c>
      <c r="Q161" s="60" t="str">
        <f aca="false">IF(C161="","",IF(T161=1,"✔ SOLD / VENDIDO",IF(S161=0,"— CLOSED / CERRADO",IF(U161&lt;0,"⚠ ADD DATE / AGREGA FECHA",IF(U161&gt;=Settings!$C$8,"⚠ STALE – REPRICE / ESTANCADO",IF(U161&gt;=Settings!$C$7,"● WATCH / VIGILAR","✔ FRESH / RECIENTE"))))))</f>
        <v/>
      </c>
      <c r="S161" s="53" t="n">
        <f aca="false">IF(C161="",0,IF(OR(J161="",J161="In Stock / En Inventario",J161="Listed / Publicado"),1,0))</f>
        <v>0</v>
      </c>
      <c r="T161" s="53" t="n">
        <f aca="false">IF(C161="",0,IF(J161="Sold / Vendido",1,0))</f>
        <v>0</v>
      </c>
      <c r="U161" s="53" t="n">
        <f aca="true">IF(S161=1,IF(ISNUMBER(F161),TODAY()-F161,-1),-1)</f>
        <v>-1</v>
      </c>
      <c r="V161" s="53" t="n">
        <f aca="false">IF(U161&lt;0,IF(S161=1,5,0),IF(U161&lt;=30,1,IF(U161&lt;=60,2,IF(U161&lt;=90,3,4))))</f>
        <v>0</v>
      </c>
      <c r="W161" s="53" t="n">
        <f aca="false">IF(U161&lt;0,-1000000000000000,U161+ROW()/1000000)</f>
        <v>-1000000000000000</v>
      </c>
      <c r="X161" s="53" t="n">
        <f aca="false">IF(T161=1,IF(AND(ISNUMBER(F161),ISNUMBER(K161)),K161-F161,0),0)</f>
        <v>0</v>
      </c>
      <c r="Y161" s="53" t="n">
        <f aca="false">IF(T161=1,IF(AND(ISNUMBER(F161),ISNUMBER(K161)),1,0),0)</f>
        <v>0</v>
      </c>
      <c r="Z161" s="53" t="n">
        <f aca="false">IF(U161&gt;=Settings!$C$8,1,0)</f>
        <v>0</v>
      </c>
      <c r="AA161" s="53" t="n">
        <f aca="false">IF(S161=1,IF(J161="Listed / Publicado",0,1),0)</f>
        <v>0</v>
      </c>
      <c r="AB161" s="53" t="n">
        <f aca="false">IF(T161=1,IF(ISNUMBER(L161),L161-G161,0),0)</f>
        <v>0</v>
      </c>
      <c r="AC161" s="53" t="n">
        <f aca="false">IF(S161=1,IF(ISNUMBER(I161),I161-G161,0),0)</f>
        <v>0</v>
      </c>
    </row>
    <row r="162" customFormat="false" ht="15" hidden="false" customHeight="false" outlineLevel="0" collapsed="false">
      <c r="B162" s="54"/>
      <c r="C162" s="55"/>
      <c r="D162" s="55"/>
      <c r="E162" s="55"/>
      <c r="F162" s="56"/>
      <c r="G162" s="57"/>
      <c r="H162" s="55"/>
      <c r="I162" s="57"/>
      <c r="J162" s="54"/>
      <c r="K162" s="56"/>
      <c r="L162" s="57"/>
      <c r="M162" s="54"/>
      <c r="N162" s="58" t="str">
        <f aca="false">IF(S162=1,IF(U162&lt;0,"",U162),IF(Y162=1,X162,""))</f>
        <v/>
      </c>
      <c r="O162" s="59" t="str">
        <f aca="false">IF(S162=1,IF(ISNUMBER(I162),I162-G162,""),"")</f>
        <v/>
      </c>
      <c r="P162" s="59" t="str">
        <f aca="false">IF(T162=1,IF(ISNUMBER(L162),L162-G162,""),"")</f>
        <v/>
      </c>
      <c r="Q162" s="60" t="str">
        <f aca="false">IF(C162="","",IF(T162=1,"✔ SOLD / VENDIDO",IF(S162=0,"— CLOSED / CERRADO",IF(U162&lt;0,"⚠ ADD DATE / AGREGA FECHA",IF(U162&gt;=Settings!$C$8,"⚠ STALE – REPRICE / ESTANCADO",IF(U162&gt;=Settings!$C$7,"● WATCH / VIGILAR","✔ FRESH / RECIENTE"))))))</f>
        <v/>
      </c>
      <c r="S162" s="53" t="n">
        <f aca="false">IF(C162="",0,IF(OR(J162="",J162="In Stock / En Inventario",J162="Listed / Publicado"),1,0))</f>
        <v>0</v>
      </c>
      <c r="T162" s="53" t="n">
        <f aca="false">IF(C162="",0,IF(J162="Sold / Vendido",1,0))</f>
        <v>0</v>
      </c>
      <c r="U162" s="53" t="n">
        <f aca="true">IF(S162=1,IF(ISNUMBER(F162),TODAY()-F162,-1),-1)</f>
        <v>-1</v>
      </c>
      <c r="V162" s="53" t="n">
        <f aca="false">IF(U162&lt;0,IF(S162=1,5,0),IF(U162&lt;=30,1,IF(U162&lt;=60,2,IF(U162&lt;=90,3,4))))</f>
        <v>0</v>
      </c>
      <c r="W162" s="53" t="n">
        <f aca="false">IF(U162&lt;0,-1000000000000000,U162+ROW()/1000000)</f>
        <v>-1000000000000000</v>
      </c>
      <c r="X162" s="53" t="n">
        <f aca="false">IF(T162=1,IF(AND(ISNUMBER(F162),ISNUMBER(K162)),K162-F162,0),0)</f>
        <v>0</v>
      </c>
      <c r="Y162" s="53" t="n">
        <f aca="false">IF(T162=1,IF(AND(ISNUMBER(F162),ISNUMBER(K162)),1,0),0)</f>
        <v>0</v>
      </c>
      <c r="Z162" s="53" t="n">
        <f aca="false">IF(U162&gt;=Settings!$C$8,1,0)</f>
        <v>0</v>
      </c>
      <c r="AA162" s="53" t="n">
        <f aca="false">IF(S162=1,IF(J162="Listed / Publicado",0,1),0)</f>
        <v>0</v>
      </c>
      <c r="AB162" s="53" t="n">
        <f aca="false">IF(T162=1,IF(ISNUMBER(L162),L162-G162,0),0)</f>
        <v>0</v>
      </c>
      <c r="AC162" s="53" t="n">
        <f aca="false">IF(S162=1,IF(ISNUMBER(I162),I162-G162,0),0)</f>
        <v>0</v>
      </c>
    </row>
    <row r="163" customFormat="false" ht="15" hidden="false" customHeight="false" outlineLevel="0" collapsed="false">
      <c r="B163" s="54"/>
      <c r="C163" s="55"/>
      <c r="D163" s="55"/>
      <c r="E163" s="55"/>
      <c r="F163" s="56"/>
      <c r="G163" s="57"/>
      <c r="H163" s="55"/>
      <c r="I163" s="57"/>
      <c r="J163" s="54"/>
      <c r="K163" s="56"/>
      <c r="L163" s="57"/>
      <c r="M163" s="54"/>
      <c r="N163" s="58" t="str">
        <f aca="false">IF(S163=1,IF(U163&lt;0,"",U163),IF(Y163=1,X163,""))</f>
        <v/>
      </c>
      <c r="O163" s="59" t="str">
        <f aca="false">IF(S163=1,IF(ISNUMBER(I163),I163-G163,""),"")</f>
        <v/>
      </c>
      <c r="P163" s="59" t="str">
        <f aca="false">IF(T163=1,IF(ISNUMBER(L163),L163-G163,""),"")</f>
        <v/>
      </c>
      <c r="Q163" s="60" t="str">
        <f aca="false">IF(C163="","",IF(T163=1,"✔ SOLD / VENDIDO",IF(S163=0,"— CLOSED / CERRADO",IF(U163&lt;0,"⚠ ADD DATE / AGREGA FECHA",IF(U163&gt;=Settings!$C$8,"⚠ STALE – REPRICE / ESTANCADO",IF(U163&gt;=Settings!$C$7,"● WATCH / VIGILAR","✔ FRESH / RECIENTE"))))))</f>
        <v/>
      </c>
      <c r="S163" s="53" t="n">
        <f aca="false">IF(C163="",0,IF(OR(J163="",J163="In Stock / En Inventario",J163="Listed / Publicado"),1,0))</f>
        <v>0</v>
      </c>
      <c r="T163" s="53" t="n">
        <f aca="false">IF(C163="",0,IF(J163="Sold / Vendido",1,0))</f>
        <v>0</v>
      </c>
      <c r="U163" s="53" t="n">
        <f aca="true">IF(S163=1,IF(ISNUMBER(F163),TODAY()-F163,-1),-1)</f>
        <v>-1</v>
      </c>
      <c r="V163" s="53" t="n">
        <f aca="false">IF(U163&lt;0,IF(S163=1,5,0),IF(U163&lt;=30,1,IF(U163&lt;=60,2,IF(U163&lt;=90,3,4))))</f>
        <v>0</v>
      </c>
      <c r="W163" s="53" t="n">
        <f aca="false">IF(U163&lt;0,-1000000000000000,U163+ROW()/1000000)</f>
        <v>-1000000000000000</v>
      </c>
      <c r="X163" s="53" t="n">
        <f aca="false">IF(T163=1,IF(AND(ISNUMBER(F163),ISNUMBER(K163)),K163-F163,0),0)</f>
        <v>0</v>
      </c>
      <c r="Y163" s="53" t="n">
        <f aca="false">IF(T163=1,IF(AND(ISNUMBER(F163),ISNUMBER(K163)),1,0),0)</f>
        <v>0</v>
      </c>
      <c r="Z163" s="53" t="n">
        <f aca="false">IF(U163&gt;=Settings!$C$8,1,0)</f>
        <v>0</v>
      </c>
      <c r="AA163" s="53" t="n">
        <f aca="false">IF(S163=1,IF(J163="Listed / Publicado",0,1),0)</f>
        <v>0</v>
      </c>
      <c r="AB163" s="53" t="n">
        <f aca="false">IF(T163=1,IF(ISNUMBER(L163),L163-G163,0),0)</f>
        <v>0</v>
      </c>
      <c r="AC163" s="53" t="n">
        <f aca="false">IF(S163=1,IF(ISNUMBER(I163),I163-G163,0),0)</f>
        <v>0</v>
      </c>
    </row>
    <row r="164" customFormat="false" ht="15" hidden="false" customHeight="false" outlineLevel="0" collapsed="false">
      <c r="B164" s="54"/>
      <c r="C164" s="55"/>
      <c r="D164" s="55"/>
      <c r="E164" s="55"/>
      <c r="F164" s="56"/>
      <c r="G164" s="57"/>
      <c r="H164" s="55"/>
      <c r="I164" s="57"/>
      <c r="J164" s="54"/>
      <c r="K164" s="56"/>
      <c r="L164" s="57"/>
      <c r="M164" s="54"/>
      <c r="N164" s="58" t="str">
        <f aca="false">IF(S164=1,IF(U164&lt;0,"",U164),IF(Y164=1,X164,""))</f>
        <v/>
      </c>
      <c r="O164" s="59" t="str">
        <f aca="false">IF(S164=1,IF(ISNUMBER(I164),I164-G164,""),"")</f>
        <v/>
      </c>
      <c r="P164" s="59" t="str">
        <f aca="false">IF(T164=1,IF(ISNUMBER(L164),L164-G164,""),"")</f>
        <v/>
      </c>
      <c r="Q164" s="60" t="str">
        <f aca="false">IF(C164="","",IF(T164=1,"✔ SOLD / VENDIDO",IF(S164=0,"— CLOSED / CERRADO",IF(U164&lt;0,"⚠ ADD DATE / AGREGA FECHA",IF(U164&gt;=Settings!$C$8,"⚠ STALE – REPRICE / ESTANCADO",IF(U164&gt;=Settings!$C$7,"● WATCH / VIGILAR","✔ FRESH / RECIENTE"))))))</f>
        <v/>
      </c>
      <c r="S164" s="53" t="n">
        <f aca="false">IF(C164="",0,IF(OR(J164="",J164="In Stock / En Inventario",J164="Listed / Publicado"),1,0))</f>
        <v>0</v>
      </c>
      <c r="T164" s="53" t="n">
        <f aca="false">IF(C164="",0,IF(J164="Sold / Vendido",1,0))</f>
        <v>0</v>
      </c>
      <c r="U164" s="53" t="n">
        <f aca="true">IF(S164=1,IF(ISNUMBER(F164),TODAY()-F164,-1),-1)</f>
        <v>-1</v>
      </c>
      <c r="V164" s="53" t="n">
        <f aca="false">IF(U164&lt;0,IF(S164=1,5,0),IF(U164&lt;=30,1,IF(U164&lt;=60,2,IF(U164&lt;=90,3,4))))</f>
        <v>0</v>
      </c>
      <c r="W164" s="53" t="n">
        <f aca="false">IF(U164&lt;0,-1000000000000000,U164+ROW()/1000000)</f>
        <v>-1000000000000000</v>
      </c>
      <c r="X164" s="53" t="n">
        <f aca="false">IF(T164=1,IF(AND(ISNUMBER(F164),ISNUMBER(K164)),K164-F164,0),0)</f>
        <v>0</v>
      </c>
      <c r="Y164" s="53" t="n">
        <f aca="false">IF(T164=1,IF(AND(ISNUMBER(F164),ISNUMBER(K164)),1,0),0)</f>
        <v>0</v>
      </c>
      <c r="Z164" s="53" t="n">
        <f aca="false">IF(U164&gt;=Settings!$C$8,1,0)</f>
        <v>0</v>
      </c>
      <c r="AA164" s="53" t="n">
        <f aca="false">IF(S164=1,IF(J164="Listed / Publicado",0,1),0)</f>
        <v>0</v>
      </c>
      <c r="AB164" s="53" t="n">
        <f aca="false">IF(T164=1,IF(ISNUMBER(L164),L164-G164,0),0)</f>
        <v>0</v>
      </c>
      <c r="AC164" s="53" t="n">
        <f aca="false">IF(S164=1,IF(ISNUMBER(I164),I164-G164,0),0)</f>
        <v>0</v>
      </c>
    </row>
    <row r="165" customFormat="false" ht="15" hidden="false" customHeight="false" outlineLevel="0" collapsed="false">
      <c r="B165" s="54"/>
      <c r="C165" s="55"/>
      <c r="D165" s="55"/>
      <c r="E165" s="55"/>
      <c r="F165" s="56"/>
      <c r="G165" s="57"/>
      <c r="H165" s="55"/>
      <c r="I165" s="57"/>
      <c r="J165" s="54"/>
      <c r="K165" s="56"/>
      <c r="L165" s="57"/>
      <c r="M165" s="54"/>
      <c r="N165" s="58" t="str">
        <f aca="false">IF(S165=1,IF(U165&lt;0,"",U165),IF(Y165=1,X165,""))</f>
        <v/>
      </c>
      <c r="O165" s="59" t="str">
        <f aca="false">IF(S165=1,IF(ISNUMBER(I165),I165-G165,""),"")</f>
        <v/>
      </c>
      <c r="P165" s="59" t="str">
        <f aca="false">IF(T165=1,IF(ISNUMBER(L165),L165-G165,""),"")</f>
        <v/>
      </c>
      <c r="Q165" s="60" t="str">
        <f aca="false">IF(C165="","",IF(T165=1,"✔ SOLD / VENDIDO",IF(S165=0,"— CLOSED / CERRADO",IF(U165&lt;0,"⚠ ADD DATE / AGREGA FECHA",IF(U165&gt;=Settings!$C$8,"⚠ STALE – REPRICE / ESTANCADO",IF(U165&gt;=Settings!$C$7,"● WATCH / VIGILAR","✔ FRESH / RECIENTE"))))))</f>
        <v/>
      </c>
      <c r="S165" s="53" t="n">
        <f aca="false">IF(C165="",0,IF(OR(J165="",J165="In Stock / En Inventario",J165="Listed / Publicado"),1,0))</f>
        <v>0</v>
      </c>
      <c r="T165" s="53" t="n">
        <f aca="false">IF(C165="",0,IF(J165="Sold / Vendido",1,0))</f>
        <v>0</v>
      </c>
      <c r="U165" s="53" t="n">
        <f aca="true">IF(S165=1,IF(ISNUMBER(F165),TODAY()-F165,-1),-1)</f>
        <v>-1</v>
      </c>
      <c r="V165" s="53" t="n">
        <f aca="false">IF(U165&lt;0,IF(S165=1,5,0),IF(U165&lt;=30,1,IF(U165&lt;=60,2,IF(U165&lt;=90,3,4))))</f>
        <v>0</v>
      </c>
      <c r="W165" s="53" t="n">
        <f aca="false">IF(U165&lt;0,-1000000000000000,U165+ROW()/1000000)</f>
        <v>-1000000000000000</v>
      </c>
      <c r="X165" s="53" t="n">
        <f aca="false">IF(T165=1,IF(AND(ISNUMBER(F165),ISNUMBER(K165)),K165-F165,0),0)</f>
        <v>0</v>
      </c>
      <c r="Y165" s="53" t="n">
        <f aca="false">IF(T165=1,IF(AND(ISNUMBER(F165),ISNUMBER(K165)),1,0),0)</f>
        <v>0</v>
      </c>
      <c r="Z165" s="53" t="n">
        <f aca="false">IF(U165&gt;=Settings!$C$8,1,0)</f>
        <v>0</v>
      </c>
      <c r="AA165" s="53" t="n">
        <f aca="false">IF(S165=1,IF(J165="Listed / Publicado",0,1),0)</f>
        <v>0</v>
      </c>
      <c r="AB165" s="53" t="n">
        <f aca="false">IF(T165=1,IF(ISNUMBER(L165),L165-G165,0),0)</f>
        <v>0</v>
      </c>
      <c r="AC165" s="53" t="n">
        <f aca="false">IF(S165=1,IF(ISNUMBER(I165),I165-G165,0),0)</f>
        <v>0</v>
      </c>
    </row>
    <row r="166" customFormat="false" ht="15" hidden="false" customHeight="false" outlineLevel="0" collapsed="false">
      <c r="B166" s="54"/>
      <c r="C166" s="55"/>
      <c r="D166" s="55"/>
      <c r="E166" s="55"/>
      <c r="F166" s="56"/>
      <c r="G166" s="57"/>
      <c r="H166" s="55"/>
      <c r="I166" s="57"/>
      <c r="J166" s="54"/>
      <c r="K166" s="56"/>
      <c r="L166" s="57"/>
      <c r="M166" s="54"/>
      <c r="N166" s="58" t="str">
        <f aca="false">IF(S166=1,IF(U166&lt;0,"",U166),IF(Y166=1,X166,""))</f>
        <v/>
      </c>
      <c r="O166" s="59" t="str">
        <f aca="false">IF(S166=1,IF(ISNUMBER(I166),I166-G166,""),"")</f>
        <v/>
      </c>
      <c r="P166" s="59" t="str">
        <f aca="false">IF(T166=1,IF(ISNUMBER(L166),L166-G166,""),"")</f>
        <v/>
      </c>
      <c r="Q166" s="60" t="str">
        <f aca="false">IF(C166="","",IF(T166=1,"✔ SOLD / VENDIDO",IF(S166=0,"— CLOSED / CERRADO",IF(U166&lt;0,"⚠ ADD DATE / AGREGA FECHA",IF(U166&gt;=Settings!$C$8,"⚠ STALE – REPRICE / ESTANCADO",IF(U166&gt;=Settings!$C$7,"● WATCH / VIGILAR","✔ FRESH / RECIENTE"))))))</f>
        <v/>
      </c>
      <c r="S166" s="53" t="n">
        <f aca="false">IF(C166="",0,IF(OR(J166="",J166="In Stock / En Inventario",J166="Listed / Publicado"),1,0))</f>
        <v>0</v>
      </c>
      <c r="T166" s="53" t="n">
        <f aca="false">IF(C166="",0,IF(J166="Sold / Vendido",1,0))</f>
        <v>0</v>
      </c>
      <c r="U166" s="53" t="n">
        <f aca="true">IF(S166=1,IF(ISNUMBER(F166),TODAY()-F166,-1),-1)</f>
        <v>-1</v>
      </c>
      <c r="V166" s="53" t="n">
        <f aca="false">IF(U166&lt;0,IF(S166=1,5,0),IF(U166&lt;=30,1,IF(U166&lt;=60,2,IF(U166&lt;=90,3,4))))</f>
        <v>0</v>
      </c>
      <c r="W166" s="53" t="n">
        <f aca="false">IF(U166&lt;0,-1000000000000000,U166+ROW()/1000000)</f>
        <v>-1000000000000000</v>
      </c>
      <c r="X166" s="53" t="n">
        <f aca="false">IF(T166=1,IF(AND(ISNUMBER(F166),ISNUMBER(K166)),K166-F166,0),0)</f>
        <v>0</v>
      </c>
      <c r="Y166" s="53" t="n">
        <f aca="false">IF(T166=1,IF(AND(ISNUMBER(F166),ISNUMBER(K166)),1,0),0)</f>
        <v>0</v>
      </c>
      <c r="Z166" s="53" t="n">
        <f aca="false">IF(U166&gt;=Settings!$C$8,1,0)</f>
        <v>0</v>
      </c>
      <c r="AA166" s="53" t="n">
        <f aca="false">IF(S166=1,IF(J166="Listed / Publicado",0,1),0)</f>
        <v>0</v>
      </c>
      <c r="AB166" s="53" t="n">
        <f aca="false">IF(T166=1,IF(ISNUMBER(L166),L166-G166,0),0)</f>
        <v>0</v>
      </c>
      <c r="AC166" s="53" t="n">
        <f aca="false">IF(S166=1,IF(ISNUMBER(I166),I166-G166,0),0)</f>
        <v>0</v>
      </c>
    </row>
    <row r="167" customFormat="false" ht="15" hidden="false" customHeight="false" outlineLevel="0" collapsed="false">
      <c r="B167" s="54"/>
      <c r="C167" s="55"/>
      <c r="D167" s="55"/>
      <c r="E167" s="55"/>
      <c r="F167" s="56"/>
      <c r="G167" s="57"/>
      <c r="H167" s="55"/>
      <c r="I167" s="57"/>
      <c r="J167" s="54"/>
      <c r="K167" s="56"/>
      <c r="L167" s="57"/>
      <c r="M167" s="54"/>
      <c r="N167" s="58" t="str">
        <f aca="false">IF(S167=1,IF(U167&lt;0,"",U167),IF(Y167=1,X167,""))</f>
        <v/>
      </c>
      <c r="O167" s="59" t="str">
        <f aca="false">IF(S167=1,IF(ISNUMBER(I167),I167-G167,""),"")</f>
        <v/>
      </c>
      <c r="P167" s="59" t="str">
        <f aca="false">IF(T167=1,IF(ISNUMBER(L167),L167-G167,""),"")</f>
        <v/>
      </c>
      <c r="Q167" s="60" t="str">
        <f aca="false">IF(C167="","",IF(T167=1,"✔ SOLD / VENDIDO",IF(S167=0,"— CLOSED / CERRADO",IF(U167&lt;0,"⚠ ADD DATE / AGREGA FECHA",IF(U167&gt;=Settings!$C$8,"⚠ STALE – REPRICE / ESTANCADO",IF(U167&gt;=Settings!$C$7,"● WATCH / VIGILAR","✔ FRESH / RECIENTE"))))))</f>
        <v/>
      </c>
      <c r="S167" s="53" t="n">
        <f aca="false">IF(C167="",0,IF(OR(J167="",J167="In Stock / En Inventario",J167="Listed / Publicado"),1,0))</f>
        <v>0</v>
      </c>
      <c r="T167" s="53" t="n">
        <f aca="false">IF(C167="",0,IF(J167="Sold / Vendido",1,0))</f>
        <v>0</v>
      </c>
      <c r="U167" s="53" t="n">
        <f aca="true">IF(S167=1,IF(ISNUMBER(F167),TODAY()-F167,-1),-1)</f>
        <v>-1</v>
      </c>
      <c r="V167" s="53" t="n">
        <f aca="false">IF(U167&lt;0,IF(S167=1,5,0),IF(U167&lt;=30,1,IF(U167&lt;=60,2,IF(U167&lt;=90,3,4))))</f>
        <v>0</v>
      </c>
      <c r="W167" s="53" t="n">
        <f aca="false">IF(U167&lt;0,-1000000000000000,U167+ROW()/1000000)</f>
        <v>-1000000000000000</v>
      </c>
      <c r="X167" s="53" t="n">
        <f aca="false">IF(T167=1,IF(AND(ISNUMBER(F167),ISNUMBER(K167)),K167-F167,0),0)</f>
        <v>0</v>
      </c>
      <c r="Y167" s="53" t="n">
        <f aca="false">IF(T167=1,IF(AND(ISNUMBER(F167),ISNUMBER(K167)),1,0),0)</f>
        <v>0</v>
      </c>
      <c r="Z167" s="53" t="n">
        <f aca="false">IF(U167&gt;=Settings!$C$8,1,0)</f>
        <v>0</v>
      </c>
      <c r="AA167" s="53" t="n">
        <f aca="false">IF(S167=1,IF(J167="Listed / Publicado",0,1),0)</f>
        <v>0</v>
      </c>
      <c r="AB167" s="53" t="n">
        <f aca="false">IF(T167=1,IF(ISNUMBER(L167),L167-G167,0),0)</f>
        <v>0</v>
      </c>
      <c r="AC167" s="53" t="n">
        <f aca="false">IF(S167=1,IF(ISNUMBER(I167),I167-G167,0),0)</f>
        <v>0</v>
      </c>
    </row>
    <row r="168" customFormat="false" ht="15" hidden="false" customHeight="false" outlineLevel="0" collapsed="false">
      <c r="B168" s="54"/>
      <c r="C168" s="55"/>
      <c r="D168" s="55"/>
      <c r="E168" s="55"/>
      <c r="F168" s="56"/>
      <c r="G168" s="57"/>
      <c r="H168" s="55"/>
      <c r="I168" s="57"/>
      <c r="J168" s="54"/>
      <c r="K168" s="56"/>
      <c r="L168" s="57"/>
      <c r="M168" s="54"/>
      <c r="N168" s="58" t="str">
        <f aca="false">IF(S168=1,IF(U168&lt;0,"",U168),IF(Y168=1,X168,""))</f>
        <v/>
      </c>
      <c r="O168" s="59" t="str">
        <f aca="false">IF(S168=1,IF(ISNUMBER(I168),I168-G168,""),"")</f>
        <v/>
      </c>
      <c r="P168" s="59" t="str">
        <f aca="false">IF(T168=1,IF(ISNUMBER(L168),L168-G168,""),"")</f>
        <v/>
      </c>
      <c r="Q168" s="60" t="str">
        <f aca="false">IF(C168="","",IF(T168=1,"✔ SOLD / VENDIDO",IF(S168=0,"— CLOSED / CERRADO",IF(U168&lt;0,"⚠ ADD DATE / AGREGA FECHA",IF(U168&gt;=Settings!$C$8,"⚠ STALE – REPRICE / ESTANCADO",IF(U168&gt;=Settings!$C$7,"● WATCH / VIGILAR","✔ FRESH / RECIENTE"))))))</f>
        <v/>
      </c>
      <c r="S168" s="53" t="n">
        <f aca="false">IF(C168="",0,IF(OR(J168="",J168="In Stock / En Inventario",J168="Listed / Publicado"),1,0))</f>
        <v>0</v>
      </c>
      <c r="T168" s="53" t="n">
        <f aca="false">IF(C168="",0,IF(J168="Sold / Vendido",1,0))</f>
        <v>0</v>
      </c>
      <c r="U168" s="53" t="n">
        <f aca="true">IF(S168=1,IF(ISNUMBER(F168),TODAY()-F168,-1),-1)</f>
        <v>-1</v>
      </c>
      <c r="V168" s="53" t="n">
        <f aca="false">IF(U168&lt;0,IF(S168=1,5,0),IF(U168&lt;=30,1,IF(U168&lt;=60,2,IF(U168&lt;=90,3,4))))</f>
        <v>0</v>
      </c>
      <c r="W168" s="53" t="n">
        <f aca="false">IF(U168&lt;0,-1000000000000000,U168+ROW()/1000000)</f>
        <v>-1000000000000000</v>
      </c>
      <c r="X168" s="53" t="n">
        <f aca="false">IF(T168=1,IF(AND(ISNUMBER(F168),ISNUMBER(K168)),K168-F168,0),0)</f>
        <v>0</v>
      </c>
      <c r="Y168" s="53" t="n">
        <f aca="false">IF(T168=1,IF(AND(ISNUMBER(F168),ISNUMBER(K168)),1,0),0)</f>
        <v>0</v>
      </c>
      <c r="Z168" s="53" t="n">
        <f aca="false">IF(U168&gt;=Settings!$C$8,1,0)</f>
        <v>0</v>
      </c>
      <c r="AA168" s="53" t="n">
        <f aca="false">IF(S168=1,IF(J168="Listed / Publicado",0,1),0)</f>
        <v>0</v>
      </c>
      <c r="AB168" s="53" t="n">
        <f aca="false">IF(T168=1,IF(ISNUMBER(L168),L168-G168,0),0)</f>
        <v>0</v>
      </c>
      <c r="AC168" s="53" t="n">
        <f aca="false">IF(S168=1,IF(ISNUMBER(I168),I168-G168,0),0)</f>
        <v>0</v>
      </c>
    </row>
    <row r="169" customFormat="false" ht="15" hidden="false" customHeight="false" outlineLevel="0" collapsed="false">
      <c r="B169" s="54"/>
      <c r="C169" s="55"/>
      <c r="D169" s="55"/>
      <c r="E169" s="55"/>
      <c r="F169" s="56"/>
      <c r="G169" s="57"/>
      <c r="H169" s="55"/>
      <c r="I169" s="57"/>
      <c r="J169" s="54"/>
      <c r="K169" s="56"/>
      <c r="L169" s="57"/>
      <c r="M169" s="54"/>
      <c r="N169" s="58" t="str">
        <f aca="false">IF(S169=1,IF(U169&lt;0,"",U169),IF(Y169=1,X169,""))</f>
        <v/>
      </c>
      <c r="O169" s="59" t="str">
        <f aca="false">IF(S169=1,IF(ISNUMBER(I169),I169-G169,""),"")</f>
        <v/>
      </c>
      <c r="P169" s="59" t="str">
        <f aca="false">IF(T169=1,IF(ISNUMBER(L169),L169-G169,""),"")</f>
        <v/>
      </c>
      <c r="Q169" s="60" t="str">
        <f aca="false">IF(C169="","",IF(T169=1,"✔ SOLD / VENDIDO",IF(S169=0,"— CLOSED / CERRADO",IF(U169&lt;0,"⚠ ADD DATE / AGREGA FECHA",IF(U169&gt;=Settings!$C$8,"⚠ STALE – REPRICE / ESTANCADO",IF(U169&gt;=Settings!$C$7,"● WATCH / VIGILAR","✔ FRESH / RECIENTE"))))))</f>
        <v/>
      </c>
      <c r="S169" s="53" t="n">
        <f aca="false">IF(C169="",0,IF(OR(J169="",J169="In Stock / En Inventario",J169="Listed / Publicado"),1,0))</f>
        <v>0</v>
      </c>
      <c r="T169" s="53" t="n">
        <f aca="false">IF(C169="",0,IF(J169="Sold / Vendido",1,0))</f>
        <v>0</v>
      </c>
      <c r="U169" s="53" t="n">
        <f aca="true">IF(S169=1,IF(ISNUMBER(F169),TODAY()-F169,-1),-1)</f>
        <v>-1</v>
      </c>
      <c r="V169" s="53" t="n">
        <f aca="false">IF(U169&lt;0,IF(S169=1,5,0),IF(U169&lt;=30,1,IF(U169&lt;=60,2,IF(U169&lt;=90,3,4))))</f>
        <v>0</v>
      </c>
      <c r="W169" s="53" t="n">
        <f aca="false">IF(U169&lt;0,-1000000000000000,U169+ROW()/1000000)</f>
        <v>-1000000000000000</v>
      </c>
      <c r="X169" s="53" t="n">
        <f aca="false">IF(T169=1,IF(AND(ISNUMBER(F169),ISNUMBER(K169)),K169-F169,0),0)</f>
        <v>0</v>
      </c>
      <c r="Y169" s="53" t="n">
        <f aca="false">IF(T169=1,IF(AND(ISNUMBER(F169),ISNUMBER(K169)),1,0),0)</f>
        <v>0</v>
      </c>
      <c r="Z169" s="53" t="n">
        <f aca="false">IF(U169&gt;=Settings!$C$8,1,0)</f>
        <v>0</v>
      </c>
      <c r="AA169" s="53" t="n">
        <f aca="false">IF(S169=1,IF(J169="Listed / Publicado",0,1),0)</f>
        <v>0</v>
      </c>
      <c r="AB169" s="53" t="n">
        <f aca="false">IF(T169=1,IF(ISNUMBER(L169),L169-G169,0),0)</f>
        <v>0</v>
      </c>
      <c r="AC169" s="53" t="n">
        <f aca="false">IF(S169=1,IF(ISNUMBER(I169),I169-G169,0),0)</f>
        <v>0</v>
      </c>
    </row>
    <row r="170" customFormat="false" ht="15" hidden="false" customHeight="false" outlineLevel="0" collapsed="false">
      <c r="B170" s="54"/>
      <c r="C170" s="55"/>
      <c r="D170" s="55"/>
      <c r="E170" s="55"/>
      <c r="F170" s="56"/>
      <c r="G170" s="57"/>
      <c r="H170" s="55"/>
      <c r="I170" s="57"/>
      <c r="J170" s="54"/>
      <c r="K170" s="56"/>
      <c r="L170" s="57"/>
      <c r="M170" s="54"/>
      <c r="N170" s="58" t="str">
        <f aca="false">IF(S170=1,IF(U170&lt;0,"",U170),IF(Y170=1,X170,""))</f>
        <v/>
      </c>
      <c r="O170" s="59" t="str">
        <f aca="false">IF(S170=1,IF(ISNUMBER(I170),I170-G170,""),"")</f>
        <v/>
      </c>
      <c r="P170" s="59" t="str">
        <f aca="false">IF(T170=1,IF(ISNUMBER(L170),L170-G170,""),"")</f>
        <v/>
      </c>
      <c r="Q170" s="60" t="str">
        <f aca="false">IF(C170="","",IF(T170=1,"✔ SOLD / VENDIDO",IF(S170=0,"— CLOSED / CERRADO",IF(U170&lt;0,"⚠ ADD DATE / AGREGA FECHA",IF(U170&gt;=Settings!$C$8,"⚠ STALE – REPRICE / ESTANCADO",IF(U170&gt;=Settings!$C$7,"● WATCH / VIGILAR","✔ FRESH / RECIENTE"))))))</f>
        <v/>
      </c>
      <c r="S170" s="53" t="n">
        <f aca="false">IF(C170="",0,IF(OR(J170="",J170="In Stock / En Inventario",J170="Listed / Publicado"),1,0))</f>
        <v>0</v>
      </c>
      <c r="T170" s="53" t="n">
        <f aca="false">IF(C170="",0,IF(J170="Sold / Vendido",1,0))</f>
        <v>0</v>
      </c>
      <c r="U170" s="53" t="n">
        <f aca="true">IF(S170=1,IF(ISNUMBER(F170),TODAY()-F170,-1),-1)</f>
        <v>-1</v>
      </c>
      <c r="V170" s="53" t="n">
        <f aca="false">IF(U170&lt;0,IF(S170=1,5,0),IF(U170&lt;=30,1,IF(U170&lt;=60,2,IF(U170&lt;=90,3,4))))</f>
        <v>0</v>
      </c>
      <c r="W170" s="53" t="n">
        <f aca="false">IF(U170&lt;0,-1000000000000000,U170+ROW()/1000000)</f>
        <v>-1000000000000000</v>
      </c>
      <c r="X170" s="53" t="n">
        <f aca="false">IF(T170=1,IF(AND(ISNUMBER(F170),ISNUMBER(K170)),K170-F170,0),0)</f>
        <v>0</v>
      </c>
      <c r="Y170" s="53" t="n">
        <f aca="false">IF(T170=1,IF(AND(ISNUMBER(F170),ISNUMBER(K170)),1,0),0)</f>
        <v>0</v>
      </c>
      <c r="Z170" s="53" t="n">
        <f aca="false">IF(U170&gt;=Settings!$C$8,1,0)</f>
        <v>0</v>
      </c>
      <c r="AA170" s="53" t="n">
        <f aca="false">IF(S170=1,IF(J170="Listed / Publicado",0,1),0)</f>
        <v>0</v>
      </c>
      <c r="AB170" s="53" t="n">
        <f aca="false">IF(T170=1,IF(ISNUMBER(L170),L170-G170,0),0)</f>
        <v>0</v>
      </c>
      <c r="AC170" s="53" t="n">
        <f aca="false">IF(S170=1,IF(ISNUMBER(I170),I170-G170,0),0)</f>
        <v>0</v>
      </c>
    </row>
    <row r="171" customFormat="false" ht="15" hidden="false" customHeight="false" outlineLevel="0" collapsed="false">
      <c r="B171" s="54"/>
      <c r="C171" s="55"/>
      <c r="D171" s="55"/>
      <c r="E171" s="55"/>
      <c r="F171" s="56"/>
      <c r="G171" s="57"/>
      <c r="H171" s="55"/>
      <c r="I171" s="57"/>
      <c r="J171" s="54"/>
      <c r="K171" s="56"/>
      <c r="L171" s="57"/>
      <c r="M171" s="54"/>
      <c r="N171" s="58" t="str">
        <f aca="false">IF(S171=1,IF(U171&lt;0,"",U171),IF(Y171=1,X171,""))</f>
        <v/>
      </c>
      <c r="O171" s="59" t="str">
        <f aca="false">IF(S171=1,IF(ISNUMBER(I171),I171-G171,""),"")</f>
        <v/>
      </c>
      <c r="P171" s="59" t="str">
        <f aca="false">IF(T171=1,IF(ISNUMBER(L171),L171-G171,""),"")</f>
        <v/>
      </c>
      <c r="Q171" s="60" t="str">
        <f aca="false">IF(C171="","",IF(T171=1,"✔ SOLD / VENDIDO",IF(S171=0,"— CLOSED / CERRADO",IF(U171&lt;0,"⚠ ADD DATE / AGREGA FECHA",IF(U171&gt;=Settings!$C$8,"⚠ STALE – REPRICE / ESTANCADO",IF(U171&gt;=Settings!$C$7,"● WATCH / VIGILAR","✔ FRESH / RECIENTE"))))))</f>
        <v/>
      </c>
      <c r="S171" s="53" t="n">
        <f aca="false">IF(C171="",0,IF(OR(J171="",J171="In Stock / En Inventario",J171="Listed / Publicado"),1,0))</f>
        <v>0</v>
      </c>
      <c r="T171" s="53" t="n">
        <f aca="false">IF(C171="",0,IF(J171="Sold / Vendido",1,0))</f>
        <v>0</v>
      </c>
      <c r="U171" s="53" t="n">
        <f aca="true">IF(S171=1,IF(ISNUMBER(F171),TODAY()-F171,-1),-1)</f>
        <v>-1</v>
      </c>
      <c r="V171" s="53" t="n">
        <f aca="false">IF(U171&lt;0,IF(S171=1,5,0),IF(U171&lt;=30,1,IF(U171&lt;=60,2,IF(U171&lt;=90,3,4))))</f>
        <v>0</v>
      </c>
      <c r="W171" s="53" t="n">
        <f aca="false">IF(U171&lt;0,-1000000000000000,U171+ROW()/1000000)</f>
        <v>-1000000000000000</v>
      </c>
      <c r="X171" s="53" t="n">
        <f aca="false">IF(T171=1,IF(AND(ISNUMBER(F171),ISNUMBER(K171)),K171-F171,0),0)</f>
        <v>0</v>
      </c>
      <c r="Y171" s="53" t="n">
        <f aca="false">IF(T171=1,IF(AND(ISNUMBER(F171),ISNUMBER(K171)),1,0),0)</f>
        <v>0</v>
      </c>
      <c r="Z171" s="53" t="n">
        <f aca="false">IF(U171&gt;=Settings!$C$8,1,0)</f>
        <v>0</v>
      </c>
      <c r="AA171" s="53" t="n">
        <f aca="false">IF(S171=1,IF(J171="Listed / Publicado",0,1),0)</f>
        <v>0</v>
      </c>
      <c r="AB171" s="53" t="n">
        <f aca="false">IF(T171=1,IF(ISNUMBER(L171),L171-G171,0),0)</f>
        <v>0</v>
      </c>
      <c r="AC171" s="53" t="n">
        <f aca="false">IF(S171=1,IF(ISNUMBER(I171),I171-G171,0),0)</f>
        <v>0</v>
      </c>
    </row>
    <row r="172" customFormat="false" ht="15" hidden="false" customHeight="false" outlineLevel="0" collapsed="false">
      <c r="B172" s="54"/>
      <c r="C172" s="55"/>
      <c r="D172" s="55"/>
      <c r="E172" s="55"/>
      <c r="F172" s="56"/>
      <c r="G172" s="57"/>
      <c r="H172" s="55"/>
      <c r="I172" s="57"/>
      <c r="J172" s="54"/>
      <c r="K172" s="56"/>
      <c r="L172" s="57"/>
      <c r="M172" s="54"/>
      <c r="N172" s="58" t="str">
        <f aca="false">IF(S172=1,IF(U172&lt;0,"",U172),IF(Y172=1,X172,""))</f>
        <v/>
      </c>
      <c r="O172" s="59" t="str">
        <f aca="false">IF(S172=1,IF(ISNUMBER(I172),I172-G172,""),"")</f>
        <v/>
      </c>
      <c r="P172" s="59" t="str">
        <f aca="false">IF(T172=1,IF(ISNUMBER(L172),L172-G172,""),"")</f>
        <v/>
      </c>
      <c r="Q172" s="60" t="str">
        <f aca="false">IF(C172="","",IF(T172=1,"✔ SOLD / VENDIDO",IF(S172=0,"— CLOSED / CERRADO",IF(U172&lt;0,"⚠ ADD DATE / AGREGA FECHA",IF(U172&gt;=Settings!$C$8,"⚠ STALE – REPRICE / ESTANCADO",IF(U172&gt;=Settings!$C$7,"● WATCH / VIGILAR","✔ FRESH / RECIENTE"))))))</f>
        <v/>
      </c>
      <c r="S172" s="53" t="n">
        <f aca="false">IF(C172="",0,IF(OR(J172="",J172="In Stock / En Inventario",J172="Listed / Publicado"),1,0))</f>
        <v>0</v>
      </c>
      <c r="T172" s="53" t="n">
        <f aca="false">IF(C172="",0,IF(J172="Sold / Vendido",1,0))</f>
        <v>0</v>
      </c>
      <c r="U172" s="53" t="n">
        <f aca="true">IF(S172=1,IF(ISNUMBER(F172),TODAY()-F172,-1),-1)</f>
        <v>-1</v>
      </c>
      <c r="V172" s="53" t="n">
        <f aca="false">IF(U172&lt;0,IF(S172=1,5,0),IF(U172&lt;=30,1,IF(U172&lt;=60,2,IF(U172&lt;=90,3,4))))</f>
        <v>0</v>
      </c>
      <c r="W172" s="53" t="n">
        <f aca="false">IF(U172&lt;0,-1000000000000000,U172+ROW()/1000000)</f>
        <v>-1000000000000000</v>
      </c>
      <c r="X172" s="53" t="n">
        <f aca="false">IF(T172=1,IF(AND(ISNUMBER(F172),ISNUMBER(K172)),K172-F172,0),0)</f>
        <v>0</v>
      </c>
      <c r="Y172" s="53" t="n">
        <f aca="false">IF(T172=1,IF(AND(ISNUMBER(F172),ISNUMBER(K172)),1,0),0)</f>
        <v>0</v>
      </c>
      <c r="Z172" s="53" t="n">
        <f aca="false">IF(U172&gt;=Settings!$C$8,1,0)</f>
        <v>0</v>
      </c>
      <c r="AA172" s="53" t="n">
        <f aca="false">IF(S172=1,IF(J172="Listed / Publicado",0,1),0)</f>
        <v>0</v>
      </c>
      <c r="AB172" s="53" t="n">
        <f aca="false">IF(T172=1,IF(ISNUMBER(L172),L172-G172,0),0)</f>
        <v>0</v>
      </c>
      <c r="AC172" s="53" t="n">
        <f aca="false">IF(S172=1,IF(ISNUMBER(I172),I172-G172,0),0)</f>
        <v>0</v>
      </c>
    </row>
    <row r="173" customFormat="false" ht="15" hidden="false" customHeight="false" outlineLevel="0" collapsed="false">
      <c r="B173" s="54"/>
      <c r="C173" s="55"/>
      <c r="D173" s="55"/>
      <c r="E173" s="55"/>
      <c r="F173" s="56"/>
      <c r="G173" s="57"/>
      <c r="H173" s="55"/>
      <c r="I173" s="57"/>
      <c r="J173" s="54"/>
      <c r="K173" s="56"/>
      <c r="L173" s="57"/>
      <c r="M173" s="54"/>
      <c r="N173" s="58" t="str">
        <f aca="false">IF(S173=1,IF(U173&lt;0,"",U173),IF(Y173=1,X173,""))</f>
        <v/>
      </c>
      <c r="O173" s="59" t="str">
        <f aca="false">IF(S173=1,IF(ISNUMBER(I173),I173-G173,""),"")</f>
        <v/>
      </c>
      <c r="P173" s="59" t="str">
        <f aca="false">IF(T173=1,IF(ISNUMBER(L173),L173-G173,""),"")</f>
        <v/>
      </c>
      <c r="Q173" s="60" t="str">
        <f aca="false">IF(C173="","",IF(T173=1,"✔ SOLD / VENDIDO",IF(S173=0,"— CLOSED / CERRADO",IF(U173&lt;0,"⚠ ADD DATE / AGREGA FECHA",IF(U173&gt;=Settings!$C$8,"⚠ STALE – REPRICE / ESTANCADO",IF(U173&gt;=Settings!$C$7,"● WATCH / VIGILAR","✔ FRESH / RECIENTE"))))))</f>
        <v/>
      </c>
      <c r="S173" s="53" t="n">
        <f aca="false">IF(C173="",0,IF(OR(J173="",J173="In Stock / En Inventario",J173="Listed / Publicado"),1,0))</f>
        <v>0</v>
      </c>
      <c r="T173" s="53" t="n">
        <f aca="false">IF(C173="",0,IF(J173="Sold / Vendido",1,0))</f>
        <v>0</v>
      </c>
      <c r="U173" s="53" t="n">
        <f aca="true">IF(S173=1,IF(ISNUMBER(F173),TODAY()-F173,-1),-1)</f>
        <v>-1</v>
      </c>
      <c r="V173" s="53" t="n">
        <f aca="false">IF(U173&lt;0,IF(S173=1,5,0),IF(U173&lt;=30,1,IF(U173&lt;=60,2,IF(U173&lt;=90,3,4))))</f>
        <v>0</v>
      </c>
      <c r="W173" s="53" t="n">
        <f aca="false">IF(U173&lt;0,-1000000000000000,U173+ROW()/1000000)</f>
        <v>-1000000000000000</v>
      </c>
      <c r="X173" s="53" t="n">
        <f aca="false">IF(T173=1,IF(AND(ISNUMBER(F173),ISNUMBER(K173)),K173-F173,0),0)</f>
        <v>0</v>
      </c>
      <c r="Y173" s="53" t="n">
        <f aca="false">IF(T173=1,IF(AND(ISNUMBER(F173),ISNUMBER(K173)),1,0),0)</f>
        <v>0</v>
      </c>
      <c r="Z173" s="53" t="n">
        <f aca="false">IF(U173&gt;=Settings!$C$8,1,0)</f>
        <v>0</v>
      </c>
      <c r="AA173" s="53" t="n">
        <f aca="false">IF(S173=1,IF(J173="Listed / Publicado",0,1),0)</f>
        <v>0</v>
      </c>
      <c r="AB173" s="53" t="n">
        <f aca="false">IF(T173=1,IF(ISNUMBER(L173),L173-G173,0),0)</f>
        <v>0</v>
      </c>
      <c r="AC173" s="53" t="n">
        <f aca="false">IF(S173=1,IF(ISNUMBER(I173),I173-G173,0),0)</f>
        <v>0</v>
      </c>
    </row>
    <row r="174" customFormat="false" ht="15" hidden="false" customHeight="false" outlineLevel="0" collapsed="false">
      <c r="B174" s="54"/>
      <c r="C174" s="55"/>
      <c r="D174" s="55"/>
      <c r="E174" s="55"/>
      <c r="F174" s="56"/>
      <c r="G174" s="57"/>
      <c r="H174" s="55"/>
      <c r="I174" s="57"/>
      <c r="J174" s="54"/>
      <c r="K174" s="56"/>
      <c r="L174" s="57"/>
      <c r="M174" s="54"/>
      <c r="N174" s="58" t="str">
        <f aca="false">IF(S174=1,IF(U174&lt;0,"",U174),IF(Y174=1,X174,""))</f>
        <v/>
      </c>
      <c r="O174" s="59" t="str">
        <f aca="false">IF(S174=1,IF(ISNUMBER(I174),I174-G174,""),"")</f>
        <v/>
      </c>
      <c r="P174" s="59" t="str">
        <f aca="false">IF(T174=1,IF(ISNUMBER(L174),L174-G174,""),"")</f>
        <v/>
      </c>
      <c r="Q174" s="60" t="str">
        <f aca="false">IF(C174="","",IF(T174=1,"✔ SOLD / VENDIDO",IF(S174=0,"— CLOSED / CERRADO",IF(U174&lt;0,"⚠ ADD DATE / AGREGA FECHA",IF(U174&gt;=Settings!$C$8,"⚠ STALE – REPRICE / ESTANCADO",IF(U174&gt;=Settings!$C$7,"● WATCH / VIGILAR","✔ FRESH / RECIENTE"))))))</f>
        <v/>
      </c>
      <c r="S174" s="53" t="n">
        <f aca="false">IF(C174="",0,IF(OR(J174="",J174="In Stock / En Inventario",J174="Listed / Publicado"),1,0))</f>
        <v>0</v>
      </c>
      <c r="T174" s="53" t="n">
        <f aca="false">IF(C174="",0,IF(J174="Sold / Vendido",1,0))</f>
        <v>0</v>
      </c>
      <c r="U174" s="53" t="n">
        <f aca="true">IF(S174=1,IF(ISNUMBER(F174),TODAY()-F174,-1),-1)</f>
        <v>-1</v>
      </c>
      <c r="V174" s="53" t="n">
        <f aca="false">IF(U174&lt;0,IF(S174=1,5,0),IF(U174&lt;=30,1,IF(U174&lt;=60,2,IF(U174&lt;=90,3,4))))</f>
        <v>0</v>
      </c>
      <c r="W174" s="53" t="n">
        <f aca="false">IF(U174&lt;0,-1000000000000000,U174+ROW()/1000000)</f>
        <v>-1000000000000000</v>
      </c>
      <c r="X174" s="53" t="n">
        <f aca="false">IF(T174=1,IF(AND(ISNUMBER(F174),ISNUMBER(K174)),K174-F174,0),0)</f>
        <v>0</v>
      </c>
      <c r="Y174" s="53" t="n">
        <f aca="false">IF(T174=1,IF(AND(ISNUMBER(F174),ISNUMBER(K174)),1,0),0)</f>
        <v>0</v>
      </c>
      <c r="Z174" s="53" t="n">
        <f aca="false">IF(U174&gt;=Settings!$C$8,1,0)</f>
        <v>0</v>
      </c>
      <c r="AA174" s="53" t="n">
        <f aca="false">IF(S174=1,IF(J174="Listed / Publicado",0,1),0)</f>
        <v>0</v>
      </c>
      <c r="AB174" s="53" t="n">
        <f aca="false">IF(T174=1,IF(ISNUMBER(L174),L174-G174,0),0)</f>
        <v>0</v>
      </c>
      <c r="AC174" s="53" t="n">
        <f aca="false">IF(S174=1,IF(ISNUMBER(I174),I174-G174,0),0)</f>
        <v>0</v>
      </c>
    </row>
    <row r="175" customFormat="false" ht="15" hidden="false" customHeight="false" outlineLevel="0" collapsed="false">
      <c r="B175" s="54"/>
      <c r="C175" s="55"/>
      <c r="D175" s="55"/>
      <c r="E175" s="55"/>
      <c r="F175" s="56"/>
      <c r="G175" s="57"/>
      <c r="H175" s="55"/>
      <c r="I175" s="57"/>
      <c r="J175" s="54"/>
      <c r="K175" s="56"/>
      <c r="L175" s="57"/>
      <c r="M175" s="54"/>
      <c r="N175" s="58" t="str">
        <f aca="false">IF(S175=1,IF(U175&lt;0,"",U175),IF(Y175=1,X175,""))</f>
        <v/>
      </c>
      <c r="O175" s="59" t="str">
        <f aca="false">IF(S175=1,IF(ISNUMBER(I175),I175-G175,""),"")</f>
        <v/>
      </c>
      <c r="P175" s="59" t="str">
        <f aca="false">IF(T175=1,IF(ISNUMBER(L175),L175-G175,""),"")</f>
        <v/>
      </c>
      <c r="Q175" s="60" t="str">
        <f aca="false">IF(C175="","",IF(T175=1,"✔ SOLD / VENDIDO",IF(S175=0,"— CLOSED / CERRADO",IF(U175&lt;0,"⚠ ADD DATE / AGREGA FECHA",IF(U175&gt;=Settings!$C$8,"⚠ STALE – REPRICE / ESTANCADO",IF(U175&gt;=Settings!$C$7,"● WATCH / VIGILAR","✔ FRESH / RECIENTE"))))))</f>
        <v/>
      </c>
      <c r="S175" s="53" t="n">
        <f aca="false">IF(C175="",0,IF(OR(J175="",J175="In Stock / En Inventario",J175="Listed / Publicado"),1,0))</f>
        <v>0</v>
      </c>
      <c r="T175" s="53" t="n">
        <f aca="false">IF(C175="",0,IF(J175="Sold / Vendido",1,0))</f>
        <v>0</v>
      </c>
      <c r="U175" s="53" t="n">
        <f aca="true">IF(S175=1,IF(ISNUMBER(F175),TODAY()-F175,-1),-1)</f>
        <v>-1</v>
      </c>
      <c r="V175" s="53" t="n">
        <f aca="false">IF(U175&lt;0,IF(S175=1,5,0),IF(U175&lt;=30,1,IF(U175&lt;=60,2,IF(U175&lt;=90,3,4))))</f>
        <v>0</v>
      </c>
      <c r="W175" s="53" t="n">
        <f aca="false">IF(U175&lt;0,-1000000000000000,U175+ROW()/1000000)</f>
        <v>-1000000000000000</v>
      </c>
      <c r="X175" s="53" t="n">
        <f aca="false">IF(T175=1,IF(AND(ISNUMBER(F175),ISNUMBER(K175)),K175-F175,0),0)</f>
        <v>0</v>
      </c>
      <c r="Y175" s="53" t="n">
        <f aca="false">IF(T175=1,IF(AND(ISNUMBER(F175),ISNUMBER(K175)),1,0),0)</f>
        <v>0</v>
      </c>
      <c r="Z175" s="53" t="n">
        <f aca="false">IF(U175&gt;=Settings!$C$8,1,0)</f>
        <v>0</v>
      </c>
      <c r="AA175" s="53" t="n">
        <f aca="false">IF(S175=1,IF(J175="Listed / Publicado",0,1),0)</f>
        <v>0</v>
      </c>
      <c r="AB175" s="53" t="n">
        <f aca="false">IF(T175=1,IF(ISNUMBER(L175),L175-G175,0),0)</f>
        <v>0</v>
      </c>
      <c r="AC175" s="53" t="n">
        <f aca="false">IF(S175=1,IF(ISNUMBER(I175),I175-G175,0),0)</f>
        <v>0</v>
      </c>
    </row>
    <row r="176" customFormat="false" ht="15" hidden="false" customHeight="false" outlineLevel="0" collapsed="false">
      <c r="B176" s="54"/>
      <c r="C176" s="55"/>
      <c r="D176" s="55"/>
      <c r="E176" s="55"/>
      <c r="F176" s="56"/>
      <c r="G176" s="57"/>
      <c r="H176" s="55"/>
      <c r="I176" s="57"/>
      <c r="J176" s="54"/>
      <c r="K176" s="56"/>
      <c r="L176" s="57"/>
      <c r="M176" s="54"/>
      <c r="N176" s="58" t="str">
        <f aca="false">IF(S176=1,IF(U176&lt;0,"",U176),IF(Y176=1,X176,""))</f>
        <v/>
      </c>
      <c r="O176" s="59" t="str">
        <f aca="false">IF(S176=1,IF(ISNUMBER(I176),I176-G176,""),"")</f>
        <v/>
      </c>
      <c r="P176" s="59" t="str">
        <f aca="false">IF(T176=1,IF(ISNUMBER(L176),L176-G176,""),"")</f>
        <v/>
      </c>
      <c r="Q176" s="60" t="str">
        <f aca="false">IF(C176="","",IF(T176=1,"✔ SOLD / VENDIDO",IF(S176=0,"— CLOSED / CERRADO",IF(U176&lt;0,"⚠ ADD DATE / AGREGA FECHA",IF(U176&gt;=Settings!$C$8,"⚠ STALE – REPRICE / ESTANCADO",IF(U176&gt;=Settings!$C$7,"● WATCH / VIGILAR","✔ FRESH / RECIENTE"))))))</f>
        <v/>
      </c>
      <c r="S176" s="53" t="n">
        <f aca="false">IF(C176="",0,IF(OR(J176="",J176="In Stock / En Inventario",J176="Listed / Publicado"),1,0))</f>
        <v>0</v>
      </c>
      <c r="T176" s="53" t="n">
        <f aca="false">IF(C176="",0,IF(J176="Sold / Vendido",1,0))</f>
        <v>0</v>
      </c>
      <c r="U176" s="53" t="n">
        <f aca="true">IF(S176=1,IF(ISNUMBER(F176),TODAY()-F176,-1),-1)</f>
        <v>-1</v>
      </c>
      <c r="V176" s="53" t="n">
        <f aca="false">IF(U176&lt;0,IF(S176=1,5,0),IF(U176&lt;=30,1,IF(U176&lt;=60,2,IF(U176&lt;=90,3,4))))</f>
        <v>0</v>
      </c>
      <c r="W176" s="53" t="n">
        <f aca="false">IF(U176&lt;0,-1000000000000000,U176+ROW()/1000000)</f>
        <v>-1000000000000000</v>
      </c>
      <c r="X176" s="53" t="n">
        <f aca="false">IF(T176=1,IF(AND(ISNUMBER(F176),ISNUMBER(K176)),K176-F176,0),0)</f>
        <v>0</v>
      </c>
      <c r="Y176" s="53" t="n">
        <f aca="false">IF(T176=1,IF(AND(ISNUMBER(F176),ISNUMBER(K176)),1,0),0)</f>
        <v>0</v>
      </c>
      <c r="Z176" s="53" t="n">
        <f aca="false">IF(U176&gt;=Settings!$C$8,1,0)</f>
        <v>0</v>
      </c>
      <c r="AA176" s="53" t="n">
        <f aca="false">IF(S176=1,IF(J176="Listed / Publicado",0,1),0)</f>
        <v>0</v>
      </c>
      <c r="AB176" s="53" t="n">
        <f aca="false">IF(T176=1,IF(ISNUMBER(L176),L176-G176,0),0)</f>
        <v>0</v>
      </c>
      <c r="AC176" s="53" t="n">
        <f aca="false">IF(S176=1,IF(ISNUMBER(I176),I176-G176,0),0)</f>
        <v>0</v>
      </c>
    </row>
    <row r="177" customFormat="false" ht="15" hidden="false" customHeight="false" outlineLevel="0" collapsed="false">
      <c r="B177" s="54"/>
      <c r="C177" s="55"/>
      <c r="D177" s="55"/>
      <c r="E177" s="55"/>
      <c r="F177" s="56"/>
      <c r="G177" s="57"/>
      <c r="H177" s="55"/>
      <c r="I177" s="57"/>
      <c r="J177" s="54"/>
      <c r="K177" s="56"/>
      <c r="L177" s="57"/>
      <c r="M177" s="54"/>
      <c r="N177" s="58" t="str">
        <f aca="false">IF(S177=1,IF(U177&lt;0,"",U177),IF(Y177=1,X177,""))</f>
        <v/>
      </c>
      <c r="O177" s="59" t="str">
        <f aca="false">IF(S177=1,IF(ISNUMBER(I177),I177-G177,""),"")</f>
        <v/>
      </c>
      <c r="P177" s="59" t="str">
        <f aca="false">IF(T177=1,IF(ISNUMBER(L177),L177-G177,""),"")</f>
        <v/>
      </c>
      <c r="Q177" s="60" t="str">
        <f aca="false">IF(C177="","",IF(T177=1,"✔ SOLD / VENDIDO",IF(S177=0,"— CLOSED / CERRADO",IF(U177&lt;0,"⚠ ADD DATE / AGREGA FECHA",IF(U177&gt;=Settings!$C$8,"⚠ STALE – REPRICE / ESTANCADO",IF(U177&gt;=Settings!$C$7,"● WATCH / VIGILAR","✔ FRESH / RECIENTE"))))))</f>
        <v/>
      </c>
      <c r="S177" s="53" t="n">
        <f aca="false">IF(C177="",0,IF(OR(J177="",J177="In Stock / En Inventario",J177="Listed / Publicado"),1,0))</f>
        <v>0</v>
      </c>
      <c r="T177" s="53" t="n">
        <f aca="false">IF(C177="",0,IF(J177="Sold / Vendido",1,0))</f>
        <v>0</v>
      </c>
      <c r="U177" s="53" t="n">
        <f aca="true">IF(S177=1,IF(ISNUMBER(F177),TODAY()-F177,-1),-1)</f>
        <v>-1</v>
      </c>
      <c r="V177" s="53" t="n">
        <f aca="false">IF(U177&lt;0,IF(S177=1,5,0),IF(U177&lt;=30,1,IF(U177&lt;=60,2,IF(U177&lt;=90,3,4))))</f>
        <v>0</v>
      </c>
      <c r="W177" s="53" t="n">
        <f aca="false">IF(U177&lt;0,-1000000000000000,U177+ROW()/1000000)</f>
        <v>-1000000000000000</v>
      </c>
      <c r="X177" s="53" t="n">
        <f aca="false">IF(T177=1,IF(AND(ISNUMBER(F177),ISNUMBER(K177)),K177-F177,0),0)</f>
        <v>0</v>
      </c>
      <c r="Y177" s="53" t="n">
        <f aca="false">IF(T177=1,IF(AND(ISNUMBER(F177),ISNUMBER(K177)),1,0),0)</f>
        <v>0</v>
      </c>
      <c r="Z177" s="53" t="n">
        <f aca="false">IF(U177&gt;=Settings!$C$8,1,0)</f>
        <v>0</v>
      </c>
      <c r="AA177" s="53" t="n">
        <f aca="false">IF(S177=1,IF(J177="Listed / Publicado",0,1),0)</f>
        <v>0</v>
      </c>
      <c r="AB177" s="53" t="n">
        <f aca="false">IF(T177=1,IF(ISNUMBER(L177),L177-G177,0),0)</f>
        <v>0</v>
      </c>
      <c r="AC177" s="53" t="n">
        <f aca="false">IF(S177=1,IF(ISNUMBER(I177),I177-G177,0),0)</f>
        <v>0</v>
      </c>
    </row>
    <row r="178" customFormat="false" ht="15" hidden="false" customHeight="false" outlineLevel="0" collapsed="false">
      <c r="B178" s="54"/>
      <c r="C178" s="55"/>
      <c r="D178" s="55"/>
      <c r="E178" s="55"/>
      <c r="F178" s="56"/>
      <c r="G178" s="57"/>
      <c r="H178" s="55"/>
      <c r="I178" s="57"/>
      <c r="J178" s="54"/>
      <c r="K178" s="56"/>
      <c r="L178" s="57"/>
      <c r="M178" s="54"/>
      <c r="N178" s="58" t="str">
        <f aca="false">IF(S178=1,IF(U178&lt;0,"",U178),IF(Y178=1,X178,""))</f>
        <v/>
      </c>
      <c r="O178" s="59" t="str">
        <f aca="false">IF(S178=1,IF(ISNUMBER(I178),I178-G178,""),"")</f>
        <v/>
      </c>
      <c r="P178" s="59" t="str">
        <f aca="false">IF(T178=1,IF(ISNUMBER(L178),L178-G178,""),"")</f>
        <v/>
      </c>
      <c r="Q178" s="60" t="str">
        <f aca="false">IF(C178="","",IF(T178=1,"✔ SOLD / VENDIDO",IF(S178=0,"— CLOSED / CERRADO",IF(U178&lt;0,"⚠ ADD DATE / AGREGA FECHA",IF(U178&gt;=Settings!$C$8,"⚠ STALE – REPRICE / ESTANCADO",IF(U178&gt;=Settings!$C$7,"● WATCH / VIGILAR","✔ FRESH / RECIENTE"))))))</f>
        <v/>
      </c>
      <c r="S178" s="53" t="n">
        <f aca="false">IF(C178="",0,IF(OR(J178="",J178="In Stock / En Inventario",J178="Listed / Publicado"),1,0))</f>
        <v>0</v>
      </c>
      <c r="T178" s="53" t="n">
        <f aca="false">IF(C178="",0,IF(J178="Sold / Vendido",1,0))</f>
        <v>0</v>
      </c>
      <c r="U178" s="53" t="n">
        <f aca="true">IF(S178=1,IF(ISNUMBER(F178),TODAY()-F178,-1),-1)</f>
        <v>-1</v>
      </c>
      <c r="V178" s="53" t="n">
        <f aca="false">IF(U178&lt;0,IF(S178=1,5,0),IF(U178&lt;=30,1,IF(U178&lt;=60,2,IF(U178&lt;=90,3,4))))</f>
        <v>0</v>
      </c>
      <c r="W178" s="53" t="n">
        <f aca="false">IF(U178&lt;0,-1000000000000000,U178+ROW()/1000000)</f>
        <v>-1000000000000000</v>
      </c>
      <c r="X178" s="53" t="n">
        <f aca="false">IF(T178=1,IF(AND(ISNUMBER(F178),ISNUMBER(K178)),K178-F178,0),0)</f>
        <v>0</v>
      </c>
      <c r="Y178" s="53" t="n">
        <f aca="false">IF(T178=1,IF(AND(ISNUMBER(F178),ISNUMBER(K178)),1,0),0)</f>
        <v>0</v>
      </c>
      <c r="Z178" s="53" t="n">
        <f aca="false">IF(U178&gt;=Settings!$C$8,1,0)</f>
        <v>0</v>
      </c>
      <c r="AA178" s="53" t="n">
        <f aca="false">IF(S178=1,IF(J178="Listed / Publicado",0,1),0)</f>
        <v>0</v>
      </c>
      <c r="AB178" s="53" t="n">
        <f aca="false">IF(T178=1,IF(ISNUMBER(L178),L178-G178,0),0)</f>
        <v>0</v>
      </c>
      <c r="AC178" s="53" t="n">
        <f aca="false">IF(S178=1,IF(ISNUMBER(I178),I178-G178,0),0)</f>
        <v>0</v>
      </c>
    </row>
    <row r="179" customFormat="false" ht="15" hidden="false" customHeight="false" outlineLevel="0" collapsed="false">
      <c r="B179" s="54"/>
      <c r="C179" s="55"/>
      <c r="D179" s="55"/>
      <c r="E179" s="55"/>
      <c r="F179" s="56"/>
      <c r="G179" s="57"/>
      <c r="H179" s="55"/>
      <c r="I179" s="57"/>
      <c r="J179" s="54"/>
      <c r="K179" s="56"/>
      <c r="L179" s="57"/>
      <c r="M179" s="54"/>
      <c r="N179" s="58" t="str">
        <f aca="false">IF(S179=1,IF(U179&lt;0,"",U179),IF(Y179=1,X179,""))</f>
        <v/>
      </c>
      <c r="O179" s="59" t="str">
        <f aca="false">IF(S179=1,IF(ISNUMBER(I179),I179-G179,""),"")</f>
        <v/>
      </c>
      <c r="P179" s="59" t="str">
        <f aca="false">IF(T179=1,IF(ISNUMBER(L179),L179-G179,""),"")</f>
        <v/>
      </c>
      <c r="Q179" s="60" t="str">
        <f aca="false">IF(C179="","",IF(T179=1,"✔ SOLD / VENDIDO",IF(S179=0,"— CLOSED / CERRADO",IF(U179&lt;0,"⚠ ADD DATE / AGREGA FECHA",IF(U179&gt;=Settings!$C$8,"⚠ STALE – REPRICE / ESTANCADO",IF(U179&gt;=Settings!$C$7,"● WATCH / VIGILAR","✔ FRESH / RECIENTE"))))))</f>
        <v/>
      </c>
      <c r="S179" s="53" t="n">
        <f aca="false">IF(C179="",0,IF(OR(J179="",J179="In Stock / En Inventario",J179="Listed / Publicado"),1,0))</f>
        <v>0</v>
      </c>
      <c r="T179" s="53" t="n">
        <f aca="false">IF(C179="",0,IF(J179="Sold / Vendido",1,0))</f>
        <v>0</v>
      </c>
      <c r="U179" s="53" t="n">
        <f aca="true">IF(S179=1,IF(ISNUMBER(F179),TODAY()-F179,-1),-1)</f>
        <v>-1</v>
      </c>
      <c r="V179" s="53" t="n">
        <f aca="false">IF(U179&lt;0,IF(S179=1,5,0),IF(U179&lt;=30,1,IF(U179&lt;=60,2,IF(U179&lt;=90,3,4))))</f>
        <v>0</v>
      </c>
      <c r="W179" s="53" t="n">
        <f aca="false">IF(U179&lt;0,-1000000000000000,U179+ROW()/1000000)</f>
        <v>-1000000000000000</v>
      </c>
      <c r="X179" s="53" t="n">
        <f aca="false">IF(T179=1,IF(AND(ISNUMBER(F179),ISNUMBER(K179)),K179-F179,0),0)</f>
        <v>0</v>
      </c>
      <c r="Y179" s="53" t="n">
        <f aca="false">IF(T179=1,IF(AND(ISNUMBER(F179),ISNUMBER(K179)),1,0),0)</f>
        <v>0</v>
      </c>
      <c r="Z179" s="53" t="n">
        <f aca="false">IF(U179&gt;=Settings!$C$8,1,0)</f>
        <v>0</v>
      </c>
      <c r="AA179" s="53" t="n">
        <f aca="false">IF(S179=1,IF(J179="Listed / Publicado",0,1),0)</f>
        <v>0</v>
      </c>
      <c r="AB179" s="53" t="n">
        <f aca="false">IF(T179=1,IF(ISNUMBER(L179),L179-G179,0),0)</f>
        <v>0</v>
      </c>
      <c r="AC179" s="53" t="n">
        <f aca="false">IF(S179=1,IF(ISNUMBER(I179),I179-G179,0),0)</f>
        <v>0</v>
      </c>
    </row>
    <row r="180" customFormat="false" ht="15" hidden="false" customHeight="false" outlineLevel="0" collapsed="false">
      <c r="B180" s="54"/>
      <c r="C180" s="55"/>
      <c r="D180" s="55"/>
      <c r="E180" s="55"/>
      <c r="F180" s="56"/>
      <c r="G180" s="57"/>
      <c r="H180" s="55"/>
      <c r="I180" s="57"/>
      <c r="J180" s="54"/>
      <c r="K180" s="56"/>
      <c r="L180" s="57"/>
      <c r="M180" s="54"/>
      <c r="N180" s="58" t="str">
        <f aca="false">IF(S180=1,IF(U180&lt;0,"",U180),IF(Y180=1,X180,""))</f>
        <v/>
      </c>
      <c r="O180" s="59" t="str">
        <f aca="false">IF(S180=1,IF(ISNUMBER(I180),I180-G180,""),"")</f>
        <v/>
      </c>
      <c r="P180" s="59" t="str">
        <f aca="false">IF(T180=1,IF(ISNUMBER(L180),L180-G180,""),"")</f>
        <v/>
      </c>
      <c r="Q180" s="60" t="str">
        <f aca="false">IF(C180="","",IF(T180=1,"✔ SOLD / VENDIDO",IF(S180=0,"— CLOSED / CERRADO",IF(U180&lt;0,"⚠ ADD DATE / AGREGA FECHA",IF(U180&gt;=Settings!$C$8,"⚠ STALE – REPRICE / ESTANCADO",IF(U180&gt;=Settings!$C$7,"● WATCH / VIGILAR","✔ FRESH / RECIENTE"))))))</f>
        <v/>
      </c>
      <c r="S180" s="53" t="n">
        <f aca="false">IF(C180="",0,IF(OR(J180="",J180="In Stock / En Inventario",J180="Listed / Publicado"),1,0))</f>
        <v>0</v>
      </c>
      <c r="T180" s="53" t="n">
        <f aca="false">IF(C180="",0,IF(J180="Sold / Vendido",1,0))</f>
        <v>0</v>
      </c>
      <c r="U180" s="53" t="n">
        <f aca="true">IF(S180=1,IF(ISNUMBER(F180),TODAY()-F180,-1),-1)</f>
        <v>-1</v>
      </c>
      <c r="V180" s="53" t="n">
        <f aca="false">IF(U180&lt;0,IF(S180=1,5,0),IF(U180&lt;=30,1,IF(U180&lt;=60,2,IF(U180&lt;=90,3,4))))</f>
        <v>0</v>
      </c>
      <c r="W180" s="53" t="n">
        <f aca="false">IF(U180&lt;0,-1000000000000000,U180+ROW()/1000000)</f>
        <v>-1000000000000000</v>
      </c>
      <c r="X180" s="53" t="n">
        <f aca="false">IF(T180=1,IF(AND(ISNUMBER(F180),ISNUMBER(K180)),K180-F180,0),0)</f>
        <v>0</v>
      </c>
      <c r="Y180" s="53" t="n">
        <f aca="false">IF(T180=1,IF(AND(ISNUMBER(F180),ISNUMBER(K180)),1,0),0)</f>
        <v>0</v>
      </c>
      <c r="Z180" s="53" t="n">
        <f aca="false">IF(U180&gt;=Settings!$C$8,1,0)</f>
        <v>0</v>
      </c>
      <c r="AA180" s="53" t="n">
        <f aca="false">IF(S180=1,IF(J180="Listed / Publicado",0,1),0)</f>
        <v>0</v>
      </c>
      <c r="AB180" s="53" t="n">
        <f aca="false">IF(T180=1,IF(ISNUMBER(L180),L180-G180,0),0)</f>
        <v>0</v>
      </c>
      <c r="AC180" s="53" t="n">
        <f aca="false">IF(S180=1,IF(ISNUMBER(I180),I180-G180,0),0)</f>
        <v>0</v>
      </c>
    </row>
    <row r="181" customFormat="false" ht="15" hidden="false" customHeight="false" outlineLevel="0" collapsed="false">
      <c r="B181" s="54"/>
      <c r="C181" s="55"/>
      <c r="D181" s="55"/>
      <c r="E181" s="55"/>
      <c r="F181" s="56"/>
      <c r="G181" s="57"/>
      <c r="H181" s="55"/>
      <c r="I181" s="57"/>
      <c r="J181" s="54"/>
      <c r="K181" s="56"/>
      <c r="L181" s="57"/>
      <c r="M181" s="54"/>
      <c r="N181" s="58" t="str">
        <f aca="false">IF(S181=1,IF(U181&lt;0,"",U181),IF(Y181=1,X181,""))</f>
        <v/>
      </c>
      <c r="O181" s="59" t="str">
        <f aca="false">IF(S181=1,IF(ISNUMBER(I181),I181-G181,""),"")</f>
        <v/>
      </c>
      <c r="P181" s="59" t="str">
        <f aca="false">IF(T181=1,IF(ISNUMBER(L181),L181-G181,""),"")</f>
        <v/>
      </c>
      <c r="Q181" s="60" t="str">
        <f aca="false">IF(C181="","",IF(T181=1,"✔ SOLD / VENDIDO",IF(S181=0,"— CLOSED / CERRADO",IF(U181&lt;0,"⚠ ADD DATE / AGREGA FECHA",IF(U181&gt;=Settings!$C$8,"⚠ STALE – REPRICE / ESTANCADO",IF(U181&gt;=Settings!$C$7,"● WATCH / VIGILAR","✔ FRESH / RECIENTE"))))))</f>
        <v/>
      </c>
      <c r="S181" s="53" t="n">
        <f aca="false">IF(C181="",0,IF(OR(J181="",J181="In Stock / En Inventario",J181="Listed / Publicado"),1,0))</f>
        <v>0</v>
      </c>
      <c r="T181" s="53" t="n">
        <f aca="false">IF(C181="",0,IF(J181="Sold / Vendido",1,0))</f>
        <v>0</v>
      </c>
      <c r="U181" s="53" t="n">
        <f aca="true">IF(S181=1,IF(ISNUMBER(F181),TODAY()-F181,-1),-1)</f>
        <v>-1</v>
      </c>
      <c r="V181" s="53" t="n">
        <f aca="false">IF(U181&lt;0,IF(S181=1,5,0),IF(U181&lt;=30,1,IF(U181&lt;=60,2,IF(U181&lt;=90,3,4))))</f>
        <v>0</v>
      </c>
      <c r="W181" s="53" t="n">
        <f aca="false">IF(U181&lt;0,-1000000000000000,U181+ROW()/1000000)</f>
        <v>-1000000000000000</v>
      </c>
      <c r="X181" s="53" t="n">
        <f aca="false">IF(T181=1,IF(AND(ISNUMBER(F181),ISNUMBER(K181)),K181-F181,0),0)</f>
        <v>0</v>
      </c>
      <c r="Y181" s="53" t="n">
        <f aca="false">IF(T181=1,IF(AND(ISNUMBER(F181),ISNUMBER(K181)),1,0),0)</f>
        <v>0</v>
      </c>
      <c r="Z181" s="53" t="n">
        <f aca="false">IF(U181&gt;=Settings!$C$8,1,0)</f>
        <v>0</v>
      </c>
      <c r="AA181" s="53" t="n">
        <f aca="false">IF(S181=1,IF(J181="Listed / Publicado",0,1),0)</f>
        <v>0</v>
      </c>
      <c r="AB181" s="53" t="n">
        <f aca="false">IF(T181=1,IF(ISNUMBER(L181),L181-G181,0),0)</f>
        <v>0</v>
      </c>
      <c r="AC181" s="53" t="n">
        <f aca="false">IF(S181=1,IF(ISNUMBER(I181),I181-G181,0),0)</f>
        <v>0</v>
      </c>
    </row>
    <row r="182" customFormat="false" ht="15" hidden="false" customHeight="false" outlineLevel="0" collapsed="false">
      <c r="B182" s="54"/>
      <c r="C182" s="55"/>
      <c r="D182" s="55"/>
      <c r="E182" s="55"/>
      <c r="F182" s="56"/>
      <c r="G182" s="57"/>
      <c r="H182" s="55"/>
      <c r="I182" s="57"/>
      <c r="J182" s="54"/>
      <c r="K182" s="56"/>
      <c r="L182" s="57"/>
      <c r="M182" s="54"/>
      <c r="N182" s="58" t="str">
        <f aca="false">IF(S182=1,IF(U182&lt;0,"",U182),IF(Y182=1,X182,""))</f>
        <v/>
      </c>
      <c r="O182" s="59" t="str">
        <f aca="false">IF(S182=1,IF(ISNUMBER(I182),I182-G182,""),"")</f>
        <v/>
      </c>
      <c r="P182" s="59" t="str">
        <f aca="false">IF(T182=1,IF(ISNUMBER(L182),L182-G182,""),"")</f>
        <v/>
      </c>
      <c r="Q182" s="60" t="str">
        <f aca="false">IF(C182="","",IF(T182=1,"✔ SOLD / VENDIDO",IF(S182=0,"— CLOSED / CERRADO",IF(U182&lt;0,"⚠ ADD DATE / AGREGA FECHA",IF(U182&gt;=Settings!$C$8,"⚠ STALE – REPRICE / ESTANCADO",IF(U182&gt;=Settings!$C$7,"● WATCH / VIGILAR","✔ FRESH / RECIENTE"))))))</f>
        <v/>
      </c>
      <c r="S182" s="53" t="n">
        <f aca="false">IF(C182="",0,IF(OR(J182="",J182="In Stock / En Inventario",J182="Listed / Publicado"),1,0))</f>
        <v>0</v>
      </c>
      <c r="T182" s="53" t="n">
        <f aca="false">IF(C182="",0,IF(J182="Sold / Vendido",1,0))</f>
        <v>0</v>
      </c>
      <c r="U182" s="53" t="n">
        <f aca="true">IF(S182=1,IF(ISNUMBER(F182),TODAY()-F182,-1),-1)</f>
        <v>-1</v>
      </c>
      <c r="V182" s="53" t="n">
        <f aca="false">IF(U182&lt;0,IF(S182=1,5,0),IF(U182&lt;=30,1,IF(U182&lt;=60,2,IF(U182&lt;=90,3,4))))</f>
        <v>0</v>
      </c>
      <c r="W182" s="53" t="n">
        <f aca="false">IF(U182&lt;0,-1000000000000000,U182+ROW()/1000000)</f>
        <v>-1000000000000000</v>
      </c>
      <c r="X182" s="53" t="n">
        <f aca="false">IF(T182=1,IF(AND(ISNUMBER(F182),ISNUMBER(K182)),K182-F182,0),0)</f>
        <v>0</v>
      </c>
      <c r="Y182" s="53" t="n">
        <f aca="false">IF(T182=1,IF(AND(ISNUMBER(F182),ISNUMBER(K182)),1,0),0)</f>
        <v>0</v>
      </c>
      <c r="Z182" s="53" t="n">
        <f aca="false">IF(U182&gt;=Settings!$C$8,1,0)</f>
        <v>0</v>
      </c>
      <c r="AA182" s="53" t="n">
        <f aca="false">IF(S182=1,IF(J182="Listed / Publicado",0,1),0)</f>
        <v>0</v>
      </c>
      <c r="AB182" s="53" t="n">
        <f aca="false">IF(T182=1,IF(ISNUMBER(L182),L182-G182,0),0)</f>
        <v>0</v>
      </c>
      <c r="AC182" s="53" t="n">
        <f aca="false">IF(S182=1,IF(ISNUMBER(I182),I182-G182,0),0)</f>
        <v>0</v>
      </c>
    </row>
    <row r="183" customFormat="false" ht="15" hidden="false" customHeight="false" outlineLevel="0" collapsed="false">
      <c r="B183" s="54"/>
      <c r="C183" s="55"/>
      <c r="D183" s="55"/>
      <c r="E183" s="55"/>
      <c r="F183" s="56"/>
      <c r="G183" s="57"/>
      <c r="H183" s="55"/>
      <c r="I183" s="57"/>
      <c r="J183" s="54"/>
      <c r="K183" s="56"/>
      <c r="L183" s="57"/>
      <c r="M183" s="54"/>
      <c r="N183" s="58" t="str">
        <f aca="false">IF(S183=1,IF(U183&lt;0,"",U183),IF(Y183=1,X183,""))</f>
        <v/>
      </c>
      <c r="O183" s="59" t="str">
        <f aca="false">IF(S183=1,IF(ISNUMBER(I183),I183-G183,""),"")</f>
        <v/>
      </c>
      <c r="P183" s="59" t="str">
        <f aca="false">IF(T183=1,IF(ISNUMBER(L183),L183-G183,""),"")</f>
        <v/>
      </c>
      <c r="Q183" s="60" t="str">
        <f aca="false">IF(C183="","",IF(T183=1,"✔ SOLD / VENDIDO",IF(S183=0,"— CLOSED / CERRADO",IF(U183&lt;0,"⚠ ADD DATE / AGREGA FECHA",IF(U183&gt;=Settings!$C$8,"⚠ STALE – REPRICE / ESTANCADO",IF(U183&gt;=Settings!$C$7,"● WATCH / VIGILAR","✔ FRESH / RECIENTE"))))))</f>
        <v/>
      </c>
      <c r="S183" s="53" t="n">
        <f aca="false">IF(C183="",0,IF(OR(J183="",J183="In Stock / En Inventario",J183="Listed / Publicado"),1,0))</f>
        <v>0</v>
      </c>
      <c r="T183" s="53" t="n">
        <f aca="false">IF(C183="",0,IF(J183="Sold / Vendido",1,0))</f>
        <v>0</v>
      </c>
      <c r="U183" s="53" t="n">
        <f aca="true">IF(S183=1,IF(ISNUMBER(F183),TODAY()-F183,-1),-1)</f>
        <v>-1</v>
      </c>
      <c r="V183" s="53" t="n">
        <f aca="false">IF(U183&lt;0,IF(S183=1,5,0),IF(U183&lt;=30,1,IF(U183&lt;=60,2,IF(U183&lt;=90,3,4))))</f>
        <v>0</v>
      </c>
      <c r="W183" s="53" t="n">
        <f aca="false">IF(U183&lt;0,-1000000000000000,U183+ROW()/1000000)</f>
        <v>-1000000000000000</v>
      </c>
      <c r="X183" s="53" t="n">
        <f aca="false">IF(T183=1,IF(AND(ISNUMBER(F183),ISNUMBER(K183)),K183-F183,0),0)</f>
        <v>0</v>
      </c>
      <c r="Y183" s="53" t="n">
        <f aca="false">IF(T183=1,IF(AND(ISNUMBER(F183),ISNUMBER(K183)),1,0),0)</f>
        <v>0</v>
      </c>
      <c r="Z183" s="53" t="n">
        <f aca="false">IF(U183&gt;=Settings!$C$8,1,0)</f>
        <v>0</v>
      </c>
      <c r="AA183" s="53" t="n">
        <f aca="false">IF(S183=1,IF(J183="Listed / Publicado",0,1),0)</f>
        <v>0</v>
      </c>
      <c r="AB183" s="53" t="n">
        <f aca="false">IF(T183=1,IF(ISNUMBER(L183),L183-G183,0),0)</f>
        <v>0</v>
      </c>
      <c r="AC183" s="53" t="n">
        <f aca="false">IF(S183=1,IF(ISNUMBER(I183),I183-G183,0),0)</f>
        <v>0</v>
      </c>
    </row>
    <row r="184" customFormat="false" ht="15" hidden="false" customHeight="false" outlineLevel="0" collapsed="false">
      <c r="B184" s="54"/>
      <c r="C184" s="55"/>
      <c r="D184" s="55"/>
      <c r="E184" s="55"/>
      <c r="F184" s="56"/>
      <c r="G184" s="57"/>
      <c r="H184" s="55"/>
      <c r="I184" s="57"/>
      <c r="J184" s="54"/>
      <c r="K184" s="56"/>
      <c r="L184" s="57"/>
      <c r="M184" s="54"/>
      <c r="N184" s="58" t="str">
        <f aca="false">IF(S184=1,IF(U184&lt;0,"",U184),IF(Y184=1,X184,""))</f>
        <v/>
      </c>
      <c r="O184" s="59" t="str">
        <f aca="false">IF(S184=1,IF(ISNUMBER(I184),I184-G184,""),"")</f>
        <v/>
      </c>
      <c r="P184" s="59" t="str">
        <f aca="false">IF(T184=1,IF(ISNUMBER(L184),L184-G184,""),"")</f>
        <v/>
      </c>
      <c r="Q184" s="60" t="str">
        <f aca="false">IF(C184="","",IF(T184=1,"✔ SOLD / VENDIDO",IF(S184=0,"— CLOSED / CERRADO",IF(U184&lt;0,"⚠ ADD DATE / AGREGA FECHA",IF(U184&gt;=Settings!$C$8,"⚠ STALE – REPRICE / ESTANCADO",IF(U184&gt;=Settings!$C$7,"● WATCH / VIGILAR","✔ FRESH / RECIENTE"))))))</f>
        <v/>
      </c>
      <c r="S184" s="53" t="n">
        <f aca="false">IF(C184="",0,IF(OR(J184="",J184="In Stock / En Inventario",J184="Listed / Publicado"),1,0))</f>
        <v>0</v>
      </c>
      <c r="T184" s="53" t="n">
        <f aca="false">IF(C184="",0,IF(J184="Sold / Vendido",1,0))</f>
        <v>0</v>
      </c>
      <c r="U184" s="53" t="n">
        <f aca="true">IF(S184=1,IF(ISNUMBER(F184),TODAY()-F184,-1),-1)</f>
        <v>-1</v>
      </c>
      <c r="V184" s="53" t="n">
        <f aca="false">IF(U184&lt;0,IF(S184=1,5,0),IF(U184&lt;=30,1,IF(U184&lt;=60,2,IF(U184&lt;=90,3,4))))</f>
        <v>0</v>
      </c>
      <c r="W184" s="53" t="n">
        <f aca="false">IF(U184&lt;0,-1000000000000000,U184+ROW()/1000000)</f>
        <v>-1000000000000000</v>
      </c>
      <c r="X184" s="53" t="n">
        <f aca="false">IF(T184=1,IF(AND(ISNUMBER(F184),ISNUMBER(K184)),K184-F184,0),0)</f>
        <v>0</v>
      </c>
      <c r="Y184" s="53" t="n">
        <f aca="false">IF(T184=1,IF(AND(ISNUMBER(F184),ISNUMBER(K184)),1,0),0)</f>
        <v>0</v>
      </c>
      <c r="Z184" s="53" t="n">
        <f aca="false">IF(U184&gt;=Settings!$C$8,1,0)</f>
        <v>0</v>
      </c>
      <c r="AA184" s="53" t="n">
        <f aca="false">IF(S184=1,IF(J184="Listed / Publicado",0,1),0)</f>
        <v>0</v>
      </c>
      <c r="AB184" s="53" t="n">
        <f aca="false">IF(T184=1,IF(ISNUMBER(L184),L184-G184,0),0)</f>
        <v>0</v>
      </c>
      <c r="AC184" s="53" t="n">
        <f aca="false">IF(S184=1,IF(ISNUMBER(I184),I184-G184,0),0)</f>
        <v>0</v>
      </c>
    </row>
    <row r="185" customFormat="false" ht="15" hidden="false" customHeight="false" outlineLevel="0" collapsed="false">
      <c r="B185" s="54"/>
      <c r="C185" s="55"/>
      <c r="D185" s="55"/>
      <c r="E185" s="55"/>
      <c r="F185" s="56"/>
      <c r="G185" s="57"/>
      <c r="H185" s="55"/>
      <c r="I185" s="57"/>
      <c r="J185" s="54"/>
      <c r="K185" s="56"/>
      <c r="L185" s="57"/>
      <c r="M185" s="54"/>
      <c r="N185" s="58" t="str">
        <f aca="false">IF(S185=1,IF(U185&lt;0,"",U185),IF(Y185=1,X185,""))</f>
        <v/>
      </c>
      <c r="O185" s="59" t="str">
        <f aca="false">IF(S185=1,IF(ISNUMBER(I185),I185-G185,""),"")</f>
        <v/>
      </c>
      <c r="P185" s="59" t="str">
        <f aca="false">IF(T185=1,IF(ISNUMBER(L185),L185-G185,""),"")</f>
        <v/>
      </c>
      <c r="Q185" s="60" t="str">
        <f aca="false">IF(C185="","",IF(T185=1,"✔ SOLD / VENDIDO",IF(S185=0,"— CLOSED / CERRADO",IF(U185&lt;0,"⚠ ADD DATE / AGREGA FECHA",IF(U185&gt;=Settings!$C$8,"⚠ STALE – REPRICE / ESTANCADO",IF(U185&gt;=Settings!$C$7,"● WATCH / VIGILAR","✔ FRESH / RECIENTE"))))))</f>
        <v/>
      </c>
      <c r="S185" s="53" t="n">
        <f aca="false">IF(C185="",0,IF(OR(J185="",J185="In Stock / En Inventario",J185="Listed / Publicado"),1,0))</f>
        <v>0</v>
      </c>
      <c r="T185" s="53" t="n">
        <f aca="false">IF(C185="",0,IF(J185="Sold / Vendido",1,0))</f>
        <v>0</v>
      </c>
      <c r="U185" s="53" t="n">
        <f aca="true">IF(S185=1,IF(ISNUMBER(F185),TODAY()-F185,-1),-1)</f>
        <v>-1</v>
      </c>
      <c r="V185" s="53" t="n">
        <f aca="false">IF(U185&lt;0,IF(S185=1,5,0),IF(U185&lt;=30,1,IF(U185&lt;=60,2,IF(U185&lt;=90,3,4))))</f>
        <v>0</v>
      </c>
      <c r="W185" s="53" t="n">
        <f aca="false">IF(U185&lt;0,-1000000000000000,U185+ROW()/1000000)</f>
        <v>-1000000000000000</v>
      </c>
      <c r="X185" s="53" t="n">
        <f aca="false">IF(T185=1,IF(AND(ISNUMBER(F185),ISNUMBER(K185)),K185-F185,0),0)</f>
        <v>0</v>
      </c>
      <c r="Y185" s="53" t="n">
        <f aca="false">IF(T185=1,IF(AND(ISNUMBER(F185),ISNUMBER(K185)),1,0),0)</f>
        <v>0</v>
      </c>
      <c r="Z185" s="53" t="n">
        <f aca="false">IF(U185&gt;=Settings!$C$8,1,0)</f>
        <v>0</v>
      </c>
      <c r="AA185" s="53" t="n">
        <f aca="false">IF(S185=1,IF(J185="Listed / Publicado",0,1),0)</f>
        <v>0</v>
      </c>
      <c r="AB185" s="53" t="n">
        <f aca="false">IF(T185=1,IF(ISNUMBER(L185),L185-G185,0),0)</f>
        <v>0</v>
      </c>
      <c r="AC185" s="53" t="n">
        <f aca="false">IF(S185=1,IF(ISNUMBER(I185),I185-G185,0),0)</f>
        <v>0</v>
      </c>
    </row>
    <row r="186" customFormat="false" ht="15" hidden="false" customHeight="false" outlineLevel="0" collapsed="false">
      <c r="B186" s="54"/>
      <c r="C186" s="55"/>
      <c r="D186" s="55"/>
      <c r="E186" s="55"/>
      <c r="F186" s="56"/>
      <c r="G186" s="57"/>
      <c r="H186" s="55"/>
      <c r="I186" s="57"/>
      <c r="J186" s="54"/>
      <c r="K186" s="56"/>
      <c r="L186" s="57"/>
      <c r="M186" s="54"/>
      <c r="N186" s="58" t="str">
        <f aca="false">IF(S186=1,IF(U186&lt;0,"",U186),IF(Y186=1,X186,""))</f>
        <v/>
      </c>
      <c r="O186" s="59" t="str">
        <f aca="false">IF(S186=1,IF(ISNUMBER(I186),I186-G186,""),"")</f>
        <v/>
      </c>
      <c r="P186" s="59" t="str">
        <f aca="false">IF(T186=1,IF(ISNUMBER(L186),L186-G186,""),"")</f>
        <v/>
      </c>
      <c r="Q186" s="60" t="str">
        <f aca="false">IF(C186="","",IF(T186=1,"✔ SOLD / VENDIDO",IF(S186=0,"— CLOSED / CERRADO",IF(U186&lt;0,"⚠ ADD DATE / AGREGA FECHA",IF(U186&gt;=Settings!$C$8,"⚠ STALE – REPRICE / ESTANCADO",IF(U186&gt;=Settings!$C$7,"● WATCH / VIGILAR","✔ FRESH / RECIENTE"))))))</f>
        <v/>
      </c>
      <c r="S186" s="53" t="n">
        <f aca="false">IF(C186="",0,IF(OR(J186="",J186="In Stock / En Inventario",J186="Listed / Publicado"),1,0))</f>
        <v>0</v>
      </c>
      <c r="T186" s="53" t="n">
        <f aca="false">IF(C186="",0,IF(J186="Sold / Vendido",1,0))</f>
        <v>0</v>
      </c>
      <c r="U186" s="53" t="n">
        <f aca="true">IF(S186=1,IF(ISNUMBER(F186),TODAY()-F186,-1),-1)</f>
        <v>-1</v>
      </c>
      <c r="V186" s="53" t="n">
        <f aca="false">IF(U186&lt;0,IF(S186=1,5,0),IF(U186&lt;=30,1,IF(U186&lt;=60,2,IF(U186&lt;=90,3,4))))</f>
        <v>0</v>
      </c>
      <c r="W186" s="53" t="n">
        <f aca="false">IF(U186&lt;0,-1000000000000000,U186+ROW()/1000000)</f>
        <v>-1000000000000000</v>
      </c>
      <c r="X186" s="53" t="n">
        <f aca="false">IF(T186=1,IF(AND(ISNUMBER(F186),ISNUMBER(K186)),K186-F186,0),0)</f>
        <v>0</v>
      </c>
      <c r="Y186" s="53" t="n">
        <f aca="false">IF(T186=1,IF(AND(ISNUMBER(F186),ISNUMBER(K186)),1,0),0)</f>
        <v>0</v>
      </c>
      <c r="Z186" s="53" t="n">
        <f aca="false">IF(U186&gt;=Settings!$C$8,1,0)</f>
        <v>0</v>
      </c>
      <c r="AA186" s="53" t="n">
        <f aca="false">IF(S186=1,IF(J186="Listed / Publicado",0,1),0)</f>
        <v>0</v>
      </c>
      <c r="AB186" s="53" t="n">
        <f aca="false">IF(T186=1,IF(ISNUMBER(L186),L186-G186,0),0)</f>
        <v>0</v>
      </c>
      <c r="AC186" s="53" t="n">
        <f aca="false">IF(S186=1,IF(ISNUMBER(I186),I186-G186,0),0)</f>
        <v>0</v>
      </c>
    </row>
    <row r="187" customFormat="false" ht="15" hidden="false" customHeight="false" outlineLevel="0" collapsed="false">
      <c r="B187" s="54"/>
      <c r="C187" s="55"/>
      <c r="D187" s="55"/>
      <c r="E187" s="55"/>
      <c r="F187" s="56"/>
      <c r="G187" s="57"/>
      <c r="H187" s="55"/>
      <c r="I187" s="57"/>
      <c r="J187" s="54"/>
      <c r="K187" s="56"/>
      <c r="L187" s="57"/>
      <c r="M187" s="54"/>
      <c r="N187" s="58" t="str">
        <f aca="false">IF(S187=1,IF(U187&lt;0,"",U187),IF(Y187=1,X187,""))</f>
        <v/>
      </c>
      <c r="O187" s="59" t="str">
        <f aca="false">IF(S187=1,IF(ISNUMBER(I187),I187-G187,""),"")</f>
        <v/>
      </c>
      <c r="P187" s="59" t="str">
        <f aca="false">IF(T187=1,IF(ISNUMBER(L187),L187-G187,""),"")</f>
        <v/>
      </c>
      <c r="Q187" s="60" t="str">
        <f aca="false">IF(C187="","",IF(T187=1,"✔ SOLD / VENDIDO",IF(S187=0,"— CLOSED / CERRADO",IF(U187&lt;0,"⚠ ADD DATE / AGREGA FECHA",IF(U187&gt;=Settings!$C$8,"⚠ STALE – REPRICE / ESTANCADO",IF(U187&gt;=Settings!$C$7,"● WATCH / VIGILAR","✔ FRESH / RECIENTE"))))))</f>
        <v/>
      </c>
      <c r="S187" s="53" t="n">
        <f aca="false">IF(C187="",0,IF(OR(J187="",J187="In Stock / En Inventario",J187="Listed / Publicado"),1,0))</f>
        <v>0</v>
      </c>
      <c r="T187" s="53" t="n">
        <f aca="false">IF(C187="",0,IF(J187="Sold / Vendido",1,0))</f>
        <v>0</v>
      </c>
      <c r="U187" s="53" t="n">
        <f aca="true">IF(S187=1,IF(ISNUMBER(F187),TODAY()-F187,-1),-1)</f>
        <v>-1</v>
      </c>
      <c r="V187" s="53" t="n">
        <f aca="false">IF(U187&lt;0,IF(S187=1,5,0),IF(U187&lt;=30,1,IF(U187&lt;=60,2,IF(U187&lt;=90,3,4))))</f>
        <v>0</v>
      </c>
      <c r="W187" s="53" t="n">
        <f aca="false">IF(U187&lt;0,-1000000000000000,U187+ROW()/1000000)</f>
        <v>-1000000000000000</v>
      </c>
      <c r="X187" s="53" t="n">
        <f aca="false">IF(T187=1,IF(AND(ISNUMBER(F187),ISNUMBER(K187)),K187-F187,0),0)</f>
        <v>0</v>
      </c>
      <c r="Y187" s="53" t="n">
        <f aca="false">IF(T187=1,IF(AND(ISNUMBER(F187),ISNUMBER(K187)),1,0),0)</f>
        <v>0</v>
      </c>
      <c r="Z187" s="53" t="n">
        <f aca="false">IF(U187&gt;=Settings!$C$8,1,0)</f>
        <v>0</v>
      </c>
      <c r="AA187" s="53" t="n">
        <f aca="false">IF(S187=1,IF(J187="Listed / Publicado",0,1),0)</f>
        <v>0</v>
      </c>
      <c r="AB187" s="53" t="n">
        <f aca="false">IF(T187=1,IF(ISNUMBER(L187),L187-G187,0),0)</f>
        <v>0</v>
      </c>
      <c r="AC187" s="53" t="n">
        <f aca="false">IF(S187=1,IF(ISNUMBER(I187),I187-G187,0),0)</f>
        <v>0</v>
      </c>
    </row>
    <row r="188" customFormat="false" ht="15" hidden="false" customHeight="false" outlineLevel="0" collapsed="false">
      <c r="B188" s="54"/>
      <c r="C188" s="55"/>
      <c r="D188" s="55"/>
      <c r="E188" s="55"/>
      <c r="F188" s="56"/>
      <c r="G188" s="57"/>
      <c r="H188" s="55"/>
      <c r="I188" s="57"/>
      <c r="J188" s="54"/>
      <c r="K188" s="56"/>
      <c r="L188" s="57"/>
      <c r="M188" s="54"/>
      <c r="N188" s="58" t="str">
        <f aca="false">IF(S188=1,IF(U188&lt;0,"",U188),IF(Y188=1,X188,""))</f>
        <v/>
      </c>
      <c r="O188" s="59" t="str">
        <f aca="false">IF(S188=1,IF(ISNUMBER(I188),I188-G188,""),"")</f>
        <v/>
      </c>
      <c r="P188" s="59" t="str">
        <f aca="false">IF(T188=1,IF(ISNUMBER(L188),L188-G188,""),"")</f>
        <v/>
      </c>
      <c r="Q188" s="60" t="str">
        <f aca="false">IF(C188="","",IF(T188=1,"✔ SOLD / VENDIDO",IF(S188=0,"— CLOSED / CERRADO",IF(U188&lt;0,"⚠ ADD DATE / AGREGA FECHA",IF(U188&gt;=Settings!$C$8,"⚠ STALE – REPRICE / ESTANCADO",IF(U188&gt;=Settings!$C$7,"● WATCH / VIGILAR","✔ FRESH / RECIENTE"))))))</f>
        <v/>
      </c>
      <c r="S188" s="53" t="n">
        <f aca="false">IF(C188="",0,IF(OR(J188="",J188="In Stock / En Inventario",J188="Listed / Publicado"),1,0))</f>
        <v>0</v>
      </c>
      <c r="T188" s="53" t="n">
        <f aca="false">IF(C188="",0,IF(J188="Sold / Vendido",1,0))</f>
        <v>0</v>
      </c>
      <c r="U188" s="53" t="n">
        <f aca="true">IF(S188=1,IF(ISNUMBER(F188),TODAY()-F188,-1),-1)</f>
        <v>-1</v>
      </c>
      <c r="V188" s="53" t="n">
        <f aca="false">IF(U188&lt;0,IF(S188=1,5,0),IF(U188&lt;=30,1,IF(U188&lt;=60,2,IF(U188&lt;=90,3,4))))</f>
        <v>0</v>
      </c>
      <c r="W188" s="53" t="n">
        <f aca="false">IF(U188&lt;0,-1000000000000000,U188+ROW()/1000000)</f>
        <v>-1000000000000000</v>
      </c>
      <c r="X188" s="53" t="n">
        <f aca="false">IF(T188=1,IF(AND(ISNUMBER(F188),ISNUMBER(K188)),K188-F188,0),0)</f>
        <v>0</v>
      </c>
      <c r="Y188" s="53" t="n">
        <f aca="false">IF(T188=1,IF(AND(ISNUMBER(F188),ISNUMBER(K188)),1,0),0)</f>
        <v>0</v>
      </c>
      <c r="Z188" s="53" t="n">
        <f aca="false">IF(U188&gt;=Settings!$C$8,1,0)</f>
        <v>0</v>
      </c>
      <c r="AA188" s="53" t="n">
        <f aca="false">IF(S188=1,IF(J188="Listed / Publicado",0,1),0)</f>
        <v>0</v>
      </c>
      <c r="AB188" s="53" t="n">
        <f aca="false">IF(T188=1,IF(ISNUMBER(L188),L188-G188,0),0)</f>
        <v>0</v>
      </c>
      <c r="AC188" s="53" t="n">
        <f aca="false">IF(S188=1,IF(ISNUMBER(I188),I188-G188,0),0)</f>
        <v>0</v>
      </c>
    </row>
    <row r="189" customFormat="false" ht="15" hidden="false" customHeight="false" outlineLevel="0" collapsed="false">
      <c r="B189" s="54"/>
      <c r="C189" s="55"/>
      <c r="D189" s="55"/>
      <c r="E189" s="55"/>
      <c r="F189" s="56"/>
      <c r="G189" s="57"/>
      <c r="H189" s="55"/>
      <c r="I189" s="57"/>
      <c r="J189" s="54"/>
      <c r="K189" s="56"/>
      <c r="L189" s="57"/>
      <c r="M189" s="54"/>
      <c r="N189" s="58" t="str">
        <f aca="false">IF(S189=1,IF(U189&lt;0,"",U189),IF(Y189=1,X189,""))</f>
        <v/>
      </c>
      <c r="O189" s="59" t="str">
        <f aca="false">IF(S189=1,IF(ISNUMBER(I189),I189-G189,""),"")</f>
        <v/>
      </c>
      <c r="P189" s="59" t="str">
        <f aca="false">IF(T189=1,IF(ISNUMBER(L189),L189-G189,""),"")</f>
        <v/>
      </c>
      <c r="Q189" s="60" t="str">
        <f aca="false">IF(C189="","",IF(T189=1,"✔ SOLD / VENDIDO",IF(S189=0,"— CLOSED / CERRADO",IF(U189&lt;0,"⚠ ADD DATE / AGREGA FECHA",IF(U189&gt;=Settings!$C$8,"⚠ STALE – REPRICE / ESTANCADO",IF(U189&gt;=Settings!$C$7,"● WATCH / VIGILAR","✔ FRESH / RECIENTE"))))))</f>
        <v/>
      </c>
      <c r="S189" s="53" t="n">
        <f aca="false">IF(C189="",0,IF(OR(J189="",J189="In Stock / En Inventario",J189="Listed / Publicado"),1,0))</f>
        <v>0</v>
      </c>
      <c r="T189" s="53" t="n">
        <f aca="false">IF(C189="",0,IF(J189="Sold / Vendido",1,0))</f>
        <v>0</v>
      </c>
      <c r="U189" s="53" t="n">
        <f aca="true">IF(S189=1,IF(ISNUMBER(F189),TODAY()-F189,-1),-1)</f>
        <v>-1</v>
      </c>
      <c r="V189" s="53" t="n">
        <f aca="false">IF(U189&lt;0,IF(S189=1,5,0),IF(U189&lt;=30,1,IF(U189&lt;=60,2,IF(U189&lt;=90,3,4))))</f>
        <v>0</v>
      </c>
      <c r="W189" s="53" t="n">
        <f aca="false">IF(U189&lt;0,-1000000000000000,U189+ROW()/1000000)</f>
        <v>-1000000000000000</v>
      </c>
      <c r="X189" s="53" t="n">
        <f aca="false">IF(T189=1,IF(AND(ISNUMBER(F189),ISNUMBER(K189)),K189-F189,0),0)</f>
        <v>0</v>
      </c>
      <c r="Y189" s="53" t="n">
        <f aca="false">IF(T189=1,IF(AND(ISNUMBER(F189),ISNUMBER(K189)),1,0),0)</f>
        <v>0</v>
      </c>
      <c r="Z189" s="53" t="n">
        <f aca="false">IF(U189&gt;=Settings!$C$8,1,0)</f>
        <v>0</v>
      </c>
      <c r="AA189" s="53" t="n">
        <f aca="false">IF(S189=1,IF(J189="Listed / Publicado",0,1),0)</f>
        <v>0</v>
      </c>
      <c r="AB189" s="53" t="n">
        <f aca="false">IF(T189=1,IF(ISNUMBER(L189),L189-G189,0),0)</f>
        <v>0</v>
      </c>
      <c r="AC189" s="53" t="n">
        <f aca="false">IF(S189=1,IF(ISNUMBER(I189),I189-G189,0),0)</f>
        <v>0</v>
      </c>
    </row>
    <row r="190" customFormat="false" ht="15" hidden="false" customHeight="false" outlineLevel="0" collapsed="false">
      <c r="B190" s="54"/>
      <c r="C190" s="55"/>
      <c r="D190" s="55"/>
      <c r="E190" s="55"/>
      <c r="F190" s="56"/>
      <c r="G190" s="57"/>
      <c r="H190" s="55"/>
      <c r="I190" s="57"/>
      <c r="J190" s="54"/>
      <c r="K190" s="56"/>
      <c r="L190" s="57"/>
      <c r="M190" s="54"/>
      <c r="N190" s="58" t="str">
        <f aca="false">IF(S190=1,IF(U190&lt;0,"",U190),IF(Y190=1,X190,""))</f>
        <v/>
      </c>
      <c r="O190" s="59" t="str">
        <f aca="false">IF(S190=1,IF(ISNUMBER(I190),I190-G190,""),"")</f>
        <v/>
      </c>
      <c r="P190" s="59" t="str">
        <f aca="false">IF(T190=1,IF(ISNUMBER(L190),L190-G190,""),"")</f>
        <v/>
      </c>
      <c r="Q190" s="60" t="str">
        <f aca="false">IF(C190="","",IF(T190=1,"✔ SOLD / VENDIDO",IF(S190=0,"— CLOSED / CERRADO",IF(U190&lt;0,"⚠ ADD DATE / AGREGA FECHA",IF(U190&gt;=Settings!$C$8,"⚠ STALE – REPRICE / ESTANCADO",IF(U190&gt;=Settings!$C$7,"● WATCH / VIGILAR","✔ FRESH / RECIENTE"))))))</f>
        <v/>
      </c>
      <c r="S190" s="53" t="n">
        <f aca="false">IF(C190="",0,IF(OR(J190="",J190="In Stock / En Inventario",J190="Listed / Publicado"),1,0))</f>
        <v>0</v>
      </c>
      <c r="T190" s="53" t="n">
        <f aca="false">IF(C190="",0,IF(J190="Sold / Vendido",1,0))</f>
        <v>0</v>
      </c>
      <c r="U190" s="53" t="n">
        <f aca="true">IF(S190=1,IF(ISNUMBER(F190),TODAY()-F190,-1),-1)</f>
        <v>-1</v>
      </c>
      <c r="V190" s="53" t="n">
        <f aca="false">IF(U190&lt;0,IF(S190=1,5,0),IF(U190&lt;=30,1,IF(U190&lt;=60,2,IF(U190&lt;=90,3,4))))</f>
        <v>0</v>
      </c>
      <c r="W190" s="53" t="n">
        <f aca="false">IF(U190&lt;0,-1000000000000000,U190+ROW()/1000000)</f>
        <v>-1000000000000000</v>
      </c>
      <c r="X190" s="53" t="n">
        <f aca="false">IF(T190=1,IF(AND(ISNUMBER(F190),ISNUMBER(K190)),K190-F190,0),0)</f>
        <v>0</v>
      </c>
      <c r="Y190" s="53" t="n">
        <f aca="false">IF(T190=1,IF(AND(ISNUMBER(F190),ISNUMBER(K190)),1,0),0)</f>
        <v>0</v>
      </c>
      <c r="Z190" s="53" t="n">
        <f aca="false">IF(U190&gt;=Settings!$C$8,1,0)</f>
        <v>0</v>
      </c>
      <c r="AA190" s="53" t="n">
        <f aca="false">IF(S190=1,IF(J190="Listed / Publicado",0,1),0)</f>
        <v>0</v>
      </c>
      <c r="AB190" s="53" t="n">
        <f aca="false">IF(T190=1,IF(ISNUMBER(L190),L190-G190,0),0)</f>
        <v>0</v>
      </c>
      <c r="AC190" s="53" t="n">
        <f aca="false">IF(S190=1,IF(ISNUMBER(I190),I190-G190,0),0)</f>
        <v>0</v>
      </c>
    </row>
    <row r="191" customFormat="false" ht="15" hidden="false" customHeight="false" outlineLevel="0" collapsed="false">
      <c r="B191" s="54"/>
      <c r="C191" s="55"/>
      <c r="D191" s="55"/>
      <c r="E191" s="55"/>
      <c r="F191" s="56"/>
      <c r="G191" s="57"/>
      <c r="H191" s="55"/>
      <c r="I191" s="57"/>
      <c r="J191" s="54"/>
      <c r="K191" s="56"/>
      <c r="L191" s="57"/>
      <c r="M191" s="54"/>
      <c r="N191" s="58" t="str">
        <f aca="false">IF(S191=1,IF(U191&lt;0,"",U191),IF(Y191=1,X191,""))</f>
        <v/>
      </c>
      <c r="O191" s="59" t="str">
        <f aca="false">IF(S191=1,IF(ISNUMBER(I191),I191-G191,""),"")</f>
        <v/>
      </c>
      <c r="P191" s="59" t="str">
        <f aca="false">IF(T191=1,IF(ISNUMBER(L191),L191-G191,""),"")</f>
        <v/>
      </c>
      <c r="Q191" s="60" t="str">
        <f aca="false">IF(C191="","",IF(T191=1,"✔ SOLD / VENDIDO",IF(S191=0,"— CLOSED / CERRADO",IF(U191&lt;0,"⚠ ADD DATE / AGREGA FECHA",IF(U191&gt;=Settings!$C$8,"⚠ STALE – REPRICE / ESTANCADO",IF(U191&gt;=Settings!$C$7,"● WATCH / VIGILAR","✔ FRESH / RECIENTE"))))))</f>
        <v/>
      </c>
      <c r="S191" s="53" t="n">
        <f aca="false">IF(C191="",0,IF(OR(J191="",J191="In Stock / En Inventario",J191="Listed / Publicado"),1,0))</f>
        <v>0</v>
      </c>
      <c r="T191" s="53" t="n">
        <f aca="false">IF(C191="",0,IF(J191="Sold / Vendido",1,0))</f>
        <v>0</v>
      </c>
      <c r="U191" s="53" t="n">
        <f aca="true">IF(S191=1,IF(ISNUMBER(F191),TODAY()-F191,-1),-1)</f>
        <v>-1</v>
      </c>
      <c r="V191" s="53" t="n">
        <f aca="false">IF(U191&lt;0,IF(S191=1,5,0),IF(U191&lt;=30,1,IF(U191&lt;=60,2,IF(U191&lt;=90,3,4))))</f>
        <v>0</v>
      </c>
      <c r="W191" s="53" t="n">
        <f aca="false">IF(U191&lt;0,-1000000000000000,U191+ROW()/1000000)</f>
        <v>-1000000000000000</v>
      </c>
      <c r="X191" s="53" t="n">
        <f aca="false">IF(T191=1,IF(AND(ISNUMBER(F191),ISNUMBER(K191)),K191-F191,0),0)</f>
        <v>0</v>
      </c>
      <c r="Y191" s="53" t="n">
        <f aca="false">IF(T191=1,IF(AND(ISNUMBER(F191),ISNUMBER(K191)),1,0),0)</f>
        <v>0</v>
      </c>
      <c r="Z191" s="53" t="n">
        <f aca="false">IF(U191&gt;=Settings!$C$8,1,0)</f>
        <v>0</v>
      </c>
      <c r="AA191" s="53" t="n">
        <f aca="false">IF(S191=1,IF(J191="Listed / Publicado",0,1),0)</f>
        <v>0</v>
      </c>
      <c r="AB191" s="53" t="n">
        <f aca="false">IF(T191=1,IF(ISNUMBER(L191),L191-G191,0),0)</f>
        <v>0</v>
      </c>
      <c r="AC191" s="53" t="n">
        <f aca="false">IF(S191=1,IF(ISNUMBER(I191),I191-G191,0),0)</f>
        <v>0</v>
      </c>
    </row>
    <row r="192" customFormat="false" ht="15" hidden="false" customHeight="false" outlineLevel="0" collapsed="false">
      <c r="B192" s="54"/>
      <c r="C192" s="55"/>
      <c r="D192" s="55"/>
      <c r="E192" s="55"/>
      <c r="F192" s="56"/>
      <c r="G192" s="57"/>
      <c r="H192" s="55"/>
      <c r="I192" s="57"/>
      <c r="J192" s="54"/>
      <c r="K192" s="56"/>
      <c r="L192" s="57"/>
      <c r="M192" s="54"/>
      <c r="N192" s="58" t="str">
        <f aca="false">IF(S192=1,IF(U192&lt;0,"",U192),IF(Y192=1,X192,""))</f>
        <v/>
      </c>
      <c r="O192" s="59" t="str">
        <f aca="false">IF(S192=1,IF(ISNUMBER(I192),I192-G192,""),"")</f>
        <v/>
      </c>
      <c r="P192" s="59" t="str">
        <f aca="false">IF(T192=1,IF(ISNUMBER(L192),L192-G192,""),"")</f>
        <v/>
      </c>
      <c r="Q192" s="60" t="str">
        <f aca="false">IF(C192="","",IF(T192=1,"✔ SOLD / VENDIDO",IF(S192=0,"— CLOSED / CERRADO",IF(U192&lt;0,"⚠ ADD DATE / AGREGA FECHA",IF(U192&gt;=Settings!$C$8,"⚠ STALE – REPRICE / ESTANCADO",IF(U192&gt;=Settings!$C$7,"● WATCH / VIGILAR","✔ FRESH / RECIENTE"))))))</f>
        <v/>
      </c>
      <c r="S192" s="53" t="n">
        <f aca="false">IF(C192="",0,IF(OR(J192="",J192="In Stock / En Inventario",J192="Listed / Publicado"),1,0))</f>
        <v>0</v>
      </c>
      <c r="T192" s="53" t="n">
        <f aca="false">IF(C192="",0,IF(J192="Sold / Vendido",1,0))</f>
        <v>0</v>
      </c>
      <c r="U192" s="53" t="n">
        <f aca="true">IF(S192=1,IF(ISNUMBER(F192),TODAY()-F192,-1),-1)</f>
        <v>-1</v>
      </c>
      <c r="V192" s="53" t="n">
        <f aca="false">IF(U192&lt;0,IF(S192=1,5,0),IF(U192&lt;=30,1,IF(U192&lt;=60,2,IF(U192&lt;=90,3,4))))</f>
        <v>0</v>
      </c>
      <c r="W192" s="53" t="n">
        <f aca="false">IF(U192&lt;0,-1000000000000000,U192+ROW()/1000000)</f>
        <v>-1000000000000000</v>
      </c>
      <c r="X192" s="53" t="n">
        <f aca="false">IF(T192=1,IF(AND(ISNUMBER(F192),ISNUMBER(K192)),K192-F192,0),0)</f>
        <v>0</v>
      </c>
      <c r="Y192" s="53" t="n">
        <f aca="false">IF(T192=1,IF(AND(ISNUMBER(F192),ISNUMBER(K192)),1,0),0)</f>
        <v>0</v>
      </c>
      <c r="Z192" s="53" t="n">
        <f aca="false">IF(U192&gt;=Settings!$C$8,1,0)</f>
        <v>0</v>
      </c>
      <c r="AA192" s="53" t="n">
        <f aca="false">IF(S192=1,IF(J192="Listed / Publicado",0,1),0)</f>
        <v>0</v>
      </c>
      <c r="AB192" s="53" t="n">
        <f aca="false">IF(T192=1,IF(ISNUMBER(L192),L192-G192,0),0)</f>
        <v>0</v>
      </c>
      <c r="AC192" s="53" t="n">
        <f aca="false">IF(S192=1,IF(ISNUMBER(I192),I192-G192,0),0)</f>
        <v>0</v>
      </c>
    </row>
    <row r="193" customFormat="false" ht="15" hidden="false" customHeight="false" outlineLevel="0" collapsed="false">
      <c r="B193" s="54"/>
      <c r="C193" s="55"/>
      <c r="D193" s="55"/>
      <c r="E193" s="55"/>
      <c r="F193" s="56"/>
      <c r="G193" s="57"/>
      <c r="H193" s="55"/>
      <c r="I193" s="57"/>
      <c r="J193" s="54"/>
      <c r="K193" s="56"/>
      <c r="L193" s="57"/>
      <c r="M193" s="54"/>
      <c r="N193" s="58" t="str">
        <f aca="false">IF(S193=1,IF(U193&lt;0,"",U193),IF(Y193=1,X193,""))</f>
        <v/>
      </c>
      <c r="O193" s="59" t="str">
        <f aca="false">IF(S193=1,IF(ISNUMBER(I193),I193-G193,""),"")</f>
        <v/>
      </c>
      <c r="P193" s="59" t="str">
        <f aca="false">IF(T193=1,IF(ISNUMBER(L193),L193-G193,""),"")</f>
        <v/>
      </c>
      <c r="Q193" s="60" t="str">
        <f aca="false">IF(C193="","",IF(T193=1,"✔ SOLD / VENDIDO",IF(S193=0,"— CLOSED / CERRADO",IF(U193&lt;0,"⚠ ADD DATE / AGREGA FECHA",IF(U193&gt;=Settings!$C$8,"⚠ STALE – REPRICE / ESTANCADO",IF(U193&gt;=Settings!$C$7,"● WATCH / VIGILAR","✔ FRESH / RECIENTE"))))))</f>
        <v/>
      </c>
      <c r="S193" s="53" t="n">
        <f aca="false">IF(C193="",0,IF(OR(J193="",J193="In Stock / En Inventario",J193="Listed / Publicado"),1,0))</f>
        <v>0</v>
      </c>
      <c r="T193" s="53" t="n">
        <f aca="false">IF(C193="",0,IF(J193="Sold / Vendido",1,0))</f>
        <v>0</v>
      </c>
      <c r="U193" s="53" t="n">
        <f aca="true">IF(S193=1,IF(ISNUMBER(F193),TODAY()-F193,-1),-1)</f>
        <v>-1</v>
      </c>
      <c r="V193" s="53" t="n">
        <f aca="false">IF(U193&lt;0,IF(S193=1,5,0),IF(U193&lt;=30,1,IF(U193&lt;=60,2,IF(U193&lt;=90,3,4))))</f>
        <v>0</v>
      </c>
      <c r="W193" s="53" t="n">
        <f aca="false">IF(U193&lt;0,-1000000000000000,U193+ROW()/1000000)</f>
        <v>-1000000000000000</v>
      </c>
      <c r="X193" s="53" t="n">
        <f aca="false">IF(T193=1,IF(AND(ISNUMBER(F193),ISNUMBER(K193)),K193-F193,0),0)</f>
        <v>0</v>
      </c>
      <c r="Y193" s="53" t="n">
        <f aca="false">IF(T193=1,IF(AND(ISNUMBER(F193),ISNUMBER(K193)),1,0),0)</f>
        <v>0</v>
      </c>
      <c r="Z193" s="53" t="n">
        <f aca="false">IF(U193&gt;=Settings!$C$8,1,0)</f>
        <v>0</v>
      </c>
      <c r="AA193" s="53" t="n">
        <f aca="false">IF(S193=1,IF(J193="Listed / Publicado",0,1),0)</f>
        <v>0</v>
      </c>
      <c r="AB193" s="53" t="n">
        <f aca="false">IF(T193=1,IF(ISNUMBER(L193),L193-G193,0),0)</f>
        <v>0</v>
      </c>
      <c r="AC193" s="53" t="n">
        <f aca="false">IF(S193=1,IF(ISNUMBER(I193),I193-G193,0),0)</f>
        <v>0</v>
      </c>
    </row>
    <row r="194" customFormat="false" ht="15" hidden="false" customHeight="false" outlineLevel="0" collapsed="false">
      <c r="B194" s="54"/>
      <c r="C194" s="55"/>
      <c r="D194" s="55"/>
      <c r="E194" s="55"/>
      <c r="F194" s="56"/>
      <c r="G194" s="57"/>
      <c r="H194" s="55"/>
      <c r="I194" s="57"/>
      <c r="J194" s="54"/>
      <c r="K194" s="56"/>
      <c r="L194" s="57"/>
      <c r="M194" s="54"/>
      <c r="N194" s="58" t="str">
        <f aca="false">IF(S194=1,IF(U194&lt;0,"",U194),IF(Y194=1,X194,""))</f>
        <v/>
      </c>
      <c r="O194" s="59" t="str">
        <f aca="false">IF(S194=1,IF(ISNUMBER(I194),I194-G194,""),"")</f>
        <v/>
      </c>
      <c r="P194" s="59" t="str">
        <f aca="false">IF(T194=1,IF(ISNUMBER(L194),L194-G194,""),"")</f>
        <v/>
      </c>
      <c r="Q194" s="60" t="str">
        <f aca="false">IF(C194="","",IF(T194=1,"✔ SOLD / VENDIDO",IF(S194=0,"— CLOSED / CERRADO",IF(U194&lt;0,"⚠ ADD DATE / AGREGA FECHA",IF(U194&gt;=Settings!$C$8,"⚠ STALE – REPRICE / ESTANCADO",IF(U194&gt;=Settings!$C$7,"● WATCH / VIGILAR","✔ FRESH / RECIENTE"))))))</f>
        <v/>
      </c>
      <c r="S194" s="53" t="n">
        <f aca="false">IF(C194="",0,IF(OR(J194="",J194="In Stock / En Inventario",J194="Listed / Publicado"),1,0))</f>
        <v>0</v>
      </c>
      <c r="T194" s="53" t="n">
        <f aca="false">IF(C194="",0,IF(J194="Sold / Vendido",1,0))</f>
        <v>0</v>
      </c>
      <c r="U194" s="53" t="n">
        <f aca="true">IF(S194=1,IF(ISNUMBER(F194),TODAY()-F194,-1),-1)</f>
        <v>-1</v>
      </c>
      <c r="V194" s="53" t="n">
        <f aca="false">IF(U194&lt;0,IF(S194=1,5,0),IF(U194&lt;=30,1,IF(U194&lt;=60,2,IF(U194&lt;=90,3,4))))</f>
        <v>0</v>
      </c>
      <c r="W194" s="53" t="n">
        <f aca="false">IF(U194&lt;0,-1000000000000000,U194+ROW()/1000000)</f>
        <v>-1000000000000000</v>
      </c>
      <c r="X194" s="53" t="n">
        <f aca="false">IF(T194=1,IF(AND(ISNUMBER(F194),ISNUMBER(K194)),K194-F194,0),0)</f>
        <v>0</v>
      </c>
      <c r="Y194" s="53" t="n">
        <f aca="false">IF(T194=1,IF(AND(ISNUMBER(F194),ISNUMBER(K194)),1,0),0)</f>
        <v>0</v>
      </c>
      <c r="Z194" s="53" t="n">
        <f aca="false">IF(U194&gt;=Settings!$C$8,1,0)</f>
        <v>0</v>
      </c>
      <c r="AA194" s="53" t="n">
        <f aca="false">IF(S194=1,IF(J194="Listed / Publicado",0,1),0)</f>
        <v>0</v>
      </c>
      <c r="AB194" s="53" t="n">
        <f aca="false">IF(T194=1,IF(ISNUMBER(L194),L194-G194,0),0)</f>
        <v>0</v>
      </c>
      <c r="AC194" s="53" t="n">
        <f aca="false">IF(S194=1,IF(ISNUMBER(I194),I194-G194,0),0)</f>
        <v>0</v>
      </c>
    </row>
    <row r="195" customFormat="false" ht="15" hidden="false" customHeight="false" outlineLevel="0" collapsed="false">
      <c r="B195" s="54"/>
      <c r="C195" s="55"/>
      <c r="D195" s="55"/>
      <c r="E195" s="55"/>
      <c r="F195" s="56"/>
      <c r="G195" s="57"/>
      <c r="H195" s="55"/>
      <c r="I195" s="57"/>
      <c r="J195" s="54"/>
      <c r="K195" s="56"/>
      <c r="L195" s="57"/>
      <c r="M195" s="54"/>
      <c r="N195" s="58" t="str">
        <f aca="false">IF(S195=1,IF(U195&lt;0,"",U195),IF(Y195=1,X195,""))</f>
        <v/>
      </c>
      <c r="O195" s="59" t="str">
        <f aca="false">IF(S195=1,IF(ISNUMBER(I195),I195-G195,""),"")</f>
        <v/>
      </c>
      <c r="P195" s="59" t="str">
        <f aca="false">IF(T195=1,IF(ISNUMBER(L195),L195-G195,""),"")</f>
        <v/>
      </c>
      <c r="Q195" s="60" t="str">
        <f aca="false">IF(C195="","",IF(T195=1,"✔ SOLD / VENDIDO",IF(S195=0,"— CLOSED / CERRADO",IF(U195&lt;0,"⚠ ADD DATE / AGREGA FECHA",IF(U195&gt;=Settings!$C$8,"⚠ STALE – REPRICE / ESTANCADO",IF(U195&gt;=Settings!$C$7,"● WATCH / VIGILAR","✔ FRESH / RECIENTE"))))))</f>
        <v/>
      </c>
      <c r="S195" s="53" t="n">
        <f aca="false">IF(C195="",0,IF(OR(J195="",J195="In Stock / En Inventario",J195="Listed / Publicado"),1,0))</f>
        <v>0</v>
      </c>
      <c r="T195" s="53" t="n">
        <f aca="false">IF(C195="",0,IF(J195="Sold / Vendido",1,0))</f>
        <v>0</v>
      </c>
      <c r="U195" s="53" t="n">
        <f aca="true">IF(S195=1,IF(ISNUMBER(F195),TODAY()-F195,-1),-1)</f>
        <v>-1</v>
      </c>
      <c r="V195" s="53" t="n">
        <f aca="false">IF(U195&lt;0,IF(S195=1,5,0),IF(U195&lt;=30,1,IF(U195&lt;=60,2,IF(U195&lt;=90,3,4))))</f>
        <v>0</v>
      </c>
      <c r="W195" s="53" t="n">
        <f aca="false">IF(U195&lt;0,-1000000000000000,U195+ROW()/1000000)</f>
        <v>-1000000000000000</v>
      </c>
      <c r="X195" s="53" t="n">
        <f aca="false">IF(T195=1,IF(AND(ISNUMBER(F195),ISNUMBER(K195)),K195-F195,0),0)</f>
        <v>0</v>
      </c>
      <c r="Y195" s="53" t="n">
        <f aca="false">IF(T195=1,IF(AND(ISNUMBER(F195),ISNUMBER(K195)),1,0),0)</f>
        <v>0</v>
      </c>
      <c r="Z195" s="53" t="n">
        <f aca="false">IF(U195&gt;=Settings!$C$8,1,0)</f>
        <v>0</v>
      </c>
      <c r="AA195" s="53" t="n">
        <f aca="false">IF(S195=1,IF(J195="Listed / Publicado",0,1),0)</f>
        <v>0</v>
      </c>
      <c r="AB195" s="53" t="n">
        <f aca="false">IF(T195=1,IF(ISNUMBER(L195),L195-G195,0),0)</f>
        <v>0</v>
      </c>
      <c r="AC195" s="53" t="n">
        <f aca="false">IF(S195=1,IF(ISNUMBER(I195),I195-G195,0),0)</f>
        <v>0</v>
      </c>
    </row>
    <row r="196" customFormat="false" ht="15" hidden="false" customHeight="false" outlineLevel="0" collapsed="false">
      <c r="B196" s="54"/>
      <c r="C196" s="55"/>
      <c r="D196" s="55"/>
      <c r="E196" s="55"/>
      <c r="F196" s="56"/>
      <c r="G196" s="57"/>
      <c r="H196" s="55"/>
      <c r="I196" s="57"/>
      <c r="J196" s="54"/>
      <c r="K196" s="56"/>
      <c r="L196" s="57"/>
      <c r="M196" s="54"/>
      <c r="N196" s="58" t="str">
        <f aca="false">IF(S196=1,IF(U196&lt;0,"",U196),IF(Y196=1,X196,""))</f>
        <v/>
      </c>
      <c r="O196" s="59" t="str">
        <f aca="false">IF(S196=1,IF(ISNUMBER(I196),I196-G196,""),"")</f>
        <v/>
      </c>
      <c r="P196" s="59" t="str">
        <f aca="false">IF(T196=1,IF(ISNUMBER(L196),L196-G196,""),"")</f>
        <v/>
      </c>
      <c r="Q196" s="60" t="str">
        <f aca="false">IF(C196="","",IF(T196=1,"✔ SOLD / VENDIDO",IF(S196=0,"— CLOSED / CERRADO",IF(U196&lt;0,"⚠ ADD DATE / AGREGA FECHA",IF(U196&gt;=Settings!$C$8,"⚠ STALE – REPRICE / ESTANCADO",IF(U196&gt;=Settings!$C$7,"● WATCH / VIGILAR","✔ FRESH / RECIENTE"))))))</f>
        <v/>
      </c>
      <c r="S196" s="53" t="n">
        <f aca="false">IF(C196="",0,IF(OR(J196="",J196="In Stock / En Inventario",J196="Listed / Publicado"),1,0))</f>
        <v>0</v>
      </c>
      <c r="T196" s="53" t="n">
        <f aca="false">IF(C196="",0,IF(J196="Sold / Vendido",1,0))</f>
        <v>0</v>
      </c>
      <c r="U196" s="53" t="n">
        <f aca="true">IF(S196=1,IF(ISNUMBER(F196),TODAY()-F196,-1),-1)</f>
        <v>-1</v>
      </c>
      <c r="V196" s="53" t="n">
        <f aca="false">IF(U196&lt;0,IF(S196=1,5,0),IF(U196&lt;=30,1,IF(U196&lt;=60,2,IF(U196&lt;=90,3,4))))</f>
        <v>0</v>
      </c>
      <c r="W196" s="53" t="n">
        <f aca="false">IF(U196&lt;0,-1000000000000000,U196+ROW()/1000000)</f>
        <v>-1000000000000000</v>
      </c>
      <c r="X196" s="53" t="n">
        <f aca="false">IF(T196=1,IF(AND(ISNUMBER(F196),ISNUMBER(K196)),K196-F196,0),0)</f>
        <v>0</v>
      </c>
      <c r="Y196" s="53" t="n">
        <f aca="false">IF(T196=1,IF(AND(ISNUMBER(F196),ISNUMBER(K196)),1,0),0)</f>
        <v>0</v>
      </c>
      <c r="Z196" s="53" t="n">
        <f aca="false">IF(U196&gt;=Settings!$C$8,1,0)</f>
        <v>0</v>
      </c>
      <c r="AA196" s="53" t="n">
        <f aca="false">IF(S196=1,IF(J196="Listed / Publicado",0,1),0)</f>
        <v>0</v>
      </c>
      <c r="AB196" s="53" t="n">
        <f aca="false">IF(T196=1,IF(ISNUMBER(L196),L196-G196,0),0)</f>
        <v>0</v>
      </c>
      <c r="AC196" s="53" t="n">
        <f aca="false">IF(S196=1,IF(ISNUMBER(I196),I196-G196,0),0)</f>
        <v>0</v>
      </c>
    </row>
    <row r="197" customFormat="false" ht="15" hidden="false" customHeight="false" outlineLevel="0" collapsed="false">
      <c r="B197" s="54"/>
      <c r="C197" s="55"/>
      <c r="D197" s="55"/>
      <c r="E197" s="55"/>
      <c r="F197" s="56"/>
      <c r="G197" s="57"/>
      <c r="H197" s="55"/>
      <c r="I197" s="57"/>
      <c r="J197" s="54"/>
      <c r="K197" s="56"/>
      <c r="L197" s="57"/>
      <c r="M197" s="54"/>
      <c r="N197" s="58" t="str">
        <f aca="false">IF(S197=1,IF(U197&lt;0,"",U197),IF(Y197=1,X197,""))</f>
        <v/>
      </c>
      <c r="O197" s="59" t="str">
        <f aca="false">IF(S197=1,IF(ISNUMBER(I197),I197-G197,""),"")</f>
        <v/>
      </c>
      <c r="P197" s="59" t="str">
        <f aca="false">IF(T197=1,IF(ISNUMBER(L197),L197-G197,""),"")</f>
        <v/>
      </c>
      <c r="Q197" s="60" t="str">
        <f aca="false">IF(C197="","",IF(T197=1,"✔ SOLD / VENDIDO",IF(S197=0,"— CLOSED / CERRADO",IF(U197&lt;0,"⚠ ADD DATE / AGREGA FECHA",IF(U197&gt;=Settings!$C$8,"⚠ STALE – REPRICE / ESTANCADO",IF(U197&gt;=Settings!$C$7,"● WATCH / VIGILAR","✔ FRESH / RECIENTE"))))))</f>
        <v/>
      </c>
      <c r="S197" s="53" t="n">
        <f aca="false">IF(C197="",0,IF(OR(J197="",J197="In Stock / En Inventario",J197="Listed / Publicado"),1,0))</f>
        <v>0</v>
      </c>
      <c r="T197" s="53" t="n">
        <f aca="false">IF(C197="",0,IF(J197="Sold / Vendido",1,0))</f>
        <v>0</v>
      </c>
      <c r="U197" s="53" t="n">
        <f aca="true">IF(S197=1,IF(ISNUMBER(F197),TODAY()-F197,-1),-1)</f>
        <v>-1</v>
      </c>
      <c r="V197" s="53" t="n">
        <f aca="false">IF(U197&lt;0,IF(S197=1,5,0),IF(U197&lt;=30,1,IF(U197&lt;=60,2,IF(U197&lt;=90,3,4))))</f>
        <v>0</v>
      </c>
      <c r="W197" s="53" t="n">
        <f aca="false">IF(U197&lt;0,-1000000000000000,U197+ROW()/1000000)</f>
        <v>-1000000000000000</v>
      </c>
      <c r="X197" s="53" t="n">
        <f aca="false">IF(T197=1,IF(AND(ISNUMBER(F197),ISNUMBER(K197)),K197-F197,0),0)</f>
        <v>0</v>
      </c>
      <c r="Y197" s="53" t="n">
        <f aca="false">IF(T197=1,IF(AND(ISNUMBER(F197),ISNUMBER(K197)),1,0),0)</f>
        <v>0</v>
      </c>
      <c r="Z197" s="53" t="n">
        <f aca="false">IF(U197&gt;=Settings!$C$8,1,0)</f>
        <v>0</v>
      </c>
      <c r="AA197" s="53" t="n">
        <f aca="false">IF(S197=1,IF(J197="Listed / Publicado",0,1),0)</f>
        <v>0</v>
      </c>
      <c r="AB197" s="53" t="n">
        <f aca="false">IF(T197=1,IF(ISNUMBER(L197),L197-G197,0),0)</f>
        <v>0</v>
      </c>
      <c r="AC197" s="53" t="n">
        <f aca="false">IF(S197=1,IF(ISNUMBER(I197),I197-G197,0),0)</f>
        <v>0</v>
      </c>
    </row>
    <row r="198" customFormat="false" ht="15" hidden="false" customHeight="false" outlineLevel="0" collapsed="false">
      <c r="B198" s="54"/>
      <c r="C198" s="55"/>
      <c r="D198" s="55"/>
      <c r="E198" s="55"/>
      <c r="F198" s="56"/>
      <c r="G198" s="57"/>
      <c r="H198" s="55"/>
      <c r="I198" s="57"/>
      <c r="J198" s="54"/>
      <c r="K198" s="56"/>
      <c r="L198" s="57"/>
      <c r="M198" s="54"/>
      <c r="N198" s="58" t="str">
        <f aca="false">IF(S198=1,IF(U198&lt;0,"",U198),IF(Y198=1,X198,""))</f>
        <v/>
      </c>
      <c r="O198" s="59" t="str">
        <f aca="false">IF(S198=1,IF(ISNUMBER(I198),I198-G198,""),"")</f>
        <v/>
      </c>
      <c r="P198" s="59" t="str">
        <f aca="false">IF(T198=1,IF(ISNUMBER(L198),L198-G198,""),"")</f>
        <v/>
      </c>
      <c r="Q198" s="60" t="str">
        <f aca="false">IF(C198="","",IF(T198=1,"✔ SOLD / VENDIDO",IF(S198=0,"— CLOSED / CERRADO",IF(U198&lt;0,"⚠ ADD DATE / AGREGA FECHA",IF(U198&gt;=Settings!$C$8,"⚠ STALE – REPRICE / ESTANCADO",IF(U198&gt;=Settings!$C$7,"● WATCH / VIGILAR","✔ FRESH / RECIENTE"))))))</f>
        <v/>
      </c>
      <c r="S198" s="53" t="n">
        <f aca="false">IF(C198="",0,IF(OR(J198="",J198="In Stock / En Inventario",J198="Listed / Publicado"),1,0))</f>
        <v>0</v>
      </c>
      <c r="T198" s="53" t="n">
        <f aca="false">IF(C198="",0,IF(J198="Sold / Vendido",1,0))</f>
        <v>0</v>
      </c>
      <c r="U198" s="53" t="n">
        <f aca="true">IF(S198=1,IF(ISNUMBER(F198),TODAY()-F198,-1),-1)</f>
        <v>-1</v>
      </c>
      <c r="V198" s="53" t="n">
        <f aca="false">IF(U198&lt;0,IF(S198=1,5,0),IF(U198&lt;=30,1,IF(U198&lt;=60,2,IF(U198&lt;=90,3,4))))</f>
        <v>0</v>
      </c>
      <c r="W198" s="53" t="n">
        <f aca="false">IF(U198&lt;0,-1000000000000000,U198+ROW()/1000000)</f>
        <v>-1000000000000000</v>
      </c>
      <c r="X198" s="53" t="n">
        <f aca="false">IF(T198=1,IF(AND(ISNUMBER(F198),ISNUMBER(K198)),K198-F198,0),0)</f>
        <v>0</v>
      </c>
      <c r="Y198" s="53" t="n">
        <f aca="false">IF(T198=1,IF(AND(ISNUMBER(F198),ISNUMBER(K198)),1,0),0)</f>
        <v>0</v>
      </c>
      <c r="Z198" s="53" t="n">
        <f aca="false">IF(U198&gt;=Settings!$C$8,1,0)</f>
        <v>0</v>
      </c>
      <c r="AA198" s="53" t="n">
        <f aca="false">IF(S198=1,IF(J198="Listed / Publicado",0,1),0)</f>
        <v>0</v>
      </c>
      <c r="AB198" s="53" t="n">
        <f aca="false">IF(T198=1,IF(ISNUMBER(L198),L198-G198,0),0)</f>
        <v>0</v>
      </c>
      <c r="AC198" s="53" t="n">
        <f aca="false">IF(S198=1,IF(ISNUMBER(I198),I198-G198,0),0)</f>
        <v>0</v>
      </c>
    </row>
    <row r="199" customFormat="false" ht="15" hidden="false" customHeight="false" outlineLevel="0" collapsed="false">
      <c r="B199" s="54"/>
      <c r="C199" s="55"/>
      <c r="D199" s="55"/>
      <c r="E199" s="55"/>
      <c r="F199" s="56"/>
      <c r="G199" s="57"/>
      <c r="H199" s="55"/>
      <c r="I199" s="57"/>
      <c r="J199" s="54"/>
      <c r="K199" s="56"/>
      <c r="L199" s="57"/>
      <c r="M199" s="54"/>
      <c r="N199" s="58" t="str">
        <f aca="false">IF(S199=1,IF(U199&lt;0,"",U199),IF(Y199=1,X199,""))</f>
        <v/>
      </c>
      <c r="O199" s="59" t="str">
        <f aca="false">IF(S199=1,IF(ISNUMBER(I199),I199-G199,""),"")</f>
        <v/>
      </c>
      <c r="P199" s="59" t="str">
        <f aca="false">IF(T199=1,IF(ISNUMBER(L199),L199-G199,""),"")</f>
        <v/>
      </c>
      <c r="Q199" s="60" t="str">
        <f aca="false">IF(C199="","",IF(T199=1,"✔ SOLD / VENDIDO",IF(S199=0,"— CLOSED / CERRADO",IF(U199&lt;0,"⚠ ADD DATE / AGREGA FECHA",IF(U199&gt;=Settings!$C$8,"⚠ STALE – REPRICE / ESTANCADO",IF(U199&gt;=Settings!$C$7,"● WATCH / VIGILAR","✔ FRESH / RECIENTE"))))))</f>
        <v/>
      </c>
      <c r="S199" s="53" t="n">
        <f aca="false">IF(C199="",0,IF(OR(J199="",J199="In Stock / En Inventario",J199="Listed / Publicado"),1,0))</f>
        <v>0</v>
      </c>
      <c r="T199" s="53" t="n">
        <f aca="false">IF(C199="",0,IF(J199="Sold / Vendido",1,0))</f>
        <v>0</v>
      </c>
      <c r="U199" s="53" t="n">
        <f aca="true">IF(S199=1,IF(ISNUMBER(F199),TODAY()-F199,-1),-1)</f>
        <v>-1</v>
      </c>
      <c r="V199" s="53" t="n">
        <f aca="false">IF(U199&lt;0,IF(S199=1,5,0),IF(U199&lt;=30,1,IF(U199&lt;=60,2,IF(U199&lt;=90,3,4))))</f>
        <v>0</v>
      </c>
      <c r="W199" s="53" t="n">
        <f aca="false">IF(U199&lt;0,-1000000000000000,U199+ROW()/1000000)</f>
        <v>-1000000000000000</v>
      </c>
      <c r="X199" s="53" t="n">
        <f aca="false">IF(T199=1,IF(AND(ISNUMBER(F199),ISNUMBER(K199)),K199-F199,0),0)</f>
        <v>0</v>
      </c>
      <c r="Y199" s="53" t="n">
        <f aca="false">IF(T199=1,IF(AND(ISNUMBER(F199),ISNUMBER(K199)),1,0),0)</f>
        <v>0</v>
      </c>
      <c r="Z199" s="53" t="n">
        <f aca="false">IF(U199&gt;=Settings!$C$8,1,0)</f>
        <v>0</v>
      </c>
      <c r="AA199" s="53" t="n">
        <f aca="false">IF(S199=1,IF(J199="Listed / Publicado",0,1),0)</f>
        <v>0</v>
      </c>
      <c r="AB199" s="53" t="n">
        <f aca="false">IF(T199=1,IF(ISNUMBER(L199),L199-G199,0),0)</f>
        <v>0</v>
      </c>
      <c r="AC199" s="53" t="n">
        <f aca="false">IF(S199=1,IF(ISNUMBER(I199),I199-G199,0),0)</f>
        <v>0</v>
      </c>
    </row>
    <row r="200" customFormat="false" ht="15" hidden="false" customHeight="false" outlineLevel="0" collapsed="false">
      <c r="B200" s="54"/>
      <c r="C200" s="55"/>
      <c r="D200" s="55"/>
      <c r="E200" s="55"/>
      <c r="F200" s="56"/>
      <c r="G200" s="57"/>
      <c r="H200" s="55"/>
      <c r="I200" s="57"/>
      <c r="J200" s="54"/>
      <c r="K200" s="56"/>
      <c r="L200" s="57"/>
      <c r="M200" s="54"/>
      <c r="N200" s="58" t="str">
        <f aca="false">IF(S200=1,IF(U200&lt;0,"",U200),IF(Y200=1,X200,""))</f>
        <v/>
      </c>
      <c r="O200" s="59" t="str">
        <f aca="false">IF(S200=1,IF(ISNUMBER(I200),I200-G200,""),"")</f>
        <v/>
      </c>
      <c r="P200" s="59" t="str">
        <f aca="false">IF(T200=1,IF(ISNUMBER(L200),L200-G200,""),"")</f>
        <v/>
      </c>
      <c r="Q200" s="60" t="str">
        <f aca="false">IF(C200="","",IF(T200=1,"✔ SOLD / VENDIDO",IF(S200=0,"— CLOSED / CERRADO",IF(U200&lt;0,"⚠ ADD DATE / AGREGA FECHA",IF(U200&gt;=Settings!$C$8,"⚠ STALE – REPRICE / ESTANCADO",IF(U200&gt;=Settings!$C$7,"● WATCH / VIGILAR","✔ FRESH / RECIENTE"))))))</f>
        <v/>
      </c>
      <c r="S200" s="53" t="n">
        <f aca="false">IF(C200="",0,IF(OR(J200="",J200="In Stock / En Inventario",J200="Listed / Publicado"),1,0))</f>
        <v>0</v>
      </c>
      <c r="T200" s="53" t="n">
        <f aca="false">IF(C200="",0,IF(J200="Sold / Vendido",1,0))</f>
        <v>0</v>
      </c>
      <c r="U200" s="53" t="n">
        <f aca="true">IF(S200=1,IF(ISNUMBER(F200),TODAY()-F200,-1),-1)</f>
        <v>-1</v>
      </c>
      <c r="V200" s="53" t="n">
        <f aca="false">IF(U200&lt;0,IF(S200=1,5,0),IF(U200&lt;=30,1,IF(U200&lt;=60,2,IF(U200&lt;=90,3,4))))</f>
        <v>0</v>
      </c>
      <c r="W200" s="53" t="n">
        <f aca="false">IF(U200&lt;0,-1000000000000000,U200+ROW()/1000000)</f>
        <v>-1000000000000000</v>
      </c>
      <c r="X200" s="53" t="n">
        <f aca="false">IF(T200=1,IF(AND(ISNUMBER(F200),ISNUMBER(K200)),K200-F200,0),0)</f>
        <v>0</v>
      </c>
      <c r="Y200" s="53" t="n">
        <f aca="false">IF(T200=1,IF(AND(ISNUMBER(F200),ISNUMBER(K200)),1,0),0)</f>
        <v>0</v>
      </c>
      <c r="Z200" s="53" t="n">
        <f aca="false">IF(U200&gt;=Settings!$C$8,1,0)</f>
        <v>0</v>
      </c>
      <c r="AA200" s="53" t="n">
        <f aca="false">IF(S200=1,IF(J200="Listed / Publicado",0,1),0)</f>
        <v>0</v>
      </c>
      <c r="AB200" s="53" t="n">
        <f aca="false">IF(T200=1,IF(ISNUMBER(L200),L200-G200,0),0)</f>
        <v>0</v>
      </c>
      <c r="AC200" s="53" t="n">
        <f aca="false">IF(S200=1,IF(ISNUMBER(I200),I200-G200,0),0)</f>
        <v>0</v>
      </c>
    </row>
    <row r="201" customFormat="false" ht="15" hidden="false" customHeight="false" outlineLevel="0" collapsed="false">
      <c r="B201" s="54"/>
      <c r="C201" s="55"/>
      <c r="D201" s="55"/>
      <c r="E201" s="55"/>
      <c r="F201" s="56"/>
      <c r="G201" s="57"/>
      <c r="H201" s="55"/>
      <c r="I201" s="57"/>
      <c r="J201" s="54"/>
      <c r="K201" s="56"/>
      <c r="L201" s="57"/>
      <c r="M201" s="54"/>
      <c r="N201" s="58" t="str">
        <f aca="false">IF(S201=1,IF(U201&lt;0,"",U201),IF(Y201=1,X201,""))</f>
        <v/>
      </c>
      <c r="O201" s="59" t="str">
        <f aca="false">IF(S201=1,IF(ISNUMBER(I201),I201-G201,""),"")</f>
        <v/>
      </c>
      <c r="P201" s="59" t="str">
        <f aca="false">IF(T201=1,IF(ISNUMBER(L201),L201-G201,""),"")</f>
        <v/>
      </c>
      <c r="Q201" s="60" t="str">
        <f aca="false">IF(C201="","",IF(T201=1,"✔ SOLD / VENDIDO",IF(S201=0,"— CLOSED / CERRADO",IF(U201&lt;0,"⚠ ADD DATE / AGREGA FECHA",IF(U201&gt;=Settings!$C$8,"⚠ STALE – REPRICE / ESTANCADO",IF(U201&gt;=Settings!$C$7,"● WATCH / VIGILAR","✔ FRESH / RECIENTE"))))))</f>
        <v/>
      </c>
      <c r="S201" s="53" t="n">
        <f aca="false">IF(C201="",0,IF(OR(J201="",J201="In Stock / En Inventario",J201="Listed / Publicado"),1,0))</f>
        <v>0</v>
      </c>
      <c r="T201" s="53" t="n">
        <f aca="false">IF(C201="",0,IF(J201="Sold / Vendido",1,0))</f>
        <v>0</v>
      </c>
      <c r="U201" s="53" t="n">
        <f aca="true">IF(S201=1,IF(ISNUMBER(F201),TODAY()-F201,-1),-1)</f>
        <v>-1</v>
      </c>
      <c r="V201" s="53" t="n">
        <f aca="false">IF(U201&lt;0,IF(S201=1,5,0),IF(U201&lt;=30,1,IF(U201&lt;=60,2,IF(U201&lt;=90,3,4))))</f>
        <v>0</v>
      </c>
      <c r="W201" s="53" t="n">
        <f aca="false">IF(U201&lt;0,-1000000000000000,U201+ROW()/1000000)</f>
        <v>-1000000000000000</v>
      </c>
      <c r="X201" s="53" t="n">
        <f aca="false">IF(T201=1,IF(AND(ISNUMBER(F201),ISNUMBER(K201)),K201-F201,0),0)</f>
        <v>0</v>
      </c>
      <c r="Y201" s="53" t="n">
        <f aca="false">IF(T201=1,IF(AND(ISNUMBER(F201),ISNUMBER(K201)),1,0),0)</f>
        <v>0</v>
      </c>
      <c r="Z201" s="53" t="n">
        <f aca="false">IF(U201&gt;=Settings!$C$8,1,0)</f>
        <v>0</v>
      </c>
      <c r="AA201" s="53" t="n">
        <f aca="false">IF(S201=1,IF(J201="Listed / Publicado",0,1),0)</f>
        <v>0</v>
      </c>
      <c r="AB201" s="53" t="n">
        <f aca="false">IF(T201=1,IF(ISNUMBER(L201),L201-G201,0),0)</f>
        <v>0</v>
      </c>
      <c r="AC201" s="53" t="n">
        <f aca="false">IF(S201=1,IF(ISNUMBER(I201),I201-G201,0),0)</f>
        <v>0</v>
      </c>
    </row>
    <row r="202" customFormat="false" ht="15" hidden="false" customHeight="false" outlineLevel="0" collapsed="false">
      <c r="B202" s="54"/>
      <c r="C202" s="55"/>
      <c r="D202" s="55"/>
      <c r="E202" s="55"/>
      <c r="F202" s="56"/>
      <c r="G202" s="57"/>
      <c r="H202" s="55"/>
      <c r="I202" s="57"/>
      <c r="J202" s="54"/>
      <c r="K202" s="56"/>
      <c r="L202" s="57"/>
      <c r="M202" s="54"/>
      <c r="N202" s="58" t="str">
        <f aca="false">IF(S202=1,IF(U202&lt;0,"",U202),IF(Y202=1,X202,""))</f>
        <v/>
      </c>
      <c r="O202" s="59" t="str">
        <f aca="false">IF(S202=1,IF(ISNUMBER(I202),I202-G202,""),"")</f>
        <v/>
      </c>
      <c r="P202" s="59" t="str">
        <f aca="false">IF(T202=1,IF(ISNUMBER(L202),L202-G202,""),"")</f>
        <v/>
      </c>
      <c r="Q202" s="60" t="str">
        <f aca="false">IF(C202="","",IF(T202=1,"✔ SOLD / VENDIDO",IF(S202=0,"— CLOSED / CERRADO",IF(U202&lt;0,"⚠ ADD DATE / AGREGA FECHA",IF(U202&gt;=Settings!$C$8,"⚠ STALE – REPRICE / ESTANCADO",IF(U202&gt;=Settings!$C$7,"● WATCH / VIGILAR","✔ FRESH / RECIENTE"))))))</f>
        <v/>
      </c>
      <c r="S202" s="53" t="n">
        <f aca="false">IF(C202="",0,IF(OR(J202="",J202="In Stock / En Inventario",J202="Listed / Publicado"),1,0))</f>
        <v>0</v>
      </c>
      <c r="T202" s="53" t="n">
        <f aca="false">IF(C202="",0,IF(J202="Sold / Vendido",1,0))</f>
        <v>0</v>
      </c>
      <c r="U202" s="53" t="n">
        <f aca="true">IF(S202=1,IF(ISNUMBER(F202),TODAY()-F202,-1),-1)</f>
        <v>-1</v>
      </c>
      <c r="V202" s="53" t="n">
        <f aca="false">IF(U202&lt;0,IF(S202=1,5,0),IF(U202&lt;=30,1,IF(U202&lt;=60,2,IF(U202&lt;=90,3,4))))</f>
        <v>0</v>
      </c>
      <c r="W202" s="53" t="n">
        <f aca="false">IF(U202&lt;0,-1000000000000000,U202+ROW()/1000000)</f>
        <v>-1000000000000000</v>
      </c>
      <c r="X202" s="53" t="n">
        <f aca="false">IF(T202=1,IF(AND(ISNUMBER(F202),ISNUMBER(K202)),K202-F202,0),0)</f>
        <v>0</v>
      </c>
      <c r="Y202" s="53" t="n">
        <f aca="false">IF(T202=1,IF(AND(ISNUMBER(F202),ISNUMBER(K202)),1,0),0)</f>
        <v>0</v>
      </c>
      <c r="Z202" s="53" t="n">
        <f aca="false">IF(U202&gt;=Settings!$C$8,1,0)</f>
        <v>0</v>
      </c>
      <c r="AA202" s="53" t="n">
        <f aca="false">IF(S202=1,IF(J202="Listed / Publicado",0,1),0)</f>
        <v>0</v>
      </c>
      <c r="AB202" s="53" t="n">
        <f aca="false">IF(T202=1,IF(ISNUMBER(L202),L202-G202,0),0)</f>
        <v>0</v>
      </c>
      <c r="AC202" s="53" t="n">
        <f aca="false">IF(S202=1,IF(ISNUMBER(I202),I202-G202,0),0)</f>
        <v>0</v>
      </c>
    </row>
    <row r="203" customFormat="false" ht="15" hidden="false" customHeight="false" outlineLevel="0" collapsed="false">
      <c r="B203" s="54"/>
      <c r="C203" s="55"/>
      <c r="D203" s="55"/>
      <c r="E203" s="55"/>
      <c r="F203" s="56"/>
      <c r="G203" s="57"/>
      <c r="H203" s="55"/>
      <c r="I203" s="57"/>
      <c r="J203" s="54"/>
      <c r="K203" s="56"/>
      <c r="L203" s="57"/>
      <c r="M203" s="54"/>
      <c r="N203" s="58" t="str">
        <f aca="false">IF(S203=1,IF(U203&lt;0,"",U203),IF(Y203=1,X203,""))</f>
        <v/>
      </c>
      <c r="O203" s="59" t="str">
        <f aca="false">IF(S203=1,IF(ISNUMBER(I203),I203-G203,""),"")</f>
        <v/>
      </c>
      <c r="P203" s="59" t="str">
        <f aca="false">IF(T203=1,IF(ISNUMBER(L203),L203-G203,""),"")</f>
        <v/>
      </c>
      <c r="Q203" s="60" t="str">
        <f aca="false">IF(C203="","",IF(T203=1,"✔ SOLD / VENDIDO",IF(S203=0,"— CLOSED / CERRADO",IF(U203&lt;0,"⚠ ADD DATE / AGREGA FECHA",IF(U203&gt;=Settings!$C$8,"⚠ STALE – REPRICE / ESTANCADO",IF(U203&gt;=Settings!$C$7,"● WATCH / VIGILAR","✔ FRESH / RECIENTE"))))))</f>
        <v/>
      </c>
      <c r="S203" s="53" t="n">
        <f aca="false">IF(C203="",0,IF(OR(J203="",J203="In Stock / En Inventario",J203="Listed / Publicado"),1,0))</f>
        <v>0</v>
      </c>
      <c r="T203" s="53" t="n">
        <f aca="false">IF(C203="",0,IF(J203="Sold / Vendido",1,0))</f>
        <v>0</v>
      </c>
      <c r="U203" s="53" t="n">
        <f aca="true">IF(S203=1,IF(ISNUMBER(F203),TODAY()-F203,-1),-1)</f>
        <v>-1</v>
      </c>
      <c r="V203" s="53" t="n">
        <f aca="false">IF(U203&lt;0,IF(S203=1,5,0),IF(U203&lt;=30,1,IF(U203&lt;=60,2,IF(U203&lt;=90,3,4))))</f>
        <v>0</v>
      </c>
      <c r="W203" s="53" t="n">
        <f aca="false">IF(U203&lt;0,-1000000000000000,U203+ROW()/1000000)</f>
        <v>-1000000000000000</v>
      </c>
      <c r="X203" s="53" t="n">
        <f aca="false">IF(T203=1,IF(AND(ISNUMBER(F203),ISNUMBER(K203)),K203-F203,0),0)</f>
        <v>0</v>
      </c>
      <c r="Y203" s="53" t="n">
        <f aca="false">IF(T203=1,IF(AND(ISNUMBER(F203),ISNUMBER(K203)),1,0),0)</f>
        <v>0</v>
      </c>
      <c r="Z203" s="53" t="n">
        <f aca="false">IF(U203&gt;=Settings!$C$8,1,0)</f>
        <v>0</v>
      </c>
      <c r="AA203" s="53" t="n">
        <f aca="false">IF(S203=1,IF(J203="Listed / Publicado",0,1),0)</f>
        <v>0</v>
      </c>
      <c r="AB203" s="53" t="n">
        <f aca="false">IF(T203=1,IF(ISNUMBER(L203),L203-G203,0),0)</f>
        <v>0</v>
      </c>
      <c r="AC203" s="53" t="n">
        <f aca="false">IF(S203=1,IF(ISNUMBER(I203),I203-G203,0),0)</f>
        <v>0</v>
      </c>
    </row>
    <row r="204" customFormat="false" ht="15" hidden="false" customHeight="false" outlineLevel="0" collapsed="false">
      <c r="B204" s="54"/>
      <c r="C204" s="55"/>
      <c r="D204" s="55"/>
      <c r="E204" s="55"/>
      <c r="F204" s="56"/>
      <c r="G204" s="57"/>
      <c r="H204" s="55"/>
      <c r="I204" s="57"/>
      <c r="J204" s="54"/>
      <c r="K204" s="56"/>
      <c r="L204" s="57"/>
      <c r="M204" s="54"/>
      <c r="N204" s="58" t="str">
        <f aca="false">IF(S204=1,IF(U204&lt;0,"",U204),IF(Y204=1,X204,""))</f>
        <v/>
      </c>
      <c r="O204" s="59" t="str">
        <f aca="false">IF(S204=1,IF(ISNUMBER(I204),I204-G204,""),"")</f>
        <v/>
      </c>
      <c r="P204" s="59" t="str">
        <f aca="false">IF(T204=1,IF(ISNUMBER(L204),L204-G204,""),"")</f>
        <v/>
      </c>
      <c r="Q204" s="60" t="str">
        <f aca="false">IF(C204="","",IF(T204=1,"✔ SOLD / VENDIDO",IF(S204=0,"— CLOSED / CERRADO",IF(U204&lt;0,"⚠ ADD DATE / AGREGA FECHA",IF(U204&gt;=Settings!$C$8,"⚠ STALE – REPRICE / ESTANCADO",IF(U204&gt;=Settings!$C$7,"● WATCH / VIGILAR","✔ FRESH / RECIENTE"))))))</f>
        <v/>
      </c>
      <c r="S204" s="53" t="n">
        <f aca="false">IF(C204="",0,IF(OR(J204="",J204="In Stock / En Inventario",J204="Listed / Publicado"),1,0))</f>
        <v>0</v>
      </c>
      <c r="T204" s="53" t="n">
        <f aca="false">IF(C204="",0,IF(J204="Sold / Vendido",1,0))</f>
        <v>0</v>
      </c>
      <c r="U204" s="53" t="n">
        <f aca="true">IF(S204=1,IF(ISNUMBER(F204),TODAY()-F204,-1),-1)</f>
        <v>-1</v>
      </c>
      <c r="V204" s="53" t="n">
        <f aca="false">IF(U204&lt;0,IF(S204=1,5,0),IF(U204&lt;=30,1,IF(U204&lt;=60,2,IF(U204&lt;=90,3,4))))</f>
        <v>0</v>
      </c>
      <c r="W204" s="53" t="n">
        <f aca="false">IF(U204&lt;0,-1000000000000000,U204+ROW()/1000000)</f>
        <v>-1000000000000000</v>
      </c>
      <c r="X204" s="53" t="n">
        <f aca="false">IF(T204=1,IF(AND(ISNUMBER(F204),ISNUMBER(K204)),K204-F204,0),0)</f>
        <v>0</v>
      </c>
      <c r="Y204" s="53" t="n">
        <f aca="false">IF(T204=1,IF(AND(ISNUMBER(F204),ISNUMBER(K204)),1,0),0)</f>
        <v>0</v>
      </c>
      <c r="Z204" s="53" t="n">
        <f aca="false">IF(U204&gt;=Settings!$C$8,1,0)</f>
        <v>0</v>
      </c>
      <c r="AA204" s="53" t="n">
        <f aca="false">IF(S204=1,IF(J204="Listed / Publicado",0,1),0)</f>
        <v>0</v>
      </c>
      <c r="AB204" s="53" t="n">
        <f aca="false">IF(T204=1,IF(ISNUMBER(L204),L204-G204,0),0)</f>
        <v>0</v>
      </c>
      <c r="AC204" s="53" t="n">
        <f aca="false">IF(S204=1,IF(ISNUMBER(I204),I204-G204,0),0)</f>
        <v>0</v>
      </c>
    </row>
    <row r="205" customFormat="false" ht="15" hidden="false" customHeight="false" outlineLevel="0" collapsed="false">
      <c r="B205" s="54"/>
      <c r="C205" s="55"/>
      <c r="D205" s="55"/>
      <c r="E205" s="55"/>
      <c r="F205" s="56"/>
      <c r="G205" s="57"/>
      <c r="H205" s="55"/>
      <c r="I205" s="57"/>
      <c r="J205" s="54"/>
      <c r="K205" s="56"/>
      <c r="L205" s="57"/>
      <c r="M205" s="54"/>
      <c r="N205" s="58" t="str">
        <f aca="false">IF(S205=1,IF(U205&lt;0,"",U205),IF(Y205=1,X205,""))</f>
        <v/>
      </c>
      <c r="O205" s="59" t="str">
        <f aca="false">IF(S205=1,IF(ISNUMBER(I205),I205-G205,""),"")</f>
        <v/>
      </c>
      <c r="P205" s="59" t="str">
        <f aca="false">IF(T205=1,IF(ISNUMBER(L205),L205-G205,""),"")</f>
        <v/>
      </c>
      <c r="Q205" s="60" t="str">
        <f aca="false">IF(C205="","",IF(T205=1,"✔ SOLD / VENDIDO",IF(S205=0,"— CLOSED / CERRADO",IF(U205&lt;0,"⚠ ADD DATE / AGREGA FECHA",IF(U205&gt;=Settings!$C$8,"⚠ STALE – REPRICE / ESTANCADO",IF(U205&gt;=Settings!$C$7,"● WATCH / VIGILAR","✔ FRESH / RECIENTE"))))))</f>
        <v/>
      </c>
      <c r="S205" s="53" t="n">
        <f aca="false">IF(C205="",0,IF(OR(J205="",J205="In Stock / En Inventario",J205="Listed / Publicado"),1,0))</f>
        <v>0</v>
      </c>
      <c r="T205" s="53" t="n">
        <f aca="false">IF(C205="",0,IF(J205="Sold / Vendido",1,0))</f>
        <v>0</v>
      </c>
      <c r="U205" s="53" t="n">
        <f aca="true">IF(S205=1,IF(ISNUMBER(F205),TODAY()-F205,-1),-1)</f>
        <v>-1</v>
      </c>
      <c r="V205" s="53" t="n">
        <f aca="false">IF(U205&lt;0,IF(S205=1,5,0),IF(U205&lt;=30,1,IF(U205&lt;=60,2,IF(U205&lt;=90,3,4))))</f>
        <v>0</v>
      </c>
      <c r="W205" s="53" t="n">
        <f aca="false">IF(U205&lt;0,-1000000000000000,U205+ROW()/1000000)</f>
        <v>-1000000000000000</v>
      </c>
      <c r="X205" s="53" t="n">
        <f aca="false">IF(T205=1,IF(AND(ISNUMBER(F205),ISNUMBER(K205)),K205-F205,0),0)</f>
        <v>0</v>
      </c>
      <c r="Y205" s="53" t="n">
        <f aca="false">IF(T205=1,IF(AND(ISNUMBER(F205),ISNUMBER(K205)),1,0),0)</f>
        <v>0</v>
      </c>
      <c r="Z205" s="53" t="n">
        <f aca="false">IF(U205&gt;=Settings!$C$8,1,0)</f>
        <v>0</v>
      </c>
      <c r="AA205" s="53" t="n">
        <f aca="false">IF(S205=1,IF(J205="Listed / Publicado",0,1),0)</f>
        <v>0</v>
      </c>
      <c r="AB205" s="53" t="n">
        <f aca="false">IF(T205=1,IF(ISNUMBER(L205),L205-G205,0),0)</f>
        <v>0</v>
      </c>
      <c r="AC205" s="53" t="n">
        <f aca="false">IF(S205=1,IF(ISNUMBER(I205),I205-G205,0),0)</f>
        <v>0</v>
      </c>
    </row>
    <row r="206" customFormat="false" ht="15" hidden="false" customHeight="false" outlineLevel="0" collapsed="false">
      <c r="B206" s="54"/>
      <c r="C206" s="55"/>
      <c r="D206" s="55"/>
      <c r="E206" s="55"/>
      <c r="F206" s="56"/>
      <c r="G206" s="57"/>
      <c r="H206" s="55"/>
      <c r="I206" s="57"/>
      <c r="J206" s="54"/>
      <c r="K206" s="56"/>
      <c r="L206" s="57"/>
      <c r="M206" s="54"/>
      <c r="N206" s="58" t="str">
        <f aca="false">IF(S206=1,IF(U206&lt;0,"",U206),IF(Y206=1,X206,""))</f>
        <v/>
      </c>
      <c r="O206" s="59" t="str">
        <f aca="false">IF(S206=1,IF(ISNUMBER(I206),I206-G206,""),"")</f>
        <v/>
      </c>
      <c r="P206" s="59" t="str">
        <f aca="false">IF(T206=1,IF(ISNUMBER(L206),L206-G206,""),"")</f>
        <v/>
      </c>
      <c r="Q206" s="60" t="str">
        <f aca="false">IF(C206="","",IF(T206=1,"✔ SOLD / VENDIDO",IF(S206=0,"— CLOSED / CERRADO",IF(U206&lt;0,"⚠ ADD DATE / AGREGA FECHA",IF(U206&gt;=Settings!$C$8,"⚠ STALE – REPRICE / ESTANCADO",IF(U206&gt;=Settings!$C$7,"● WATCH / VIGILAR","✔ FRESH / RECIENTE"))))))</f>
        <v/>
      </c>
      <c r="S206" s="53" t="n">
        <f aca="false">IF(C206="",0,IF(OR(J206="",J206="In Stock / En Inventario",J206="Listed / Publicado"),1,0))</f>
        <v>0</v>
      </c>
      <c r="T206" s="53" t="n">
        <f aca="false">IF(C206="",0,IF(J206="Sold / Vendido",1,0))</f>
        <v>0</v>
      </c>
      <c r="U206" s="53" t="n">
        <f aca="true">IF(S206=1,IF(ISNUMBER(F206),TODAY()-F206,-1),-1)</f>
        <v>-1</v>
      </c>
      <c r="V206" s="53" t="n">
        <f aca="false">IF(U206&lt;0,IF(S206=1,5,0),IF(U206&lt;=30,1,IF(U206&lt;=60,2,IF(U206&lt;=90,3,4))))</f>
        <v>0</v>
      </c>
      <c r="W206" s="53" t="n">
        <f aca="false">IF(U206&lt;0,-1000000000000000,U206+ROW()/1000000)</f>
        <v>-1000000000000000</v>
      </c>
      <c r="X206" s="53" t="n">
        <f aca="false">IF(T206=1,IF(AND(ISNUMBER(F206),ISNUMBER(K206)),K206-F206,0),0)</f>
        <v>0</v>
      </c>
      <c r="Y206" s="53" t="n">
        <f aca="false">IF(T206=1,IF(AND(ISNUMBER(F206),ISNUMBER(K206)),1,0),0)</f>
        <v>0</v>
      </c>
      <c r="Z206" s="53" t="n">
        <f aca="false">IF(U206&gt;=Settings!$C$8,1,0)</f>
        <v>0</v>
      </c>
      <c r="AA206" s="53" t="n">
        <f aca="false">IF(S206=1,IF(J206="Listed / Publicado",0,1),0)</f>
        <v>0</v>
      </c>
      <c r="AB206" s="53" t="n">
        <f aca="false">IF(T206=1,IF(ISNUMBER(L206),L206-G206,0),0)</f>
        <v>0</v>
      </c>
      <c r="AC206" s="53" t="n">
        <f aca="false">IF(S206=1,IF(ISNUMBER(I206),I206-G206,0),0)</f>
        <v>0</v>
      </c>
    </row>
    <row r="207" customFormat="false" ht="15" hidden="false" customHeight="false" outlineLevel="0" collapsed="false">
      <c r="B207" s="54"/>
      <c r="C207" s="55"/>
      <c r="D207" s="55"/>
      <c r="E207" s="55"/>
      <c r="F207" s="56"/>
      <c r="G207" s="57"/>
      <c r="H207" s="55"/>
      <c r="I207" s="57"/>
      <c r="J207" s="54"/>
      <c r="K207" s="56"/>
      <c r="L207" s="57"/>
      <c r="M207" s="54"/>
      <c r="N207" s="58" t="str">
        <f aca="false">IF(S207=1,IF(U207&lt;0,"",U207),IF(Y207=1,X207,""))</f>
        <v/>
      </c>
      <c r="O207" s="59" t="str">
        <f aca="false">IF(S207=1,IF(ISNUMBER(I207),I207-G207,""),"")</f>
        <v/>
      </c>
      <c r="P207" s="59" t="str">
        <f aca="false">IF(T207=1,IF(ISNUMBER(L207),L207-G207,""),"")</f>
        <v/>
      </c>
      <c r="Q207" s="60" t="str">
        <f aca="false">IF(C207="","",IF(T207=1,"✔ SOLD / VENDIDO",IF(S207=0,"— CLOSED / CERRADO",IF(U207&lt;0,"⚠ ADD DATE / AGREGA FECHA",IF(U207&gt;=Settings!$C$8,"⚠ STALE – REPRICE / ESTANCADO",IF(U207&gt;=Settings!$C$7,"● WATCH / VIGILAR","✔ FRESH / RECIENTE"))))))</f>
        <v/>
      </c>
      <c r="S207" s="53" t="n">
        <f aca="false">IF(C207="",0,IF(OR(J207="",J207="In Stock / En Inventario",J207="Listed / Publicado"),1,0))</f>
        <v>0</v>
      </c>
      <c r="T207" s="53" t="n">
        <f aca="false">IF(C207="",0,IF(J207="Sold / Vendido",1,0))</f>
        <v>0</v>
      </c>
      <c r="U207" s="53" t="n">
        <f aca="true">IF(S207=1,IF(ISNUMBER(F207),TODAY()-F207,-1),-1)</f>
        <v>-1</v>
      </c>
      <c r="V207" s="53" t="n">
        <f aca="false">IF(U207&lt;0,IF(S207=1,5,0),IF(U207&lt;=30,1,IF(U207&lt;=60,2,IF(U207&lt;=90,3,4))))</f>
        <v>0</v>
      </c>
      <c r="W207" s="53" t="n">
        <f aca="false">IF(U207&lt;0,-1000000000000000,U207+ROW()/1000000)</f>
        <v>-1000000000000000</v>
      </c>
      <c r="X207" s="53" t="n">
        <f aca="false">IF(T207=1,IF(AND(ISNUMBER(F207),ISNUMBER(K207)),K207-F207,0),0)</f>
        <v>0</v>
      </c>
      <c r="Y207" s="53" t="n">
        <f aca="false">IF(T207=1,IF(AND(ISNUMBER(F207),ISNUMBER(K207)),1,0),0)</f>
        <v>0</v>
      </c>
      <c r="Z207" s="53" t="n">
        <f aca="false">IF(U207&gt;=Settings!$C$8,1,0)</f>
        <v>0</v>
      </c>
      <c r="AA207" s="53" t="n">
        <f aca="false">IF(S207=1,IF(J207="Listed / Publicado",0,1),0)</f>
        <v>0</v>
      </c>
      <c r="AB207" s="53" t="n">
        <f aca="false">IF(T207=1,IF(ISNUMBER(L207),L207-G207,0),0)</f>
        <v>0</v>
      </c>
      <c r="AC207" s="53" t="n">
        <f aca="false">IF(S207=1,IF(ISNUMBER(I207),I207-G207,0),0)</f>
        <v>0</v>
      </c>
    </row>
    <row r="208" customFormat="false" ht="15" hidden="false" customHeight="false" outlineLevel="0" collapsed="false">
      <c r="B208" s="54"/>
      <c r="C208" s="55"/>
      <c r="D208" s="55"/>
      <c r="E208" s="55"/>
      <c r="F208" s="56"/>
      <c r="G208" s="57"/>
      <c r="H208" s="55"/>
      <c r="I208" s="57"/>
      <c r="J208" s="54"/>
      <c r="K208" s="56"/>
      <c r="L208" s="57"/>
      <c r="M208" s="54"/>
      <c r="N208" s="58" t="str">
        <f aca="false">IF(S208=1,IF(U208&lt;0,"",U208),IF(Y208=1,X208,""))</f>
        <v/>
      </c>
      <c r="O208" s="59" t="str">
        <f aca="false">IF(S208=1,IF(ISNUMBER(I208),I208-G208,""),"")</f>
        <v/>
      </c>
      <c r="P208" s="59" t="str">
        <f aca="false">IF(T208=1,IF(ISNUMBER(L208),L208-G208,""),"")</f>
        <v/>
      </c>
      <c r="Q208" s="60" t="str">
        <f aca="false">IF(C208="","",IF(T208=1,"✔ SOLD / VENDIDO",IF(S208=0,"— CLOSED / CERRADO",IF(U208&lt;0,"⚠ ADD DATE / AGREGA FECHA",IF(U208&gt;=Settings!$C$8,"⚠ STALE – REPRICE / ESTANCADO",IF(U208&gt;=Settings!$C$7,"● WATCH / VIGILAR","✔ FRESH / RECIENTE"))))))</f>
        <v/>
      </c>
      <c r="S208" s="53" t="n">
        <f aca="false">IF(C208="",0,IF(OR(J208="",J208="In Stock / En Inventario",J208="Listed / Publicado"),1,0))</f>
        <v>0</v>
      </c>
      <c r="T208" s="53" t="n">
        <f aca="false">IF(C208="",0,IF(J208="Sold / Vendido",1,0))</f>
        <v>0</v>
      </c>
      <c r="U208" s="53" t="n">
        <f aca="true">IF(S208=1,IF(ISNUMBER(F208),TODAY()-F208,-1),-1)</f>
        <v>-1</v>
      </c>
      <c r="V208" s="53" t="n">
        <f aca="false">IF(U208&lt;0,IF(S208=1,5,0),IF(U208&lt;=30,1,IF(U208&lt;=60,2,IF(U208&lt;=90,3,4))))</f>
        <v>0</v>
      </c>
      <c r="W208" s="53" t="n">
        <f aca="false">IF(U208&lt;0,-1000000000000000,U208+ROW()/1000000)</f>
        <v>-1000000000000000</v>
      </c>
      <c r="X208" s="53" t="n">
        <f aca="false">IF(T208=1,IF(AND(ISNUMBER(F208),ISNUMBER(K208)),K208-F208,0),0)</f>
        <v>0</v>
      </c>
      <c r="Y208" s="53" t="n">
        <f aca="false">IF(T208=1,IF(AND(ISNUMBER(F208),ISNUMBER(K208)),1,0),0)</f>
        <v>0</v>
      </c>
      <c r="Z208" s="53" t="n">
        <f aca="false">IF(U208&gt;=Settings!$C$8,1,0)</f>
        <v>0</v>
      </c>
      <c r="AA208" s="53" t="n">
        <f aca="false">IF(S208=1,IF(J208="Listed / Publicado",0,1),0)</f>
        <v>0</v>
      </c>
      <c r="AB208" s="53" t="n">
        <f aca="false">IF(T208=1,IF(ISNUMBER(L208),L208-G208,0),0)</f>
        <v>0</v>
      </c>
      <c r="AC208" s="53" t="n">
        <f aca="false">IF(S208=1,IF(ISNUMBER(I208),I208-G208,0),0)</f>
        <v>0</v>
      </c>
    </row>
    <row r="209" customFormat="false" ht="15" hidden="false" customHeight="false" outlineLevel="0" collapsed="false">
      <c r="B209" s="54"/>
      <c r="C209" s="55"/>
      <c r="D209" s="55"/>
      <c r="E209" s="55"/>
      <c r="F209" s="56"/>
      <c r="G209" s="57"/>
      <c r="H209" s="55"/>
      <c r="I209" s="57"/>
      <c r="J209" s="54"/>
      <c r="K209" s="56"/>
      <c r="L209" s="57"/>
      <c r="M209" s="54"/>
      <c r="N209" s="58" t="str">
        <f aca="false">IF(S209=1,IF(U209&lt;0,"",U209),IF(Y209=1,X209,""))</f>
        <v/>
      </c>
      <c r="O209" s="59" t="str">
        <f aca="false">IF(S209=1,IF(ISNUMBER(I209),I209-G209,""),"")</f>
        <v/>
      </c>
      <c r="P209" s="59" t="str">
        <f aca="false">IF(T209=1,IF(ISNUMBER(L209),L209-G209,""),"")</f>
        <v/>
      </c>
      <c r="Q209" s="60" t="str">
        <f aca="false">IF(C209="","",IF(T209=1,"✔ SOLD / VENDIDO",IF(S209=0,"— CLOSED / CERRADO",IF(U209&lt;0,"⚠ ADD DATE / AGREGA FECHA",IF(U209&gt;=Settings!$C$8,"⚠ STALE – REPRICE / ESTANCADO",IF(U209&gt;=Settings!$C$7,"● WATCH / VIGILAR","✔ FRESH / RECIENTE"))))))</f>
        <v/>
      </c>
      <c r="S209" s="53" t="n">
        <f aca="false">IF(C209="",0,IF(OR(J209="",J209="In Stock / En Inventario",J209="Listed / Publicado"),1,0))</f>
        <v>0</v>
      </c>
      <c r="T209" s="53" t="n">
        <f aca="false">IF(C209="",0,IF(J209="Sold / Vendido",1,0))</f>
        <v>0</v>
      </c>
      <c r="U209" s="53" t="n">
        <f aca="true">IF(S209=1,IF(ISNUMBER(F209),TODAY()-F209,-1),-1)</f>
        <v>-1</v>
      </c>
      <c r="V209" s="53" t="n">
        <f aca="false">IF(U209&lt;0,IF(S209=1,5,0),IF(U209&lt;=30,1,IF(U209&lt;=60,2,IF(U209&lt;=90,3,4))))</f>
        <v>0</v>
      </c>
      <c r="W209" s="53" t="n">
        <f aca="false">IF(U209&lt;0,-1000000000000000,U209+ROW()/1000000)</f>
        <v>-1000000000000000</v>
      </c>
      <c r="X209" s="53" t="n">
        <f aca="false">IF(T209=1,IF(AND(ISNUMBER(F209),ISNUMBER(K209)),K209-F209,0),0)</f>
        <v>0</v>
      </c>
      <c r="Y209" s="53" t="n">
        <f aca="false">IF(T209=1,IF(AND(ISNUMBER(F209),ISNUMBER(K209)),1,0),0)</f>
        <v>0</v>
      </c>
      <c r="Z209" s="53" t="n">
        <f aca="false">IF(U209&gt;=Settings!$C$8,1,0)</f>
        <v>0</v>
      </c>
      <c r="AA209" s="53" t="n">
        <f aca="false">IF(S209=1,IF(J209="Listed / Publicado",0,1),0)</f>
        <v>0</v>
      </c>
      <c r="AB209" s="53" t="n">
        <f aca="false">IF(T209=1,IF(ISNUMBER(L209),L209-G209,0),0)</f>
        <v>0</v>
      </c>
      <c r="AC209" s="53" t="n">
        <f aca="false">IF(S209=1,IF(ISNUMBER(I209),I209-G209,0),0)</f>
        <v>0</v>
      </c>
    </row>
    <row r="210" customFormat="false" ht="15" hidden="false" customHeight="false" outlineLevel="0" collapsed="false">
      <c r="B210" s="54"/>
      <c r="C210" s="55"/>
      <c r="D210" s="55"/>
      <c r="E210" s="55"/>
      <c r="F210" s="56"/>
      <c r="G210" s="57"/>
      <c r="H210" s="55"/>
      <c r="I210" s="57"/>
      <c r="J210" s="54"/>
      <c r="K210" s="56"/>
      <c r="L210" s="57"/>
      <c r="M210" s="54"/>
      <c r="N210" s="58" t="str">
        <f aca="false">IF(S210=1,IF(U210&lt;0,"",U210),IF(Y210=1,X210,""))</f>
        <v/>
      </c>
      <c r="O210" s="59" t="str">
        <f aca="false">IF(S210=1,IF(ISNUMBER(I210),I210-G210,""),"")</f>
        <v/>
      </c>
      <c r="P210" s="59" t="str">
        <f aca="false">IF(T210=1,IF(ISNUMBER(L210),L210-G210,""),"")</f>
        <v/>
      </c>
      <c r="Q210" s="60" t="str">
        <f aca="false">IF(C210="","",IF(T210=1,"✔ SOLD / VENDIDO",IF(S210=0,"— CLOSED / CERRADO",IF(U210&lt;0,"⚠ ADD DATE / AGREGA FECHA",IF(U210&gt;=Settings!$C$8,"⚠ STALE – REPRICE / ESTANCADO",IF(U210&gt;=Settings!$C$7,"● WATCH / VIGILAR","✔ FRESH / RECIENTE"))))))</f>
        <v/>
      </c>
      <c r="S210" s="53" t="n">
        <f aca="false">IF(C210="",0,IF(OR(J210="",J210="In Stock / En Inventario",J210="Listed / Publicado"),1,0))</f>
        <v>0</v>
      </c>
      <c r="T210" s="53" t="n">
        <f aca="false">IF(C210="",0,IF(J210="Sold / Vendido",1,0))</f>
        <v>0</v>
      </c>
      <c r="U210" s="53" t="n">
        <f aca="true">IF(S210=1,IF(ISNUMBER(F210),TODAY()-F210,-1),-1)</f>
        <v>-1</v>
      </c>
      <c r="V210" s="53" t="n">
        <f aca="false">IF(U210&lt;0,IF(S210=1,5,0),IF(U210&lt;=30,1,IF(U210&lt;=60,2,IF(U210&lt;=90,3,4))))</f>
        <v>0</v>
      </c>
      <c r="W210" s="53" t="n">
        <f aca="false">IF(U210&lt;0,-1000000000000000,U210+ROW()/1000000)</f>
        <v>-1000000000000000</v>
      </c>
      <c r="X210" s="53" t="n">
        <f aca="false">IF(T210=1,IF(AND(ISNUMBER(F210),ISNUMBER(K210)),K210-F210,0),0)</f>
        <v>0</v>
      </c>
      <c r="Y210" s="53" t="n">
        <f aca="false">IF(T210=1,IF(AND(ISNUMBER(F210),ISNUMBER(K210)),1,0),0)</f>
        <v>0</v>
      </c>
      <c r="Z210" s="53" t="n">
        <f aca="false">IF(U210&gt;=Settings!$C$8,1,0)</f>
        <v>0</v>
      </c>
      <c r="AA210" s="53" t="n">
        <f aca="false">IF(S210=1,IF(J210="Listed / Publicado",0,1),0)</f>
        <v>0</v>
      </c>
      <c r="AB210" s="53" t="n">
        <f aca="false">IF(T210=1,IF(ISNUMBER(L210),L210-G210,0),0)</f>
        <v>0</v>
      </c>
      <c r="AC210" s="53" t="n">
        <f aca="false">IF(S210=1,IF(ISNUMBER(I210),I210-G210,0),0)</f>
        <v>0</v>
      </c>
    </row>
    <row r="211" customFormat="false" ht="15" hidden="false" customHeight="false" outlineLevel="0" collapsed="false">
      <c r="B211" s="54"/>
      <c r="C211" s="55"/>
      <c r="D211" s="55"/>
      <c r="E211" s="55"/>
      <c r="F211" s="56"/>
      <c r="G211" s="57"/>
      <c r="H211" s="55"/>
      <c r="I211" s="57"/>
      <c r="J211" s="54"/>
      <c r="K211" s="56"/>
      <c r="L211" s="57"/>
      <c r="M211" s="54"/>
      <c r="N211" s="58" t="str">
        <f aca="false">IF(S211=1,IF(U211&lt;0,"",U211),IF(Y211=1,X211,""))</f>
        <v/>
      </c>
      <c r="O211" s="59" t="str">
        <f aca="false">IF(S211=1,IF(ISNUMBER(I211),I211-G211,""),"")</f>
        <v/>
      </c>
      <c r="P211" s="59" t="str">
        <f aca="false">IF(T211=1,IF(ISNUMBER(L211),L211-G211,""),"")</f>
        <v/>
      </c>
      <c r="Q211" s="60" t="str">
        <f aca="false">IF(C211="","",IF(T211=1,"✔ SOLD / VENDIDO",IF(S211=0,"— CLOSED / CERRADO",IF(U211&lt;0,"⚠ ADD DATE / AGREGA FECHA",IF(U211&gt;=Settings!$C$8,"⚠ STALE – REPRICE / ESTANCADO",IF(U211&gt;=Settings!$C$7,"● WATCH / VIGILAR","✔ FRESH / RECIENTE"))))))</f>
        <v/>
      </c>
      <c r="S211" s="53" t="n">
        <f aca="false">IF(C211="",0,IF(OR(J211="",J211="In Stock / En Inventario",J211="Listed / Publicado"),1,0))</f>
        <v>0</v>
      </c>
      <c r="T211" s="53" t="n">
        <f aca="false">IF(C211="",0,IF(J211="Sold / Vendido",1,0))</f>
        <v>0</v>
      </c>
      <c r="U211" s="53" t="n">
        <f aca="true">IF(S211=1,IF(ISNUMBER(F211),TODAY()-F211,-1),-1)</f>
        <v>-1</v>
      </c>
      <c r="V211" s="53" t="n">
        <f aca="false">IF(U211&lt;0,IF(S211=1,5,0),IF(U211&lt;=30,1,IF(U211&lt;=60,2,IF(U211&lt;=90,3,4))))</f>
        <v>0</v>
      </c>
      <c r="W211" s="53" t="n">
        <f aca="false">IF(U211&lt;0,-1000000000000000,U211+ROW()/1000000)</f>
        <v>-1000000000000000</v>
      </c>
      <c r="X211" s="53" t="n">
        <f aca="false">IF(T211=1,IF(AND(ISNUMBER(F211),ISNUMBER(K211)),K211-F211,0),0)</f>
        <v>0</v>
      </c>
      <c r="Y211" s="53" t="n">
        <f aca="false">IF(T211=1,IF(AND(ISNUMBER(F211),ISNUMBER(K211)),1,0),0)</f>
        <v>0</v>
      </c>
      <c r="Z211" s="53" t="n">
        <f aca="false">IF(U211&gt;=Settings!$C$8,1,0)</f>
        <v>0</v>
      </c>
      <c r="AA211" s="53" t="n">
        <f aca="false">IF(S211=1,IF(J211="Listed / Publicado",0,1),0)</f>
        <v>0</v>
      </c>
      <c r="AB211" s="53" t="n">
        <f aca="false">IF(T211=1,IF(ISNUMBER(L211),L211-G211,0),0)</f>
        <v>0</v>
      </c>
      <c r="AC211" s="53" t="n">
        <f aca="false">IF(S211=1,IF(ISNUMBER(I211),I211-G211,0),0)</f>
        <v>0</v>
      </c>
    </row>
    <row r="212" customFormat="false" ht="15" hidden="false" customHeight="false" outlineLevel="0" collapsed="false">
      <c r="B212" s="54"/>
      <c r="C212" s="55"/>
      <c r="D212" s="55"/>
      <c r="E212" s="55"/>
      <c r="F212" s="56"/>
      <c r="G212" s="57"/>
      <c r="H212" s="55"/>
      <c r="I212" s="57"/>
      <c r="J212" s="54"/>
      <c r="K212" s="56"/>
      <c r="L212" s="57"/>
      <c r="M212" s="54"/>
      <c r="N212" s="58" t="str">
        <f aca="false">IF(S212=1,IF(U212&lt;0,"",U212),IF(Y212=1,X212,""))</f>
        <v/>
      </c>
      <c r="O212" s="59" t="str">
        <f aca="false">IF(S212=1,IF(ISNUMBER(I212),I212-G212,""),"")</f>
        <v/>
      </c>
      <c r="P212" s="59" t="str">
        <f aca="false">IF(T212=1,IF(ISNUMBER(L212),L212-G212,""),"")</f>
        <v/>
      </c>
      <c r="Q212" s="60" t="str">
        <f aca="false">IF(C212="","",IF(T212=1,"✔ SOLD / VENDIDO",IF(S212=0,"— CLOSED / CERRADO",IF(U212&lt;0,"⚠ ADD DATE / AGREGA FECHA",IF(U212&gt;=Settings!$C$8,"⚠ STALE – REPRICE / ESTANCADO",IF(U212&gt;=Settings!$C$7,"● WATCH / VIGILAR","✔ FRESH / RECIENTE"))))))</f>
        <v/>
      </c>
      <c r="S212" s="53" t="n">
        <f aca="false">IF(C212="",0,IF(OR(J212="",J212="In Stock / En Inventario",J212="Listed / Publicado"),1,0))</f>
        <v>0</v>
      </c>
      <c r="T212" s="53" t="n">
        <f aca="false">IF(C212="",0,IF(J212="Sold / Vendido",1,0))</f>
        <v>0</v>
      </c>
      <c r="U212" s="53" t="n">
        <f aca="true">IF(S212=1,IF(ISNUMBER(F212),TODAY()-F212,-1),-1)</f>
        <v>-1</v>
      </c>
      <c r="V212" s="53" t="n">
        <f aca="false">IF(U212&lt;0,IF(S212=1,5,0),IF(U212&lt;=30,1,IF(U212&lt;=60,2,IF(U212&lt;=90,3,4))))</f>
        <v>0</v>
      </c>
      <c r="W212" s="53" t="n">
        <f aca="false">IF(U212&lt;0,-1000000000000000,U212+ROW()/1000000)</f>
        <v>-1000000000000000</v>
      </c>
      <c r="X212" s="53" t="n">
        <f aca="false">IF(T212=1,IF(AND(ISNUMBER(F212),ISNUMBER(K212)),K212-F212,0),0)</f>
        <v>0</v>
      </c>
      <c r="Y212" s="53" t="n">
        <f aca="false">IF(T212=1,IF(AND(ISNUMBER(F212),ISNUMBER(K212)),1,0),0)</f>
        <v>0</v>
      </c>
      <c r="Z212" s="53" t="n">
        <f aca="false">IF(U212&gt;=Settings!$C$8,1,0)</f>
        <v>0</v>
      </c>
      <c r="AA212" s="53" t="n">
        <f aca="false">IF(S212=1,IF(J212="Listed / Publicado",0,1),0)</f>
        <v>0</v>
      </c>
      <c r="AB212" s="53" t="n">
        <f aca="false">IF(T212=1,IF(ISNUMBER(L212),L212-G212,0),0)</f>
        <v>0</v>
      </c>
      <c r="AC212" s="53" t="n">
        <f aca="false">IF(S212=1,IF(ISNUMBER(I212),I212-G212,0),0)</f>
        <v>0</v>
      </c>
    </row>
    <row r="213" customFormat="false" ht="15" hidden="false" customHeight="false" outlineLevel="0" collapsed="false">
      <c r="B213" s="54"/>
      <c r="C213" s="55"/>
      <c r="D213" s="55"/>
      <c r="E213" s="55"/>
      <c r="F213" s="56"/>
      <c r="G213" s="57"/>
      <c r="H213" s="55"/>
      <c r="I213" s="57"/>
      <c r="J213" s="54"/>
      <c r="K213" s="56"/>
      <c r="L213" s="57"/>
      <c r="M213" s="54"/>
      <c r="N213" s="58" t="str">
        <f aca="false">IF(S213=1,IF(U213&lt;0,"",U213),IF(Y213=1,X213,""))</f>
        <v/>
      </c>
      <c r="O213" s="59" t="str">
        <f aca="false">IF(S213=1,IF(ISNUMBER(I213),I213-G213,""),"")</f>
        <v/>
      </c>
      <c r="P213" s="59" t="str">
        <f aca="false">IF(T213=1,IF(ISNUMBER(L213),L213-G213,""),"")</f>
        <v/>
      </c>
      <c r="Q213" s="60" t="str">
        <f aca="false">IF(C213="","",IF(T213=1,"✔ SOLD / VENDIDO",IF(S213=0,"— CLOSED / CERRADO",IF(U213&lt;0,"⚠ ADD DATE / AGREGA FECHA",IF(U213&gt;=Settings!$C$8,"⚠ STALE – REPRICE / ESTANCADO",IF(U213&gt;=Settings!$C$7,"● WATCH / VIGILAR","✔ FRESH / RECIENTE"))))))</f>
        <v/>
      </c>
      <c r="S213" s="53" t="n">
        <f aca="false">IF(C213="",0,IF(OR(J213="",J213="In Stock / En Inventario",J213="Listed / Publicado"),1,0))</f>
        <v>0</v>
      </c>
      <c r="T213" s="53" t="n">
        <f aca="false">IF(C213="",0,IF(J213="Sold / Vendido",1,0))</f>
        <v>0</v>
      </c>
      <c r="U213" s="53" t="n">
        <f aca="true">IF(S213=1,IF(ISNUMBER(F213),TODAY()-F213,-1),-1)</f>
        <v>-1</v>
      </c>
      <c r="V213" s="53" t="n">
        <f aca="false">IF(U213&lt;0,IF(S213=1,5,0),IF(U213&lt;=30,1,IF(U213&lt;=60,2,IF(U213&lt;=90,3,4))))</f>
        <v>0</v>
      </c>
      <c r="W213" s="53" t="n">
        <f aca="false">IF(U213&lt;0,-1000000000000000,U213+ROW()/1000000)</f>
        <v>-1000000000000000</v>
      </c>
      <c r="X213" s="53" t="n">
        <f aca="false">IF(T213=1,IF(AND(ISNUMBER(F213),ISNUMBER(K213)),K213-F213,0),0)</f>
        <v>0</v>
      </c>
      <c r="Y213" s="53" t="n">
        <f aca="false">IF(T213=1,IF(AND(ISNUMBER(F213),ISNUMBER(K213)),1,0),0)</f>
        <v>0</v>
      </c>
      <c r="Z213" s="53" t="n">
        <f aca="false">IF(U213&gt;=Settings!$C$8,1,0)</f>
        <v>0</v>
      </c>
      <c r="AA213" s="53" t="n">
        <f aca="false">IF(S213=1,IF(J213="Listed / Publicado",0,1),0)</f>
        <v>0</v>
      </c>
      <c r="AB213" s="53" t="n">
        <f aca="false">IF(T213=1,IF(ISNUMBER(L213),L213-G213,0),0)</f>
        <v>0</v>
      </c>
      <c r="AC213" s="53" t="n">
        <f aca="false">IF(S213=1,IF(ISNUMBER(I213),I213-G213,0),0)</f>
        <v>0</v>
      </c>
    </row>
    <row r="214" customFormat="false" ht="15" hidden="false" customHeight="false" outlineLevel="0" collapsed="false">
      <c r="B214" s="54"/>
      <c r="C214" s="55"/>
      <c r="D214" s="55"/>
      <c r="E214" s="55"/>
      <c r="F214" s="56"/>
      <c r="G214" s="57"/>
      <c r="H214" s="55"/>
      <c r="I214" s="57"/>
      <c r="J214" s="54"/>
      <c r="K214" s="56"/>
      <c r="L214" s="57"/>
      <c r="M214" s="54"/>
      <c r="N214" s="58" t="str">
        <f aca="false">IF(S214=1,IF(U214&lt;0,"",U214),IF(Y214=1,X214,""))</f>
        <v/>
      </c>
      <c r="O214" s="59" t="str">
        <f aca="false">IF(S214=1,IF(ISNUMBER(I214),I214-G214,""),"")</f>
        <v/>
      </c>
      <c r="P214" s="59" t="str">
        <f aca="false">IF(T214=1,IF(ISNUMBER(L214),L214-G214,""),"")</f>
        <v/>
      </c>
      <c r="Q214" s="60" t="str">
        <f aca="false">IF(C214="","",IF(T214=1,"✔ SOLD / VENDIDO",IF(S214=0,"— CLOSED / CERRADO",IF(U214&lt;0,"⚠ ADD DATE / AGREGA FECHA",IF(U214&gt;=Settings!$C$8,"⚠ STALE – REPRICE / ESTANCADO",IF(U214&gt;=Settings!$C$7,"● WATCH / VIGILAR","✔ FRESH / RECIENTE"))))))</f>
        <v/>
      </c>
      <c r="S214" s="53" t="n">
        <f aca="false">IF(C214="",0,IF(OR(J214="",J214="In Stock / En Inventario",J214="Listed / Publicado"),1,0))</f>
        <v>0</v>
      </c>
      <c r="T214" s="53" t="n">
        <f aca="false">IF(C214="",0,IF(J214="Sold / Vendido",1,0))</f>
        <v>0</v>
      </c>
      <c r="U214" s="53" t="n">
        <f aca="true">IF(S214=1,IF(ISNUMBER(F214),TODAY()-F214,-1),-1)</f>
        <v>-1</v>
      </c>
      <c r="V214" s="53" t="n">
        <f aca="false">IF(U214&lt;0,IF(S214=1,5,0),IF(U214&lt;=30,1,IF(U214&lt;=60,2,IF(U214&lt;=90,3,4))))</f>
        <v>0</v>
      </c>
      <c r="W214" s="53" t="n">
        <f aca="false">IF(U214&lt;0,-1000000000000000,U214+ROW()/1000000)</f>
        <v>-1000000000000000</v>
      </c>
      <c r="X214" s="53" t="n">
        <f aca="false">IF(T214=1,IF(AND(ISNUMBER(F214),ISNUMBER(K214)),K214-F214,0),0)</f>
        <v>0</v>
      </c>
      <c r="Y214" s="53" t="n">
        <f aca="false">IF(T214=1,IF(AND(ISNUMBER(F214),ISNUMBER(K214)),1,0),0)</f>
        <v>0</v>
      </c>
      <c r="Z214" s="53" t="n">
        <f aca="false">IF(U214&gt;=Settings!$C$8,1,0)</f>
        <v>0</v>
      </c>
      <c r="AA214" s="53" t="n">
        <f aca="false">IF(S214=1,IF(J214="Listed / Publicado",0,1),0)</f>
        <v>0</v>
      </c>
      <c r="AB214" s="53" t="n">
        <f aca="false">IF(T214=1,IF(ISNUMBER(L214),L214-G214,0),0)</f>
        <v>0</v>
      </c>
      <c r="AC214" s="53" t="n">
        <f aca="false">IF(S214=1,IF(ISNUMBER(I214),I214-G214,0),0)</f>
        <v>0</v>
      </c>
    </row>
    <row r="215" customFormat="false" ht="15" hidden="false" customHeight="false" outlineLevel="0" collapsed="false">
      <c r="B215" s="54"/>
      <c r="C215" s="55"/>
      <c r="D215" s="55"/>
      <c r="E215" s="55"/>
      <c r="F215" s="56"/>
      <c r="G215" s="57"/>
      <c r="H215" s="55"/>
      <c r="I215" s="57"/>
      <c r="J215" s="54"/>
      <c r="K215" s="56"/>
      <c r="L215" s="57"/>
      <c r="M215" s="54"/>
      <c r="N215" s="58" t="str">
        <f aca="false">IF(S215=1,IF(U215&lt;0,"",U215),IF(Y215=1,X215,""))</f>
        <v/>
      </c>
      <c r="O215" s="59" t="str">
        <f aca="false">IF(S215=1,IF(ISNUMBER(I215),I215-G215,""),"")</f>
        <v/>
      </c>
      <c r="P215" s="59" t="str">
        <f aca="false">IF(T215=1,IF(ISNUMBER(L215),L215-G215,""),"")</f>
        <v/>
      </c>
      <c r="Q215" s="60" t="str">
        <f aca="false">IF(C215="","",IF(T215=1,"✔ SOLD / VENDIDO",IF(S215=0,"— CLOSED / CERRADO",IF(U215&lt;0,"⚠ ADD DATE / AGREGA FECHA",IF(U215&gt;=Settings!$C$8,"⚠ STALE – REPRICE / ESTANCADO",IF(U215&gt;=Settings!$C$7,"● WATCH / VIGILAR","✔ FRESH / RECIENTE"))))))</f>
        <v/>
      </c>
      <c r="S215" s="53" t="n">
        <f aca="false">IF(C215="",0,IF(OR(J215="",J215="In Stock / En Inventario",J215="Listed / Publicado"),1,0))</f>
        <v>0</v>
      </c>
      <c r="T215" s="53" t="n">
        <f aca="false">IF(C215="",0,IF(J215="Sold / Vendido",1,0))</f>
        <v>0</v>
      </c>
      <c r="U215" s="53" t="n">
        <f aca="true">IF(S215=1,IF(ISNUMBER(F215),TODAY()-F215,-1),-1)</f>
        <v>-1</v>
      </c>
      <c r="V215" s="53" t="n">
        <f aca="false">IF(U215&lt;0,IF(S215=1,5,0),IF(U215&lt;=30,1,IF(U215&lt;=60,2,IF(U215&lt;=90,3,4))))</f>
        <v>0</v>
      </c>
      <c r="W215" s="53" t="n">
        <f aca="false">IF(U215&lt;0,-1000000000000000,U215+ROW()/1000000)</f>
        <v>-1000000000000000</v>
      </c>
      <c r="X215" s="53" t="n">
        <f aca="false">IF(T215=1,IF(AND(ISNUMBER(F215),ISNUMBER(K215)),K215-F215,0),0)</f>
        <v>0</v>
      </c>
      <c r="Y215" s="53" t="n">
        <f aca="false">IF(T215=1,IF(AND(ISNUMBER(F215),ISNUMBER(K215)),1,0),0)</f>
        <v>0</v>
      </c>
      <c r="Z215" s="53" t="n">
        <f aca="false">IF(U215&gt;=Settings!$C$8,1,0)</f>
        <v>0</v>
      </c>
      <c r="AA215" s="53" t="n">
        <f aca="false">IF(S215=1,IF(J215="Listed / Publicado",0,1),0)</f>
        <v>0</v>
      </c>
      <c r="AB215" s="53" t="n">
        <f aca="false">IF(T215=1,IF(ISNUMBER(L215),L215-G215,0),0)</f>
        <v>0</v>
      </c>
      <c r="AC215" s="53" t="n">
        <f aca="false">IF(S215=1,IF(ISNUMBER(I215),I215-G215,0),0)</f>
        <v>0</v>
      </c>
    </row>
    <row r="216" customFormat="false" ht="15" hidden="false" customHeight="false" outlineLevel="0" collapsed="false">
      <c r="B216" s="54"/>
      <c r="C216" s="55"/>
      <c r="D216" s="55"/>
      <c r="E216" s="55"/>
      <c r="F216" s="56"/>
      <c r="G216" s="57"/>
      <c r="H216" s="55"/>
      <c r="I216" s="57"/>
      <c r="J216" s="54"/>
      <c r="K216" s="56"/>
      <c r="L216" s="57"/>
      <c r="M216" s="54"/>
      <c r="N216" s="58" t="str">
        <f aca="false">IF(S216=1,IF(U216&lt;0,"",U216),IF(Y216=1,X216,""))</f>
        <v/>
      </c>
      <c r="O216" s="59" t="str">
        <f aca="false">IF(S216=1,IF(ISNUMBER(I216),I216-G216,""),"")</f>
        <v/>
      </c>
      <c r="P216" s="59" t="str">
        <f aca="false">IF(T216=1,IF(ISNUMBER(L216),L216-G216,""),"")</f>
        <v/>
      </c>
      <c r="Q216" s="60" t="str">
        <f aca="false">IF(C216="","",IF(T216=1,"✔ SOLD / VENDIDO",IF(S216=0,"— CLOSED / CERRADO",IF(U216&lt;0,"⚠ ADD DATE / AGREGA FECHA",IF(U216&gt;=Settings!$C$8,"⚠ STALE – REPRICE / ESTANCADO",IF(U216&gt;=Settings!$C$7,"● WATCH / VIGILAR","✔ FRESH / RECIENTE"))))))</f>
        <v/>
      </c>
      <c r="S216" s="53" t="n">
        <f aca="false">IF(C216="",0,IF(OR(J216="",J216="In Stock / En Inventario",J216="Listed / Publicado"),1,0))</f>
        <v>0</v>
      </c>
      <c r="T216" s="53" t="n">
        <f aca="false">IF(C216="",0,IF(J216="Sold / Vendido",1,0))</f>
        <v>0</v>
      </c>
      <c r="U216" s="53" t="n">
        <f aca="true">IF(S216=1,IF(ISNUMBER(F216),TODAY()-F216,-1),-1)</f>
        <v>-1</v>
      </c>
      <c r="V216" s="53" t="n">
        <f aca="false">IF(U216&lt;0,IF(S216=1,5,0),IF(U216&lt;=30,1,IF(U216&lt;=60,2,IF(U216&lt;=90,3,4))))</f>
        <v>0</v>
      </c>
      <c r="W216" s="53" t="n">
        <f aca="false">IF(U216&lt;0,-1000000000000000,U216+ROW()/1000000)</f>
        <v>-1000000000000000</v>
      </c>
      <c r="X216" s="53" t="n">
        <f aca="false">IF(T216=1,IF(AND(ISNUMBER(F216),ISNUMBER(K216)),K216-F216,0),0)</f>
        <v>0</v>
      </c>
      <c r="Y216" s="53" t="n">
        <f aca="false">IF(T216=1,IF(AND(ISNUMBER(F216),ISNUMBER(K216)),1,0),0)</f>
        <v>0</v>
      </c>
      <c r="Z216" s="53" t="n">
        <f aca="false">IF(U216&gt;=Settings!$C$8,1,0)</f>
        <v>0</v>
      </c>
      <c r="AA216" s="53" t="n">
        <f aca="false">IF(S216=1,IF(J216="Listed / Publicado",0,1),0)</f>
        <v>0</v>
      </c>
      <c r="AB216" s="53" t="n">
        <f aca="false">IF(T216=1,IF(ISNUMBER(L216),L216-G216,0),0)</f>
        <v>0</v>
      </c>
      <c r="AC216" s="53" t="n">
        <f aca="false">IF(S216=1,IF(ISNUMBER(I216),I216-G216,0),0)</f>
        <v>0</v>
      </c>
    </row>
    <row r="217" customFormat="false" ht="15" hidden="false" customHeight="false" outlineLevel="0" collapsed="false">
      <c r="B217" s="54"/>
      <c r="C217" s="55"/>
      <c r="D217" s="55"/>
      <c r="E217" s="55"/>
      <c r="F217" s="56"/>
      <c r="G217" s="57"/>
      <c r="H217" s="55"/>
      <c r="I217" s="57"/>
      <c r="J217" s="54"/>
      <c r="K217" s="56"/>
      <c r="L217" s="57"/>
      <c r="M217" s="54"/>
      <c r="N217" s="58" t="str">
        <f aca="false">IF(S217=1,IF(U217&lt;0,"",U217),IF(Y217=1,X217,""))</f>
        <v/>
      </c>
      <c r="O217" s="59" t="str">
        <f aca="false">IF(S217=1,IF(ISNUMBER(I217),I217-G217,""),"")</f>
        <v/>
      </c>
      <c r="P217" s="59" t="str">
        <f aca="false">IF(T217=1,IF(ISNUMBER(L217),L217-G217,""),"")</f>
        <v/>
      </c>
      <c r="Q217" s="60" t="str">
        <f aca="false">IF(C217="","",IF(T217=1,"✔ SOLD / VENDIDO",IF(S217=0,"— CLOSED / CERRADO",IF(U217&lt;0,"⚠ ADD DATE / AGREGA FECHA",IF(U217&gt;=Settings!$C$8,"⚠ STALE – REPRICE / ESTANCADO",IF(U217&gt;=Settings!$C$7,"● WATCH / VIGILAR","✔ FRESH / RECIENTE"))))))</f>
        <v/>
      </c>
      <c r="S217" s="53" t="n">
        <f aca="false">IF(C217="",0,IF(OR(J217="",J217="In Stock / En Inventario",J217="Listed / Publicado"),1,0))</f>
        <v>0</v>
      </c>
      <c r="T217" s="53" t="n">
        <f aca="false">IF(C217="",0,IF(J217="Sold / Vendido",1,0))</f>
        <v>0</v>
      </c>
      <c r="U217" s="53" t="n">
        <f aca="true">IF(S217=1,IF(ISNUMBER(F217),TODAY()-F217,-1),-1)</f>
        <v>-1</v>
      </c>
      <c r="V217" s="53" t="n">
        <f aca="false">IF(U217&lt;0,IF(S217=1,5,0),IF(U217&lt;=30,1,IF(U217&lt;=60,2,IF(U217&lt;=90,3,4))))</f>
        <v>0</v>
      </c>
      <c r="W217" s="53" t="n">
        <f aca="false">IF(U217&lt;0,-1000000000000000,U217+ROW()/1000000)</f>
        <v>-1000000000000000</v>
      </c>
      <c r="X217" s="53" t="n">
        <f aca="false">IF(T217=1,IF(AND(ISNUMBER(F217),ISNUMBER(K217)),K217-F217,0),0)</f>
        <v>0</v>
      </c>
      <c r="Y217" s="53" t="n">
        <f aca="false">IF(T217=1,IF(AND(ISNUMBER(F217),ISNUMBER(K217)),1,0),0)</f>
        <v>0</v>
      </c>
      <c r="Z217" s="53" t="n">
        <f aca="false">IF(U217&gt;=Settings!$C$8,1,0)</f>
        <v>0</v>
      </c>
      <c r="AA217" s="53" t="n">
        <f aca="false">IF(S217=1,IF(J217="Listed / Publicado",0,1),0)</f>
        <v>0</v>
      </c>
      <c r="AB217" s="53" t="n">
        <f aca="false">IF(T217=1,IF(ISNUMBER(L217),L217-G217,0),0)</f>
        <v>0</v>
      </c>
      <c r="AC217" s="53" t="n">
        <f aca="false">IF(S217=1,IF(ISNUMBER(I217),I217-G217,0),0)</f>
        <v>0</v>
      </c>
    </row>
    <row r="218" customFormat="false" ht="15" hidden="false" customHeight="false" outlineLevel="0" collapsed="false">
      <c r="B218" s="54"/>
      <c r="C218" s="55"/>
      <c r="D218" s="55"/>
      <c r="E218" s="55"/>
      <c r="F218" s="56"/>
      <c r="G218" s="57"/>
      <c r="H218" s="55"/>
      <c r="I218" s="57"/>
      <c r="J218" s="54"/>
      <c r="K218" s="56"/>
      <c r="L218" s="57"/>
      <c r="M218" s="54"/>
      <c r="N218" s="58" t="str">
        <f aca="false">IF(S218=1,IF(U218&lt;0,"",U218),IF(Y218=1,X218,""))</f>
        <v/>
      </c>
      <c r="O218" s="59" t="str">
        <f aca="false">IF(S218=1,IF(ISNUMBER(I218),I218-G218,""),"")</f>
        <v/>
      </c>
      <c r="P218" s="59" t="str">
        <f aca="false">IF(T218=1,IF(ISNUMBER(L218),L218-G218,""),"")</f>
        <v/>
      </c>
      <c r="Q218" s="60" t="str">
        <f aca="false">IF(C218="","",IF(T218=1,"✔ SOLD / VENDIDO",IF(S218=0,"— CLOSED / CERRADO",IF(U218&lt;0,"⚠ ADD DATE / AGREGA FECHA",IF(U218&gt;=Settings!$C$8,"⚠ STALE – REPRICE / ESTANCADO",IF(U218&gt;=Settings!$C$7,"● WATCH / VIGILAR","✔ FRESH / RECIENTE"))))))</f>
        <v/>
      </c>
      <c r="S218" s="53" t="n">
        <f aca="false">IF(C218="",0,IF(OR(J218="",J218="In Stock / En Inventario",J218="Listed / Publicado"),1,0))</f>
        <v>0</v>
      </c>
      <c r="T218" s="53" t="n">
        <f aca="false">IF(C218="",0,IF(J218="Sold / Vendido",1,0))</f>
        <v>0</v>
      </c>
      <c r="U218" s="53" t="n">
        <f aca="true">IF(S218=1,IF(ISNUMBER(F218),TODAY()-F218,-1),-1)</f>
        <v>-1</v>
      </c>
      <c r="V218" s="53" t="n">
        <f aca="false">IF(U218&lt;0,IF(S218=1,5,0),IF(U218&lt;=30,1,IF(U218&lt;=60,2,IF(U218&lt;=90,3,4))))</f>
        <v>0</v>
      </c>
      <c r="W218" s="53" t="n">
        <f aca="false">IF(U218&lt;0,-1000000000000000,U218+ROW()/1000000)</f>
        <v>-1000000000000000</v>
      </c>
      <c r="X218" s="53" t="n">
        <f aca="false">IF(T218=1,IF(AND(ISNUMBER(F218),ISNUMBER(K218)),K218-F218,0),0)</f>
        <v>0</v>
      </c>
      <c r="Y218" s="53" t="n">
        <f aca="false">IF(T218=1,IF(AND(ISNUMBER(F218),ISNUMBER(K218)),1,0),0)</f>
        <v>0</v>
      </c>
      <c r="Z218" s="53" t="n">
        <f aca="false">IF(U218&gt;=Settings!$C$8,1,0)</f>
        <v>0</v>
      </c>
      <c r="AA218" s="53" t="n">
        <f aca="false">IF(S218=1,IF(J218="Listed / Publicado",0,1),0)</f>
        <v>0</v>
      </c>
      <c r="AB218" s="53" t="n">
        <f aca="false">IF(T218=1,IF(ISNUMBER(L218),L218-G218,0),0)</f>
        <v>0</v>
      </c>
      <c r="AC218" s="53" t="n">
        <f aca="false">IF(S218=1,IF(ISNUMBER(I218),I218-G218,0),0)</f>
        <v>0</v>
      </c>
    </row>
    <row r="219" customFormat="false" ht="15" hidden="false" customHeight="false" outlineLevel="0" collapsed="false">
      <c r="B219" s="54"/>
      <c r="C219" s="55"/>
      <c r="D219" s="55"/>
      <c r="E219" s="55"/>
      <c r="F219" s="56"/>
      <c r="G219" s="57"/>
      <c r="H219" s="55"/>
      <c r="I219" s="57"/>
      <c r="J219" s="54"/>
      <c r="K219" s="56"/>
      <c r="L219" s="57"/>
      <c r="M219" s="54"/>
      <c r="N219" s="58" t="str">
        <f aca="false">IF(S219=1,IF(U219&lt;0,"",U219),IF(Y219=1,X219,""))</f>
        <v/>
      </c>
      <c r="O219" s="59" t="str">
        <f aca="false">IF(S219=1,IF(ISNUMBER(I219),I219-G219,""),"")</f>
        <v/>
      </c>
      <c r="P219" s="59" t="str">
        <f aca="false">IF(T219=1,IF(ISNUMBER(L219),L219-G219,""),"")</f>
        <v/>
      </c>
      <c r="Q219" s="60" t="str">
        <f aca="false">IF(C219="","",IF(T219=1,"✔ SOLD / VENDIDO",IF(S219=0,"— CLOSED / CERRADO",IF(U219&lt;0,"⚠ ADD DATE / AGREGA FECHA",IF(U219&gt;=Settings!$C$8,"⚠ STALE – REPRICE / ESTANCADO",IF(U219&gt;=Settings!$C$7,"● WATCH / VIGILAR","✔ FRESH / RECIENTE"))))))</f>
        <v/>
      </c>
      <c r="S219" s="53" t="n">
        <f aca="false">IF(C219="",0,IF(OR(J219="",J219="In Stock / En Inventario",J219="Listed / Publicado"),1,0))</f>
        <v>0</v>
      </c>
      <c r="T219" s="53" t="n">
        <f aca="false">IF(C219="",0,IF(J219="Sold / Vendido",1,0))</f>
        <v>0</v>
      </c>
      <c r="U219" s="53" t="n">
        <f aca="true">IF(S219=1,IF(ISNUMBER(F219),TODAY()-F219,-1),-1)</f>
        <v>-1</v>
      </c>
      <c r="V219" s="53" t="n">
        <f aca="false">IF(U219&lt;0,IF(S219=1,5,0),IF(U219&lt;=30,1,IF(U219&lt;=60,2,IF(U219&lt;=90,3,4))))</f>
        <v>0</v>
      </c>
      <c r="W219" s="53" t="n">
        <f aca="false">IF(U219&lt;0,-1000000000000000,U219+ROW()/1000000)</f>
        <v>-1000000000000000</v>
      </c>
      <c r="X219" s="53" t="n">
        <f aca="false">IF(T219=1,IF(AND(ISNUMBER(F219),ISNUMBER(K219)),K219-F219,0),0)</f>
        <v>0</v>
      </c>
      <c r="Y219" s="53" t="n">
        <f aca="false">IF(T219=1,IF(AND(ISNUMBER(F219),ISNUMBER(K219)),1,0),0)</f>
        <v>0</v>
      </c>
      <c r="Z219" s="53" t="n">
        <f aca="false">IF(U219&gt;=Settings!$C$8,1,0)</f>
        <v>0</v>
      </c>
      <c r="AA219" s="53" t="n">
        <f aca="false">IF(S219=1,IF(J219="Listed / Publicado",0,1),0)</f>
        <v>0</v>
      </c>
      <c r="AB219" s="53" t="n">
        <f aca="false">IF(T219=1,IF(ISNUMBER(L219),L219-G219,0),0)</f>
        <v>0</v>
      </c>
      <c r="AC219" s="53" t="n">
        <f aca="false">IF(S219=1,IF(ISNUMBER(I219),I219-G219,0),0)</f>
        <v>0</v>
      </c>
    </row>
    <row r="220" customFormat="false" ht="15" hidden="false" customHeight="false" outlineLevel="0" collapsed="false">
      <c r="B220" s="54"/>
      <c r="C220" s="55"/>
      <c r="D220" s="55"/>
      <c r="E220" s="55"/>
      <c r="F220" s="56"/>
      <c r="G220" s="57"/>
      <c r="H220" s="55"/>
      <c r="I220" s="57"/>
      <c r="J220" s="54"/>
      <c r="K220" s="56"/>
      <c r="L220" s="57"/>
      <c r="M220" s="54"/>
      <c r="N220" s="58" t="str">
        <f aca="false">IF(S220=1,IF(U220&lt;0,"",U220),IF(Y220=1,X220,""))</f>
        <v/>
      </c>
      <c r="O220" s="59" t="str">
        <f aca="false">IF(S220=1,IF(ISNUMBER(I220),I220-G220,""),"")</f>
        <v/>
      </c>
      <c r="P220" s="59" t="str">
        <f aca="false">IF(T220=1,IF(ISNUMBER(L220),L220-G220,""),"")</f>
        <v/>
      </c>
      <c r="Q220" s="60" t="str">
        <f aca="false">IF(C220="","",IF(T220=1,"✔ SOLD / VENDIDO",IF(S220=0,"— CLOSED / CERRADO",IF(U220&lt;0,"⚠ ADD DATE / AGREGA FECHA",IF(U220&gt;=Settings!$C$8,"⚠ STALE – REPRICE / ESTANCADO",IF(U220&gt;=Settings!$C$7,"● WATCH / VIGILAR","✔ FRESH / RECIENTE"))))))</f>
        <v/>
      </c>
      <c r="S220" s="53" t="n">
        <f aca="false">IF(C220="",0,IF(OR(J220="",J220="In Stock / En Inventario",J220="Listed / Publicado"),1,0))</f>
        <v>0</v>
      </c>
      <c r="T220" s="53" t="n">
        <f aca="false">IF(C220="",0,IF(J220="Sold / Vendido",1,0))</f>
        <v>0</v>
      </c>
      <c r="U220" s="53" t="n">
        <f aca="true">IF(S220=1,IF(ISNUMBER(F220),TODAY()-F220,-1),-1)</f>
        <v>-1</v>
      </c>
      <c r="V220" s="53" t="n">
        <f aca="false">IF(U220&lt;0,IF(S220=1,5,0),IF(U220&lt;=30,1,IF(U220&lt;=60,2,IF(U220&lt;=90,3,4))))</f>
        <v>0</v>
      </c>
      <c r="W220" s="53" t="n">
        <f aca="false">IF(U220&lt;0,-1000000000000000,U220+ROW()/1000000)</f>
        <v>-1000000000000000</v>
      </c>
      <c r="X220" s="53" t="n">
        <f aca="false">IF(T220=1,IF(AND(ISNUMBER(F220),ISNUMBER(K220)),K220-F220,0),0)</f>
        <v>0</v>
      </c>
      <c r="Y220" s="53" t="n">
        <f aca="false">IF(T220=1,IF(AND(ISNUMBER(F220),ISNUMBER(K220)),1,0),0)</f>
        <v>0</v>
      </c>
      <c r="Z220" s="53" t="n">
        <f aca="false">IF(U220&gt;=Settings!$C$8,1,0)</f>
        <v>0</v>
      </c>
      <c r="AA220" s="53" t="n">
        <f aca="false">IF(S220=1,IF(J220="Listed / Publicado",0,1),0)</f>
        <v>0</v>
      </c>
      <c r="AB220" s="53" t="n">
        <f aca="false">IF(T220=1,IF(ISNUMBER(L220),L220-G220,0),0)</f>
        <v>0</v>
      </c>
      <c r="AC220" s="53" t="n">
        <f aca="false">IF(S220=1,IF(ISNUMBER(I220),I220-G220,0),0)</f>
        <v>0</v>
      </c>
    </row>
    <row r="221" customFormat="false" ht="15" hidden="false" customHeight="false" outlineLevel="0" collapsed="false">
      <c r="B221" s="54"/>
      <c r="C221" s="55"/>
      <c r="D221" s="55"/>
      <c r="E221" s="55"/>
      <c r="F221" s="56"/>
      <c r="G221" s="57"/>
      <c r="H221" s="55"/>
      <c r="I221" s="57"/>
      <c r="J221" s="54"/>
      <c r="K221" s="56"/>
      <c r="L221" s="57"/>
      <c r="M221" s="54"/>
      <c r="N221" s="58" t="str">
        <f aca="false">IF(S221=1,IF(U221&lt;0,"",U221),IF(Y221=1,X221,""))</f>
        <v/>
      </c>
      <c r="O221" s="59" t="str">
        <f aca="false">IF(S221=1,IF(ISNUMBER(I221),I221-G221,""),"")</f>
        <v/>
      </c>
      <c r="P221" s="59" t="str">
        <f aca="false">IF(T221=1,IF(ISNUMBER(L221),L221-G221,""),"")</f>
        <v/>
      </c>
      <c r="Q221" s="60" t="str">
        <f aca="false">IF(C221="","",IF(T221=1,"✔ SOLD / VENDIDO",IF(S221=0,"— CLOSED / CERRADO",IF(U221&lt;0,"⚠ ADD DATE / AGREGA FECHA",IF(U221&gt;=Settings!$C$8,"⚠ STALE – REPRICE / ESTANCADO",IF(U221&gt;=Settings!$C$7,"● WATCH / VIGILAR","✔ FRESH / RECIENTE"))))))</f>
        <v/>
      </c>
      <c r="S221" s="53" t="n">
        <f aca="false">IF(C221="",0,IF(OR(J221="",J221="In Stock / En Inventario",J221="Listed / Publicado"),1,0))</f>
        <v>0</v>
      </c>
      <c r="T221" s="53" t="n">
        <f aca="false">IF(C221="",0,IF(J221="Sold / Vendido",1,0))</f>
        <v>0</v>
      </c>
      <c r="U221" s="53" t="n">
        <f aca="true">IF(S221=1,IF(ISNUMBER(F221),TODAY()-F221,-1),-1)</f>
        <v>-1</v>
      </c>
      <c r="V221" s="53" t="n">
        <f aca="false">IF(U221&lt;0,IF(S221=1,5,0),IF(U221&lt;=30,1,IF(U221&lt;=60,2,IF(U221&lt;=90,3,4))))</f>
        <v>0</v>
      </c>
      <c r="W221" s="53" t="n">
        <f aca="false">IF(U221&lt;0,-1000000000000000,U221+ROW()/1000000)</f>
        <v>-1000000000000000</v>
      </c>
      <c r="X221" s="53" t="n">
        <f aca="false">IF(T221=1,IF(AND(ISNUMBER(F221),ISNUMBER(K221)),K221-F221,0),0)</f>
        <v>0</v>
      </c>
      <c r="Y221" s="53" t="n">
        <f aca="false">IF(T221=1,IF(AND(ISNUMBER(F221),ISNUMBER(K221)),1,0),0)</f>
        <v>0</v>
      </c>
      <c r="Z221" s="53" t="n">
        <f aca="false">IF(U221&gt;=Settings!$C$8,1,0)</f>
        <v>0</v>
      </c>
      <c r="AA221" s="53" t="n">
        <f aca="false">IF(S221=1,IF(J221="Listed / Publicado",0,1),0)</f>
        <v>0</v>
      </c>
      <c r="AB221" s="53" t="n">
        <f aca="false">IF(T221=1,IF(ISNUMBER(L221),L221-G221,0),0)</f>
        <v>0</v>
      </c>
      <c r="AC221" s="53" t="n">
        <f aca="false">IF(S221=1,IF(ISNUMBER(I221),I221-G221,0),0)</f>
        <v>0</v>
      </c>
    </row>
    <row r="222" customFormat="false" ht="15" hidden="false" customHeight="false" outlineLevel="0" collapsed="false">
      <c r="B222" s="54"/>
      <c r="C222" s="55"/>
      <c r="D222" s="55"/>
      <c r="E222" s="55"/>
      <c r="F222" s="56"/>
      <c r="G222" s="57"/>
      <c r="H222" s="55"/>
      <c r="I222" s="57"/>
      <c r="J222" s="54"/>
      <c r="K222" s="56"/>
      <c r="L222" s="57"/>
      <c r="M222" s="54"/>
      <c r="N222" s="58" t="str">
        <f aca="false">IF(S222=1,IF(U222&lt;0,"",U222),IF(Y222=1,X222,""))</f>
        <v/>
      </c>
      <c r="O222" s="59" t="str">
        <f aca="false">IF(S222=1,IF(ISNUMBER(I222),I222-G222,""),"")</f>
        <v/>
      </c>
      <c r="P222" s="59" t="str">
        <f aca="false">IF(T222=1,IF(ISNUMBER(L222),L222-G222,""),"")</f>
        <v/>
      </c>
      <c r="Q222" s="60" t="str">
        <f aca="false">IF(C222="","",IF(T222=1,"✔ SOLD / VENDIDO",IF(S222=0,"— CLOSED / CERRADO",IF(U222&lt;0,"⚠ ADD DATE / AGREGA FECHA",IF(U222&gt;=Settings!$C$8,"⚠ STALE – REPRICE / ESTANCADO",IF(U222&gt;=Settings!$C$7,"● WATCH / VIGILAR","✔ FRESH / RECIENTE"))))))</f>
        <v/>
      </c>
      <c r="S222" s="53" t="n">
        <f aca="false">IF(C222="",0,IF(OR(J222="",J222="In Stock / En Inventario",J222="Listed / Publicado"),1,0))</f>
        <v>0</v>
      </c>
      <c r="T222" s="53" t="n">
        <f aca="false">IF(C222="",0,IF(J222="Sold / Vendido",1,0))</f>
        <v>0</v>
      </c>
      <c r="U222" s="53" t="n">
        <f aca="true">IF(S222=1,IF(ISNUMBER(F222),TODAY()-F222,-1),-1)</f>
        <v>-1</v>
      </c>
      <c r="V222" s="53" t="n">
        <f aca="false">IF(U222&lt;0,IF(S222=1,5,0),IF(U222&lt;=30,1,IF(U222&lt;=60,2,IF(U222&lt;=90,3,4))))</f>
        <v>0</v>
      </c>
      <c r="W222" s="53" t="n">
        <f aca="false">IF(U222&lt;0,-1000000000000000,U222+ROW()/1000000)</f>
        <v>-1000000000000000</v>
      </c>
      <c r="X222" s="53" t="n">
        <f aca="false">IF(T222=1,IF(AND(ISNUMBER(F222),ISNUMBER(K222)),K222-F222,0),0)</f>
        <v>0</v>
      </c>
      <c r="Y222" s="53" t="n">
        <f aca="false">IF(T222=1,IF(AND(ISNUMBER(F222),ISNUMBER(K222)),1,0),0)</f>
        <v>0</v>
      </c>
      <c r="Z222" s="53" t="n">
        <f aca="false">IF(U222&gt;=Settings!$C$8,1,0)</f>
        <v>0</v>
      </c>
      <c r="AA222" s="53" t="n">
        <f aca="false">IF(S222=1,IF(J222="Listed / Publicado",0,1),0)</f>
        <v>0</v>
      </c>
      <c r="AB222" s="53" t="n">
        <f aca="false">IF(T222=1,IF(ISNUMBER(L222),L222-G222,0),0)</f>
        <v>0</v>
      </c>
      <c r="AC222" s="53" t="n">
        <f aca="false">IF(S222=1,IF(ISNUMBER(I222),I222-G222,0),0)</f>
        <v>0</v>
      </c>
    </row>
    <row r="223" customFormat="false" ht="15" hidden="false" customHeight="false" outlineLevel="0" collapsed="false">
      <c r="B223" s="54"/>
      <c r="C223" s="55"/>
      <c r="D223" s="55"/>
      <c r="E223" s="55"/>
      <c r="F223" s="56"/>
      <c r="G223" s="57"/>
      <c r="H223" s="55"/>
      <c r="I223" s="57"/>
      <c r="J223" s="54"/>
      <c r="K223" s="56"/>
      <c r="L223" s="57"/>
      <c r="M223" s="54"/>
      <c r="N223" s="58" t="str">
        <f aca="false">IF(S223=1,IF(U223&lt;0,"",U223),IF(Y223=1,X223,""))</f>
        <v/>
      </c>
      <c r="O223" s="59" t="str">
        <f aca="false">IF(S223=1,IF(ISNUMBER(I223),I223-G223,""),"")</f>
        <v/>
      </c>
      <c r="P223" s="59" t="str">
        <f aca="false">IF(T223=1,IF(ISNUMBER(L223),L223-G223,""),"")</f>
        <v/>
      </c>
      <c r="Q223" s="60" t="str">
        <f aca="false">IF(C223="","",IF(T223=1,"✔ SOLD / VENDIDO",IF(S223=0,"— CLOSED / CERRADO",IF(U223&lt;0,"⚠ ADD DATE / AGREGA FECHA",IF(U223&gt;=Settings!$C$8,"⚠ STALE – REPRICE / ESTANCADO",IF(U223&gt;=Settings!$C$7,"● WATCH / VIGILAR","✔ FRESH / RECIENTE"))))))</f>
        <v/>
      </c>
      <c r="S223" s="53" t="n">
        <f aca="false">IF(C223="",0,IF(OR(J223="",J223="In Stock / En Inventario",J223="Listed / Publicado"),1,0))</f>
        <v>0</v>
      </c>
      <c r="T223" s="53" t="n">
        <f aca="false">IF(C223="",0,IF(J223="Sold / Vendido",1,0))</f>
        <v>0</v>
      </c>
      <c r="U223" s="53" t="n">
        <f aca="true">IF(S223=1,IF(ISNUMBER(F223),TODAY()-F223,-1),-1)</f>
        <v>-1</v>
      </c>
      <c r="V223" s="53" t="n">
        <f aca="false">IF(U223&lt;0,IF(S223=1,5,0),IF(U223&lt;=30,1,IF(U223&lt;=60,2,IF(U223&lt;=90,3,4))))</f>
        <v>0</v>
      </c>
      <c r="W223" s="53" t="n">
        <f aca="false">IF(U223&lt;0,-1000000000000000,U223+ROW()/1000000)</f>
        <v>-1000000000000000</v>
      </c>
      <c r="X223" s="53" t="n">
        <f aca="false">IF(T223=1,IF(AND(ISNUMBER(F223),ISNUMBER(K223)),K223-F223,0),0)</f>
        <v>0</v>
      </c>
      <c r="Y223" s="53" t="n">
        <f aca="false">IF(T223=1,IF(AND(ISNUMBER(F223),ISNUMBER(K223)),1,0),0)</f>
        <v>0</v>
      </c>
      <c r="Z223" s="53" t="n">
        <f aca="false">IF(U223&gt;=Settings!$C$8,1,0)</f>
        <v>0</v>
      </c>
      <c r="AA223" s="53" t="n">
        <f aca="false">IF(S223=1,IF(J223="Listed / Publicado",0,1),0)</f>
        <v>0</v>
      </c>
      <c r="AB223" s="53" t="n">
        <f aca="false">IF(T223=1,IF(ISNUMBER(L223),L223-G223,0),0)</f>
        <v>0</v>
      </c>
      <c r="AC223" s="53" t="n">
        <f aca="false">IF(S223=1,IF(ISNUMBER(I223),I223-G223,0),0)</f>
        <v>0</v>
      </c>
    </row>
    <row r="224" customFormat="false" ht="15" hidden="false" customHeight="false" outlineLevel="0" collapsed="false">
      <c r="B224" s="54"/>
      <c r="C224" s="55"/>
      <c r="D224" s="55"/>
      <c r="E224" s="55"/>
      <c r="F224" s="56"/>
      <c r="G224" s="57"/>
      <c r="H224" s="55"/>
      <c r="I224" s="57"/>
      <c r="J224" s="54"/>
      <c r="K224" s="56"/>
      <c r="L224" s="57"/>
      <c r="M224" s="54"/>
      <c r="N224" s="58" t="str">
        <f aca="false">IF(S224=1,IF(U224&lt;0,"",U224),IF(Y224=1,X224,""))</f>
        <v/>
      </c>
      <c r="O224" s="59" t="str">
        <f aca="false">IF(S224=1,IF(ISNUMBER(I224),I224-G224,""),"")</f>
        <v/>
      </c>
      <c r="P224" s="59" t="str">
        <f aca="false">IF(T224=1,IF(ISNUMBER(L224),L224-G224,""),"")</f>
        <v/>
      </c>
      <c r="Q224" s="60" t="str">
        <f aca="false">IF(C224="","",IF(T224=1,"✔ SOLD / VENDIDO",IF(S224=0,"— CLOSED / CERRADO",IF(U224&lt;0,"⚠ ADD DATE / AGREGA FECHA",IF(U224&gt;=Settings!$C$8,"⚠ STALE – REPRICE / ESTANCADO",IF(U224&gt;=Settings!$C$7,"● WATCH / VIGILAR","✔ FRESH / RECIENTE"))))))</f>
        <v/>
      </c>
      <c r="S224" s="53" t="n">
        <f aca="false">IF(C224="",0,IF(OR(J224="",J224="In Stock / En Inventario",J224="Listed / Publicado"),1,0))</f>
        <v>0</v>
      </c>
      <c r="T224" s="53" t="n">
        <f aca="false">IF(C224="",0,IF(J224="Sold / Vendido",1,0))</f>
        <v>0</v>
      </c>
      <c r="U224" s="53" t="n">
        <f aca="true">IF(S224=1,IF(ISNUMBER(F224),TODAY()-F224,-1),-1)</f>
        <v>-1</v>
      </c>
      <c r="V224" s="53" t="n">
        <f aca="false">IF(U224&lt;0,IF(S224=1,5,0),IF(U224&lt;=30,1,IF(U224&lt;=60,2,IF(U224&lt;=90,3,4))))</f>
        <v>0</v>
      </c>
      <c r="W224" s="53" t="n">
        <f aca="false">IF(U224&lt;0,-1000000000000000,U224+ROW()/1000000)</f>
        <v>-1000000000000000</v>
      </c>
      <c r="X224" s="53" t="n">
        <f aca="false">IF(T224=1,IF(AND(ISNUMBER(F224),ISNUMBER(K224)),K224-F224,0),0)</f>
        <v>0</v>
      </c>
      <c r="Y224" s="53" t="n">
        <f aca="false">IF(T224=1,IF(AND(ISNUMBER(F224),ISNUMBER(K224)),1,0),0)</f>
        <v>0</v>
      </c>
      <c r="Z224" s="53" t="n">
        <f aca="false">IF(U224&gt;=Settings!$C$8,1,0)</f>
        <v>0</v>
      </c>
      <c r="AA224" s="53" t="n">
        <f aca="false">IF(S224=1,IF(J224="Listed / Publicado",0,1),0)</f>
        <v>0</v>
      </c>
      <c r="AB224" s="53" t="n">
        <f aca="false">IF(T224=1,IF(ISNUMBER(L224),L224-G224,0),0)</f>
        <v>0</v>
      </c>
      <c r="AC224" s="53" t="n">
        <f aca="false">IF(S224=1,IF(ISNUMBER(I224),I224-G224,0),0)</f>
        <v>0</v>
      </c>
    </row>
    <row r="225" customFormat="false" ht="15" hidden="false" customHeight="false" outlineLevel="0" collapsed="false">
      <c r="B225" s="54"/>
      <c r="C225" s="55"/>
      <c r="D225" s="55"/>
      <c r="E225" s="55"/>
      <c r="F225" s="56"/>
      <c r="G225" s="57"/>
      <c r="H225" s="55"/>
      <c r="I225" s="57"/>
      <c r="J225" s="54"/>
      <c r="K225" s="56"/>
      <c r="L225" s="57"/>
      <c r="M225" s="54"/>
      <c r="N225" s="58" t="str">
        <f aca="false">IF(S225=1,IF(U225&lt;0,"",U225),IF(Y225=1,X225,""))</f>
        <v/>
      </c>
      <c r="O225" s="59" t="str">
        <f aca="false">IF(S225=1,IF(ISNUMBER(I225),I225-G225,""),"")</f>
        <v/>
      </c>
      <c r="P225" s="59" t="str">
        <f aca="false">IF(T225=1,IF(ISNUMBER(L225),L225-G225,""),"")</f>
        <v/>
      </c>
      <c r="Q225" s="60" t="str">
        <f aca="false">IF(C225="","",IF(T225=1,"✔ SOLD / VENDIDO",IF(S225=0,"— CLOSED / CERRADO",IF(U225&lt;0,"⚠ ADD DATE / AGREGA FECHA",IF(U225&gt;=Settings!$C$8,"⚠ STALE – REPRICE / ESTANCADO",IF(U225&gt;=Settings!$C$7,"● WATCH / VIGILAR","✔ FRESH / RECIENTE"))))))</f>
        <v/>
      </c>
      <c r="S225" s="53" t="n">
        <f aca="false">IF(C225="",0,IF(OR(J225="",J225="In Stock / En Inventario",J225="Listed / Publicado"),1,0))</f>
        <v>0</v>
      </c>
      <c r="T225" s="53" t="n">
        <f aca="false">IF(C225="",0,IF(J225="Sold / Vendido",1,0))</f>
        <v>0</v>
      </c>
      <c r="U225" s="53" t="n">
        <f aca="true">IF(S225=1,IF(ISNUMBER(F225),TODAY()-F225,-1),-1)</f>
        <v>-1</v>
      </c>
      <c r="V225" s="53" t="n">
        <f aca="false">IF(U225&lt;0,IF(S225=1,5,0),IF(U225&lt;=30,1,IF(U225&lt;=60,2,IF(U225&lt;=90,3,4))))</f>
        <v>0</v>
      </c>
      <c r="W225" s="53" t="n">
        <f aca="false">IF(U225&lt;0,-1000000000000000,U225+ROW()/1000000)</f>
        <v>-1000000000000000</v>
      </c>
      <c r="X225" s="53" t="n">
        <f aca="false">IF(T225=1,IF(AND(ISNUMBER(F225),ISNUMBER(K225)),K225-F225,0),0)</f>
        <v>0</v>
      </c>
      <c r="Y225" s="53" t="n">
        <f aca="false">IF(T225=1,IF(AND(ISNUMBER(F225),ISNUMBER(K225)),1,0),0)</f>
        <v>0</v>
      </c>
      <c r="Z225" s="53" t="n">
        <f aca="false">IF(U225&gt;=Settings!$C$8,1,0)</f>
        <v>0</v>
      </c>
      <c r="AA225" s="53" t="n">
        <f aca="false">IF(S225=1,IF(J225="Listed / Publicado",0,1),0)</f>
        <v>0</v>
      </c>
      <c r="AB225" s="53" t="n">
        <f aca="false">IF(T225=1,IF(ISNUMBER(L225),L225-G225,0),0)</f>
        <v>0</v>
      </c>
      <c r="AC225" s="53" t="n">
        <f aca="false">IF(S225=1,IF(ISNUMBER(I225),I225-G225,0),0)</f>
        <v>0</v>
      </c>
    </row>
    <row r="226" customFormat="false" ht="15" hidden="false" customHeight="false" outlineLevel="0" collapsed="false">
      <c r="B226" s="54"/>
      <c r="C226" s="55"/>
      <c r="D226" s="55"/>
      <c r="E226" s="55"/>
      <c r="F226" s="56"/>
      <c r="G226" s="57"/>
      <c r="H226" s="55"/>
      <c r="I226" s="57"/>
      <c r="J226" s="54"/>
      <c r="K226" s="56"/>
      <c r="L226" s="57"/>
      <c r="M226" s="54"/>
      <c r="N226" s="58" t="str">
        <f aca="false">IF(S226=1,IF(U226&lt;0,"",U226),IF(Y226=1,X226,""))</f>
        <v/>
      </c>
      <c r="O226" s="59" t="str">
        <f aca="false">IF(S226=1,IF(ISNUMBER(I226),I226-G226,""),"")</f>
        <v/>
      </c>
      <c r="P226" s="59" t="str">
        <f aca="false">IF(T226=1,IF(ISNUMBER(L226),L226-G226,""),"")</f>
        <v/>
      </c>
      <c r="Q226" s="60" t="str">
        <f aca="false">IF(C226="","",IF(T226=1,"✔ SOLD / VENDIDO",IF(S226=0,"— CLOSED / CERRADO",IF(U226&lt;0,"⚠ ADD DATE / AGREGA FECHA",IF(U226&gt;=Settings!$C$8,"⚠ STALE – REPRICE / ESTANCADO",IF(U226&gt;=Settings!$C$7,"● WATCH / VIGILAR","✔ FRESH / RECIENTE"))))))</f>
        <v/>
      </c>
      <c r="S226" s="53" t="n">
        <f aca="false">IF(C226="",0,IF(OR(J226="",J226="In Stock / En Inventario",J226="Listed / Publicado"),1,0))</f>
        <v>0</v>
      </c>
      <c r="T226" s="53" t="n">
        <f aca="false">IF(C226="",0,IF(J226="Sold / Vendido",1,0))</f>
        <v>0</v>
      </c>
      <c r="U226" s="53" t="n">
        <f aca="true">IF(S226=1,IF(ISNUMBER(F226),TODAY()-F226,-1),-1)</f>
        <v>-1</v>
      </c>
      <c r="V226" s="53" t="n">
        <f aca="false">IF(U226&lt;0,IF(S226=1,5,0),IF(U226&lt;=30,1,IF(U226&lt;=60,2,IF(U226&lt;=90,3,4))))</f>
        <v>0</v>
      </c>
      <c r="W226" s="53" t="n">
        <f aca="false">IF(U226&lt;0,-1000000000000000,U226+ROW()/1000000)</f>
        <v>-1000000000000000</v>
      </c>
      <c r="X226" s="53" t="n">
        <f aca="false">IF(T226=1,IF(AND(ISNUMBER(F226),ISNUMBER(K226)),K226-F226,0),0)</f>
        <v>0</v>
      </c>
      <c r="Y226" s="53" t="n">
        <f aca="false">IF(T226=1,IF(AND(ISNUMBER(F226),ISNUMBER(K226)),1,0),0)</f>
        <v>0</v>
      </c>
      <c r="Z226" s="53" t="n">
        <f aca="false">IF(U226&gt;=Settings!$C$8,1,0)</f>
        <v>0</v>
      </c>
      <c r="AA226" s="53" t="n">
        <f aca="false">IF(S226=1,IF(J226="Listed / Publicado",0,1),0)</f>
        <v>0</v>
      </c>
      <c r="AB226" s="53" t="n">
        <f aca="false">IF(T226=1,IF(ISNUMBER(L226),L226-G226,0),0)</f>
        <v>0</v>
      </c>
      <c r="AC226" s="53" t="n">
        <f aca="false">IF(S226=1,IF(ISNUMBER(I226),I226-G226,0),0)</f>
        <v>0</v>
      </c>
    </row>
    <row r="227" customFormat="false" ht="15" hidden="false" customHeight="false" outlineLevel="0" collapsed="false">
      <c r="B227" s="54"/>
      <c r="C227" s="55"/>
      <c r="D227" s="55"/>
      <c r="E227" s="55"/>
      <c r="F227" s="56"/>
      <c r="G227" s="57"/>
      <c r="H227" s="55"/>
      <c r="I227" s="57"/>
      <c r="J227" s="54"/>
      <c r="K227" s="56"/>
      <c r="L227" s="57"/>
      <c r="M227" s="54"/>
      <c r="N227" s="58" t="str">
        <f aca="false">IF(S227=1,IF(U227&lt;0,"",U227),IF(Y227=1,X227,""))</f>
        <v/>
      </c>
      <c r="O227" s="59" t="str">
        <f aca="false">IF(S227=1,IF(ISNUMBER(I227),I227-G227,""),"")</f>
        <v/>
      </c>
      <c r="P227" s="59" t="str">
        <f aca="false">IF(T227=1,IF(ISNUMBER(L227),L227-G227,""),"")</f>
        <v/>
      </c>
      <c r="Q227" s="60" t="str">
        <f aca="false">IF(C227="","",IF(T227=1,"✔ SOLD / VENDIDO",IF(S227=0,"— CLOSED / CERRADO",IF(U227&lt;0,"⚠ ADD DATE / AGREGA FECHA",IF(U227&gt;=Settings!$C$8,"⚠ STALE – REPRICE / ESTANCADO",IF(U227&gt;=Settings!$C$7,"● WATCH / VIGILAR","✔ FRESH / RECIENTE"))))))</f>
        <v/>
      </c>
      <c r="S227" s="53" t="n">
        <f aca="false">IF(C227="",0,IF(OR(J227="",J227="In Stock / En Inventario",J227="Listed / Publicado"),1,0))</f>
        <v>0</v>
      </c>
      <c r="T227" s="53" t="n">
        <f aca="false">IF(C227="",0,IF(J227="Sold / Vendido",1,0))</f>
        <v>0</v>
      </c>
      <c r="U227" s="53" t="n">
        <f aca="true">IF(S227=1,IF(ISNUMBER(F227),TODAY()-F227,-1),-1)</f>
        <v>-1</v>
      </c>
      <c r="V227" s="53" t="n">
        <f aca="false">IF(U227&lt;0,IF(S227=1,5,0),IF(U227&lt;=30,1,IF(U227&lt;=60,2,IF(U227&lt;=90,3,4))))</f>
        <v>0</v>
      </c>
      <c r="W227" s="53" t="n">
        <f aca="false">IF(U227&lt;0,-1000000000000000,U227+ROW()/1000000)</f>
        <v>-1000000000000000</v>
      </c>
      <c r="X227" s="53" t="n">
        <f aca="false">IF(T227=1,IF(AND(ISNUMBER(F227),ISNUMBER(K227)),K227-F227,0),0)</f>
        <v>0</v>
      </c>
      <c r="Y227" s="53" t="n">
        <f aca="false">IF(T227=1,IF(AND(ISNUMBER(F227),ISNUMBER(K227)),1,0),0)</f>
        <v>0</v>
      </c>
      <c r="Z227" s="53" t="n">
        <f aca="false">IF(U227&gt;=Settings!$C$8,1,0)</f>
        <v>0</v>
      </c>
      <c r="AA227" s="53" t="n">
        <f aca="false">IF(S227=1,IF(J227="Listed / Publicado",0,1),0)</f>
        <v>0</v>
      </c>
      <c r="AB227" s="53" t="n">
        <f aca="false">IF(T227=1,IF(ISNUMBER(L227),L227-G227,0),0)</f>
        <v>0</v>
      </c>
      <c r="AC227" s="53" t="n">
        <f aca="false">IF(S227=1,IF(ISNUMBER(I227),I227-G227,0),0)</f>
        <v>0</v>
      </c>
    </row>
    <row r="228" customFormat="false" ht="15" hidden="false" customHeight="false" outlineLevel="0" collapsed="false">
      <c r="B228" s="54"/>
      <c r="C228" s="55"/>
      <c r="D228" s="55"/>
      <c r="E228" s="55"/>
      <c r="F228" s="56"/>
      <c r="G228" s="57"/>
      <c r="H228" s="55"/>
      <c r="I228" s="57"/>
      <c r="J228" s="54"/>
      <c r="K228" s="56"/>
      <c r="L228" s="57"/>
      <c r="M228" s="54"/>
      <c r="N228" s="58" t="str">
        <f aca="false">IF(S228=1,IF(U228&lt;0,"",U228),IF(Y228=1,X228,""))</f>
        <v/>
      </c>
      <c r="O228" s="59" t="str">
        <f aca="false">IF(S228=1,IF(ISNUMBER(I228),I228-G228,""),"")</f>
        <v/>
      </c>
      <c r="P228" s="59" t="str">
        <f aca="false">IF(T228=1,IF(ISNUMBER(L228),L228-G228,""),"")</f>
        <v/>
      </c>
      <c r="Q228" s="60" t="str">
        <f aca="false">IF(C228="","",IF(T228=1,"✔ SOLD / VENDIDO",IF(S228=0,"— CLOSED / CERRADO",IF(U228&lt;0,"⚠ ADD DATE / AGREGA FECHA",IF(U228&gt;=Settings!$C$8,"⚠ STALE – REPRICE / ESTANCADO",IF(U228&gt;=Settings!$C$7,"● WATCH / VIGILAR","✔ FRESH / RECIENTE"))))))</f>
        <v/>
      </c>
      <c r="S228" s="53" t="n">
        <f aca="false">IF(C228="",0,IF(OR(J228="",J228="In Stock / En Inventario",J228="Listed / Publicado"),1,0))</f>
        <v>0</v>
      </c>
      <c r="T228" s="53" t="n">
        <f aca="false">IF(C228="",0,IF(J228="Sold / Vendido",1,0))</f>
        <v>0</v>
      </c>
      <c r="U228" s="53" t="n">
        <f aca="true">IF(S228=1,IF(ISNUMBER(F228),TODAY()-F228,-1),-1)</f>
        <v>-1</v>
      </c>
      <c r="V228" s="53" t="n">
        <f aca="false">IF(U228&lt;0,IF(S228=1,5,0),IF(U228&lt;=30,1,IF(U228&lt;=60,2,IF(U228&lt;=90,3,4))))</f>
        <v>0</v>
      </c>
      <c r="W228" s="53" t="n">
        <f aca="false">IF(U228&lt;0,-1000000000000000,U228+ROW()/1000000)</f>
        <v>-1000000000000000</v>
      </c>
      <c r="X228" s="53" t="n">
        <f aca="false">IF(T228=1,IF(AND(ISNUMBER(F228),ISNUMBER(K228)),K228-F228,0),0)</f>
        <v>0</v>
      </c>
      <c r="Y228" s="53" t="n">
        <f aca="false">IF(T228=1,IF(AND(ISNUMBER(F228),ISNUMBER(K228)),1,0),0)</f>
        <v>0</v>
      </c>
      <c r="Z228" s="53" t="n">
        <f aca="false">IF(U228&gt;=Settings!$C$8,1,0)</f>
        <v>0</v>
      </c>
      <c r="AA228" s="53" t="n">
        <f aca="false">IF(S228=1,IF(J228="Listed / Publicado",0,1),0)</f>
        <v>0</v>
      </c>
      <c r="AB228" s="53" t="n">
        <f aca="false">IF(T228=1,IF(ISNUMBER(L228),L228-G228,0),0)</f>
        <v>0</v>
      </c>
      <c r="AC228" s="53" t="n">
        <f aca="false">IF(S228=1,IF(ISNUMBER(I228),I228-G228,0),0)</f>
        <v>0</v>
      </c>
    </row>
    <row r="229" customFormat="false" ht="15" hidden="false" customHeight="false" outlineLevel="0" collapsed="false">
      <c r="B229" s="54"/>
      <c r="C229" s="55"/>
      <c r="D229" s="55"/>
      <c r="E229" s="55"/>
      <c r="F229" s="56"/>
      <c r="G229" s="57"/>
      <c r="H229" s="55"/>
      <c r="I229" s="57"/>
      <c r="J229" s="54"/>
      <c r="K229" s="56"/>
      <c r="L229" s="57"/>
      <c r="M229" s="54"/>
      <c r="N229" s="58" t="str">
        <f aca="false">IF(S229=1,IF(U229&lt;0,"",U229),IF(Y229=1,X229,""))</f>
        <v/>
      </c>
      <c r="O229" s="59" t="str">
        <f aca="false">IF(S229=1,IF(ISNUMBER(I229),I229-G229,""),"")</f>
        <v/>
      </c>
      <c r="P229" s="59" t="str">
        <f aca="false">IF(T229=1,IF(ISNUMBER(L229),L229-G229,""),"")</f>
        <v/>
      </c>
      <c r="Q229" s="60" t="str">
        <f aca="false">IF(C229="","",IF(T229=1,"✔ SOLD / VENDIDO",IF(S229=0,"— CLOSED / CERRADO",IF(U229&lt;0,"⚠ ADD DATE / AGREGA FECHA",IF(U229&gt;=Settings!$C$8,"⚠ STALE – REPRICE / ESTANCADO",IF(U229&gt;=Settings!$C$7,"● WATCH / VIGILAR","✔ FRESH / RECIENTE"))))))</f>
        <v/>
      </c>
      <c r="S229" s="53" t="n">
        <f aca="false">IF(C229="",0,IF(OR(J229="",J229="In Stock / En Inventario",J229="Listed / Publicado"),1,0))</f>
        <v>0</v>
      </c>
      <c r="T229" s="53" t="n">
        <f aca="false">IF(C229="",0,IF(J229="Sold / Vendido",1,0))</f>
        <v>0</v>
      </c>
      <c r="U229" s="53" t="n">
        <f aca="true">IF(S229=1,IF(ISNUMBER(F229),TODAY()-F229,-1),-1)</f>
        <v>-1</v>
      </c>
      <c r="V229" s="53" t="n">
        <f aca="false">IF(U229&lt;0,IF(S229=1,5,0),IF(U229&lt;=30,1,IF(U229&lt;=60,2,IF(U229&lt;=90,3,4))))</f>
        <v>0</v>
      </c>
      <c r="W229" s="53" t="n">
        <f aca="false">IF(U229&lt;0,-1000000000000000,U229+ROW()/1000000)</f>
        <v>-1000000000000000</v>
      </c>
      <c r="X229" s="53" t="n">
        <f aca="false">IF(T229=1,IF(AND(ISNUMBER(F229),ISNUMBER(K229)),K229-F229,0),0)</f>
        <v>0</v>
      </c>
      <c r="Y229" s="53" t="n">
        <f aca="false">IF(T229=1,IF(AND(ISNUMBER(F229),ISNUMBER(K229)),1,0),0)</f>
        <v>0</v>
      </c>
      <c r="Z229" s="53" t="n">
        <f aca="false">IF(U229&gt;=Settings!$C$8,1,0)</f>
        <v>0</v>
      </c>
      <c r="AA229" s="53" t="n">
        <f aca="false">IF(S229=1,IF(J229="Listed / Publicado",0,1),0)</f>
        <v>0</v>
      </c>
      <c r="AB229" s="53" t="n">
        <f aca="false">IF(T229=1,IF(ISNUMBER(L229),L229-G229,0),0)</f>
        <v>0</v>
      </c>
      <c r="AC229" s="53" t="n">
        <f aca="false">IF(S229=1,IF(ISNUMBER(I229),I229-G229,0),0)</f>
        <v>0</v>
      </c>
    </row>
    <row r="230" customFormat="false" ht="15" hidden="false" customHeight="false" outlineLevel="0" collapsed="false">
      <c r="B230" s="54"/>
      <c r="C230" s="55"/>
      <c r="D230" s="55"/>
      <c r="E230" s="55"/>
      <c r="F230" s="56"/>
      <c r="G230" s="57"/>
      <c r="H230" s="55"/>
      <c r="I230" s="57"/>
      <c r="J230" s="54"/>
      <c r="K230" s="56"/>
      <c r="L230" s="57"/>
      <c r="M230" s="54"/>
      <c r="N230" s="58" t="str">
        <f aca="false">IF(S230=1,IF(U230&lt;0,"",U230),IF(Y230=1,X230,""))</f>
        <v/>
      </c>
      <c r="O230" s="59" t="str">
        <f aca="false">IF(S230=1,IF(ISNUMBER(I230),I230-G230,""),"")</f>
        <v/>
      </c>
      <c r="P230" s="59" t="str">
        <f aca="false">IF(T230=1,IF(ISNUMBER(L230),L230-G230,""),"")</f>
        <v/>
      </c>
      <c r="Q230" s="60" t="str">
        <f aca="false">IF(C230="","",IF(T230=1,"✔ SOLD / VENDIDO",IF(S230=0,"— CLOSED / CERRADO",IF(U230&lt;0,"⚠ ADD DATE / AGREGA FECHA",IF(U230&gt;=Settings!$C$8,"⚠ STALE – REPRICE / ESTANCADO",IF(U230&gt;=Settings!$C$7,"● WATCH / VIGILAR","✔ FRESH / RECIENTE"))))))</f>
        <v/>
      </c>
      <c r="S230" s="53" t="n">
        <f aca="false">IF(C230="",0,IF(OR(J230="",J230="In Stock / En Inventario",J230="Listed / Publicado"),1,0))</f>
        <v>0</v>
      </c>
      <c r="T230" s="53" t="n">
        <f aca="false">IF(C230="",0,IF(J230="Sold / Vendido",1,0))</f>
        <v>0</v>
      </c>
      <c r="U230" s="53" t="n">
        <f aca="true">IF(S230=1,IF(ISNUMBER(F230),TODAY()-F230,-1),-1)</f>
        <v>-1</v>
      </c>
      <c r="V230" s="53" t="n">
        <f aca="false">IF(U230&lt;0,IF(S230=1,5,0),IF(U230&lt;=30,1,IF(U230&lt;=60,2,IF(U230&lt;=90,3,4))))</f>
        <v>0</v>
      </c>
      <c r="W230" s="53" t="n">
        <f aca="false">IF(U230&lt;0,-1000000000000000,U230+ROW()/1000000)</f>
        <v>-1000000000000000</v>
      </c>
      <c r="X230" s="53" t="n">
        <f aca="false">IF(T230=1,IF(AND(ISNUMBER(F230),ISNUMBER(K230)),K230-F230,0),0)</f>
        <v>0</v>
      </c>
      <c r="Y230" s="53" t="n">
        <f aca="false">IF(T230=1,IF(AND(ISNUMBER(F230),ISNUMBER(K230)),1,0),0)</f>
        <v>0</v>
      </c>
      <c r="Z230" s="53" t="n">
        <f aca="false">IF(U230&gt;=Settings!$C$8,1,0)</f>
        <v>0</v>
      </c>
      <c r="AA230" s="53" t="n">
        <f aca="false">IF(S230=1,IF(J230="Listed / Publicado",0,1),0)</f>
        <v>0</v>
      </c>
      <c r="AB230" s="53" t="n">
        <f aca="false">IF(T230=1,IF(ISNUMBER(L230),L230-G230,0),0)</f>
        <v>0</v>
      </c>
      <c r="AC230" s="53" t="n">
        <f aca="false">IF(S230=1,IF(ISNUMBER(I230),I230-G230,0),0)</f>
        <v>0</v>
      </c>
    </row>
    <row r="231" customFormat="false" ht="15" hidden="false" customHeight="false" outlineLevel="0" collapsed="false">
      <c r="B231" s="54"/>
      <c r="C231" s="55"/>
      <c r="D231" s="55"/>
      <c r="E231" s="55"/>
      <c r="F231" s="56"/>
      <c r="G231" s="57"/>
      <c r="H231" s="55"/>
      <c r="I231" s="57"/>
      <c r="J231" s="54"/>
      <c r="K231" s="56"/>
      <c r="L231" s="57"/>
      <c r="M231" s="54"/>
      <c r="N231" s="58" t="str">
        <f aca="false">IF(S231=1,IF(U231&lt;0,"",U231),IF(Y231=1,X231,""))</f>
        <v/>
      </c>
      <c r="O231" s="59" t="str">
        <f aca="false">IF(S231=1,IF(ISNUMBER(I231),I231-G231,""),"")</f>
        <v/>
      </c>
      <c r="P231" s="59" t="str">
        <f aca="false">IF(T231=1,IF(ISNUMBER(L231),L231-G231,""),"")</f>
        <v/>
      </c>
      <c r="Q231" s="60" t="str">
        <f aca="false">IF(C231="","",IF(T231=1,"✔ SOLD / VENDIDO",IF(S231=0,"— CLOSED / CERRADO",IF(U231&lt;0,"⚠ ADD DATE / AGREGA FECHA",IF(U231&gt;=Settings!$C$8,"⚠ STALE – REPRICE / ESTANCADO",IF(U231&gt;=Settings!$C$7,"● WATCH / VIGILAR","✔ FRESH / RECIENTE"))))))</f>
        <v/>
      </c>
      <c r="S231" s="53" t="n">
        <f aca="false">IF(C231="",0,IF(OR(J231="",J231="In Stock / En Inventario",J231="Listed / Publicado"),1,0))</f>
        <v>0</v>
      </c>
      <c r="T231" s="53" t="n">
        <f aca="false">IF(C231="",0,IF(J231="Sold / Vendido",1,0))</f>
        <v>0</v>
      </c>
      <c r="U231" s="53" t="n">
        <f aca="true">IF(S231=1,IF(ISNUMBER(F231),TODAY()-F231,-1),-1)</f>
        <v>-1</v>
      </c>
      <c r="V231" s="53" t="n">
        <f aca="false">IF(U231&lt;0,IF(S231=1,5,0),IF(U231&lt;=30,1,IF(U231&lt;=60,2,IF(U231&lt;=90,3,4))))</f>
        <v>0</v>
      </c>
      <c r="W231" s="53" t="n">
        <f aca="false">IF(U231&lt;0,-1000000000000000,U231+ROW()/1000000)</f>
        <v>-1000000000000000</v>
      </c>
      <c r="X231" s="53" t="n">
        <f aca="false">IF(T231=1,IF(AND(ISNUMBER(F231),ISNUMBER(K231)),K231-F231,0),0)</f>
        <v>0</v>
      </c>
      <c r="Y231" s="53" t="n">
        <f aca="false">IF(T231=1,IF(AND(ISNUMBER(F231),ISNUMBER(K231)),1,0),0)</f>
        <v>0</v>
      </c>
      <c r="Z231" s="53" t="n">
        <f aca="false">IF(U231&gt;=Settings!$C$8,1,0)</f>
        <v>0</v>
      </c>
      <c r="AA231" s="53" t="n">
        <f aca="false">IF(S231=1,IF(J231="Listed / Publicado",0,1),0)</f>
        <v>0</v>
      </c>
      <c r="AB231" s="53" t="n">
        <f aca="false">IF(T231=1,IF(ISNUMBER(L231),L231-G231,0),0)</f>
        <v>0</v>
      </c>
      <c r="AC231" s="53" t="n">
        <f aca="false">IF(S231=1,IF(ISNUMBER(I231),I231-G231,0),0)</f>
        <v>0</v>
      </c>
    </row>
    <row r="232" customFormat="false" ht="15" hidden="false" customHeight="false" outlineLevel="0" collapsed="false">
      <c r="B232" s="54"/>
      <c r="C232" s="55"/>
      <c r="D232" s="55"/>
      <c r="E232" s="55"/>
      <c r="F232" s="56"/>
      <c r="G232" s="57"/>
      <c r="H232" s="55"/>
      <c r="I232" s="57"/>
      <c r="J232" s="54"/>
      <c r="K232" s="56"/>
      <c r="L232" s="57"/>
      <c r="M232" s="54"/>
      <c r="N232" s="58" t="str">
        <f aca="false">IF(S232=1,IF(U232&lt;0,"",U232),IF(Y232=1,X232,""))</f>
        <v/>
      </c>
      <c r="O232" s="59" t="str">
        <f aca="false">IF(S232=1,IF(ISNUMBER(I232),I232-G232,""),"")</f>
        <v/>
      </c>
      <c r="P232" s="59" t="str">
        <f aca="false">IF(T232=1,IF(ISNUMBER(L232),L232-G232,""),"")</f>
        <v/>
      </c>
      <c r="Q232" s="60" t="str">
        <f aca="false">IF(C232="","",IF(T232=1,"✔ SOLD / VENDIDO",IF(S232=0,"— CLOSED / CERRADO",IF(U232&lt;0,"⚠ ADD DATE / AGREGA FECHA",IF(U232&gt;=Settings!$C$8,"⚠ STALE – REPRICE / ESTANCADO",IF(U232&gt;=Settings!$C$7,"● WATCH / VIGILAR","✔ FRESH / RECIENTE"))))))</f>
        <v/>
      </c>
      <c r="S232" s="53" t="n">
        <f aca="false">IF(C232="",0,IF(OR(J232="",J232="In Stock / En Inventario",J232="Listed / Publicado"),1,0))</f>
        <v>0</v>
      </c>
      <c r="T232" s="53" t="n">
        <f aca="false">IF(C232="",0,IF(J232="Sold / Vendido",1,0))</f>
        <v>0</v>
      </c>
      <c r="U232" s="53" t="n">
        <f aca="true">IF(S232=1,IF(ISNUMBER(F232),TODAY()-F232,-1),-1)</f>
        <v>-1</v>
      </c>
      <c r="V232" s="53" t="n">
        <f aca="false">IF(U232&lt;0,IF(S232=1,5,0),IF(U232&lt;=30,1,IF(U232&lt;=60,2,IF(U232&lt;=90,3,4))))</f>
        <v>0</v>
      </c>
      <c r="W232" s="53" t="n">
        <f aca="false">IF(U232&lt;0,-1000000000000000,U232+ROW()/1000000)</f>
        <v>-1000000000000000</v>
      </c>
      <c r="X232" s="53" t="n">
        <f aca="false">IF(T232=1,IF(AND(ISNUMBER(F232),ISNUMBER(K232)),K232-F232,0),0)</f>
        <v>0</v>
      </c>
      <c r="Y232" s="53" t="n">
        <f aca="false">IF(T232=1,IF(AND(ISNUMBER(F232),ISNUMBER(K232)),1,0),0)</f>
        <v>0</v>
      </c>
      <c r="Z232" s="53" t="n">
        <f aca="false">IF(U232&gt;=Settings!$C$8,1,0)</f>
        <v>0</v>
      </c>
      <c r="AA232" s="53" t="n">
        <f aca="false">IF(S232=1,IF(J232="Listed / Publicado",0,1),0)</f>
        <v>0</v>
      </c>
      <c r="AB232" s="53" t="n">
        <f aca="false">IF(T232=1,IF(ISNUMBER(L232),L232-G232,0),0)</f>
        <v>0</v>
      </c>
      <c r="AC232" s="53" t="n">
        <f aca="false">IF(S232=1,IF(ISNUMBER(I232),I232-G232,0),0)</f>
        <v>0</v>
      </c>
    </row>
    <row r="233" customFormat="false" ht="15" hidden="false" customHeight="false" outlineLevel="0" collapsed="false">
      <c r="B233" s="54"/>
      <c r="C233" s="55"/>
      <c r="D233" s="55"/>
      <c r="E233" s="55"/>
      <c r="F233" s="56"/>
      <c r="G233" s="57"/>
      <c r="H233" s="55"/>
      <c r="I233" s="57"/>
      <c r="J233" s="54"/>
      <c r="K233" s="56"/>
      <c r="L233" s="57"/>
      <c r="M233" s="54"/>
      <c r="N233" s="58" t="str">
        <f aca="false">IF(S233=1,IF(U233&lt;0,"",U233),IF(Y233=1,X233,""))</f>
        <v/>
      </c>
      <c r="O233" s="59" t="str">
        <f aca="false">IF(S233=1,IF(ISNUMBER(I233),I233-G233,""),"")</f>
        <v/>
      </c>
      <c r="P233" s="59" t="str">
        <f aca="false">IF(T233=1,IF(ISNUMBER(L233),L233-G233,""),"")</f>
        <v/>
      </c>
      <c r="Q233" s="60" t="str">
        <f aca="false">IF(C233="","",IF(T233=1,"✔ SOLD / VENDIDO",IF(S233=0,"— CLOSED / CERRADO",IF(U233&lt;0,"⚠ ADD DATE / AGREGA FECHA",IF(U233&gt;=Settings!$C$8,"⚠ STALE – REPRICE / ESTANCADO",IF(U233&gt;=Settings!$C$7,"● WATCH / VIGILAR","✔ FRESH / RECIENTE"))))))</f>
        <v/>
      </c>
      <c r="S233" s="53" t="n">
        <f aca="false">IF(C233="",0,IF(OR(J233="",J233="In Stock / En Inventario",J233="Listed / Publicado"),1,0))</f>
        <v>0</v>
      </c>
      <c r="T233" s="53" t="n">
        <f aca="false">IF(C233="",0,IF(J233="Sold / Vendido",1,0))</f>
        <v>0</v>
      </c>
      <c r="U233" s="53" t="n">
        <f aca="true">IF(S233=1,IF(ISNUMBER(F233),TODAY()-F233,-1),-1)</f>
        <v>-1</v>
      </c>
      <c r="V233" s="53" t="n">
        <f aca="false">IF(U233&lt;0,IF(S233=1,5,0),IF(U233&lt;=30,1,IF(U233&lt;=60,2,IF(U233&lt;=90,3,4))))</f>
        <v>0</v>
      </c>
      <c r="W233" s="53" t="n">
        <f aca="false">IF(U233&lt;0,-1000000000000000,U233+ROW()/1000000)</f>
        <v>-1000000000000000</v>
      </c>
      <c r="X233" s="53" t="n">
        <f aca="false">IF(T233=1,IF(AND(ISNUMBER(F233),ISNUMBER(K233)),K233-F233,0),0)</f>
        <v>0</v>
      </c>
      <c r="Y233" s="53" t="n">
        <f aca="false">IF(T233=1,IF(AND(ISNUMBER(F233),ISNUMBER(K233)),1,0),0)</f>
        <v>0</v>
      </c>
      <c r="Z233" s="53" t="n">
        <f aca="false">IF(U233&gt;=Settings!$C$8,1,0)</f>
        <v>0</v>
      </c>
      <c r="AA233" s="53" t="n">
        <f aca="false">IF(S233=1,IF(J233="Listed / Publicado",0,1),0)</f>
        <v>0</v>
      </c>
      <c r="AB233" s="53" t="n">
        <f aca="false">IF(T233=1,IF(ISNUMBER(L233),L233-G233,0),0)</f>
        <v>0</v>
      </c>
      <c r="AC233" s="53" t="n">
        <f aca="false">IF(S233=1,IF(ISNUMBER(I233),I233-G233,0),0)</f>
        <v>0</v>
      </c>
    </row>
    <row r="234" customFormat="false" ht="15" hidden="false" customHeight="false" outlineLevel="0" collapsed="false">
      <c r="B234" s="54"/>
      <c r="C234" s="55"/>
      <c r="D234" s="55"/>
      <c r="E234" s="55"/>
      <c r="F234" s="56"/>
      <c r="G234" s="57"/>
      <c r="H234" s="55"/>
      <c r="I234" s="57"/>
      <c r="J234" s="54"/>
      <c r="K234" s="56"/>
      <c r="L234" s="57"/>
      <c r="M234" s="54"/>
      <c r="N234" s="58" t="str">
        <f aca="false">IF(S234=1,IF(U234&lt;0,"",U234),IF(Y234=1,X234,""))</f>
        <v/>
      </c>
      <c r="O234" s="59" t="str">
        <f aca="false">IF(S234=1,IF(ISNUMBER(I234),I234-G234,""),"")</f>
        <v/>
      </c>
      <c r="P234" s="59" t="str">
        <f aca="false">IF(T234=1,IF(ISNUMBER(L234),L234-G234,""),"")</f>
        <v/>
      </c>
      <c r="Q234" s="60" t="str">
        <f aca="false">IF(C234="","",IF(T234=1,"✔ SOLD / VENDIDO",IF(S234=0,"— CLOSED / CERRADO",IF(U234&lt;0,"⚠ ADD DATE / AGREGA FECHA",IF(U234&gt;=Settings!$C$8,"⚠ STALE – REPRICE / ESTANCADO",IF(U234&gt;=Settings!$C$7,"● WATCH / VIGILAR","✔ FRESH / RECIENTE"))))))</f>
        <v/>
      </c>
      <c r="S234" s="53" t="n">
        <f aca="false">IF(C234="",0,IF(OR(J234="",J234="In Stock / En Inventario",J234="Listed / Publicado"),1,0))</f>
        <v>0</v>
      </c>
      <c r="T234" s="53" t="n">
        <f aca="false">IF(C234="",0,IF(J234="Sold / Vendido",1,0))</f>
        <v>0</v>
      </c>
      <c r="U234" s="53" t="n">
        <f aca="true">IF(S234=1,IF(ISNUMBER(F234),TODAY()-F234,-1),-1)</f>
        <v>-1</v>
      </c>
      <c r="V234" s="53" t="n">
        <f aca="false">IF(U234&lt;0,IF(S234=1,5,0),IF(U234&lt;=30,1,IF(U234&lt;=60,2,IF(U234&lt;=90,3,4))))</f>
        <v>0</v>
      </c>
      <c r="W234" s="53" t="n">
        <f aca="false">IF(U234&lt;0,-1000000000000000,U234+ROW()/1000000)</f>
        <v>-1000000000000000</v>
      </c>
      <c r="X234" s="53" t="n">
        <f aca="false">IF(T234=1,IF(AND(ISNUMBER(F234),ISNUMBER(K234)),K234-F234,0),0)</f>
        <v>0</v>
      </c>
      <c r="Y234" s="53" t="n">
        <f aca="false">IF(T234=1,IF(AND(ISNUMBER(F234),ISNUMBER(K234)),1,0),0)</f>
        <v>0</v>
      </c>
      <c r="Z234" s="53" t="n">
        <f aca="false">IF(U234&gt;=Settings!$C$8,1,0)</f>
        <v>0</v>
      </c>
      <c r="AA234" s="53" t="n">
        <f aca="false">IF(S234=1,IF(J234="Listed / Publicado",0,1),0)</f>
        <v>0</v>
      </c>
      <c r="AB234" s="53" t="n">
        <f aca="false">IF(T234=1,IF(ISNUMBER(L234),L234-G234,0),0)</f>
        <v>0</v>
      </c>
      <c r="AC234" s="53" t="n">
        <f aca="false">IF(S234=1,IF(ISNUMBER(I234),I234-G234,0),0)</f>
        <v>0</v>
      </c>
    </row>
    <row r="235" customFormat="false" ht="15" hidden="false" customHeight="false" outlineLevel="0" collapsed="false">
      <c r="B235" s="54"/>
      <c r="C235" s="55"/>
      <c r="D235" s="55"/>
      <c r="E235" s="55"/>
      <c r="F235" s="56"/>
      <c r="G235" s="57"/>
      <c r="H235" s="55"/>
      <c r="I235" s="57"/>
      <c r="J235" s="54"/>
      <c r="K235" s="56"/>
      <c r="L235" s="57"/>
      <c r="M235" s="54"/>
      <c r="N235" s="58" t="str">
        <f aca="false">IF(S235=1,IF(U235&lt;0,"",U235),IF(Y235=1,X235,""))</f>
        <v/>
      </c>
      <c r="O235" s="59" t="str">
        <f aca="false">IF(S235=1,IF(ISNUMBER(I235),I235-G235,""),"")</f>
        <v/>
      </c>
      <c r="P235" s="59" t="str">
        <f aca="false">IF(T235=1,IF(ISNUMBER(L235),L235-G235,""),"")</f>
        <v/>
      </c>
      <c r="Q235" s="60" t="str">
        <f aca="false">IF(C235="","",IF(T235=1,"✔ SOLD / VENDIDO",IF(S235=0,"— CLOSED / CERRADO",IF(U235&lt;0,"⚠ ADD DATE / AGREGA FECHA",IF(U235&gt;=Settings!$C$8,"⚠ STALE – REPRICE / ESTANCADO",IF(U235&gt;=Settings!$C$7,"● WATCH / VIGILAR","✔ FRESH / RECIENTE"))))))</f>
        <v/>
      </c>
      <c r="S235" s="53" t="n">
        <f aca="false">IF(C235="",0,IF(OR(J235="",J235="In Stock / En Inventario",J235="Listed / Publicado"),1,0))</f>
        <v>0</v>
      </c>
      <c r="T235" s="53" t="n">
        <f aca="false">IF(C235="",0,IF(J235="Sold / Vendido",1,0))</f>
        <v>0</v>
      </c>
      <c r="U235" s="53" t="n">
        <f aca="true">IF(S235=1,IF(ISNUMBER(F235),TODAY()-F235,-1),-1)</f>
        <v>-1</v>
      </c>
      <c r="V235" s="53" t="n">
        <f aca="false">IF(U235&lt;0,IF(S235=1,5,0),IF(U235&lt;=30,1,IF(U235&lt;=60,2,IF(U235&lt;=90,3,4))))</f>
        <v>0</v>
      </c>
      <c r="W235" s="53" t="n">
        <f aca="false">IF(U235&lt;0,-1000000000000000,U235+ROW()/1000000)</f>
        <v>-1000000000000000</v>
      </c>
      <c r="X235" s="53" t="n">
        <f aca="false">IF(T235=1,IF(AND(ISNUMBER(F235),ISNUMBER(K235)),K235-F235,0),0)</f>
        <v>0</v>
      </c>
      <c r="Y235" s="53" t="n">
        <f aca="false">IF(T235=1,IF(AND(ISNUMBER(F235),ISNUMBER(K235)),1,0),0)</f>
        <v>0</v>
      </c>
      <c r="Z235" s="53" t="n">
        <f aca="false">IF(U235&gt;=Settings!$C$8,1,0)</f>
        <v>0</v>
      </c>
      <c r="AA235" s="53" t="n">
        <f aca="false">IF(S235=1,IF(J235="Listed / Publicado",0,1),0)</f>
        <v>0</v>
      </c>
      <c r="AB235" s="53" t="n">
        <f aca="false">IF(T235=1,IF(ISNUMBER(L235),L235-G235,0),0)</f>
        <v>0</v>
      </c>
      <c r="AC235" s="53" t="n">
        <f aca="false">IF(S235=1,IF(ISNUMBER(I235),I235-G235,0),0)</f>
        <v>0</v>
      </c>
    </row>
    <row r="236" customFormat="false" ht="15" hidden="false" customHeight="false" outlineLevel="0" collapsed="false">
      <c r="B236" s="54"/>
      <c r="C236" s="55"/>
      <c r="D236" s="55"/>
      <c r="E236" s="55"/>
      <c r="F236" s="56"/>
      <c r="G236" s="57"/>
      <c r="H236" s="55"/>
      <c r="I236" s="57"/>
      <c r="J236" s="54"/>
      <c r="K236" s="56"/>
      <c r="L236" s="57"/>
      <c r="M236" s="54"/>
      <c r="N236" s="58" t="str">
        <f aca="false">IF(S236=1,IF(U236&lt;0,"",U236),IF(Y236=1,X236,""))</f>
        <v/>
      </c>
      <c r="O236" s="59" t="str">
        <f aca="false">IF(S236=1,IF(ISNUMBER(I236),I236-G236,""),"")</f>
        <v/>
      </c>
      <c r="P236" s="59" t="str">
        <f aca="false">IF(T236=1,IF(ISNUMBER(L236),L236-G236,""),"")</f>
        <v/>
      </c>
      <c r="Q236" s="60" t="str">
        <f aca="false">IF(C236="","",IF(T236=1,"✔ SOLD / VENDIDO",IF(S236=0,"— CLOSED / CERRADO",IF(U236&lt;0,"⚠ ADD DATE / AGREGA FECHA",IF(U236&gt;=Settings!$C$8,"⚠ STALE – REPRICE / ESTANCADO",IF(U236&gt;=Settings!$C$7,"● WATCH / VIGILAR","✔ FRESH / RECIENTE"))))))</f>
        <v/>
      </c>
      <c r="S236" s="53" t="n">
        <f aca="false">IF(C236="",0,IF(OR(J236="",J236="In Stock / En Inventario",J236="Listed / Publicado"),1,0))</f>
        <v>0</v>
      </c>
      <c r="T236" s="53" t="n">
        <f aca="false">IF(C236="",0,IF(J236="Sold / Vendido",1,0))</f>
        <v>0</v>
      </c>
      <c r="U236" s="53" t="n">
        <f aca="true">IF(S236=1,IF(ISNUMBER(F236),TODAY()-F236,-1),-1)</f>
        <v>-1</v>
      </c>
      <c r="V236" s="53" t="n">
        <f aca="false">IF(U236&lt;0,IF(S236=1,5,0),IF(U236&lt;=30,1,IF(U236&lt;=60,2,IF(U236&lt;=90,3,4))))</f>
        <v>0</v>
      </c>
      <c r="W236" s="53" t="n">
        <f aca="false">IF(U236&lt;0,-1000000000000000,U236+ROW()/1000000)</f>
        <v>-1000000000000000</v>
      </c>
      <c r="X236" s="53" t="n">
        <f aca="false">IF(T236=1,IF(AND(ISNUMBER(F236),ISNUMBER(K236)),K236-F236,0),0)</f>
        <v>0</v>
      </c>
      <c r="Y236" s="53" t="n">
        <f aca="false">IF(T236=1,IF(AND(ISNUMBER(F236),ISNUMBER(K236)),1,0),0)</f>
        <v>0</v>
      </c>
      <c r="Z236" s="53" t="n">
        <f aca="false">IF(U236&gt;=Settings!$C$8,1,0)</f>
        <v>0</v>
      </c>
      <c r="AA236" s="53" t="n">
        <f aca="false">IF(S236=1,IF(J236="Listed / Publicado",0,1),0)</f>
        <v>0</v>
      </c>
      <c r="AB236" s="53" t="n">
        <f aca="false">IF(T236=1,IF(ISNUMBER(L236),L236-G236,0),0)</f>
        <v>0</v>
      </c>
      <c r="AC236" s="53" t="n">
        <f aca="false">IF(S236=1,IF(ISNUMBER(I236),I236-G236,0),0)</f>
        <v>0</v>
      </c>
    </row>
    <row r="237" customFormat="false" ht="15" hidden="false" customHeight="false" outlineLevel="0" collapsed="false">
      <c r="B237" s="54"/>
      <c r="C237" s="55"/>
      <c r="D237" s="55"/>
      <c r="E237" s="55"/>
      <c r="F237" s="56"/>
      <c r="G237" s="57"/>
      <c r="H237" s="55"/>
      <c r="I237" s="57"/>
      <c r="J237" s="54"/>
      <c r="K237" s="56"/>
      <c r="L237" s="57"/>
      <c r="M237" s="54"/>
      <c r="N237" s="58" t="str">
        <f aca="false">IF(S237=1,IF(U237&lt;0,"",U237),IF(Y237=1,X237,""))</f>
        <v/>
      </c>
      <c r="O237" s="59" t="str">
        <f aca="false">IF(S237=1,IF(ISNUMBER(I237),I237-G237,""),"")</f>
        <v/>
      </c>
      <c r="P237" s="59" t="str">
        <f aca="false">IF(T237=1,IF(ISNUMBER(L237),L237-G237,""),"")</f>
        <v/>
      </c>
      <c r="Q237" s="60" t="str">
        <f aca="false">IF(C237="","",IF(T237=1,"✔ SOLD / VENDIDO",IF(S237=0,"— CLOSED / CERRADO",IF(U237&lt;0,"⚠ ADD DATE / AGREGA FECHA",IF(U237&gt;=Settings!$C$8,"⚠ STALE – REPRICE / ESTANCADO",IF(U237&gt;=Settings!$C$7,"● WATCH / VIGILAR","✔ FRESH / RECIENTE"))))))</f>
        <v/>
      </c>
      <c r="S237" s="53" t="n">
        <f aca="false">IF(C237="",0,IF(OR(J237="",J237="In Stock / En Inventario",J237="Listed / Publicado"),1,0))</f>
        <v>0</v>
      </c>
      <c r="T237" s="53" t="n">
        <f aca="false">IF(C237="",0,IF(J237="Sold / Vendido",1,0))</f>
        <v>0</v>
      </c>
      <c r="U237" s="53" t="n">
        <f aca="true">IF(S237=1,IF(ISNUMBER(F237),TODAY()-F237,-1),-1)</f>
        <v>-1</v>
      </c>
      <c r="V237" s="53" t="n">
        <f aca="false">IF(U237&lt;0,IF(S237=1,5,0),IF(U237&lt;=30,1,IF(U237&lt;=60,2,IF(U237&lt;=90,3,4))))</f>
        <v>0</v>
      </c>
      <c r="W237" s="53" t="n">
        <f aca="false">IF(U237&lt;0,-1000000000000000,U237+ROW()/1000000)</f>
        <v>-1000000000000000</v>
      </c>
      <c r="X237" s="53" t="n">
        <f aca="false">IF(T237=1,IF(AND(ISNUMBER(F237),ISNUMBER(K237)),K237-F237,0),0)</f>
        <v>0</v>
      </c>
      <c r="Y237" s="53" t="n">
        <f aca="false">IF(T237=1,IF(AND(ISNUMBER(F237),ISNUMBER(K237)),1,0),0)</f>
        <v>0</v>
      </c>
      <c r="Z237" s="53" t="n">
        <f aca="false">IF(U237&gt;=Settings!$C$8,1,0)</f>
        <v>0</v>
      </c>
      <c r="AA237" s="53" t="n">
        <f aca="false">IF(S237=1,IF(J237="Listed / Publicado",0,1),0)</f>
        <v>0</v>
      </c>
      <c r="AB237" s="53" t="n">
        <f aca="false">IF(T237=1,IF(ISNUMBER(L237),L237-G237,0),0)</f>
        <v>0</v>
      </c>
      <c r="AC237" s="53" t="n">
        <f aca="false">IF(S237=1,IF(ISNUMBER(I237),I237-G237,0),0)</f>
        <v>0</v>
      </c>
    </row>
    <row r="238" customFormat="false" ht="15" hidden="false" customHeight="false" outlineLevel="0" collapsed="false">
      <c r="B238" s="54"/>
      <c r="C238" s="55"/>
      <c r="D238" s="55"/>
      <c r="E238" s="55"/>
      <c r="F238" s="56"/>
      <c r="G238" s="57"/>
      <c r="H238" s="55"/>
      <c r="I238" s="57"/>
      <c r="J238" s="54"/>
      <c r="K238" s="56"/>
      <c r="L238" s="57"/>
      <c r="M238" s="54"/>
      <c r="N238" s="58" t="str">
        <f aca="false">IF(S238=1,IF(U238&lt;0,"",U238),IF(Y238=1,X238,""))</f>
        <v/>
      </c>
      <c r="O238" s="59" t="str">
        <f aca="false">IF(S238=1,IF(ISNUMBER(I238),I238-G238,""),"")</f>
        <v/>
      </c>
      <c r="P238" s="59" t="str">
        <f aca="false">IF(T238=1,IF(ISNUMBER(L238),L238-G238,""),"")</f>
        <v/>
      </c>
      <c r="Q238" s="60" t="str">
        <f aca="false">IF(C238="","",IF(T238=1,"✔ SOLD / VENDIDO",IF(S238=0,"— CLOSED / CERRADO",IF(U238&lt;0,"⚠ ADD DATE / AGREGA FECHA",IF(U238&gt;=Settings!$C$8,"⚠ STALE – REPRICE / ESTANCADO",IF(U238&gt;=Settings!$C$7,"● WATCH / VIGILAR","✔ FRESH / RECIENTE"))))))</f>
        <v/>
      </c>
      <c r="S238" s="53" t="n">
        <f aca="false">IF(C238="",0,IF(OR(J238="",J238="In Stock / En Inventario",J238="Listed / Publicado"),1,0))</f>
        <v>0</v>
      </c>
      <c r="T238" s="53" t="n">
        <f aca="false">IF(C238="",0,IF(J238="Sold / Vendido",1,0))</f>
        <v>0</v>
      </c>
      <c r="U238" s="53" t="n">
        <f aca="true">IF(S238=1,IF(ISNUMBER(F238),TODAY()-F238,-1),-1)</f>
        <v>-1</v>
      </c>
      <c r="V238" s="53" t="n">
        <f aca="false">IF(U238&lt;0,IF(S238=1,5,0),IF(U238&lt;=30,1,IF(U238&lt;=60,2,IF(U238&lt;=90,3,4))))</f>
        <v>0</v>
      </c>
      <c r="W238" s="53" t="n">
        <f aca="false">IF(U238&lt;0,-1000000000000000,U238+ROW()/1000000)</f>
        <v>-1000000000000000</v>
      </c>
      <c r="X238" s="53" t="n">
        <f aca="false">IF(T238=1,IF(AND(ISNUMBER(F238),ISNUMBER(K238)),K238-F238,0),0)</f>
        <v>0</v>
      </c>
      <c r="Y238" s="53" t="n">
        <f aca="false">IF(T238=1,IF(AND(ISNUMBER(F238),ISNUMBER(K238)),1,0),0)</f>
        <v>0</v>
      </c>
      <c r="Z238" s="53" t="n">
        <f aca="false">IF(U238&gt;=Settings!$C$8,1,0)</f>
        <v>0</v>
      </c>
      <c r="AA238" s="53" t="n">
        <f aca="false">IF(S238=1,IF(J238="Listed / Publicado",0,1),0)</f>
        <v>0</v>
      </c>
      <c r="AB238" s="53" t="n">
        <f aca="false">IF(T238=1,IF(ISNUMBER(L238),L238-G238,0),0)</f>
        <v>0</v>
      </c>
      <c r="AC238" s="53" t="n">
        <f aca="false">IF(S238=1,IF(ISNUMBER(I238),I238-G238,0),0)</f>
        <v>0</v>
      </c>
    </row>
    <row r="239" customFormat="false" ht="15" hidden="false" customHeight="false" outlineLevel="0" collapsed="false">
      <c r="B239" s="54"/>
      <c r="C239" s="55"/>
      <c r="D239" s="55"/>
      <c r="E239" s="55"/>
      <c r="F239" s="56"/>
      <c r="G239" s="57"/>
      <c r="H239" s="55"/>
      <c r="I239" s="57"/>
      <c r="J239" s="54"/>
      <c r="K239" s="56"/>
      <c r="L239" s="57"/>
      <c r="M239" s="54"/>
      <c r="N239" s="58" t="str">
        <f aca="false">IF(S239=1,IF(U239&lt;0,"",U239),IF(Y239=1,X239,""))</f>
        <v/>
      </c>
      <c r="O239" s="59" t="str">
        <f aca="false">IF(S239=1,IF(ISNUMBER(I239),I239-G239,""),"")</f>
        <v/>
      </c>
      <c r="P239" s="59" t="str">
        <f aca="false">IF(T239=1,IF(ISNUMBER(L239),L239-G239,""),"")</f>
        <v/>
      </c>
      <c r="Q239" s="60" t="str">
        <f aca="false">IF(C239="","",IF(T239=1,"✔ SOLD / VENDIDO",IF(S239=0,"— CLOSED / CERRADO",IF(U239&lt;0,"⚠ ADD DATE / AGREGA FECHA",IF(U239&gt;=Settings!$C$8,"⚠ STALE – REPRICE / ESTANCADO",IF(U239&gt;=Settings!$C$7,"● WATCH / VIGILAR","✔ FRESH / RECIENTE"))))))</f>
        <v/>
      </c>
      <c r="S239" s="53" t="n">
        <f aca="false">IF(C239="",0,IF(OR(J239="",J239="In Stock / En Inventario",J239="Listed / Publicado"),1,0))</f>
        <v>0</v>
      </c>
      <c r="T239" s="53" t="n">
        <f aca="false">IF(C239="",0,IF(J239="Sold / Vendido",1,0))</f>
        <v>0</v>
      </c>
      <c r="U239" s="53" t="n">
        <f aca="true">IF(S239=1,IF(ISNUMBER(F239),TODAY()-F239,-1),-1)</f>
        <v>-1</v>
      </c>
      <c r="V239" s="53" t="n">
        <f aca="false">IF(U239&lt;0,IF(S239=1,5,0),IF(U239&lt;=30,1,IF(U239&lt;=60,2,IF(U239&lt;=90,3,4))))</f>
        <v>0</v>
      </c>
      <c r="W239" s="53" t="n">
        <f aca="false">IF(U239&lt;0,-1000000000000000,U239+ROW()/1000000)</f>
        <v>-1000000000000000</v>
      </c>
      <c r="X239" s="53" t="n">
        <f aca="false">IF(T239=1,IF(AND(ISNUMBER(F239),ISNUMBER(K239)),K239-F239,0),0)</f>
        <v>0</v>
      </c>
      <c r="Y239" s="53" t="n">
        <f aca="false">IF(T239=1,IF(AND(ISNUMBER(F239),ISNUMBER(K239)),1,0),0)</f>
        <v>0</v>
      </c>
      <c r="Z239" s="53" t="n">
        <f aca="false">IF(U239&gt;=Settings!$C$8,1,0)</f>
        <v>0</v>
      </c>
      <c r="AA239" s="53" t="n">
        <f aca="false">IF(S239=1,IF(J239="Listed / Publicado",0,1),0)</f>
        <v>0</v>
      </c>
      <c r="AB239" s="53" t="n">
        <f aca="false">IF(T239=1,IF(ISNUMBER(L239),L239-G239,0),0)</f>
        <v>0</v>
      </c>
      <c r="AC239" s="53" t="n">
        <f aca="false">IF(S239=1,IF(ISNUMBER(I239),I239-G239,0),0)</f>
        <v>0</v>
      </c>
    </row>
    <row r="240" customFormat="false" ht="15" hidden="false" customHeight="false" outlineLevel="0" collapsed="false">
      <c r="B240" s="54"/>
      <c r="C240" s="55"/>
      <c r="D240" s="55"/>
      <c r="E240" s="55"/>
      <c r="F240" s="56"/>
      <c r="G240" s="57"/>
      <c r="H240" s="55"/>
      <c r="I240" s="57"/>
      <c r="J240" s="54"/>
      <c r="K240" s="56"/>
      <c r="L240" s="57"/>
      <c r="M240" s="54"/>
      <c r="N240" s="58" t="str">
        <f aca="false">IF(S240=1,IF(U240&lt;0,"",U240),IF(Y240=1,X240,""))</f>
        <v/>
      </c>
      <c r="O240" s="59" t="str">
        <f aca="false">IF(S240=1,IF(ISNUMBER(I240),I240-G240,""),"")</f>
        <v/>
      </c>
      <c r="P240" s="59" t="str">
        <f aca="false">IF(T240=1,IF(ISNUMBER(L240),L240-G240,""),"")</f>
        <v/>
      </c>
      <c r="Q240" s="60" t="str">
        <f aca="false">IF(C240="","",IF(T240=1,"✔ SOLD / VENDIDO",IF(S240=0,"— CLOSED / CERRADO",IF(U240&lt;0,"⚠ ADD DATE / AGREGA FECHA",IF(U240&gt;=Settings!$C$8,"⚠ STALE – REPRICE / ESTANCADO",IF(U240&gt;=Settings!$C$7,"● WATCH / VIGILAR","✔ FRESH / RECIENTE"))))))</f>
        <v/>
      </c>
      <c r="S240" s="53" t="n">
        <f aca="false">IF(C240="",0,IF(OR(J240="",J240="In Stock / En Inventario",J240="Listed / Publicado"),1,0))</f>
        <v>0</v>
      </c>
      <c r="T240" s="53" t="n">
        <f aca="false">IF(C240="",0,IF(J240="Sold / Vendido",1,0))</f>
        <v>0</v>
      </c>
      <c r="U240" s="53" t="n">
        <f aca="true">IF(S240=1,IF(ISNUMBER(F240),TODAY()-F240,-1),-1)</f>
        <v>-1</v>
      </c>
      <c r="V240" s="53" t="n">
        <f aca="false">IF(U240&lt;0,IF(S240=1,5,0),IF(U240&lt;=30,1,IF(U240&lt;=60,2,IF(U240&lt;=90,3,4))))</f>
        <v>0</v>
      </c>
      <c r="W240" s="53" t="n">
        <f aca="false">IF(U240&lt;0,-1000000000000000,U240+ROW()/1000000)</f>
        <v>-1000000000000000</v>
      </c>
      <c r="X240" s="53" t="n">
        <f aca="false">IF(T240=1,IF(AND(ISNUMBER(F240),ISNUMBER(K240)),K240-F240,0),0)</f>
        <v>0</v>
      </c>
      <c r="Y240" s="53" t="n">
        <f aca="false">IF(T240=1,IF(AND(ISNUMBER(F240),ISNUMBER(K240)),1,0),0)</f>
        <v>0</v>
      </c>
      <c r="Z240" s="53" t="n">
        <f aca="false">IF(U240&gt;=Settings!$C$8,1,0)</f>
        <v>0</v>
      </c>
      <c r="AA240" s="53" t="n">
        <f aca="false">IF(S240=1,IF(J240="Listed / Publicado",0,1),0)</f>
        <v>0</v>
      </c>
      <c r="AB240" s="53" t="n">
        <f aca="false">IF(T240=1,IF(ISNUMBER(L240),L240-G240,0),0)</f>
        <v>0</v>
      </c>
      <c r="AC240" s="53" t="n">
        <f aca="false">IF(S240=1,IF(ISNUMBER(I240),I240-G240,0),0)</f>
        <v>0</v>
      </c>
    </row>
    <row r="241" customFormat="false" ht="15" hidden="false" customHeight="false" outlineLevel="0" collapsed="false">
      <c r="B241" s="54"/>
      <c r="C241" s="55"/>
      <c r="D241" s="55"/>
      <c r="E241" s="55"/>
      <c r="F241" s="56"/>
      <c r="G241" s="57"/>
      <c r="H241" s="55"/>
      <c r="I241" s="57"/>
      <c r="J241" s="54"/>
      <c r="K241" s="56"/>
      <c r="L241" s="57"/>
      <c r="M241" s="54"/>
      <c r="N241" s="58" t="str">
        <f aca="false">IF(S241=1,IF(U241&lt;0,"",U241),IF(Y241=1,X241,""))</f>
        <v/>
      </c>
      <c r="O241" s="59" t="str">
        <f aca="false">IF(S241=1,IF(ISNUMBER(I241),I241-G241,""),"")</f>
        <v/>
      </c>
      <c r="P241" s="59" t="str">
        <f aca="false">IF(T241=1,IF(ISNUMBER(L241),L241-G241,""),"")</f>
        <v/>
      </c>
      <c r="Q241" s="60" t="str">
        <f aca="false">IF(C241="","",IF(T241=1,"✔ SOLD / VENDIDO",IF(S241=0,"— CLOSED / CERRADO",IF(U241&lt;0,"⚠ ADD DATE / AGREGA FECHA",IF(U241&gt;=Settings!$C$8,"⚠ STALE – REPRICE / ESTANCADO",IF(U241&gt;=Settings!$C$7,"● WATCH / VIGILAR","✔ FRESH / RECIENTE"))))))</f>
        <v/>
      </c>
      <c r="S241" s="53" t="n">
        <f aca="false">IF(C241="",0,IF(OR(J241="",J241="In Stock / En Inventario",J241="Listed / Publicado"),1,0))</f>
        <v>0</v>
      </c>
      <c r="T241" s="53" t="n">
        <f aca="false">IF(C241="",0,IF(J241="Sold / Vendido",1,0))</f>
        <v>0</v>
      </c>
      <c r="U241" s="53" t="n">
        <f aca="true">IF(S241=1,IF(ISNUMBER(F241),TODAY()-F241,-1),-1)</f>
        <v>-1</v>
      </c>
      <c r="V241" s="53" t="n">
        <f aca="false">IF(U241&lt;0,IF(S241=1,5,0),IF(U241&lt;=30,1,IF(U241&lt;=60,2,IF(U241&lt;=90,3,4))))</f>
        <v>0</v>
      </c>
      <c r="W241" s="53" t="n">
        <f aca="false">IF(U241&lt;0,-1000000000000000,U241+ROW()/1000000)</f>
        <v>-1000000000000000</v>
      </c>
      <c r="X241" s="53" t="n">
        <f aca="false">IF(T241=1,IF(AND(ISNUMBER(F241),ISNUMBER(K241)),K241-F241,0),0)</f>
        <v>0</v>
      </c>
      <c r="Y241" s="53" t="n">
        <f aca="false">IF(T241=1,IF(AND(ISNUMBER(F241),ISNUMBER(K241)),1,0),0)</f>
        <v>0</v>
      </c>
      <c r="Z241" s="53" t="n">
        <f aca="false">IF(U241&gt;=Settings!$C$8,1,0)</f>
        <v>0</v>
      </c>
      <c r="AA241" s="53" t="n">
        <f aca="false">IF(S241=1,IF(J241="Listed / Publicado",0,1),0)</f>
        <v>0</v>
      </c>
      <c r="AB241" s="53" t="n">
        <f aca="false">IF(T241=1,IF(ISNUMBER(L241),L241-G241,0),0)</f>
        <v>0</v>
      </c>
      <c r="AC241" s="53" t="n">
        <f aca="false">IF(S241=1,IF(ISNUMBER(I241),I241-G241,0),0)</f>
        <v>0</v>
      </c>
    </row>
    <row r="242" customFormat="false" ht="15" hidden="false" customHeight="false" outlineLevel="0" collapsed="false">
      <c r="B242" s="54"/>
      <c r="C242" s="55"/>
      <c r="D242" s="55"/>
      <c r="E242" s="55"/>
      <c r="F242" s="56"/>
      <c r="G242" s="57"/>
      <c r="H242" s="55"/>
      <c r="I242" s="57"/>
      <c r="J242" s="54"/>
      <c r="K242" s="56"/>
      <c r="L242" s="57"/>
      <c r="M242" s="54"/>
      <c r="N242" s="58" t="str">
        <f aca="false">IF(S242=1,IF(U242&lt;0,"",U242),IF(Y242=1,X242,""))</f>
        <v/>
      </c>
      <c r="O242" s="59" t="str">
        <f aca="false">IF(S242=1,IF(ISNUMBER(I242),I242-G242,""),"")</f>
        <v/>
      </c>
      <c r="P242" s="59" t="str">
        <f aca="false">IF(T242=1,IF(ISNUMBER(L242),L242-G242,""),"")</f>
        <v/>
      </c>
      <c r="Q242" s="60" t="str">
        <f aca="false">IF(C242="","",IF(T242=1,"✔ SOLD / VENDIDO",IF(S242=0,"— CLOSED / CERRADO",IF(U242&lt;0,"⚠ ADD DATE / AGREGA FECHA",IF(U242&gt;=Settings!$C$8,"⚠ STALE – REPRICE / ESTANCADO",IF(U242&gt;=Settings!$C$7,"● WATCH / VIGILAR","✔ FRESH / RECIENTE"))))))</f>
        <v/>
      </c>
      <c r="S242" s="53" t="n">
        <f aca="false">IF(C242="",0,IF(OR(J242="",J242="In Stock / En Inventario",J242="Listed / Publicado"),1,0))</f>
        <v>0</v>
      </c>
      <c r="T242" s="53" t="n">
        <f aca="false">IF(C242="",0,IF(J242="Sold / Vendido",1,0))</f>
        <v>0</v>
      </c>
      <c r="U242" s="53" t="n">
        <f aca="true">IF(S242=1,IF(ISNUMBER(F242),TODAY()-F242,-1),-1)</f>
        <v>-1</v>
      </c>
      <c r="V242" s="53" t="n">
        <f aca="false">IF(U242&lt;0,IF(S242=1,5,0),IF(U242&lt;=30,1,IF(U242&lt;=60,2,IF(U242&lt;=90,3,4))))</f>
        <v>0</v>
      </c>
      <c r="W242" s="53" t="n">
        <f aca="false">IF(U242&lt;0,-1000000000000000,U242+ROW()/1000000)</f>
        <v>-1000000000000000</v>
      </c>
      <c r="X242" s="53" t="n">
        <f aca="false">IF(T242=1,IF(AND(ISNUMBER(F242),ISNUMBER(K242)),K242-F242,0),0)</f>
        <v>0</v>
      </c>
      <c r="Y242" s="53" t="n">
        <f aca="false">IF(T242=1,IF(AND(ISNUMBER(F242),ISNUMBER(K242)),1,0),0)</f>
        <v>0</v>
      </c>
      <c r="Z242" s="53" t="n">
        <f aca="false">IF(U242&gt;=Settings!$C$8,1,0)</f>
        <v>0</v>
      </c>
      <c r="AA242" s="53" t="n">
        <f aca="false">IF(S242=1,IF(J242="Listed / Publicado",0,1),0)</f>
        <v>0</v>
      </c>
      <c r="AB242" s="53" t="n">
        <f aca="false">IF(T242=1,IF(ISNUMBER(L242),L242-G242,0),0)</f>
        <v>0</v>
      </c>
      <c r="AC242" s="53" t="n">
        <f aca="false">IF(S242=1,IF(ISNUMBER(I242),I242-G242,0),0)</f>
        <v>0</v>
      </c>
    </row>
    <row r="243" customFormat="false" ht="15" hidden="false" customHeight="false" outlineLevel="0" collapsed="false">
      <c r="B243" s="54"/>
      <c r="C243" s="55"/>
      <c r="D243" s="55"/>
      <c r="E243" s="55"/>
      <c r="F243" s="56"/>
      <c r="G243" s="57"/>
      <c r="H243" s="55"/>
      <c r="I243" s="57"/>
      <c r="J243" s="54"/>
      <c r="K243" s="56"/>
      <c r="L243" s="57"/>
      <c r="M243" s="54"/>
      <c r="N243" s="58" t="str">
        <f aca="false">IF(S243=1,IF(U243&lt;0,"",U243),IF(Y243=1,X243,""))</f>
        <v/>
      </c>
      <c r="O243" s="59" t="str">
        <f aca="false">IF(S243=1,IF(ISNUMBER(I243),I243-G243,""),"")</f>
        <v/>
      </c>
      <c r="P243" s="59" t="str">
        <f aca="false">IF(T243=1,IF(ISNUMBER(L243),L243-G243,""),"")</f>
        <v/>
      </c>
      <c r="Q243" s="60" t="str">
        <f aca="false">IF(C243="","",IF(T243=1,"✔ SOLD / VENDIDO",IF(S243=0,"— CLOSED / CERRADO",IF(U243&lt;0,"⚠ ADD DATE / AGREGA FECHA",IF(U243&gt;=Settings!$C$8,"⚠ STALE – REPRICE / ESTANCADO",IF(U243&gt;=Settings!$C$7,"● WATCH / VIGILAR","✔ FRESH / RECIENTE"))))))</f>
        <v/>
      </c>
      <c r="S243" s="53" t="n">
        <f aca="false">IF(C243="",0,IF(OR(J243="",J243="In Stock / En Inventario",J243="Listed / Publicado"),1,0))</f>
        <v>0</v>
      </c>
      <c r="T243" s="53" t="n">
        <f aca="false">IF(C243="",0,IF(J243="Sold / Vendido",1,0))</f>
        <v>0</v>
      </c>
      <c r="U243" s="53" t="n">
        <f aca="true">IF(S243=1,IF(ISNUMBER(F243),TODAY()-F243,-1),-1)</f>
        <v>-1</v>
      </c>
      <c r="V243" s="53" t="n">
        <f aca="false">IF(U243&lt;0,IF(S243=1,5,0),IF(U243&lt;=30,1,IF(U243&lt;=60,2,IF(U243&lt;=90,3,4))))</f>
        <v>0</v>
      </c>
      <c r="W243" s="53" t="n">
        <f aca="false">IF(U243&lt;0,-1000000000000000,U243+ROW()/1000000)</f>
        <v>-1000000000000000</v>
      </c>
      <c r="X243" s="53" t="n">
        <f aca="false">IF(T243=1,IF(AND(ISNUMBER(F243),ISNUMBER(K243)),K243-F243,0),0)</f>
        <v>0</v>
      </c>
      <c r="Y243" s="53" t="n">
        <f aca="false">IF(T243=1,IF(AND(ISNUMBER(F243),ISNUMBER(K243)),1,0),0)</f>
        <v>0</v>
      </c>
      <c r="Z243" s="53" t="n">
        <f aca="false">IF(U243&gt;=Settings!$C$8,1,0)</f>
        <v>0</v>
      </c>
      <c r="AA243" s="53" t="n">
        <f aca="false">IF(S243=1,IF(J243="Listed / Publicado",0,1),0)</f>
        <v>0</v>
      </c>
      <c r="AB243" s="53" t="n">
        <f aca="false">IF(T243=1,IF(ISNUMBER(L243),L243-G243,0),0)</f>
        <v>0</v>
      </c>
      <c r="AC243" s="53" t="n">
        <f aca="false">IF(S243=1,IF(ISNUMBER(I243),I243-G243,0),0)</f>
        <v>0</v>
      </c>
    </row>
    <row r="244" customFormat="false" ht="15" hidden="false" customHeight="false" outlineLevel="0" collapsed="false">
      <c r="B244" s="54"/>
      <c r="C244" s="55"/>
      <c r="D244" s="55"/>
      <c r="E244" s="55"/>
      <c r="F244" s="56"/>
      <c r="G244" s="57"/>
      <c r="H244" s="55"/>
      <c r="I244" s="57"/>
      <c r="J244" s="54"/>
      <c r="K244" s="56"/>
      <c r="L244" s="57"/>
      <c r="M244" s="54"/>
      <c r="N244" s="58" t="str">
        <f aca="false">IF(S244=1,IF(U244&lt;0,"",U244),IF(Y244=1,X244,""))</f>
        <v/>
      </c>
      <c r="O244" s="59" t="str">
        <f aca="false">IF(S244=1,IF(ISNUMBER(I244),I244-G244,""),"")</f>
        <v/>
      </c>
      <c r="P244" s="59" t="str">
        <f aca="false">IF(T244=1,IF(ISNUMBER(L244),L244-G244,""),"")</f>
        <v/>
      </c>
      <c r="Q244" s="60" t="str">
        <f aca="false">IF(C244="","",IF(T244=1,"✔ SOLD / VENDIDO",IF(S244=0,"— CLOSED / CERRADO",IF(U244&lt;0,"⚠ ADD DATE / AGREGA FECHA",IF(U244&gt;=Settings!$C$8,"⚠ STALE – REPRICE / ESTANCADO",IF(U244&gt;=Settings!$C$7,"● WATCH / VIGILAR","✔ FRESH / RECIENTE"))))))</f>
        <v/>
      </c>
      <c r="S244" s="53" t="n">
        <f aca="false">IF(C244="",0,IF(OR(J244="",J244="In Stock / En Inventario",J244="Listed / Publicado"),1,0))</f>
        <v>0</v>
      </c>
      <c r="T244" s="53" t="n">
        <f aca="false">IF(C244="",0,IF(J244="Sold / Vendido",1,0))</f>
        <v>0</v>
      </c>
      <c r="U244" s="53" t="n">
        <f aca="true">IF(S244=1,IF(ISNUMBER(F244),TODAY()-F244,-1),-1)</f>
        <v>-1</v>
      </c>
      <c r="V244" s="53" t="n">
        <f aca="false">IF(U244&lt;0,IF(S244=1,5,0),IF(U244&lt;=30,1,IF(U244&lt;=60,2,IF(U244&lt;=90,3,4))))</f>
        <v>0</v>
      </c>
      <c r="W244" s="53" t="n">
        <f aca="false">IF(U244&lt;0,-1000000000000000,U244+ROW()/1000000)</f>
        <v>-1000000000000000</v>
      </c>
      <c r="X244" s="53" t="n">
        <f aca="false">IF(T244=1,IF(AND(ISNUMBER(F244),ISNUMBER(K244)),K244-F244,0),0)</f>
        <v>0</v>
      </c>
      <c r="Y244" s="53" t="n">
        <f aca="false">IF(T244=1,IF(AND(ISNUMBER(F244),ISNUMBER(K244)),1,0),0)</f>
        <v>0</v>
      </c>
      <c r="Z244" s="53" t="n">
        <f aca="false">IF(U244&gt;=Settings!$C$8,1,0)</f>
        <v>0</v>
      </c>
      <c r="AA244" s="53" t="n">
        <f aca="false">IF(S244=1,IF(J244="Listed / Publicado",0,1),0)</f>
        <v>0</v>
      </c>
      <c r="AB244" s="53" t="n">
        <f aca="false">IF(T244=1,IF(ISNUMBER(L244),L244-G244,0),0)</f>
        <v>0</v>
      </c>
      <c r="AC244" s="53" t="n">
        <f aca="false">IF(S244=1,IF(ISNUMBER(I244),I244-G244,0),0)</f>
        <v>0</v>
      </c>
    </row>
    <row r="245" customFormat="false" ht="15" hidden="false" customHeight="false" outlineLevel="0" collapsed="false">
      <c r="B245" s="54"/>
      <c r="C245" s="55"/>
      <c r="D245" s="55"/>
      <c r="E245" s="55"/>
      <c r="F245" s="56"/>
      <c r="G245" s="57"/>
      <c r="H245" s="55"/>
      <c r="I245" s="57"/>
      <c r="J245" s="54"/>
      <c r="K245" s="56"/>
      <c r="L245" s="57"/>
      <c r="M245" s="54"/>
      <c r="N245" s="58" t="str">
        <f aca="false">IF(S245=1,IF(U245&lt;0,"",U245),IF(Y245=1,X245,""))</f>
        <v/>
      </c>
      <c r="O245" s="59" t="str">
        <f aca="false">IF(S245=1,IF(ISNUMBER(I245),I245-G245,""),"")</f>
        <v/>
      </c>
      <c r="P245" s="59" t="str">
        <f aca="false">IF(T245=1,IF(ISNUMBER(L245),L245-G245,""),"")</f>
        <v/>
      </c>
      <c r="Q245" s="60" t="str">
        <f aca="false">IF(C245="","",IF(T245=1,"✔ SOLD / VENDIDO",IF(S245=0,"— CLOSED / CERRADO",IF(U245&lt;0,"⚠ ADD DATE / AGREGA FECHA",IF(U245&gt;=Settings!$C$8,"⚠ STALE – REPRICE / ESTANCADO",IF(U245&gt;=Settings!$C$7,"● WATCH / VIGILAR","✔ FRESH / RECIENTE"))))))</f>
        <v/>
      </c>
      <c r="S245" s="53" t="n">
        <f aca="false">IF(C245="",0,IF(OR(J245="",J245="In Stock / En Inventario",J245="Listed / Publicado"),1,0))</f>
        <v>0</v>
      </c>
      <c r="T245" s="53" t="n">
        <f aca="false">IF(C245="",0,IF(J245="Sold / Vendido",1,0))</f>
        <v>0</v>
      </c>
      <c r="U245" s="53" t="n">
        <f aca="true">IF(S245=1,IF(ISNUMBER(F245),TODAY()-F245,-1),-1)</f>
        <v>-1</v>
      </c>
      <c r="V245" s="53" t="n">
        <f aca="false">IF(U245&lt;0,IF(S245=1,5,0),IF(U245&lt;=30,1,IF(U245&lt;=60,2,IF(U245&lt;=90,3,4))))</f>
        <v>0</v>
      </c>
      <c r="W245" s="53" t="n">
        <f aca="false">IF(U245&lt;0,-1000000000000000,U245+ROW()/1000000)</f>
        <v>-1000000000000000</v>
      </c>
      <c r="X245" s="53" t="n">
        <f aca="false">IF(T245=1,IF(AND(ISNUMBER(F245),ISNUMBER(K245)),K245-F245,0),0)</f>
        <v>0</v>
      </c>
      <c r="Y245" s="53" t="n">
        <f aca="false">IF(T245=1,IF(AND(ISNUMBER(F245),ISNUMBER(K245)),1,0),0)</f>
        <v>0</v>
      </c>
      <c r="Z245" s="53" t="n">
        <f aca="false">IF(U245&gt;=Settings!$C$8,1,0)</f>
        <v>0</v>
      </c>
      <c r="AA245" s="53" t="n">
        <f aca="false">IF(S245=1,IF(J245="Listed / Publicado",0,1),0)</f>
        <v>0</v>
      </c>
      <c r="AB245" s="53" t="n">
        <f aca="false">IF(T245=1,IF(ISNUMBER(L245),L245-G245,0),0)</f>
        <v>0</v>
      </c>
      <c r="AC245" s="53" t="n">
        <f aca="false">IF(S245=1,IF(ISNUMBER(I245),I245-G245,0),0)</f>
        <v>0</v>
      </c>
    </row>
    <row r="246" customFormat="false" ht="15" hidden="false" customHeight="false" outlineLevel="0" collapsed="false">
      <c r="B246" s="54"/>
      <c r="C246" s="55"/>
      <c r="D246" s="55"/>
      <c r="E246" s="55"/>
      <c r="F246" s="56"/>
      <c r="G246" s="57"/>
      <c r="H246" s="55"/>
      <c r="I246" s="57"/>
      <c r="J246" s="54"/>
      <c r="K246" s="56"/>
      <c r="L246" s="57"/>
      <c r="M246" s="54"/>
      <c r="N246" s="58" t="str">
        <f aca="false">IF(S246=1,IF(U246&lt;0,"",U246),IF(Y246=1,X246,""))</f>
        <v/>
      </c>
      <c r="O246" s="59" t="str">
        <f aca="false">IF(S246=1,IF(ISNUMBER(I246),I246-G246,""),"")</f>
        <v/>
      </c>
      <c r="P246" s="59" t="str">
        <f aca="false">IF(T246=1,IF(ISNUMBER(L246),L246-G246,""),"")</f>
        <v/>
      </c>
      <c r="Q246" s="60" t="str">
        <f aca="false">IF(C246="","",IF(T246=1,"✔ SOLD / VENDIDO",IF(S246=0,"— CLOSED / CERRADO",IF(U246&lt;0,"⚠ ADD DATE / AGREGA FECHA",IF(U246&gt;=Settings!$C$8,"⚠ STALE – REPRICE / ESTANCADO",IF(U246&gt;=Settings!$C$7,"● WATCH / VIGILAR","✔ FRESH / RECIENTE"))))))</f>
        <v/>
      </c>
      <c r="S246" s="53" t="n">
        <f aca="false">IF(C246="",0,IF(OR(J246="",J246="In Stock / En Inventario",J246="Listed / Publicado"),1,0))</f>
        <v>0</v>
      </c>
      <c r="T246" s="53" t="n">
        <f aca="false">IF(C246="",0,IF(J246="Sold / Vendido",1,0))</f>
        <v>0</v>
      </c>
      <c r="U246" s="53" t="n">
        <f aca="true">IF(S246=1,IF(ISNUMBER(F246),TODAY()-F246,-1),-1)</f>
        <v>-1</v>
      </c>
      <c r="V246" s="53" t="n">
        <f aca="false">IF(U246&lt;0,IF(S246=1,5,0),IF(U246&lt;=30,1,IF(U246&lt;=60,2,IF(U246&lt;=90,3,4))))</f>
        <v>0</v>
      </c>
      <c r="W246" s="53" t="n">
        <f aca="false">IF(U246&lt;0,-1000000000000000,U246+ROW()/1000000)</f>
        <v>-1000000000000000</v>
      </c>
      <c r="X246" s="53" t="n">
        <f aca="false">IF(T246=1,IF(AND(ISNUMBER(F246),ISNUMBER(K246)),K246-F246,0),0)</f>
        <v>0</v>
      </c>
      <c r="Y246" s="53" t="n">
        <f aca="false">IF(T246=1,IF(AND(ISNUMBER(F246),ISNUMBER(K246)),1,0),0)</f>
        <v>0</v>
      </c>
      <c r="Z246" s="53" t="n">
        <f aca="false">IF(U246&gt;=Settings!$C$8,1,0)</f>
        <v>0</v>
      </c>
      <c r="AA246" s="53" t="n">
        <f aca="false">IF(S246=1,IF(J246="Listed / Publicado",0,1),0)</f>
        <v>0</v>
      </c>
      <c r="AB246" s="53" t="n">
        <f aca="false">IF(T246=1,IF(ISNUMBER(L246),L246-G246,0),0)</f>
        <v>0</v>
      </c>
      <c r="AC246" s="53" t="n">
        <f aca="false">IF(S246=1,IF(ISNUMBER(I246),I246-G246,0),0)</f>
        <v>0</v>
      </c>
    </row>
    <row r="247" customFormat="false" ht="15" hidden="false" customHeight="false" outlineLevel="0" collapsed="false">
      <c r="B247" s="54"/>
      <c r="C247" s="55"/>
      <c r="D247" s="55"/>
      <c r="E247" s="55"/>
      <c r="F247" s="56"/>
      <c r="G247" s="57"/>
      <c r="H247" s="55"/>
      <c r="I247" s="57"/>
      <c r="J247" s="54"/>
      <c r="K247" s="56"/>
      <c r="L247" s="57"/>
      <c r="M247" s="54"/>
      <c r="N247" s="58" t="str">
        <f aca="false">IF(S247=1,IF(U247&lt;0,"",U247),IF(Y247=1,X247,""))</f>
        <v/>
      </c>
      <c r="O247" s="59" t="str">
        <f aca="false">IF(S247=1,IF(ISNUMBER(I247),I247-G247,""),"")</f>
        <v/>
      </c>
      <c r="P247" s="59" t="str">
        <f aca="false">IF(T247=1,IF(ISNUMBER(L247),L247-G247,""),"")</f>
        <v/>
      </c>
      <c r="Q247" s="60" t="str">
        <f aca="false">IF(C247="","",IF(T247=1,"✔ SOLD / VENDIDO",IF(S247=0,"— CLOSED / CERRADO",IF(U247&lt;0,"⚠ ADD DATE / AGREGA FECHA",IF(U247&gt;=Settings!$C$8,"⚠ STALE – REPRICE / ESTANCADO",IF(U247&gt;=Settings!$C$7,"● WATCH / VIGILAR","✔ FRESH / RECIENTE"))))))</f>
        <v/>
      </c>
      <c r="S247" s="53" t="n">
        <f aca="false">IF(C247="",0,IF(OR(J247="",J247="In Stock / En Inventario",J247="Listed / Publicado"),1,0))</f>
        <v>0</v>
      </c>
      <c r="T247" s="53" t="n">
        <f aca="false">IF(C247="",0,IF(J247="Sold / Vendido",1,0))</f>
        <v>0</v>
      </c>
      <c r="U247" s="53" t="n">
        <f aca="true">IF(S247=1,IF(ISNUMBER(F247),TODAY()-F247,-1),-1)</f>
        <v>-1</v>
      </c>
      <c r="V247" s="53" t="n">
        <f aca="false">IF(U247&lt;0,IF(S247=1,5,0),IF(U247&lt;=30,1,IF(U247&lt;=60,2,IF(U247&lt;=90,3,4))))</f>
        <v>0</v>
      </c>
      <c r="W247" s="53" t="n">
        <f aca="false">IF(U247&lt;0,-1000000000000000,U247+ROW()/1000000)</f>
        <v>-1000000000000000</v>
      </c>
      <c r="X247" s="53" t="n">
        <f aca="false">IF(T247=1,IF(AND(ISNUMBER(F247),ISNUMBER(K247)),K247-F247,0),0)</f>
        <v>0</v>
      </c>
      <c r="Y247" s="53" t="n">
        <f aca="false">IF(T247=1,IF(AND(ISNUMBER(F247),ISNUMBER(K247)),1,0),0)</f>
        <v>0</v>
      </c>
      <c r="Z247" s="53" t="n">
        <f aca="false">IF(U247&gt;=Settings!$C$8,1,0)</f>
        <v>0</v>
      </c>
      <c r="AA247" s="53" t="n">
        <f aca="false">IF(S247=1,IF(J247="Listed / Publicado",0,1),0)</f>
        <v>0</v>
      </c>
      <c r="AB247" s="53" t="n">
        <f aca="false">IF(T247=1,IF(ISNUMBER(L247),L247-G247,0),0)</f>
        <v>0</v>
      </c>
      <c r="AC247" s="53" t="n">
        <f aca="false">IF(S247=1,IF(ISNUMBER(I247),I247-G247,0),0)</f>
        <v>0</v>
      </c>
    </row>
    <row r="248" customFormat="false" ht="15" hidden="false" customHeight="false" outlineLevel="0" collapsed="false">
      <c r="B248" s="54"/>
      <c r="C248" s="55"/>
      <c r="D248" s="55"/>
      <c r="E248" s="55"/>
      <c r="F248" s="56"/>
      <c r="G248" s="57"/>
      <c r="H248" s="55"/>
      <c r="I248" s="57"/>
      <c r="J248" s="54"/>
      <c r="K248" s="56"/>
      <c r="L248" s="57"/>
      <c r="M248" s="54"/>
      <c r="N248" s="58" t="str">
        <f aca="false">IF(S248=1,IF(U248&lt;0,"",U248),IF(Y248=1,X248,""))</f>
        <v/>
      </c>
      <c r="O248" s="59" t="str">
        <f aca="false">IF(S248=1,IF(ISNUMBER(I248),I248-G248,""),"")</f>
        <v/>
      </c>
      <c r="P248" s="59" t="str">
        <f aca="false">IF(T248=1,IF(ISNUMBER(L248),L248-G248,""),"")</f>
        <v/>
      </c>
      <c r="Q248" s="60" t="str">
        <f aca="false">IF(C248="","",IF(T248=1,"✔ SOLD / VENDIDO",IF(S248=0,"— CLOSED / CERRADO",IF(U248&lt;0,"⚠ ADD DATE / AGREGA FECHA",IF(U248&gt;=Settings!$C$8,"⚠ STALE – REPRICE / ESTANCADO",IF(U248&gt;=Settings!$C$7,"● WATCH / VIGILAR","✔ FRESH / RECIENTE"))))))</f>
        <v/>
      </c>
      <c r="S248" s="53" t="n">
        <f aca="false">IF(C248="",0,IF(OR(J248="",J248="In Stock / En Inventario",J248="Listed / Publicado"),1,0))</f>
        <v>0</v>
      </c>
      <c r="T248" s="53" t="n">
        <f aca="false">IF(C248="",0,IF(J248="Sold / Vendido",1,0))</f>
        <v>0</v>
      </c>
      <c r="U248" s="53" t="n">
        <f aca="true">IF(S248=1,IF(ISNUMBER(F248),TODAY()-F248,-1),-1)</f>
        <v>-1</v>
      </c>
      <c r="V248" s="53" t="n">
        <f aca="false">IF(U248&lt;0,IF(S248=1,5,0),IF(U248&lt;=30,1,IF(U248&lt;=60,2,IF(U248&lt;=90,3,4))))</f>
        <v>0</v>
      </c>
      <c r="W248" s="53" t="n">
        <f aca="false">IF(U248&lt;0,-1000000000000000,U248+ROW()/1000000)</f>
        <v>-1000000000000000</v>
      </c>
      <c r="X248" s="53" t="n">
        <f aca="false">IF(T248=1,IF(AND(ISNUMBER(F248),ISNUMBER(K248)),K248-F248,0),0)</f>
        <v>0</v>
      </c>
      <c r="Y248" s="53" t="n">
        <f aca="false">IF(T248=1,IF(AND(ISNUMBER(F248),ISNUMBER(K248)),1,0),0)</f>
        <v>0</v>
      </c>
      <c r="Z248" s="53" t="n">
        <f aca="false">IF(U248&gt;=Settings!$C$8,1,0)</f>
        <v>0</v>
      </c>
      <c r="AA248" s="53" t="n">
        <f aca="false">IF(S248=1,IF(J248="Listed / Publicado",0,1),0)</f>
        <v>0</v>
      </c>
      <c r="AB248" s="53" t="n">
        <f aca="false">IF(T248=1,IF(ISNUMBER(L248),L248-G248,0),0)</f>
        <v>0</v>
      </c>
      <c r="AC248" s="53" t="n">
        <f aca="false">IF(S248=1,IF(ISNUMBER(I248),I248-G248,0),0)</f>
        <v>0</v>
      </c>
    </row>
    <row r="249" customFormat="false" ht="15" hidden="false" customHeight="false" outlineLevel="0" collapsed="false">
      <c r="B249" s="54"/>
      <c r="C249" s="55"/>
      <c r="D249" s="55"/>
      <c r="E249" s="55"/>
      <c r="F249" s="56"/>
      <c r="G249" s="57"/>
      <c r="H249" s="55"/>
      <c r="I249" s="57"/>
      <c r="J249" s="54"/>
      <c r="K249" s="56"/>
      <c r="L249" s="57"/>
      <c r="M249" s="54"/>
      <c r="N249" s="58" t="str">
        <f aca="false">IF(S249=1,IF(U249&lt;0,"",U249),IF(Y249=1,X249,""))</f>
        <v/>
      </c>
      <c r="O249" s="59" t="str">
        <f aca="false">IF(S249=1,IF(ISNUMBER(I249),I249-G249,""),"")</f>
        <v/>
      </c>
      <c r="P249" s="59" t="str">
        <f aca="false">IF(T249=1,IF(ISNUMBER(L249),L249-G249,""),"")</f>
        <v/>
      </c>
      <c r="Q249" s="60" t="str">
        <f aca="false">IF(C249="","",IF(T249=1,"✔ SOLD / VENDIDO",IF(S249=0,"— CLOSED / CERRADO",IF(U249&lt;0,"⚠ ADD DATE / AGREGA FECHA",IF(U249&gt;=Settings!$C$8,"⚠ STALE – REPRICE / ESTANCADO",IF(U249&gt;=Settings!$C$7,"● WATCH / VIGILAR","✔ FRESH / RECIENTE"))))))</f>
        <v/>
      </c>
      <c r="S249" s="53" t="n">
        <f aca="false">IF(C249="",0,IF(OR(J249="",J249="In Stock / En Inventario",J249="Listed / Publicado"),1,0))</f>
        <v>0</v>
      </c>
      <c r="T249" s="53" t="n">
        <f aca="false">IF(C249="",0,IF(J249="Sold / Vendido",1,0))</f>
        <v>0</v>
      </c>
      <c r="U249" s="53" t="n">
        <f aca="true">IF(S249=1,IF(ISNUMBER(F249),TODAY()-F249,-1),-1)</f>
        <v>-1</v>
      </c>
      <c r="V249" s="53" t="n">
        <f aca="false">IF(U249&lt;0,IF(S249=1,5,0),IF(U249&lt;=30,1,IF(U249&lt;=60,2,IF(U249&lt;=90,3,4))))</f>
        <v>0</v>
      </c>
      <c r="W249" s="53" t="n">
        <f aca="false">IF(U249&lt;0,-1000000000000000,U249+ROW()/1000000)</f>
        <v>-1000000000000000</v>
      </c>
      <c r="X249" s="53" t="n">
        <f aca="false">IF(T249=1,IF(AND(ISNUMBER(F249),ISNUMBER(K249)),K249-F249,0),0)</f>
        <v>0</v>
      </c>
      <c r="Y249" s="53" t="n">
        <f aca="false">IF(T249=1,IF(AND(ISNUMBER(F249),ISNUMBER(K249)),1,0),0)</f>
        <v>0</v>
      </c>
      <c r="Z249" s="53" t="n">
        <f aca="false">IF(U249&gt;=Settings!$C$8,1,0)</f>
        <v>0</v>
      </c>
      <c r="AA249" s="53" t="n">
        <f aca="false">IF(S249=1,IF(J249="Listed / Publicado",0,1),0)</f>
        <v>0</v>
      </c>
      <c r="AB249" s="53" t="n">
        <f aca="false">IF(T249=1,IF(ISNUMBER(L249),L249-G249,0),0)</f>
        <v>0</v>
      </c>
      <c r="AC249" s="53" t="n">
        <f aca="false">IF(S249=1,IF(ISNUMBER(I249),I249-G249,0),0)</f>
        <v>0</v>
      </c>
    </row>
    <row r="250" customFormat="false" ht="15" hidden="false" customHeight="false" outlineLevel="0" collapsed="false">
      <c r="B250" s="54"/>
      <c r="C250" s="55"/>
      <c r="D250" s="55"/>
      <c r="E250" s="55"/>
      <c r="F250" s="56"/>
      <c r="G250" s="57"/>
      <c r="H250" s="55"/>
      <c r="I250" s="57"/>
      <c r="J250" s="54"/>
      <c r="K250" s="56"/>
      <c r="L250" s="57"/>
      <c r="M250" s="54"/>
      <c r="N250" s="58" t="str">
        <f aca="false">IF(S250=1,IF(U250&lt;0,"",U250),IF(Y250=1,X250,""))</f>
        <v/>
      </c>
      <c r="O250" s="59" t="str">
        <f aca="false">IF(S250=1,IF(ISNUMBER(I250),I250-G250,""),"")</f>
        <v/>
      </c>
      <c r="P250" s="59" t="str">
        <f aca="false">IF(T250=1,IF(ISNUMBER(L250),L250-G250,""),"")</f>
        <v/>
      </c>
      <c r="Q250" s="60" t="str">
        <f aca="false">IF(C250="","",IF(T250=1,"✔ SOLD / VENDIDO",IF(S250=0,"— CLOSED / CERRADO",IF(U250&lt;0,"⚠ ADD DATE / AGREGA FECHA",IF(U250&gt;=Settings!$C$8,"⚠ STALE – REPRICE / ESTANCADO",IF(U250&gt;=Settings!$C$7,"● WATCH / VIGILAR","✔ FRESH / RECIENTE"))))))</f>
        <v/>
      </c>
      <c r="S250" s="53" t="n">
        <f aca="false">IF(C250="",0,IF(OR(J250="",J250="In Stock / En Inventario",J250="Listed / Publicado"),1,0))</f>
        <v>0</v>
      </c>
      <c r="T250" s="53" t="n">
        <f aca="false">IF(C250="",0,IF(J250="Sold / Vendido",1,0))</f>
        <v>0</v>
      </c>
      <c r="U250" s="53" t="n">
        <f aca="true">IF(S250=1,IF(ISNUMBER(F250),TODAY()-F250,-1),-1)</f>
        <v>-1</v>
      </c>
      <c r="V250" s="53" t="n">
        <f aca="false">IF(U250&lt;0,IF(S250=1,5,0),IF(U250&lt;=30,1,IF(U250&lt;=60,2,IF(U250&lt;=90,3,4))))</f>
        <v>0</v>
      </c>
      <c r="W250" s="53" t="n">
        <f aca="false">IF(U250&lt;0,-1000000000000000,U250+ROW()/1000000)</f>
        <v>-1000000000000000</v>
      </c>
      <c r="X250" s="53" t="n">
        <f aca="false">IF(T250=1,IF(AND(ISNUMBER(F250),ISNUMBER(K250)),K250-F250,0),0)</f>
        <v>0</v>
      </c>
      <c r="Y250" s="53" t="n">
        <f aca="false">IF(T250=1,IF(AND(ISNUMBER(F250),ISNUMBER(K250)),1,0),0)</f>
        <v>0</v>
      </c>
      <c r="Z250" s="53" t="n">
        <f aca="false">IF(U250&gt;=Settings!$C$8,1,0)</f>
        <v>0</v>
      </c>
      <c r="AA250" s="53" t="n">
        <f aca="false">IF(S250=1,IF(J250="Listed / Publicado",0,1),0)</f>
        <v>0</v>
      </c>
      <c r="AB250" s="53" t="n">
        <f aca="false">IF(T250=1,IF(ISNUMBER(L250),L250-G250,0),0)</f>
        <v>0</v>
      </c>
      <c r="AC250" s="53" t="n">
        <f aca="false">IF(S250=1,IF(ISNUMBER(I250),I250-G250,0),0)</f>
        <v>0</v>
      </c>
    </row>
    <row r="251" customFormat="false" ht="15" hidden="false" customHeight="false" outlineLevel="0" collapsed="false">
      <c r="B251" s="54"/>
      <c r="C251" s="55"/>
      <c r="D251" s="55"/>
      <c r="E251" s="55"/>
      <c r="F251" s="56"/>
      <c r="G251" s="57"/>
      <c r="H251" s="55"/>
      <c r="I251" s="57"/>
      <c r="J251" s="54"/>
      <c r="K251" s="56"/>
      <c r="L251" s="57"/>
      <c r="M251" s="54"/>
      <c r="N251" s="58" t="str">
        <f aca="false">IF(S251=1,IF(U251&lt;0,"",U251),IF(Y251=1,X251,""))</f>
        <v/>
      </c>
      <c r="O251" s="59" t="str">
        <f aca="false">IF(S251=1,IF(ISNUMBER(I251),I251-G251,""),"")</f>
        <v/>
      </c>
      <c r="P251" s="59" t="str">
        <f aca="false">IF(T251=1,IF(ISNUMBER(L251),L251-G251,""),"")</f>
        <v/>
      </c>
      <c r="Q251" s="60" t="str">
        <f aca="false">IF(C251="","",IF(T251=1,"✔ SOLD / VENDIDO",IF(S251=0,"— CLOSED / CERRADO",IF(U251&lt;0,"⚠ ADD DATE / AGREGA FECHA",IF(U251&gt;=Settings!$C$8,"⚠ STALE – REPRICE / ESTANCADO",IF(U251&gt;=Settings!$C$7,"● WATCH / VIGILAR","✔ FRESH / RECIENTE"))))))</f>
        <v/>
      </c>
      <c r="S251" s="53" t="n">
        <f aca="false">IF(C251="",0,IF(OR(J251="",J251="In Stock / En Inventario",J251="Listed / Publicado"),1,0))</f>
        <v>0</v>
      </c>
      <c r="T251" s="53" t="n">
        <f aca="false">IF(C251="",0,IF(J251="Sold / Vendido",1,0))</f>
        <v>0</v>
      </c>
      <c r="U251" s="53" t="n">
        <f aca="true">IF(S251=1,IF(ISNUMBER(F251),TODAY()-F251,-1),-1)</f>
        <v>-1</v>
      </c>
      <c r="V251" s="53" t="n">
        <f aca="false">IF(U251&lt;0,IF(S251=1,5,0),IF(U251&lt;=30,1,IF(U251&lt;=60,2,IF(U251&lt;=90,3,4))))</f>
        <v>0</v>
      </c>
      <c r="W251" s="53" t="n">
        <f aca="false">IF(U251&lt;0,-1000000000000000,U251+ROW()/1000000)</f>
        <v>-1000000000000000</v>
      </c>
      <c r="X251" s="53" t="n">
        <f aca="false">IF(T251=1,IF(AND(ISNUMBER(F251),ISNUMBER(K251)),K251-F251,0),0)</f>
        <v>0</v>
      </c>
      <c r="Y251" s="53" t="n">
        <f aca="false">IF(T251=1,IF(AND(ISNUMBER(F251),ISNUMBER(K251)),1,0),0)</f>
        <v>0</v>
      </c>
      <c r="Z251" s="53" t="n">
        <f aca="false">IF(U251&gt;=Settings!$C$8,1,0)</f>
        <v>0</v>
      </c>
      <c r="AA251" s="53" t="n">
        <f aca="false">IF(S251=1,IF(J251="Listed / Publicado",0,1),0)</f>
        <v>0</v>
      </c>
      <c r="AB251" s="53" t="n">
        <f aca="false">IF(T251=1,IF(ISNUMBER(L251),L251-G251,0),0)</f>
        <v>0</v>
      </c>
      <c r="AC251" s="53" t="n">
        <f aca="false">IF(S251=1,IF(ISNUMBER(I251),I251-G251,0),0)</f>
        <v>0</v>
      </c>
    </row>
    <row r="252" customFormat="false" ht="15" hidden="false" customHeight="false" outlineLevel="0" collapsed="false">
      <c r="B252" s="54"/>
      <c r="C252" s="55"/>
      <c r="D252" s="55"/>
      <c r="E252" s="55"/>
      <c r="F252" s="56"/>
      <c r="G252" s="57"/>
      <c r="H252" s="55"/>
      <c r="I252" s="57"/>
      <c r="J252" s="54"/>
      <c r="K252" s="56"/>
      <c r="L252" s="57"/>
      <c r="M252" s="54"/>
      <c r="N252" s="58" t="str">
        <f aca="false">IF(S252=1,IF(U252&lt;0,"",U252),IF(Y252=1,X252,""))</f>
        <v/>
      </c>
      <c r="O252" s="59" t="str">
        <f aca="false">IF(S252=1,IF(ISNUMBER(I252),I252-G252,""),"")</f>
        <v/>
      </c>
      <c r="P252" s="59" t="str">
        <f aca="false">IF(T252=1,IF(ISNUMBER(L252),L252-G252,""),"")</f>
        <v/>
      </c>
      <c r="Q252" s="60" t="str">
        <f aca="false">IF(C252="","",IF(T252=1,"✔ SOLD / VENDIDO",IF(S252=0,"— CLOSED / CERRADO",IF(U252&lt;0,"⚠ ADD DATE / AGREGA FECHA",IF(U252&gt;=Settings!$C$8,"⚠ STALE – REPRICE / ESTANCADO",IF(U252&gt;=Settings!$C$7,"● WATCH / VIGILAR","✔ FRESH / RECIENTE"))))))</f>
        <v/>
      </c>
      <c r="S252" s="53" t="n">
        <f aca="false">IF(C252="",0,IF(OR(J252="",J252="In Stock / En Inventario",J252="Listed / Publicado"),1,0))</f>
        <v>0</v>
      </c>
      <c r="T252" s="53" t="n">
        <f aca="false">IF(C252="",0,IF(J252="Sold / Vendido",1,0))</f>
        <v>0</v>
      </c>
      <c r="U252" s="53" t="n">
        <f aca="true">IF(S252=1,IF(ISNUMBER(F252),TODAY()-F252,-1),-1)</f>
        <v>-1</v>
      </c>
      <c r="V252" s="53" t="n">
        <f aca="false">IF(U252&lt;0,IF(S252=1,5,0),IF(U252&lt;=30,1,IF(U252&lt;=60,2,IF(U252&lt;=90,3,4))))</f>
        <v>0</v>
      </c>
      <c r="W252" s="53" t="n">
        <f aca="false">IF(U252&lt;0,-1000000000000000,U252+ROW()/1000000)</f>
        <v>-1000000000000000</v>
      </c>
      <c r="X252" s="53" t="n">
        <f aca="false">IF(T252=1,IF(AND(ISNUMBER(F252),ISNUMBER(K252)),K252-F252,0),0)</f>
        <v>0</v>
      </c>
      <c r="Y252" s="53" t="n">
        <f aca="false">IF(T252=1,IF(AND(ISNUMBER(F252),ISNUMBER(K252)),1,0),0)</f>
        <v>0</v>
      </c>
      <c r="Z252" s="53" t="n">
        <f aca="false">IF(U252&gt;=Settings!$C$8,1,0)</f>
        <v>0</v>
      </c>
      <c r="AA252" s="53" t="n">
        <f aca="false">IF(S252=1,IF(J252="Listed / Publicado",0,1),0)</f>
        <v>0</v>
      </c>
      <c r="AB252" s="53" t="n">
        <f aca="false">IF(T252=1,IF(ISNUMBER(L252),L252-G252,0),0)</f>
        <v>0</v>
      </c>
      <c r="AC252" s="53" t="n">
        <f aca="false">IF(S252=1,IF(ISNUMBER(I252),I252-G252,0),0)</f>
        <v>0</v>
      </c>
    </row>
    <row r="253" customFormat="false" ht="15" hidden="false" customHeight="false" outlineLevel="0" collapsed="false">
      <c r="B253" s="54"/>
      <c r="C253" s="55"/>
      <c r="D253" s="55"/>
      <c r="E253" s="55"/>
      <c r="F253" s="56"/>
      <c r="G253" s="57"/>
      <c r="H253" s="55"/>
      <c r="I253" s="57"/>
      <c r="J253" s="54"/>
      <c r="K253" s="56"/>
      <c r="L253" s="57"/>
      <c r="M253" s="54"/>
      <c r="N253" s="58" t="str">
        <f aca="false">IF(S253=1,IF(U253&lt;0,"",U253),IF(Y253=1,X253,""))</f>
        <v/>
      </c>
      <c r="O253" s="59" t="str">
        <f aca="false">IF(S253=1,IF(ISNUMBER(I253),I253-G253,""),"")</f>
        <v/>
      </c>
      <c r="P253" s="59" t="str">
        <f aca="false">IF(T253=1,IF(ISNUMBER(L253),L253-G253,""),"")</f>
        <v/>
      </c>
      <c r="Q253" s="60" t="str">
        <f aca="false">IF(C253="","",IF(T253=1,"✔ SOLD / VENDIDO",IF(S253=0,"— CLOSED / CERRADO",IF(U253&lt;0,"⚠ ADD DATE / AGREGA FECHA",IF(U253&gt;=Settings!$C$8,"⚠ STALE – REPRICE / ESTANCADO",IF(U253&gt;=Settings!$C$7,"● WATCH / VIGILAR","✔ FRESH / RECIENTE"))))))</f>
        <v/>
      </c>
      <c r="S253" s="53" t="n">
        <f aca="false">IF(C253="",0,IF(OR(J253="",J253="In Stock / En Inventario",J253="Listed / Publicado"),1,0))</f>
        <v>0</v>
      </c>
      <c r="T253" s="53" t="n">
        <f aca="false">IF(C253="",0,IF(J253="Sold / Vendido",1,0))</f>
        <v>0</v>
      </c>
      <c r="U253" s="53" t="n">
        <f aca="true">IF(S253=1,IF(ISNUMBER(F253),TODAY()-F253,-1),-1)</f>
        <v>-1</v>
      </c>
      <c r="V253" s="53" t="n">
        <f aca="false">IF(U253&lt;0,IF(S253=1,5,0),IF(U253&lt;=30,1,IF(U253&lt;=60,2,IF(U253&lt;=90,3,4))))</f>
        <v>0</v>
      </c>
      <c r="W253" s="53" t="n">
        <f aca="false">IF(U253&lt;0,-1000000000000000,U253+ROW()/1000000)</f>
        <v>-1000000000000000</v>
      </c>
      <c r="X253" s="53" t="n">
        <f aca="false">IF(T253=1,IF(AND(ISNUMBER(F253),ISNUMBER(K253)),K253-F253,0),0)</f>
        <v>0</v>
      </c>
      <c r="Y253" s="53" t="n">
        <f aca="false">IF(T253=1,IF(AND(ISNUMBER(F253),ISNUMBER(K253)),1,0),0)</f>
        <v>0</v>
      </c>
      <c r="Z253" s="53" t="n">
        <f aca="false">IF(U253&gt;=Settings!$C$8,1,0)</f>
        <v>0</v>
      </c>
      <c r="AA253" s="53" t="n">
        <f aca="false">IF(S253=1,IF(J253="Listed / Publicado",0,1),0)</f>
        <v>0</v>
      </c>
      <c r="AB253" s="53" t="n">
        <f aca="false">IF(T253=1,IF(ISNUMBER(L253),L253-G253,0),0)</f>
        <v>0</v>
      </c>
      <c r="AC253" s="53" t="n">
        <f aca="false">IF(S253=1,IF(ISNUMBER(I253),I253-G253,0),0)</f>
        <v>0</v>
      </c>
    </row>
    <row r="254" customFormat="false" ht="15" hidden="false" customHeight="false" outlineLevel="0" collapsed="false">
      <c r="B254" s="54"/>
      <c r="C254" s="55"/>
      <c r="D254" s="55"/>
      <c r="E254" s="55"/>
      <c r="F254" s="56"/>
      <c r="G254" s="57"/>
      <c r="H254" s="55"/>
      <c r="I254" s="57"/>
      <c r="J254" s="54"/>
      <c r="K254" s="56"/>
      <c r="L254" s="57"/>
      <c r="M254" s="54"/>
      <c r="N254" s="58" t="str">
        <f aca="false">IF(S254=1,IF(U254&lt;0,"",U254),IF(Y254=1,X254,""))</f>
        <v/>
      </c>
      <c r="O254" s="59" t="str">
        <f aca="false">IF(S254=1,IF(ISNUMBER(I254),I254-G254,""),"")</f>
        <v/>
      </c>
      <c r="P254" s="59" t="str">
        <f aca="false">IF(T254=1,IF(ISNUMBER(L254),L254-G254,""),"")</f>
        <v/>
      </c>
      <c r="Q254" s="60" t="str">
        <f aca="false">IF(C254="","",IF(T254=1,"✔ SOLD / VENDIDO",IF(S254=0,"— CLOSED / CERRADO",IF(U254&lt;0,"⚠ ADD DATE / AGREGA FECHA",IF(U254&gt;=Settings!$C$8,"⚠ STALE – REPRICE / ESTANCADO",IF(U254&gt;=Settings!$C$7,"● WATCH / VIGILAR","✔ FRESH / RECIENTE"))))))</f>
        <v/>
      </c>
      <c r="S254" s="53" t="n">
        <f aca="false">IF(C254="",0,IF(OR(J254="",J254="In Stock / En Inventario",J254="Listed / Publicado"),1,0))</f>
        <v>0</v>
      </c>
      <c r="T254" s="53" t="n">
        <f aca="false">IF(C254="",0,IF(J254="Sold / Vendido",1,0))</f>
        <v>0</v>
      </c>
      <c r="U254" s="53" t="n">
        <f aca="true">IF(S254=1,IF(ISNUMBER(F254),TODAY()-F254,-1),-1)</f>
        <v>-1</v>
      </c>
      <c r="V254" s="53" t="n">
        <f aca="false">IF(U254&lt;0,IF(S254=1,5,0),IF(U254&lt;=30,1,IF(U254&lt;=60,2,IF(U254&lt;=90,3,4))))</f>
        <v>0</v>
      </c>
      <c r="W254" s="53" t="n">
        <f aca="false">IF(U254&lt;0,-1000000000000000,U254+ROW()/1000000)</f>
        <v>-1000000000000000</v>
      </c>
      <c r="X254" s="53" t="n">
        <f aca="false">IF(T254=1,IF(AND(ISNUMBER(F254),ISNUMBER(K254)),K254-F254,0),0)</f>
        <v>0</v>
      </c>
      <c r="Y254" s="53" t="n">
        <f aca="false">IF(T254=1,IF(AND(ISNUMBER(F254),ISNUMBER(K254)),1,0),0)</f>
        <v>0</v>
      </c>
      <c r="Z254" s="53" t="n">
        <f aca="false">IF(U254&gt;=Settings!$C$8,1,0)</f>
        <v>0</v>
      </c>
      <c r="AA254" s="53" t="n">
        <f aca="false">IF(S254=1,IF(J254="Listed / Publicado",0,1),0)</f>
        <v>0</v>
      </c>
      <c r="AB254" s="53" t="n">
        <f aca="false">IF(T254=1,IF(ISNUMBER(L254),L254-G254,0),0)</f>
        <v>0</v>
      </c>
      <c r="AC254" s="53" t="n">
        <f aca="false">IF(S254=1,IF(ISNUMBER(I254),I254-G254,0),0)</f>
        <v>0</v>
      </c>
    </row>
    <row r="255" customFormat="false" ht="15" hidden="false" customHeight="false" outlineLevel="0" collapsed="false">
      <c r="B255" s="54"/>
      <c r="C255" s="55"/>
      <c r="D255" s="55"/>
      <c r="E255" s="55"/>
      <c r="F255" s="56"/>
      <c r="G255" s="57"/>
      <c r="H255" s="55"/>
      <c r="I255" s="57"/>
      <c r="J255" s="54"/>
      <c r="K255" s="56"/>
      <c r="L255" s="57"/>
      <c r="M255" s="54"/>
      <c r="N255" s="58" t="str">
        <f aca="false">IF(S255=1,IF(U255&lt;0,"",U255),IF(Y255=1,X255,""))</f>
        <v/>
      </c>
      <c r="O255" s="59" t="str">
        <f aca="false">IF(S255=1,IF(ISNUMBER(I255),I255-G255,""),"")</f>
        <v/>
      </c>
      <c r="P255" s="59" t="str">
        <f aca="false">IF(T255=1,IF(ISNUMBER(L255),L255-G255,""),"")</f>
        <v/>
      </c>
      <c r="Q255" s="60" t="str">
        <f aca="false">IF(C255="","",IF(T255=1,"✔ SOLD / VENDIDO",IF(S255=0,"— CLOSED / CERRADO",IF(U255&lt;0,"⚠ ADD DATE / AGREGA FECHA",IF(U255&gt;=Settings!$C$8,"⚠ STALE – REPRICE / ESTANCADO",IF(U255&gt;=Settings!$C$7,"● WATCH / VIGILAR","✔ FRESH / RECIENTE"))))))</f>
        <v/>
      </c>
      <c r="S255" s="53" t="n">
        <f aca="false">IF(C255="",0,IF(OR(J255="",J255="In Stock / En Inventario",J255="Listed / Publicado"),1,0))</f>
        <v>0</v>
      </c>
      <c r="T255" s="53" t="n">
        <f aca="false">IF(C255="",0,IF(J255="Sold / Vendido",1,0))</f>
        <v>0</v>
      </c>
      <c r="U255" s="53" t="n">
        <f aca="true">IF(S255=1,IF(ISNUMBER(F255),TODAY()-F255,-1),-1)</f>
        <v>-1</v>
      </c>
      <c r="V255" s="53" t="n">
        <f aca="false">IF(U255&lt;0,IF(S255=1,5,0),IF(U255&lt;=30,1,IF(U255&lt;=60,2,IF(U255&lt;=90,3,4))))</f>
        <v>0</v>
      </c>
      <c r="W255" s="53" t="n">
        <f aca="false">IF(U255&lt;0,-1000000000000000,U255+ROW()/1000000)</f>
        <v>-1000000000000000</v>
      </c>
      <c r="X255" s="53" t="n">
        <f aca="false">IF(T255=1,IF(AND(ISNUMBER(F255),ISNUMBER(K255)),K255-F255,0),0)</f>
        <v>0</v>
      </c>
      <c r="Y255" s="53" t="n">
        <f aca="false">IF(T255=1,IF(AND(ISNUMBER(F255),ISNUMBER(K255)),1,0),0)</f>
        <v>0</v>
      </c>
      <c r="Z255" s="53" t="n">
        <f aca="false">IF(U255&gt;=Settings!$C$8,1,0)</f>
        <v>0</v>
      </c>
      <c r="AA255" s="53" t="n">
        <f aca="false">IF(S255=1,IF(J255="Listed / Publicado",0,1),0)</f>
        <v>0</v>
      </c>
      <c r="AB255" s="53" t="n">
        <f aca="false">IF(T255=1,IF(ISNUMBER(L255),L255-G255,0),0)</f>
        <v>0</v>
      </c>
      <c r="AC255" s="53" t="n">
        <f aca="false">IF(S255=1,IF(ISNUMBER(I255),I255-G255,0),0)</f>
        <v>0</v>
      </c>
    </row>
    <row r="256" customFormat="false" ht="15" hidden="false" customHeight="false" outlineLevel="0" collapsed="false">
      <c r="B256" s="54"/>
      <c r="C256" s="55"/>
      <c r="D256" s="55"/>
      <c r="E256" s="55"/>
      <c r="F256" s="56"/>
      <c r="G256" s="57"/>
      <c r="H256" s="55"/>
      <c r="I256" s="57"/>
      <c r="J256" s="54"/>
      <c r="K256" s="56"/>
      <c r="L256" s="57"/>
      <c r="M256" s="54"/>
      <c r="N256" s="58" t="str">
        <f aca="false">IF(S256=1,IF(U256&lt;0,"",U256),IF(Y256=1,X256,""))</f>
        <v/>
      </c>
      <c r="O256" s="59" t="str">
        <f aca="false">IF(S256=1,IF(ISNUMBER(I256),I256-G256,""),"")</f>
        <v/>
      </c>
      <c r="P256" s="59" t="str">
        <f aca="false">IF(T256=1,IF(ISNUMBER(L256),L256-G256,""),"")</f>
        <v/>
      </c>
      <c r="Q256" s="60" t="str">
        <f aca="false">IF(C256="","",IF(T256=1,"✔ SOLD / VENDIDO",IF(S256=0,"— CLOSED / CERRADO",IF(U256&lt;0,"⚠ ADD DATE / AGREGA FECHA",IF(U256&gt;=Settings!$C$8,"⚠ STALE – REPRICE / ESTANCADO",IF(U256&gt;=Settings!$C$7,"● WATCH / VIGILAR","✔ FRESH / RECIENTE"))))))</f>
        <v/>
      </c>
      <c r="S256" s="53" t="n">
        <f aca="false">IF(C256="",0,IF(OR(J256="",J256="In Stock / En Inventario",J256="Listed / Publicado"),1,0))</f>
        <v>0</v>
      </c>
      <c r="T256" s="53" t="n">
        <f aca="false">IF(C256="",0,IF(J256="Sold / Vendido",1,0))</f>
        <v>0</v>
      </c>
      <c r="U256" s="53" t="n">
        <f aca="true">IF(S256=1,IF(ISNUMBER(F256),TODAY()-F256,-1),-1)</f>
        <v>-1</v>
      </c>
      <c r="V256" s="53" t="n">
        <f aca="false">IF(U256&lt;0,IF(S256=1,5,0),IF(U256&lt;=30,1,IF(U256&lt;=60,2,IF(U256&lt;=90,3,4))))</f>
        <v>0</v>
      </c>
      <c r="W256" s="53" t="n">
        <f aca="false">IF(U256&lt;0,-1000000000000000,U256+ROW()/1000000)</f>
        <v>-1000000000000000</v>
      </c>
      <c r="X256" s="53" t="n">
        <f aca="false">IF(T256=1,IF(AND(ISNUMBER(F256),ISNUMBER(K256)),K256-F256,0),0)</f>
        <v>0</v>
      </c>
      <c r="Y256" s="53" t="n">
        <f aca="false">IF(T256=1,IF(AND(ISNUMBER(F256),ISNUMBER(K256)),1,0),0)</f>
        <v>0</v>
      </c>
      <c r="Z256" s="53" t="n">
        <f aca="false">IF(U256&gt;=Settings!$C$8,1,0)</f>
        <v>0</v>
      </c>
      <c r="AA256" s="53" t="n">
        <f aca="false">IF(S256=1,IF(J256="Listed / Publicado",0,1),0)</f>
        <v>0</v>
      </c>
      <c r="AB256" s="53" t="n">
        <f aca="false">IF(T256=1,IF(ISNUMBER(L256),L256-G256,0),0)</f>
        <v>0</v>
      </c>
      <c r="AC256" s="53" t="n">
        <f aca="false">IF(S256=1,IF(ISNUMBER(I256),I256-G256,0),0)</f>
        <v>0</v>
      </c>
    </row>
    <row r="257" customFormat="false" ht="15" hidden="false" customHeight="false" outlineLevel="0" collapsed="false">
      <c r="B257" s="54"/>
      <c r="C257" s="55"/>
      <c r="D257" s="55"/>
      <c r="E257" s="55"/>
      <c r="F257" s="56"/>
      <c r="G257" s="57"/>
      <c r="H257" s="55"/>
      <c r="I257" s="57"/>
      <c r="J257" s="54"/>
      <c r="K257" s="56"/>
      <c r="L257" s="57"/>
      <c r="M257" s="54"/>
      <c r="N257" s="58" t="str">
        <f aca="false">IF(S257=1,IF(U257&lt;0,"",U257),IF(Y257=1,X257,""))</f>
        <v/>
      </c>
      <c r="O257" s="59" t="str">
        <f aca="false">IF(S257=1,IF(ISNUMBER(I257),I257-G257,""),"")</f>
        <v/>
      </c>
      <c r="P257" s="59" t="str">
        <f aca="false">IF(T257=1,IF(ISNUMBER(L257),L257-G257,""),"")</f>
        <v/>
      </c>
      <c r="Q257" s="60" t="str">
        <f aca="false">IF(C257="","",IF(T257=1,"✔ SOLD / VENDIDO",IF(S257=0,"— CLOSED / CERRADO",IF(U257&lt;0,"⚠ ADD DATE / AGREGA FECHA",IF(U257&gt;=Settings!$C$8,"⚠ STALE – REPRICE / ESTANCADO",IF(U257&gt;=Settings!$C$7,"● WATCH / VIGILAR","✔ FRESH / RECIENTE"))))))</f>
        <v/>
      </c>
      <c r="S257" s="53" t="n">
        <f aca="false">IF(C257="",0,IF(OR(J257="",J257="In Stock / En Inventario",J257="Listed / Publicado"),1,0))</f>
        <v>0</v>
      </c>
      <c r="T257" s="53" t="n">
        <f aca="false">IF(C257="",0,IF(J257="Sold / Vendido",1,0))</f>
        <v>0</v>
      </c>
      <c r="U257" s="53" t="n">
        <f aca="true">IF(S257=1,IF(ISNUMBER(F257),TODAY()-F257,-1),-1)</f>
        <v>-1</v>
      </c>
      <c r="V257" s="53" t="n">
        <f aca="false">IF(U257&lt;0,IF(S257=1,5,0),IF(U257&lt;=30,1,IF(U257&lt;=60,2,IF(U257&lt;=90,3,4))))</f>
        <v>0</v>
      </c>
      <c r="W257" s="53" t="n">
        <f aca="false">IF(U257&lt;0,-1000000000000000,U257+ROW()/1000000)</f>
        <v>-1000000000000000</v>
      </c>
      <c r="X257" s="53" t="n">
        <f aca="false">IF(T257=1,IF(AND(ISNUMBER(F257),ISNUMBER(K257)),K257-F257,0),0)</f>
        <v>0</v>
      </c>
      <c r="Y257" s="53" t="n">
        <f aca="false">IF(T257=1,IF(AND(ISNUMBER(F257),ISNUMBER(K257)),1,0),0)</f>
        <v>0</v>
      </c>
      <c r="Z257" s="53" t="n">
        <f aca="false">IF(U257&gt;=Settings!$C$8,1,0)</f>
        <v>0</v>
      </c>
      <c r="AA257" s="53" t="n">
        <f aca="false">IF(S257=1,IF(J257="Listed / Publicado",0,1),0)</f>
        <v>0</v>
      </c>
      <c r="AB257" s="53" t="n">
        <f aca="false">IF(T257=1,IF(ISNUMBER(L257),L257-G257,0),0)</f>
        <v>0</v>
      </c>
      <c r="AC257" s="53" t="n">
        <f aca="false">IF(S257=1,IF(ISNUMBER(I257),I257-G257,0),0)</f>
        <v>0</v>
      </c>
    </row>
    <row r="258" customFormat="false" ht="15" hidden="false" customHeight="false" outlineLevel="0" collapsed="false">
      <c r="B258" s="54"/>
      <c r="C258" s="55"/>
      <c r="D258" s="55"/>
      <c r="E258" s="55"/>
      <c r="F258" s="56"/>
      <c r="G258" s="57"/>
      <c r="H258" s="55"/>
      <c r="I258" s="57"/>
      <c r="J258" s="54"/>
      <c r="K258" s="56"/>
      <c r="L258" s="57"/>
      <c r="M258" s="54"/>
      <c r="N258" s="58" t="str">
        <f aca="false">IF(S258=1,IF(U258&lt;0,"",U258),IF(Y258=1,X258,""))</f>
        <v/>
      </c>
      <c r="O258" s="59" t="str">
        <f aca="false">IF(S258=1,IF(ISNUMBER(I258),I258-G258,""),"")</f>
        <v/>
      </c>
      <c r="P258" s="59" t="str">
        <f aca="false">IF(T258=1,IF(ISNUMBER(L258),L258-G258,""),"")</f>
        <v/>
      </c>
      <c r="Q258" s="60" t="str">
        <f aca="false">IF(C258="","",IF(T258=1,"✔ SOLD / VENDIDO",IF(S258=0,"— CLOSED / CERRADO",IF(U258&lt;0,"⚠ ADD DATE / AGREGA FECHA",IF(U258&gt;=Settings!$C$8,"⚠ STALE – REPRICE / ESTANCADO",IF(U258&gt;=Settings!$C$7,"● WATCH / VIGILAR","✔ FRESH / RECIENTE"))))))</f>
        <v/>
      </c>
      <c r="S258" s="53" t="n">
        <f aca="false">IF(C258="",0,IF(OR(J258="",J258="In Stock / En Inventario",J258="Listed / Publicado"),1,0))</f>
        <v>0</v>
      </c>
      <c r="T258" s="53" t="n">
        <f aca="false">IF(C258="",0,IF(J258="Sold / Vendido",1,0))</f>
        <v>0</v>
      </c>
      <c r="U258" s="53" t="n">
        <f aca="true">IF(S258=1,IF(ISNUMBER(F258),TODAY()-F258,-1),-1)</f>
        <v>-1</v>
      </c>
      <c r="V258" s="53" t="n">
        <f aca="false">IF(U258&lt;0,IF(S258=1,5,0),IF(U258&lt;=30,1,IF(U258&lt;=60,2,IF(U258&lt;=90,3,4))))</f>
        <v>0</v>
      </c>
      <c r="W258" s="53" t="n">
        <f aca="false">IF(U258&lt;0,-1000000000000000,U258+ROW()/1000000)</f>
        <v>-1000000000000000</v>
      </c>
      <c r="X258" s="53" t="n">
        <f aca="false">IF(T258=1,IF(AND(ISNUMBER(F258),ISNUMBER(K258)),K258-F258,0),0)</f>
        <v>0</v>
      </c>
      <c r="Y258" s="53" t="n">
        <f aca="false">IF(T258=1,IF(AND(ISNUMBER(F258),ISNUMBER(K258)),1,0),0)</f>
        <v>0</v>
      </c>
      <c r="Z258" s="53" t="n">
        <f aca="false">IF(U258&gt;=Settings!$C$8,1,0)</f>
        <v>0</v>
      </c>
      <c r="AA258" s="53" t="n">
        <f aca="false">IF(S258=1,IF(J258="Listed / Publicado",0,1),0)</f>
        <v>0</v>
      </c>
      <c r="AB258" s="53" t="n">
        <f aca="false">IF(T258=1,IF(ISNUMBER(L258),L258-G258,0),0)</f>
        <v>0</v>
      </c>
      <c r="AC258" s="53" t="n">
        <f aca="false">IF(S258=1,IF(ISNUMBER(I258),I258-G258,0),0)</f>
        <v>0</v>
      </c>
    </row>
    <row r="259" customFormat="false" ht="15" hidden="false" customHeight="false" outlineLevel="0" collapsed="false">
      <c r="B259" s="54"/>
      <c r="C259" s="55"/>
      <c r="D259" s="55"/>
      <c r="E259" s="55"/>
      <c r="F259" s="56"/>
      <c r="G259" s="57"/>
      <c r="H259" s="55"/>
      <c r="I259" s="57"/>
      <c r="J259" s="54"/>
      <c r="K259" s="56"/>
      <c r="L259" s="57"/>
      <c r="M259" s="54"/>
      <c r="N259" s="58" t="str">
        <f aca="false">IF(S259=1,IF(U259&lt;0,"",U259),IF(Y259=1,X259,""))</f>
        <v/>
      </c>
      <c r="O259" s="59" t="str">
        <f aca="false">IF(S259=1,IF(ISNUMBER(I259),I259-G259,""),"")</f>
        <v/>
      </c>
      <c r="P259" s="59" t="str">
        <f aca="false">IF(T259=1,IF(ISNUMBER(L259),L259-G259,""),"")</f>
        <v/>
      </c>
      <c r="Q259" s="60" t="str">
        <f aca="false">IF(C259="","",IF(T259=1,"✔ SOLD / VENDIDO",IF(S259=0,"— CLOSED / CERRADO",IF(U259&lt;0,"⚠ ADD DATE / AGREGA FECHA",IF(U259&gt;=Settings!$C$8,"⚠ STALE – REPRICE / ESTANCADO",IF(U259&gt;=Settings!$C$7,"● WATCH / VIGILAR","✔ FRESH / RECIENTE"))))))</f>
        <v/>
      </c>
      <c r="S259" s="53" t="n">
        <f aca="false">IF(C259="",0,IF(OR(J259="",J259="In Stock / En Inventario",J259="Listed / Publicado"),1,0))</f>
        <v>0</v>
      </c>
      <c r="T259" s="53" t="n">
        <f aca="false">IF(C259="",0,IF(J259="Sold / Vendido",1,0))</f>
        <v>0</v>
      </c>
      <c r="U259" s="53" t="n">
        <f aca="true">IF(S259=1,IF(ISNUMBER(F259),TODAY()-F259,-1),-1)</f>
        <v>-1</v>
      </c>
      <c r="V259" s="53" t="n">
        <f aca="false">IF(U259&lt;0,IF(S259=1,5,0),IF(U259&lt;=30,1,IF(U259&lt;=60,2,IF(U259&lt;=90,3,4))))</f>
        <v>0</v>
      </c>
      <c r="W259" s="53" t="n">
        <f aca="false">IF(U259&lt;0,-1000000000000000,U259+ROW()/1000000)</f>
        <v>-1000000000000000</v>
      </c>
      <c r="X259" s="53" t="n">
        <f aca="false">IF(T259=1,IF(AND(ISNUMBER(F259),ISNUMBER(K259)),K259-F259,0),0)</f>
        <v>0</v>
      </c>
      <c r="Y259" s="53" t="n">
        <f aca="false">IF(T259=1,IF(AND(ISNUMBER(F259),ISNUMBER(K259)),1,0),0)</f>
        <v>0</v>
      </c>
      <c r="Z259" s="53" t="n">
        <f aca="false">IF(U259&gt;=Settings!$C$8,1,0)</f>
        <v>0</v>
      </c>
      <c r="AA259" s="53" t="n">
        <f aca="false">IF(S259=1,IF(J259="Listed / Publicado",0,1),0)</f>
        <v>0</v>
      </c>
      <c r="AB259" s="53" t="n">
        <f aca="false">IF(T259=1,IF(ISNUMBER(L259),L259-G259,0),0)</f>
        <v>0</v>
      </c>
      <c r="AC259" s="53" t="n">
        <f aca="false">IF(S259=1,IF(ISNUMBER(I259),I259-G259,0),0)</f>
        <v>0</v>
      </c>
    </row>
    <row r="260" customFormat="false" ht="15" hidden="false" customHeight="false" outlineLevel="0" collapsed="false">
      <c r="B260" s="54"/>
      <c r="C260" s="55"/>
      <c r="D260" s="55"/>
      <c r="E260" s="55"/>
      <c r="F260" s="56"/>
      <c r="G260" s="57"/>
      <c r="H260" s="55"/>
      <c r="I260" s="57"/>
      <c r="J260" s="54"/>
      <c r="K260" s="56"/>
      <c r="L260" s="57"/>
      <c r="M260" s="54"/>
      <c r="N260" s="58" t="str">
        <f aca="false">IF(S260=1,IF(U260&lt;0,"",U260),IF(Y260=1,X260,""))</f>
        <v/>
      </c>
      <c r="O260" s="59" t="str">
        <f aca="false">IF(S260=1,IF(ISNUMBER(I260),I260-G260,""),"")</f>
        <v/>
      </c>
      <c r="P260" s="59" t="str">
        <f aca="false">IF(T260=1,IF(ISNUMBER(L260),L260-G260,""),"")</f>
        <v/>
      </c>
      <c r="Q260" s="60" t="str">
        <f aca="false">IF(C260="","",IF(T260=1,"✔ SOLD / VENDIDO",IF(S260=0,"— CLOSED / CERRADO",IF(U260&lt;0,"⚠ ADD DATE / AGREGA FECHA",IF(U260&gt;=Settings!$C$8,"⚠ STALE – REPRICE / ESTANCADO",IF(U260&gt;=Settings!$C$7,"● WATCH / VIGILAR","✔ FRESH / RECIENTE"))))))</f>
        <v/>
      </c>
      <c r="S260" s="53" t="n">
        <f aca="false">IF(C260="",0,IF(OR(J260="",J260="In Stock / En Inventario",J260="Listed / Publicado"),1,0))</f>
        <v>0</v>
      </c>
      <c r="T260" s="53" t="n">
        <f aca="false">IF(C260="",0,IF(J260="Sold / Vendido",1,0))</f>
        <v>0</v>
      </c>
      <c r="U260" s="53" t="n">
        <f aca="true">IF(S260=1,IF(ISNUMBER(F260),TODAY()-F260,-1),-1)</f>
        <v>-1</v>
      </c>
      <c r="V260" s="53" t="n">
        <f aca="false">IF(U260&lt;0,IF(S260=1,5,0),IF(U260&lt;=30,1,IF(U260&lt;=60,2,IF(U260&lt;=90,3,4))))</f>
        <v>0</v>
      </c>
      <c r="W260" s="53" t="n">
        <f aca="false">IF(U260&lt;0,-1000000000000000,U260+ROW()/1000000)</f>
        <v>-1000000000000000</v>
      </c>
      <c r="X260" s="53" t="n">
        <f aca="false">IF(T260=1,IF(AND(ISNUMBER(F260),ISNUMBER(K260)),K260-F260,0),0)</f>
        <v>0</v>
      </c>
      <c r="Y260" s="53" t="n">
        <f aca="false">IF(T260=1,IF(AND(ISNUMBER(F260),ISNUMBER(K260)),1,0),0)</f>
        <v>0</v>
      </c>
      <c r="Z260" s="53" t="n">
        <f aca="false">IF(U260&gt;=Settings!$C$8,1,0)</f>
        <v>0</v>
      </c>
      <c r="AA260" s="53" t="n">
        <f aca="false">IF(S260=1,IF(J260="Listed / Publicado",0,1),0)</f>
        <v>0</v>
      </c>
      <c r="AB260" s="53" t="n">
        <f aca="false">IF(T260=1,IF(ISNUMBER(L260),L260-G260,0),0)</f>
        <v>0</v>
      </c>
      <c r="AC260" s="53" t="n">
        <f aca="false">IF(S260=1,IF(ISNUMBER(I260),I260-G260,0),0)</f>
        <v>0</v>
      </c>
    </row>
    <row r="261" customFormat="false" ht="15" hidden="false" customHeight="false" outlineLevel="0" collapsed="false">
      <c r="B261" s="54"/>
      <c r="C261" s="55"/>
      <c r="D261" s="55"/>
      <c r="E261" s="55"/>
      <c r="F261" s="56"/>
      <c r="G261" s="57"/>
      <c r="H261" s="55"/>
      <c r="I261" s="57"/>
      <c r="J261" s="54"/>
      <c r="K261" s="56"/>
      <c r="L261" s="57"/>
      <c r="M261" s="54"/>
      <c r="N261" s="58" t="str">
        <f aca="false">IF(S261=1,IF(U261&lt;0,"",U261),IF(Y261=1,X261,""))</f>
        <v/>
      </c>
      <c r="O261" s="59" t="str">
        <f aca="false">IF(S261=1,IF(ISNUMBER(I261),I261-G261,""),"")</f>
        <v/>
      </c>
      <c r="P261" s="59" t="str">
        <f aca="false">IF(T261=1,IF(ISNUMBER(L261),L261-G261,""),"")</f>
        <v/>
      </c>
      <c r="Q261" s="60" t="str">
        <f aca="false">IF(C261="","",IF(T261=1,"✔ SOLD / VENDIDO",IF(S261=0,"— CLOSED / CERRADO",IF(U261&lt;0,"⚠ ADD DATE / AGREGA FECHA",IF(U261&gt;=Settings!$C$8,"⚠ STALE – REPRICE / ESTANCADO",IF(U261&gt;=Settings!$C$7,"● WATCH / VIGILAR","✔ FRESH / RECIENTE"))))))</f>
        <v/>
      </c>
      <c r="S261" s="53" t="n">
        <f aca="false">IF(C261="",0,IF(OR(J261="",J261="In Stock / En Inventario",J261="Listed / Publicado"),1,0))</f>
        <v>0</v>
      </c>
      <c r="T261" s="53" t="n">
        <f aca="false">IF(C261="",0,IF(J261="Sold / Vendido",1,0))</f>
        <v>0</v>
      </c>
      <c r="U261" s="53" t="n">
        <f aca="true">IF(S261=1,IF(ISNUMBER(F261),TODAY()-F261,-1),-1)</f>
        <v>-1</v>
      </c>
      <c r="V261" s="53" t="n">
        <f aca="false">IF(U261&lt;0,IF(S261=1,5,0),IF(U261&lt;=30,1,IF(U261&lt;=60,2,IF(U261&lt;=90,3,4))))</f>
        <v>0</v>
      </c>
      <c r="W261" s="53" t="n">
        <f aca="false">IF(U261&lt;0,-1000000000000000,U261+ROW()/1000000)</f>
        <v>-1000000000000000</v>
      </c>
      <c r="X261" s="53" t="n">
        <f aca="false">IF(T261=1,IF(AND(ISNUMBER(F261),ISNUMBER(K261)),K261-F261,0),0)</f>
        <v>0</v>
      </c>
      <c r="Y261" s="53" t="n">
        <f aca="false">IF(T261=1,IF(AND(ISNUMBER(F261),ISNUMBER(K261)),1,0),0)</f>
        <v>0</v>
      </c>
      <c r="Z261" s="53" t="n">
        <f aca="false">IF(U261&gt;=Settings!$C$8,1,0)</f>
        <v>0</v>
      </c>
      <c r="AA261" s="53" t="n">
        <f aca="false">IF(S261=1,IF(J261="Listed / Publicado",0,1),0)</f>
        <v>0</v>
      </c>
      <c r="AB261" s="53" t="n">
        <f aca="false">IF(T261=1,IF(ISNUMBER(L261),L261-G261,0),0)</f>
        <v>0</v>
      </c>
      <c r="AC261" s="53" t="n">
        <f aca="false">IF(S261=1,IF(ISNUMBER(I261),I261-G261,0),0)</f>
        <v>0</v>
      </c>
    </row>
    <row r="262" customFormat="false" ht="15" hidden="false" customHeight="false" outlineLevel="0" collapsed="false">
      <c r="B262" s="54"/>
      <c r="C262" s="55"/>
      <c r="D262" s="55"/>
      <c r="E262" s="55"/>
      <c r="F262" s="56"/>
      <c r="G262" s="57"/>
      <c r="H262" s="55"/>
      <c r="I262" s="57"/>
      <c r="J262" s="54"/>
      <c r="K262" s="56"/>
      <c r="L262" s="57"/>
      <c r="M262" s="54"/>
      <c r="N262" s="58" t="str">
        <f aca="false">IF(S262=1,IF(U262&lt;0,"",U262),IF(Y262=1,X262,""))</f>
        <v/>
      </c>
      <c r="O262" s="59" t="str">
        <f aca="false">IF(S262=1,IF(ISNUMBER(I262),I262-G262,""),"")</f>
        <v/>
      </c>
      <c r="P262" s="59" t="str">
        <f aca="false">IF(T262=1,IF(ISNUMBER(L262),L262-G262,""),"")</f>
        <v/>
      </c>
      <c r="Q262" s="60" t="str">
        <f aca="false">IF(C262="","",IF(T262=1,"✔ SOLD / VENDIDO",IF(S262=0,"— CLOSED / CERRADO",IF(U262&lt;0,"⚠ ADD DATE / AGREGA FECHA",IF(U262&gt;=Settings!$C$8,"⚠ STALE – REPRICE / ESTANCADO",IF(U262&gt;=Settings!$C$7,"● WATCH / VIGILAR","✔ FRESH / RECIENTE"))))))</f>
        <v/>
      </c>
      <c r="S262" s="53" t="n">
        <f aca="false">IF(C262="",0,IF(OR(J262="",J262="In Stock / En Inventario",J262="Listed / Publicado"),1,0))</f>
        <v>0</v>
      </c>
      <c r="T262" s="53" t="n">
        <f aca="false">IF(C262="",0,IF(J262="Sold / Vendido",1,0))</f>
        <v>0</v>
      </c>
      <c r="U262" s="53" t="n">
        <f aca="true">IF(S262=1,IF(ISNUMBER(F262),TODAY()-F262,-1),-1)</f>
        <v>-1</v>
      </c>
      <c r="V262" s="53" t="n">
        <f aca="false">IF(U262&lt;0,IF(S262=1,5,0),IF(U262&lt;=30,1,IF(U262&lt;=60,2,IF(U262&lt;=90,3,4))))</f>
        <v>0</v>
      </c>
      <c r="W262" s="53" t="n">
        <f aca="false">IF(U262&lt;0,-1000000000000000,U262+ROW()/1000000)</f>
        <v>-1000000000000000</v>
      </c>
      <c r="X262" s="53" t="n">
        <f aca="false">IF(T262=1,IF(AND(ISNUMBER(F262),ISNUMBER(K262)),K262-F262,0),0)</f>
        <v>0</v>
      </c>
      <c r="Y262" s="53" t="n">
        <f aca="false">IF(T262=1,IF(AND(ISNUMBER(F262),ISNUMBER(K262)),1,0),0)</f>
        <v>0</v>
      </c>
      <c r="Z262" s="53" t="n">
        <f aca="false">IF(U262&gt;=Settings!$C$8,1,0)</f>
        <v>0</v>
      </c>
      <c r="AA262" s="53" t="n">
        <f aca="false">IF(S262=1,IF(J262="Listed / Publicado",0,1),0)</f>
        <v>0</v>
      </c>
      <c r="AB262" s="53" t="n">
        <f aca="false">IF(T262=1,IF(ISNUMBER(L262),L262-G262,0),0)</f>
        <v>0</v>
      </c>
      <c r="AC262" s="53" t="n">
        <f aca="false">IF(S262=1,IF(ISNUMBER(I262),I262-G262,0),0)</f>
        <v>0</v>
      </c>
    </row>
    <row r="263" customFormat="false" ht="15" hidden="false" customHeight="false" outlineLevel="0" collapsed="false">
      <c r="B263" s="54"/>
      <c r="C263" s="55"/>
      <c r="D263" s="55"/>
      <c r="E263" s="55"/>
      <c r="F263" s="56"/>
      <c r="G263" s="57"/>
      <c r="H263" s="55"/>
      <c r="I263" s="57"/>
      <c r="J263" s="54"/>
      <c r="K263" s="56"/>
      <c r="L263" s="57"/>
      <c r="M263" s="54"/>
      <c r="N263" s="58" t="str">
        <f aca="false">IF(S263=1,IF(U263&lt;0,"",U263),IF(Y263=1,X263,""))</f>
        <v/>
      </c>
      <c r="O263" s="59" t="str">
        <f aca="false">IF(S263=1,IF(ISNUMBER(I263),I263-G263,""),"")</f>
        <v/>
      </c>
      <c r="P263" s="59" t="str">
        <f aca="false">IF(T263=1,IF(ISNUMBER(L263),L263-G263,""),"")</f>
        <v/>
      </c>
      <c r="Q263" s="60" t="str">
        <f aca="false">IF(C263="","",IF(T263=1,"✔ SOLD / VENDIDO",IF(S263=0,"— CLOSED / CERRADO",IF(U263&lt;0,"⚠ ADD DATE / AGREGA FECHA",IF(U263&gt;=Settings!$C$8,"⚠ STALE – REPRICE / ESTANCADO",IF(U263&gt;=Settings!$C$7,"● WATCH / VIGILAR","✔ FRESH / RECIENTE"))))))</f>
        <v/>
      </c>
      <c r="S263" s="53" t="n">
        <f aca="false">IF(C263="",0,IF(OR(J263="",J263="In Stock / En Inventario",J263="Listed / Publicado"),1,0))</f>
        <v>0</v>
      </c>
      <c r="T263" s="53" t="n">
        <f aca="false">IF(C263="",0,IF(J263="Sold / Vendido",1,0))</f>
        <v>0</v>
      </c>
      <c r="U263" s="53" t="n">
        <f aca="true">IF(S263=1,IF(ISNUMBER(F263),TODAY()-F263,-1),-1)</f>
        <v>-1</v>
      </c>
      <c r="V263" s="53" t="n">
        <f aca="false">IF(U263&lt;0,IF(S263=1,5,0),IF(U263&lt;=30,1,IF(U263&lt;=60,2,IF(U263&lt;=90,3,4))))</f>
        <v>0</v>
      </c>
      <c r="W263" s="53" t="n">
        <f aca="false">IF(U263&lt;0,-1000000000000000,U263+ROW()/1000000)</f>
        <v>-1000000000000000</v>
      </c>
      <c r="X263" s="53" t="n">
        <f aca="false">IF(T263=1,IF(AND(ISNUMBER(F263),ISNUMBER(K263)),K263-F263,0),0)</f>
        <v>0</v>
      </c>
      <c r="Y263" s="53" t="n">
        <f aca="false">IF(T263=1,IF(AND(ISNUMBER(F263),ISNUMBER(K263)),1,0),0)</f>
        <v>0</v>
      </c>
      <c r="Z263" s="53" t="n">
        <f aca="false">IF(U263&gt;=Settings!$C$8,1,0)</f>
        <v>0</v>
      </c>
      <c r="AA263" s="53" t="n">
        <f aca="false">IF(S263=1,IF(J263="Listed / Publicado",0,1),0)</f>
        <v>0</v>
      </c>
      <c r="AB263" s="53" t="n">
        <f aca="false">IF(T263=1,IF(ISNUMBER(L263),L263-G263,0),0)</f>
        <v>0</v>
      </c>
      <c r="AC263" s="53" t="n">
        <f aca="false">IF(S263=1,IF(ISNUMBER(I263),I263-G263,0),0)</f>
        <v>0</v>
      </c>
    </row>
    <row r="264" customFormat="false" ht="15" hidden="false" customHeight="false" outlineLevel="0" collapsed="false">
      <c r="B264" s="54"/>
      <c r="C264" s="55"/>
      <c r="D264" s="55"/>
      <c r="E264" s="55"/>
      <c r="F264" s="56"/>
      <c r="G264" s="57"/>
      <c r="H264" s="55"/>
      <c r="I264" s="57"/>
      <c r="J264" s="54"/>
      <c r="K264" s="56"/>
      <c r="L264" s="57"/>
      <c r="M264" s="54"/>
      <c r="N264" s="58" t="str">
        <f aca="false">IF(S264=1,IF(U264&lt;0,"",U264),IF(Y264=1,X264,""))</f>
        <v/>
      </c>
      <c r="O264" s="59" t="str">
        <f aca="false">IF(S264=1,IF(ISNUMBER(I264),I264-G264,""),"")</f>
        <v/>
      </c>
      <c r="P264" s="59" t="str">
        <f aca="false">IF(T264=1,IF(ISNUMBER(L264),L264-G264,""),"")</f>
        <v/>
      </c>
      <c r="Q264" s="60" t="str">
        <f aca="false">IF(C264="","",IF(T264=1,"✔ SOLD / VENDIDO",IF(S264=0,"— CLOSED / CERRADO",IF(U264&lt;0,"⚠ ADD DATE / AGREGA FECHA",IF(U264&gt;=Settings!$C$8,"⚠ STALE – REPRICE / ESTANCADO",IF(U264&gt;=Settings!$C$7,"● WATCH / VIGILAR","✔ FRESH / RECIENTE"))))))</f>
        <v/>
      </c>
      <c r="S264" s="53" t="n">
        <f aca="false">IF(C264="",0,IF(OR(J264="",J264="In Stock / En Inventario",J264="Listed / Publicado"),1,0))</f>
        <v>0</v>
      </c>
      <c r="T264" s="53" t="n">
        <f aca="false">IF(C264="",0,IF(J264="Sold / Vendido",1,0))</f>
        <v>0</v>
      </c>
      <c r="U264" s="53" t="n">
        <f aca="true">IF(S264=1,IF(ISNUMBER(F264),TODAY()-F264,-1),-1)</f>
        <v>-1</v>
      </c>
      <c r="V264" s="53" t="n">
        <f aca="false">IF(U264&lt;0,IF(S264=1,5,0),IF(U264&lt;=30,1,IF(U264&lt;=60,2,IF(U264&lt;=90,3,4))))</f>
        <v>0</v>
      </c>
      <c r="W264" s="53" t="n">
        <f aca="false">IF(U264&lt;0,-1000000000000000,U264+ROW()/1000000)</f>
        <v>-1000000000000000</v>
      </c>
      <c r="X264" s="53" t="n">
        <f aca="false">IF(T264=1,IF(AND(ISNUMBER(F264),ISNUMBER(K264)),K264-F264,0),0)</f>
        <v>0</v>
      </c>
      <c r="Y264" s="53" t="n">
        <f aca="false">IF(T264=1,IF(AND(ISNUMBER(F264),ISNUMBER(K264)),1,0),0)</f>
        <v>0</v>
      </c>
      <c r="Z264" s="53" t="n">
        <f aca="false">IF(U264&gt;=Settings!$C$8,1,0)</f>
        <v>0</v>
      </c>
      <c r="AA264" s="53" t="n">
        <f aca="false">IF(S264=1,IF(J264="Listed / Publicado",0,1),0)</f>
        <v>0</v>
      </c>
      <c r="AB264" s="53" t="n">
        <f aca="false">IF(T264=1,IF(ISNUMBER(L264),L264-G264,0),0)</f>
        <v>0</v>
      </c>
      <c r="AC264" s="53" t="n">
        <f aca="false">IF(S264=1,IF(ISNUMBER(I264),I264-G264,0),0)</f>
        <v>0</v>
      </c>
    </row>
    <row r="265" customFormat="false" ht="15" hidden="false" customHeight="false" outlineLevel="0" collapsed="false">
      <c r="B265" s="54"/>
      <c r="C265" s="55"/>
      <c r="D265" s="55"/>
      <c r="E265" s="55"/>
      <c r="F265" s="56"/>
      <c r="G265" s="57"/>
      <c r="H265" s="55"/>
      <c r="I265" s="57"/>
      <c r="J265" s="54"/>
      <c r="K265" s="56"/>
      <c r="L265" s="57"/>
      <c r="M265" s="54"/>
      <c r="N265" s="58" t="str">
        <f aca="false">IF(S265=1,IF(U265&lt;0,"",U265),IF(Y265=1,X265,""))</f>
        <v/>
      </c>
      <c r="O265" s="59" t="str">
        <f aca="false">IF(S265=1,IF(ISNUMBER(I265),I265-G265,""),"")</f>
        <v/>
      </c>
      <c r="P265" s="59" t="str">
        <f aca="false">IF(T265=1,IF(ISNUMBER(L265),L265-G265,""),"")</f>
        <v/>
      </c>
      <c r="Q265" s="60" t="str">
        <f aca="false">IF(C265="","",IF(T265=1,"✔ SOLD / VENDIDO",IF(S265=0,"— CLOSED / CERRADO",IF(U265&lt;0,"⚠ ADD DATE / AGREGA FECHA",IF(U265&gt;=Settings!$C$8,"⚠ STALE – REPRICE / ESTANCADO",IF(U265&gt;=Settings!$C$7,"● WATCH / VIGILAR","✔ FRESH / RECIENTE"))))))</f>
        <v/>
      </c>
      <c r="S265" s="53" t="n">
        <f aca="false">IF(C265="",0,IF(OR(J265="",J265="In Stock / En Inventario",J265="Listed / Publicado"),1,0))</f>
        <v>0</v>
      </c>
      <c r="T265" s="53" t="n">
        <f aca="false">IF(C265="",0,IF(J265="Sold / Vendido",1,0))</f>
        <v>0</v>
      </c>
      <c r="U265" s="53" t="n">
        <f aca="true">IF(S265=1,IF(ISNUMBER(F265),TODAY()-F265,-1),-1)</f>
        <v>-1</v>
      </c>
      <c r="V265" s="53" t="n">
        <f aca="false">IF(U265&lt;0,IF(S265=1,5,0),IF(U265&lt;=30,1,IF(U265&lt;=60,2,IF(U265&lt;=90,3,4))))</f>
        <v>0</v>
      </c>
      <c r="W265" s="53" t="n">
        <f aca="false">IF(U265&lt;0,-1000000000000000,U265+ROW()/1000000)</f>
        <v>-1000000000000000</v>
      </c>
      <c r="X265" s="53" t="n">
        <f aca="false">IF(T265=1,IF(AND(ISNUMBER(F265),ISNUMBER(K265)),K265-F265,0),0)</f>
        <v>0</v>
      </c>
      <c r="Y265" s="53" t="n">
        <f aca="false">IF(T265=1,IF(AND(ISNUMBER(F265),ISNUMBER(K265)),1,0),0)</f>
        <v>0</v>
      </c>
      <c r="Z265" s="53" t="n">
        <f aca="false">IF(U265&gt;=Settings!$C$8,1,0)</f>
        <v>0</v>
      </c>
      <c r="AA265" s="53" t="n">
        <f aca="false">IF(S265=1,IF(J265="Listed / Publicado",0,1),0)</f>
        <v>0</v>
      </c>
      <c r="AB265" s="53" t="n">
        <f aca="false">IF(T265=1,IF(ISNUMBER(L265),L265-G265,0),0)</f>
        <v>0</v>
      </c>
      <c r="AC265" s="53" t="n">
        <f aca="false">IF(S265=1,IF(ISNUMBER(I265),I265-G265,0),0)</f>
        <v>0</v>
      </c>
    </row>
    <row r="266" customFormat="false" ht="15" hidden="false" customHeight="false" outlineLevel="0" collapsed="false">
      <c r="B266" s="54"/>
      <c r="C266" s="55"/>
      <c r="D266" s="55"/>
      <c r="E266" s="55"/>
      <c r="F266" s="56"/>
      <c r="G266" s="57"/>
      <c r="H266" s="55"/>
      <c r="I266" s="57"/>
      <c r="J266" s="54"/>
      <c r="K266" s="56"/>
      <c r="L266" s="57"/>
      <c r="M266" s="54"/>
      <c r="N266" s="58" t="str">
        <f aca="false">IF(S266=1,IF(U266&lt;0,"",U266),IF(Y266=1,X266,""))</f>
        <v/>
      </c>
      <c r="O266" s="59" t="str">
        <f aca="false">IF(S266=1,IF(ISNUMBER(I266),I266-G266,""),"")</f>
        <v/>
      </c>
      <c r="P266" s="59" t="str">
        <f aca="false">IF(T266=1,IF(ISNUMBER(L266),L266-G266,""),"")</f>
        <v/>
      </c>
      <c r="Q266" s="60" t="str">
        <f aca="false">IF(C266="","",IF(T266=1,"✔ SOLD / VENDIDO",IF(S266=0,"— CLOSED / CERRADO",IF(U266&lt;0,"⚠ ADD DATE / AGREGA FECHA",IF(U266&gt;=Settings!$C$8,"⚠ STALE – REPRICE / ESTANCADO",IF(U266&gt;=Settings!$C$7,"● WATCH / VIGILAR","✔ FRESH / RECIENTE"))))))</f>
        <v/>
      </c>
      <c r="S266" s="53" t="n">
        <f aca="false">IF(C266="",0,IF(OR(J266="",J266="In Stock / En Inventario",J266="Listed / Publicado"),1,0))</f>
        <v>0</v>
      </c>
      <c r="T266" s="53" t="n">
        <f aca="false">IF(C266="",0,IF(J266="Sold / Vendido",1,0))</f>
        <v>0</v>
      </c>
      <c r="U266" s="53" t="n">
        <f aca="true">IF(S266=1,IF(ISNUMBER(F266),TODAY()-F266,-1),-1)</f>
        <v>-1</v>
      </c>
      <c r="V266" s="53" t="n">
        <f aca="false">IF(U266&lt;0,IF(S266=1,5,0),IF(U266&lt;=30,1,IF(U266&lt;=60,2,IF(U266&lt;=90,3,4))))</f>
        <v>0</v>
      </c>
      <c r="W266" s="53" t="n">
        <f aca="false">IF(U266&lt;0,-1000000000000000,U266+ROW()/1000000)</f>
        <v>-1000000000000000</v>
      </c>
      <c r="X266" s="53" t="n">
        <f aca="false">IF(T266=1,IF(AND(ISNUMBER(F266),ISNUMBER(K266)),K266-F266,0),0)</f>
        <v>0</v>
      </c>
      <c r="Y266" s="53" t="n">
        <f aca="false">IF(T266=1,IF(AND(ISNUMBER(F266),ISNUMBER(K266)),1,0),0)</f>
        <v>0</v>
      </c>
      <c r="Z266" s="53" t="n">
        <f aca="false">IF(U266&gt;=Settings!$C$8,1,0)</f>
        <v>0</v>
      </c>
      <c r="AA266" s="53" t="n">
        <f aca="false">IF(S266=1,IF(J266="Listed / Publicado",0,1),0)</f>
        <v>0</v>
      </c>
      <c r="AB266" s="53" t="n">
        <f aca="false">IF(T266=1,IF(ISNUMBER(L266),L266-G266,0),0)</f>
        <v>0</v>
      </c>
      <c r="AC266" s="53" t="n">
        <f aca="false">IF(S266=1,IF(ISNUMBER(I266),I266-G266,0),0)</f>
        <v>0</v>
      </c>
    </row>
    <row r="267" customFormat="false" ht="15" hidden="false" customHeight="false" outlineLevel="0" collapsed="false">
      <c r="B267" s="54"/>
      <c r="C267" s="55"/>
      <c r="D267" s="55"/>
      <c r="E267" s="55"/>
      <c r="F267" s="56"/>
      <c r="G267" s="57"/>
      <c r="H267" s="55"/>
      <c r="I267" s="57"/>
      <c r="J267" s="54"/>
      <c r="K267" s="56"/>
      <c r="L267" s="57"/>
      <c r="M267" s="54"/>
      <c r="N267" s="58" t="str">
        <f aca="false">IF(S267=1,IF(U267&lt;0,"",U267),IF(Y267=1,X267,""))</f>
        <v/>
      </c>
      <c r="O267" s="59" t="str">
        <f aca="false">IF(S267=1,IF(ISNUMBER(I267),I267-G267,""),"")</f>
        <v/>
      </c>
      <c r="P267" s="59" t="str">
        <f aca="false">IF(T267=1,IF(ISNUMBER(L267),L267-G267,""),"")</f>
        <v/>
      </c>
      <c r="Q267" s="60" t="str">
        <f aca="false">IF(C267="","",IF(T267=1,"✔ SOLD / VENDIDO",IF(S267=0,"— CLOSED / CERRADO",IF(U267&lt;0,"⚠ ADD DATE / AGREGA FECHA",IF(U267&gt;=Settings!$C$8,"⚠ STALE – REPRICE / ESTANCADO",IF(U267&gt;=Settings!$C$7,"● WATCH / VIGILAR","✔ FRESH / RECIENTE"))))))</f>
        <v/>
      </c>
      <c r="S267" s="53" t="n">
        <f aca="false">IF(C267="",0,IF(OR(J267="",J267="In Stock / En Inventario",J267="Listed / Publicado"),1,0))</f>
        <v>0</v>
      </c>
      <c r="T267" s="53" t="n">
        <f aca="false">IF(C267="",0,IF(J267="Sold / Vendido",1,0))</f>
        <v>0</v>
      </c>
      <c r="U267" s="53" t="n">
        <f aca="true">IF(S267=1,IF(ISNUMBER(F267),TODAY()-F267,-1),-1)</f>
        <v>-1</v>
      </c>
      <c r="V267" s="53" t="n">
        <f aca="false">IF(U267&lt;0,IF(S267=1,5,0),IF(U267&lt;=30,1,IF(U267&lt;=60,2,IF(U267&lt;=90,3,4))))</f>
        <v>0</v>
      </c>
      <c r="W267" s="53" t="n">
        <f aca="false">IF(U267&lt;0,-1000000000000000,U267+ROW()/1000000)</f>
        <v>-1000000000000000</v>
      </c>
      <c r="X267" s="53" t="n">
        <f aca="false">IF(T267=1,IF(AND(ISNUMBER(F267),ISNUMBER(K267)),K267-F267,0),0)</f>
        <v>0</v>
      </c>
      <c r="Y267" s="53" t="n">
        <f aca="false">IF(T267=1,IF(AND(ISNUMBER(F267),ISNUMBER(K267)),1,0),0)</f>
        <v>0</v>
      </c>
      <c r="Z267" s="53" t="n">
        <f aca="false">IF(U267&gt;=Settings!$C$8,1,0)</f>
        <v>0</v>
      </c>
      <c r="AA267" s="53" t="n">
        <f aca="false">IF(S267=1,IF(J267="Listed / Publicado",0,1),0)</f>
        <v>0</v>
      </c>
      <c r="AB267" s="53" t="n">
        <f aca="false">IF(T267=1,IF(ISNUMBER(L267),L267-G267,0),0)</f>
        <v>0</v>
      </c>
      <c r="AC267" s="53" t="n">
        <f aca="false">IF(S267=1,IF(ISNUMBER(I267),I267-G267,0),0)</f>
        <v>0</v>
      </c>
    </row>
    <row r="268" customFormat="false" ht="15" hidden="false" customHeight="false" outlineLevel="0" collapsed="false">
      <c r="B268" s="54"/>
      <c r="C268" s="55"/>
      <c r="D268" s="55"/>
      <c r="E268" s="55"/>
      <c r="F268" s="56"/>
      <c r="G268" s="57"/>
      <c r="H268" s="55"/>
      <c r="I268" s="57"/>
      <c r="J268" s="54"/>
      <c r="K268" s="56"/>
      <c r="L268" s="57"/>
      <c r="M268" s="54"/>
      <c r="N268" s="58" t="str">
        <f aca="false">IF(S268=1,IF(U268&lt;0,"",U268),IF(Y268=1,X268,""))</f>
        <v/>
      </c>
      <c r="O268" s="59" t="str">
        <f aca="false">IF(S268=1,IF(ISNUMBER(I268),I268-G268,""),"")</f>
        <v/>
      </c>
      <c r="P268" s="59" t="str">
        <f aca="false">IF(T268=1,IF(ISNUMBER(L268),L268-G268,""),"")</f>
        <v/>
      </c>
      <c r="Q268" s="60" t="str">
        <f aca="false">IF(C268="","",IF(T268=1,"✔ SOLD / VENDIDO",IF(S268=0,"— CLOSED / CERRADO",IF(U268&lt;0,"⚠ ADD DATE / AGREGA FECHA",IF(U268&gt;=Settings!$C$8,"⚠ STALE – REPRICE / ESTANCADO",IF(U268&gt;=Settings!$C$7,"● WATCH / VIGILAR","✔ FRESH / RECIENTE"))))))</f>
        <v/>
      </c>
      <c r="S268" s="53" t="n">
        <f aca="false">IF(C268="",0,IF(OR(J268="",J268="In Stock / En Inventario",J268="Listed / Publicado"),1,0))</f>
        <v>0</v>
      </c>
      <c r="T268" s="53" t="n">
        <f aca="false">IF(C268="",0,IF(J268="Sold / Vendido",1,0))</f>
        <v>0</v>
      </c>
      <c r="U268" s="53" t="n">
        <f aca="true">IF(S268=1,IF(ISNUMBER(F268),TODAY()-F268,-1),-1)</f>
        <v>-1</v>
      </c>
      <c r="V268" s="53" t="n">
        <f aca="false">IF(U268&lt;0,IF(S268=1,5,0),IF(U268&lt;=30,1,IF(U268&lt;=60,2,IF(U268&lt;=90,3,4))))</f>
        <v>0</v>
      </c>
      <c r="W268" s="53" t="n">
        <f aca="false">IF(U268&lt;0,-1000000000000000,U268+ROW()/1000000)</f>
        <v>-1000000000000000</v>
      </c>
      <c r="X268" s="53" t="n">
        <f aca="false">IF(T268=1,IF(AND(ISNUMBER(F268),ISNUMBER(K268)),K268-F268,0),0)</f>
        <v>0</v>
      </c>
      <c r="Y268" s="53" t="n">
        <f aca="false">IF(T268=1,IF(AND(ISNUMBER(F268),ISNUMBER(K268)),1,0),0)</f>
        <v>0</v>
      </c>
      <c r="Z268" s="53" t="n">
        <f aca="false">IF(U268&gt;=Settings!$C$8,1,0)</f>
        <v>0</v>
      </c>
      <c r="AA268" s="53" t="n">
        <f aca="false">IF(S268=1,IF(J268="Listed / Publicado",0,1),0)</f>
        <v>0</v>
      </c>
      <c r="AB268" s="53" t="n">
        <f aca="false">IF(T268=1,IF(ISNUMBER(L268),L268-G268,0),0)</f>
        <v>0</v>
      </c>
      <c r="AC268" s="53" t="n">
        <f aca="false">IF(S268=1,IF(ISNUMBER(I268),I268-G268,0),0)</f>
        <v>0</v>
      </c>
    </row>
    <row r="269" customFormat="false" ht="15" hidden="false" customHeight="false" outlineLevel="0" collapsed="false">
      <c r="B269" s="54"/>
      <c r="C269" s="55"/>
      <c r="D269" s="55"/>
      <c r="E269" s="55"/>
      <c r="F269" s="56"/>
      <c r="G269" s="57"/>
      <c r="H269" s="55"/>
      <c r="I269" s="57"/>
      <c r="J269" s="54"/>
      <c r="K269" s="56"/>
      <c r="L269" s="57"/>
      <c r="M269" s="54"/>
      <c r="N269" s="58" t="str">
        <f aca="false">IF(S269=1,IF(U269&lt;0,"",U269),IF(Y269=1,X269,""))</f>
        <v/>
      </c>
      <c r="O269" s="59" t="str">
        <f aca="false">IF(S269=1,IF(ISNUMBER(I269),I269-G269,""),"")</f>
        <v/>
      </c>
      <c r="P269" s="59" t="str">
        <f aca="false">IF(T269=1,IF(ISNUMBER(L269),L269-G269,""),"")</f>
        <v/>
      </c>
      <c r="Q269" s="60" t="str">
        <f aca="false">IF(C269="","",IF(T269=1,"✔ SOLD / VENDIDO",IF(S269=0,"— CLOSED / CERRADO",IF(U269&lt;0,"⚠ ADD DATE / AGREGA FECHA",IF(U269&gt;=Settings!$C$8,"⚠ STALE – REPRICE / ESTANCADO",IF(U269&gt;=Settings!$C$7,"● WATCH / VIGILAR","✔ FRESH / RECIENTE"))))))</f>
        <v/>
      </c>
      <c r="S269" s="53" t="n">
        <f aca="false">IF(C269="",0,IF(OR(J269="",J269="In Stock / En Inventario",J269="Listed / Publicado"),1,0))</f>
        <v>0</v>
      </c>
      <c r="T269" s="53" t="n">
        <f aca="false">IF(C269="",0,IF(J269="Sold / Vendido",1,0))</f>
        <v>0</v>
      </c>
      <c r="U269" s="53" t="n">
        <f aca="true">IF(S269=1,IF(ISNUMBER(F269),TODAY()-F269,-1),-1)</f>
        <v>-1</v>
      </c>
      <c r="V269" s="53" t="n">
        <f aca="false">IF(U269&lt;0,IF(S269=1,5,0),IF(U269&lt;=30,1,IF(U269&lt;=60,2,IF(U269&lt;=90,3,4))))</f>
        <v>0</v>
      </c>
      <c r="W269" s="53" t="n">
        <f aca="false">IF(U269&lt;0,-1000000000000000,U269+ROW()/1000000)</f>
        <v>-1000000000000000</v>
      </c>
      <c r="X269" s="53" t="n">
        <f aca="false">IF(T269=1,IF(AND(ISNUMBER(F269),ISNUMBER(K269)),K269-F269,0),0)</f>
        <v>0</v>
      </c>
      <c r="Y269" s="53" t="n">
        <f aca="false">IF(T269=1,IF(AND(ISNUMBER(F269),ISNUMBER(K269)),1,0),0)</f>
        <v>0</v>
      </c>
      <c r="Z269" s="53" t="n">
        <f aca="false">IF(U269&gt;=Settings!$C$8,1,0)</f>
        <v>0</v>
      </c>
      <c r="AA269" s="53" t="n">
        <f aca="false">IF(S269=1,IF(J269="Listed / Publicado",0,1),0)</f>
        <v>0</v>
      </c>
      <c r="AB269" s="53" t="n">
        <f aca="false">IF(T269=1,IF(ISNUMBER(L269),L269-G269,0),0)</f>
        <v>0</v>
      </c>
      <c r="AC269" s="53" t="n">
        <f aca="false">IF(S269=1,IF(ISNUMBER(I269),I269-G269,0),0)</f>
        <v>0</v>
      </c>
    </row>
    <row r="270" customFormat="false" ht="15" hidden="false" customHeight="false" outlineLevel="0" collapsed="false">
      <c r="B270" s="54"/>
      <c r="C270" s="55"/>
      <c r="D270" s="55"/>
      <c r="E270" s="55"/>
      <c r="F270" s="56"/>
      <c r="G270" s="57"/>
      <c r="H270" s="55"/>
      <c r="I270" s="57"/>
      <c r="J270" s="54"/>
      <c r="K270" s="56"/>
      <c r="L270" s="57"/>
      <c r="M270" s="54"/>
      <c r="N270" s="58" t="str">
        <f aca="false">IF(S270=1,IF(U270&lt;0,"",U270),IF(Y270=1,X270,""))</f>
        <v/>
      </c>
      <c r="O270" s="59" t="str">
        <f aca="false">IF(S270=1,IF(ISNUMBER(I270),I270-G270,""),"")</f>
        <v/>
      </c>
      <c r="P270" s="59" t="str">
        <f aca="false">IF(T270=1,IF(ISNUMBER(L270),L270-G270,""),"")</f>
        <v/>
      </c>
      <c r="Q270" s="60" t="str">
        <f aca="false">IF(C270="","",IF(T270=1,"✔ SOLD / VENDIDO",IF(S270=0,"— CLOSED / CERRADO",IF(U270&lt;0,"⚠ ADD DATE / AGREGA FECHA",IF(U270&gt;=Settings!$C$8,"⚠ STALE – REPRICE / ESTANCADO",IF(U270&gt;=Settings!$C$7,"● WATCH / VIGILAR","✔ FRESH / RECIENTE"))))))</f>
        <v/>
      </c>
      <c r="S270" s="53" t="n">
        <f aca="false">IF(C270="",0,IF(OR(J270="",J270="In Stock / En Inventario",J270="Listed / Publicado"),1,0))</f>
        <v>0</v>
      </c>
      <c r="T270" s="53" t="n">
        <f aca="false">IF(C270="",0,IF(J270="Sold / Vendido",1,0))</f>
        <v>0</v>
      </c>
      <c r="U270" s="53" t="n">
        <f aca="true">IF(S270=1,IF(ISNUMBER(F270),TODAY()-F270,-1),-1)</f>
        <v>-1</v>
      </c>
      <c r="V270" s="53" t="n">
        <f aca="false">IF(U270&lt;0,IF(S270=1,5,0),IF(U270&lt;=30,1,IF(U270&lt;=60,2,IF(U270&lt;=90,3,4))))</f>
        <v>0</v>
      </c>
      <c r="W270" s="53" t="n">
        <f aca="false">IF(U270&lt;0,-1000000000000000,U270+ROW()/1000000)</f>
        <v>-1000000000000000</v>
      </c>
      <c r="X270" s="53" t="n">
        <f aca="false">IF(T270=1,IF(AND(ISNUMBER(F270),ISNUMBER(K270)),K270-F270,0),0)</f>
        <v>0</v>
      </c>
      <c r="Y270" s="53" t="n">
        <f aca="false">IF(T270=1,IF(AND(ISNUMBER(F270),ISNUMBER(K270)),1,0),0)</f>
        <v>0</v>
      </c>
      <c r="Z270" s="53" t="n">
        <f aca="false">IF(U270&gt;=Settings!$C$8,1,0)</f>
        <v>0</v>
      </c>
      <c r="AA270" s="53" t="n">
        <f aca="false">IF(S270=1,IF(J270="Listed / Publicado",0,1),0)</f>
        <v>0</v>
      </c>
      <c r="AB270" s="53" t="n">
        <f aca="false">IF(T270=1,IF(ISNUMBER(L270),L270-G270,0),0)</f>
        <v>0</v>
      </c>
      <c r="AC270" s="53" t="n">
        <f aca="false">IF(S270=1,IF(ISNUMBER(I270),I270-G270,0),0)</f>
        <v>0</v>
      </c>
    </row>
    <row r="271" customFormat="false" ht="15" hidden="false" customHeight="false" outlineLevel="0" collapsed="false">
      <c r="B271" s="54"/>
      <c r="C271" s="55"/>
      <c r="D271" s="55"/>
      <c r="E271" s="55"/>
      <c r="F271" s="56"/>
      <c r="G271" s="57"/>
      <c r="H271" s="55"/>
      <c r="I271" s="57"/>
      <c r="J271" s="54"/>
      <c r="K271" s="56"/>
      <c r="L271" s="57"/>
      <c r="M271" s="54"/>
      <c r="N271" s="58" t="str">
        <f aca="false">IF(S271=1,IF(U271&lt;0,"",U271),IF(Y271=1,X271,""))</f>
        <v/>
      </c>
      <c r="O271" s="59" t="str">
        <f aca="false">IF(S271=1,IF(ISNUMBER(I271),I271-G271,""),"")</f>
        <v/>
      </c>
      <c r="P271" s="59" t="str">
        <f aca="false">IF(T271=1,IF(ISNUMBER(L271),L271-G271,""),"")</f>
        <v/>
      </c>
      <c r="Q271" s="60" t="str">
        <f aca="false">IF(C271="","",IF(T271=1,"✔ SOLD / VENDIDO",IF(S271=0,"— CLOSED / CERRADO",IF(U271&lt;0,"⚠ ADD DATE / AGREGA FECHA",IF(U271&gt;=Settings!$C$8,"⚠ STALE – REPRICE / ESTANCADO",IF(U271&gt;=Settings!$C$7,"● WATCH / VIGILAR","✔ FRESH / RECIENTE"))))))</f>
        <v/>
      </c>
      <c r="S271" s="53" t="n">
        <f aca="false">IF(C271="",0,IF(OR(J271="",J271="In Stock / En Inventario",J271="Listed / Publicado"),1,0))</f>
        <v>0</v>
      </c>
      <c r="T271" s="53" t="n">
        <f aca="false">IF(C271="",0,IF(J271="Sold / Vendido",1,0))</f>
        <v>0</v>
      </c>
      <c r="U271" s="53" t="n">
        <f aca="true">IF(S271=1,IF(ISNUMBER(F271),TODAY()-F271,-1),-1)</f>
        <v>-1</v>
      </c>
      <c r="V271" s="53" t="n">
        <f aca="false">IF(U271&lt;0,IF(S271=1,5,0),IF(U271&lt;=30,1,IF(U271&lt;=60,2,IF(U271&lt;=90,3,4))))</f>
        <v>0</v>
      </c>
      <c r="W271" s="53" t="n">
        <f aca="false">IF(U271&lt;0,-1000000000000000,U271+ROW()/1000000)</f>
        <v>-1000000000000000</v>
      </c>
      <c r="X271" s="53" t="n">
        <f aca="false">IF(T271=1,IF(AND(ISNUMBER(F271),ISNUMBER(K271)),K271-F271,0),0)</f>
        <v>0</v>
      </c>
      <c r="Y271" s="53" t="n">
        <f aca="false">IF(T271=1,IF(AND(ISNUMBER(F271),ISNUMBER(K271)),1,0),0)</f>
        <v>0</v>
      </c>
      <c r="Z271" s="53" t="n">
        <f aca="false">IF(U271&gt;=Settings!$C$8,1,0)</f>
        <v>0</v>
      </c>
      <c r="AA271" s="53" t="n">
        <f aca="false">IF(S271=1,IF(J271="Listed / Publicado",0,1),0)</f>
        <v>0</v>
      </c>
      <c r="AB271" s="53" t="n">
        <f aca="false">IF(T271=1,IF(ISNUMBER(L271),L271-G271,0),0)</f>
        <v>0</v>
      </c>
      <c r="AC271" s="53" t="n">
        <f aca="false">IF(S271=1,IF(ISNUMBER(I271),I271-G271,0),0)</f>
        <v>0</v>
      </c>
    </row>
    <row r="272" customFormat="false" ht="15" hidden="false" customHeight="false" outlineLevel="0" collapsed="false">
      <c r="B272" s="54"/>
      <c r="C272" s="55"/>
      <c r="D272" s="55"/>
      <c r="E272" s="55"/>
      <c r="F272" s="56"/>
      <c r="G272" s="57"/>
      <c r="H272" s="55"/>
      <c r="I272" s="57"/>
      <c r="J272" s="54"/>
      <c r="K272" s="56"/>
      <c r="L272" s="57"/>
      <c r="M272" s="54"/>
      <c r="N272" s="58" t="str">
        <f aca="false">IF(S272=1,IF(U272&lt;0,"",U272),IF(Y272=1,X272,""))</f>
        <v/>
      </c>
      <c r="O272" s="59" t="str">
        <f aca="false">IF(S272=1,IF(ISNUMBER(I272),I272-G272,""),"")</f>
        <v/>
      </c>
      <c r="P272" s="59" t="str">
        <f aca="false">IF(T272=1,IF(ISNUMBER(L272),L272-G272,""),"")</f>
        <v/>
      </c>
      <c r="Q272" s="60" t="str">
        <f aca="false">IF(C272="","",IF(T272=1,"✔ SOLD / VENDIDO",IF(S272=0,"— CLOSED / CERRADO",IF(U272&lt;0,"⚠ ADD DATE / AGREGA FECHA",IF(U272&gt;=Settings!$C$8,"⚠ STALE – REPRICE / ESTANCADO",IF(U272&gt;=Settings!$C$7,"● WATCH / VIGILAR","✔ FRESH / RECIENTE"))))))</f>
        <v/>
      </c>
      <c r="S272" s="53" t="n">
        <f aca="false">IF(C272="",0,IF(OR(J272="",J272="In Stock / En Inventario",J272="Listed / Publicado"),1,0))</f>
        <v>0</v>
      </c>
      <c r="T272" s="53" t="n">
        <f aca="false">IF(C272="",0,IF(J272="Sold / Vendido",1,0))</f>
        <v>0</v>
      </c>
      <c r="U272" s="53" t="n">
        <f aca="true">IF(S272=1,IF(ISNUMBER(F272),TODAY()-F272,-1),-1)</f>
        <v>-1</v>
      </c>
      <c r="V272" s="53" t="n">
        <f aca="false">IF(U272&lt;0,IF(S272=1,5,0),IF(U272&lt;=30,1,IF(U272&lt;=60,2,IF(U272&lt;=90,3,4))))</f>
        <v>0</v>
      </c>
      <c r="W272" s="53" t="n">
        <f aca="false">IF(U272&lt;0,-1000000000000000,U272+ROW()/1000000)</f>
        <v>-1000000000000000</v>
      </c>
      <c r="X272" s="53" t="n">
        <f aca="false">IF(T272=1,IF(AND(ISNUMBER(F272),ISNUMBER(K272)),K272-F272,0),0)</f>
        <v>0</v>
      </c>
      <c r="Y272" s="53" t="n">
        <f aca="false">IF(T272=1,IF(AND(ISNUMBER(F272),ISNUMBER(K272)),1,0),0)</f>
        <v>0</v>
      </c>
      <c r="Z272" s="53" t="n">
        <f aca="false">IF(U272&gt;=Settings!$C$8,1,0)</f>
        <v>0</v>
      </c>
      <c r="AA272" s="53" t="n">
        <f aca="false">IF(S272=1,IF(J272="Listed / Publicado",0,1),0)</f>
        <v>0</v>
      </c>
      <c r="AB272" s="53" t="n">
        <f aca="false">IF(T272=1,IF(ISNUMBER(L272),L272-G272,0),0)</f>
        <v>0</v>
      </c>
      <c r="AC272" s="53" t="n">
        <f aca="false">IF(S272=1,IF(ISNUMBER(I272),I272-G272,0),0)</f>
        <v>0</v>
      </c>
    </row>
    <row r="273" customFormat="false" ht="15" hidden="false" customHeight="false" outlineLevel="0" collapsed="false">
      <c r="B273" s="54"/>
      <c r="C273" s="55"/>
      <c r="D273" s="55"/>
      <c r="E273" s="55"/>
      <c r="F273" s="56"/>
      <c r="G273" s="57"/>
      <c r="H273" s="55"/>
      <c r="I273" s="57"/>
      <c r="J273" s="54"/>
      <c r="K273" s="56"/>
      <c r="L273" s="57"/>
      <c r="M273" s="54"/>
      <c r="N273" s="58" t="str">
        <f aca="false">IF(S273=1,IF(U273&lt;0,"",U273),IF(Y273=1,X273,""))</f>
        <v/>
      </c>
      <c r="O273" s="59" t="str">
        <f aca="false">IF(S273=1,IF(ISNUMBER(I273),I273-G273,""),"")</f>
        <v/>
      </c>
      <c r="P273" s="59" t="str">
        <f aca="false">IF(T273=1,IF(ISNUMBER(L273),L273-G273,""),"")</f>
        <v/>
      </c>
      <c r="Q273" s="60" t="str">
        <f aca="false">IF(C273="","",IF(T273=1,"✔ SOLD / VENDIDO",IF(S273=0,"— CLOSED / CERRADO",IF(U273&lt;0,"⚠ ADD DATE / AGREGA FECHA",IF(U273&gt;=Settings!$C$8,"⚠ STALE – REPRICE / ESTANCADO",IF(U273&gt;=Settings!$C$7,"● WATCH / VIGILAR","✔ FRESH / RECIENTE"))))))</f>
        <v/>
      </c>
      <c r="S273" s="53" t="n">
        <f aca="false">IF(C273="",0,IF(OR(J273="",J273="In Stock / En Inventario",J273="Listed / Publicado"),1,0))</f>
        <v>0</v>
      </c>
      <c r="T273" s="53" t="n">
        <f aca="false">IF(C273="",0,IF(J273="Sold / Vendido",1,0))</f>
        <v>0</v>
      </c>
      <c r="U273" s="53" t="n">
        <f aca="true">IF(S273=1,IF(ISNUMBER(F273),TODAY()-F273,-1),-1)</f>
        <v>-1</v>
      </c>
      <c r="V273" s="53" t="n">
        <f aca="false">IF(U273&lt;0,IF(S273=1,5,0),IF(U273&lt;=30,1,IF(U273&lt;=60,2,IF(U273&lt;=90,3,4))))</f>
        <v>0</v>
      </c>
      <c r="W273" s="53" t="n">
        <f aca="false">IF(U273&lt;0,-1000000000000000,U273+ROW()/1000000)</f>
        <v>-1000000000000000</v>
      </c>
      <c r="X273" s="53" t="n">
        <f aca="false">IF(T273=1,IF(AND(ISNUMBER(F273),ISNUMBER(K273)),K273-F273,0),0)</f>
        <v>0</v>
      </c>
      <c r="Y273" s="53" t="n">
        <f aca="false">IF(T273=1,IF(AND(ISNUMBER(F273),ISNUMBER(K273)),1,0),0)</f>
        <v>0</v>
      </c>
      <c r="Z273" s="53" t="n">
        <f aca="false">IF(U273&gt;=Settings!$C$8,1,0)</f>
        <v>0</v>
      </c>
      <c r="AA273" s="53" t="n">
        <f aca="false">IF(S273=1,IF(J273="Listed / Publicado",0,1),0)</f>
        <v>0</v>
      </c>
      <c r="AB273" s="53" t="n">
        <f aca="false">IF(T273=1,IF(ISNUMBER(L273),L273-G273,0),0)</f>
        <v>0</v>
      </c>
      <c r="AC273" s="53" t="n">
        <f aca="false">IF(S273=1,IF(ISNUMBER(I273),I273-G273,0),0)</f>
        <v>0</v>
      </c>
    </row>
    <row r="274" customFormat="false" ht="15" hidden="false" customHeight="false" outlineLevel="0" collapsed="false">
      <c r="B274" s="54"/>
      <c r="C274" s="55"/>
      <c r="D274" s="55"/>
      <c r="E274" s="55"/>
      <c r="F274" s="56"/>
      <c r="G274" s="57"/>
      <c r="H274" s="55"/>
      <c r="I274" s="57"/>
      <c r="J274" s="54"/>
      <c r="K274" s="56"/>
      <c r="L274" s="57"/>
      <c r="M274" s="54"/>
      <c r="N274" s="58" t="str">
        <f aca="false">IF(S274=1,IF(U274&lt;0,"",U274),IF(Y274=1,X274,""))</f>
        <v/>
      </c>
      <c r="O274" s="59" t="str">
        <f aca="false">IF(S274=1,IF(ISNUMBER(I274),I274-G274,""),"")</f>
        <v/>
      </c>
      <c r="P274" s="59" t="str">
        <f aca="false">IF(T274=1,IF(ISNUMBER(L274),L274-G274,""),"")</f>
        <v/>
      </c>
      <c r="Q274" s="60" t="str">
        <f aca="false">IF(C274="","",IF(T274=1,"✔ SOLD / VENDIDO",IF(S274=0,"— CLOSED / CERRADO",IF(U274&lt;0,"⚠ ADD DATE / AGREGA FECHA",IF(U274&gt;=Settings!$C$8,"⚠ STALE – REPRICE / ESTANCADO",IF(U274&gt;=Settings!$C$7,"● WATCH / VIGILAR","✔ FRESH / RECIENTE"))))))</f>
        <v/>
      </c>
      <c r="S274" s="53" t="n">
        <f aca="false">IF(C274="",0,IF(OR(J274="",J274="In Stock / En Inventario",J274="Listed / Publicado"),1,0))</f>
        <v>0</v>
      </c>
      <c r="T274" s="53" t="n">
        <f aca="false">IF(C274="",0,IF(J274="Sold / Vendido",1,0))</f>
        <v>0</v>
      </c>
      <c r="U274" s="53" t="n">
        <f aca="true">IF(S274=1,IF(ISNUMBER(F274),TODAY()-F274,-1),-1)</f>
        <v>-1</v>
      </c>
      <c r="V274" s="53" t="n">
        <f aca="false">IF(U274&lt;0,IF(S274=1,5,0),IF(U274&lt;=30,1,IF(U274&lt;=60,2,IF(U274&lt;=90,3,4))))</f>
        <v>0</v>
      </c>
      <c r="W274" s="53" t="n">
        <f aca="false">IF(U274&lt;0,-1000000000000000,U274+ROW()/1000000)</f>
        <v>-1000000000000000</v>
      </c>
      <c r="X274" s="53" t="n">
        <f aca="false">IF(T274=1,IF(AND(ISNUMBER(F274),ISNUMBER(K274)),K274-F274,0),0)</f>
        <v>0</v>
      </c>
      <c r="Y274" s="53" t="n">
        <f aca="false">IF(T274=1,IF(AND(ISNUMBER(F274),ISNUMBER(K274)),1,0),0)</f>
        <v>0</v>
      </c>
      <c r="Z274" s="53" t="n">
        <f aca="false">IF(U274&gt;=Settings!$C$8,1,0)</f>
        <v>0</v>
      </c>
      <c r="AA274" s="53" t="n">
        <f aca="false">IF(S274=1,IF(J274="Listed / Publicado",0,1),0)</f>
        <v>0</v>
      </c>
      <c r="AB274" s="53" t="n">
        <f aca="false">IF(T274=1,IF(ISNUMBER(L274),L274-G274,0),0)</f>
        <v>0</v>
      </c>
      <c r="AC274" s="53" t="n">
        <f aca="false">IF(S274=1,IF(ISNUMBER(I274),I274-G274,0),0)</f>
        <v>0</v>
      </c>
    </row>
    <row r="275" customFormat="false" ht="15" hidden="false" customHeight="false" outlineLevel="0" collapsed="false">
      <c r="B275" s="54"/>
      <c r="C275" s="55"/>
      <c r="D275" s="55"/>
      <c r="E275" s="55"/>
      <c r="F275" s="56"/>
      <c r="G275" s="57"/>
      <c r="H275" s="55"/>
      <c r="I275" s="57"/>
      <c r="J275" s="54"/>
      <c r="K275" s="56"/>
      <c r="L275" s="57"/>
      <c r="M275" s="54"/>
      <c r="N275" s="58" t="str">
        <f aca="false">IF(S275=1,IF(U275&lt;0,"",U275),IF(Y275=1,X275,""))</f>
        <v/>
      </c>
      <c r="O275" s="59" t="str">
        <f aca="false">IF(S275=1,IF(ISNUMBER(I275),I275-G275,""),"")</f>
        <v/>
      </c>
      <c r="P275" s="59" t="str">
        <f aca="false">IF(T275=1,IF(ISNUMBER(L275),L275-G275,""),"")</f>
        <v/>
      </c>
      <c r="Q275" s="60" t="str">
        <f aca="false">IF(C275="","",IF(T275=1,"✔ SOLD / VENDIDO",IF(S275=0,"— CLOSED / CERRADO",IF(U275&lt;0,"⚠ ADD DATE / AGREGA FECHA",IF(U275&gt;=Settings!$C$8,"⚠ STALE – REPRICE / ESTANCADO",IF(U275&gt;=Settings!$C$7,"● WATCH / VIGILAR","✔ FRESH / RECIENTE"))))))</f>
        <v/>
      </c>
      <c r="S275" s="53" t="n">
        <f aca="false">IF(C275="",0,IF(OR(J275="",J275="In Stock / En Inventario",J275="Listed / Publicado"),1,0))</f>
        <v>0</v>
      </c>
      <c r="T275" s="53" t="n">
        <f aca="false">IF(C275="",0,IF(J275="Sold / Vendido",1,0))</f>
        <v>0</v>
      </c>
      <c r="U275" s="53" t="n">
        <f aca="true">IF(S275=1,IF(ISNUMBER(F275),TODAY()-F275,-1),-1)</f>
        <v>-1</v>
      </c>
      <c r="V275" s="53" t="n">
        <f aca="false">IF(U275&lt;0,IF(S275=1,5,0),IF(U275&lt;=30,1,IF(U275&lt;=60,2,IF(U275&lt;=90,3,4))))</f>
        <v>0</v>
      </c>
      <c r="W275" s="53" t="n">
        <f aca="false">IF(U275&lt;0,-1000000000000000,U275+ROW()/1000000)</f>
        <v>-1000000000000000</v>
      </c>
      <c r="X275" s="53" t="n">
        <f aca="false">IF(T275=1,IF(AND(ISNUMBER(F275),ISNUMBER(K275)),K275-F275,0),0)</f>
        <v>0</v>
      </c>
      <c r="Y275" s="53" t="n">
        <f aca="false">IF(T275=1,IF(AND(ISNUMBER(F275),ISNUMBER(K275)),1,0),0)</f>
        <v>0</v>
      </c>
      <c r="Z275" s="53" t="n">
        <f aca="false">IF(U275&gt;=Settings!$C$8,1,0)</f>
        <v>0</v>
      </c>
      <c r="AA275" s="53" t="n">
        <f aca="false">IF(S275=1,IF(J275="Listed / Publicado",0,1),0)</f>
        <v>0</v>
      </c>
      <c r="AB275" s="53" t="n">
        <f aca="false">IF(T275=1,IF(ISNUMBER(L275),L275-G275,0),0)</f>
        <v>0</v>
      </c>
      <c r="AC275" s="53" t="n">
        <f aca="false">IF(S275=1,IF(ISNUMBER(I275),I275-G275,0),0)</f>
        <v>0</v>
      </c>
    </row>
    <row r="276" customFormat="false" ht="15" hidden="false" customHeight="false" outlineLevel="0" collapsed="false">
      <c r="B276" s="54"/>
      <c r="C276" s="55"/>
      <c r="D276" s="55"/>
      <c r="E276" s="55"/>
      <c r="F276" s="56"/>
      <c r="G276" s="57"/>
      <c r="H276" s="55"/>
      <c r="I276" s="57"/>
      <c r="J276" s="54"/>
      <c r="K276" s="56"/>
      <c r="L276" s="57"/>
      <c r="M276" s="54"/>
      <c r="N276" s="58" t="str">
        <f aca="false">IF(S276=1,IF(U276&lt;0,"",U276),IF(Y276=1,X276,""))</f>
        <v/>
      </c>
      <c r="O276" s="59" t="str">
        <f aca="false">IF(S276=1,IF(ISNUMBER(I276),I276-G276,""),"")</f>
        <v/>
      </c>
      <c r="P276" s="59" t="str">
        <f aca="false">IF(T276=1,IF(ISNUMBER(L276),L276-G276,""),"")</f>
        <v/>
      </c>
      <c r="Q276" s="60" t="str">
        <f aca="false">IF(C276="","",IF(T276=1,"✔ SOLD / VENDIDO",IF(S276=0,"— CLOSED / CERRADO",IF(U276&lt;0,"⚠ ADD DATE / AGREGA FECHA",IF(U276&gt;=Settings!$C$8,"⚠ STALE – REPRICE / ESTANCADO",IF(U276&gt;=Settings!$C$7,"● WATCH / VIGILAR","✔ FRESH / RECIENTE"))))))</f>
        <v/>
      </c>
      <c r="S276" s="53" t="n">
        <f aca="false">IF(C276="",0,IF(OR(J276="",J276="In Stock / En Inventario",J276="Listed / Publicado"),1,0))</f>
        <v>0</v>
      </c>
      <c r="T276" s="53" t="n">
        <f aca="false">IF(C276="",0,IF(J276="Sold / Vendido",1,0))</f>
        <v>0</v>
      </c>
      <c r="U276" s="53" t="n">
        <f aca="true">IF(S276=1,IF(ISNUMBER(F276),TODAY()-F276,-1),-1)</f>
        <v>-1</v>
      </c>
      <c r="V276" s="53" t="n">
        <f aca="false">IF(U276&lt;0,IF(S276=1,5,0),IF(U276&lt;=30,1,IF(U276&lt;=60,2,IF(U276&lt;=90,3,4))))</f>
        <v>0</v>
      </c>
      <c r="W276" s="53" t="n">
        <f aca="false">IF(U276&lt;0,-1000000000000000,U276+ROW()/1000000)</f>
        <v>-1000000000000000</v>
      </c>
      <c r="X276" s="53" t="n">
        <f aca="false">IF(T276=1,IF(AND(ISNUMBER(F276),ISNUMBER(K276)),K276-F276,0),0)</f>
        <v>0</v>
      </c>
      <c r="Y276" s="53" t="n">
        <f aca="false">IF(T276=1,IF(AND(ISNUMBER(F276),ISNUMBER(K276)),1,0),0)</f>
        <v>0</v>
      </c>
      <c r="Z276" s="53" t="n">
        <f aca="false">IF(U276&gt;=Settings!$C$8,1,0)</f>
        <v>0</v>
      </c>
      <c r="AA276" s="53" t="n">
        <f aca="false">IF(S276=1,IF(J276="Listed / Publicado",0,1),0)</f>
        <v>0</v>
      </c>
      <c r="AB276" s="53" t="n">
        <f aca="false">IF(T276=1,IF(ISNUMBER(L276),L276-G276,0),0)</f>
        <v>0</v>
      </c>
      <c r="AC276" s="53" t="n">
        <f aca="false">IF(S276=1,IF(ISNUMBER(I276),I276-G276,0),0)</f>
        <v>0</v>
      </c>
    </row>
    <row r="277" customFormat="false" ht="15" hidden="false" customHeight="false" outlineLevel="0" collapsed="false">
      <c r="B277" s="54"/>
      <c r="C277" s="55"/>
      <c r="D277" s="55"/>
      <c r="E277" s="55"/>
      <c r="F277" s="56"/>
      <c r="G277" s="57"/>
      <c r="H277" s="55"/>
      <c r="I277" s="57"/>
      <c r="J277" s="54"/>
      <c r="K277" s="56"/>
      <c r="L277" s="57"/>
      <c r="M277" s="54"/>
      <c r="N277" s="58" t="str">
        <f aca="false">IF(S277=1,IF(U277&lt;0,"",U277),IF(Y277=1,X277,""))</f>
        <v/>
      </c>
      <c r="O277" s="59" t="str">
        <f aca="false">IF(S277=1,IF(ISNUMBER(I277),I277-G277,""),"")</f>
        <v/>
      </c>
      <c r="P277" s="59" t="str">
        <f aca="false">IF(T277=1,IF(ISNUMBER(L277),L277-G277,""),"")</f>
        <v/>
      </c>
      <c r="Q277" s="60" t="str">
        <f aca="false">IF(C277="","",IF(T277=1,"✔ SOLD / VENDIDO",IF(S277=0,"— CLOSED / CERRADO",IF(U277&lt;0,"⚠ ADD DATE / AGREGA FECHA",IF(U277&gt;=Settings!$C$8,"⚠ STALE – REPRICE / ESTANCADO",IF(U277&gt;=Settings!$C$7,"● WATCH / VIGILAR","✔ FRESH / RECIENTE"))))))</f>
        <v/>
      </c>
      <c r="S277" s="53" t="n">
        <f aca="false">IF(C277="",0,IF(OR(J277="",J277="In Stock / En Inventario",J277="Listed / Publicado"),1,0))</f>
        <v>0</v>
      </c>
      <c r="T277" s="53" t="n">
        <f aca="false">IF(C277="",0,IF(J277="Sold / Vendido",1,0))</f>
        <v>0</v>
      </c>
      <c r="U277" s="53" t="n">
        <f aca="true">IF(S277=1,IF(ISNUMBER(F277),TODAY()-F277,-1),-1)</f>
        <v>-1</v>
      </c>
      <c r="V277" s="53" t="n">
        <f aca="false">IF(U277&lt;0,IF(S277=1,5,0),IF(U277&lt;=30,1,IF(U277&lt;=60,2,IF(U277&lt;=90,3,4))))</f>
        <v>0</v>
      </c>
      <c r="W277" s="53" t="n">
        <f aca="false">IF(U277&lt;0,-1000000000000000,U277+ROW()/1000000)</f>
        <v>-1000000000000000</v>
      </c>
      <c r="X277" s="53" t="n">
        <f aca="false">IF(T277=1,IF(AND(ISNUMBER(F277),ISNUMBER(K277)),K277-F277,0),0)</f>
        <v>0</v>
      </c>
      <c r="Y277" s="53" t="n">
        <f aca="false">IF(T277=1,IF(AND(ISNUMBER(F277),ISNUMBER(K277)),1,0),0)</f>
        <v>0</v>
      </c>
      <c r="Z277" s="53" t="n">
        <f aca="false">IF(U277&gt;=Settings!$C$8,1,0)</f>
        <v>0</v>
      </c>
      <c r="AA277" s="53" t="n">
        <f aca="false">IF(S277=1,IF(J277="Listed / Publicado",0,1),0)</f>
        <v>0</v>
      </c>
      <c r="AB277" s="53" t="n">
        <f aca="false">IF(T277=1,IF(ISNUMBER(L277),L277-G277,0),0)</f>
        <v>0</v>
      </c>
      <c r="AC277" s="53" t="n">
        <f aca="false">IF(S277=1,IF(ISNUMBER(I277),I277-G277,0),0)</f>
        <v>0</v>
      </c>
    </row>
    <row r="278" customFormat="false" ht="15" hidden="false" customHeight="false" outlineLevel="0" collapsed="false">
      <c r="B278" s="54"/>
      <c r="C278" s="55"/>
      <c r="D278" s="55"/>
      <c r="E278" s="55"/>
      <c r="F278" s="56"/>
      <c r="G278" s="57"/>
      <c r="H278" s="55"/>
      <c r="I278" s="57"/>
      <c r="J278" s="54"/>
      <c r="K278" s="56"/>
      <c r="L278" s="57"/>
      <c r="M278" s="54"/>
      <c r="N278" s="58" t="str">
        <f aca="false">IF(S278=1,IF(U278&lt;0,"",U278),IF(Y278=1,X278,""))</f>
        <v/>
      </c>
      <c r="O278" s="59" t="str">
        <f aca="false">IF(S278=1,IF(ISNUMBER(I278),I278-G278,""),"")</f>
        <v/>
      </c>
      <c r="P278" s="59" t="str">
        <f aca="false">IF(T278=1,IF(ISNUMBER(L278),L278-G278,""),"")</f>
        <v/>
      </c>
      <c r="Q278" s="60" t="str">
        <f aca="false">IF(C278="","",IF(T278=1,"✔ SOLD / VENDIDO",IF(S278=0,"— CLOSED / CERRADO",IF(U278&lt;0,"⚠ ADD DATE / AGREGA FECHA",IF(U278&gt;=Settings!$C$8,"⚠ STALE – REPRICE / ESTANCADO",IF(U278&gt;=Settings!$C$7,"● WATCH / VIGILAR","✔ FRESH / RECIENTE"))))))</f>
        <v/>
      </c>
      <c r="S278" s="53" t="n">
        <f aca="false">IF(C278="",0,IF(OR(J278="",J278="In Stock / En Inventario",J278="Listed / Publicado"),1,0))</f>
        <v>0</v>
      </c>
      <c r="T278" s="53" t="n">
        <f aca="false">IF(C278="",0,IF(J278="Sold / Vendido",1,0))</f>
        <v>0</v>
      </c>
      <c r="U278" s="53" t="n">
        <f aca="true">IF(S278=1,IF(ISNUMBER(F278),TODAY()-F278,-1),-1)</f>
        <v>-1</v>
      </c>
      <c r="V278" s="53" t="n">
        <f aca="false">IF(U278&lt;0,IF(S278=1,5,0),IF(U278&lt;=30,1,IF(U278&lt;=60,2,IF(U278&lt;=90,3,4))))</f>
        <v>0</v>
      </c>
      <c r="W278" s="53" t="n">
        <f aca="false">IF(U278&lt;0,-1000000000000000,U278+ROW()/1000000)</f>
        <v>-1000000000000000</v>
      </c>
      <c r="X278" s="53" t="n">
        <f aca="false">IF(T278=1,IF(AND(ISNUMBER(F278),ISNUMBER(K278)),K278-F278,0),0)</f>
        <v>0</v>
      </c>
      <c r="Y278" s="53" t="n">
        <f aca="false">IF(T278=1,IF(AND(ISNUMBER(F278),ISNUMBER(K278)),1,0),0)</f>
        <v>0</v>
      </c>
      <c r="Z278" s="53" t="n">
        <f aca="false">IF(U278&gt;=Settings!$C$8,1,0)</f>
        <v>0</v>
      </c>
      <c r="AA278" s="53" t="n">
        <f aca="false">IF(S278=1,IF(J278="Listed / Publicado",0,1),0)</f>
        <v>0</v>
      </c>
      <c r="AB278" s="53" t="n">
        <f aca="false">IF(T278=1,IF(ISNUMBER(L278),L278-G278,0),0)</f>
        <v>0</v>
      </c>
      <c r="AC278" s="53" t="n">
        <f aca="false">IF(S278=1,IF(ISNUMBER(I278),I278-G278,0),0)</f>
        <v>0</v>
      </c>
    </row>
    <row r="279" customFormat="false" ht="15" hidden="false" customHeight="false" outlineLevel="0" collapsed="false">
      <c r="B279" s="54"/>
      <c r="C279" s="55"/>
      <c r="D279" s="55"/>
      <c r="E279" s="55"/>
      <c r="F279" s="56"/>
      <c r="G279" s="57"/>
      <c r="H279" s="55"/>
      <c r="I279" s="57"/>
      <c r="J279" s="54"/>
      <c r="K279" s="56"/>
      <c r="L279" s="57"/>
      <c r="M279" s="54"/>
      <c r="N279" s="58" t="str">
        <f aca="false">IF(S279=1,IF(U279&lt;0,"",U279),IF(Y279=1,X279,""))</f>
        <v/>
      </c>
      <c r="O279" s="59" t="str">
        <f aca="false">IF(S279=1,IF(ISNUMBER(I279),I279-G279,""),"")</f>
        <v/>
      </c>
      <c r="P279" s="59" t="str">
        <f aca="false">IF(T279=1,IF(ISNUMBER(L279),L279-G279,""),"")</f>
        <v/>
      </c>
      <c r="Q279" s="60" t="str">
        <f aca="false">IF(C279="","",IF(T279=1,"✔ SOLD / VENDIDO",IF(S279=0,"— CLOSED / CERRADO",IF(U279&lt;0,"⚠ ADD DATE / AGREGA FECHA",IF(U279&gt;=Settings!$C$8,"⚠ STALE – REPRICE / ESTANCADO",IF(U279&gt;=Settings!$C$7,"● WATCH / VIGILAR","✔ FRESH / RECIENTE"))))))</f>
        <v/>
      </c>
      <c r="S279" s="53" t="n">
        <f aca="false">IF(C279="",0,IF(OR(J279="",J279="In Stock / En Inventario",J279="Listed / Publicado"),1,0))</f>
        <v>0</v>
      </c>
      <c r="T279" s="53" t="n">
        <f aca="false">IF(C279="",0,IF(J279="Sold / Vendido",1,0))</f>
        <v>0</v>
      </c>
      <c r="U279" s="53" t="n">
        <f aca="true">IF(S279=1,IF(ISNUMBER(F279),TODAY()-F279,-1),-1)</f>
        <v>-1</v>
      </c>
      <c r="V279" s="53" t="n">
        <f aca="false">IF(U279&lt;0,IF(S279=1,5,0),IF(U279&lt;=30,1,IF(U279&lt;=60,2,IF(U279&lt;=90,3,4))))</f>
        <v>0</v>
      </c>
      <c r="W279" s="53" t="n">
        <f aca="false">IF(U279&lt;0,-1000000000000000,U279+ROW()/1000000)</f>
        <v>-1000000000000000</v>
      </c>
      <c r="X279" s="53" t="n">
        <f aca="false">IF(T279=1,IF(AND(ISNUMBER(F279),ISNUMBER(K279)),K279-F279,0),0)</f>
        <v>0</v>
      </c>
      <c r="Y279" s="53" t="n">
        <f aca="false">IF(T279=1,IF(AND(ISNUMBER(F279),ISNUMBER(K279)),1,0),0)</f>
        <v>0</v>
      </c>
      <c r="Z279" s="53" t="n">
        <f aca="false">IF(U279&gt;=Settings!$C$8,1,0)</f>
        <v>0</v>
      </c>
      <c r="AA279" s="53" t="n">
        <f aca="false">IF(S279=1,IF(J279="Listed / Publicado",0,1),0)</f>
        <v>0</v>
      </c>
      <c r="AB279" s="53" t="n">
        <f aca="false">IF(T279=1,IF(ISNUMBER(L279),L279-G279,0),0)</f>
        <v>0</v>
      </c>
      <c r="AC279" s="53" t="n">
        <f aca="false">IF(S279=1,IF(ISNUMBER(I279),I279-G279,0),0)</f>
        <v>0</v>
      </c>
    </row>
    <row r="280" customFormat="false" ht="15" hidden="false" customHeight="false" outlineLevel="0" collapsed="false">
      <c r="B280" s="54"/>
      <c r="C280" s="55"/>
      <c r="D280" s="55"/>
      <c r="E280" s="55"/>
      <c r="F280" s="56"/>
      <c r="G280" s="57"/>
      <c r="H280" s="55"/>
      <c r="I280" s="57"/>
      <c r="J280" s="54"/>
      <c r="K280" s="56"/>
      <c r="L280" s="57"/>
      <c r="M280" s="54"/>
      <c r="N280" s="58" t="str">
        <f aca="false">IF(S280=1,IF(U280&lt;0,"",U280),IF(Y280=1,X280,""))</f>
        <v/>
      </c>
      <c r="O280" s="59" t="str">
        <f aca="false">IF(S280=1,IF(ISNUMBER(I280),I280-G280,""),"")</f>
        <v/>
      </c>
      <c r="P280" s="59" t="str">
        <f aca="false">IF(T280=1,IF(ISNUMBER(L280),L280-G280,""),"")</f>
        <v/>
      </c>
      <c r="Q280" s="60" t="str">
        <f aca="false">IF(C280="","",IF(T280=1,"✔ SOLD / VENDIDO",IF(S280=0,"— CLOSED / CERRADO",IF(U280&lt;0,"⚠ ADD DATE / AGREGA FECHA",IF(U280&gt;=Settings!$C$8,"⚠ STALE – REPRICE / ESTANCADO",IF(U280&gt;=Settings!$C$7,"● WATCH / VIGILAR","✔ FRESH / RECIENTE"))))))</f>
        <v/>
      </c>
      <c r="S280" s="53" t="n">
        <f aca="false">IF(C280="",0,IF(OR(J280="",J280="In Stock / En Inventario",J280="Listed / Publicado"),1,0))</f>
        <v>0</v>
      </c>
      <c r="T280" s="53" t="n">
        <f aca="false">IF(C280="",0,IF(J280="Sold / Vendido",1,0))</f>
        <v>0</v>
      </c>
      <c r="U280" s="53" t="n">
        <f aca="true">IF(S280=1,IF(ISNUMBER(F280),TODAY()-F280,-1),-1)</f>
        <v>-1</v>
      </c>
      <c r="V280" s="53" t="n">
        <f aca="false">IF(U280&lt;0,IF(S280=1,5,0),IF(U280&lt;=30,1,IF(U280&lt;=60,2,IF(U280&lt;=90,3,4))))</f>
        <v>0</v>
      </c>
      <c r="W280" s="53" t="n">
        <f aca="false">IF(U280&lt;0,-1000000000000000,U280+ROW()/1000000)</f>
        <v>-1000000000000000</v>
      </c>
      <c r="X280" s="53" t="n">
        <f aca="false">IF(T280=1,IF(AND(ISNUMBER(F280),ISNUMBER(K280)),K280-F280,0),0)</f>
        <v>0</v>
      </c>
      <c r="Y280" s="53" t="n">
        <f aca="false">IF(T280=1,IF(AND(ISNUMBER(F280),ISNUMBER(K280)),1,0),0)</f>
        <v>0</v>
      </c>
      <c r="Z280" s="53" t="n">
        <f aca="false">IF(U280&gt;=Settings!$C$8,1,0)</f>
        <v>0</v>
      </c>
      <c r="AA280" s="53" t="n">
        <f aca="false">IF(S280=1,IF(J280="Listed / Publicado",0,1),0)</f>
        <v>0</v>
      </c>
      <c r="AB280" s="53" t="n">
        <f aca="false">IF(T280=1,IF(ISNUMBER(L280),L280-G280,0),0)</f>
        <v>0</v>
      </c>
      <c r="AC280" s="53" t="n">
        <f aca="false">IF(S280=1,IF(ISNUMBER(I280),I280-G280,0),0)</f>
        <v>0</v>
      </c>
    </row>
    <row r="281" customFormat="false" ht="15" hidden="false" customHeight="false" outlineLevel="0" collapsed="false">
      <c r="B281" s="54"/>
      <c r="C281" s="55"/>
      <c r="D281" s="55"/>
      <c r="E281" s="55"/>
      <c r="F281" s="56"/>
      <c r="G281" s="57"/>
      <c r="H281" s="55"/>
      <c r="I281" s="57"/>
      <c r="J281" s="54"/>
      <c r="K281" s="56"/>
      <c r="L281" s="57"/>
      <c r="M281" s="54"/>
      <c r="N281" s="58" t="str">
        <f aca="false">IF(S281=1,IF(U281&lt;0,"",U281),IF(Y281=1,X281,""))</f>
        <v/>
      </c>
      <c r="O281" s="59" t="str">
        <f aca="false">IF(S281=1,IF(ISNUMBER(I281),I281-G281,""),"")</f>
        <v/>
      </c>
      <c r="P281" s="59" t="str">
        <f aca="false">IF(T281=1,IF(ISNUMBER(L281),L281-G281,""),"")</f>
        <v/>
      </c>
      <c r="Q281" s="60" t="str">
        <f aca="false">IF(C281="","",IF(T281=1,"✔ SOLD / VENDIDO",IF(S281=0,"— CLOSED / CERRADO",IF(U281&lt;0,"⚠ ADD DATE / AGREGA FECHA",IF(U281&gt;=Settings!$C$8,"⚠ STALE – REPRICE / ESTANCADO",IF(U281&gt;=Settings!$C$7,"● WATCH / VIGILAR","✔ FRESH / RECIENTE"))))))</f>
        <v/>
      </c>
      <c r="S281" s="53" t="n">
        <f aca="false">IF(C281="",0,IF(OR(J281="",J281="In Stock / En Inventario",J281="Listed / Publicado"),1,0))</f>
        <v>0</v>
      </c>
      <c r="T281" s="53" t="n">
        <f aca="false">IF(C281="",0,IF(J281="Sold / Vendido",1,0))</f>
        <v>0</v>
      </c>
      <c r="U281" s="53" t="n">
        <f aca="true">IF(S281=1,IF(ISNUMBER(F281),TODAY()-F281,-1),-1)</f>
        <v>-1</v>
      </c>
      <c r="V281" s="53" t="n">
        <f aca="false">IF(U281&lt;0,IF(S281=1,5,0),IF(U281&lt;=30,1,IF(U281&lt;=60,2,IF(U281&lt;=90,3,4))))</f>
        <v>0</v>
      </c>
      <c r="W281" s="53" t="n">
        <f aca="false">IF(U281&lt;0,-1000000000000000,U281+ROW()/1000000)</f>
        <v>-1000000000000000</v>
      </c>
      <c r="X281" s="53" t="n">
        <f aca="false">IF(T281=1,IF(AND(ISNUMBER(F281),ISNUMBER(K281)),K281-F281,0),0)</f>
        <v>0</v>
      </c>
      <c r="Y281" s="53" t="n">
        <f aca="false">IF(T281=1,IF(AND(ISNUMBER(F281),ISNUMBER(K281)),1,0),0)</f>
        <v>0</v>
      </c>
      <c r="Z281" s="53" t="n">
        <f aca="false">IF(U281&gt;=Settings!$C$8,1,0)</f>
        <v>0</v>
      </c>
      <c r="AA281" s="53" t="n">
        <f aca="false">IF(S281=1,IF(J281="Listed / Publicado",0,1),0)</f>
        <v>0</v>
      </c>
      <c r="AB281" s="53" t="n">
        <f aca="false">IF(T281=1,IF(ISNUMBER(L281),L281-G281,0),0)</f>
        <v>0</v>
      </c>
      <c r="AC281" s="53" t="n">
        <f aca="false">IF(S281=1,IF(ISNUMBER(I281),I281-G281,0),0)</f>
        <v>0</v>
      </c>
    </row>
    <row r="282" customFormat="false" ht="15" hidden="false" customHeight="false" outlineLevel="0" collapsed="false">
      <c r="B282" s="54"/>
      <c r="C282" s="55"/>
      <c r="D282" s="55"/>
      <c r="E282" s="55"/>
      <c r="F282" s="56"/>
      <c r="G282" s="57"/>
      <c r="H282" s="55"/>
      <c r="I282" s="57"/>
      <c r="J282" s="54"/>
      <c r="K282" s="56"/>
      <c r="L282" s="57"/>
      <c r="M282" s="54"/>
      <c r="N282" s="58" t="str">
        <f aca="false">IF(S282=1,IF(U282&lt;0,"",U282),IF(Y282=1,X282,""))</f>
        <v/>
      </c>
      <c r="O282" s="59" t="str">
        <f aca="false">IF(S282=1,IF(ISNUMBER(I282),I282-G282,""),"")</f>
        <v/>
      </c>
      <c r="P282" s="59" t="str">
        <f aca="false">IF(T282=1,IF(ISNUMBER(L282),L282-G282,""),"")</f>
        <v/>
      </c>
      <c r="Q282" s="60" t="str">
        <f aca="false">IF(C282="","",IF(T282=1,"✔ SOLD / VENDIDO",IF(S282=0,"— CLOSED / CERRADO",IF(U282&lt;0,"⚠ ADD DATE / AGREGA FECHA",IF(U282&gt;=Settings!$C$8,"⚠ STALE – REPRICE / ESTANCADO",IF(U282&gt;=Settings!$C$7,"● WATCH / VIGILAR","✔ FRESH / RECIENTE"))))))</f>
        <v/>
      </c>
      <c r="S282" s="53" t="n">
        <f aca="false">IF(C282="",0,IF(OR(J282="",J282="In Stock / En Inventario",J282="Listed / Publicado"),1,0))</f>
        <v>0</v>
      </c>
      <c r="T282" s="53" t="n">
        <f aca="false">IF(C282="",0,IF(J282="Sold / Vendido",1,0))</f>
        <v>0</v>
      </c>
      <c r="U282" s="53" t="n">
        <f aca="true">IF(S282=1,IF(ISNUMBER(F282),TODAY()-F282,-1),-1)</f>
        <v>-1</v>
      </c>
      <c r="V282" s="53" t="n">
        <f aca="false">IF(U282&lt;0,IF(S282=1,5,0),IF(U282&lt;=30,1,IF(U282&lt;=60,2,IF(U282&lt;=90,3,4))))</f>
        <v>0</v>
      </c>
      <c r="W282" s="53" t="n">
        <f aca="false">IF(U282&lt;0,-1000000000000000,U282+ROW()/1000000)</f>
        <v>-1000000000000000</v>
      </c>
      <c r="X282" s="53" t="n">
        <f aca="false">IF(T282=1,IF(AND(ISNUMBER(F282),ISNUMBER(K282)),K282-F282,0),0)</f>
        <v>0</v>
      </c>
      <c r="Y282" s="53" t="n">
        <f aca="false">IF(T282=1,IF(AND(ISNUMBER(F282),ISNUMBER(K282)),1,0),0)</f>
        <v>0</v>
      </c>
      <c r="Z282" s="53" t="n">
        <f aca="false">IF(U282&gt;=Settings!$C$8,1,0)</f>
        <v>0</v>
      </c>
      <c r="AA282" s="53" t="n">
        <f aca="false">IF(S282=1,IF(J282="Listed / Publicado",0,1),0)</f>
        <v>0</v>
      </c>
      <c r="AB282" s="53" t="n">
        <f aca="false">IF(T282=1,IF(ISNUMBER(L282),L282-G282,0),0)</f>
        <v>0</v>
      </c>
      <c r="AC282" s="53" t="n">
        <f aca="false">IF(S282=1,IF(ISNUMBER(I282),I282-G282,0),0)</f>
        <v>0</v>
      </c>
    </row>
    <row r="283" customFormat="false" ht="15" hidden="false" customHeight="false" outlineLevel="0" collapsed="false">
      <c r="B283" s="54"/>
      <c r="C283" s="55"/>
      <c r="D283" s="55"/>
      <c r="E283" s="55"/>
      <c r="F283" s="56"/>
      <c r="G283" s="57"/>
      <c r="H283" s="55"/>
      <c r="I283" s="57"/>
      <c r="J283" s="54"/>
      <c r="K283" s="56"/>
      <c r="L283" s="57"/>
      <c r="M283" s="54"/>
      <c r="N283" s="58" t="str">
        <f aca="false">IF(S283=1,IF(U283&lt;0,"",U283),IF(Y283=1,X283,""))</f>
        <v/>
      </c>
      <c r="O283" s="59" t="str">
        <f aca="false">IF(S283=1,IF(ISNUMBER(I283),I283-G283,""),"")</f>
        <v/>
      </c>
      <c r="P283" s="59" t="str">
        <f aca="false">IF(T283=1,IF(ISNUMBER(L283),L283-G283,""),"")</f>
        <v/>
      </c>
      <c r="Q283" s="60" t="str">
        <f aca="false">IF(C283="","",IF(T283=1,"✔ SOLD / VENDIDO",IF(S283=0,"— CLOSED / CERRADO",IF(U283&lt;0,"⚠ ADD DATE / AGREGA FECHA",IF(U283&gt;=Settings!$C$8,"⚠ STALE – REPRICE / ESTANCADO",IF(U283&gt;=Settings!$C$7,"● WATCH / VIGILAR","✔ FRESH / RECIENTE"))))))</f>
        <v/>
      </c>
      <c r="S283" s="53" t="n">
        <f aca="false">IF(C283="",0,IF(OR(J283="",J283="In Stock / En Inventario",J283="Listed / Publicado"),1,0))</f>
        <v>0</v>
      </c>
      <c r="T283" s="53" t="n">
        <f aca="false">IF(C283="",0,IF(J283="Sold / Vendido",1,0))</f>
        <v>0</v>
      </c>
      <c r="U283" s="53" t="n">
        <f aca="true">IF(S283=1,IF(ISNUMBER(F283),TODAY()-F283,-1),-1)</f>
        <v>-1</v>
      </c>
      <c r="V283" s="53" t="n">
        <f aca="false">IF(U283&lt;0,IF(S283=1,5,0),IF(U283&lt;=30,1,IF(U283&lt;=60,2,IF(U283&lt;=90,3,4))))</f>
        <v>0</v>
      </c>
      <c r="W283" s="53" t="n">
        <f aca="false">IF(U283&lt;0,-1000000000000000,U283+ROW()/1000000)</f>
        <v>-1000000000000000</v>
      </c>
      <c r="X283" s="53" t="n">
        <f aca="false">IF(T283=1,IF(AND(ISNUMBER(F283),ISNUMBER(K283)),K283-F283,0),0)</f>
        <v>0</v>
      </c>
      <c r="Y283" s="53" t="n">
        <f aca="false">IF(T283=1,IF(AND(ISNUMBER(F283),ISNUMBER(K283)),1,0),0)</f>
        <v>0</v>
      </c>
      <c r="Z283" s="53" t="n">
        <f aca="false">IF(U283&gt;=Settings!$C$8,1,0)</f>
        <v>0</v>
      </c>
      <c r="AA283" s="53" t="n">
        <f aca="false">IF(S283=1,IF(J283="Listed / Publicado",0,1),0)</f>
        <v>0</v>
      </c>
      <c r="AB283" s="53" t="n">
        <f aca="false">IF(T283=1,IF(ISNUMBER(L283),L283-G283,0),0)</f>
        <v>0</v>
      </c>
      <c r="AC283" s="53" t="n">
        <f aca="false">IF(S283=1,IF(ISNUMBER(I283),I283-G283,0),0)</f>
        <v>0</v>
      </c>
    </row>
    <row r="284" customFormat="false" ht="15" hidden="false" customHeight="false" outlineLevel="0" collapsed="false">
      <c r="B284" s="54"/>
      <c r="C284" s="55"/>
      <c r="D284" s="55"/>
      <c r="E284" s="55"/>
      <c r="F284" s="56"/>
      <c r="G284" s="57"/>
      <c r="H284" s="55"/>
      <c r="I284" s="57"/>
      <c r="J284" s="54"/>
      <c r="K284" s="56"/>
      <c r="L284" s="57"/>
      <c r="M284" s="54"/>
      <c r="N284" s="58" t="str">
        <f aca="false">IF(S284=1,IF(U284&lt;0,"",U284),IF(Y284=1,X284,""))</f>
        <v/>
      </c>
      <c r="O284" s="59" t="str">
        <f aca="false">IF(S284=1,IF(ISNUMBER(I284),I284-G284,""),"")</f>
        <v/>
      </c>
      <c r="P284" s="59" t="str">
        <f aca="false">IF(T284=1,IF(ISNUMBER(L284),L284-G284,""),"")</f>
        <v/>
      </c>
      <c r="Q284" s="60" t="str">
        <f aca="false">IF(C284="","",IF(T284=1,"✔ SOLD / VENDIDO",IF(S284=0,"— CLOSED / CERRADO",IF(U284&lt;0,"⚠ ADD DATE / AGREGA FECHA",IF(U284&gt;=Settings!$C$8,"⚠ STALE – REPRICE / ESTANCADO",IF(U284&gt;=Settings!$C$7,"● WATCH / VIGILAR","✔ FRESH / RECIENTE"))))))</f>
        <v/>
      </c>
      <c r="S284" s="53" t="n">
        <f aca="false">IF(C284="",0,IF(OR(J284="",J284="In Stock / En Inventario",J284="Listed / Publicado"),1,0))</f>
        <v>0</v>
      </c>
      <c r="T284" s="53" t="n">
        <f aca="false">IF(C284="",0,IF(J284="Sold / Vendido",1,0))</f>
        <v>0</v>
      </c>
      <c r="U284" s="53" t="n">
        <f aca="true">IF(S284=1,IF(ISNUMBER(F284),TODAY()-F284,-1),-1)</f>
        <v>-1</v>
      </c>
      <c r="V284" s="53" t="n">
        <f aca="false">IF(U284&lt;0,IF(S284=1,5,0),IF(U284&lt;=30,1,IF(U284&lt;=60,2,IF(U284&lt;=90,3,4))))</f>
        <v>0</v>
      </c>
      <c r="W284" s="53" t="n">
        <f aca="false">IF(U284&lt;0,-1000000000000000,U284+ROW()/1000000)</f>
        <v>-1000000000000000</v>
      </c>
      <c r="X284" s="53" t="n">
        <f aca="false">IF(T284=1,IF(AND(ISNUMBER(F284),ISNUMBER(K284)),K284-F284,0),0)</f>
        <v>0</v>
      </c>
      <c r="Y284" s="53" t="n">
        <f aca="false">IF(T284=1,IF(AND(ISNUMBER(F284),ISNUMBER(K284)),1,0),0)</f>
        <v>0</v>
      </c>
      <c r="Z284" s="53" t="n">
        <f aca="false">IF(U284&gt;=Settings!$C$8,1,0)</f>
        <v>0</v>
      </c>
      <c r="AA284" s="53" t="n">
        <f aca="false">IF(S284=1,IF(J284="Listed / Publicado",0,1),0)</f>
        <v>0</v>
      </c>
      <c r="AB284" s="53" t="n">
        <f aca="false">IF(T284=1,IF(ISNUMBER(L284),L284-G284,0),0)</f>
        <v>0</v>
      </c>
      <c r="AC284" s="53" t="n">
        <f aca="false">IF(S284=1,IF(ISNUMBER(I284),I284-G284,0),0)</f>
        <v>0</v>
      </c>
    </row>
    <row r="285" customFormat="false" ht="15" hidden="false" customHeight="false" outlineLevel="0" collapsed="false">
      <c r="B285" s="54"/>
      <c r="C285" s="55"/>
      <c r="D285" s="55"/>
      <c r="E285" s="55"/>
      <c r="F285" s="56"/>
      <c r="G285" s="57"/>
      <c r="H285" s="55"/>
      <c r="I285" s="57"/>
      <c r="J285" s="54"/>
      <c r="K285" s="56"/>
      <c r="L285" s="57"/>
      <c r="M285" s="54"/>
      <c r="N285" s="58" t="str">
        <f aca="false">IF(S285=1,IF(U285&lt;0,"",U285),IF(Y285=1,X285,""))</f>
        <v/>
      </c>
      <c r="O285" s="59" t="str">
        <f aca="false">IF(S285=1,IF(ISNUMBER(I285),I285-G285,""),"")</f>
        <v/>
      </c>
      <c r="P285" s="59" t="str">
        <f aca="false">IF(T285=1,IF(ISNUMBER(L285),L285-G285,""),"")</f>
        <v/>
      </c>
      <c r="Q285" s="60" t="str">
        <f aca="false">IF(C285="","",IF(T285=1,"✔ SOLD / VENDIDO",IF(S285=0,"— CLOSED / CERRADO",IF(U285&lt;0,"⚠ ADD DATE / AGREGA FECHA",IF(U285&gt;=Settings!$C$8,"⚠ STALE – REPRICE / ESTANCADO",IF(U285&gt;=Settings!$C$7,"● WATCH / VIGILAR","✔ FRESH / RECIENTE"))))))</f>
        <v/>
      </c>
      <c r="S285" s="53" t="n">
        <f aca="false">IF(C285="",0,IF(OR(J285="",J285="In Stock / En Inventario",J285="Listed / Publicado"),1,0))</f>
        <v>0</v>
      </c>
      <c r="T285" s="53" t="n">
        <f aca="false">IF(C285="",0,IF(J285="Sold / Vendido",1,0))</f>
        <v>0</v>
      </c>
      <c r="U285" s="53" t="n">
        <f aca="true">IF(S285=1,IF(ISNUMBER(F285),TODAY()-F285,-1),-1)</f>
        <v>-1</v>
      </c>
      <c r="V285" s="53" t="n">
        <f aca="false">IF(U285&lt;0,IF(S285=1,5,0),IF(U285&lt;=30,1,IF(U285&lt;=60,2,IF(U285&lt;=90,3,4))))</f>
        <v>0</v>
      </c>
      <c r="W285" s="53" t="n">
        <f aca="false">IF(U285&lt;0,-1000000000000000,U285+ROW()/1000000)</f>
        <v>-1000000000000000</v>
      </c>
      <c r="X285" s="53" t="n">
        <f aca="false">IF(T285=1,IF(AND(ISNUMBER(F285),ISNUMBER(K285)),K285-F285,0),0)</f>
        <v>0</v>
      </c>
      <c r="Y285" s="53" t="n">
        <f aca="false">IF(T285=1,IF(AND(ISNUMBER(F285),ISNUMBER(K285)),1,0),0)</f>
        <v>0</v>
      </c>
      <c r="Z285" s="53" t="n">
        <f aca="false">IF(U285&gt;=Settings!$C$8,1,0)</f>
        <v>0</v>
      </c>
      <c r="AA285" s="53" t="n">
        <f aca="false">IF(S285=1,IF(J285="Listed / Publicado",0,1),0)</f>
        <v>0</v>
      </c>
      <c r="AB285" s="53" t="n">
        <f aca="false">IF(T285=1,IF(ISNUMBER(L285),L285-G285,0),0)</f>
        <v>0</v>
      </c>
      <c r="AC285" s="53" t="n">
        <f aca="false">IF(S285=1,IF(ISNUMBER(I285),I285-G285,0),0)</f>
        <v>0</v>
      </c>
    </row>
    <row r="286" customFormat="false" ht="15" hidden="false" customHeight="false" outlineLevel="0" collapsed="false">
      <c r="B286" s="54"/>
      <c r="C286" s="55"/>
      <c r="D286" s="55"/>
      <c r="E286" s="55"/>
      <c r="F286" s="56"/>
      <c r="G286" s="57"/>
      <c r="H286" s="55"/>
      <c r="I286" s="57"/>
      <c r="J286" s="54"/>
      <c r="K286" s="56"/>
      <c r="L286" s="57"/>
      <c r="M286" s="54"/>
      <c r="N286" s="58" t="str">
        <f aca="false">IF(S286=1,IF(U286&lt;0,"",U286),IF(Y286=1,X286,""))</f>
        <v/>
      </c>
      <c r="O286" s="59" t="str">
        <f aca="false">IF(S286=1,IF(ISNUMBER(I286),I286-G286,""),"")</f>
        <v/>
      </c>
      <c r="P286" s="59" t="str">
        <f aca="false">IF(T286=1,IF(ISNUMBER(L286),L286-G286,""),"")</f>
        <v/>
      </c>
      <c r="Q286" s="60" t="str">
        <f aca="false">IF(C286="","",IF(T286=1,"✔ SOLD / VENDIDO",IF(S286=0,"— CLOSED / CERRADO",IF(U286&lt;0,"⚠ ADD DATE / AGREGA FECHA",IF(U286&gt;=Settings!$C$8,"⚠ STALE – REPRICE / ESTANCADO",IF(U286&gt;=Settings!$C$7,"● WATCH / VIGILAR","✔ FRESH / RECIENTE"))))))</f>
        <v/>
      </c>
      <c r="S286" s="53" t="n">
        <f aca="false">IF(C286="",0,IF(OR(J286="",J286="In Stock / En Inventario",J286="Listed / Publicado"),1,0))</f>
        <v>0</v>
      </c>
      <c r="T286" s="53" t="n">
        <f aca="false">IF(C286="",0,IF(J286="Sold / Vendido",1,0))</f>
        <v>0</v>
      </c>
      <c r="U286" s="53" t="n">
        <f aca="true">IF(S286=1,IF(ISNUMBER(F286),TODAY()-F286,-1),-1)</f>
        <v>-1</v>
      </c>
      <c r="V286" s="53" t="n">
        <f aca="false">IF(U286&lt;0,IF(S286=1,5,0),IF(U286&lt;=30,1,IF(U286&lt;=60,2,IF(U286&lt;=90,3,4))))</f>
        <v>0</v>
      </c>
      <c r="W286" s="53" t="n">
        <f aca="false">IF(U286&lt;0,-1000000000000000,U286+ROW()/1000000)</f>
        <v>-1000000000000000</v>
      </c>
      <c r="X286" s="53" t="n">
        <f aca="false">IF(T286=1,IF(AND(ISNUMBER(F286),ISNUMBER(K286)),K286-F286,0),0)</f>
        <v>0</v>
      </c>
      <c r="Y286" s="53" t="n">
        <f aca="false">IF(T286=1,IF(AND(ISNUMBER(F286),ISNUMBER(K286)),1,0),0)</f>
        <v>0</v>
      </c>
      <c r="Z286" s="53" t="n">
        <f aca="false">IF(U286&gt;=Settings!$C$8,1,0)</f>
        <v>0</v>
      </c>
      <c r="AA286" s="53" t="n">
        <f aca="false">IF(S286=1,IF(J286="Listed / Publicado",0,1),0)</f>
        <v>0</v>
      </c>
      <c r="AB286" s="53" t="n">
        <f aca="false">IF(T286=1,IF(ISNUMBER(L286),L286-G286,0),0)</f>
        <v>0</v>
      </c>
      <c r="AC286" s="53" t="n">
        <f aca="false">IF(S286=1,IF(ISNUMBER(I286),I286-G286,0),0)</f>
        <v>0</v>
      </c>
    </row>
    <row r="287" customFormat="false" ht="15" hidden="false" customHeight="false" outlineLevel="0" collapsed="false">
      <c r="B287" s="54"/>
      <c r="C287" s="55"/>
      <c r="D287" s="55"/>
      <c r="E287" s="55"/>
      <c r="F287" s="56"/>
      <c r="G287" s="57"/>
      <c r="H287" s="55"/>
      <c r="I287" s="57"/>
      <c r="J287" s="54"/>
      <c r="K287" s="56"/>
      <c r="L287" s="57"/>
      <c r="M287" s="54"/>
      <c r="N287" s="58" t="str">
        <f aca="false">IF(S287=1,IF(U287&lt;0,"",U287),IF(Y287=1,X287,""))</f>
        <v/>
      </c>
      <c r="O287" s="59" t="str">
        <f aca="false">IF(S287=1,IF(ISNUMBER(I287),I287-G287,""),"")</f>
        <v/>
      </c>
      <c r="P287" s="59" t="str">
        <f aca="false">IF(T287=1,IF(ISNUMBER(L287),L287-G287,""),"")</f>
        <v/>
      </c>
      <c r="Q287" s="60" t="str">
        <f aca="false">IF(C287="","",IF(T287=1,"✔ SOLD / VENDIDO",IF(S287=0,"— CLOSED / CERRADO",IF(U287&lt;0,"⚠ ADD DATE / AGREGA FECHA",IF(U287&gt;=Settings!$C$8,"⚠ STALE – REPRICE / ESTANCADO",IF(U287&gt;=Settings!$C$7,"● WATCH / VIGILAR","✔ FRESH / RECIENTE"))))))</f>
        <v/>
      </c>
      <c r="S287" s="53" t="n">
        <f aca="false">IF(C287="",0,IF(OR(J287="",J287="In Stock / En Inventario",J287="Listed / Publicado"),1,0))</f>
        <v>0</v>
      </c>
      <c r="T287" s="53" t="n">
        <f aca="false">IF(C287="",0,IF(J287="Sold / Vendido",1,0))</f>
        <v>0</v>
      </c>
      <c r="U287" s="53" t="n">
        <f aca="true">IF(S287=1,IF(ISNUMBER(F287),TODAY()-F287,-1),-1)</f>
        <v>-1</v>
      </c>
      <c r="V287" s="53" t="n">
        <f aca="false">IF(U287&lt;0,IF(S287=1,5,0),IF(U287&lt;=30,1,IF(U287&lt;=60,2,IF(U287&lt;=90,3,4))))</f>
        <v>0</v>
      </c>
      <c r="W287" s="53" t="n">
        <f aca="false">IF(U287&lt;0,-1000000000000000,U287+ROW()/1000000)</f>
        <v>-1000000000000000</v>
      </c>
      <c r="X287" s="53" t="n">
        <f aca="false">IF(T287=1,IF(AND(ISNUMBER(F287),ISNUMBER(K287)),K287-F287,0),0)</f>
        <v>0</v>
      </c>
      <c r="Y287" s="53" t="n">
        <f aca="false">IF(T287=1,IF(AND(ISNUMBER(F287),ISNUMBER(K287)),1,0),0)</f>
        <v>0</v>
      </c>
      <c r="Z287" s="53" t="n">
        <f aca="false">IF(U287&gt;=Settings!$C$8,1,0)</f>
        <v>0</v>
      </c>
      <c r="AA287" s="53" t="n">
        <f aca="false">IF(S287=1,IF(J287="Listed / Publicado",0,1),0)</f>
        <v>0</v>
      </c>
      <c r="AB287" s="53" t="n">
        <f aca="false">IF(T287=1,IF(ISNUMBER(L287),L287-G287,0),0)</f>
        <v>0</v>
      </c>
      <c r="AC287" s="53" t="n">
        <f aca="false">IF(S287=1,IF(ISNUMBER(I287),I287-G287,0),0)</f>
        <v>0</v>
      </c>
    </row>
    <row r="288" customFormat="false" ht="15" hidden="false" customHeight="false" outlineLevel="0" collapsed="false">
      <c r="B288" s="54"/>
      <c r="C288" s="55"/>
      <c r="D288" s="55"/>
      <c r="E288" s="55"/>
      <c r="F288" s="56"/>
      <c r="G288" s="57"/>
      <c r="H288" s="55"/>
      <c r="I288" s="57"/>
      <c r="J288" s="54"/>
      <c r="K288" s="56"/>
      <c r="L288" s="57"/>
      <c r="M288" s="54"/>
      <c r="N288" s="58" t="str">
        <f aca="false">IF(S288=1,IF(U288&lt;0,"",U288),IF(Y288=1,X288,""))</f>
        <v/>
      </c>
      <c r="O288" s="59" t="str">
        <f aca="false">IF(S288=1,IF(ISNUMBER(I288),I288-G288,""),"")</f>
        <v/>
      </c>
      <c r="P288" s="59" t="str">
        <f aca="false">IF(T288=1,IF(ISNUMBER(L288),L288-G288,""),"")</f>
        <v/>
      </c>
      <c r="Q288" s="60" t="str">
        <f aca="false">IF(C288="","",IF(T288=1,"✔ SOLD / VENDIDO",IF(S288=0,"— CLOSED / CERRADO",IF(U288&lt;0,"⚠ ADD DATE / AGREGA FECHA",IF(U288&gt;=Settings!$C$8,"⚠ STALE – REPRICE / ESTANCADO",IF(U288&gt;=Settings!$C$7,"● WATCH / VIGILAR","✔ FRESH / RECIENTE"))))))</f>
        <v/>
      </c>
      <c r="S288" s="53" t="n">
        <f aca="false">IF(C288="",0,IF(OR(J288="",J288="In Stock / En Inventario",J288="Listed / Publicado"),1,0))</f>
        <v>0</v>
      </c>
      <c r="T288" s="53" t="n">
        <f aca="false">IF(C288="",0,IF(J288="Sold / Vendido",1,0))</f>
        <v>0</v>
      </c>
      <c r="U288" s="53" t="n">
        <f aca="true">IF(S288=1,IF(ISNUMBER(F288),TODAY()-F288,-1),-1)</f>
        <v>-1</v>
      </c>
      <c r="V288" s="53" t="n">
        <f aca="false">IF(U288&lt;0,IF(S288=1,5,0),IF(U288&lt;=30,1,IF(U288&lt;=60,2,IF(U288&lt;=90,3,4))))</f>
        <v>0</v>
      </c>
      <c r="W288" s="53" t="n">
        <f aca="false">IF(U288&lt;0,-1000000000000000,U288+ROW()/1000000)</f>
        <v>-1000000000000000</v>
      </c>
      <c r="X288" s="53" t="n">
        <f aca="false">IF(T288=1,IF(AND(ISNUMBER(F288),ISNUMBER(K288)),K288-F288,0),0)</f>
        <v>0</v>
      </c>
      <c r="Y288" s="53" t="n">
        <f aca="false">IF(T288=1,IF(AND(ISNUMBER(F288),ISNUMBER(K288)),1,0),0)</f>
        <v>0</v>
      </c>
      <c r="Z288" s="53" t="n">
        <f aca="false">IF(U288&gt;=Settings!$C$8,1,0)</f>
        <v>0</v>
      </c>
      <c r="AA288" s="53" t="n">
        <f aca="false">IF(S288=1,IF(J288="Listed / Publicado",0,1),0)</f>
        <v>0</v>
      </c>
      <c r="AB288" s="53" t="n">
        <f aca="false">IF(T288=1,IF(ISNUMBER(L288),L288-G288,0),0)</f>
        <v>0</v>
      </c>
      <c r="AC288" s="53" t="n">
        <f aca="false">IF(S288=1,IF(ISNUMBER(I288),I288-G288,0),0)</f>
        <v>0</v>
      </c>
    </row>
    <row r="289" customFormat="false" ht="15" hidden="false" customHeight="false" outlineLevel="0" collapsed="false">
      <c r="B289" s="54"/>
      <c r="C289" s="55"/>
      <c r="D289" s="55"/>
      <c r="E289" s="55"/>
      <c r="F289" s="56"/>
      <c r="G289" s="57"/>
      <c r="H289" s="55"/>
      <c r="I289" s="57"/>
      <c r="J289" s="54"/>
      <c r="K289" s="56"/>
      <c r="L289" s="57"/>
      <c r="M289" s="54"/>
      <c r="N289" s="58" t="str">
        <f aca="false">IF(S289=1,IF(U289&lt;0,"",U289),IF(Y289=1,X289,""))</f>
        <v/>
      </c>
      <c r="O289" s="59" t="str">
        <f aca="false">IF(S289=1,IF(ISNUMBER(I289),I289-G289,""),"")</f>
        <v/>
      </c>
      <c r="P289" s="59" t="str">
        <f aca="false">IF(T289=1,IF(ISNUMBER(L289),L289-G289,""),"")</f>
        <v/>
      </c>
      <c r="Q289" s="60" t="str">
        <f aca="false">IF(C289="","",IF(T289=1,"✔ SOLD / VENDIDO",IF(S289=0,"— CLOSED / CERRADO",IF(U289&lt;0,"⚠ ADD DATE / AGREGA FECHA",IF(U289&gt;=Settings!$C$8,"⚠ STALE – REPRICE / ESTANCADO",IF(U289&gt;=Settings!$C$7,"● WATCH / VIGILAR","✔ FRESH / RECIENTE"))))))</f>
        <v/>
      </c>
      <c r="S289" s="53" t="n">
        <f aca="false">IF(C289="",0,IF(OR(J289="",J289="In Stock / En Inventario",J289="Listed / Publicado"),1,0))</f>
        <v>0</v>
      </c>
      <c r="T289" s="53" t="n">
        <f aca="false">IF(C289="",0,IF(J289="Sold / Vendido",1,0))</f>
        <v>0</v>
      </c>
      <c r="U289" s="53" t="n">
        <f aca="true">IF(S289=1,IF(ISNUMBER(F289),TODAY()-F289,-1),-1)</f>
        <v>-1</v>
      </c>
      <c r="V289" s="53" t="n">
        <f aca="false">IF(U289&lt;0,IF(S289=1,5,0),IF(U289&lt;=30,1,IF(U289&lt;=60,2,IF(U289&lt;=90,3,4))))</f>
        <v>0</v>
      </c>
      <c r="W289" s="53" t="n">
        <f aca="false">IF(U289&lt;0,-1000000000000000,U289+ROW()/1000000)</f>
        <v>-1000000000000000</v>
      </c>
      <c r="X289" s="53" t="n">
        <f aca="false">IF(T289=1,IF(AND(ISNUMBER(F289),ISNUMBER(K289)),K289-F289,0),0)</f>
        <v>0</v>
      </c>
      <c r="Y289" s="53" t="n">
        <f aca="false">IF(T289=1,IF(AND(ISNUMBER(F289),ISNUMBER(K289)),1,0),0)</f>
        <v>0</v>
      </c>
      <c r="Z289" s="53" t="n">
        <f aca="false">IF(U289&gt;=Settings!$C$8,1,0)</f>
        <v>0</v>
      </c>
      <c r="AA289" s="53" t="n">
        <f aca="false">IF(S289=1,IF(J289="Listed / Publicado",0,1),0)</f>
        <v>0</v>
      </c>
      <c r="AB289" s="53" t="n">
        <f aca="false">IF(T289=1,IF(ISNUMBER(L289),L289-G289,0),0)</f>
        <v>0</v>
      </c>
      <c r="AC289" s="53" t="n">
        <f aca="false">IF(S289=1,IF(ISNUMBER(I289),I289-G289,0),0)</f>
        <v>0</v>
      </c>
    </row>
    <row r="290" customFormat="false" ht="15" hidden="false" customHeight="false" outlineLevel="0" collapsed="false">
      <c r="B290" s="54"/>
      <c r="C290" s="55"/>
      <c r="D290" s="55"/>
      <c r="E290" s="55"/>
      <c r="F290" s="56"/>
      <c r="G290" s="57"/>
      <c r="H290" s="55"/>
      <c r="I290" s="57"/>
      <c r="J290" s="54"/>
      <c r="K290" s="56"/>
      <c r="L290" s="57"/>
      <c r="M290" s="54"/>
      <c r="N290" s="58" t="str">
        <f aca="false">IF(S290=1,IF(U290&lt;0,"",U290),IF(Y290=1,X290,""))</f>
        <v/>
      </c>
      <c r="O290" s="59" t="str">
        <f aca="false">IF(S290=1,IF(ISNUMBER(I290),I290-G290,""),"")</f>
        <v/>
      </c>
      <c r="P290" s="59" t="str">
        <f aca="false">IF(T290=1,IF(ISNUMBER(L290),L290-G290,""),"")</f>
        <v/>
      </c>
      <c r="Q290" s="60" t="str">
        <f aca="false">IF(C290="","",IF(T290=1,"✔ SOLD / VENDIDO",IF(S290=0,"— CLOSED / CERRADO",IF(U290&lt;0,"⚠ ADD DATE / AGREGA FECHA",IF(U290&gt;=Settings!$C$8,"⚠ STALE – REPRICE / ESTANCADO",IF(U290&gt;=Settings!$C$7,"● WATCH / VIGILAR","✔ FRESH / RECIENTE"))))))</f>
        <v/>
      </c>
      <c r="S290" s="53" t="n">
        <f aca="false">IF(C290="",0,IF(OR(J290="",J290="In Stock / En Inventario",J290="Listed / Publicado"),1,0))</f>
        <v>0</v>
      </c>
      <c r="T290" s="53" t="n">
        <f aca="false">IF(C290="",0,IF(J290="Sold / Vendido",1,0))</f>
        <v>0</v>
      </c>
      <c r="U290" s="53" t="n">
        <f aca="true">IF(S290=1,IF(ISNUMBER(F290),TODAY()-F290,-1),-1)</f>
        <v>-1</v>
      </c>
      <c r="V290" s="53" t="n">
        <f aca="false">IF(U290&lt;0,IF(S290=1,5,0),IF(U290&lt;=30,1,IF(U290&lt;=60,2,IF(U290&lt;=90,3,4))))</f>
        <v>0</v>
      </c>
      <c r="W290" s="53" t="n">
        <f aca="false">IF(U290&lt;0,-1000000000000000,U290+ROW()/1000000)</f>
        <v>-1000000000000000</v>
      </c>
      <c r="X290" s="53" t="n">
        <f aca="false">IF(T290=1,IF(AND(ISNUMBER(F290),ISNUMBER(K290)),K290-F290,0),0)</f>
        <v>0</v>
      </c>
      <c r="Y290" s="53" t="n">
        <f aca="false">IF(T290=1,IF(AND(ISNUMBER(F290),ISNUMBER(K290)),1,0),0)</f>
        <v>0</v>
      </c>
      <c r="Z290" s="53" t="n">
        <f aca="false">IF(U290&gt;=Settings!$C$8,1,0)</f>
        <v>0</v>
      </c>
      <c r="AA290" s="53" t="n">
        <f aca="false">IF(S290=1,IF(J290="Listed / Publicado",0,1),0)</f>
        <v>0</v>
      </c>
      <c r="AB290" s="53" t="n">
        <f aca="false">IF(T290=1,IF(ISNUMBER(L290),L290-G290,0),0)</f>
        <v>0</v>
      </c>
      <c r="AC290" s="53" t="n">
        <f aca="false">IF(S290=1,IF(ISNUMBER(I290),I290-G290,0),0)</f>
        <v>0</v>
      </c>
    </row>
    <row r="291" customFormat="false" ht="15" hidden="false" customHeight="false" outlineLevel="0" collapsed="false">
      <c r="B291" s="54"/>
      <c r="C291" s="55"/>
      <c r="D291" s="55"/>
      <c r="E291" s="55"/>
      <c r="F291" s="56"/>
      <c r="G291" s="57"/>
      <c r="H291" s="55"/>
      <c r="I291" s="57"/>
      <c r="J291" s="54"/>
      <c r="K291" s="56"/>
      <c r="L291" s="57"/>
      <c r="M291" s="54"/>
      <c r="N291" s="58" t="str">
        <f aca="false">IF(S291=1,IF(U291&lt;0,"",U291),IF(Y291=1,X291,""))</f>
        <v/>
      </c>
      <c r="O291" s="59" t="str">
        <f aca="false">IF(S291=1,IF(ISNUMBER(I291),I291-G291,""),"")</f>
        <v/>
      </c>
      <c r="P291" s="59" t="str">
        <f aca="false">IF(T291=1,IF(ISNUMBER(L291),L291-G291,""),"")</f>
        <v/>
      </c>
      <c r="Q291" s="60" t="str">
        <f aca="false">IF(C291="","",IF(T291=1,"✔ SOLD / VENDIDO",IF(S291=0,"— CLOSED / CERRADO",IF(U291&lt;0,"⚠ ADD DATE / AGREGA FECHA",IF(U291&gt;=Settings!$C$8,"⚠ STALE – REPRICE / ESTANCADO",IF(U291&gt;=Settings!$C$7,"● WATCH / VIGILAR","✔ FRESH / RECIENTE"))))))</f>
        <v/>
      </c>
      <c r="S291" s="53" t="n">
        <f aca="false">IF(C291="",0,IF(OR(J291="",J291="In Stock / En Inventario",J291="Listed / Publicado"),1,0))</f>
        <v>0</v>
      </c>
      <c r="T291" s="53" t="n">
        <f aca="false">IF(C291="",0,IF(J291="Sold / Vendido",1,0))</f>
        <v>0</v>
      </c>
      <c r="U291" s="53" t="n">
        <f aca="true">IF(S291=1,IF(ISNUMBER(F291),TODAY()-F291,-1),-1)</f>
        <v>-1</v>
      </c>
      <c r="V291" s="53" t="n">
        <f aca="false">IF(U291&lt;0,IF(S291=1,5,0),IF(U291&lt;=30,1,IF(U291&lt;=60,2,IF(U291&lt;=90,3,4))))</f>
        <v>0</v>
      </c>
      <c r="W291" s="53" t="n">
        <f aca="false">IF(U291&lt;0,-1000000000000000,U291+ROW()/1000000)</f>
        <v>-1000000000000000</v>
      </c>
      <c r="X291" s="53" t="n">
        <f aca="false">IF(T291=1,IF(AND(ISNUMBER(F291),ISNUMBER(K291)),K291-F291,0),0)</f>
        <v>0</v>
      </c>
      <c r="Y291" s="53" t="n">
        <f aca="false">IF(T291=1,IF(AND(ISNUMBER(F291),ISNUMBER(K291)),1,0),0)</f>
        <v>0</v>
      </c>
      <c r="Z291" s="53" t="n">
        <f aca="false">IF(U291&gt;=Settings!$C$8,1,0)</f>
        <v>0</v>
      </c>
      <c r="AA291" s="53" t="n">
        <f aca="false">IF(S291=1,IF(J291="Listed / Publicado",0,1),0)</f>
        <v>0</v>
      </c>
      <c r="AB291" s="53" t="n">
        <f aca="false">IF(T291=1,IF(ISNUMBER(L291),L291-G291,0),0)</f>
        <v>0</v>
      </c>
      <c r="AC291" s="53" t="n">
        <f aca="false">IF(S291=1,IF(ISNUMBER(I291),I291-G291,0),0)</f>
        <v>0</v>
      </c>
    </row>
    <row r="292" customFormat="false" ht="15" hidden="false" customHeight="false" outlineLevel="0" collapsed="false">
      <c r="B292" s="54"/>
      <c r="C292" s="55"/>
      <c r="D292" s="55"/>
      <c r="E292" s="55"/>
      <c r="F292" s="56"/>
      <c r="G292" s="57"/>
      <c r="H292" s="55"/>
      <c r="I292" s="57"/>
      <c r="J292" s="54"/>
      <c r="K292" s="56"/>
      <c r="L292" s="57"/>
      <c r="M292" s="54"/>
      <c r="N292" s="58" t="str">
        <f aca="false">IF(S292=1,IF(U292&lt;0,"",U292),IF(Y292=1,X292,""))</f>
        <v/>
      </c>
      <c r="O292" s="59" t="str">
        <f aca="false">IF(S292=1,IF(ISNUMBER(I292),I292-G292,""),"")</f>
        <v/>
      </c>
      <c r="P292" s="59" t="str">
        <f aca="false">IF(T292=1,IF(ISNUMBER(L292),L292-G292,""),"")</f>
        <v/>
      </c>
      <c r="Q292" s="60" t="str">
        <f aca="false">IF(C292="","",IF(T292=1,"✔ SOLD / VENDIDO",IF(S292=0,"— CLOSED / CERRADO",IF(U292&lt;0,"⚠ ADD DATE / AGREGA FECHA",IF(U292&gt;=Settings!$C$8,"⚠ STALE – REPRICE / ESTANCADO",IF(U292&gt;=Settings!$C$7,"● WATCH / VIGILAR","✔ FRESH / RECIENTE"))))))</f>
        <v/>
      </c>
      <c r="S292" s="53" t="n">
        <f aca="false">IF(C292="",0,IF(OR(J292="",J292="In Stock / En Inventario",J292="Listed / Publicado"),1,0))</f>
        <v>0</v>
      </c>
      <c r="T292" s="53" t="n">
        <f aca="false">IF(C292="",0,IF(J292="Sold / Vendido",1,0))</f>
        <v>0</v>
      </c>
      <c r="U292" s="53" t="n">
        <f aca="true">IF(S292=1,IF(ISNUMBER(F292),TODAY()-F292,-1),-1)</f>
        <v>-1</v>
      </c>
      <c r="V292" s="53" t="n">
        <f aca="false">IF(U292&lt;0,IF(S292=1,5,0),IF(U292&lt;=30,1,IF(U292&lt;=60,2,IF(U292&lt;=90,3,4))))</f>
        <v>0</v>
      </c>
      <c r="W292" s="53" t="n">
        <f aca="false">IF(U292&lt;0,-1000000000000000,U292+ROW()/1000000)</f>
        <v>-1000000000000000</v>
      </c>
      <c r="X292" s="53" t="n">
        <f aca="false">IF(T292=1,IF(AND(ISNUMBER(F292),ISNUMBER(K292)),K292-F292,0),0)</f>
        <v>0</v>
      </c>
      <c r="Y292" s="53" t="n">
        <f aca="false">IF(T292=1,IF(AND(ISNUMBER(F292),ISNUMBER(K292)),1,0),0)</f>
        <v>0</v>
      </c>
      <c r="Z292" s="53" t="n">
        <f aca="false">IF(U292&gt;=Settings!$C$8,1,0)</f>
        <v>0</v>
      </c>
      <c r="AA292" s="53" t="n">
        <f aca="false">IF(S292=1,IF(J292="Listed / Publicado",0,1),0)</f>
        <v>0</v>
      </c>
      <c r="AB292" s="53" t="n">
        <f aca="false">IF(T292=1,IF(ISNUMBER(L292),L292-G292,0),0)</f>
        <v>0</v>
      </c>
      <c r="AC292" s="53" t="n">
        <f aca="false">IF(S292=1,IF(ISNUMBER(I292),I292-G292,0),0)</f>
        <v>0</v>
      </c>
    </row>
    <row r="293" customFormat="false" ht="15" hidden="false" customHeight="false" outlineLevel="0" collapsed="false">
      <c r="B293" s="54"/>
      <c r="C293" s="55"/>
      <c r="D293" s="55"/>
      <c r="E293" s="55"/>
      <c r="F293" s="56"/>
      <c r="G293" s="57"/>
      <c r="H293" s="55"/>
      <c r="I293" s="57"/>
      <c r="J293" s="54"/>
      <c r="K293" s="56"/>
      <c r="L293" s="57"/>
      <c r="M293" s="54"/>
      <c r="N293" s="58" t="str">
        <f aca="false">IF(S293=1,IF(U293&lt;0,"",U293),IF(Y293=1,X293,""))</f>
        <v/>
      </c>
      <c r="O293" s="59" t="str">
        <f aca="false">IF(S293=1,IF(ISNUMBER(I293),I293-G293,""),"")</f>
        <v/>
      </c>
      <c r="P293" s="59" t="str">
        <f aca="false">IF(T293=1,IF(ISNUMBER(L293),L293-G293,""),"")</f>
        <v/>
      </c>
      <c r="Q293" s="60" t="str">
        <f aca="false">IF(C293="","",IF(T293=1,"✔ SOLD / VENDIDO",IF(S293=0,"— CLOSED / CERRADO",IF(U293&lt;0,"⚠ ADD DATE / AGREGA FECHA",IF(U293&gt;=Settings!$C$8,"⚠ STALE – REPRICE / ESTANCADO",IF(U293&gt;=Settings!$C$7,"● WATCH / VIGILAR","✔ FRESH / RECIENTE"))))))</f>
        <v/>
      </c>
      <c r="S293" s="53" t="n">
        <f aca="false">IF(C293="",0,IF(OR(J293="",J293="In Stock / En Inventario",J293="Listed / Publicado"),1,0))</f>
        <v>0</v>
      </c>
      <c r="T293" s="53" t="n">
        <f aca="false">IF(C293="",0,IF(J293="Sold / Vendido",1,0))</f>
        <v>0</v>
      </c>
      <c r="U293" s="53" t="n">
        <f aca="true">IF(S293=1,IF(ISNUMBER(F293),TODAY()-F293,-1),-1)</f>
        <v>-1</v>
      </c>
      <c r="V293" s="53" t="n">
        <f aca="false">IF(U293&lt;0,IF(S293=1,5,0),IF(U293&lt;=30,1,IF(U293&lt;=60,2,IF(U293&lt;=90,3,4))))</f>
        <v>0</v>
      </c>
      <c r="W293" s="53" t="n">
        <f aca="false">IF(U293&lt;0,-1000000000000000,U293+ROW()/1000000)</f>
        <v>-1000000000000000</v>
      </c>
      <c r="X293" s="53" t="n">
        <f aca="false">IF(T293=1,IF(AND(ISNUMBER(F293),ISNUMBER(K293)),K293-F293,0),0)</f>
        <v>0</v>
      </c>
      <c r="Y293" s="53" t="n">
        <f aca="false">IF(T293=1,IF(AND(ISNUMBER(F293),ISNUMBER(K293)),1,0),0)</f>
        <v>0</v>
      </c>
      <c r="Z293" s="53" t="n">
        <f aca="false">IF(U293&gt;=Settings!$C$8,1,0)</f>
        <v>0</v>
      </c>
      <c r="AA293" s="53" t="n">
        <f aca="false">IF(S293=1,IF(J293="Listed / Publicado",0,1),0)</f>
        <v>0</v>
      </c>
      <c r="AB293" s="53" t="n">
        <f aca="false">IF(T293=1,IF(ISNUMBER(L293),L293-G293,0),0)</f>
        <v>0</v>
      </c>
      <c r="AC293" s="53" t="n">
        <f aca="false">IF(S293=1,IF(ISNUMBER(I293),I293-G293,0),0)</f>
        <v>0</v>
      </c>
    </row>
    <row r="294" customFormat="false" ht="15" hidden="false" customHeight="false" outlineLevel="0" collapsed="false">
      <c r="B294" s="54"/>
      <c r="C294" s="55"/>
      <c r="D294" s="55"/>
      <c r="E294" s="55"/>
      <c r="F294" s="56"/>
      <c r="G294" s="57"/>
      <c r="H294" s="55"/>
      <c r="I294" s="57"/>
      <c r="J294" s="54"/>
      <c r="K294" s="56"/>
      <c r="L294" s="57"/>
      <c r="M294" s="54"/>
      <c r="N294" s="58" t="str">
        <f aca="false">IF(S294=1,IF(U294&lt;0,"",U294),IF(Y294=1,X294,""))</f>
        <v/>
      </c>
      <c r="O294" s="59" t="str">
        <f aca="false">IF(S294=1,IF(ISNUMBER(I294),I294-G294,""),"")</f>
        <v/>
      </c>
      <c r="P294" s="59" t="str">
        <f aca="false">IF(T294=1,IF(ISNUMBER(L294),L294-G294,""),"")</f>
        <v/>
      </c>
      <c r="Q294" s="60" t="str">
        <f aca="false">IF(C294="","",IF(T294=1,"✔ SOLD / VENDIDO",IF(S294=0,"— CLOSED / CERRADO",IF(U294&lt;0,"⚠ ADD DATE / AGREGA FECHA",IF(U294&gt;=Settings!$C$8,"⚠ STALE – REPRICE / ESTANCADO",IF(U294&gt;=Settings!$C$7,"● WATCH / VIGILAR","✔ FRESH / RECIENTE"))))))</f>
        <v/>
      </c>
      <c r="S294" s="53" t="n">
        <f aca="false">IF(C294="",0,IF(OR(J294="",J294="In Stock / En Inventario",J294="Listed / Publicado"),1,0))</f>
        <v>0</v>
      </c>
      <c r="T294" s="53" t="n">
        <f aca="false">IF(C294="",0,IF(J294="Sold / Vendido",1,0))</f>
        <v>0</v>
      </c>
      <c r="U294" s="53" t="n">
        <f aca="true">IF(S294=1,IF(ISNUMBER(F294),TODAY()-F294,-1),-1)</f>
        <v>-1</v>
      </c>
      <c r="V294" s="53" t="n">
        <f aca="false">IF(U294&lt;0,IF(S294=1,5,0),IF(U294&lt;=30,1,IF(U294&lt;=60,2,IF(U294&lt;=90,3,4))))</f>
        <v>0</v>
      </c>
      <c r="W294" s="53" t="n">
        <f aca="false">IF(U294&lt;0,-1000000000000000,U294+ROW()/1000000)</f>
        <v>-1000000000000000</v>
      </c>
      <c r="X294" s="53" t="n">
        <f aca="false">IF(T294=1,IF(AND(ISNUMBER(F294),ISNUMBER(K294)),K294-F294,0),0)</f>
        <v>0</v>
      </c>
      <c r="Y294" s="53" t="n">
        <f aca="false">IF(T294=1,IF(AND(ISNUMBER(F294),ISNUMBER(K294)),1,0),0)</f>
        <v>0</v>
      </c>
      <c r="Z294" s="53" t="n">
        <f aca="false">IF(U294&gt;=Settings!$C$8,1,0)</f>
        <v>0</v>
      </c>
      <c r="AA294" s="53" t="n">
        <f aca="false">IF(S294=1,IF(J294="Listed / Publicado",0,1),0)</f>
        <v>0</v>
      </c>
      <c r="AB294" s="53" t="n">
        <f aca="false">IF(T294=1,IF(ISNUMBER(L294),L294-G294,0),0)</f>
        <v>0</v>
      </c>
      <c r="AC294" s="53" t="n">
        <f aca="false">IF(S294=1,IF(ISNUMBER(I294),I294-G294,0),0)</f>
        <v>0</v>
      </c>
    </row>
    <row r="295" customFormat="false" ht="15" hidden="false" customHeight="false" outlineLevel="0" collapsed="false">
      <c r="B295" s="54"/>
      <c r="C295" s="55"/>
      <c r="D295" s="55"/>
      <c r="E295" s="55"/>
      <c r="F295" s="56"/>
      <c r="G295" s="57"/>
      <c r="H295" s="55"/>
      <c r="I295" s="57"/>
      <c r="J295" s="54"/>
      <c r="K295" s="56"/>
      <c r="L295" s="57"/>
      <c r="M295" s="54"/>
      <c r="N295" s="58" t="str">
        <f aca="false">IF(S295=1,IF(U295&lt;0,"",U295),IF(Y295=1,X295,""))</f>
        <v/>
      </c>
      <c r="O295" s="59" t="str">
        <f aca="false">IF(S295=1,IF(ISNUMBER(I295),I295-G295,""),"")</f>
        <v/>
      </c>
      <c r="P295" s="59" t="str">
        <f aca="false">IF(T295=1,IF(ISNUMBER(L295),L295-G295,""),"")</f>
        <v/>
      </c>
      <c r="Q295" s="60" t="str">
        <f aca="false">IF(C295="","",IF(T295=1,"✔ SOLD / VENDIDO",IF(S295=0,"— CLOSED / CERRADO",IF(U295&lt;0,"⚠ ADD DATE / AGREGA FECHA",IF(U295&gt;=Settings!$C$8,"⚠ STALE – REPRICE / ESTANCADO",IF(U295&gt;=Settings!$C$7,"● WATCH / VIGILAR","✔ FRESH / RECIENTE"))))))</f>
        <v/>
      </c>
      <c r="S295" s="53" t="n">
        <f aca="false">IF(C295="",0,IF(OR(J295="",J295="In Stock / En Inventario",J295="Listed / Publicado"),1,0))</f>
        <v>0</v>
      </c>
      <c r="T295" s="53" t="n">
        <f aca="false">IF(C295="",0,IF(J295="Sold / Vendido",1,0))</f>
        <v>0</v>
      </c>
      <c r="U295" s="53" t="n">
        <f aca="true">IF(S295=1,IF(ISNUMBER(F295),TODAY()-F295,-1),-1)</f>
        <v>-1</v>
      </c>
      <c r="V295" s="53" t="n">
        <f aca="false">IF(U295&lt;0,IF(S295=1,5,0),IF(U295&lt;=30,1,IF(U295&lt;=60,2,IF(U295&lt;=90,3,4))))</f>
        <v>0</v>
      </c>
      <c r="W295" s="53" t="n">
        <f aca="false">IF(U295&lt;0,-1000000000000000,U295+ROW()/1000000)</f>
        <v>-1000000000000000</v>
      </c>
      <c r="X295" s="53" t="n">
        <f aca="false">IF(T295=1,IF(AND(ISNUMBER(F295),ISNUMBER(K295)),K295-F295,0),0)</f>
        <v>0</v>
      </c>
      <c r="Y295" s="53" t="n">
        <f aca="false">IF(T295=1,IF(AND(ISNUMBER(F295),ISNUMBER(K295)),1,0),0)</f>
        <v>0</v>
      </c>
      <c r="Z295" s="53" t="n">
        <f aca="false">IF(U295&gt;=Settings!$C$8,1,0)</f>
        <v>0</v>
      </c>
      <c r="AA295" s="53" t="n">
        <f aca="false">IF(S295=1,IF(J295="Listed / Publicado",0,1),0)</f>
        <v>0</v>
      </c>
      <c r="AB295" s="53" t="n">
        <f aca="false">IF(T295=1,IF(ISNUMBER(L295),L295-G295,0),0)</f>
        <v>0</v>
      </c>
      <c r="AC295" s="53" t="n">
        <f aca="false">IF(S295=1,IF(ISNUMBER(I295),I295-G295,0),0)</f>
        <v>0</v>
      </c>
    </row>
    <row r="296" customFormat="false" ht="15" hidden="false" customHeight="false" outlineLevel="0" collapsed="false">
      <c r="B296" s="54"/>
      <c r="C296" s="55"/>
      <c r="D296" s="55"/>
      <c r="E296" s="55"/>
      <c r="F296" s="56"/>
      <c r="G296" s="57"/>
      <c r="H296" s="55"/>
      <c r="I296" s="57"/>
      <c r="J296" s="54"/>
      <c r="K296" s="56"/>
      <c r="L296" s="57"/>
      <c r="M296" s="54"/>
      <c r="N296" s="58" t="str">
        <f aca="false">IF(S296=1,IF(U296&lt;0,"",U296),IF(Y296=1,X296,""))</f>
        <v/>
      </c>
      <c r="O296" s="59" t="str">
        <f aca="false">IF(S296=1,IF(ISNUMBER(I296),I296-G296,""),"")</f>
        <v/>
      </c>
      <c r="P296" s="59" t="str">
        <f aca="false">IF(T296=1,IF(ISNUMBER(L296),L296-G296,""),"")</f>
        <v/>
      </c>
      <c r="Q296" s="60" t="str">
        <f aca="false">IF(C296="","",IF(T296=1,"✔ SOLD / VENDIDO",IF(S296=0,"— CLOSED / CERRADO",IF(U296&lt;0,"⚠ ADD DATE / AGREGA FECHA",IF(U296&gt;=Settings!$C$8,"⚠ STALE – REPRICE / ESTANCADO",IF(U296&gt;=Settings!$C$7,"● WATCH / VIGILAR","✔ FRESH / RECIENTE"))))))</f>
        <v/>
      </c>
      <c r="S296" s="53" t="n">
        <f aca="false">IF(C296="",0,IF(OR(J296="",J296="In Stock / En Inventario",J296="Listed / Publicado"),1,0))</f>
        <v>0</v>
      </c>
      <c r="T296" s="53" t="n">
        <f aca="false">IF(C296="",0,IF(J296="Sold / Vendido",1,0))</f>
        <v>0</v>
      </c>
      <c r="U296" s="53" t="n">
        <f aca="true">IF(S296=1,IF(ISNUMBER(F296),TODAY()-F296,-1),-1)</f>
        <v>-1</v>
      </c>
      <c r="V296" s="53" t="n">
        <f aca="false">IF(U296&lt;0,IF(S296=1,5,0),IF(U296&lt;=30,1,IF(U296&lt;=60,2,IF(U296&lt;=90,3,4))))</f>
        <v>0</v>
      </c>
      <c r="W296" s="53" t="n">
        <f aca="false">IF(U296&lt;0,-1000000000000000,U296+ROW()/1000000)</f>
        <v>-1000000000000000</v>
      </c>
      <c r="X296" s="53" t="n">
        <f aca="false">IF(T296=1,IF(AND(ISNUMBER(F296),ISNUMBER(K296)),K296-F296,0),0)</f>
        <v>0</v>
      </c>
      <c r="Y296" s="53" t="n">
        <f aca="false">IF(T296=1,IF(AND(ISNUMBER(F296),ISNUMBER(K296)),1,0),0)</f>
        <v>0</v>
      </c>
      <c r="Z296" s="53" t="n">
        <f aca="false">IF(U296&gt;=Settings!$C$8,1,0)</f>
        <v>0</v>
      </c>
      <c r="AA296" s="53" t="n">
        <f aca="false">IF(S296=1,IF(J296="Listed / Publicado",0,1),0)</f>
        <v>0</v>
      </c>
      <c r="AB296" s="53" t="n">
        <f aca="false">IF(T296=1,IF(ISNUMBER(L296),L296-G296,0),0)</f>
        <v>0</v>
      </c>
      <c r="AC296" s="53" t="n">
        <f aca="false">IF(S296=1,IF(ISNUMBER(I296),I296-G296,0),0)</f>
        <v>0</v>
      </c>
    </row>
    <row r="297" customFormat="false" ht="15" hidden="false" customHeight="false" outlineLevel="0" collapsed="false">
      <c r="B297" s="54"/>
      <c r="C297" s="55"/>
      <c r="D297" s="55"/>
      <c r="E297" s="55"/>
      <c r="F297" s="56"/>
      <c r="G297" s="57"/>
      <c r="H297" s="55"/>
      <c r="I297" s="57"/>
      <c r="J297" s="54"/>
      <c r="K297" s="56"/>
      <c r="L297" s="57"/>
      <c r="M297" s="54"/>
      <c r="N297" s="58" t="str">
        <f aca="false">IF(S297=1,IF(U297&lt;0,"",U297),IF(Y297=1,X297,""))</f>
        <v/>
      </c>
      <c r="O297" s="59" t="str">
        <f aca="false">IF(S297=1,IF(ISNUMBER(I297),I297-G297,""),"")</f>
        <v/>
      </c>
      <c r="P297" s="59" t="str">
        <f aca="false">IF(T297=1,IF(ISNUMBER(L297),L297-G297,""),"")</f>
        <v/>
      </c>
      <c r="Q297" s="60" t="str">
        <f aca="false">IF(C297="","",IF(T297=1,"✔ SOLD / VENDIDO",IF(S297=0,"— CLOSED / CERRADO",IF(U297&lt;0,"⚠ ADD DATE / AGREGA FECHA",IF(U297&gt;=Settings!$C$8,"⚠ STALE – REPRICE / ESTANCADO",IF(U297&gt;=Settings!$C$7,"● WATCH / VIGILAR","✔ FRESH / RECIENTE"))))))</f>
        <v/>
      </c>
      <c r="S297" s="53" t="n">
        <f aca="false">IF(C297="",0,IF(OR(J297="",J297="In Stock / En Inventario",J297="Listed / Publicado"),1,0))</f>
        <v>0</v>
      </c>
      <c r="T297" s="53" t="n">
        <f aca="false">IF(C297="",0,IF(J297="Sold / Vendido",1,0))</f>
        <v>0</v>
      </c>
      <c r="U297" s="53" t="n">
        <f aca="true">IF(S297=1,IF(ISNUMBER(F297),TODAY()-F297,-1),-1)</f>
        <v>-1</v>
      </c>
      <c r="V297" s="53" t="n">
        <f aca="false">IF(U297&lt;0,IF(S297=1,5,0),IF(U297&lt;=30,1,IF(U297&lt;=60,2,IF(U297&lt;=90,3,4))))</f>
        <v>0</v>
      </c>
      <c r="W297" s="53" t="n">
        <f aca="false">IF(U297&lt;0,-1000000000000000,U297+ROW()/1000000)</f>
        <v>-1000000000000000</v>
      </c>
      <c r="X297" s="53" t="n">
        <f aca="false">IF(T297=1,IF(AND(ISNUMBER(F297),ISNUMBER(K297)),K297-F297,0),0)</f>
        <v>0</v>
      </c>
      <c r="Y297" s="53" t="n">
        <f aca="false">IF(T297=1,IF(AND(ISNUMBER(F297),ISNUMBER(K297)),1,0),0)</f>
        <v>0</v>
      </c>
      <c r="Z297" s="53" t="n">
        <f aca="false">IF(U297&gt;=Settings!$C$8,1,0)</f>
        <v>0</v>
      </c>
      <c r="AA297" s="53" t="n">
        <f aca="false">IF(S297=1,IF(J297="Listed / Publicado",0,1),0)</f>
        <v>0</v>
      </c>
      <c r="AB297" s="53" t="n">
        <f aca="false">IF(T297=1,IF(ISNUMBER(L297),L297-G297,0),0)</f>
        <v>0</v>
      </c>
      <c r="AC297" s="53" t="n">
        <f aca="false">IF(S297=1,IF(ISNUMBER(I297),I297-G297,0),0)</f>
        <v>0</v>
      </c>
    </row>
    <row r="298" customFormat="false" ht="15" hidden="false" customHeight="false" outlineLevel="0" collapsed="false">
      <c r="B298" s="54"/>
      <c r="C298" s="55"/>
      <c r="D298" s="55"/>
      <c r="E298" s="55"/>
      <c r="F298" s="56"/>
      <c r="G298" s="57"/>
      <c r="H298" s="55"/>
      <c r="I298" s="57"/>
      <c r="J298" s="54"/>
      <c r="K298" s="56"/>
      <c r="L298" s="57"/>
      <c r="M298" s="54"/>
      <c r="N298" s="58" t="str">
        <f aca="false">IF(S298=1,IF(U298&lt;0,"",U298),IF(Y298=1,X298,""))</f>
        <v/>
      </c>
      <c r="O298" s="59" t="str">
        <f aca="false">IF(S298=1,IF(ISNUMBER(I298),I298-G298,""),"")</f>
        <v/>
      </c>
      <c r="P298" s="59" t="str">
        <f aca="false">IF(T298=1,IF(ISNUMBER(L298),L298-G298,""),"")</f>
        <v/>
      </c>
      <c r="Q298" s="60" t="str">
        <f aca="false">IF(C298="","",IF(T298=1,"✔ SOLD / VENDIDO",IF(S298=0,"— CLOSED / CERRADO",IF(U298&lt;0,"⚠ ADD DATE / AGREGA FECHA",IF(U298&gt;=Settings!$C$8,"⚠ STALE – REPRICE / ESTANCADO",IF(U298&gt;=Settings!$C$7,"● WATCH / VIGILAR","✔ FRESH / RECIENTE"))))))</f>
        <v/>
      </c>
      <c r="S298" s="53" t="n">
        <f aca="false">IF(C298="",0,IF(OR(J298="",J298="In Stock / En Inventario",J298="Listed / Publicado"),1,0))</f>
        <v>0</v>
      </c>
      <c r="T298" s="53" t="n">
        <f aca="false">IF(C298="",0,IF(J298="Sold / Vendido",1,0))</f>
        <v>0</v>
      </c>
      <c r="U298" s="53" t="n">
        <f aca="true">IF(S298=1,IF(ISNUMBER(F298),TODAY()-F298,-1),-1)</f>
        <v>-1</v>
      </c>
      <c r="V298" s="53" t="n">
        <f aca="false">IF(U298&lt;0,IF(S298=1,5,0),IF(U298&lt;=30,1,IF(U298&lt;=60,2,IF(U298&lt;=90,3,4))))</f>
        <v>0</v>
      </c>
      <c r="W298" s="53" t="n">
        <f aca="false">IF(U298&lt;0,-1000000000000000,U298+ROW()/1000000)</f>
        <v>-1000000000000000</v>
      </c>
      <c r="X298" s="53" t="n">
        <f aca="false">IF(T298=1,IF(AND(ISNUMBER(F298),ISNUMBER(K298)),K298-F298,0),0)</f>
        <v>0</v>
      </c>
      <c r="Y298" s="53" t="n">
        <f aca="false">IF(T298=1,IF(AND(ISNUMBER(F298),ISNUMBER(K298)),1,0),0)</f>
        <v>0</v>
      </c>
      <c r="Z298" s="53" t="n">
        <f aca="false">IF(U298&gt;=Settings!$C$8,1,0)</f>
        <v>0</v>
      </c>
      <c r="AA298" s="53" t="n">
        <f aca="false">IF(S298=1,IF(J298="Listed / Publicado",0,1),0)</f>
        <v>0</v>
      </c>
      <c r="AB298" s="53" t="n">
        <f aca="false">IF(T298=1,IF(ISNUMBER(L298),L298-G298,0),0)</f>
        <v>0</v>
      </c>
      <c r="AC298" s="53" t="n">
        <f aca="false">IF(S298=1,IF(ISNUMBER(I298),I298-G298,0),0)</f>
        <v>0</v>
      </c>
    </row>
    <row r="299" customFormat="false" ht="15" hidden="false" customHeight="false" outlineLevel="0" collapsed="false">
      <c r="B299" s="54"/>
      <c r="C299" s="55"/>
      <c r="D299" s="55"/>
      <c r="E299" s="55"/>
      <c r="F299" s="56"/>
      <c r="G299" s="57"/>
      <c r="H299" s="55"/>
      <c r="I299" s="57"/>
      <c r="J299" s="54"/>
      <c r="K299" s="56"/>
      <c r="L299" s="57"/>
      <c r="M299" s="54"/>
      <c r="N299" s="58" t="str">
        <f aca="false">IF(S299=1,IF(U299&lt;0,"",U299),IF(Y299=1,X299,""))</f>
        <v/>
      </c>
      <c r="O299" s="59" t="str">
        <f aca="false">IF(S299=1,IF(ISNUMBER(I299),I299-G299,""),"")</f>
        <v/>
      </c>
      <c r="P299" s="59" t="str">
        <f aca="false">IF(T299=1,IF(ISNUMBER(L299),L299-G299,""),"")</f>
        <v/>
      </c>
      <c r="Q299" s="60" t="str">
        <f aca="false">IF(C299="","",IF(T299=1,"✔ SOLD / VENDIDO",IF(S299=0,"— CLOSED / CERRADO",IF(U299&lt;0,"⚠ ADD DATE / AGREGA FECHA",IF(U299&gt;=Settings!$C$8,"⚠ STALE – REPRICE / ESTANCADO",IF(U299&gt;=Settings!$C$7,"● WATCH / VIGILAR","✔ FRESH / RECIENTE"))))))</f>
        <v/>
      </c>
      <c r="S299" s="53" t="n">
        <f aca="false">IF(C299="",0,IF(OR(J299="",J299="In Stock / En Inventario",J299="Listed / Publicado"),1,0))</f>
        <v>0</v>
      </c>
      <c r="T299" s="53" t="n">
        <f aca="false">IF(C299="",0,IF(J299="Sold / Vendido",1,0))</f>
        <v>0</v>
      </c>
      <c r="U299" s="53" t="n">
        <f aca="true">IF(S299=1,IF(ISNUMBER(F299),TODAY()-F299,-1),-1)</f>
        <v>-1</v>
      </c>
      <c r="V299" s="53" t="n">
        <f aca="false">IF(U299&lt;0,IF(S299=1,5,0),IF(U299&lt;=30,1,IF(U299&lt;=60,2,IF(U299&lt;=90,3,4))))</f>
        <v>0</v>
      </c>
      <c r="W299" s="53" t="n">
        <f aca="false">IF(U299&lt;0,-1000000000000000,U299+ROW()/1000000)</f>
        <v>-1000000000000000</v>
      </c>
      <c r="X299" s="53" t="n">
        <f aca="false">IF(T299=1,IF(AND(ISNUMBER(F299),ISNUMBER(K299)),K299-F299,0),0)</f>
        <v>0</v>
      </c>
      <c r="Y299" s="53" t="n">
        <f aca="false">IF(T299=1,IF(AND(ISNUMBER(F299),ISNUMBER(K299)),1,0),0)</f>
        <v>0</v>
      </c>
      <c r="Z299" s="53" t="n">
        <f aca="false">IF(U299&gt;=Settings!$C$8,1,0)</f>
        <v>0</v>
      </c>
      <c r="AA299" s="53" t="n">
        <f aca="false">IF(S299=1,IF(J299="Listed / Publicado",0,1),0)</f>
        <v>0</v>
      </c>
      <c r="AB299" s="53" t="n">
        <f aca="false">IF(T299=1,IF(ISNUMBER(L299),L299-G299,0),0)</f>
        <v>0</v>
      </c>
      <c r="AC299" s="53" t="n">
        <f aca="false">IF(S299=1,IF(ISNUMBER(I299),I299-G299,0),0)</f>
        <v>0</v>
      </c>
    </row>
    <row r="300" customFormat="false" ht="15" hidden="false" customHeight="false" outlineLevel="0" collapsed="false">
      <c r="B300" s="54"/>
      <c r="C300" s="55"/>
      <c r="D300" s="55"/>
      <c r="E300" s="55"/>
      <c r="F300" s="56"/>
      <c r="G300" s="57"/>
      <c r="H300" s="55"/>
      <c r="I300" s="57"/>
      <c r="J300" s="54"/>
      <c r="K300" s="56"/>
      <c r="L300" s="57"/>
      <c r="M300" s="54"/>
      <c r="N300" s="58" t="str">
        <f aca="false">IF(S300=1,IF(U300&lt;0,"",U300),IF(Y300=1,X300,""))</f>
        <v/>
      </c>
      <c r="O300" s="59" t="str">
        <f aca="false">IF(S300=1,IF(ISNUMBER(I300),I300-G300,""),"")</f>
        <v/>
      </c>
      <c r="P300" s="59" t="str">
        <f aca="false">IF(T300=1,IF(ISNUMBER(L300),L300-G300,""),"")</f>
        <v/>
      </c>
      <c r="Q300" s="60" t="str">
        <f aca="false">IF(C300="","",IF(T300=1,"✔ SOLD / VENDIDO",IF(S300=0,"— CLOSED / CERRADO",IF(U300&lt;0,"⚠ ADD DATE / AGREGA FECHA",IF(U300&gt;=Settings!$C$8,"⚠ STALE – REPRICE / ESTANCADO",IF(U300&gt;=Settings!$C$7,"● WATCH / VIGILAR","✔ FRESH / RECIENTE"))))))</f>
        <v/>
      </c>
      <c r="S300" s="53" t="n">
        <f aca="false">IF(C300="",0,IF(OR(J300="",J300="In Stock / En Inventario",J300="Listed / Publicado"),1,0))</f>
        <v>0</v>
      </c>
      <c r="T300" s="53" t="n">
        <f aca="false">IF(C300="",0,IF(J300="Sold / Vendido",1,0))</f>
        <v>0</v>
      </c>
      <c r="U300" s="53" t="n">
        <f aca="true">IF(S300=1,IF(ISNUMBER(F300),TODAY()-F300,-1),-1)</f>
        <v>-1</v>
      </c>
      <c r="V300" s="53" t="n">
        <f aca="false">IF(U300&lt;0,IF(S300=1,5,0),IF(U300&lt;=30,1,IF(U300&lt;=60,2,IF(U300&lt;=90,3,4))))</f>
        <v>0</v>
      </c>
      <c r="W300" s="53" t="n">
        <f aca="false">IF(U300&lt;0,-1000000000000000,U300+ROW()/1000000)</f>
        <v>-1000000000000000</v>
      </c>
      <c r="X300" s="53" t="n">
        <f aca="false">IF(T300=1,IF(AND(ISNUMBER(F300),ISNUMBER(K300)),K300-F300,0),0)</f>
        <v>0</v>
      </c>
      <c r="Y300" s="53" t="n">
        <f aca="false">IF(T300=1,IF(AND(ISNUMBER(F300),ISNUMBER(K300)),1,0),0)</f>
        <v>0</v>
      </c>
      <c r="Z300" s="53" t="n">
        <f aca="false">IF(U300&gt;=Settings!$C$8,1,0)</f>
        <v>0</v>
      </c>
      <c r="AA300" s="53" t="n">
        <f aca="false">IF(S300=1,IF(J300="Listed / Publicado",0,1),0)</f>
        <v>0</v>
      </c>
      <c r="AB300" s="53" t="n">
        <f aca="false">IF(T300=1,IF(ISNUMBER(L300),L300-G300,0),0)</f>
        <v>0</v>
      </c>
      <c r="AC300" s="53" t="n">
        <f aca="false">IF(S300=1,IF(ISNUMBER(I300),I300-G300,0),0)</f>
        <v>0</v>
      </c>
    </row>
    <row r="301" customFormat="false" ht="15" hidden="false" customHeight="false" outlineLevel="0" collapsed="false">
      <c r="B301" s="54"/>
      <c r="C301" s="55"/>
      <c r="D301" s="55"/>
      <c r="E301" s="55"/>
      <c r="F301" s="56"/>
      <c r="G301" s="57"/>
      <c r="H301" s="55"/>
      <c r="I301" s="57"/>
      <c r="J301" s="54"/>
      <c r="K301" s="56"/>
      <c r="L301" s="57"/>
      <c r="M301" s="54"/>
      <c r="N301" s="58" t="str">
        <f aca="false">IF(S301=1,IF(U301&lt;0,"",U301),IF(Y301=1,X301,""))</f>
        <v/>
      </c>
      <c r="O301" s="59" t="str">
        <f aca="false">IF(S301=1,IF(ISNUMBER(I301),I301-G301,""),"")</f>
        <v/>
      </c>
      <c r="P301" s="59" t="str">
        <f aca="false">IF(T301=1,IF(ISNUMBER(L301),L301-G301,""),"")</f>
        <v/>
      </c>
      <c r="Q301" s="60" t="str">
        <f aca="false">IF(C301="","",IF(T301=1,"✔ SOLD / VENDIDO",IF(S301=0,"— CLOSED / CERRADO",IF(U301&lt;0,"⚠ ADD DATE / AGREGA FECHA",IF(U301&gt;=Settings!$C$8,"⚠ STALE – REPRICE / ESTANCADO",IF(U301&gt;=Settings!$C$7,"● WATCH / VIGILAR","✔ FRESH / RECIENTE"))))))</f>
        <v/>
      </c>
      <c r="S301" s="53" t="n">
        <f aca="false">IF(C301="",0,IF(OR(J301="",J301="In Stock / En Inventario",J301="Listed / Publicado"),1,0))</f>
        <v>0</v>
      </c>
      <c r="T301" s="53" t="n">
        <f aca="false">IF(C301="",0,IF(J301="Sold / Vendido",1,0))</f>
        <v>0</v>
      </c>
      <c r="U301" s="53" t="n">
        <f aca="true">IF(S301=1,IF(ISNUMBER(F301),TODAY()-F301,-1),-1)</f>
        <v>-1</v>
      </c>
      <c r="V301" s="53" t="n">
        <f aca="false">IF(U301&lt;0,IF(S301=1,5,0),IF(U301&lt;=30,1,IF(U301&lt;=60,2,IF(U301&lt;=90,3,4))))</f>
        <v>0</v>
      </c>
      <c r="W301" s="53" t="n">
        <f aca="false">IF(U301&lt;0,-1000000000000000,U301+ROW()/1000000)</f>
        <v>-1000000000000000</v>
      </c>
      <c r="X301" s="53" t="n">
        <f aca="false">IF(T301=1,IF(AND(ISNUMBER(F301),ISNUMBER(K301)),K301-F301,0),0)</f>
        <v>0</v>
      </c>
      <c r="Y301" s="53" t="n">
        <f aca="false">IF(T301=1,IF(AND(ISNUMBER(F301),ISNUMBER(K301)),1,0),0)</f>
        <v>0</v>
      </c>
      <c r="Z301" s="53" t="n">
        <f aca="false">IF(U301&gt;=Settings!$C$8,1,0)</f>
        <v>0</v>
      </c>
      <c r="AA301" s="53" t="n">
        <f aca="false">IF(S301=1,IF(J301="Listed / Publicado",0,1),0)</f>
        <v>0</v>
      </c>
      <c r="AB301" s="53" t="n">
        <f aca="false">IF(T301=1,IF(ISNUMBER(L301),L301-G301,0),0)</f>
        <v>0</v>
      </c>
      <c r="AC301" s="53" t="n">
        <f aca="false">IF(S301=1,IF(ISNUMBER(I301),I301-G301,0),0)</f>
        <v>0</v>
      </c>
    </row>
    <row r="302" customFormat="false" ht="15" hidden="false" customHeight="false" outlineLevel="0" collapsed="false">
      <c r="B302" s="54"/>
      <c r="C302" s="55"/>
      <c r="D302" s="55"/>
      <c r="E302" s="55"/>
      <c r="F302" s="56"/>
      <c r="G302" s="57"/>
      <c r="H302" s="55"/>
      <c r="I302" s="57"/>
      <c r="J302" s="54"/>
      <c r="K302" s="56"/>
      <c r="L302" s="57"/>
      <c r="M302" s="54"/>
      <c r="N302" s="58" t="str">
        <f aca="false">IF(S302=1,IF(U302&lt;0,"",U302),IF(Y302=1,X302,""))</f>
        <v/>
      </c>
      <c r="O302" s="59" t="str">
        <f aca="false">IF(S302=1,IF(ISNUMBER(I302),I302-G302,""),"")</f>
        <v/>
      </c>
      <c r="P302" s="59" t="str">
        <f aca="false">IF(T302=1,IF(ISNUMBER(L302),L302-G302,""),"")</f>
        <v/>
      </c>
      <c r="Q302" s="60" t="str">
        <f aca="false">IF(C302="","",IF(T302=1,"✔ SOLD / VENDIDO",IF(S302=0,"— CLOSED / CERRADO",IF(U302&lt;0,"⚠ ADD DATE / AGREGA FECHA",IF(U302&gt;=Settings!$C$8,"⚠ STALE – REPRICE / ESTANCADO",IF(U302&gt;=Settings!$C$7,"● WATCH / VIGILAR","✔ FRESH / RECIENTE"))))))</f>
        <v/>
      </c>
      <c r="S302" s="53" t="n">
        <f aca="false">IF(C302="",0,IF(OR(J302="",J302="In Stock / En Inventario",J302="Listed / Publicado"),1,0))</f>
        <v>0</v>
      </c>
      <c r="T302" s="53" t="n">
        <f aca="false">IF(C302="",0,IF(J302="Sold / Vendido",1,0))</f>
        <v>0</v>
      </c>
      <c r="U302" s="53" t="n">
        <f aca="true">IF(S302=1,IF(ISNUMBER(F302),TODAY()-F302,-1),-1)</f>
        <v>-1</v>
      </c>
      <c r="V302" s="53" t="n">
        <f aca="false">IF(U302&lt;0,IF(S302=1,5,0),IF(U302&lt;=30,1,IF(U302&lt;=60,2,IF(U302&lt;=90,3,4))))</f>
        <v>0</v>
      </c>
      <c r="W302" s="53" t="n">
        <f aca="false">IF(U302&lt;0,-1000000000000000,U302+ROW()/1000000)</f>
        <v>-1000000000000000</v>
      </c>
      <c r="X302" s="53" t="n">
        <f aca="false">IF(T302=1,IF(AND(ISNUMBER(F302),ISNUMBER(K302)),K302-F302,0),0)</f>
        <v>0</v>
      </c>
      <c r="Y302" s="53" t="n">
        <f aca="false">IF(T302=1,IF(AND(ISNUMBER(F302),ISNUMBER(K302)),1,0),0)</f>
        <v>0</v>
      </c>
      <c r="Z302" s="53" t="n">
        <f aca="false">IF(U302&gt;=Settings!$C$8,1,0)</f>
        <v>0</v>
      </c>
      <c r="AA302" s="53" t="n">
        <f aca="false">IF(S302=1,IF(J302="Listed / Publicado",0,1),0)</f>
        <v>0</v>
      </c>
      <c r="AB302" s="53" t="n">
        <f aca="false">IF(T302=1,IF(ISNUMBER(L302),L302-G302,0),0)</f>
        <v>0</v>
      </c>
      <c r="AC302" s="53" t="n">
        <f aca="false">IF(S302=1,IF(ISNUMBER(I302),I302-G302,0),0)</f>
        <v>0</v>
      </c>
    </row>
    <row r="303" customFormat="false" ht="15" hidden="false" customHeight="false" outlineLevel="0" collapsed="false">
      <c r="B303" s="54"/>
      <c r="C303" s="55"/>
      <c r="D303" s="55"/>
      <c r="E303" s="55"/>
      <c r="F303" s="56"/>
      <c r="G303" s="57"/>
      <c r="H303" s="55"/>
      <c r="I303" s="57"/>
      <c r="J303" s="54"/>
      <c r="K303" s="56"/>
      <c r="L303" s="57"/>
      <c r="M303" s="54"/>
      <c r="N303" s="58" t="str">
        <f aca="false">IF(S303=1,IF(U303&lt;0,"",U303),IF(Y303=1,X303,""))</f>
        <v/>
      </c>
      <c r="O303" s="59" t="str">
        <f aca="false">IF(S303=1,IF(ISNUMBER(I303),I303-G303,""),"")</f>
        <v/>
      </c>
      <c r="P303" s="59" t="str">
        <f aca="false">IF(T303=1,IF(ISNUMBER(L303),L303-G303,""),"")</f>
        <v/>
      </c>
      <c r="Q303" s="60" t="str">
        <f aca="false">IF(C303="","",IF(T303=1,"✔ SOLD / VENDIDO",IF(S303=0,"— CLOSED / CERRADO",IF(U303&lt;0,"⚠ ADD DATE / AGREGA FECHA",IF(U303&gt;=Settings!$C$8,"⚠ STALE – REPRICE / ESTANCADO",IF(U303&gt;=Settings!$C$7,"● WATCH / VIGILAR","✔ FRESH / RECIENTE"))))))</f>
        <v/>
      </c>
      <c r="S303" s="53" t="n">
        <f aca="false">IF(C303="",0,IF(OR(J303="",J303="In Stock / En Inventario",J303="Listed / Publicado"),1,0))</f>
        <v>0</v>
      </c>
      <c r="T303" s="53" t="n">
        <f aca="false">IF(C303="",0,IF(J303="Sold / Vendido",1,0))</f>
        <v>0</v>
      </c>
      <c r="U303" s="53" t="n">
        <f aca="true">IF(S303=1,IF(ISNUMBER(F303),TODAY()-F303,-1),-1)</f>
        <v>-1</v>
      </c>
      <c r="V303" s="53" t="n">
        <f aca="false">IF(U303&lt;0,IF(S303=1,5,0),IF(U303&lt;=30,1,IF(U303&lt;=60,2,IF(U303&lt;=90,3,4))))</f>
        <v>0</v>
      </c>
      <c r="W303" s="53" t="n">
        <f aca="false">IF(U303&lt;0,-1000000000000000,U303+ROW()/1000000)</f>
        <v>-1000000000000000</v>
      </c>
      <c r="X303" s="53" t="n">
        <f aca="false">IF(T303=1,IF(AND(ISNUMBER(F303),ISNUMBER(K303)),K303-F303,0),0)</f>
        <v>0</v>
      </c>
      <c r="Y303" s="53" t="n">
        <f aca="false">IF(T303=1,IF(AND(ISNUMBER(F303),ISNUMBER(K303)),1,0),0)</f>
        <v>0</v>
      </c>
      <c r="Z303" s="53" t="n">
        <f aca="false">IF(U303&gt;=Settings!$C$8,1,0)</f>
        <v>0</v>
      </c>
      <c r="AA303" s="53" t="n">
        <f aca="false">IF(S303=1,IF(J303="Listed / Publicado",0,1),0)</f>
        <v>0</v>
      </c>
      <c r="AB303" s="53" t="n">
        <f aca="false">IF(T303=1,IF(ISNUMBER(L303),L303-G303,0),0)</f>
        <v>0</v>
      </c>
      <c r="AC303" s="53" t="n">
        <f aca="false">IF(S303=1,IF(ISNUMBER(I303),I303-G303,0),0)</f>
        <v>0</v>
      </c>
    </row>
    <row r="304" customFormat="false" ht="15" hidden="false" customHeight="false" outlineLevel="0" collapsed="false">
      <c r="B304" s="54"/>
      <c r="C304" s="55"/>
      <c r="D304" s="55"/>
      <c r="E304" s="55"/>
      <c r="F304" s="56"/>
      <c r="G304" s="57"/>
      <c r="H304" s="55"/>
      <c r="I304" s="57"/>
      <c r="J304" s="54"/>
      <c r="K304" s="56"/>
      <c r="L304" s="57"/>
      <c r="M304" s="54"/>
      <c r="N304" s="58" t="str">
        <f aca="false">IF(S304=1,IF(U304&lt;0,"",U304),IF(Y304=1,X304,""))</f>
        <v/>
      </c>
      <c r="O304" s="59" t="str">
        <f aca="false">IF(S304=1,IF(ISNUMBER(I304),I304-G304,""),"")</f>
        <v/>
      </c>
      <c r="P304" s="59" t="str">
        <f aca="false">IF(T304=1,IF(ISNUMBER(L304),L304-G304,""),"")</f>
        <v/>
      </c>
      <c r="Q304" s="60" t="str">
        <f aca="false">IF(C304="","",IF(T304=1,"✔ SOLD / VENDIDO",IF(S304=0,"— CLOSED / CERRADO",IF(U304&lt;0,"⚠ ADD DATE / AGREGA FECHA",IF(U304&gt;=Settings!$C$8,"⚠ STALE – REPRICE / ESTANCADO",IF(U304&gt;=Settings!$C$7,"● WATCH / VIGILAR","✔ FRESH / RECIENTE"))))))</f>
        <v/>
      </c>
      <c r="S304" s="53" t="n">
        <f aca="false">IF(C304="",0,IF(OR(J304="",J304="In Stock / En Inventario",J304="Listed / Publicado"),1,0))</f>
        <v>0</v>
      </c>
      <c r="T304" s="53" t="n">
        <f aca="false">IF(C304="",0,IF(J304="Sold / Vendido",1,0))</f>
        <v>0</v>
      </c>
      <c r="U304" s="53" t="n">
        <f aca="true">IF(S304=1,IF(ISNUMBER(F304),TODAY()-F304,-1),-1)</f>
        <v>-1</v>
      </c>
      <c r="V304" s="53" t="n">
        <f aca="false">IF(U304&lt;0,IF(S304=1,5,0),IF(U304&lt;=30,1,IF(U304&lt;=60,2,IF(U304&lt;=90,3,4))))</f>
        <v>0</v>
      </c>
      <c r="W304" s="53" t="n">
        <f aca="false">IF(U304&lt;0,-1000000000000000,U304+ROW()/1000000)</f>
        <v>-1000000000000000</v>
      </c>
      <c r="X304" s="53" t="n">
        <f aca="false">IF(T304=1,IF(AND(ISNUMBER(F304),ISNUMBER(K304)),K304-F304,0),0)</f>
        <v>0</v>
      </c>
      <c r="Y304" s="53" t="n">
        <f aca="false">IF(T304=1,IF(AND(ISNUMBER(F304),ISNUMBER(K304)),1,0),0)</f>
        <v>0</v>
      </c>
      <c r="Z304" s="53" t="n">
        <f aca="false">IF(U304&gt;=Settings!$C$8,1,0)</f>
        <v>0</v>
      </c>
      <c r="AA304" s="53" t="n">
        <f aca="false">IF(S304=1,IF(J304="Listed / Publicado",0,1),0)</f>
        <v>0</v>
      </c>
      <c r="AB304" s="53" t="n">
        <f aca="false">IF(T304=1,IF(ISNUMBER(L304),L304-G304,0),0)</f>
        <v>0</v>
      </c>
      <c r="AC304" s="53" t="n">
        <f aca="false">IF(S304=1,IF(ISNUMBER(I304),I304-G304,0),0)</f>
        <v>0</v>
      </c>
    </row>
    <row r="305" customFormat="false" ht="15" hidden="false" customHeight="false" outlineLevel="0" collapsed="false">
      <c r="B305" s="54"/>
      <c r="C305" s="55"/>
      <c r="D305" s="55"/>
      <c r="E305" s="55"/>
      <c r="F305" s="56"/>
      <c r="G305" s="57"/>
      <c r="H305" s="55"/>
      <c r="I305" s="57"/>
      <c r="J305" s="54"/>
      <c r="K305" s="56"/>
      <c r="L305" s="57"/>
      <c r="M305" s="54"/>
      <c r="N305" s="58" t="str">
        <f aca="false">IF(S305=1,IF(U305&lt;0,"",U305),IF(Y305=1,X305,""))</f>
        <v/>
      </c>
      <c r="O305" s="59" t="str">
        <f aca="false">IF(S305=1,IF(ISNUMBER(I305),I305-G305,""),"")</f>
        <v/>
      </c>
      <c r="P305" s="59" t="str">
        <f aca="false">IF(T305=1,IF(ISNUMBER(L305),L305-G305,""),"")</f>
        <v/>
      </c>
      <c r="Q305" s="60" t="str">
        <f aca="false">IF(C305="","",IF(T305=1,"✔ SOLD / VENDIDO",IF(S305=0,"— CLOSED / CERRADO",IF(U305&lt;0,"⚠ ADD DATE / AGREGA FECHA",IF(U305&gt;=Settings!$C$8,"⚠ STALE – REPRICE / ESTANCADO",IF(U305&gt;=Settings!$C$7,"● WATCH / VIGILAR","✔ FRESH / RECIENTE"))))))</f>
        <v/>
      </c>
      <c r="S305" s="53" t="n">
        <f aca="false">IF(C305="",0,IF(OR(J305="",J305="In Stock / En Inventario",J305="Listed / Publicado"),1,0))</f>
        <v>0</v>
      </c>
      <c r="T305" s="53" t="n">
        <f aca="false">IF(C305="",0,IF(J305="Sold / Vendido",1,0))</f>
        <v>0</v>
      </c>
      <c r="U305" s="53" t="n">
        <f aca="true">IF(S305=1,IF(ISNUMBER(F305),TODAY()-F305,-1),-1)</f>
        <v>-1</v>
      </c>
      <c r="V305" s="53" t="n">
        <f aca="false">IF(U305&lt;0,IF(S305=1,5,0),IF(U305&lt;=30,1,IF(U305&lt;=60,2,IF(U305&lt;=90,3,4))))</f>
        <v>0</v>
      </c>
      <c r="W305" s="53" t="n">
        <f aca="false">IF(U305&lt;0,-1000000000000000,U305+ROW()/1000000)</f>
        <v>-1000000000000000</v>
      </c>
      <c r="X305" s="53" t="n">
        <f aca="false">IF(T305=1,IF(AND(ISNUMBER(F305),ISNUMBER(K305)),K305-F305,0),0)</f>
        <v>0</v>
      </c>
      <c r="Y305" s="53" t="n">
        <f aca="false">IF(T305=1,IF(AND(ISNUMBER(F305),ISNUMBER(K305)),1,0),0)</f>
        <v>0</v>
      </c>
      <c r="Z305" s="53" t="n">
        <f aca="false">IF(U305&gt;=Settings!$C$8,1,0)</f>
        <v>0</v>
      </c>
      <c r="AA305" s="53" t="n">
        <f aca="false">IF(S305=1,IF(J305="Listed / Publicado",0,1),0)</f>
        <v>0</v>
      </c>
      <c r="AB305" s="53" t="n">
        <f aca="false">IF(T305=1,IF(ISNUMBER(L305),L305-G305,0),0)</f>
        <v>0</v>
      </c>
      <c r="AC305" s="53" t="n">
        <f aca="false">IF(S305=1,IF(ISNUMBER(I305),I305-G305,0),0)</f>
        <v>0</v>
      </c>
    </row>
    <row r="306" customFormat="false" ht="15" hidden="false" customHeight="false" outlineLevel="0" collapsed="false">
      <c r="B306" s="54"/>
      <c r="C306" s="55"/>
      <c r="D306" s="55"/>
      <c r="E306" s="55"/>
      <c r="F306" s="56"/>
      <c r="G306" s="57"/>
      <c r="H306" s="55"/>
      <c r="I306" s="57"/>
      <c r="J306" s="54"/>
      <c r="K306" s="56"/>
      <c r="L306" s="57"/>
      <c r="M306" s="54"/>
      <c r="N306" s="58" t="str">
        <f aca="false">IF(S306=1,IF(U306&lt;0,"",U306),IF(Y306=1,X306,""))</f>
        <v/>
      </c>
      <c r="O306" s="59" t="str">
        <f aca="false">IF(S306=1,IF(ISNUMBER(I306),I306-G306,""),"")</f>
        <v/>
      </c>
      <c r="P306" s="59" t="str">
        <f aca="false">IF(T306=1,IF(ISNUMBER(L306),L306-G306,""),"")</f>
        <v/>
      </c>
      <c r="Q306" s="60" t="str">
        <f aca="false">IF(C306="","",IF(T306=1,"✔ SOLD / VENDIDO",IF(S306=0,"— CLOSED / CERRADO",IF(U306&lt;0,"⚠ ADD DATE / AGREGA FECHA",IF(U306&gt;=Settings!$C$8,"⚠ STALE – REPRICE / ESTANCADO",IF(U306&gt;=Settings!$C$7,"● WATCH / VIGILAR","✔ FRESH / RECIENTE"))))))</f>
        <v/>
      </c>
      <c r="S306" s="53" t="n">
        <f aca="false">IF(C306="",0,IF(OR(J306="",J306="In Stock / En Inventario",J306="Listed / Publicado"),1,0))</f>
        <v>0</v>
      </c>
      <c r="T306" s="53" t="n">
        <f aca="false">IF(C306="",0,IF(J306="Sold / Vendido",1,0))</f>
        <v>0</v>
      </c>
      <c r="U306" s="53" t="n">
        <f aca="true">IF(S306=1,IF(ISNUMBER(F306),TODAY()-F306,-1),-1)</f>
        <v>-1</v>
      </c>
      <c r="V306" s="53" t="n">
        <f aca="false">IF(U306&lt;0,IF(S306=1,5,0),IF(U306&lt;=30,1,IF(U306&lt;=60,2,IF(U306&lt;=90,3,4))))</f>
        <v>0</v>
      </c>
      <c r="W306" s="53" t="n">
        <f aca="false">IF(U306&lt;0,-1000000000000000,U306+ROW()/1000000)</f>
        <v>-1000000000000000</v>
      </c>
      <c r="X306" s="53" t="n">
        <f aca="false">IF(T306=1,IF(AND(ISNUMBER(F306),ISNUMBER(K306)),K306-F306,0),0)</f>
        <v>0</v>
      </c>
      <c r="Y306" s="53" t="n">
        <f aca="false">IF(T306=1,IF(AND(ISNUMBER(F306),ISNUMBER(K306)),1,0),0)</f>
        <v>0</v>
      </c>
      <c r="Z306" s="53" t="n">
        <f aca="false">IF(U306&gt;=Settings!$C$8,1,0)</f>
        <v>0</v>
      </c>
      <c r="AA306" s="53" t="n">
        <f aca="false">IF(S306=1,IF(J306="Listed / Publicado",0,1),0)</f>
        <v>0</v>
      </c>
      <c r="AB306" s="53" t="n">
        <f aca="false">IF(T306=1,IF(ISNUMBER(L306),L306-G306,0),0)</f>
        <v>0</v>
      </c>
      <c r="AC306" s="53" t="n">
        <f aca="false">IF(S306=1,IF(ISNUMBER(I306),I306-G306,0),0)</f>
        <v>0</v>
      </c>
    </row>
    <row r="307" customFormat="false" ht="15" hidden="false" customHeight="false" outlineLevel="0" collapsed="false">
      <c r="B307" s="54"/>
      <c r="C307" s="55"/>
      <c r="D307" s="55"/>
      <c r="E307" s="55"/>
      <c r="F307" s="56"/>
      <c r="G307" s="57"/>
      <c r="H307" s="55"/>
      <c r="I307" s="57"/>
      <c r="J307" s="54"/>
      <c r="K307" s="56"/>
      <c r="L307" s="57"/>
      <c r="M307" s="54"/>
      <c r="N307" s="58" t="str">
        <f aca="false">IF(S307=1,IF(U307&lt;0,"",U307),IF(Y307=1,X307,""))</f>
        <v/>
      </c>
      <c r="O307" s="59" t="str">
        <f aca="false">IF(S307=1,IF(ISNUMBER(I307),I307-G307,""),"")</f>
        <v/>
      </c>
      <c r="P307" s="59" t="str">
        <f aca="false">IF(T307=1,IF(ISNUMBER(L307),L307-G307,""),"")</f>
        <v/>
      </c>
      <c r="Q307" s="60" t="str">
        <f aca="false">IF(C307="","",IF(T307=1,"✔ SOLD / VENDIDO",IF(S307=0,"— CLOSED / CERRADO",IF(U307&lt;0,"⚠ ADD DATE / AGREGA FECHA",IF(U307&gt;=Settings!$C$8,"⚠ STALE – REPRICE / ESTANCADO",IF(U307&gt;=Settings!$C$7,"● WATCH / VIGILAR","✔ FRESH / RECIENTE"))))))</f>
        <v/>
      </c>
      <c r="S307" s="53" t="n">
        <f aca="false">IF(C307="",0,IF(OR(J307="",J307="In Stock / En Inventario",J307="Listed / Publicado"),1,0))</f>
        <v>0</v>
      </c>
      <c r="T307" s="53" t="n">
        <f aca="false">IF(C307="",0,IF(J307="Sold / Vendido",1,0))</f>
        <v>0</v>
      </c>
      <c r="U307" s="53" t="n">
        <f aca="true">IF(S307=1,IF(ISNUMBER(F307),TODAY()-F307,-1),-1)</f>
        <v>-1</v>
      </c>
      <c r="V307" s="53" t="n">
        <f aca="false">IF(U307&lt;0,IF(S307=1,5,0),IF(U307&lt;=30,1,IF(U307&lt;=60,2,IF(U307&lt;=90,3,4))))</f>
        <v>0</v>
      </c>
      <c r="W307" s="53" t="n">
        <f aca="false">IF(U307&lt;0,-1000000000000000,U307+ROW()/1000000)</f>
        <v>-1000000000000000</v>
      </c>
      <c r="X307" s="53" t="n">
        <f aca="false">IF(T307=1,IF(AND(ISNUMBER(F307),ISNUMBER(K307)),K307-F307,0),0)</f>
        <v>0</v>
      </c>
      <c r="Y307" s="53" t="n">
        <f aca="false">IF(T307=1,IF(AND(ISNUMBER(F307),ISNUMBER(K307)),1,0),0)</f>
        <v>0</v>
      </c>
      <c r="Z307" s="53" t="n">
        <f aca="false">IF(U307&gt;=Settings!$C$8,1,0)</f>
        <v>0</v>
      </c>
      <c r="AA307" s="53" t="n">
        <f aca="false">IF(S307=1,IF(J307="Listed / Publicado",0,1),0)</f>
        <v>0</v>
      </c>
      <c r="AB307" s="53" t="n">
        <f aca="false">IF(T307=1,IF(ISNUMBER(L307),L307-G307,0),0)</f>
        <v>0</v>
      </c>
      <c r="AC307" s="53" t="n">
        <f aca="false">IF(S307=1,IF(ISNUMBER(I307),I307-G307,0),0)</f>
        <v>0</v>
      </c>
    </row>
    <row r="308" customFormat="false" ht="15" hidden="false" customHeight="false" outlineLevel="0" collapsed="false">
      <c r="B308" s="54"/>
      <c r="C308" s="55"/>
      <c r="D308" s="55"/>
      <c r="E308" s="55"/>
      <c r="F308" s="56"/>
      <c r="G308" s="57"/>
      <c r="H308" s="55"/>
      <c r="I308" s="57"/>
      <c r="J308" s="54"/>
      <c r="K308" s="56"/>
      <c r="L308" s="57"/>
      <c r="M308" s="54"/>
      <c r="N308" s="58" t="str">
        <f aca="false">IF(S308=1,IF(U308&lt;0,"",U308),IF(Y308=1,X308,""))</f>
        <v/>
      </c>
      <c r="O308" s="59" t="str">
        <f aca="false">IF(S308=1,IF(ISNUMBER(I308),I308-G308,""),"")</f>
        <v/>
      </c>
      <c r="P308" s="59" t="str">
        <f aca="false">IF(T308=1,IF(ISNUMBER(L308),L308-G308,""),"")</f>
        <v/>
      </c>
      <c r="Q308" s="60" t="str">
        <f aca="false">IF(C308="","",IF(T308=1,"✔ SOLD / VENDIDO",IF(S308=0,"— CLOSED / CERRADO",IF(U308&lt;0,"⚠ ADD DATE / AGREGA FECHA",IF(U308&gt;=Settings!$C$8,"⚠ STALE – REPRICE / ESTANCADO",IF(U308&gt;=Settings!$C$7,"● WATCH / VIGILAR","✔ FRESH / RECIENTE"))))))</f>
        <v/>
      </c>
      <c r="S308" s="53" t="n">
        <f aca="false">IF(C308="",0,IF(OR(J308="",J308="In Stock / En Inventario",J308="Listed / Publicado"),1,0))</f>
        <v>0</v>
      </c>
      <c r="T308" s="53" t="n">
        <f aca="false">IF(C308="",0,IF(J308="Sold / Vendido",1,0))</f>
        <v>0</v>
      </c>
      <c r="U308" s="53" t="n">
        <f aca="true">IF(S308=1,IF(ISNUMBER(F308),TODAY()-F308,-1),-1)</f>
        <v>-1</v>
      </c>
      <c r="V308" s="53" t="n">
        <f aca="false">IF(U308&lt;0,IF(S308=1,5,0),IF(U308&lt;=30,1,IF(U308&lt;=60,2,IF(U308&lt;=90,3,4))))</f>
        <v>0</v>
      </c>
      <c r="W308" s="53" t="n">
        <f aca="false">IF(U308&lt;0,-1000000000000000,U308+ROW()/1000000)</f>
        <v>-1000000000000000</v>
      </c>
      <c r="X308" s="53" t="n">
        <f aca="false">IF(T308=1,IF(AND(ISNUMBER(F308),ISNUMBER(K308)),K308-F308,0),0)</f>
        <v>0</v>
      </c>
      <c r="Y308" s="53" t="n">
        <f aca="false">IF(T308=1,IF(AND(ISNUMBER(F308),ISNUMBER(K308)),1,0),0)</f>
        <v>0</v>
      </c>
      <c r="Z308" s="53" t="n">
        <f aca="false">IF(U308&gt;=Settings!$C$8,1,0)</f>
        <v>0</v>
      </c>
      <c r="AA308" s="53" t="n">
        <f aca="false">IF(S308=1,IF(J308="Listed / Publicado",0,1),0)</f>
        <v>0</v>
      </c>
      <c r="AB308" s="53" t="n">
        <f aca="false">IF(T308=1,IF(ISNUMBER(L308),L308-G308,0),0)</f>
        <v>0</v>
      </c>
      <c r="AC308" s="53" t="n">
        <f aca="false">IF(S308=1,IF(ISNUMBER(I308),I308-G308,0),0)</f>
        <v>0</v>
      </c>
    </row>
    <row r="309" customFormat="false" ht="15" hidden="false" customHeight="false" outlineLevel="0" collapsed="false">
      <c r="B309" s="54"/>
      <c r="C309" s="55"/>
      <c r="D309" s="55"/>
      <c r="E309" s="55"/>
      <c r="F309" s="56"/>
      <c r="G309" s="57"/>
      <c r="H309" s="55"/>
      <c r="I309" s="57"/>
      <c r="J309" s="54"/>
      <c r="K309" s="56"/>
      <c r="L309" s="57"/>
      <c r="M309" s="54"/>
      <c r="N309" s="58" t="str">
        <f aca="false">IF(S309=1,IF(U309&lt;0,"",U309),IF(Y309=1,X309,""))</f>
        <v/>
      </c>
      <c r="O309" s="59" t="str">
        <f aca="false">IF(S309=1,IF(ISNUMBER(I309),I309-G309,""),"")</f>
        <v/>
      </c>
      <c r="P309" s="59" t="str">
        <f aca="false">IF(T309=1,IF(ISNUMBER(L309),L309-G309,""),"")</f>
        <v/>
      </c>
      <c r="Q309" s="60" t="str">
        <f aca="false">IF(C309="","",IF(T309=1,"✔ SOLD / VENDIDO",IF(S309=0,"— CLOSED / CERRADO",IF(U309&lt;0,"⚠ ADD DATE / AGREGA FECHA",IF(U309&gt;=Settings!$C$8,"⚠ STALE – REPRICE / ESTANCADO",IF(U309&gt;=Settings!$C$7,"● WATCH / VIGILAR","✔ FRESH / RECIENTE"))))))</f>
        <v/>
      </c>
      <c r="S309" s="53" t="n">
        <f aca="false">IF(C309="",0,IF(OR(J309="",J309="In Stock / En Inventario",J309="Listed / Publicado"),1,0))</f>
        <v>0</v>
      </c>
      <c r="T309" s="53" t="n">
        <f aca="false">IF(C309="",0,IF(J309="Sold / Vendido",1,0))</f>
        <v>0</v>
      </c>
      <c r="U309" s="53" t="n">
        <f aca="true">IF(S309=1,IF(ISNUMBER(F309),TODAY()-F309,-1),-1)</f>
        <v>-1</v>
      </c>
      <c r="V309" s="53" t="n">
        <f aca="false">IF(U309&lt;0,IF(S309=1,5,0),IF(U309&lt;=30,1,IF(U309&lt;=60,2,IF(U309&lt;=90,3,4))))</f>
        <v>0</v>
      </c>
      <c r="W309" s="53" t="n">
        <f aca="false">IF(U309&lt;0,-1000000000000000,U309+ROW()/1000000)</f>
        <v>-1000000000000000</v>
      </c>
      <c r="X309" s="53" t="n">
        <f aca="false">IF(T309=1,IF(AND(ISNUMBER(F309),ISNUMBER(K309)),K309-F309,0),0)</f>
        <v>0</v>
      </c>
      <c r="Y309" s="53" t="n">
        <f aca="false">IF(T309=1,IF(AND(ISNUMBER(F309),ISNUMBER(K309)),1,0),0)</f>
        <v>0</v>
      </c>
      <c r="Z309" s="53" t="n">
        <f aca="false">IF(U309&gt;=Settings!$C$8,1,0)</f>
        <v>0</v>
      </c>
      <c r="AA309" s="53" t="n">
        <f aca="false">IF(S309=1,IF(J309="Listed / Publicado",0,1),0)</f>
        <v>0</v>
      </c>
      <c r="AB309" s="53" t="n">
        <f aca="false">IF(T309=1,IF(ISNUMBER(L309),L309-G309,0),0)</f>
        <v>0</v>
      </c>
      <c r="AC309" s="53" t="n">
        <f aca="false">IF(S309=1,IF(ISNUMBER(I309),I309-G309,0),0)</f>
        <v>0</v>
      </c>
    </row>
    <row r="310" customFormat="false" ht="15" hidden="false" customHeight="false" outlineLevel="0" collapsed="false">
      <c r="B310" s="54"/>
      <c r="C310" s="55"/>
      <c r="D310" s="55"/>
      <c r="E310" s="55"/>
      <c r="F310" s="56"/>
      <c r="G310" s="57"/>
      <c r="H310" s="55"/>
      <c r="I310" s="57"/>
      <c r="J310" s="54"/>
      <c r="K310" s="56"/>
      <c r="L310" s="57"/>
      <c r="M310" s="54"/>
      <c r="N310" s="58" t="str">
        <f aca="false">IF(S310=1,IF(U310&lt;0,"",U310),IF(Y310=1,X310,""))</f>
        <v/>
      </c>
      <c r="O310" s="59" t="str">
        <f aca="false">IF(S310=1,IF(ISNUMBER(I310),I310-G310,""),"")</f>
        <v/>
      </c>
      <c r="P310" s="59" t="str">
        <f aca="false">IF(T310=1,IF(ISNUMBER(L310),L310-G310,""),"")</f>
        <v/>
      </c>
      <c r="Q310" s="60" t="str">
        <f aca="false">IF(C310="","",IF(T310=1,"✔ SOLD / VENDIDO",IF(S310=0,"— CLOSED / CERRADO",IF(U310&lt;0,"⚠ ADD DATE / AGREGA FECHA",IF(U310&gt;=Settings!$C$8,"⚠ STALE – REPRICE / ESTANCADO",IF(U310&gt;=Settings!$C$7,"● WATCH / VIGILAR","✔ FRESH / RECIENTE"))))))</f>
        <v/>
      </c>
      <c r="S310" s="53" t="n">
        <f aca="false">IF(C310="",0,IF(OR(J310="",J310="In Stock / En Inventario",J310="Listed / Publicado"),1,0))</f>
        <v>0</v>
      </c>
      <c r="T310" s="53" t="n">
        <f aca="false">IF(C310="",0,IF(J310="Sold / Vendido",1,0))</f>
        <v>0</v>
      </c>
      <c r="U310" s="53" t="n">
        <f aca="true">IF(S310=1,IF(ISNUMBER(F310),TODAY()-F310,-1),-1)</f>
        <v>-1</v>
      </c>
      <c r="V310" s="53" t="n">
        <f aca="false">IF(U310&lt;0,IF(S310=1,5,0),IF(U310&lt;=30,1,IF(U310&lt;=60,2,IF(U310&lt;=90,3,4))))</f>
        <v>0</v>
      </c>
      <c r="W310" s="53" t="n">
        <f aca="false">IF(U310&lt;0,-1000000000000000,U310+ROW()/1000000)</f>
        <v>-1000000000000000</v>
      </c>
      <c r="X310" s="53" t="n">
        <f aca="false">IF(T310=1,IF(AND(ISNUMBER(F310),ISNUMBER(K310)),K310-F310,0),0)</f>
        <v>0</v>
      </c>
      <c r="Y310" s="53" t="n">
        <f aca="false">IF(T310=1,IF(AND(ISNUMBER(F310),ISNUMBER(K310)),1,0),0)</f>
        <v>0</v>
      </c>
      <c r="Z310" s="53" t="n">
        <f aca="false">IF(U310&gt;=Settings!$C$8,1,0)</f>
        <v>0</v>
      </c>
      <c r="AA310" s="53" t="n">
        <f aca="false">IF(S310=1,IF(J310="Listed / Publicado",0,1),0)</f>
        <v>0</v>
      </c>
      <c r="AB310" s="53" t="n">
        <f aca="false">IF(T310=1,IF(ISNUMBER(L310),L310-G310,0),0)</f>
        <v>0</v>
      </c>
      <c r="AC310" s="53" t="n">
        <f aca="false">IF(S310=1,IF(ISNUMBER(I310),I310-G310,0),0)</f>
        <v>0</v>
      </c>
    </row>
    <row r="311" customFormat="false" ht="15" hidden="false" customHeight="false" outlineLevel="0" collapsed="false">
      <c r="B311" s="54"/>
      <c r="C311" s="55"/>
      <c r="D311" s="55"/>
      <c r="E311" s="55"/>
      <c r="F311" s="56"/>
      <c r="G311" s="57"/>
      <c r="H311" s="55"/>
      <c r="I311" s="57"/>
      <c r="J311" s="54"/>
      <c r="K311" s="56"/>
      <c r="L311" s="57"/>
      <c r="M311" s="54"/>
      <c r="N311" s="58" t="str">
        <f aca="false">IF(S311=1,IF(U311&lt;0,"",U311),IF(Y311=1,X311,""))</f>
        <v/>
      </c>
      <c r="O311" s="59" t="str">
        <f aca="false">IF(S311=1,IF(ISNUMBER(I311),I311-G311,""),"")</f>
        <v/>
      </c>
      <c r="P311" s="59" t="str">
        <f aca="false">IF(T311=1,IF(ISNUMBER(L311),L311-G311,""),"")</f>
        <v/>
      </c>
      <c r="Q311" s="60" t="str">
        <f aca="false">IF(C311="","",IF(T311=1,"✔ SOLD / VENDIDO",IF(S311=0,"— CLOSED / CERRADO",IF(U311&lt;0,"⚠ ADD DATE / AGREGA FECHA",IF(U311&gt;=Settings!$C$8,"⚠ STALE – REPRICE / ESTANCADO",IF(U311&gt;=Settings!$C$7,"● WATCH / VIGILAR","✔ FRESH / RECIENTE"))))))</f>
        <v/>
      </c>
      <c r="S311" s="53" t="n">
        <f aca="false">IF(C311="",0,IF(OR(J311="",J311="In Stock / En Inventario",J311="Listed / Publicado"),1,0))</f>
        <v>0</v>
      </c>
      <c r="T311" s="53" t="n">
        <f aca="false">IF(C311="",0,IF(J311="Sold / Vendido",1,0))</f>
        <v>0</v>
      </c>
      <c r="U311" s="53" t="n">
        <f aca="true">IF(S311=1,IF(ISNUMBER(F311),TODAY()-F311,-1),-1)</f>
        <v>-1</v>
      </c>
      <c r="V311" s="53" t="n">
        <f aca="false">IF(U311&lt;0,IF(S311=1,5,0),IF(U311&lt;=30,1,IF(U311&lt;=60,2,IF(U311&lt;=90,3,4))))</f>
        <v>0</v>
      </c>
      <c r="W311" s="53" t="n">
        <f aca="false">IF(U311&lt;0,-1000000000000000,U311+ROW()/1000000)</f>
        <v>-1000000000000000</v>
      </c>
      <c r="X311" s="53" t="n">
        <f aca="false">IF(T311=1,IF(AND(ISNUMBER(F311),ISNUMBER(K311)),K311-F311,0),0)</f>
        <v>0</v>
      </c>
      <c r="Y311" s="53" t="n">
        <f aca="false">IF(T311=1,IF(AND(ISNUMBER(F311),ISNUMBER(K311)),1,0),0)</f>
        <v>0</v>
      </c>
      <c r="Z311" s="53" t="n">
        <f aca="false">IF(U311&gt;=Settings!$C$8,1,0)</f>
        <v>0</v>
      </c>
      <c r="AA311" s="53" t="n">
        <f aca="false">IF(S311=1,IF(J311="Listed / Publicado",0,1),0)</f>
        <v>0</v>
      </c>
      <c r="AB311" s="53" t="n">
        <f aca="false">IF(T311=1,IF(ISNUMBER(L311),L311-G311,0),0)</f>
        <v>0</v>
      </c>
      <c r="AC311" s="53" t="n">
        <f aca="false">IF(S311=1,IF(ISNUMBER(I311),I311-G311,0),0)</f>
        <v>0</v>
      </c>
    </row>
    <row r="312" customFormat="false" ht="15" hidden="false" customHeight="false" outlineLevel="0" collapsed="false">
      <c r="B312" s="54"/>
      <c r="C312" s="55"/>
      <c r="D312" s="55"/>
      <c r="E312" s="55"/>
      <c r="F312" s="56"/>
      <c r="G312" s="57"/>
      <c r="H312" s="55"/>
      <c r="I312" s="57"/>
      <c r="J312" s="54"/>
      <c r="K312" s="56"/>
      <c r="L312" s="57"/>
      <c r="M312" s="54"/>
      <c r="N312" s="58" t="str">
        <f aca="false">IF(S312=1,IF(U312&lt;0,"",U312),IF(Y312=1,X312,""))</f>
        <v/>
      </c>
      <c r="O312" s="59" t="str">
        <f aca="false">IF(S312=1,IF(ISNUMBER(I312),I312-G312,""),"")</f>
        <v/>
      </c>
      <c r="P312" s="59" t="str">
        <f aca="false">IF(T312=1,IF(ISNUMBER(L312),L312-G312,""),"")</f>
        <v/>
      </c>
      <c r="Q312" s="60" t="str">
        <f aca="false">IF(C312="","",IF(T312=1,"✔ SOLD / VENDIDO",IF(S312=0,"— CLOSED / CERRADO",IF(U312&lt;0,"⚠ ADD DATE / AGREGA FECHA",IF(U312&gt;=Settings!$C$8,"⚠ STALE – REPRICE / ESTANCADO",IF(U312&gt;=Settings!$C$7,"● WATCH / VIGILAR","✔ FRESH / RECIENTE"))))))</f>
        <v/>
      </c>
      <c r="S312" s="53" t="n">
        <f aca="false">IF(C312="",0,IF(OR(J312="",J312="In Stock / En Inventario",J312="Listed / Publicado"),1,0))</f>
        <v>0</v>
      </c>
      <c r="T312" s="53" t="n">
        <f aca="false">IF(C312="",0,IF(J312="Sold / Vendido",1,0))</f>
        <v>0</v>
      </c>
      <c r="U312" s="53" t="n">
        <f aca="true">IF(S312=1,IF(ISNUMBER(F312),TODAY()-F312,-1),-1)</f>
        <v>-1</v>
      </c>
      <c r="V312" s="53" t="n">
        <f aca="false">IF(U312&lt;0,IF(S312=1,5,0),IF(U312&lt;=30,1,IF(U312&lt;=60,2,IF(U312&lt;=90,3,4))))</f>
        <v>0</v>
      </c>
      <c r="W312" s="53" t="n">
        <f aca="false">IF(U312&lt;0,-1000000000000000,U312+ROW()/1000000)</f>
        <v>-1000000000000000</v>
      </c>
      <c r="X312" s="53" t="n">
        <f aca="false">IF(T312=1,IF(AND(ISNUMBER(F312),ISNUMBER(K312)),K312-F312,0),0)</f>
        <v>0</v>
      </c>
      <c r="Y312" s="53" t="n">
        <f aca="false">IF(T312=1,IF(AND(ISNUMBER(F312),ISNUMBER(K312)),1,0),0)</f>
        <v>0</v>
      </c>
      <c r="Z312" s="53" t="n">
        <f aca="false">IF(U312&gt;=Settings!$C$8,1,0)</f>
        <v>0</v>
      </c>
      <c r="AA312" s="53" t="n">
        <f aca="false">IF(S312=1,IF(J312="Listed / Publicado",0,1),0)</f>
        <v>0</v>
      </c>
      <c r="AB312" s="53" t="n">
        <f aca="false">IF(T312=1,IF(ISNUMBER(L312),L312-G312,0),0)</f>
        <v>0</v>
      </c>
      <c r="AC312" s="53" t="n">
        <f aca="false">IF(S312=1,IF(ISNUMBER(I312),I312-G312,0),0)</f>
        <v>0</v>
      </c>
    </row>
    <row r="313" customFormat="false" ht="15" hidden="false" customHeight="false" outlineLevel="0" collapsed="false">
      <c r="B313" s="54"/>
      <c r="C313" s="55"/>
      <c r="D313" s="55"/>
      <c r="E313" s="55"/>
      <c r="F313" s="56"/>
      <c r="G313" s="57"/>
      <c r="H313" s="55"/>
      <c r="I313" s="57"/>
      <c r="J313" s="54"/>
      <c r="K313" s="56"/>
      <c r="L313" s="57"/>
      <c r="M313" s="54"/>
      <c r="N313" s="58" t="str">
        <f aca="false">IF(S313=1,IF(U313&lt;0,"",U313),IF(Y313=1,X313,""))</f>
        <v/>
      </c>
      <c r="O313" s="59" t="str">
        <f aca="false">IF(S313=1,IF(ISNUMBER(I313),I313-G313,""),"")</f>
        <v/>
      </c>
      <c r="P313" s="59" t="str">
        <f aca="false">IF(T313=1,IF(ISNUMBER(L313),L313-G313,""),"")</f>
        <v/>
      </c>
      <c r="Q313" s="60" t="str">
        <f aca="false">IF(C313="","",IF(T313=1,"✔ SOLD / VENDIDO",IF(S313=0,"— CLOSED / CERRADO",IF(U313&lt;0,"⚠ ADD DATE / AGREGA FECHA",IF(U313&gt;=Settings!$C$8,"⚠ STALE – REPRICE / ESTANCADO",IF(U313&gt;=Settings!$C$7,"● WATCH / VIGILAR","✔ FRESH / RECIENTE"))))))</f>
        <v/>
      </c>
      <c r="S313" s="53" t="n">
        <f aca="false">IF(C313="",0,IF(OR(J313="",J313="In Stock / En Inventario",J313="Listed / Publicado"),1,0))</f>
        <v>0</v>
      </c>
      <c r="T313" s="53" t="n">
        <f aca="false">IF(C313="",0,IF(J313="Sold / Vendido",1,0))</f>
        <v>0</v>
      </c>
      <c r="U313" s="53" t="n">
        <f aca="true">IF(S313=1,IF(ISNUMBER(F313),TODAY()-F313,-1),-1)</f>
        <v>-1</v>
      </c>
      <c r="V313" s="53" t="n">
        <f aca="false">IF(U313&lt;0,IF(S313=1,5,0),IF(U313&lt;=30,1,IF(U313&lt;=60,2,IF(U313&lt;=90,3,4))))</f>
        <v>0</v>
      </c>
      <c r="W313" s="53" t="n">
        <f aca="false">IF(U313&lt;0,-1000000000000000,U313+ROW()/1000000)</f>
        <v>-1000000000000000</v>
      </c>
      <c r="X313" s="53" t="n">
        <f aca="false">IF(T313=1,IF(AND(ISNUMBER(F313),ISNUMBER(K313)),K313-F313,0),0)</f>
        <v>0</v>
      </c>
      <c r="Y313" s="53" t="n">
        <f aca="false">IF(T313=1,IF(AND(ISNUMBER(F313),ISNUMBER(K313)),1,0),0)</f>
        <v>0</v>
      </c>
      <c r="Z313" s="53" t="n">
        <f aca="false">IF(U313&gt;=Settings!$C$8,1,0)</f>
        <v>0</v>
      </c>
      <c r="AA313" s="53" t="n">
        <f aca="false">IF(S313=1,IF(J313="Listed / Publicado",0,1),0)</f>
        <v>0</v>
      </c>
      <c r="AB313" s="53" t="n">
        <f aca="false">IF(T313=1,IF(ISNUMBER(L313),L313-G313,0),0)</f>
        <v>0</v>
      </c>
      <c r="AC313" s="53" t="n">
        <f aca="false">IF(S313=1,IF(ISNUMBER(I313),I313-G313,0),0)</f>
        <v>0</v>
      </c>
    </row>
    <row r="314" customFormat="false" ht="15" hidden="false" customHeight="false" outlineLevel="0" collapsed="false">
      <c r="B314" s="54"/>
      <c r="C314" s="55"/>
      <c r="D314" s="55"/>
      <c r="E314" s="55"/>
      <c r="F314" s="56"/>
      <c r="G314" s="57"/>
      <c r="H314" s="55"/>
      <c r="I314" s="57"/>
      <c r="J314" s="54"/>
      <c r="K314" s="56"/>
      <c r="L314" s="57"/>
      <c r="M314" s="54"/>
      <c r="N314" s="58" t="str">
        <f aca="false">IF(S314=1,IF(U314&lt;0,"",U314),IF(Y314=1,X314,""))</f>
        <v/>
      </c>
      <c r="O314" s="59" t="str">
        <f aca="false">IF(S314=1,IF(ISNUMBER(I314),I314-G314,""),"")</f>
        <v/>
      </c>
      <c r="P314" s="59" t="str">
        <f aca="false">IF(T314=1,IF(ISNUMBER(L314),L314-G314,""),"")</f>
        <v/>
      </c>
      <c r="Q314" s="60" t="str">
        <f aca="false">IF(C314="","",IF(T314=1,"✔ SOLD / VENDIDO",IF(S314=0,"— CLOSED / CERRADO",IF(U314&lt;0,"⚠ ADD DATE / AGREGA FECHA",IF(U314&gt;=Settings!$C$8,"⚠ STALE – REPRICE / ESTANCADO",IF(U314&gt;=Settings!$C$7,"● WATCH / VIGILAR","✔ FRESH / RECIENTE"))))))</f>
        <v/>
      </c>
      <c r="S314" s="53" t="n">
        <f aca="false">IF(C314="",0,IF(OR(J314="",J314="In Stock / En Inventario",J314="Listed / Publicado"),1,0))</f>
        <v>0</v>
      </c>
      <c r="T314" s="53" t="n">
        <f aca="false">IF(C314="",0,IF(J314="Sold / Vendido",1,0))</f>
        <v>0</v>
      </c>
      <c r="U314" s="53" t="n">
        <f aca="true">IF(S314=1,IF(ISNUMBER(F314),TODAY()-F314,-1),-1)</f>
        <v>-1</v>
      </c>
      <c r="V314" s="53" t="n">
        <f aca="false">IF(U314&lt;0,IF(S314=1,5,0),IF(U314&lt;=30,1,IF(U314&lt;=60,2,IF(U314&lt;=90,3,4))))</f>
        <v>0</v>
      </c>
      <c r="W314" s="53" t="n">
        <f aca="false">IF(U314&lt;0,-1000000000000000,U314+ROW()/1000000)</f>
        <v>-1000000000000000</v>
      </c>
      <c r="X314" s="53" t="n">
        <f aca="false">IF(T314=1,IF(AND(ISNUMBER(F314),ISNUMBER(K314)),K314-F314,0),0)</f>
        <v>0</v>
      </c>
      <c r="Y314" s="53" t="n">
        <f aca="false">IF(T314=1,IF(AND(ISNUMBER(F314),ISNUMBER(K314)),1,0),0)</f>
        <v>0</v>
      </c>
      <c r="Z314" s="53" t="n">
        <f aca="false">IF(U314&gt;=Settings!$C$8,1,0)</f>
        <v>0</v>
      </c>
      <c r="AA314" s="53" t="n">
        <f aca="false">IF(S314=1,IF(J314="Listed / Publicado",0,1),0)</f>
        <v>0</v>
      </c>
      <c r="AB314" s="53" t="n">
        <f aca="false">IF(T314=1,IF(ISNUMBER(L314),L314-G314,0),0)</f>
        <v>0</v>
      </c>
      <c r="AC314" s="53" t="n">
        <f aca="false">IF(S314=1,IF(ISNUMBER(I314),I314-G314,0),0)</f>
        <v>0</v>
      </c>
    </row>
    <row r="315" customFormat="false" ht="15" hidden="false" customHeight="false" outlineLevel="0" collapsed="false">
      <c r="B315" s="54"/>
      <c r="C315" s="55"/>
      <c r="D315" s="55"/>
      <c r="E315" s="55"/>
      <c r="F315" s="56"/>
      <c r="G315" s="57"/>
      <c r="H315" s="55"/>
      <c r="I315" s="57"/>
      <c r="J315" s="54"/>
      <c r="K315" s="56"/>
      <c r="L315" s="57"/>
      <c r="M315" s="54"/>
      <c r="N315" s="58" t="str">
        <f aca="false">IF(S315=1,IF(U315&lt;0,"",U315),IF(Y315=1,X315,""))</f>
        <v/>
      </c>
      <c r="O315" s="59" t="str">
        <f aca="false">IF(S315=1,IF(ISNUMBER(I315),I315-G315,""),"")</f>
        <v/>
      </c>
      <c r="P315" s="59" t="str">
        <f aca="false">IF(T315=1,IF(ISNUMBER(L315),L315-G315,""),"")</f>
        <v/>
      </c>
      <c r="Q315" s="60" t="str">
        <f aca="false">IF(C315="","",IF(T315=1,"✔ SOLD / VENDIDO",IF(S315=0,"— CLOSED / CERRADO",IF(U315&lt;0,"⚠ ADD DATE / AGREGA FECHA",IF(U315&gt;=Settings!$C$8,"⚠ STALE – REPRICE / ESTANCADO",IF(U315&gt;=Settings!$C$7,"● WATCH / VIGILAR","✔ FRESH / RECIENTE"))))))</f>
        <v/>
      </c>
      <c r="S315" s="53" t="n">
        <f aca="false">IF(C315="",0,IF(OR(J315="",J315="In Stock / En Inventario",J315="Listed / Publicado"),1,0))</f>
        <v>0</v>
      </c>
      <c r="T315" s="53" t="n">
        <f aca="false">IF(C315="",0,IF(J315="Sold / Vendido",1,0))</f>
        <v>0</v>
      </c>
      <c r="U315" s="53" t="n">
        <f aca="true">IF(S315=1,IF(ISNUMBER(F315),TODAY()-F315,-1),-1)</f>
        <v>-1</v>
      </c>
      <c r="V315" s="53" t="n">
        <f aca="false">IF(U315&lt;0,IF(S315=1,5,0),IF(U315&lt;=30,1,IF(U315&lt;=60,2,IF(U315&lt;=90,3,4))))</f>
        <v>0</v>
      </c>
      <c r="W315" s="53" t="n">
        <f aca="false">IF(U315&lt;0,-1000000000000000,U315+ROW()/1000000)</f>
        <v>-1000000000000000</v>
      </c>
      <c r="X315" s="53" t="n">
        <f aca="false">IF(T315=1,IF(AND(ISNUMBER(F315),ISNUMBER(K315)),K315-F315,0),0)</f>
        <v>0</v>
      </c>
      <c r="Y315" s="53" t="n">
        <f aca="false">IF(T315=1,IF(AND(ISNUMBER(F315),ISNUMBER(K315)),1,0),0)</f>
        <v>0</v>
      </c>
      <c r="Z315" s="53" t="n">
        <f aca="false">IF(U315&gt;=Settings!$C$8,1,0)</f>
        <v>0</v>
      </c>
      <c r="AA315" s="53" t="n">
        <f aca="false">IF(S315=1,IF(J315="Listed / Publicado",0,1),0)</f>
        <v>0</v>
      </c>
      <c r="AB315" s="53" t="n">
        <f aca="false">IF(T315=1,IF(ISNUMBER(L315),L315-G315,0),0)</f>
        <v>0</v>
      </c>
      <c r="AC315" s="53" t="n">
        <f aca="false">IF(S315=1,IF(ISNUMBER(I315),I315-G315,0),0)</f>
        <v>0</v>
      </c>
    </row>
    <row r="316" customFormat="false" ht="15" hidden="false" customHeight="false" outlineLevel="0" collapsed="false">
      <c r="B316" s="54"/>
      <c r="C316" s="55"/>
      <c r="D316" s="55"/>
      <c r="E316" s="55"/>
      <c r="F316" s="56"/>
      <c r="G316" s="57"/>
      <c r="H316" s="55"/>
      <c r="I316" s="57"/>
      <c r="J316" s="54"/>
      <c r="K316" s="56"/>
      <c r="L316" s="57"/>
      <c r="M316" s="54"/>
      <c r="N316" s="58" t="str">
        <f aca="false">IF(S316=1,IF(U316&lt;0,"",U316),IF(Y316=1,X316,""))</f>
        <v/>
      </c>
      <c r="O316" s="59" t="str">
        <f aca="false">IF(S316=1,IF(ISNUMBER(I316),I316-G316,""),"")</f>
        <v/>
      </c>
      <c r="P316" s="59" t="str">
        <f aca="false">IF(T316=1,IF(ISNUMBER(L316),L316-G316,""),"")</f>
        <v/>
      </c>
      <c r="Q316" s="60" t="str">
        <f aca="false">IF(C316="","",IF(T316=1,"✔ SOLD / VENDIDO",IF(S316=0,"— CLOSED / CERRADO",IF(U316&lt;0,"⚠ ADD DATE / AGREGA FECHA",IF(U316&gt;=Settings!$C$8,"⚠ STALE – REPRICE / ESTANCADO",IF(U316&gt;=Settings!$C$7,"● WATCH / VIGILAR","✔ FRESH / RECIENTE"))))))</f>
        <v/>
      </c>
      <c r="S316" s="53" t="n">
        <f aca="false">IF(C316="",0,IF(OR(J316="",J316="In Stock / En Inventario",J316="Listed / Publicado"),1,0))</f>
        <v>0</v>
      </c>
      <c r="T316" s="53" t="n">
        <f aca="false">IF(C316="",0,IF(J316="Sold / Vendido",1,0))</f>
        <v>0</v>
      </c>
      <c r="U316" s="53" t="n">
        <f aca="true">IF(S316=1,IF(ISNUMBER(F316),TODAY()-F316,-1),-1)</f>
        <v>-1</v>
      </c>
      <c r="V316" s="53" t="n">
        <f aca="false">IF(U316&lt;0,IF(S316=1,5,0),IF(U316&lt;=30,1,IF(U316&lt;=60,2,IF(U316&lt;=90,3,4))))</f>
        <v>0</v>
      </c>
      <c r="W316" s="53" t="n">
        <f aca="false">IF(U316&lt;0,-1000000000000000,U316+ROW()/1000000)</f>
        <v>-1000000000000000</v>
      </c>
      <c r="X316" s="53" t="n">
        <f aca="false">IF(T316=1,IF(AND(ISNUMBER(F316),ISNUMBER(K316)),K316-F316,0),0)</f>
        <v>0</v>
      </c>
      <c r="Y316" s="53" t="n">
        <f aca="false">IF(T316=1,IF(AND(ISNUMBER(F316),ISNUMBER(K316)),1,0),0)</f>
        <v>0</v>
      </c>
      <c r="Z316" s="53" t="n">
        <f aca="false">IF(U316&gt;=Settings!$C$8,1,0)</f>
        <v>0</v>
      </c>
      <c r="AA316" s="53" t="n">
        <f aca="false">IF(S316=1,IF(J316="Listed / Publicado",0,1),0)</f>
        <v>0</v>
      </c>
      <c r="AB316" s="53" t="n">
        <f aca="false">IF(T316=1,IF(ISNUMBER(L316),L316-G316,0),0)</f>
        <v>0</v>
      </c>
      <c r="AC316" s="53" t="n">
        <f aca="false">IF(S316=1,IF(ISNUMBER(I316),I316-G316,0),0)</f>
        <v>0</v>
      </c>
    </row>
    <row r="317" customFormat="false" ht="15" hidden="false" customHeight="false" outlineLevel="0" collapsed="false">
      <c r="B317" s="54"/>
      <c r="C317" s="55"/>
      <c r="D317" s="55"/>
      <c r="E317" s="55"/>
      <c r="F317" s="56"/>
      <c r="G317" s="57"/>
      <c r="H317" s="55"/>
      <c r="I317" s="57"/>
      <c r="J317" s="54"/>
      <c r="K317" s="56"/>
      <c r="L317" s="57"/>
      <c r="M317" s="54"/>
      <c r="N317" s="58" t="str">
        <f aca="false">IF(S317=1,IF(U317&lt;0,"",U317),IF(Y317=1,X317,""))</f>
        <v/>
      </c>
      <c r="O317" s="59" t="str">
        <f aca="false">IF(S317=1,IF(ISNUMBER(I317),I317-G317,""),"")</f>
        <v/>
      </c>
      <c r="P317" s="59" t="str">
        <f aca="false">IF(T317=1,IF(ISNUMBER(L317),L317-G317,""),"")</f>
        <v/>
      </c>
      <c r="Q317" s="60" t="str">
        <f aca="false">IF(C317="","",IF(T317=1,"✔ SOLD / VENDIDO",IF(S317=0,"— CLOSED / CERRADO",IF(U317&lt;0,"⚠ ADD DATE / AGREGA FECHA",IF(U317&gt;=Settings!$C$8,"⚠ STALE – REPRICE / ESTANCADO",IF(U317&gt;=Settings!$C$7,"● WATCH / VIGILAR","✔ FRESH / RECIENTE"))))))</f>
        <v/>
      </c>
      <c r="S317" s="53" t="n">
        <f aca="false">IF(C317="",0,IF(OR(J317="",J317="In Stock / En Inventario",J317="Listed / Publicado"),1,0))</f>
        <v>0</v>
      </c>
      <c r="T317" s="53" t="n">
        <f aca="false">IF(C317="",0,IF(J317="Sold / Vendido",1,0))</f>
        <v>0</v>
      </c>
      <c r="U317" s="53" t="n">
        <f aca="true">IF(S317=1,IF(ISNUMBER(F317),TODAY()-F317,-1),-1)</f>
        <v>-1</v>
      </c>
      <c r="V317" s="53" t="n">
        <f aca="false">IF(U317&lt;0,IF(S317=1,5,0),IF(U317&lt;=30,1,IF(U317&lt;=60,2,IF(U317&lt;=90,3,4))))</f>
        <v>0</v>
      </c>
      <c r="W317" s="53" t="n">
        <f aca="false">IF(U317&lt;0,-1000000000000000,U317+ROW()/1000000)</f>
        <v>-1000000000000000</v>
      </c>
      <c r="X317" s="53" t="n">
        <f aca="false">IF(T317=1,IF(AND(ISNUMBER(F317),ISNUMBER(K317)),K317-F317,0),0)</f>
        <v>0</v>
      </c>
      <c r="Y317" s="53" t="n">
        <f aca="false">IF(T317=1,IF(AND(ISNUMBER(F317),ISNUMBER(K317)),1,0),0)</f>
        <v>0</v>
      </c>
      <c r="Z317" s="53" t="n">
        <f aca="false">IF(U317&gt;=Settings!$C$8,1,0)</f>
        <v>0</v>
      </c>
      <c r="AA317" s="53" t="n">
        <f aca="false">IF(S317=1,IF(J317="Listed / Publicado",0,1),0)</f>
        <v>0</v>
      </c>
      <c r="AB317" s="53" t="n">
        <f aca="false">IF(T317=1,IF(ISNUMBER(L317),L317-G317,0),0)</f>
        <v>0</v>
      </c>
      <c r="AC317" s="53" t="n">
        <f aca="false">IF(S317=1,IF(ISNUMBER(I317),I317-G317,0),0)</f>
        <v>0</v>
      </c>
    </row>
    <row r="318" customFormat="false" ht="15" hidden="false" customHeight="false" outlineLevel="0" collapsed="false">
      <c r="B318" s="54"/>
      <c r="C318" s="55"/>
      <c r="D318" s="55"/>
      <c r="E318" s="55"/>
      <c r="F318" s="56"/>
      <c r="G318" s="57"/>
      <c r="H318" s="55"/>
      <c r="I318" s="57"/>
      <c r="J318" s="54"/>
      <c r="K318" s="56"/>
      <c r="L318" s="57"/>
      <c r="M318" s="54"/>
      <c r="N318" s="58" t="str">
        <f aca="false">IF(S318=1,IF(U318&lt;0,"",U318),IF(Y318=1,X318,""))</f>
        <v/>
      </c>
      <c r="O318" s="59" t="str">
        <f aca="false">IF(S318=1,IF(ISNUMBER(I318),I318-G318,""),"")</f>
        <v/>
      </c>
      <c r="P318" s="59" t="str">
        <f aca="false">IF(T318=1,IF(ISNUMBER(L318),L318-G318,""),"")</f>
        <v/>
      </c>
      <c r="Q318" s="60" t="str">
        <f aca="false">IF(C318="","",IF(T318=1,"✔ SOLD / VENDIDO",IF(S318=0,"— CLOSED / CERRADO",IF(U318&lt;0,"⚠ ADD DATE / AGREGA FECHA",IF(U318&gt;=Settings!$C$8,"⚠ STALE – REPRICE / ESTANCADO",IF(U318&gt;=Settings!$C$7,"● WATCH / VIGILAR","✔ FRESH / RECIENTE"))))))</f>
        <v/>
      </c>
      <c r="S318" s="53" t="n">
        <f aca="false">IF(C318="",0,IF(OR(J318="",J318="In Stock / En Inventario",J318="Listed / Publicado"),1,0))</f>
        <v>0</v>
      </c>
      <c r="T318" s="53" t="n">
        <f aca="false">IF(C318="",0,IF(J318="Sold / Vendido",1,0))</f>
        <v>0</v>
      </c>
      <c r="U318" s="53" t="n">
        <f aca="true">IF(S318=1,IF(ISNUMBER(F318),TODAY()-F318,-1),-1)</f>
        <v>-1</v>
      </c>
      <c r="V318" s="53" t="n">
        <f aca="false">IF(U318&lt;0,IF(S318=1,5,0),IF(U318&lt;=30,1,IF(U318&lt;=60,2,IF(U318&lt;=90,3,4))))</f>
        <v>0</v>
      </c>
      <c r="W318" s="53" t="n">
        <f aca="false">IF(U318&lt;0,-1000000000000000,U318+ROW()/1000000)</f>
        <v>-1000000000000000</v>
      </c>
      <c r="X318" s="53" t="n">
        <f aca="false">IF(T318=1,IF(AND(ISNUMBER(F318),ISNUMBER(K318)),K318-F318,0),0)</f>
        <v>0</v>
      </c>
      <c r="Y318" s="53" t="n">
        <f aca="false">IF(T318=1,IF(AND(ISNUMBER(F318),ISNUMBER(K318)),1,0),0)</f>
        <v>0</v>
      </c>
      <c r="Z318" s="53" t="n">
        <f aca="false">IF(U318&gt;=Settings!$C$8,1,0)</f>
        <v>0</v>
      </c>
      <c r="AA318" s="53" t="n">
        <f aca="false">IF(S318=1,IF(J318="Listed / Publicado",0,1),0)</f>
        <v>0</v>
      </c>
      <c r="AB318" s="53" t="n">
        <f aca="false">IF(T318=1,IF(ISNUMBER(L318),L318-G318,0),0)</f>
        <v>0</v>
      </c>
      <c r="AC318" s="53" t="n">
        <f aca="false">IF(S318=1,IF(ISNUMBER(I318),I318-G318,0),0)</f>
        <v>0</v>
      </c>
    </row>
    <row r="319" customFormat="false" ht="15" hidden="false" customHeight="false" outlineLevel="0" collapsed="false">
      <c r="B319" s="54"/>
      <c r="C319" s="55"/>
      <c r="D319" s="55"/>
      <c r="E319" s="55"/>
      <c r="F319" s="56"/>
      <c r="G319" s="57"/>
      <c r="H319" s="55"/>
      <c r="I319" s="57"/>
      <c r="J319" s="54"/>
      <c r="K319" s="56"/>
      <c r="L319" s="57"/>
      <c r="M319" s="54"/>
      <c r="N319" s="58" t="str">
        <f aca="false">IF(S319=1,IF(U319&lt;0,"",U319),IF(Y319=1,X319,""))</f>
        <v/>
      </c>
      <c r="O319" s="59" t="str">
        <f aca="false">IF(S319=1,IF(ISNUMBER(I319),I319-G319,""),"")</f>
        <v/>
      </c>
      <c r="P319" s="59" t="str">
        <f aca="false">IF(T319=1,IF(ISNUMBER(L319),L319-G319,""),"")</f>
        <v/>
      </c>
      <c r="Q319" s="60" t="str">
        <f aca="false">IF(C319="","",IF(T319=1,"✔ SOLD / VENDIDO",IF(S319=0,"— CLOSED / CERRADO",IF(U319&lt;0,"⚠ ADD DATE / AGREGA FECHA",IF(U319&gt;=Settings!$C$8,"⚠ STALE – REPRICE / ESTANCADO",IF(U319&gt;=Settings!$C$7,"● WATCH / VIGILAR","✔ FRESH / RECIENTE"))))))</f>
        <v/>
      </c>
      <c r="S319" s="53" t="n">
        <f aca="false">IF(C319="",0,IF(OR(J319="",J319="In Stock / En Inventario",J319="Listed / Publicado"),1,0))</f>
        <v>0</v>
      </c>
      <c r="T319" s="53" t="n">
        <f aca="false">IF(C319="",0,IF(J319="Sold / Vendido",1,0))</f>
        <v>0</v>
      </c>
      <c r="U319" s="53" t="n">
        <f aca="true">IF(S319=1,IF(ISNUMBER(F319),TODAY()-F319,-1),-1)</f>
        <v>-1</v>
      </c>
      <c r="V319" s="53" t="n">
        <f aca="false">IF(U319&lt;0,IF(S319=1,5,0),IF(U319&lt;=30,1,IF(U319&lt;=60,2,IF(U319&lt;=90,3,4))))</f>
        <v>0</v>
      </c>
      <c r="W319" s="53" t="n">
        <f aca="false">IF(U319&lt;0,-1000000000000000,U319+ROW()/1000000)</f>
        <v>-1000000000000000</v>
      </c>
      <c r="X319" s="53" t="n">
        <f aca="false">IF(T319=1,IF(AND(ISNUMBER(F319),ISNUMBER(K319)),K319-F319,0),0)</f>
        <v>0</v>
      </c>
      <c r="Y319" s="53" t="n">
        <f aca="false">IF(T319=1,IF(AND(ISNUMBER(F319),ISNUMBER(K319)),1,0),0)</f>
        <v>0</v>
      </c>
      <c r="Z319" s="53" t="n">
        <f aca="false">IF(U319&gt;=Settings!$C$8,1,0)</f>
        <v>0</v>
      </c>
      <c r="AA319" s="53" t="n">
        <f aca="false">IF(S319=1,IF(J319="Listed / Publicado",0,1),0)</f>
        <v>0</v>
      </c>
      <c r="AB319" s="53" t="n">
        <f aca="false">IF(T319=1,IF(ISNUMBER(L319),L319-G319,0),0)</f>
        <v>0</v>
      </c>
      <c r="AC319" s="53" t="n">
        <f aca="false">IF(S319=1,IF(ISNUMBER(I319),I319-G319,0),0)</f>
        <v>0</v>
      </c>
    </row>
    <row r="320" customFormat="false" ht="15" hidden="false" customHeight="false" outlineLevel="0" collapsed="false">
      <c r="B320" s="54"/>
      <c r="C320" s="55"/>
      <c r="D320" s="55"/>
      <c r="E320" s="55"/>
      <c r="F320" s="56"/>
      <c r="G320" s="57"/>
      <c r="H320" s="55"/>
      <c r="I320" s="57"/>
      <c r="J320" s="54"/>
      <c r="K320" s="56"/>
      <c r="L320" s="57"/>
      <c r="M320" s="54"/>
      <c r="N320" s="58" t="str">
        <f aca="false">IF(S320=1,IF(U320&lt;0,"",U320),IF(Y320=1,X320,""))</f>
        <v/>
      </c>
      <c r="O320" s="59" t="str">
        <f aca="false">IF(S320=1,IF(ISNUMBER(I320),I320-G320,""),"")</f>
        <v/>
      </c>
      <c r="P320" s="59" t="str">
        <f aca="false">IF(T320=1,IF(ISNUMBER(L320),L320-G320,""),"")</f>
        <v/>
      </c>
      <c r="Q320" s="60" t="str">
        <f aca="false">IF(C320="","",IF(T320=1,"✔ SOLD / VENDIDO",IF(S320=0,"— CLOSED / CERRADO",IF(U320&lt;0,"⚠ ADD DATE / AGREGA FECHA",IF(U320&gt;=Settings!$C$8,"⚠ STALE – REPRICE / ESTANCADO",IF(U320&gt;=Settings!$C$7,"● WATCH / VIGILAR","✔ FRESH / RECIENTE"))))))</f>
        <v/>
      </c>
      <c r="S320" s="53" t="n">
        <f aca="false">IF(C320="",0,IF(OR(J320="",J320="In Stock / En Inventario",J320="Listed / Publicado"),1,0))</f>
        <v>0</v>
      </c>
      <c r="T320" s="53" t="n">
        <f aca="false">IF(C320="",0,IF(J320="Sold / Vendido",1,0))</f>
        <v>0</v>
      </c>
      <c r="U320" s="53" t="n">
        <f aca="true">IF(S320=1,IF(ISNUMBER(F320),TODAY()-F320,-1),-1)</f>
        <v>-1</v>
      </c>
      <c r="V320" s="53" t="n">
        <f aca="false">IF(U320&lt;0,IF(S320=1,5,0),IF(U320&lt;=30,1,IF(U320&lt;=60,2,IF(U320&lt;=90,3,4))))</f>
        <v>0</v>
      </c>
      <c r="W320" s="53" t="n">
        <f aca="false">IF(U320&lt;0,-1000000000000000,U320+ROW()/1000000)</f>
        <v>-1000000000000000</v>
      </c>
      <c r="X320" s="53" t="n">
        <f aca="false">IF(T320=1,IF(AND(ISNUMBER(F320),ISNUMBER(K320)),K320-F320,0),0)</f>
        <v>0</v>
      </c>
      <c r="Y320" s="53" t="n">
        <f aca="false">IF(T320=1,IF(AND(ISNUMBER(F320),ISNUMBER(K320)),1,0),0)</f>
        <v>0</v>
      </c>
      <c r="Z320" s="53" t="n">
        <f aca="false">IF(U320&gt;=Settings!$C$8,1,0)</f>
        <v>0</v>
      </c>
      <c r="AA320" s="53" t="n">
        <f aca="false">IF(S320=1,IF(J320="Listed / Publicado",0,1),0)</f>
        <v>0</v>
      </c>
      <c r="AB320" s="53" t="n">
        <f aca="false">IF(T320=1,IF(ISNUMBER(L320),L320-G320,0),0)</f>
        <v>0</v>
      </c>
      <c r="AC320" s="53" t="n">
        <f aca="false">IF(S320=1,IF(ISNUMBER(I320),I320-G320,0),0)</f>
        <v>0</v>
      </c>
    </row>
    <row r="321" customFormat="false" ht="15" hidden="false" customHeight="false" outlineLevel="0" collapsed="false">
      <c r="B321" s="54"/>
      <c r="C321" s="55"/>
      <c r="D321" s="55"/>
      <c r="E321" s="55"/>
      <c r="F321" s="56"/>
      <c r="G321" s="57"/>
      <c r="H321" s="55"/>
      <c r="I321" s="57"/>
      <c r="J321" s="54"/>
      <c r="K321" s="56"/>
      <c r="L321" s="57"/>
      <c r="M321" s="54"/>
      <c r="N321" s="58" t="str">
        <f aca="false">IF(S321=1,IF(U321&lt;0,"",U321),IF(Y321=1,X321,""))</f>
        <v/>
      </c>
      <c r="O321" s="59" t="str">
        <f aca="false">IF(S321=1,IF(ISNUMBER(I321),I321-G321,""),"")</f>
        <v/>
      </c>
      <c r="P321" s="59" t="str">
        <f aca="false">IF(T321=1,IF(ISNUMBER(L321),L321-G321,""),"")</f>
        <v/>
      </c>
      <c r="Q321" s="60" t="str">
        <f aca="false">IF(C321="","",IF(T321=1,"✔ SOLD / VENDIDO",IF(S321=0,"— CLOSED / CERRADO",IF(U321&lt;0,"⚠ ADD DATE / AGREGA FECHA",IF(U321&gt;=Settings!$C$8,"⚠ STALE – REPRICE / ESTANCADO",IF(U321&gt;=Settings!$C$7,"● WATCH / VIGILAR","✔ FRESH / RECIENTE"))))))</f>
        <v/>
      </c>
      <c r="S321" s="53" t="n">
        <f aca="false">IF(C321="",0,IF(OR(J321="",J321="In Stock / En Inventario",J321="Listed / Publicado"),1,0))</f>
        <v>0</v>
      </c>
      <c r="T321" s="53" t="n">
        <f aca="false">IF(C321="",0,IF(J321="Sold / Vendido",1,0))</f>
        <v>0</v>
      </c>
      <c r="U321" s="53" t="n">
        <f aca="true">IF(S321=1,IF(ISNUMBER(F321),TODAY()-F321,-1),-1)</f>
        <v>-1</v>
      </c>
      <c r="V321" s="53" t="n">
        <f aca="false">IF(U321&lt;0,IF(S321=1,5,0),IF(U321&lt;=30,1,IF(U321&lt;=60,2,IF(U321&lt;=90,3,4))))</f>
        <v>0</v>
      </c>
      <c r="W321" s="53" t="n">
        <f aca="false">IF(U321&lt;0,-1000000000000000,U321+ROW()/1000000)</f>
        <v>-1000000000000000</v>
      </c>
      <c r="X321" s="53" t="n">
        <f aca="false">IF(T321=1,IF(AND(ISNUMBER(F321),ISNUMBER(K321)),K321-F321,0),0)</f>
        <v>0</v>
      </c>
      <c r="Y321" s="53" t="n">
        <f aca="false">IF(T321=1,IF(AND(ISNUMBER(F321),ISNUMBER(K321)),1,0),0)</f>
        <v>0</v>
      </c>
      <c r="Z321" s="53" t="n">
        <f aca="false">IF(U321&gt;=Settings!$C$8,1,0)</f>
        <v>0</v>
      </c>
      <c r="AA321" s="53" t="n">
        <f aca="false">IF(S321=1,IF(J321="Listed / Publicado",0,1),0)</f>
        <v>0</v>
      </c>
      <c r="AB321" s="53" t="n">
        <f aca="false">IF(T321=1,IF(ISNUMBER(L321),L321-G321,0),0)</f>
        <v>0</v>
      </c>
      <c r="AC321" s="53" t="n">
        <f aca="false">IF(S321=1,IF(ISNUMBER(I321),I321-G321,0),0)</f>
        <v>0</v>
      </c>
    </row>
    <row r="322" customFormat="false" ht="15" hidden="false" customHeight="false" outlineLevel="0" collapsed="false">
      <c r="B322" s="54"/>
      <c r="C322" s="55"/>
      <c r="D322" s="55"/>
      <c r="E322" s="55"/>
      <c r="F322" s="56"/>
      <c r="G322" s="57"/>
      <c r="H322" s="55"/>
      <c r="I322" s="57"/>
      <c r="J322" s="54"/>
      <c r="K322" s="56"/>
      <c r="L322" s="57"/>
      <c r="M322" s="54"/>
      <c r="N322" s="58" t="str">
        <f aca="false">IF(S322=1,IF(U322&lt;0,"",U322),IF(Y322=1,X322,""))</f>
        <v/>
      </c>
      <c r="O322" s="59" t="str">
        <f aca="false">IF(S322=1,IF(ISNUMBER(I322),I322-G322,""),"")</f>
        <v/>
      </c>
      <c r="P322" s="59" t="str">
        <f aca="false">IF(T322=1,IF(ISNUMBER(L322),L322-G322,""),"")</f>
        <v/>
      </c>
      <c r="Q322" s="60" t="str">
        <f aca="false">IF(C322="","",IF(T322=1,"✔ SOLD / VENDIDO",IF(S322=0,"— CLOSED / CERRADO",IF(U322&lt;0,"⚠ ADD DATE / AGREGA FECHA",IF(U322&gt;=Settings!$C$8,"⚠ STALE – REPRICE / ESTANCADO",IF(U322&gt;=Settings!$C$7,"● WATCH / VIGILAR","✔ FRESH / RECIENTE"))))))</f>
        <v/>
      </c>
      <c r="S322" s="53" t="n">
        <f aca="false">IF(C322="",0,IF(OR(J322="",J322="In Stock / En Inventario",J322="Listed / Publicado"),1,0))</f>
        <v>0</v>
      </c>
      <c r="T322" s="53" t="n">
        <f aca="false">IF(C322="",0,IF(J322="Sold / Vendido",1,0))</f>
        <v>0</v>
      </c>
      <c r="U322" s="53" t="n">
        <f aca="true">IF(S322=1,IF(ISNUMBER(F322),TODAY()-F322,-1),-1)</f>
        <v>-1</v>
      </c>
      <c r="V322" s="53" t="n">
        <f aca="false">IF(U322&lt;0,IF(S322=1,5,0),IF(U322&lt;=30,1,IF(U322&lt;=60,2,IF(U322&lt;=90,3,4))))</f>
        <v>0</v>
      </c>
      <c r="W322" s="53" t="n">
        <f aca="false">IF(U322&lt;0,-1000000000000000,U322+ROW()/1000000)</f>
        <v>-1000000000000000</v>
      </c>
      <c r="X322" s="53" t="n">
        <f aca="false">IF(T322=1,IF(AND(ISNUMBER(F322),ISNUMBER(K322)),K322-F322,0),0)</f>
        <v>0</v>
      </c>
      <c r="Y322" s="53" t="n">
        <f aca="false">IF(T322=1,IF(AND(ISNUMBER(F322),ISNUMBER(K322)),1,0),0)</f>
        <v>0</v>
      </c>
      <c r="Z322" s="53" t="n">
        <f aca="false">IF(U322&gt;=Settings!$C$8,1,0)</f>
        <v>0</v>
      </c>
      <c r="AA322" s="53" t="n">
        <f aca="false">IF(S322=1,IF(J322="Listed / Publicado",0,1),0)</f>
        <v>0</v>
      </c>
      <c r="AB322" s="53" t="n">
        <f aca="false">IF(T322=1,IF(ISNUMBER(L322),L322-G322,0),0)</f>
        <v>0</v>
      </c>
      <c r="AC322" s="53" t="n">
        <f aca="false">IF(S322=1,IF(ISNUMBER(I322),I322-G322,0),0)</f>
        <v>0</v>
      </c>
    </row>
    <row r="323" customFormat="false" ht="15" hidden="false" customHeight="false" outlineLevel="0" collapsed="false">
      <c r="B323" s="54"/>
      <c r="C323" s="55"/>
      <c r="D323" s="55"/>
      <c r="E323" s="55"/>
      <c r="F323" s="56"/>
      <c r="G323" s="57"/>
      <c r="H323" s="55"/>
      <c r="I323" s="57"/>
      <c r="J323" s="54"/>
      <c r="K323" s="56"/>
      <c r="L323" s="57"/>
      <c r="M323" s="54"/>
      <c r="N323" s="58" t="str">
        <f aca="false">IF(S323=1,IF(U323&lt;0,"",U323),IF(Y323=1,X323,""))</f>
        <v/>
      </c>
      <c r="O323" s="59" t="str">
        <f aca="false">IF(S323=1,IF(ISNUMBER(I323),I323-G323,""),"")</f>
        <v/>
      </c>
      <c r="P323" s="59" t="str">
        <f aca="false">IF(T323=1,IF(ISNUMBER(L323),L323-G323,""),"")</f>
        <v/>
      </c>
      <c r="Q323" s="60" t="str">
        <f aca="false">IF(C323="","",IF(T323=1,"✔ SOLD / VENDIDO",IF(S323=0,"— CLOSED / CERRADO",IF(U323&lt;0,"⚠ ADD DATE / AGREGA FECHA",IF(U323&gt;=Settings!$C$8,"⚠ STALE – REPRICE / ESTANCADO",IF(U323&gt;=Settings!$C$7,"● WATCH / VIGILAR","✔ FRESH / RECIENTE"))))))</f>
        <v/>
      </c>
      <c r="S323" s="53" t="n">
        <f aca="false">IF(C323="",0,IF(OR(J323="",J323="In Stock / En Inventario",J323="Listed / Publicado"),1,0))</f>
        <v>0</v>
      </c>
      <c r="T323" s="53" t="n">
        <f aca="false">IF(C323="",0,IF(J323="Sold / Vendido",1,0))</f>
        <v>0</v>
      </c>
      <c r="U323" s="53" t="n">
        <f aca="true">IF(S323=1,IF(ISNUMBER(F323),TODAY()-F323,-1),-1)</f>
        <v>-1</v>
      </c>
      <c r="V323" s="53" t="n">
        <f aca="false">IF(U323&lt;0,IF(S323=1,5,0),IF(U323&lt;=30,1,IF(U323&lt;=60,2,IF(U323&lt;=90,3,4))))</f>
        <v>0</v>
      </c>
      <c r="W323" s="53" t="n">
        <f aca="false">IF(U323&lt;0,-1000000000000000,U323+ROW()/1000000)</f>
        <v>-1000000000000000</v>
      </c>
      <c r="X323" s="53" t="n">
        <f aca="false">IF(T323=1,IF(AND(ISNUMBER(F323),ISNUMBER(K323)),K323-F323,0),0)</f>
        <v>0</v>
      </c>
      <c r="Y323" s="53" t="n">
        <f aca="false">IF(T323=1,IF(AND(ISNUMBER(F323),ISNUMBER(K323)),1,0),0)</f>
        <v>0</v>
      </c>
      <c r="Z323" s="53" t="n">
        <f aca="false">IF(U323&gt;=Settings!$C$8,1,0)</f>
        <v>0</v>
      </c>
      <c r="AA323" s="53" t="n">
        <f aca="false">IF(S323=1,IF(J323="Listed / Publicado",0,1),0)</f>
        <v>0</v>
      </c>
      <c r="AB323" s="53" t="n">
        <f aca="false">IF(T323=1,IF(ISNUMBER(L323),L323-G323,0),0)</f>
        <v>0</v>
      </c>
      <c r="AC323" s="53" t="n">
        <f aca="false">IF(S323=1,IF(ISNUMBER(I323),I323-G323,0),0)</f>
        <v>0</v>
      </c>
    </row>
    <row r="324" customFormat="false" ht="15" hidden="false" customHeight="false" outlineLevel="0" collapsed="false">
      <c r="B324" s="54"/>
      <c r="C324" s="55"/>
      <c r="D324" s="55"/>
      <c r="E324" s="55"/>
      <c r="F324" s="56"/>
      <c r="G324" s="57"/>
      <c r="H324" s="55"/>
      <c r="I324" s="57"/>
      <c r="J324" s="54"/>
      <c r="K324" s="56"/>
      <c r="L324" s="57"/>
      <c r="M324" s="54"/>
      <c r="N324" s="58" t="str">
        <f aca="false">IF(S324=1,IF(U324&lt;0,"",U324),IF(Y324=1,X324,""))</f>
        <v/>
      </c>
      <c r="O324" s="59" t="str">
        <f aca="false">IF(S324=1,IF(ISNUMBER(I324),I324-G324,""),"")</f>
        <v/>
      </c>
      <c r="P324" s="59" t="str">
        <f aca="false">IF(T324=1,IF(ISNUMBER(L324),L324-G324,""),"")</f>
        <v/>
      </c>
      <c r="Q324" s="60" t="str">
        <f aca="false">IF(C324="","",IF(T324=1,"✔ SOLD / VENDIDO",IF(S324=0,"— CLOSED / CERRADO",IF(U324&lt;0,"⚠ ADD DATE / AGREGA FECHA",IF(U324&gt;=Settings!$C$8,"⚠ STALE – REPRICE / ESTANCADO",IF(U324&gt;=Settings!$C$7,"● WATCH / VIGILAR","✔ FRESH / RECIENTE"))))))</f>
        <v/>
      </c>
      <c r="S324" s="53" t="n">
        <f aca="false">IF(C324="",0,IF(OR(J324="",J324="In Stock / En Inventario",J324="Listed / Publicado"),1,0))</f>
        <v>0</v>
      </c>
      <c r="T324" s="53" t="n">
        <f aca="false">IF(C324="",0,IF(J324="Sold / Vendido",1,0))</f>
        <v>0</v>
      </c>
      <c r="U324" s="53" t="n">
        <f aca="true">IF(S324=1,IF(ISNUMBER(F324),TODAY()-F324,-1),-1)</f>
        <v>-1</v>
      </c>
      <c r="V324" s="53" t="n">
        <f aca="false">IF(U324&lt;0,IF(S324=1,5,0),IF(U324&lt;=30,1,IF(U324&lt;=60,2,IF(U324&lt;=90,3,4))))</f>
        <v>0</v>
      </c>
      <c r="W324" s="53" t="n">
        <f aca="false">IF(U324&lt;0,-1000000000000000,U324+ROW()/1000000)</f>
        <v>-1000000000000000</v>
      </c>
      <c r="X324" s="53" t="n">
        <f aca="false">IF(T324=1,IF(AND(ISNUMBER(F324),ISNUMBER(K324)),K324-F324,0),0)</f>
        <v>0</v>
      </c>
      <c r="Y324" s="53" t="n">
        <f aca="false">IF(T324=1,IF(AND(ISNUMBER(F324),ISNUMBER(K324)),1,0),0)</f>
        <v>0</v>
      </c>
      <c r="Z324" s="53" t="n">
        <f aca="false">IF(U324&gt;=Settings!$C$8,1,0)</f>
        <v>0</v>
      </c>
      <c r="AA324" s="53" t="n">
        <f aca="false">IF(S324=1,IF(J324="Listed / Publicado",0,1),0)</f>
        <v>0</v>
      </c>
      <c r="AB324" s="53" t="n">
        <f aca="false">IF(T324=1,IF(ISNUMBER(L324),L324-G324,0),0)</f>
        <v>0</v>
      </c>
      <c r="AC324" s="53" t="n">
        <f aca="false">IF(S324=1,IF(ISNUMBER(I324),I324-G324,0),0)</f>
        <v>0</v>
      </c>
    </row>
    <row r="325" customFormat="false" ht="15" hidden="false" customHeight="false" outlineLevel="0" collapsed="false">
      <c r="B325" s="54"/>
      <c r="C325" s="55"/>
      <c r="D325" s="55"/>
      <c r="E325" s="55"/>
      <c r="F325" s="56"/>
      <c r="G325" s="57"/>
      <c r="H325" s="55"/>
      <c r="I325" s="57"/>
      <c r="J325" s="54"/>
      <c r="K325" s="56"/>
      <c r="L325" s="57"/>
      <c r="M325" s="54"/>
      <c r="N325" s="58" t="str">
        <f aca="false">IF(S325=1,IF(U325&lt;0,"",U325),IF(Y325=1,X325,""))</f>
        <v/>
      </c>
      <c r="O325" s="59" t="str">
        <f aca="false">IF(S325=1,IF(ISNUMBER(I325),I325-G325,""),"")</f>
        <v/>
      </c>
      <c r="P325" s="59" t="str">
        <f aca="false">IF(T325=1,IF(ISNUMBER(L325),L325-G325,""),"")</f>
        <v/>
      </c>
      <c r="Q325" s="60" t="str">
        <f aca="false">IF(C325="","",IF(T325=1,"✔ SOLD / VENDIDO",IF(S325=0,"— CLOSED / CERRADO",IF(U325&lt;0,"⚠ ADD DATE / AGREGA FECHA",IF(U325&gt;=Settings!$C$8,"⚠ STALE – REPRICE / ESTANCADO",IF(U325&gt;=Settings!$C$7,"● WATCH / VIGILAR","✔ FRESH / RECIENTE"))))))</f>
        <v/>
      </c>
      <c r="S325" s="53" t="n">
        <f aca="false">IF(C325="",0,IF(OR(J325="",J325="In Stock / En Inventario",J325="Listed / Publicado"),1,0))</f>
        <v>0</v>
      </c>
      <c r="T325" s="53" t="n">
        <f aca="false">IF(C325="",0,IF(J325="Sold / Vendido",1,0))</f>
        <v>0</v>
      </c>
      <c r="U325" s="53" t="n">
        <f aca="true">IF(S325=1,IF(ISNUMBER(F325),TODAY()-F325,-1),-1)</f>
        <v>-1</v>
      </c>
      <c r="V325" s="53" t="n">
        <f aca="false">IF(U325&lt;0,IF(S325=1,5,0),IF(U325&lt;=30,1,IF(U325&lt;=60,2,IF(U325&lt;=90,3,4))))</f>
        <v>0</v>
      </c>
      <c r="W325" s="53" t="n">
        <f aca="false">IF(U325&lt;0,-1000000000000000,U325+ROW()/1000000)</f>
        <v>-1000000000000000</v>
      </c>
      <c r="X325" s="53" t="n">
        <f aca="false">IF(T325=1,IF(AND(ISNUMBER(F325),ISNUMBER(K325)),K325-F325,0),0)</f>
        <v>0</v>
      </c>
      <c r="Y325" s="53" t="n">
        <f aca="false">IF(T325=1,IF(AND(ISNUMBER(F325),ISNUMBER(K325)),1,0),0)</f>
        <v>0</v>
      </c>
      <c r="Z325" s="53" t="n">
        <f aca="false">IF(U325&gt;=Settings!$C$8,1,0)</f>
        <v>0</v>
      </c>
      <c r="AA325" s="53" t="n">
        <f aca="false">IF(S325=1,IF(J325="Listed / Publicado",0,1),0)</f>
        <v>0</v>
      </c>
      <c r="AB325" s="53" t="n">
        <f aca="false">IF(T325=1,IF(ISNUMBER(L325),L325-G325,0),0)</f>
        <v>0</v>
      </c>
      <c r="AC325" s="53" t="n">
        <f aca="false">IF(S325=1,IF(ISNUMBER(I325),I325-G325,0),0)</f>
        <v>0</v>
      </c>
    </row>
    <row r="326" customFormat="false" ht="15" hidden="false" customHeight="false" outlineLevel="0" collapsed="false">
      <c r="B326" s="54"/>
      <c r="C326" s="55"/>
      <c r="D326" s="55"/>
      <c r="E326" s="55"/>
      <c r="F326" s="56"/>
      <c r="G326" s="57"/>
      <c r="H326" s="55"/>
      <c r="I326" s="57"/>
      <c r="J326" s="54"/>
      <c r="K326" s="56"/>
      <c r="L326" s="57"/>
      <c r="M326" s="54"/>
      <c r="N326" s="58" t="str">
        <f aca="false">IF(S326=1,IF(U326&lt;0,"",U326),IF(Y326=1,X326,""))</f>
        <v/>
      </c>
      <c r="O326" s="59" t="str">
        <f aca="false">IF(S326=1,IF(ISNUMBER(I326),I326-G326,""),"")</f>
        <v/>
      </c>
      <c r="P326" s="59" t="str">
        <f aca="false">IF(T326=1,IF(ISNUMBER(L326),L326-G326,""),"")</f>
        <v/>
      </c>
      <c r="Q326" s="60" t="str">
        <f aca="false">IF(C326="","",IF(T326=1,"✔ SOLD / VENDIDO",IF(S326=0,"— CLOSED / CERRADO",IF(U326&lt;0,"⚠ ADD DATE / AGREGA FECHA",IF(U326&gt;=Settings!$C$8,"⚠ STALE – REPRICE / ESTANCADO",IF(U326&gt;=Settings!$C$7,"● WATCH / VIGILAR","✔ FRESH / RECIENTE"))))))</f>
        <v/>
      </c>
      <c r="S326" s="53" t="n">
        <f aca="false">IF(C326="",0,IF(OR(J326="",J326="In Stock / En Inventario",J326="Listed / Publicado"),1,0))</f>
        <v>0</v>
      </c>
      <c r="T326" s="53" t="n">
        <f aca="false">IF(C326="",0,IF(J326="Sold / Vendido",1,0))</f>
        <v>0</v>
      </c>
      <c r="U326" s="53" t="n">
        <f aca="true">IF(S326=1,IF(ISNUMBER(F326),TODAY()-F326,-1),-1)</f>
        <v>-1</v>
      </c>
      <c r="V326" s="53" t="n">
        <f aca="false">IF(U326&lt;0,IF(S326=1,5,0),IF(U326&lt;=30,1,IF(U326&lt;=60,2,IF(U326&lt;=90,3,4))))</f>
        <v>0</v>
      </c>
      <c r="W326" s="53" t="n">
        <f aca="false">IF(U326&lt;0,-1000000000000000,U326+ROW()/1000000)</f>
        <v>-1000000000000000</v>
      </c>
      <c r="X326" s="53" t="n">
        <f aca="false">IF(T326=1,IF(AND(ISNUMBER(F326),ISNUMBER(K326)),K326-F326,0),0)</f>
        <v>0</v>
      </c>
      <c r="Y326" s="53" t="n">
        <f aca="false">IF(T326=1,IF(AND(ISNUMBER(F326),ISNUMBER(K326)),1,0),0)</f>
        <v>0</v>
      </c>
      <c r="Z326" s="53" t="n">
        <f aca="false">IF(U326&gt;=Settings!$C$8,1,0)</f>
        <v>0</v>
      </c>
      <c r="AA326" s="53" t="n">
        <f aca="false">IF(S326=1,IF(J326="Listed / Publicado",0,1),0)</f>
        <v>0</v>
      </c>
      <c r="AB326" s="53" t="n">
        <f aca="false">IF(T326=1,IF(ISNUMBER(L326),L326-G326,0),0)</f>
        <v>0</v>
      </c>
      <c r="AC326" s="53" t="n">
        <f aca="false">IF(S326=1,IF(ISNUMBER(I326),I326-G326,0),0)</f>
        <v>0</v>
      </c>
    </row>
    <row r="327" customFormat="false" ht="15" hidden="false" customHeight="false" outlineLevel="0" collapsed="false">
      <c r="B327" s="54"/>
      <c r="C327" s="55"/>
      <c r="D327" s="55"/>
      <c r="E327" s="55"/>
      <c r="F327" s="56"/>
      <c r="G327" s="57"/>
      <c r="H327" s="55"/>
      <c r="I327" s="57"/>
      <c r="J327" s="54"/>
      <c r="K327" s="56"/>
      <c r="L327" s="57"/>
      <c r="M327" s="54"/>
      <c r="N327" s="58" t="str">
        <f aca="false">IF(S327=1,IF(U327&lt;0,"",U327),IF(Y327=1,X327,""))</f>
        <v/>
      </c>
      <c r="O327" s="59" t="str">
        <f aca="false">IF(S327=1,IF(ISNUMBER(I327),I327-G327,""),"")</f>
        <v/>
      </c>
      <c r="P327" s="59" t="str">
        <f aca="false">IF(T327=1,IF(ISNUMBER(L327),L327-G327,""),"")</f>
        <v/>
      </c>
      <c r="Q327" s="60" t="str">
        <f aca="false">IF(C327="","",IF(T327=1,"✔ SOLD / VENDIDO",IF(S327=0,"— CLOSED / CERRADO",IF(U327&lt;0,"⚠ ADD DATE / AGREGA FECHA",IF(U327&gt;=Settings!$C$8,"⚠ STALE – REPRICE / ESTANCADO",IF(U327&gt;=Settings!$C$7,"● WATCH / VIGILAR","✔ FRESH / RECIENTE"))))))</f>
        <v/>
      </c>
      <c r="S327" s="53" t="n">
        <f aca="false">IF(C327="",0,IF(OR(J327="",J327="In Stock / En Inventario",J327="Listed / Publicado"),1,0))</f>
        <v>0</v>
      </c>
      <c r="T327" s="53" t="n">
        <f aca="false">IF(C327="",0,IF(J327="Sold / Vendido",1,0))</f>
        <v>0</v>
      </c>
      <c r="U327" s="53" t="n">
        <f aca="true">IF(S327=1,IF(ISNUMBER(F327),TODAY()-F327,-1),-1)</f>
        <v>-1</v>
      </c>
      <c r="V327" s="53" t="n">
        <f aca="false">IF(U327&lt;0,IF(S327=1,5,0),IF(U327&lt;=30,1,IF(U327&lt;=60,2,IF(U327&lt;=90,3,4))))</f>
        <v>0</v>
      </c>
      <c r="W327" s="53" t="n">
        <f aca="false">IF(U327&lt;0,-1000000000000000,U327+ROW()/1000000)</f>
        <v>-1000000000000000</v>
      </c>
      <c r="X327" s="53" t="n">
        <f aca="false">IF(T327=1,IF(AND(ISNUMBER(F327),ISNUMBER(K327)),K327-F327,0),0)</f>
        <v>0</v>
      </c>
      <c r="Y327" s="53" t="n">
        <f aca="false">IF(T327=1,IF(AND(ISNUMBER(F327),ISNUMBER(K327)),1,0),0)</f>
        <v>0</v>
      </c>
      <c r="Z327" s="53" t="n">
        <f aca="false">IF(U327&gt;=Settings!$C$8,1,0)</f>
        <v>0</v>
      </c>
      <c r="AA327" s="53" t="n">
        <f aca="false">IF(S327=1,IF(J327="Listed / Publicado",0,1),0)</f>
        <v>0</v>
      </c>
      <c r="AB327" s="53" t="n">
        <f aca="false">IF(T327=1,IF(ISNUMBER(L327),L327-G327,0),0)</f>
        <v>0</v>
      </c>
      <c r="AC327" s="53" t="n">
        <f aca="false">IF(S327=1,IF(ISNUMBER(I327),I327-G327,0),0)</f>
        <v>0</v>
      </c>
    </row>
    <row r="328" customFormat="false" ht="15" hidden="false" customHeight="false" outlineLevel="0" collapsed="false">
      <c r="B328" s="54"/>
      <c r="C328" s="55"/>
      <c r="D328" s="55"/>
      <c r="E328" s="55"/>
      <c r="F328" s="56"/>
      <c r="G328" s="57"/>
      <c r="H328" s="55"/>
      <c r="I328" s="57"/>
      <c r="J328" s="54"/>
      <c r="K328" s="56"/>
      <c r="L328" s="57"/>
      <c r="M328" s="54"/>
      <c r="N328" s="58" t="str">
        <f aca="false">IF(S328=1,IF(U328&lt;0,"",U328),IF(Y328=1,X328,""))</f>
        <v/>
      </c>
      <c r="O328" s="59" t="str">
        <f aca="false">IF(S328=1,IF(ISNUMBER(I328),I328-G328,""),"")</f>
        <v/>
      </c>
      <c r="P328" s="59" t="str">
        <f aca="false">IF(T328=1,IF(ISNUMBER(L328),L328-G328,""),"")</f>
        <v/>
      </c>
      <c r="Q328" s="60" t="str">
        <f aca="false">IF(C328="","",IF(T328=1,"✔ SOLD / VENDIDO",IF(S328=0,"— CLOSED / CERRADO",IF(U328&lt;0,"⚠ ADD DATE / AGREGA FECHA",IF(U328&gt;=Settings!$C$8,"⚠ STALE – REPRICE / ESTANCADO",IF(U328&gt;=Settings!$C$7,"● WATCH / VIGILAR","✔ FRESH / RECIENTE"))))))</f>
        <v/>
      </c>
      <c r="S328" s="53" t="n">
        <f aca="false">IF(C328="",0,IF(OR(J328="",J328="In Stock / En Inventario",J328="Listed / Publicado"),1,0))</f>
        <v>0</v>
      </c>
      <c r="T328" s="53" t="n">
        <f aca="false">IF(C328="",0,IF(J328="Sold / Vendido",1,0))</f>
        <v>0</v>
      </c>
      <c r="U328" s="53" t="n">
        <f aca="true">IF(S328=1,IF(ISNUMBER(F328),TODAY()-F328,-1),-1)</f>
        <v>-1</v>
      </c>
      <c r="V328" s="53" t="n">
        <f aca="false">IF(U328&lt;0,IF(S328=1,5,0),IF(U328&lt;=30,1,IF(U328&lt;=60,2,IF(U328&lt;=90,3,4))))</f>
        <v>0</v>
      </c>
      <c r="W328" s="53" t="n">
        <f aca="false">IF(U328&lt;0,-1000000000000000,U328+ROW()/1000000)</f>
        <v>-1000000000000000</v>
      </c>
      <c r="X328" s="53" t="n">
        <f aca="false">IF(T328=1,IF(AND(ISNUMBER(F328),ISNUMBER(K328)),K328-F328,0),0)</f>
        <v>0</v>
      </c>
      <c r="Y328" s="53" t="n">
        <f aca="false">IF(T328=1,IF(AND(ISNUMBER(F328),ISNUMBER(K328)),1,0),0)</f>
        <v>0</v>
      </c>
      <c r="Z328" s="53" t="n">
        <f aca="false">IF(U328&gt;=Settings!$C$8,1,0)</f>
        <v>0</v>
      </c>
      <c r="AA328" s="53" t="n">
        <f aca="false">IF(S328=1,IF(J328="Listed / Publicado",0,1),0)</f>
        <v>0</v>
      </c>
      <c r="AB328" s="53" t="n">
        <f aca="false">IF(T328=1,IF(ISNUMBER(L328),L328-G328,0),0)</f>
        <v>0</v>
      </c>
      <c r="AC328" s="53" t="n">
        <f aca="false">IF(S328=1,IF(ISNUMBER(I328),I328-G328,0),0)</f>
        <v>0</v>
      </c>
    </row>
    <row r="329" customFormat="false" ht="15" hidden="false" customHeight="false" outlineLevel="0" collapsed="false">
      <c r="B329" s="54"/>
      <c r="C329" s="55"/>
      <c r="D329" s="55"/>
      <c r="E329" s="55"/>
      <c r="F329" s="56"/>
      <c r="G329" s="57"/>
      <c r="H329" s="55"/>
      <c r="I329" s="57"/>
      <c r="J329" s="54"/>
      <c r="K329" s="56"/>
      <c r="L329" s="57"/>
      <c r="M329" s="54"/>
      <c r="N329" s="58" t="str">
        <f aca="false">IF(S329=1,IF(U329&lt;0,"",U329),IF(Y329=1,X329,""))</f>
        <v/>
      </c>
      <c r="O329" s="59" t="str">
        <f aca="false">IF(S329=1,IF(ISNUMBER(I329),I329-G329,""),"")</f>
        <v/>
      </c>
      <c r="P329" s="59" t="str">
        <f aca="false">IF(T329=1,IF(ISNUMBER(L329),L329-G329,""),"")</f>
        <v/>
      </c>
      <c r="Q329" s="60" t="str">
        <f aca="false">IF(C329="","",IF(T329=1,"✔ SOLD / VENDIDO",IF(S329=0,"— CLOSED / CERRADO",IF(U329&lt;0,"⚠ ADD DATE / AGREGA FECHA",IF(U329&gt;=Settings!$C$8,"⚠ STALE – REPRICE / ESTANCADO",IF(U329&gt;=Settings!$C$7,"● WATCH / VIGILAR","✔ FRESH / RECIENTE"))))))</f>
        <v/>
      </c>
      <c r="S329" s="53" t="n">
        <f aca="false">IF(C329="",0,IF(OR(J329="",J329="In Stock / En Inventario",J329="Listed / Publicado"),1,0))</f>
        <v>0</v>
      </c>
      <c r="T329" s="53" t="n">
        <f aca="false">IF(C329="",0,IF(J329="Sold / Vendido",1,0))</f>
        <v>0</v>
      </c>
      <c r="U329" s="53" t="n">
        <f aca="true">IF(S329=1,IF(ISNUMBER(F329),TODAY()-F329,-1),-1)</f>
        <v>-1</v>
      </c>
      <c r="V329" s="53" t="n">
        <f aca="false">IF(U329&lt;0,IF(S329=1,5,0),IF(U329&lt;=30,1,IF(U329&lt;=60,2,IF(U329&lt;=90,3,4))))</f>
        <v>0</v>
      </c>
      <c r="W329" s="53" t="n">
        <f aca="false">IF(U329&lt;0,-1000000000000000,U329+ROW()/1000000)</f>
        <v>-1000000000000000</v>
      </c>
      <c r="X329" s="53" t="n">
        <f aca="false">IF(T329=1,IF(AND(ISNUMBER(F329),ISNUMBER(K329)),K329-F329,0),0)</f>
        <v>0</v>
      </c>
      <c r="Y329" s="53" t="n">
        <f aca="false">IF(T329=1,IF(AND(ISNUMBER(F329),ISNUMBER(K329)),1,0),0)</f>
        <v>0</v>
      </c>
      <c r="Z329" s="53" t="n">
        <f aca="false">IF(U329&gt;=Settings!$C$8,1,0)</f>
        <v>0</v>
      </c>
      <c r="AA329" s="53" t="n">
        <f aca="false">IF(S329=1,IF(J329="Listed / Publicado",0,1),0)</f>
        <v>0</v>
      </c>
      <c r="AB329" s="53" t="n">
        <f aca="false">IF(T329=1,IF(ISNUMBER(L329),L329-G329,0),0)</f>
        <v>0</v>
      </c>
      <c r="AC329" s="53" t="n">
        <f aca="false">IF(S329=1,IF(ISNUMBER(I329),I329-G329,0),0)</f>
        <v>0</v>
      </c>
    </row>
    <row r="330" customFormat="false" ht="15" hidden="false" customHeight="false" outlineLevel="0" collapsed="false">
      <c r="B330" s="54"/>
      <c r="C330" s="55"/>
      <c r="D330" s="55"/>
      <c r="E330" s="55"/>
      <c r="F330" s="56"/>
      <c r="G330" s="57"/>
      <c r="H330" s="55"/>
      <c r="I330" s="57"/>
      <c r="J330" s="54"/>
      <c r="K330" s="56"/>
      <c r="L330" s="57"/>
      <c r="M330" s="54"/>
      <c r="N330" s="58" t="str">
        <f aca="false">IF(S330=1,IF(U330&lt;0,"",U330),IF(Y330=1,X330,""))</f>
        <v/>
      </c>
      <c r="O330" s="59" t="str">
        <f aca="false">IF(S330=1,IF(ISNUMBER(I330),I330-G330,""),"")</f>
        <v/>
      </c>
      <c r="P330" s="59" t="str">
        <f aca="false">IF(T330=1,IF(ISNUMBER(L330),L330-G330,""),"")</f>
        <v/>
      </c>
      <c r="Q330" s="60" t="str">
        <f aca="false">IF(C330="","",IF(T330=1,"✔ SOLD / VENDIDO",IF(S330=0,"— CLOSED / CERRADO",IF(U330&lt;0,"⚠ ADD DATE / AGREGA FECHA",IF(U330&gt;=Settings!$C$8,"⚠ STALE – REPRICE / ESTANCADO",IF(U330&gt;=Settings!$C$7,"● WATCH / VIGILAR","✔ FRESH / RECIENTE"))))))</f>
        <v/>
      </c>
      <c r="S330" s="53" t="n">
        <f aca="false">IF(C330="",0,IF(OR(J330="",J330="In Stock / En Inventario",J330="Listed / Publicado"),1,0))</f>
        <v>0</v>
      </c>
      <c r="T330" s="53" t="n">
        <f aca="false">IF(C330="",0,IF(J330="Sold / Vendido",1,0))</f>
        <v>0</v>
      </c>
      <c r="U330" s="53" t="n">
        <f aca="true">IF(S330=1,IF(ISNUMBER(F330),TODAY()-F330,-1),-1)</f>
        <v>-1</v>
      </c>
      <c r="V330" s="53" t="n">
        <f aca="false">IF(U330&lt;0,IF(S330=1,5,0),IF(U330&lt;=30,1,IF(U330&lt;=60,2,IF(U330&lt;=90,3,4))))</f>
        <v>0</v>
      </c>
      <c r="W330" s="53" t="n">
        <f aca="false">IF(U330&lt;0,-1000000000000000,U330+ROW()/1000000)</f>
        <v>-1000000000000000</v>
      </c>
      <c r="X330" s="53" t="n">
        <f aca="false">IF(T330=1,IF(AND(ISNUMBER(F330),ISNUMBER(K330)),K330-F330,0),0)</f>
        <v>0</v>
      </c>
      <c r="Y330" s="53" t="n">
        <f aca="false">IF(T330=1,IF(AND(ISNUMBER(F330),ISNUMBER(K330)),1,0),0)</f>
        <v>0</v>
      </c>
      <c r="Z330" s="53" t="n">
        <f aca="false">IF(U330&gt;=Settings!$C$8,1,0)</f>
        <v>0</v>
      </c>
      <c r="AA330" s="53" t="n">
        <f aca="false">IF(S330=1,IF(J330="Listed / Publicado",0,1),0)</f>
        <v>0</v>
      </c>
      <c r="AB330" s="53" t="n">
        <f aca="false">IF(T330=1,IF(ISNUMBER(L330),L330-G330,0),0)</f>
        <v>0</v>
      </c>
      <c r="AC330" s="53" t="n">
        <f aca="false">IF(S330=1,IF(ISNUMBER(I330),I330-G330,0),0)</f>
        <v>0</v>
      </c>
    </row>
    <row r="331" customFormat="false" ht="15" hidden="false" customHeight="false" outlineLevel="0" collapsed="false">
      <c r="B331" s="54"/>
      <c r="C331" s="55"/>
      <c r="D331" s="55"/>
      <c r="E331" s="55"/>
      <c r="F331" s="56"/>
      <c r="G331" s="57"/>
      <c r="H331" s="55"/>
      <c r="I331" s="57"/>
      <c r="J331" s="54"/>
      <c r="K331" s="56"/>
      <c r="L331" s="57"/>
      <c r="M331" s="54"/>
      <c r="N331" s="58" t="str">
        <f aca="false">IF(S331=1,IF(U331&lt;0,"",U331),IF(Y331=1,X331,""))</f>
        <v/>
      </c>
      <c r="O331" s="59" t="str">
        <f aca="false">IF(S331=1,IF(ISNUMBER(I331),I331-G331,""),"")</f>
        <v/>
      </c>
      <c r="P331" s="59" t="str">
        <f aca="false">IF(T331=1,IF(ISNUMBER(L331),L331-G331,""),"")</f>
        <v/>
      </c>
      <c r="Q331" s="60" t="str">
        <f aca="false">IF(C331="","",IF(T331=1,"✔ SOLD / VENDIDO",IF(S331=0,"— CLOSED / CERRADO",IF(U331&lt;0,"⚠ ADD DATE / AGREGA FECHA",IF(U331&gt;=Settings!$C$8,"⚠ STALE – REPRICE / ESTANCADO",IF(U331&gt;=Settings!$C$7,"● WATCH / VIGILAR","✔ FRESH / RECIENTE"))))))</f>
        <v/>
      </c>
      <c r="S331" s="53" t="n">
        <f aca="false">IF(C331="",0,IF(OR(J331="",J331="In Stock / En Inventario",J331="Listed / Publicado"),1,0))</f>
        <v>0</v>
      </c>
      <c r="T331" s="53" t="n">
        <f aca="false">IF(C331="",0,IF(J331="Sold / Vendido",1,0))</f>
        <v>0</v>
      </c>
      <c r="U331" s="53" t="n">
        <f aca="true">IF(S331=1,IF(ISNUMBER(F331),TODAY()-F331,-1),-1)</f>
        <v>-1</v>
      </c>
      <c r="V331" s="53" t="n">
        <f aca="false">IF(U331&lt;0,IF(S331=1,5,0),IF(U331&lt;=30,1,IF(U331&lt;=60,2,IF(U331&lt;=90,3,4))))</f>
        <v>0</v>
      </c>
      <c r="W331" s="53" t="n">
        <f aca="false">IF(U331&lt;0,-1000000000000000,U331+ROW()/1000000)</f>
        <v>-1000000000000000</v>
      </c>
      <c r="X331" s="53" t="n">
        <f aca="false">IF(T331=1,IF(AND(ISNUMBER(F331),ISNUMBER(K331)),K331-F331,0),0)</f>
        <v>0</v>
      </c>
      <c r="Y331" s="53" t="n">
        <f aca="false">IF(T331=1,IF(AND(ISNUMBER(F331),ISNUMBER(K331)),1,0),0)</f>
        <v>0</v>
      </c>
      <c r="Z331" s="53" t="n">
        <f aca="false">IF(U331&gt;=Settings!$C$8,1,0)</f>
        <v>0</v>
      </c>
      <c r="AA331" s="53" t="n">
        <f aca="false">IF(S331=1,IF(J331="Listed / Publicado",0,1),0)</f>
        <v>0</v>
      </c>
      <c r="AB331" s="53" t="n">
        <f aca="false">IF(T331=1,IF(ISNUMBER(L331),L331-G331,0),0)</f>
        <v>0</v>
      </c>
      <c r="AC331" s="53" t="n">
        <f aca="false">IF(S331=1,IF(ISNUMBER(I331),I331-G331,0),0)</f>
        <v>0</v>
      </c>
    </row>
    <row r="332" customFormat="false" ht="15" hidden="false" customHeight="false" outlineLevel="0" collapsed="false">
      <c r="B332" s="54"/>
      <c r="C332" s="55"/>
      <c r="D332" s="55"/>
      <c r="E332" s="55"/>
      <c r="F332" s="56"/>
      <c r="G332" s="57"/>
      <c r="H332" s="55"/>
      <c r="I332" s="57"/>
      <c r="J332" s="54"/>
      <c r="K332" s="56"/>
      <c r="L332" s="57"/>
      <c r="M332" s="54"/>
      <c r="N332" s="58" t="str">
        <f aca="false">IF(S332=1,IF(U332&lt;0,"",U332),IF(Y332=1,X332,""))</f>
        <v/>
      </c>
      <c r="O332" s="59" t="str">
        <f aca="false">IF(S332=1,IF(ISNUMBER(I332),I332-G332,""),"")</f>
        <v/>
      </c>
      <c r="P332" s="59" t="str">
        <f aca="false">IF(T332=1,IF(ISNUMBER(L332),L332-G332,""),"")</f>
        <v/>
      </c>
      <c r="Q332" s="60" t="str">
        <f aca="false">IF(C332="","",IF(T332=1,"✔ SOLD / VENDIDO",IF(S332=0,"— CLOSED / CERRADO",IF(U332&lt;0,"⚠ ADD DATE / AGREGA FECHA",IF(U332&gt;=Settings!$C$8,"⚠ STALE – REPRICE / ESTANCADO",IF(U332&gt;=Settings!$C$7,"● WATCH / VIGILAR","✔ FRESH / RECIENTE"))))))</f>
        <v/>
      </c>
      <c r="S332" s="53" t="n">
        <f aca="false">IF(C332="",0,IF(OR(J332="",J332="In Stock / En Inventario",J332="Listed / Publicado"),1,0))</f>
        <v>0</v>
      </c>
      <c r="T332" s="53" t="n">
        <f aca="false">IF(C332="",0,IF(J332="Sold / Vendido",1,0))</f>
        <v>0</v>
      </c>
      <c r="U332" s="53" t="n">
        <f aca="true">IF(S332=1,IF(ISNUMBER(F332),TODAY()-F332,-1),-1)</f>
        <v>-1</v>
      </c>
      <c r="V332" s="53" t="n">
        <f aca="false">IF(U332&lt;0,IF(S332=1,5,0),IF(U332&lt;=30,1,IF(U332&lt;=60,2,IF(U332&lt;=90,3,4))))</f>
        <v>0</v>
      </c>
      <c r="W332" s="53" t="n">
        <f aca="false">IF(U332&lt;0,-1000000000000000,U332+ROW()/1000000)</f>
        <v>-1000000000000000</v>
      </c>
      <c r="X332" s="53" t="n">
        <f aca="false">IF(T332=1,IF(AND(ISNUMBER(F332),ISNUMBER(K332)),K332-F332,0),0)</f>
        <v>0</v>
      </c>
      <c r="Y332" s="53" t="n">
        <f aca="false">IF(T332=1,IF(AND(ISNUMBER(F332),ISNUMBER(K332)),1,0),0)</f>
        <v>0</v>
      </c>
      <c r="Z332" s="53" t="n">
        <f aca="false">IF(U332&gt;=Settings!$C$8,1,0)</f>
        <v>0</v>
      </c>
      <c r="AA332" s="53" t="n">
        <f aca="false">IF(S332=1,IF(J332="Listed / Publicado",0,1),0)</f>
        <v>0</v>
      </c>
      <c r="AB332" s="53" t="n">
        <f aca="false">IF(T332=1,IF(ISNUMBER(L332),L332-G332,0),0)</f>
        <v>0</v>
      </c>
      <c r="AC332" s="53" t="n">
        <f aca="false">IF(S332=1,IF(ISNUMBER(I332),I332-G332,0),0)</f>
        <v>0</v>
      </c>
    </row>
    <row r="333" customFormat="false" ht="15" hidden="false" customHeight="false" outlineLevel="0" collapsed="false">
      <c r="B333" s="54"/>
      <c r="C333" s="55"/>
      <c r="D333" s="55"/>
      <c r="E333" s="55"/>
      <c r="F333" s="56"/>
      <c r="G333" s="57"/>
      <c r="H333" s="55"/>
      <c r="I333" s="57"/>
      <c r="J333" s="54"/>
      <c r="K333" s="56"/>
      <c r="L333" s="57"/>
      <c r="M333" s="54"/>
      <c r="N333" s="58" t="str">
        <f aca="false">IF(S333=1,IF(U333&lt;0,"",U333),IF(Y333=1,X333,""))</f>
        <v/>
      </c>
      <c r="O333" s="59" t="str">
        <f aca="false">IF(S333=1,IF(ISNUMBER(I333),I333-G333,""),"")</f>
        <v/>
      </c>
      <c r="P333" s="59" t="str">
        <f aca="false">IF(T333=1,IF(ISNUMBER(L333),L333-G333,""),"")</f>
        <v/>
      </c>
      <c r="Q333" s="60" t="str">
        <f aca="false">IF(C333="","",IF(T333=1,"✔ SOLD / VENDIDO",IF(S333=0,"— CLOSED / CERRADO",IF(U333&lt;0,"⚠ ADD DATE / AGREGA FECHA",IF(U333&gt;=Settings!$C$8,"⚠ STALE – REPRICE / ESTANCADO",IF(U333&gt;=Settings!$C$7,"● WATCH / VIGILAR","✔ FRESH / RECIENTE"))))))</f>
        <v/>
      </c>
      <c r="S333" s="53" t="n">
        <f aca="false">IF(C333="",0,IF(OR(J333="",J333="In Stock / En Inventario",J333="Listed / Publicado"),1,0))</f>
        <v>0</v>
      </c>
      <c r="T333" s="53" t="n">
        <f aca="false">IF(C333="",0,IF(J333="Sold / Vendido",1,0))</f>
        <v>0</v>
      </c>
      <c r="U333" s="53" t="n">
        <f aca="true">IF(S333=1,IF(ISNUMBER(F333),TODAY()-F333,-1),-1)</f>
        <v>-1</v>
      </c>
      <c r="V333" s="53" t="n">
        <f aca="false">IF(U333&lt;0,IF(S333=1,5,0),IF(U333&lt;=30,1,IF(U333&lt;=60,2,IF(U333&lt;=90,3,4))))</f>
        <v>0</v>
      </c>
      <c r="W333" s="53" t="n">
        <f aca="false">IF(U333&lt;0,-1000000000000000,U333+ROW()/1000000)</f>
        <v>-1000000000000000</v>
      </c>
      <c r="X333" s="53" t="n">
        <f aca="false">IF(T333=1,IF(AND(ISNUMBER(F333),ISNUMBER(K333)),K333-F333,0),0)</f>
        <v>0</v>
      </c>
      <c r="Y333" s="53" t="n">
        <f aca="false">IF(T333=1,IF(AND(ISNUMBER(F333),ISNUMBER(K333)),1,0),0)</f>
        <v>0</v>
      </c>
      <c r="Z333" s="53" t="n">
        <f aca="false">IF(U333&gt;=Settings!$C$8,1,0)</f>
        <v>0</v>
      </c>
      <c r="AA333" s="53" t="n">
        <f aca="false">IF(S333=1,IF(J333="Listed / Publicado",0,1),0)</f>
        <v>0</v>
      </c>
      <c r="AB333" s="53" t="n">
        <f aca="false">IF(T333=1,IF(ISNUMBER(L333),L333-G333,0),0)</f>
        <v>0</v>
      </c>
      <c r="AC333" s="53" t="n">
        <f aca="false">IF(S333=1,IF(ISNUMBER(I333),I333-G333,0),0)</f>
        <v>0</v>
      </c>
    </row>
    <row r="334" customFormat="false" ht="15" hidden="false" customHeight="false" outlineLevel="0" collapsed="false">
      <c r="B334" s="54"/>
      <c r="C334" s="55"/>
      <c r="D334" s="55"/>
      <c r="E334" s="55"/>
      <c r="F334" s="56"/>
      <c r="G334" s="57"/>
      <c r="H334" s="55"/>
      <c r="I334" s="57"/>
      <c r="J334" s="54"/>
      <c r="K334" s="56"/>
      <c r="L334" s="57"/>
      <c r="M334" s="54"/>
      <c r="N334" s="58" t="str">
        <f aca="false">IF(S334=1,IF(U334&lt;0,"",U334),IF(Y334=1,X334,""))</f>
        <v/>
      </c>
      <c r="O334" s="59" t="str">
        <f aca="false">IF(S334=1,IF(ISNUMBER(I334),I334-G334,""),"")</f>
        <v/>
      </c>
      <c r="P334" s="59" t="str">
        <f aca="false">IF(T334=1,IF(ISNUMBER(L334),L334-G334,""),"")</f>
        <v/>
      </c>
      <c r="Q334" s="60" t="str">
        <f aca="false">IF(C334="","",IF(T334=1,"✔ SOLD / VENDIDO",IF(S334=0,"— CLOSED / CERRADO",IF(U334&lt;0,"⚠ ADD DATE / AGREGA FECHA",IF(U334&gt;=Settings!$C$8,"⚠ STALE – REPRICE / ESTANCADO",IF(U334&gt;=Settings!$C$7,"● WATCH / VIGILAR","✔ FRESH / RECIENTE"))))))</f>
        <v/>
      </c>
      <c r="S334" s="53" t="n">
        <f aca="false">IF(C334="",0,IF(OR(J334="",J334="In Stock / En Inventario",J334="Listed / Publicado"),1,0))</f>
        <v>0</v>
      </c>
      <c r="T334" s="53" t="n">
        <f aca="false">IF(C334="",0,IF(J334="Sold / Vendido",1,0))</f>
        <v>0</v>
      </c>
      <c r="U334" s="53" t="n">
        <f aca="true">IF(S334=1,IF(ISNUMBER(F334),TODAY()-F334,-1),-1)</f>
        <v>-1</v>
      </c>
      <c r="V334" s="53" t="n">
        <f aca="false">IF(U334&lt;0,IF(S334=1,5,0),IF(U334&lt;=30,1,IF(U334&lt;=60,2,IF(U334&lt;=90,3,4))))</f>
        <v>0</v>
      </c>
      <c r="W334" s="53" t="n">
        <f aca="false">IF(U334&lt;0,-1000000000000000,U334+ROW()/1000000)</f>
        <v>-1000000000000000</v>
      </c>
      <c r="X334" s="53" t="n">
        <f aca="false">IF(T334=1,IF(AND(ISNUMBER(F334),ISNUMBER(K334)),K334-F334,0),0)</f>
        <v>0</v>
      </c>
      <c r="Y334" s="53" t="n">
        <f aca="false">IF(T334=1,IF(AND(ISNUMBER(F334),ISNUMBER(K334)),1,0),0)</f>
        <v>0</v>
      </c>
      <c r="Z334" s="53" t="n">
        <f aca="false">IF(U334&gt;=Settings!$C$8,1,0)</f>
        <v>0</v>
      </c>
      <c r="AA334" s="53" t="n">
        <f aca="false">IF(S334=1,IF(J334="Listed / Publicado",0,1),0)</f>
        <v>0</v>
      </c>
      <c r="AB334" s="53" t="n">
        <f aca="false">IF(T334=1,IF(ISNUMBER(L334),L334-G334,0),0)</f>
        <v>0</v>
      </c>
      <c r="AC334" s="53" t="n">
        <f aca="false">IF(S334=1,IF(ISNUMBER(I334),I334-G334,0),0)</f>
        <v>0</v>
      </c>
    </row>
    <row r="335" customFormat="false" ht="15" hidden="false" customHeight="false" outlineLevel="0" collapsed="false">
      <c r="B335" s="54"/>
      <c r="C335" s="55"/>
      <c r="D335" s="55"/>
      <c r="E335" s="55"/>
      <c r="F335" s="56"/>
      <c r="G335" s="57"/>
      <c r="H335" s="55"/>
      <c r="I335" s="57"/>
      <c r="J335" s="54"/>
      <c r="K335" s="56"/>
      <c r="L335" s="57"/>
      <c r="M335" s="54"/>
      <c r="N335" s="58" t="str">
        <f aca="false">IF(S335=1,IF(U335&lt;0,"",U335),IF(Y335=1,X335,""))</f>
        <v/>
      </c>
      <c r="O335" s="59" t="str">
        <f aca="false">IF(S335=1,IF(ISNUMBER(I335),I335-G335,""),"")</f>
        <v/>
      </c>
      <c r="P335" s="59" t="str">
        <f aca="false">IF(T335=1,IF(ISNUMBER(L335),L335-G335,""),"")</f>
        <v/>
      </c>
      <c r="Q335" s="60" t="str">
        <f aca="false">IF(C335="","",IF(T335=1,"✔ SOLD / VENDIDO",IF(S335=0,"— CLOSED / CERRADO",IF(U335&lt;0,"⚠ ADD DATE / AGREGA FECHA",IF(U335&gt;=Settings!$C$8,"⚠ STALE – REPRICE / ESTANCADO",IF(U335&gt;=Settings!$C$7,"● WATCH / VIGILAR","✔ FRESH / RECIENTE"))))))</f>
        <v/>
      </c>
      <c r="S335" s="53" t="n">
        <f aca="false">IF(C335="",0,IF(OR(J335="",J335="In Stock / En Inventario",J335="Listed / Publicado"),1,0))</f>
        <v>0</v>
      </c>
      <c r="T335" s="53" t="n">
        <f aca="false">IF(C335="",0,IF(J335="Sold / Vendido",1,0))</f>
        <v>0</v>
      </c>
      <c r="U335" s="53" t="n">
        <f aca="true">IF(S335=1,IF(ISNUMBER(F335),TODAY()-F335,-1),-1)</f>
        <v>-1</v>
      </c>
      <c r="V335" s="53" t="n">
        <f aca="false">IF(U335&lt;0,IF(S335=1,5,0),IF(U335&lt;=30,1,IF(U335&lt;=60,2,IF(U335&lt;=90,3,4))))</f>
        <v>0</v>
      </c>
      <c r="W335" s="53" t="n">
        <f aca="false">IF(U335&lt;0,-1000000000000000,U335+ROW()/1000000)</f>
        <v>-1000000000000000</v>
      </c>
      <c r="X335" s="53" t="n">
        <f aca="false">IF(T335=1,IF(AND(ISNUMBER(F335),ISNUMBER(K335)),K335-F335,0),0)</f>
        <v>0</v>
      </c>
      <c r="Y335" s="53" t="n">
        <f aca="false">IF(T335=1,IF(AND(ISNUMBER(F335),ISNUMBER(K335)),1,0),0)</f>
        <v>0</v>
      </c>
      <c r="Z335" s="53" t="n">
        <f aca="false">IF(U335&gt;=Settings!$C$8,1,0)</f>
        <v>0</v>
      </c>
      <c r="AA335" s="53" t="n">
        <f aca="false">IF(S335=1,IF(J335="Listed / Publicado",0,1),0)</f>
        <v>0</v>
      </c>
      <c r="AB335" s="53" t="n">
        <f aca="false">IF(T335=1,IF(ISNUMBER(L335),L335-G335,0),0)</f>
        <v>0</v>
      </c>
      <c r="AC335" s="53" t="n">
        <f aca="false">IF(S335=1,IF(ISNUMBER(I335),I335-G335,0),0)</f>
        <v>0</v>
      </c>
    </row>
    <row r="336" customFormat="false" ht="15" hidden="false" customHeight="false" outlineLevel="0" collapsed="false">
      <c r="B336" s="54"/>
      <c r="C336" s="55"/>
      <c r="D336" s="55"/>
      <c r="E336" s="55"/>
      <c r="F336" s="56"/>
      <c r="G336" s="57"/>
      <c r="H336" s="55"/>
      <c r="I336" s="57"/>
      <c r="J336" s="54"/>
      <c r="K336" s="56"/>
      <c r="L336" s="57"/>
      <c r="M336" s="54"/>
      <c r="N336" s="58" t="str">
        <f aca="false">IF(S336=1,IF(U336&lt;0,"",U336),IF(Y336=1,X336,""))</f>
        <v/>
      </c>
      <c r="O336" s="59" t="str">
        <f aca="false">IF(S336=1,IF(ISNUMBER(I336),I336-G336,""),"")</f>
        <v/>
      </c>
      <c r="P336" s="59" t="str">
        <f aca="false">IF(T336=1,IF(ISNUMBER(L336),L336-G336,""),"")</f>
        <v/>
      </c>
      <c r="Q336" s="60" t="str">
        <f aca="false">IF(C336="","",IF(T336=1,"✔ SOLD / VENDIDO",IF(S336=0,"— CLOSED / CERRADO",IF(U336&lt;0,"⚠ ADD DATE / AGREGA FECHA",IF(U336&gt;=Settings!$C$8,"⚠ STALE – REPRICE / ESTANCADO",IF(U336&gt;=Settings!$C$7,"● WATCH / VIGILAR","✔ FRESH / RECIENTE"))))))</f>
        <v/>
      </c>
      <c r="S336" s="53" t="n">
        <f aca="false">IF(C336="",0,IF(OR(J336="",J336="In Stock / En Inventario",J336="Listed / Publicado"),1,0))</f>
        <v>0</v>
      </c>
      <c r="T336" s="53" t="n">
        <f aca="false">IF(C336="",0,IF(J336="Sold / Vendido",1,0))</f>
        <v>0</v>
      </c>
      <c r="U336" s="53" t="n">
        <f aca="true">IF(S336=1,IF(ISNUMBER(F336),TODAY()-F336,-1),-1)</f>
        <v>-1</v>
      </c>
      <c r="V336" s="53" t="n">
        <f aca="false">IF(U336&lt;0,IF(S336=1,5,0),IF(U336&lt;=30,1,IF(U336&lt;=60,2,IF(U336&lt;=90,3,4))))</f>
        <v>0</v>
      </c>
      <c r="W336" s="53" t="n">
        <f aca="false">IF(U336&lt;0,-1000000000000000,U336+ROW()/1000000)</f>
        <v>-1000000000000000</v>
      </c>
      <c r="X336" s="53" t="n">
        <f aca="false">IF(T336=1,IF(AND(ISNUMBER(F336),ISNUMBER(K336)),K336-F336,0),0)</f>
        <v>0</v>
      </c>
      <c r="Y336" s="53" t="n">
        <f aca="false">IF(T336=1,IF(AND(ISNUMBER(F336),ISNUMBER(K336)),1,0),0)</f>
        <v>0</v>
      </c>
      <c r="Z336" s="53" t="n">
        <f aca="false">IF(U336&gt;=Settings!$C$8,1,0)</f>
        <v>0</v>
      </c>
      <c r="AA336" s="53" t="n">
        <f aca="false">IF(S336=1,IF(J336="Listed / Publicado",0,1),0)</f>
        <v>0</v>
      </c>
      <c r="AB336" s="53" t="n">
        <f aca="false">IF(T336=1,IF(ISNUMBER(L336),L336-G336,0),0)</f>
        <v>0</v>
      </c>
      <c r="AC336" s="53" t="n">
        <f aca="false">IF(S336=1,IF(ISNUMBER(I336),I336-G336,0),0)</f>
        <v>0</v>
      </c>
    </row>
    <row r="337" customFormat="false" ht="15" hidden="false" customHeight="false" outlineLevel="0" collapsed="false">
      <c r="B337" s="54"/>
      <c r="C337" s="55"/>
      <c r="D337" s="55"/>
      <c r="E337" s="55"/>
      <c r="F337" s="56"/>
      <c r="G337" s="57"/>
      <c r="H337" s="55"/>
      <c r="I337" s="57"/>
      <c r="J337" s="54"/>
      <c r="K337" s="56"/>
      <c r="L337" s="57"/>
      <c r="M337" s="54"/>
      <c r="N337" s="58" t="str">
        <f aca="false">IF(S337=1,IF(U337&lt;0,"",U337),IF(Y337=1,X337,""))</f>
        <v/>
      </c>
      <c r="O337" s="59" t="str">
        <f aca="false">IF(S337=1,IF(ISNUMBER(I337),I337-G337,""),"")</f>
        <v/>
      </c>
      <c r="P337" s="59" t="str">
        <f aca="false">IF(T337=1,IF(ISNUMBER(L337),L337-G337,""),"")</f>
        <v/>
      </c>
      <c r="Q337" s="60" t="str">
        <f aca="false">IF(C337="","",IF(T337=1,"✔ SOLD / VENDIDO",IF(S337=0,"— CLOSED / CERRADO",IF(U337&lt;0,"⚠ ADD DATE / AGREGA FECHA",IF(U337&gt;=Settings!$C$8,"⚠ STALE – REPRICE / ESTANCADO",IF(U337&gt;=Settings!$C$7,"● WATCH / VIGILAR","✔ FRESH / RECIENTE"))))))</f>
        <v/>
      </c>
      <c r="S337" s="53" t="n">
        <f aca="false">IF(C337="",0,IF(OR(J337="",J337="In Stock / En Inventario",J337="Listed / Publicado"),1,0))</f>
        <v>0</v>
      </c>
      <c r="T337" s="53" t="n">
        <f aca="false">IF(C337="",0,IF(J337="Sold / Vendido",1,0))</f>
        <v>0</v>
      </c>
      <c r="U337" s="53" t="n">
        <f aca="true">IF(S337=1,IF(ISNUMBER(F337),TODAY()-F337,-1),-1)</f>
        <v>-1</v>
      </c>
      <c r="V337" s="53" t="n">
        <f aca="false">IF(U337&lt;0,IF(S337=1,5,0),IF(U337&lt;=30,1,IF(U337&lt;=60,2,IF(U337&lt;=90,3,4))))</f>
        <v>0</v>
      </c>
      <c r="W337" s="53" t="n">
        <f aca="false">IF(U337&lt;0,-1000000000000000,U337+ROW()/1000000)</f>
        <v>-1000000000000000</v>
      </c>
      <c r="X337" s="53" t="n">
        <f aca="false">IF(T337=1,IF(AND(ISNUMBER(F337),ISNUMBER(K337)),K337-F337,0),0)</f>
        <v>0</v>
      </c>
      <c r="Y337" s="53" t="n">
        <f aca="false">IF(T337=1,IF(AND(ISNUMBER(F337),ISNUMBER(K337)),1,0),0)</f>
        <v>0</v>
      </c>
      <c r="Z337" s="53" t="n">
        <f aca="false">IF(U337&gt;=Settings!$C$8,1,0)</f>
        <v>0</v>
      </c>
      <c r="AA337" s="53" t="n">
        <f aca="false">IF(S337=1,IF(J337="Listed / Publicado",0,1),0)</f>
        <v>0</v>
      </c>
      <c r="AB337" s="53" t="n">
        <f aca="false">IF(T337=1,IF(ISNUMBER(L337),L337-G337,0),0)</f>
        <v>0</v>
      </c>
      <c r="AC337" s="53" t="n">
        <f aca="false">IF(S337=1,IF(ISNUMBER(I337),I337-G337,0),0)</f>
        <v>0</v>
      </c>
    </row>
    <row r="338" customFormat="false" ht="15" hidden="false" customHeight="false" outlineLevel="0" collapsed="false">
      <c r="B338" s="54"/>
      <c r="C338" s="55"/>
      <c r="D338" s="55"/>
      <c r="E338" s="55"/>
      <c r="F338" s="56"/>
      <c r="G338" s="57"/>
      <c r="H338" s="55"/>
      <c r="I338" s="57"/>
      <c r="J338" s="54"/>
      <c r="K338" s="56"/>
      <c r="L338" s="57"/>
      <c r="M338" s="54"/>
      <c r="N338" s="58" t="str">
        <f aca="false">IF(S338=1,IF(U338&lt;0,"",U338),IF(Y338=1,X338,""))</f>
        <v/>
      </c>
      <c r="O338" s="59" t="str">
        <f aca="false">IF(S338=1,IF(ISNUMBER(I338),I338-G338,""),"")</f>
        <v/>
      </c>
      <c r="P338" s="59" t="str">
        <f aca="false">IF(T338=1,IF(ISNUMBER(L338),L338-G338,""),"")</f>
        <v/>
      </c>
      <c r="Q338" s="60" t="str">
        <f aca="false">IF(C338="","",IF(T338=1,"✔ SOLD / VENDIDO",IF(S338=0,"— CLOSED / CERRADO",IF(U338&lt;0,"⚠ ADD DATE / AGREGA FECHA",IF(U338&gt;=Settings!$C$8,"⚠ STALE – REPRICE / ESTANCADO",IF(U338&gt;=Settings!$C$7,"● WATCH / VIGILAR","✔ FRESH / RECIENTE"))))))</f>
        <v/>
      </c>
      <c r="S338" s="53" t="n">
        <f aca="false">IF(C338="",0,IF(OR(J338="",J338="In Stock / En Inventario",J338="Listed / Publicado"),1,0))</f>
        <v>0</v>
      </c>
      <c r="T338" s="53" t="n">
        <f aca="false">IF(C338="",0,IF(J338="Sold / Vendido",1,0))</f>
        <v>0</v>
      </c>
      <c r="U338" s="53" t="n">
        <f aca="true">IF(S338=1,IF(ISNUMBER(F338),TODAY()-F338,-1),-1)</f>
        <v>-1</v>
      </c>
      <c r="V338" s="53" t="n">
        <f aca="false">IF(U338&lt;0,IF(S338=1,5,0),IF(U338&lt;=30,1,IF(U338&lt;=60,2,IF(U338&lt;=90,3,4))))</f>
        <v>0</v>
      </c>
      <c r="W338" s="53" t="n">
        <f aca="false">IF(U338&lt;0,-1000000000000000,U338+ROW()/1000000)</f>
        <v>-1000000000000000</v>
      </c>
      <c r="X338" s="53" t="n">
        <f aca="false">IF(T338=1,IF(AND(ISNUMBER(F338),ISNUMBER(K338)),K338-F338,0),0)</f>
        <v>0</v>
      </c>
      <c r="Y338" s="53" t="n">
        <f aca="false">IF(T338=1,IF(AND(ISNUMBER(F338),ISNUMBER(K338)),1,0),0)</f>
        <v>0</v>
      </c>
      <c r="Z338" s="53" t="n">
        <f aca="false">IF(U338&gt;=Settings!$C$8,1,0)</f>
        <v>0</v>
      </c>
      <c r="AA338" s="53" t="n">
        <f aca="false">IF(S338=1,IF(J338="Listed / Publicado",0,1),0)</f>
        <v>0</v>
      </c>
      <c r="AB338" s="53" t="n">
        <f aca="false">IF(T338=1,IF(ISNUMBER(L338),L338-G338,0),0)</f>
        <v>0</v>
      </c>
      <c r="AC338" s="53" t="n">
        <f aca="false">IF(S338=1,IF(ISNUMBER(I338),I338-G338,0),0)</f>
        <v>0</v>
      </c>
    </row>
    <row r="339" customFormat="false" ht="15" hidden="false" customHeight="false" outlineLevel="0" collapsed="false">
      <c r="B339" s="54"/>
      <c r="C339" s="55"/>
      <c r="D339" s="55"/>
      <c r="E339" s="55"/>
      <c r="F339" s="56"/>
      <c r="G339" s="57"/>
      <c r="H339" s="55"/>
      <c r="I339" s="57"/>
      <c r="J339" s="54"/>
      <c r="K339" s="56"/>
      <c r="L339" s="57"/>
      <c r="M339" s="54"/>
      <c r="N339" s="58" t="str">
        <f aca="false">IF(S339=1,IF(U339&lt;0,"",U339),IF(Y339=1,X339,""))</f>
        <v/>
      </c>
      <c r="O339" s="59" t="str">
        <f aca="false">IF(S339=1,IF(ISNUMBER(I339),I339-G339,""),"")</f>
        <v/>
      </c>
      <c r="P339" s="59" t="str">
        <f aca="false">IF(T339=1,IF(ISNUMBER(L339),L339-G339,""),"")</f>
        <v/>
      </c>
      <c r="Q339" s="60" t="str">
        <f aca="false">IF(C339="","",IF(T339=1,"✔ SOLD / VENDIDO",IF(S339=0,"— CLOSED / CERRADO",IF(U339&lt;0,"⚠ ADD DATE / AGREGA FECHA",IF(U339&gt;=Settings!$C$8,"⚠ STALE – REPRICE / ESTANCADO",IF(U339&gt;=Settings!$C$7,"● WATCH / VIGILAR","✔ FRESH / RECIENTE"))))))</f>
        <v/>
      </c>
      <c r="S339" s="53" t="n">
        <f aca="false">IF(C339="",0,IF(OR(J339="",J339="In Stock / En Inventario",J339="Listed / Publicado"),1,0))</f>
        <v>0</v>
      </c>
      <c r="T339" s="53" t="n">
        <f aca="false">IF(C339="",0,IF(J339="Sold / Vendido",1,0))</f>
        <v>0</v>
      </c>
      <c r="U339" s="53" t="n">
        <f aca="true">IF(S339=1,IF(ISNUMBER(F339),TODAY()-F339,-1),-1)</f>
        <v>-1</v>
      </c>
      <c r="V339" s="53" t="n">
        <f aca="false">IF(U339&lt;0,IF(S339=1,5,0),IF(U339&lt;=30,1,IF(U339&lt;=60,2,IF(U339&lt;=90,3,4))))</f>
        <v>0</v>
      </c>
      <c r="W339" s="53" t="n">
        <f aca="false">IF(U339&lt;0,-1000000000000000,U339+ROW()/1000000)</f>
        <v>-1000000000000000</v>
      </c>
      <c r="X339" s="53" t="n">
        <f aca="false">IF(T339=1,IF(AND(ISNUMBER(F339),ISNUMBER(K339)),K339-F339,0),0)</f>
        <v>0</v>
      </c>
      <c r="Y339" s="53" t="n">
        <f aca="false">IF(T339=1,IF(AND(ISNUMBER(F339),ISNUMBER(K339)),1,0),0)</f>
        <v>0</v>
      </c>
      <c r="Z339" s="53" t="n">
        <f aca="false">IF(U339&gt;=Settings!$C$8,1,0)</f>
        <v>0</v>
      </c>
      <c r="AA339" s="53" t="n">
        <f aca="false">IF(S339=1,IF(J339="Listed / Publicado",0,1),0)</f>
        <v>0</v>
      </c>
      <c r="AB339" s="53" t="n">
        <f aca="false">IF(T339=1,IF(ISNUMBER(L339),L339-G339,0),0)</f>
        <v>0</v>
      </c>
      <c r="AC339" s="53" t="n">
        <f aca="false">IF(S339=1,IF(ISNUMBER(I339),I339-G339,0),0)</f>
        <v>0</v>
      </c>
    </row>
    <row r="340" customFormat="false" ht="15" hidden="false" customHeight="false" outlineLevel="0" collapsed="false">
      <c r="B340" s="54"/>
      <c r="C340" s="55"/>
      <c r="D340" s="55"/>
      <c r="E340" s="55"/>
      <c r="F340" s="56"/>
      <c r="G340" s="57"/>
      <c r="H340" s="55"/>
      <c r="I340" s="57"/>
      <c r="J340" s="54"/>
      <c r="K340" s="56"/>
      <c r="L340" s="57"/>
      <c r="M340" s="54"/>
      <c r="N340" s="58" t="str">
        <f aca="false">IF(S340=1,IF(U340&lt;0,"",U340),IF(Y340=1,X340,""))</f>
        <v/>
      </c>
      <c r="O340" s="59" t="str">
        <f aca="false">IF(S340=1,IF(ISNUMBER(I340),I340-G340,""),"")</f>
        <v/>
      </c>
      <c r="P340" s="59" t="str">
        <f aca="false">IF(T340=1,IF(ISNUMBER(L340),L340-G340,""),"")</f>
        <v/>
      </c>
      <c r="Q340" s="60" t="str">
        <f aca="false">IF(C340="","",IF(T340=1,"✔ SOLD / VENDIDO",IF(S340=0,"— CLOSED / CERRADO",IF(U340&lt;0,"⚠ ADD DATE / AGREGA FECHA",IF(U340&gt;=Settings!$C$8,"⚠ STALE – REPRICE / ESTANCADO",IF(U340&gt;=Settings!$C$7,"● WATCH / VIGILAR","✔ FRESH / RECIENTE"))))))</f>
        <v/>
      </c>
      <c r="S340" s="53" t="n">
        <f aca="false">IF(C340="",0,IF(OR(J340="",J340="In Stock / En Inventario",J340="Listed / Publicado"),1,0))</f>
        <v>0</v>
      </c>
      <c r="T340" s="53" t="n">
        <f aca="false">IF(C340="",0,IF(J340="Sold / Vendido",1,0))</f>
        <v>0</v>
      </c>
      <c r="U340" s="53" t="n">
        <f aca="true">IF(S340=1,IF(ISNUMBER(F340),TODAY()-F340,-1),-1)</f>
        <v>-1</v>
      </c>
      <c r="V340" s="53" t="n">
        <f aca="false">IF(U340&lt;0,IF(S340=1,5,0),IF(U340&lt;=30,1,IF(U340&lt;=60,2,IF(U340&lt;=90,3,4))))</f>
        <v>0</v>
      </c>
      <c r="W340" s="53" t="n">
        <f aca="false">IF(U340&lt;0,-1000000000000000,U340+ROW()/1000000)</f>
        <v>-1000000000000000</v>
      </c>
      <c r="X340" s="53" t="n">
        <f aca="false">IF(T340=1,IF(AND(ISNUMBER(F340),ISNUMBER(K340)),K340-F340,0),0)</f>
        <v>0</v>
      </c>
      <c r="Y340" s="53" t="n">
        <f aca="false">IF(T340=1,IF(AND(ISNUMBER(F340),ISNUMBER(K340)),1,0),0)</f>
        <v>0</v>
      </c>
      <c r="Z340" s="53" t="n">
        <f aca="false">IF(U340&gt;=Settings!$C$8,1,0)</f>
        <v>0</v>
      </c>
      <c r="AA340" s="53" t="n">
        <f aca="false">IF(S340=1,IF(J340="Listed / Publicado",0,1),0)</f>
        <v>0</v>
      </c>
      <c r="AB340" s="53" t="n">
        <f aca="false">IF(T340=1,IF(ISNUMBER(L340),L340-G340,0),0)</f>
        <v>0</v>
      </c>
      <c r="AC340" s="53" t="n">
        <f aca="false">IF(S340=1,IF(ISNUMBER(I340),I340-G340,0),0)</f>
        <v>0</v>
      </c>
    </row>
    <row r="341" customFormat="false" ht="15" hidden="false" customHeight="false" outlineLevel="0" collapsed="false">
      <c r="B341" s="54"/>
      <c r="C341" s="55"/>
      <c r="D341" s="55"/>
      <c r="E341" s="55"/>
      <c r="F341" s="56"/>
      <c r="G341" s="57"/>
      <c r="H341" s="55"/>
      <c r="I341" s="57"/>
      <c r="J341" s="54"/>
      <c r="K341" s="56"/>
      <c r="L341" s="57"/>
      <c r="M341" s="54"/>
      <c r="N341" s="58" t="str">
        <f aca="false">IF(S341=1,IF(U341&lt;0,"",U341),IF(Y341=1,X341,""))</f>
        <v/>
      </c>
      <c r="O341" s="59" t="str">
        <f aca="false">IF(S341=1,IF(ISNUMBER(I341),I341-G341,""),"")</f>
        <v/>
      </c>
      <c r="P341" s="59" t="str">
        <f aca="false">IF(T341=1,IF(ISNUMBER(L341),L341-G341,""),"")</f>
        <v/>
      </c>
      <c r="Q341" s="60" t="str">
        <f aca="false">IF(C341="","",IF(T341=1,"✔ SOLD / VENDIDO",IF(S341=0,"— CLOSED / CERRADO",IF(U341&lt;0,"⚠ ADD DATE / AGREGA FECHA",IF(U341&gt;=Settings!$C$8,"⚠ STALE – REPRICE / ESTANCADO",IF(U341&gt;=Settings!$C$7,"● WATCH / VIGILAR","✔ FRESH / RECIENTE"))))))</f>
        <v/>
      </c>
      <c r="S341" s="53" t="n">
        <f aca="false">IF(C341="",0,IF(OR(J341="",J341="In Stock / En Inventario",J341="Listed / Publicado"),1,0))</f>
        <v>0</v>
      </c>
      <c r="T341" s="53" t="n">
        <f aca="false">IF(C341="",0,IF(J341="Sold / Vendido",1,0))</f>
        <v>0</v>
      </c>
      <c r="U341" s="53" t="n">
        <f aca="true">IF(S341=1,IF(ISNUMBER(F341),TODAY()-F341,-1),-1)</f>
        <v>-1</v>
      </c>
      <c r="V341" s="53" t="n">
        <f aca="false">IF(U341&lt;0,IF(S341=1,5,0),IF(U341&lt;=30,1,IF(U341&lt;=60,2,IF(U341&lt;=90,3,4))))</f>
        <v>0</v>
      </c>
      <c r="W341" s="53" t="n">
        <f aca="false">IF(U341&lt;0,-1000000000000000,U341+ROW()/1000000)</f>
        <v>-1000000000000000</v>
      </c>
      <c r="X341" s="53" t="n">
        <f aca="false">IF(T341=1,IF(AND(ISNUMBER(F341),ISNUMBER(K341)),K341-F341,0),0)</f>
        <v>0</v>
      </c>
      <c r="Y341" s="53" t="n">
        <f aca="false">IF(T341=1,IF(AND(ISNUMBER(F341),ISNUMBER(K341)),1,0),0)</f>
        <v>0</v>
      </c>
      <c r="Z341" s="53" t="n">
        <f aca="false">IF(U341&gt;=Settings!$C$8,1,0)</f>
        <v>0</v>
      </c>
      <c r="AA341" s="53" t="n">
        <f aca="false">IF(S341=1,IF(J341="Listed / Publicado",0,1),0)</f>
        <v>0</v>
      </c>
      <c r="AB341" s="53" t="n">
        <f aca="false">IF(T341=1,IF(ISNUMBER(L341),L341-G341,0),0)</f>
        <v>0</v>
      </c>
      <c r="AC341" s="53" t="n">
        <f aca="false">IF(S341=1,IF(ISNUMBER(I341),I341-G341,0),0)</f>
        <v>0</v>
      </c>
    </row>
    <row r="342" customFormat="false" ht="15" hidden="false" customHeight="false" outlineLevel="0" collapsed="false">
      <c r="B342" s="54"/>
      <c r="C342" s="55"/>
      <c r="D342" s="55"/>
      <c r="E342" s="55"/>
      <c r="F342" s="56"/>
      <c r="G342" s="57"/>
      <c r="H342" s="55"/>
      <c r="I342" s="57"/>
      <c r="J342" s="54"/>
      <c r="K342" s="56"/>
      <c r="L342" s="57"/>
      <c r="M342" s="54"/>
      <c r="N342" s="58" t="str">
        <f aca="false">IF(S342=1,IF(U342&lt;0,"",U342),IF(Y342=1,X342,""))</f>
        <v/>
      </c>
      <c r="O342" s="59" t="str">
        <f aca="false">IF(S342=1,IF(ISNUMBER(I342),I342-G342,""),"")</f>
        <v/>
      </c>
      <c r="P342" s="59" t="str">
        <f aca="false">IF(T342=1,IF(ISNUMBER(L342),L342-G342,""),"")</f>
        <v/>
      </c>
      <c r="Q342" s="60" t="str">
        <f aca="false">IF(C342="","",IF(T342=1,"✔ SOLD / VENDIDO",IF(S342=0,"— CLOSED / CERRADO",IF(U342&lt;0,"⚠ ADD DATE / AGREGA FECHA",IF(U342&gt;=Settings!$C$8,"⚠ STALE – REPRICE / ESTANCADO",IF(U342&gt;=Settings!$C$7,"● WATCH / VIGILAR","✔ FRESH / RECIENTE"))))))</f>
        <v/>
      </c>
      <c r="S342" s="53" t="n">
        <f aca="false">IF(C342="",0,IF(OR(J342="",J342="In Stock / En Inventario",J342="Listed / Publicado"),1,0))</f>
        <v>0</v>
      </c>
      <c r="T342" s="53" t="n">
        <f aca="false">IF(C342="",0,IF(J342="Sold / Vendido",1,0))</f>
        <v>0</v>
      </c>
      <c r="U342" s="53" t="n">
        <f aca="true">IF(S342=1,IF(ISNUMBER(F342),TODAY()-F342,-1),-1)</f>
        <v>-1</v>
      </c>
      <c r="V342" s="53" t="n">
        <f aca="false">IF(U342&lt;0,IF(S342=1,5,0),IF(U342&lt;=30,1,IF(U342&lt;=60,2,IF(U342&lt;=90,3,4))))</f>
        <v>0</v>
      </c>
      <c r="W342" s="53" t="n">
        <f aca="false">IF(U342&lt;0,-1000000000000000,U342+ROW()/1000000)</f>
        <v>-1000000000000000</v>
      </c>
      <c r="X342" s="53" t="n">
        <f aca="false">IF(T342=1,IF(AND(ISNUMBER(F342),ISNUMBER(K342)),K342-F342,0),0)</f>
        <v>0</v>
      </c>
      <c r="Y342" s="53" t="n">
        <f aca="false">IF(T342=1,IF(AND(ISNUMBER(F342),ISNUMBER(K342)),1,0),0)</f>
        <v>0</v>
      </c>
      <c r="Z342" s="53" t="n">
        <f aca="false">IF(U342&gt;=Settings!$C$8,1,0)</f>
        <v>0</v>
      </c>
      <c r="AA342" s="53" t="n">
        <f aca="false">IF(S342=1,IF(J342="Listed / Publicado",0,1),0)</f>
        <v>0</v>
      </c>
      <c r="AB342" s="53" t="n">
        <f aca="false">IF(T342=1,IF(ISNUMBER(L342),L342-G342,0),0)</f>
        <v>0</v>
      </c>
      <c r="AC342" s="53" t="n">
        <f aca="false">IF(S342=1,IF(ISNUMBER(I342),I342-G342,0),0)</f>
        <v>0</v>
      </c>
    </row>
    <row r="343" customFormat="false" ht="15" hidden="false" customHeight="false" outlineLevel="0" collapsed="false">
      <c r="B343" s="54"/>
      <c r="C343" s="55"/>
      <c r="D343" s="55"/>
      <c r="E343" s="55"/>
      <c r="F343" s="56"/>
      <c r="G343" s="57"/>
      <c r="H343" s="55"/>
      <c r="I343" s="57"/>
      <c r="J343" s="54"/>
      <c r="K343" s="56"/>
      <c r="L343" s="57"/>
      <c r="M343" s="54"/>
      <c r="N343" s="58" t="str">
        <f aca="false">IF(S343=1,IF(U343&lt;0,"",U343),IF(Y343=1,X343,""))</f>
        <v/>
      </c>
      <c r="O343" s="59" t="str">
        <f aca="false">IF(S343=1,IF(ISNUMBER(I343),I343-G343,""),"")</f>
        <v/>
      </c>
      <c r="P343" s="59" t="str">
        <f aca="false">IF(T343=1,IF(ISNUMBER(L343),L343-G343,""),"")</f>
        <v/>
      </c>
      <c r="Q343" s="60" t="str">
        <f aca="false">IF(C343="","",IF(T343=1,"✔ SOLD / VENDIDO",IF(S343=0,"— CLOSED / CERRADO",IF(U343&lt;0,"⚠ ADD DATE / AGREGA FECHA",IF(U343&gt;=Settings!$C$8,"⚠ STALE – REPRICE / ESTANCADO",IF(U343&gt;=Settings!$C$7,"● WATCH / VIGILAR","✔ FRESH / RECIENTE"))))))</f>
        <v/>
      </c>
      <c r="S343" s="53" t="n">
        <f aca="false">IF(C343="",0,IF(OR(J343="",J343="In Stock / En Inventario",J343="Listed / Publicado"),1,0))</f>
        <v>0</v>
      </c>
      <c r="T343" s="53" t="n">
        <f aca="false">IF(C343="",0,IF(J343="Sold / Vendido",1,0))</f>
        <v>0</v>
      </c>
      <c r="U343" s="53" t="n">
        <f aca="true">IF(S343=1,IF(ISNUMBER(F343),TODAY()-F343,-1),-1)</f>
        <v>-1</v>
      </c>
      <c r="V343" s="53" t="n">
        <f aca="false">IF(U343&lt;0,IF(S343=1,5,0),IF(U343&lt;=30,1,IF(U343&lt;=60,2,IF(U343&lt;=90,3,4))))</f>
        <v>0</v>
      </c>
      <c r="W343" s="53" t="n">
        <f aca="false">IF(U343&lt;0,-1000000000000000,U343+ROW()/1000000)</f>
        <v>-1000000000000000</v>
      </c>
      <c r="X343" s="53" t="n">
        <f aca="false">IF(T343=1,IF(AND(ISNUMBER(F343),ISNUMBER(K343)),K343-F343,0),0)</f>
        <v>0</v>
      </c>
      <c r="Y343" s="53" t="n">
        <f aca="false">IF(T343=1,IF(AND(ISNUMBER(F343),ISNUMBER(K343)),1,0),0)</f>
        <v>0</v>
      </c>
      <c r="Z343" s="53" t="n">
        <f aca="false">IF(U343&gt;=Settings!$C$8,1,0)</f>
        <v>0</v>
      </c>
      <c r="AA343" s="53" t="n">
        <f aca="false">IF(S343=1,IF(J343="Listed / Publicado",0,1),0)</f>
        <v>0</v>
      </c>
      <c r="AB343" s="53" t="n">
        <f aca="false">IF(T343=1,IF(ISNUMBER(L343),L343-G343,0),0)</f>
        <v>0</v>
      </c>
      <c r="AC343" s="53" t="n">
        <f aca="false">IF(S343=1,IF(ISNUMBER(I343),I343-G343,0),0)</f>
        <v>0</v>
      </c>
    </row>
    <row r="344" customFormat="false" ht="15" hidden="false" customHeight="false" outlineLevel="0" collapsed="false">
      <c r="B344" s="54"/>
      <c r="C344" s="55"/>
      <c r="D344" s="55"/>
      <c r="E344" s="55"/>
      <c r="F344" s="56"/>
      <c r="G344" s="57"/>
      <c r="H344" s="55"/>
      <c r="I344" s="57"/>
      <c r="J344" s="54"/>
      <c r="K344" s="56"/>
      <c r="L344" s="57"/>
      <c r="M344" s="54"/>
      <c r="N344" s="58" t="str">
        <f aca="false">IF(S344=1,IF(U344&lt;0,"",U344),IF(Y344=1,X344,""))</f>
        <v/>
      </c>
      <c r="O344" s="59" t="str">
        <f aca="false">IF(S344=1,IF(ISNUMBER(I344),I344-G344,""),"")</f>
        <v/>
      </c>
      <c r="P344" s="59" t="str">
        <f aca="false">IF(T344=1,IF(ISNUMBER(L344),L344-G344,""),"")</f>
        <v/>
      </c>
      <c r="Q344" s="60" t="str">
        <f aca="false">IF(C344="","",IF(T344=1,"✔ SOLD / VENDIDO",IF(S344=0,"— CLOSED / CERRADO",IF(U344&lt;0,"⚠ ADD DATE / AGREGA FECHA",IF(U344&gt;=Settings!$C$8,"⚠ STALE – REPRICE / ESTANCADO",IF(U344&gt;=Settings!$C$7,"● WATCH / VIGILAR","✔ FRESH / RECIENTE"))))))</f>
        <v/>
      </c>
      <c r="S344" s="53" t="n">
        <f aca="false">IF(C344="",0,IF(OR(J344="",J344="In Stock / En Inventario",J344="Listed / Publicado"),1,0))</f>
        <v>0</v>
      </c>
      <c r="T344" s="53" t="n">
        <f aca="false">IF(C344="",0,IF(J344="Sold / Vendido",1,0))</f>
        <v>0</v>
      </c>
      <c r="U344" s="53" t="n">
        <f aca="true">IF(S344=1,IF(ISNUMBER(F344),TODAY()-F344,-1),-1)</f>
        <v>-1</v>
      </c>
      <c r="V344" s="53" t="n">
        <f aca="false">IF(U344&lt;0,IF(S344=1,5,0),IF(U344&lt;=30,1,IF(U344&lt;=60,2,IF(U344&lt;=90,3,4))))</f>
        <v>0</v>
      </c>
      <c r="W344" s="53" t="n">
        <f aca="false">IF(U344&lt;0,-1000000000000000,U344+ROW()/1000000)</f>
        <v>-1000000000000000</v>
      </c>
      <c r="X344" s="53" t="n">
        <f aca="false">IF(T344=1,IF(AND(ISNUMBER(F344),ISNUMBER(K344)),K344-F344,0),0)</f>
        <v>0</v>
      </c>
      <c r="Y344" s="53" t="n">
        <f aca="false">IF(T344=1,IF(AND(ISNUMBER(F344),ISNUMBER(K344)),1,0),0)</f>
        <v>0</v>
      </c>
      <c r="Z344" s="53" t="n">
        <f aca="false">IF(U344&gt;=Settings!$C$8,1,0)</f>
        <v>0</v>
      </c>
      <c r="AA344" s="53" t="n">
        <f aca="false">IF(S344=1,IF(J344="Listed / Publicado",0,1),0)</f>
        <v>0</v>
      </c>
      <c r="AB344" s="53" t="n">
        <f aca="false">IF(T344=1,IF(ISNUMBER(L344),L344-G344,0),0)</f>
        <v>0</v>
      </c>
      <c r="AC344" s="53" t="n">
        <f aca="false">IF(S344=1,IF(ISNUMBER(I344),I344-G344,0),0)</f>
        <v>0</v>
      </c>
    </row>
    <row r="345" customFormat="false" ht="15" hidden="false" customHeight="false" outlineLevel="0" collapsed="false">
      <c r="B345" s="54"/>
      <c r="C345" s="55"/>
      <c r="D345" s="55"/>
      <c r="E345" s="55"/>
      <c r="F345" s="56"/>
      <c r="G345" s="57"/>
      <c r="H345" s="55"/>
      <c r="I345" s="57"/>
      <c r="J345" s="54"/>
      <c r="K345" s="56"/>
      <c r="L345" s="57"/>
      <c r="M345" s="54"/>
      <c r="N345" s="58" t="str">
        <f aca="false">IF(S345=1,IF(U345&lt;0,"",U345),IF(Y345=1,X345,""))</f>
        <v/>
      </c>
      <c r="O345" s="59" t="str">
        <f aca="false">IF(S345=1,IF(ISNUMBER(I345),I345-G345,""),"")</f>
        <v/>
      </c>
      <c r="P345" s="59" t="str">
        <f aca="false">IF(T345=1,IF(ISNUMBER(L345),L345-G345,""),"")</f>
        <v/>
      </c>
      <c r="Q345" s="60" t="str">
        <f aca="false">IF(C345="","",IF(T345=1,"✔ SOLD / VENDIDO",IF(S345=0,"— CLOSED / CERRADO",IF(U345&lt;0,"⚠ ADD DATE / AGREGA FECHA",IF(U345&gt;=Settings!$C$8,"⚠ STALE – REPRICE / ESTANCADO",IF(U345&gt;=Settings!$C$7,"● WATCH / VIGILAR","✔ FRESH / RECIENTE"))))))</f>
        <v/>
      </c>
      <c r="S345" s="53" t="n">
        <f aca="false">IF(C345="",0,IF(OR(J345="",J345="In Stock / En Inventario",J345="Listed / Publicado"),1,0))</f>
        <v>0</v>
      </c>
      <c r="T345" s="53" t="n">
        <f aca="false">IF(C345="",0,IF(J345="Sold / Vendido",1,0))</f>
        <v>0</v>
      </c>
      <c r="U345" s="53" t="n">
        <f aca="true">IF(S345=1,IF(ISNUMBER(F345),TODAY()-F345,-1),-1)</f>
        <v>-1</v>
      </c>
      <c r="V345" s="53" t="n">
        <f aca="false">IF(U345&lt;0,IF(S345=1,5,0),IF(U345&lt;=30,1,IF(U345&lt;=60,2,IF(U345&lt;=90,3,4))))</f>
        <v>0</v>
      </c>
      <c r="W345" s="53" t="n">
        <f aca="false">IF(U345&lt;0,-1000000000000000,U345+ROW()/1000000)</f>
        <v>-1000000000000000</v>
      </c>
      <c r="X345" s="53" t="n">
        <f aca="false">IF(T345=1,IF(AND(ISNUMBER(F345),ISNUMBER(K345)),K345-F345,0),0)</f>
        <v>0</v>
      </c>
      <c r="Y345" s="53" t="n">
        <f aca="false">IF(T345=1,IF(AND(ISNUMBER(F345),ISNUMBER(K345)),1,0),0)</f>
        <v>0</v>
      </c>
      <c r="Z345" s="53" t="n">
        <f aca="false">IF(U345&gt;=Settings!$C$8,1,0)</f>
        <v>0</v>
      </c>
      <c r="AA345" s="53" t="n">
        <f aca="false">IF(S345=1,IF(J345="Listed / Publicado",0,1),0)</f>
        <v>0</v>
      </c>
      <c r="AB345" s="53" t="n">
        <f aca="false">IF(T345=1,IF(ISNUMBER(L345),L345-G345,0),0)</f>
        <v>0</v>
      </c>
      <c r="AC345" s="53" t="n">
        <f aca="false">IF(S345=1,IF(ISNUMBER(I345),I345-G345,0),0)</f>
        <v>0</v>
      </c>
    </row>
    <row r="346" customFormat="false" ht="15" hidden="false" customHeight="false" outlineLevel="0" collapsed="false">
      <c r="B346" s="54"/>
      <c r="C346" s="55"/>
      <c r="D346" s="55"/>
      <c r="E346" s="55"/>
      <c r="F346" s="56"/>
      <c r="G346" s="57"/>
      <c r="H346" s="55"/>
      <c r="I346" s="57"/>
      <c r="J346" s="54"/>
      <c r="K346" s="56"/>
      <c r="L346" s="57"/>
      <c r="M346" s="54"/>
      <c r="N346" s="58" t="str">
        <f aca="false">IF(S346=1,IF(U346&lt;0,"",U346),IF(Y346=1,X346,""))</f>
        <v/>
      </c>
      <c r="O346" s="59" t="str">
        <f aca="false">IF(S346=1,IF(ISNUMBER(I346),I346-G346,""),"")</f>
        <v/>
      </c>
      <c r="P346" s="59" t="str">
        <f aca="false">IF(T346=1,IF(ISNUMBER(L346),L346-G346,""),"")</f>
        <v/>
      </c>
      <c r="Q346" s="60" t="str">
        <f aca="false">IF(C346="","",IF(T346=1,"✔ SOLD / VENDIDO",IF(S346=0,"— CLOSED / CERRADO",IF(U346&lt;0,"⚠ ADD DATE / AGREGA FECHA",IF(U346&gt;=Settings!$C$8,"⚠ STALE – REPRICE / ESTANCADO",IF(U346&gt;=Settings!$C$7,"● WATCH / VIGILAR","✔ FRESH / RECIENTE"))))))</f>
        <v/>
      </c>
      <c r="S346" s="53" t="n">
        <f aca="false">IF(C346="",0,IF(OR(J346="",J346="In Stock / En Inventario",J346="Listed / Publicado"),1,0))</f>
        <v>0</v>
      </c>
      <c r="T346" s="53" t="n">
        <f aca="false">IF(C346="",0,IF(J346="Sold / Vendido",1,0))</f>
        <v>0</v>
      </c>
      <c r="U346" s="53" t="n">
        <f aca="true">IF(S346=1,IF(ISNUMBER(F346),TODAY()-F346,-1),-1)</f>
        <v>-1</v>
      </c>
      <c r="V346" s="53" t="n">
        <f aca="false">IF(U346&lt;0,IF(S346=1,5,0),IF(U346&lt;=30,1,IF(U346&lt;=60,2,IF(U346&lt;=90,3,4))))</f>
        <v>0</v>
      </c>
      <c r="W346" s="53" t="n">
        <f aca="false">IF(U346&lt;0,-1000000000000000,U346+ROW()/1000000)</f>
        <v>-1000000000000000</v>
      </c>
      <c r="X346" s="53" t="n">
        <f aca="false">IF(T346=1,IF(AND(ISNUMBER(F346),ISNUMBER(K346)),K346-F346,0),0)</f>
        <v>0</v>
      </c>
      <c r="Y346" s="53" t="n">
        <f aca="false">IF(T346=1,IF(AND(ISNUMBER(F346),ISNUMBER(K346)),1,0),0)</f>
        <v>0</v>
      </c>
      <c r="Z346" s="53" t="n">
        <f aca="false">IF(U346&gt;=Settings!$C$8,1,0)</f>
        <v>0</v>
      </c>
      <c r="AA346" s="53" t="n">
        <f aca="false">IF(S346=1,IF(J346="Listed / Publicado",0,1),0)</f>
        <v>0</v>
      </c>
      <c r="AB346" s="53" t="n">
        <f aca="false">IF(T346=1,IF(ISNUMBER(L346),L346-G346,0),0)</f>
        <v>0</v>
      </c>
      <c r="AC346" s="53" t="n">
        <f aca="false">IF(S346=1,IF(ISNUMBER(I346),I346-G346,0),0)</f>
        <v>0</v>
      </c>
    </row>
    <row r="347" customFormat="false" ht="15" hidden="false" customHeight="false" outlineLevel="0" collapsed="false">
      <c r="B347" s="54"/>
      <c r="C347" s="55"/>
      <c r="D347" s="55"/>
      <c r="E347" s="55"/>
      <c r="F347" s="56"/>
      <c r="G347" s="57"/>
      <c r="H347" s="55"/>
      <c r="I347" s="57"/>
      <c r="J347" s="54"/>
      <c r="K347" s="56"/>
      <c r="L347" s="57"/>
      <c r="M347" s="54"/>
      <c r="N347" s="58" t="str">
        <f aca="false">IF(S347=1,IF(U347&lt;0,"",U347),IF(Y347=1,X347,""))</f>
        <v/>
      </c>
      <c r="O347" s="59" t="str">
        <f aca="false">IF(S347=1,IF(ISNUMBER(I347),I347-G347,""),"")</f>
        <v/>
      </c>
      <c r="P347" s="59" t="str">
        <f aca="false">IF(T347=1,IF(ISNUMBER(L347),L347-G347,""),"")</f>
        <v/>
      </c>
      <c r="Q347" s="60" t="str">
        <f aca="false">IF(C347="","",IF(T347=1,"✔ SOLD / VENDIDO",IF(S347=0,"— CLOSED / CERRADO",IF(U347&lt;0,"⚠ ADD DATE / AGREGA FECHA",IF(U347&gt;=Settings!$C$8,"⚠ STALE – REPRICE / ESTANCADO",IF(U347&gt;=Settings!$C$7,"● WATCH / VIGILAR","✔ FRESH / RECIENTE"))))))</f>
        <v/>
      </c>
      <c r="S347" s="53" t="n">
        <f aca="false">IF(C347="",0,IF(OR(J347="",J347="In Stock / En Inventario",J347="Listed / Publicado"),1,0))</f>
        <v>0</v>
      </c>
      <c r="T347" s="53" t="n">
        <f aca="false">IF(C347="",0,IF(J347="Sold / Vendido",1,0))</f>
        <v>0</v>
      </c>
      <c r="U347" s="53" t="n">
        <f aca="true">IF(S347=1,IF(ISNUMBER(F347),TODAY()-F347,-1),-1)</f>
        <v>-1</v>
      </c>
      <c r="V347" s="53" t="n">
        <f aca="false">IF(U347&lt;0,IF(S347=1,5,0),IF(U347&lt;=30,1,IF(U347&lt;=60,2,IF(U347&lt;=90,3,4))))</f>
        <v>0</v>
      </c>
      <c r="W347" s="53" t="n">
        <f aca="false">IF(U347&lt;0,-1000000000000000,U347+ROW()/1000000)</f>
        <v>-1000000000000000</v>
      </c>
      <c r="X347" s="53" t="n">
        <f aca="false">IF(T347=1,IF(AND(ISNUMBER(F347),ISNUMBER(K347)),K347-F347,0),0)</f>
        <v>0</v>
      </c>
      <c r="Y347" s="53" t="n">
        <f aca="false">IF(T347=1,IF(AND(ISNUMBER(F347),ISNUMBER(K347)),1,0),0)</f>
        <v>0</v>
      </c>
      <c r="Z347" s="53" t="n">
        <f aca="false">IF(U347&gt;=Settings!$C$8,1,0)</f>
        <v>0</v>
      </c>
      <c r="AA347" s="53" t="n">
        <f aca="false">IF(S347=1,IF(J347="Listed / Publicado",0,1),0)</f>
        <v>0</v>
      </c>
      <c r="AB347" s="53" t="n">
        <f aca="false">IF(T347=1,IF(ISNUMBER(L347),L347-G347,0),0)</f>
        <v>0</v>
      </c>
      <c r="AC347" s="53" t="n">
        <f aca="false">IF(S347=1,IF(ISNUMBER(I347),I347-G347,0),0)</f>
        <v>0</v>
      </c>
    </row>
    <row r="348" customFormat="false" ht="15" hidden="false" customHeight="false" outlineLevel="0" collapsed="false">
      <c r="B348" s="54"/>
      <c r="C348" s="55"/>
      <c r="D348" s="55"/>
      <c r="E348" s="55"/>
      <c r="F348" s="56"/>
      <c r="G348" s="57"/>
      <c r="H348" s="55"/>
      <c r="I348" s="57"/>
      <c r="J348" s="54"/>
      <c r="K348" s="56"/>
      <c r="L348" s="57"/>
      <c r="M348" s="54"/>
      <c r="N348" s="58" t="str">
        <f aca="false">IF(S348=1,IF(U348&lt;0,"",U348),IF(Y348=1,X348,""))</f>
        <v/>
      </c>
      <c r="O348" s="59" t="str">
        <f aca="false">IF(S348=1,IF(ISNUMBER(I348),I348-G348,""),"")</f>
        <v/>
      </c>
      <c r="P348" s="59" t="str">
        <f aca="false">IF(T348=1,IF(ISNUMBER(L348),L348-G348,""),"")</f>
        <v/>
      </c>
      <c r="Q348" s="60" t="str">
        <f aca="false">IF(C348="","",IF(T348=1,"✔ SOLD / VENDIDO",IF(S348=0,"— CLOSED / CERRADO",IF(U348&lt;0,"⚠ ADD DATE / AGREGA FECHA",IF(U348&gt;=Settings!$C$8,"⚠ STALE – REPRICE / ESTANCADO",IF(U348&gt;=Settings!$C$7,"● WATCH / VIGILAR","✔ FRESH / RECIENTE"))))))</f>
        <v/>
      </c>
      <c r="S348" s="53" t="n">
        <f aca="false">IF(C348="",0,IF(OR(J348="",J348="In Stock / En Inventario",J348="Listed / Publicado"),1,0))</f>
        <v>0</v>
      </c>
      <c r="T348" s="53" t="n">
        <f aca="false">IF(C348="",0,IF(J348="Sold / Vendido",1,0))</f>
        <v>0</v>
      </c>
      <c r="U348" s="53" t="n">
        <f aca="true">IF(S348=1,IF(ISNUMBER(F348),TODAY()-F348,-1),-1)</f>
        <v>-1</v>
      </c>
      <c r="V348" s="53" t="n">
        <f aca="false">IF(U348&lt;0,IF(S348=1,5,0),IF(U348&lt;=30,1,IF(U348&lt;=60,2,IF(U348&lt;=90,3,4))))</f>
        <v>0</v>
      </c>
      <c r="W348" s="53" t="n">
        <f aca="false">IF(U348&lt;0,-1000000000000000,U348+ROW()/1000000)</f>
        <v>-1000000000000000</v>
      </c>
      <c r="X348" s="53" t="n">
        <f aca="false">IF(T348=1,IF(AND(ISNUMBER(F348),ISNUMBER(K348)),K348-F348,0),0)</f>
        <v>0</v>
      </c>
      <c r="Y348" s="53" t="n">
        <f aca="false">IF(T348=1,IF(AND(ISNUMBER(F348),ISNUMBER(K348)),1,0),0)</f>
        <v>0</v>
      </c>
      <c r="Z348" s="53" t="n">
        <f aca="false">IF(U348&gt;=Settings!$C$8,1,0)</f>
        <v>0</v>
      </c>
      <c r="AA348" s="53" t="n">
        <f aca="false">IF(S348=1,IF(J348="Listed / Publicado",0,1),0)</f>
        <v>0</v>
      </c>
      <c r="AB348" s="53" t="n">
        <f aca="false">IF(T348=1,IF(ISNUMBER(L348),L348-G348,0),0)</f>
        <v>0</v>
      </c>
      <c r="AC348" s="53" t="n">
        <f aca="false">IF(S348=1,IF(ISNUMBER(I348),I348-G348,0),0)</f>
        <v>0</v>
      </c>
    </row>
    <row r="349" customFormat="false" ht="15" hidden="false" customHeight="false" outlineLevel="0" collapsed="false">
      <c r="B349" s="54"/>
      <c r="C349" s="55"/>
      <c r="D349" s="55"/>
      <c r="E349" s="55"/>
      <c r="F349" s="56"/>
      <c r="G349" s="57"/>
      <c r="H349" s="55"/>
      <c r="I349" s="57"/>
      <c r="J349" s="54"/>
      <c r="K349" s="56"/>
      <c r="L349" s="57"/>
      <c r="M349" s="54"/>
      <c r="N349" s="58" t="str">
        <f aca="false">IF(S349=1,IF(U349&lt;0,"",U349),IF(Y349=1,X349,""))</f>
        <v/>
      </c>
      <c r="O349" s="59" t="str">
        <f aca="false">IF(S349=1,IF(ISNUMBER(I349),I349-G349,""),"")</f>
        <v/>
      </c>
      <c r="P349" s="59" t="str">
        <f aca="false">IF(T349=1,IF(ISNUMBER(L349),L349-G349,""),"")</f>
        <v/>
      </c>
      <c r="Q349" s="60" t="str">
        <f aca="false">IF(C349="","",IF(T349=1,"✔ SOLD / VENDIDO",IF(S349=0,"— CLOSED / CERRADO",IF(U349&lt;0,"⚠ ADD DATE / AGREGA FECHA",IF(U349&gt;=Settings!$C$8,"⚠ STALE – REPRICE / ESTANCADO",IF(U349&gt;=Settings!$C$7,"● WATCH / VIGILAR","✔ FRESH / RECIENTE"))))))</f>
        <v/>
      </c>
      <c r="S349" s="53" t="n">
        <f aca="false">IF(C349="",0,IF(OR(J349="",J349="In Stock / En Inventario",J349="Listed / Publicado"),1,0))</f>
        <v>0</v>
      </c>
      <c r="T349" s="53" t="n">
        <f aca="false">IF(C349="",0,IF(J349="Sold / Vendido",1,0))</f>
        <v>0</v>
      </c>
      <c r="U349" s="53" t="n">
        <f aca="true">IF(S349=1,IF(ISNUMBER(F349),TODAY()-F349,-1),-1)</f>
        <v>-1</v>
      </c>
      <c r="V349" s="53" t="n">
        <f aca="false">IF(U349&lt;0,IF(S349=1,5,0),IF(U349&lt;=30,1,IF(U349&lt;=60,2,IF(U349&lt;=90,3,4))))</f>
        <v>0</v>
      </c>
      <c r="W349" s="53" t="n">
        <f aca="false">IF(U349&lt;0,-1000000000000000,U349+ROW()/1000000)</f>
        <v>-1000000000000000</v>
      </c>
      <c r="X349" s="53" t="n">
        <f aca="false">IF(T349=1,IF(AND(ISNUMBER(F349),ISNUMBER(K349)),K349-F349,0),0)</f>
        <v>0</v>
      </c>
      <c r="Y349" s="53" t="n">
        <f aca="false">IF(T349=1,IF(AND(ISNUMBER(F349),ISNUMBER(K349)),1,0),0)</f>
        <v>0</v>
      </c>
      <c r="Z349" s="53" t="n">
        <f aca="false">IF(U349&gt;=Settings!$C$8,1,0)</f>
        <v>0</v>
      </c>
      <c r="AA349" s="53" t="n">
        <f aca="false">IF(S349=1,IF(J349="Listed / Publicado",0,1),0)</f>
        <v>0</v>
      </c>
      <c r="AB349" s="53" t="n">
        <f aca="false">IF(T349=1,IF(ISNUMBER(L349),L349-G349,0),0)</f>
        <v>0</v>
      </c>
      <c r="AC349" s="53" t="n">
        <f aca="false">IF(S349=1,IF(ISNUMBER(I349),I349-G349,0),0)</f>
        <v>0</v>
      </c>
    </row>
    <row r="350" customFormat="false" ht="15" hidden="false" customHeight="false" outlineLevel="0" collapsed="false">
      <c r="B350" s="54"/>
      <c r="C350" s="55"/>
      <c r="D350" s="55"/>
      <c r="E350" s="55"/>
      <c r="F350" s="56"/>
      <c r="G350" s="57"/>
      <c r="H350" s="55"/>
      <c r="I350" s="57"/>
      <c r="J350" s="54"/>
      <c r="K350" s="56"/>
      <c r="L350" s="57"/>
      <c r="M350" s="54"/>
      <c r="N350" s="58" t="str">
        <f aca="false">IF(S350=1,IF(U350&lt;0,"",U350),IF(Y350=1,X350,""))</f>
        <v/>
      </c>
      <c r="O350" s="59" t="str">
        <f aca="false">IF(S350=1,IF(ISNUMBER(I350),I350-G350,""),"")</f>
        <v/>
      </c>
      <c r="P350" s="59" t="str">
        <f aca="false">IF(T350=1,IF(ISNUMBER(L350),L350-G350,""),"")</f>
        <v/>
      </c>
      <c r="Q350" s="60" t="str">
        <f aca="false">IF(C350="","",IF(T350=1,"✔ SOLD / VENDIDO",IF(S350=0,"— CLOSED / CERRADO",IF(U350&lt;0,"⚠ ADD DATE / AGREGA FECHA",IF(U350&gt;=Settings!$C$8,"⚠ STALE – REPRICE / ESTANCADO",IF(U350&gt;=Settings!$C$7,"● WATCH / VIGILAR","✔ FRESH / RECIENTE"))))))</f>
        <v/>
      </c>
      <c r="S350" s="53" t="n">
        <f aca="false">IF(C350="",0,IF(OR(J350="",J350="In Stock / En Inventario",J350="Listed / Publicado"),1,0))</f>
        <v>0</v>
      </c>
      <c r="T350" s="53" t="n">
        <f aca="false">IF(C350="",0,IF(J350="Sold / Vendido",1,0))</f>
        <v>0</v>
      </c>
      <c r="U350" s="53" t="n">
        <f aca="true">IF(S350=1,IF(ISNUMBER(F350),TODAY()-F350,-1),-1)</f>
        <v>-1</v>
      </c>
      <c r="V350" s="53" t="n">
        <f aca="false">IF(U350&lt;0,IF(S350=1,5,0),IF(U350&lt;=30,1,IF(U350&lt;=60,2,IF(U350&lt;=90,3,4))))</f>
        <v>0</v>
      </c>
      <c r="W350" s="53" t="n">
        <f aca="false">IF(U350&lt;0,-1000000000000000,U350+ROW()/1000000)</f>
        <v>-1000000000000000</v>
      </c>
      <c r="X350" s="53" t="n">
        <f aca="false">IF(T350=1,IF(AND(ISNUMBER(F350),ISNUMBER(K350)),K350-F350,0),0)</f>
        <v>0</v>
      </c>
      <c r="Y350" s="53" t="n">
        <f aca="false">IF(T350=1,IF(AND(ISNUMBER(F350),ISNUMBER(K350)),1,0),0)</f>
        <v>0</v>
      </c>
      <c r="Z350" s="53" t="n">
        <f aca="false">IF(U350&gt;=Settings!$C$8,1,0)</f>
        <v>0</v>
      </c>
      <c r="AA350" s="53" t="n">
        <f aca="false">IF(S350=1,IF(J350="Listed / Publicado",0,1),0)</f>
        <v>0</v>
      </c>
      <c r="AB350" s="53" t="n">
        <f aca="false">IF(T350=1,IF(ISNUMBER(L350),L350-G350,0),0)</f>
        <v>0</v>
      </c>
      <c r="AC350" s="53" t="n">
        <f aca="false">IF(S350=1,IF(ISNUMBER(I350),I350-G350,0),0)</f>
        <v>0</v>
      </c>
    </row>
    <row r="351" customFormat="false" ht="15" hidden="false" customHeight="false" outlineLevel="0" collapsed="false">
      <c r="B351" s="54"/>
      <c r="C351" s="55"/>
      <c r="D351" s="55"/>
      <c r="E351" s="55"/>
      <c r="F351" s="56"/>
      <c r="G351" s="57"/>
      <c r="H351" s="55"/>
      <c r="I351" s="57"/>
      <c r="J351" s="54"/>
      <c r="K351" s="56"/>
      <c r="L351" s="57"/>
      <c r="M351" s="54"/>
      <c r="N351" s="58" t="str">
        <f aca="false">IF(S351=1,IF(U351&lt;0,"",U351),IF(Y351=1,X351,""))</f>
        <v/>
      </c>
      <c r="O351" s="59" t="str">
        <f aca="false">IF(S351=1,IF(ISNUMBER(I351),I351-G351,""),"")</f>
        <v/>
      </c>
      <c r="P351" s="59" t="str">
        <f aca="false">IF(T351=1,IF(ISNUMBER(L351),L351-G351,""),"")</f>
        <v/>
      </c>
      <c r="Q351" s="60" t="str">
        <f aca="false">IF(C351="","",IF(T351=1,"✔ SOLD / VENDIDO",IF(S351=0,"— CLOSED / CERRADO",IF(U351&lt;0,"⚠ ADD DATE / AGREGA FECHA",IF(U351&gt;=Settings!$C$8,"⚠ STALE – REPRICE / ESTANCADO",IF(U351&gt;=Settings!$C$7,"● WATCH / VIGILAR","✔ FRESH / RECIENTE"))))))</f>
        <v/>
      </c>
      <c r="S351" s="53" t="n">
        <f aca="false">IF(C351="",0,IF(OR(J351="",J351="In Stock / En Inventario",J351="Listed / Publicado"),1,0))</f>
        <v>0</v>
      </c>
      <c r="T351" s="53" t="n">
        <f aca="false">IF(C351="",0,IF(J351="Sold / Vendido",1,0))</f>
        <v>0</v>
      </c>
      <c r="U351" s="53" t="n">
        <f aca="true">IF(S351=1,IF(ISNUMBER(F351),TODAY()-F351,-1),-1)</f>
        <v>-1</v>
      </c>
      <c r="V351" s="53" t="n">
        <f aca="false">IF(U351&lt;0,IF(S351=1,5,0),IF(U351&lt;=30,1,IF(U351&lt;=60,2,IF(U351&lt;=90,3,4))))</f>
        <v>0</v>
      </c>
      <c r="W351" s="53" t="n">
        <f aca="false">IF(U351&lt;0,-1000000000000000,U351+ROW()/1000000)</f>
        <v>-1000000000000000</v>
      </c>
      <c r="X351" s="53" t="n">
        <f aca="false">IF(T351=1,IF(AND(ISNUMBER(F351),ISNUMBER(K351)),K351-F351,0),0)</f>
        <v>0</v>
      </c>
      <c r="Y351" s="53" t="n">
        <f aca="false">IF(T351=1,IF(AND(ISNUMBER(F351),ISNUMBER(K351)),1,0),0)</f>
        <v>0</v>
      </c>
      <c r="Z351" s="53" t="n">
        <f aca="false">IF(U351&gt;=Settings!$C$8,1,0)</f>
        <v>0</v>
      </c>
      <c r="AA351" s="53" t="n">
        <f aca="false">IF(S351=1,IF(J351="Listed / Publicado",0,1),0)</f>
        <v>0</v>
      </c>
      <c r="AB351" s="53" t="n">
        <f aca="false">IF(T351=1,IF(ISNUMBER(L351),L351-G351,0),0)</f>
        <v>0</v>
      </c>
      <c r="AC351" s="53" t="n">
        <f aca="false">IF(S351=1,IF(ISNUMBER(I351),I351-G351,0),0)</f>
        <v>0</v>
      </c>
    </row>
    <row r="352" customFormat="false" ht="15" hidden="false" customHeight="false" outlineLevel="0" collapsed="false">
      <c r="B352" s="54"/>
      <c r="C352" s="55"/>
      <c r="D352" s="55"/>
      <c r="E352" s="55"/>
      <c r="F352" s="56"/>
      <c r="G352" s="57"/>
      <c r="H352" s="55"/>
      <c r="I352" s="57"/>
      <c r="J352" s="54"/>
      <c r="K352" s="56"/>
      <c r="L352" s="57"/>
      <c r="M352" s="54"/>
      <c r="N352" s="58" t="str">
        <f aca="false">IF(S352=1,IF(U352&lt;0,"",U352),IF(Y352=1,X352,""))</f>
        <v/>
      </c>
      <c r="O352" s="59" t="str">
        <f aca="false">IF(S352=1,IF(ISNUMBER(I352),I352-G352,""),"")</f>
        <v/>
      </c>
      <c r="P352" s="59" t="str">
        <f aca="false">IF(T352=1,IF(ISNUMBER(L352),L352-G352,""),"")</f>
        <v/>
      </c>
      <c r="Q352" s="60" t="str">
        <f aca="false">IF(C352="","",IF(T352=1,"✔ SOLD / VENDIDO",IF(S352=0,"— CLOSED / CERRADO",IF(U352&lt;0,"⚠ ADD DATE / AGREGA FECHA",IF(U352&gt;=Settings!$C$8,"⚠ STALE – REPRICE / ESTANCADO",IF(U352&gt;=Settings!$C$7,"● WATCH / VIGILAR","✔ FRESH / RECIENTE"))))))</f>
        <v/>
      </c>
      <c r="S352" s="53" t="n">
        <f aca="false">IF(C352="",0,IF(OR(J352="",J352="In Stock / En Inventario",J352="Listed / Publicado"),1,0))</f>
        <v>0</v>
      </c>
      <c r="T352" s="53" t="n">
        <f aca="false">IF(C352="",0,IF(J352="Sold / Vendido",1,0))</f>
        <v>0</v>
      </c>
      <c r="U352" s="53" t="n">
        <f aca="true">IF(S352=1,IF(ISNUMBER(F352),TODAY()-F352,-1),-1)</f>
        <v>-1</v>
      </c>
      <c r="V352" s="53" t="n">
        <f aca="false">IF(U352&lt;0,IF(S352=1,5,0),IF(U352&lt;=30,1,IF(U352&lt;=60,2,IF(U352&lt;=90,3,4))))</f>
        <v>0</v>
      </c>
      <c r="W352" s="53" t="n">
        <f aca="false">IF(U352&lt;0,-1000000000000000,U352+ROW()/1000000)</f>
        <v>-1000000000000000</v>
      </c>
      <c r="X352" s="53" t="n">
        <f aca="false">IF(T352=1,IF(AND(ISNUMBER(F352),ISNUMBER(K352)),K352-F352,0),0)</f>
        <v>0</v>
      </c>
      <c r="Y352" s="53" t="n">
        <f aca="false">IF(T352=1,IF(AND(ISNUMBER(F352),ISNUMBER(K352)),1,0),0)</f>
        <v>0</v>
      </c>
      <c r="Z352" s="53" t="n">
        <f aca="false">IF(U352&gt;=Settings!$C$8,1,0)</f>
        <v>0</v>
      </c>
      <c r="AA352" s="53" t="n">
        <f aca="false">IF(S352=1,IF(J352="Listed / Publicado",0,1),0)</f>
        <v>0</v>
      </c>
      <c r="AB352" s="53" t="n">
        <f aca="false">IF(T352=1,IF(ISNUMBER(L352),L352-G352,0),0)</f>
        <v>0</v>
      </c>
      <c r="AC352" s="53" t="n">
        <f aca="false">IF(S352=1,IF(ISNUMBER(I352),I352-G352,0),0)</f>
        <v>0</v>
      </c>
    </row>
    <row r="353" customFormat="false" ht="15" hidden="false" customHeight="false" outlineLevel="0" collapsed="false">
      <c r="B353" s="54"/>
      <c r="C353" s="55"/>
      <c r="D353" s="55"/>
      <c r="E353" s="55"/>
      <c r="F353" s="56"/>
      <c r="G353" s="57"/>
      <c r="H353" s="55"/>
      <c r="I353" s="57"/>
      <c r="J353" s="54"/>
      <c r="K353" s="56"/>
      <c r="L353" s="57"/>
      <c r="M353" s="54"/>
      <c r="N353" s="58" t="str">
        <f aca="false">IF(S353=1,IF(U353&lt;0,"",U353),IF(Y353=1,X353,""))</f>
        <v/>
      </c>
      <c r="O353" s="59" t="str">
        <f aca="false">IF(S353=1,IF(ISNUMBER(I353),I353-G353,""),"")</f>
        <v/>
      </c>
      <c r="P353" s="59" t="str">
        <f aca="false">IF(T353=1,IF(ISNUMBER(L353),L353-G353,""),"")</f>
        <v/>
      </c>
      <c r="Q353" s="60" t="str">
        <f aca="false">IF(C353="","",IF(T353=1,"✔ SOLD / VENDIDO",IF(S353=0,"— CLOSED / CERRADO",IF(U353&lt;0,"⚠ ADD DATE / AGREGA FECHA",IF(U353&gt;=Settings!$C$8,"⚠ STALE – REPRICE / ESTANCADO",IF(U353&gt;=Settings!$C$7,"● WATCH / VIGILAR","✔ FRESH / RECIENTE"))))))</f>
        <v/>
      </c>
      <c r="S353" s="53" t="n">
        <f aca="false">IF(C353="",0,IF(OR(J353="",J353="In Stock / En Inventario",J353="Listed / Publicado"),1,0))</f>
        <v>0</v>
      </c>
      <c r="T353" s="53" t="n">
        <f aca="false">IF(C353="",0,IF(J353="Sold / Vendido",1,0))</f>
        <v>0</v>
      </c>
      <c r="U353" s="53" t="n">
        <f aca="true">IF(S353=1,IF(ISNUMBER(F353),TODAY()-F353,-1),-1)</f>
        <v>-1</v>
      </c>
      <c r="V353" s="53" t="n">
        <f aca="false">IF(U353&lt;0,IF(S353=1,5,0),IF(U353&lt;=30,1,IF(U353&lt;=60,2,IF(U353&lt;=90,3,4))))</f>
        <v>0</v>
      </c>
      <c r="W353" s="53" t="n">
        <f aca="false">IF(U353&lt;0,-1000000000000000,U353+ROW()/1000000)</f>
        <v>-1000000000000000</v>
      </c>
      <c r="X353" s="53" t="n">
        <f aca="false">IF(T353=1,IF(AND(ISNUMBER(F353),ISNUMBER(K353)),K353-F353,0),0)</f>
        <v>0</v>
      </c>
      <c r="Y353" s="53" t="n">
        <f aca="false">IF(T353=1,IF(AND(ISNUMBER(F353),ISNUMBER(K353)),1,0),0)</f>
        <v>0</v>
      </c>
      <c r="Z353" s="53" t="n">
        <f aca="false">IF(U353&gt;=Settings!$C$8,1,0)</f>
        <v>0</v>
      </c>
      <c r="AA353" s="53" t="n">
        <f aca="false">IF(S353=1,IF(J353="Listed / Publicado",0,1),0)</f>
        <v>0</v>
      </c>
      <c r="AB353" s="53" t="n">
        <f aca="false">IF(T353=1,IF(ISNUMBER(L353),L353-G353,0),0)</f>
        <v>0</v>
      </c>
      <c r="AC353" s="53" t="n">
        <f aca="false">IF(S353=1,IF(ISNUMBER(I353),I353-G353,0),0)</f>
        <v>0</v>
      </c>
    </row>
    <row r="354" customFormat="false" ht="15" hidden="false" customHeight="false" outlineLevel="0" collapsed="false">
      <c r="B354" s="54"/>
      <c r="C354" s="55"/>
      <c r="D354" s="55"/>
      <c r="E354" s="55"/>
      <c r="F354" s="56"/>
      <c r="G354" s="57"/>
      <c r="H354" s="55"/>
      <c r="I354" s="57"/>
      <c r="J354" s="54"/>
      <c r="K354" s="56"/>
      <c r="L354" s="57"/>
      <c r="M354" s="54"/>
      <c r="N354" s="58" t="str">
        <f aca="false">IF(S354=1,IF(U354&lt;0,"",U354),IF(Y354=1,X354,""))</f>
        <v/>
      </c>
      <c r="O354" s="59" t="str">
        <f aca="false">IF(S354=1,IF(ISNUMBER(I354),I354-G354,""),"")</f>
        <v/>
      </c>
      <c r="P354" s="59" t="str">
        <f aca="false">IF(T354=1,IF(ISNUMBER(L354),L354-G354,""),"")</f>
        <v/>
      </c>
      <c r="Q354" s="60" t="str">
        <f aca="false">IF(C354="","",IF(T354=1,"✔ SOLD / VENDIDO",IF(S354=0,"— CLOSED / CERRADO",IF(U354&lt;0,"⚠ ADD DATE / AGREGA FECHA",IF(U354&gt;=Settings!$C$8,"⚠ STALE – REPRICE / ESTANCADO",IF(U354&gt;=Settings!$C$7,"● WATCH / VIGILAR","✔ FRESH / RECIENTE"))))))</f>
        <v/>
      </c>
      <c r="S354" s="53" t="n">
        <f aca="false">IF(C354="",0,IF(OR(J354="",J354="In Stock / En Inventario",J354="Listed / Publicado"),1,0))</f>
        <v>0</v>
      </c>
      <c r="T354" s="53" t="n">
        <f aca="false">IF(C354="",0,IF(J354="Sold / Vendido",1,0))</f>
        <v>0</v>
      </c>
      <c r="U354" s="53" t="n">
        <f aca="true">IF(S354=1,IF(ISNUMBER(F354),TODAY()-F354,-1),-1)</f>
        <v>-1</v>
      </c>
      <c r="V354" s="53" t="n">
        <f aca="false">IF(U354&lt;0,IF(S354=1,5,0),IF(U354&lt;=30,1,IF(U354&lt;=60,2,IF(U354&lt;=90,3,4))))</f>
        <v>0</v>
      </c>
      <c r="W354" s="53" t="n">
        <f aca="false">IF(U354&lt;0,-1000000000000000,U354+ROW()/1000000)</f>
        <v>-1000000000000000</v>
      </c>
      <c r="X354" s="53" t="n">
        <f aca="false">IF(T354=1,IF(AND(ISNUMBER(F354),ISNUMBER(K354)),K354-F354,0),0)</f>
        <v>0</v>
      </c>
      <c r="Y354" s="53" t="n">
        <f aca="false">IF(T354=1,IF(AND(ISNUMBER(F354),ISNUMBER(K354)),1,0),0)</f>
        <v>0</v>
      </c>
      <c r="Z354" s="53" t="n">
        <f aca="false">IF(U354&gt;=Settings!$C$8,1,0)</f>
        <v>0</v>
      </c>
      <c r="AA354" s="53" t="n">
        <f aca="false">IF(S354=1,IF(J354="Listed / Publicado",0,1),0)</f>
        <v>0</v>
      </c>
      <c r="AB354" s="53" t="n">
        <f aca="false">IF(T354=1,IF(ISNUMBER(L354),L354-G354,0),0)</f>
        <v>0</v>
      </c>
      <c r="AC354" s="53" t="n">
        <f aca="false">IF(S354=1,IF(ISNUMBER(I354),I354-G354,0),0)</f>
        <v>0</v>
      </c>
    </row>
    <row r="355" customFormat="false" ht="15" hidden="false" customHeight="false" outlineLevel="0" collapsed="false">
      <c r="B355" s="54"/>
      <c r="C355" s="55"/>
      <c r="D355" s="55"/>
      <c r="E355" s="55"/>
      <c r="F355" s="56"/>
      <c r="G355" s="57"/>
      <c r="H355" s="55"/>
      <c r="I355" s="57"/>
      <c r="J355" s="54"/>
      <c r="K355" s="56"/>
      <c r="L355" s="57"/>
      <c r="M355" s="54"/>
      <c r="N355" s="58" t="str">
        <f aca="false">IF(S355=1,IF(U355&lt;0,"",U355),IF(Y355=1,X355,""))</f>
        <v/>
      </c>
      <c r="O355" s="59" t="str">
        <f aca="false">IF(S355=1,IF(ISNUMBER(I355),I355-G355,""),"")</f>
        <v/>
      </c>
      <c r="P355" s="59" t="str">
        <f aca="false">IF(T355=1,IF(ISNUMBER(L355),L355-G355,""),"")</f>
        <v/>
      </c>
      <c r="Q355" s="60" t="str">
        <f aca="false">IF(C355="","",IF(T355=1,"✔ SOLD / VENDIDO",IF(S355=0,"— CLOSED / CERRADO",IF(U355&lt;0,"⚠ ADD DATE / AGREGA FECHA",IF(U355&gt;=Settings!$C$8,"⚠ STALE – REPRICE / ESTANCADO",IF(U355&gt;=Settings!$C$7,"● WATCH / VIGILAR","✔ FRESH / RECIENTE"))))))</f>
        <v/>
      </c>
      <c r="S355" s="53" t="n">
        <f aca="false">IF(C355="",0,IF(OR(J355="",J355="In Stock / En Inventario",J355="Listed / Publicado"),1,0))</f>
        <v>0</v>
      </c>
      <c r="T355" s="53" t="n">
        <f aca="false">IF(C355="",0,IF(J355="Sold / Vendido",1,0))</f>
        <v>0</v>
      </c>
      <c r="U355" s="53" t="n">
        <f aca="true">IF(S355=1,IF(ISNUMBER(F355),TODAY()-F355,-1),-1)</f>
        <v>-1</v>
      </c>
      <c r="V355" s="53" t="n">
        <f aca="false">IF(U355&lt;0,IF(S355=1,5,0),IF(U355&lt;=30,1,IF(U355&lt;=60,2,IF(U355&lt;=90,3,4))))</f>
        <v>0</v>
      </c>
      <c r="W355" s="53" t="n">
        <f aca="false">IF(U355&lt;0,-1000000000000000,U355+ROW()/1000000)</f>
        <v>-1000000000000000</v>
      </c>
      <c r="X355" s="53" t="n">
        <f aca="false">IF(T355=1,IF(AND(ISNUMBER(F355),ISNUMBER(K355)),K355-F355,0),0)</f>
        <v>0</v>
      </c>
      <c r="Y355" s="53" t="n">
        <f aca="false">IF(T355=1,IF(AND(ISNUMBER(F355),ISNUMBER(K355)),1,0),0)</f>
        <v>0</v>
      </c>
      <c r="Z355" s="53" t="n">
        <f aca="false">IF(U355&gt;=Settings!$C$8,1,0)</f>
        <v>0</v>
      </c>
      <c r="AA355" s="53" t="n">
        <f aca="false">IF(S355=1,IF(J355="Listed / Publicado",0,1),0)</f>
        <v>0</v>
      </c>
      <c r="AB355" s="53" t="n">
        <f aca="false">IF(T355=1,IF(ISNUMBER(L355),L355-G355,0),0)</f>
        <v>0</v>
      </c>
      <c r="AC355" s="53" t="n">
        <f aca="false">IF(S355=1,IF(ISNUMBER(I355),I355-G355,0),0)</f>
        <v>0</v>
      </c>
    </row>
    <row r="356" customFormat="false" ht="15" hidden="false" customHeight="false" outlineLevel="0" collapsed="false">
      <c r="B356" s="54"/>
      <c r="C356" s="55"/>
      <c r="D356" s="55"/>
      <c r="E356" s="55"/>
      <c r="F356" s="56"/>
      <c r="G356" s="57"/>
      <c r="H356" s="55"/>
      <c r="I356" s="57"/>
      <c r="J356" s="54"/>
      <c r="K356" s="56"/>
      <c r="L356" s="57"/>
      <c r="M356" s="54"/>
      <c r="N356" s="58" t="str">
        <f aca="false">IF(S356=1,IF(U356&lt;0,"",U356),IF(Y356=1,X356,""))</f>
        <v/>
      </c>
      <c r="O356" s="59" t="str">
        <f aca="false">IF(S356=1,IF(ISNUMBER(I356),I356-G356,""),"")</f>
        <v/>
      </c>
      <c r="P356" s="59" t="str">
        <f aca="false">IF(T356=1,IF(ISNUMBER(L356),L356-G356,""),"")</f>
        <v/>
      </c>
      <c r="Q356" s="60" t="str">
        <f aca="false">IF(C356="","",IF(T356=1,"✔ SOLD / VENDIDO",IF(S356=0,"— CLOSED / CERRADO",IF(U356&lt;0,"⚠ ADD DATE / AGREGA FECHA",IF(U356&gt;=Settings!$C$8,"⚠ STALE – REPRICE / ESTANCADO",IF(U356&gt;=Settings!$C$7,"● WATCH / VIGILAR","✔ FRESH / RECIENTE"))))))</f>
        <v/>
      </c>
      <c r="S356" s="53" t="n">
        <f aca="false">IF(C356="",0,IF(OR(J356="",J356="In Stock / En Inventario",J356="Listed / Publicado"),1,0))</f>
        <v>0</v>
      </c>
      <c r="T356" s="53" t="n">
        <f aca="false">IF(C356="",0,IF(J356="Sold / Vendido",1,0))</f>
        <v>0</v>
      </c>
      <c r="U356" s="53" t="n">
        <f aca="true">IF(S356=1,IF(ISNUMBER(F356),TODAY()-F356,-1),-1)</f>
        <v>-1</v>
      </c>
      <c r="V356" s="53" t="n">
        <f aca="false">IF(U356&lt;0,IF(S356=1,5,0),IF(U356&lt;=30,1,IF(U356&lt;=60,2,IF(U356&lt;=90,3,4))))</f>
        <v>0</v>
      </c>
      <c r="W356" s="53" t="n">
        <f aca="false">IF(U356&lt;0,-1000000000000000,U356+ROW()/1000000)</f>
        <v>-1000000000000000</v>
      </c>
      <c r="X356" s="53" t="n">
        <f aca="false">IF(T356=1,IF(AND(ISNUMBER(F356),ISNUMBER(K356)),K356-F356,0),0)</f>
        <v>0</v>
      </c>
      <c r="Y356" s="53" t="n">
        <f aca="false">IF(T356=1,IF(AND(ISNUMBER(F356),ISNUMBER(K356)),1,0),0)</f>
        <v>0</v>
      </c>
      <c r="Z356" s="53" t="n">
        <f aca="false">IF(U356&gt;=Settings!$C$8,1,0)</f>
        <v>0</v>
      </c>
      <c r="AA356" s="53" t="n">
        <f aca="false">IF(S356=1,IF(J356="Listed / Publicado",0,1),0)</f>
        <v>0</v>
      </c>
      <c r="AB356" s="53" t="n">
        <f aca="false">IF(T356=1,IF(ISNUMBER(L356),L356-G356,0),0)</f>
        <v>0</v>
      </c>
      <c r="AC356" s="53" t="n">
        <f aca="false">IF(S356=1,IF(ISNUMBER(I356),I356-G356,0),0)</f>
        <v>0</v>
      </c>
    </row>
    <row r="357" customFormat="false" ht="15" hidden="false" customHeight="false" outlineLevel="0" collapsed="false">
      <c r="B357" s="54"/>
      <c r="C357" s="55"/>
      <c r="D357" s="55"/>
      <c r="E357" s="55"/>
      <c r="F357" s="56"/>
      <c r="G357" s="57"/>
      <c r="H357" s="55"/>
      <c r="I357" s="57"/>
      <c r="J357" s="54"/>
      <c r="K357" s="56"/>
      <c r="L357" s="57"/>
      <c r="M357" s="54"/>
      <c r="N357" s="58" t="str">
        <f aca="false">IF(S357=1,IF(U357&lt;0,"",U357),IF(Y357=1,X357,""))</f>
        <v/>
      </c>
      <c r="O357" s="59" t="str">
        <f aca="false">IF(S357=1,IF(ISNUMBER(I357),I357-G357,""),"")</f>
        <v/>
      </c>
      <c r="P357" s="59" t="str">
        <f aca="false">IF(T357=1,IF(ISNUMBER(L357),L357-G357,""),"")</f>
        <v/>
      </c>
      <c r="Q357" s="60" t="str">
        <f aca="false">IF(C357="","",IF(T357=1,"✔ SOLD / VENDIDO",IF(S357=0,"— CLOSED / CERRADO",IF(U357&lt;0,"⚠ ADD DATE / AGREGA FECHA",IF(U357&gt;=Settings!$C$8,"⚠ STALE – REPRICE / ESTANCADO",IF(U357&gt;=Settings!$C$7,"● WATCH / VIGILAR","✔ FRESH / RECIENTE"))))))</f>
        <v/>
      </c>
      <c r="S357" s="53" t="n">
        <f aca="false">IF(C357="",0,IF(OR(J357="",J357="In Stock / En Inventario",J357="Listed / Publicado"),1,0))</f>
        <v>0</v>
      </c>
      <c r="T357" s="53" t="n">
        <f aca="false">IF(C357="",0,IF(J357="Sold / Vendido",1,0))</f>
        <v>0</v>
      </c>
      <c r="U357" s="53" t="n">
        <f aca="true">IF(S357=1,IF(ISNUMBER(F357),TODAY()-F357,-1),-1)</f>
        <v>-1</v>
      </c>
      <c r="V357" s="53" t="n">
        <f aca="false">IF(U357&lt;0,IF(S357=1,5,0),IF(U357&lt;=30,1,IF(U357&lt;=60,2,IF(U357&lt;=90,3,4))))</f>
        <v>0</v>
      </c>
      <c r="W357" s="53" t="n">
        <f aca="false">IF(U357&lt;0,-1000000000000000,U357+ROW()/1000000)</f>
        <v>-1000000000000000</v>
      </c>
      <c r="X357" s="53" t="n">
        <f aca="false">IF(T357=1,IF(AND(ISNUMBER(F357),ISNUMBER(K357)),K357-F357,0),0)</f>
        <v>0</v>
      </c>
      <c r="Y357" s="53" t="n">
        <f aca="false">IF(T357=1,IF(AND(ISNUMBER(F357),ISNUMBER(K357)),1,0),0)</f>
        <v>0</v>
      </c>
      <c r="Z357" s="53" t="n">
        <f aca="false">IF(U357&gt;=Settings!$C$8,1,0)</f>
        <v>0</v>
      </c>
      <c r="AA357" s="53" t="n">
        <f aca="false">IF(S357=1,IF(J357="Listed / Publicado",0,1),0)</f>
        <v>0</v>
      </c>
      <c r="AB357" s="53" t="n">
        <f aca="false">IF(T357=1,IF(ISNUMBER(L357),L357-G357,0),0)</f>
        <v>0</v>
      </c>
      <c r="AC357" s="53" t="n">
        <f aca="false">IF(S357=1,IF(ISNUMBER(I357),I357-G357,0),0)</f>
        <v>0</v>
      </c>
    </row>
    <row r="358" customFormat="false" ht="15" hidden="false" customHeight="false" outlineLevel="0" collapsed="false">
      <c r="B358" s="54"/>
      <c r="C358" s="55"/>
      <c r="D358" s="55"/>
      <c r="E358" s="55"/>
      <c r="F358" s="56"/>
      <c r="G358" s="57"/>
      <c r="H358" s="55"/>
      <c r="I358" s="57"/>
      <c r="J358" s="54"/>
      <c r="K358" s="56"/>
      <c r="L358" s="57"/>
      <c r="M358" s="54"/>
      <c r="N358" s="58" t="str">
        <f aca="false">IF(S358=1,IF(U358&lt;0,"",U358),IF(Y358=1,X358,""))</f>
        <v/>
      </c>
      <c r="O358" s="59" t="str">
        <f aca="false">IF(S358=1,IF(ISNUMBER(I358),I358-G358,""),"")</f>
        <v/>
      </c>
      <c r="P358" s="59" t="str">
        <f aca="false">IF(T358=1,IF(ISNUMBER(L358),L358-G358,""),"")</f>
        <v/>
      </c>
      <c r="Q358" s="60" t="str">
        <f aca="false">IF(C358="","",IF(T358=1,"✔ SOLD / VENDIDO",IF(S358=0,"— CLOSED / CERRADO",IF(U358&lt;0,"⚠ ADD DATE / AGREGA FECHA",IF(U358&gt;=Settings!$C$8,"⚠ STALE – REPRICE / ESTANCADO",IF(U358&gt;=Settings!$C$7,"● WATCH / VIGILAR","✔ FRESH / RECIENTE"))))))</f>
        <v/>
      </c>
      <c r="S358" s="53" t="n">
        <f aca="false">IF(C358="",0,IF(OR(J358="",J358="In Stock / En Inventario",J358="Listed / Publicado"),1,0))</f>
        <v>0</v>
      </c>
      <c r="T358" s="53" t="n">
        <f aca="false">IF(C358="",0,IF(J358="Sold / Vendido",1,0))</f>
        <v>0</v>
      </c>
      <c r="U358" s="53" t="n">
        <f aca="true">IF(S358=1,IF(ISNUMBER(F358),TODAY()-F358,-1),-1)</f>
        <v>-1</v>
      </c>
      <c r="V358" s="53" t="n">
        <f aca="false">IF(U358&lt;0,IF(S358=1,5,0),IF(U358&lt;=30,1,IF(U358&lt;=60,2,IF(U358&lt;=90,3,4))))</f>
        <v>0</v>
      </c>
      <c r="W358" s="53" t="n">
        <f aca="false">IF(U358&lt;0,-1000000000000000,U358+ROW()/1000000)</f>
        <v>-1000000000000000</v>
      </c>
      <c r="X358" s="53" t="n">
        <f aca="false">IF(T358=1,IF(AND(ISNUMBER(F358),ISNUMBER(K358)),K358-F358,0),0)</f>
        <v>0</v>
      </c>
      <c r="Y358" s="53" t="n">
        <f aca="false">IF(T358=1,IF(AND(ISNUMBER(F358),ISNUMBER(K358)),1,0),0)</f>
        <v>0</v>
      </c>
      <c r="Z358" s="53" t="n">
        <f aca="false">IF(U358&gt;=Settings!$C$8,1,0)</f>
        <v>0</v>
      </c>
      <c r="AA358" s="53" t="n">
        <f aca="false">IF(S358=1,IF(J358="Listed / Publicado",0,1),0)</f>
        <v>0</v>
      </c>
      <c r="AB358" s="53" t="n">
        <f aca="false">IF(T358=1,IF(ISNUMBER(L358),L358-G358,0),0)</f>
        <v>0</v>
      </c>
      <c r="AC358" s="53" t="n">
        <f aca="false">IF(S358=1,IF(ISNUMBER(I358),I358-G358,0),0)</f>
        <v>0</v>
      </c>
    </row>
    <row r="359" customFormat="false" ht="15" hidden="false" customHeight="false" outlineLevel="0" collapsed="false">
      <c r="B359" s="54"/>
      <c r="C359" s="55"/>
      <c r="D359" s="55"/>
      <c r="E359" s="55"/>
      <c r="F359" s="56"/>
      <c r="G359" s="57"/>
      <c r="H359" s="55"/>
      <c r="I359" s="57"/>
      <c r="J359" s="54"/>
      <c r="K359" s="56"/>
      <c r="L359" s="57"/>
      <c r="M359" s="54"/>
      <c r="N359" s="58" t="str">
        <f aca="false">IF(S359=1,IF(U359&lt;0,"",U359),IF(Y359=1,X359,""))</f>
        <v/>
      </c>
      <c r="O359" s="59" t="str">
        <f aca="false">IF(S359=1,IF(ISNUMBER(I359),I359-G359,""),"")</f>
        <v/>
      </c>
      <c r="P359" s="59" t="str">
        <f aca="false">IF(T359=1,IF(ISNUMBER(L359),L359-G359,""),"")</f>
        <v/>
      </c>
      <c r="Q359" s="60" t="str">
        <f aca="false">IF(C359="","",IF(T359=1,"✔ SOLD / VENDIDO",IF(S359=0,"— CLOSED / CERRADO",IF(U359&lt;0,"⚠ ADD DATE / AGREGA FECHA",IF(U359&gt;=Settings!$C$8,"⚠ STALE – REPRICE / ESTANCADO",IF(U359&gt;=Settings!$C$7,"● WATCH / VIGILAR","✔ FRESH / RECIENTE"))))))</f>
        <v/>
      </c>
      <c r="S359" s="53" t="n">
        <f aca="false">IF(C359="",0,IF(OR(J359="",J359="In Stock / En Inventario",J359="Listed / Publicado"),1,0))</f>
        <v>0</v>
      </c>
      <c r="T359" s="53" t="n">
        <f aca="false">IF(C359="",0,IF(J359="Sold / Vendido",1,0))</f>
        <v>0</v>
      </c>
      <c r="U359" s="53" t="n">
        <f aca="true">IF(S359=1,IF(ISNUMBER(F359),TODAY()-F359,-1),-1)</f>
        <v>-1</v>
      </c>
      <c r="V359" s="53" t="n">
        <f aca="false">IF(U359&lt;0,IF(S359=1,5,0),IF(U359&lt;=30,1,IF(U359&lt;=60,2,IF(U359&lt;=90,3,4))))</f>
        <v>0</v>
      </c>
      <c r="W359" s="53" t="n">
        <f aca="false">IF(U359&lt;0,-1000000000000000,U359+ROW()/1000000)</f>
        <v>-1000000000000000</v>
      </c>
      <c r="X359" s="53" t="n">
        <f aca="false">IF(T359=1,IF(AND(ISNUMBER(F359),ISNUMBER(K359)),K359-F359,0),0)</f>
        <v>0</v>
      </c>
      <c r="Y359" s="53" t="n">
        <f aca="false">IF(T359=1,IF(AND(ISNUMBER(F359),ISNUMBER(K359)),1,0),0)</f>
        <v>0</v>
      </c>
      <c r="Z359" s="53" t="n">
        <f aca="false">IF(U359&gt;=Settings!$C$8,1,0)</f>
        <v>0</v>
      </c>
      <c r="AA359" s="53" t="n">
        <f aca="false">IF(S359=1,IF(J359="Listed / Publicado",0,1),0)</f>
        <v>0</v>
      </c>
      <c r="AB359" s="53" t="n">
        <f aca="false">IF(T359=1,IF(ISNUMBER(L359),L359-G359,0),0)</f>
        <v>0</v>
      </c>
      <c r="AC359" s="53" t="n">
        <f aca="false">IF(S359=1,IF(ISNUMBER(I359),I359-G359,0),0)</f>
        <v>0</v>
      </c>
    </row>
    <row r="360" customFormat="false" ht="15" hidden="false" customHeight="false" outlineLevel="0" collapsed="false">
      <c r="B360" s="54"/>
      <c r="C360" s="55"/>
      <c r="D360" s="55"/>
      <c r="E360" s="55"/>
      <c r="F360" s="56"/>
      <c r="G360" s="57"/>
      <c r="H360" s="55"/>
      <c r="I360" s="57"/>
      <c r="J360" s="54"/>
      <c r="K360" s="56"/>
      <c r="L360" s="57"/>
      <c r="M360" s="54"/>
      <c r="N360" s="58" t="str">
        <f aca="false">IF(S360=1,IF(U360&lt;0,"",U360),IF(Y360=1,X360,""))</f>
        <v/>
      </c>
      <c r="O360" s="59" t="str">
        <f aca="false">IF(S360=1,IF(ISNUMBER(I360),I360-G360,""),"")</f>
        <v/>
      </c>
      <c r="P360" s="59" t="str">
        <f aca="false">IF(T360=1,IF(ISNUMBER(L360),L360-G360,""),"")</f>
        <v/>
      </c>
      <c r="Q360" s="60" t="str">
        <f aca="false">IF(C360="","",IF(T360=1,"✔ SOLD / VENDIDO",IF(S360=0,"— CLOSED / CERRADO",IF(U360&lt;0,"⚠ ADD DATE / AGREGA FECHA",IF(U360&gt;=Settings!$C$8,"⚠ STALE – REPRICE / ESTANCADO",IF(U360&gt;=Settings!$C$7,"● WATCH / VIGILAR","✔ FRESH / RECIENTE"))))))</f>
        <v/>
      </c>
      <c r="S360" s="53" t="n">
        <f aca="false">IF(C360="",0,IF(OR(J360="",J360="In Stock / En Inventario",J360="Listed / Publicado"),1,0))</f>
        <v>0</v>
      </c>
      <c r="T360" s="53" t="n">
        <f aca="false">IF(C360="",0,IF(J360="Sold / Vendido",1,0))</f>
        <v>0</v>
      </c>
      <c r="U360" s="53" t="n">
        <f aca="true">IF(S360=1,IF(ISNUMBER(F360),TODAY()-F360,-1),-1)</f>
        <v>-1</v>
      </c>
      <c r="V360" s="53" t="n">
        <f aca="false">IF(U360&lt;0,IF(S360=1,5,0),IF(U360&lt;=30,1,IF(U360&lt;=60,2,IF(U360&lt;=90,3,4))))</f>
        <v>0</v>
      </c>
      <c r="W360" s="53" t="n">
        <f aca="false">IF(U360&lt;0,-1000000000000000,U360+ROW()/1000000)</f>
        <v>-1000000000000000</v>
      </c>
      <c r="X360" s="53" t="n">
        <f aca="false">IF(T360=1,IF(AND(ISNUMBER(F360),ISNUMBER(K360)),K360-F360,0),0)</f>
        <v>0</v>
      </c>
      <c r="Y360" s="53" t="n">
        <f aca="false">IF(T360=1,IF(AND(ISNUMBER(F360),ISNUMBER(K360)),1,0),0)</f>
        <v>0</v>
      </c>
      <c r="Z360" s="53" t="n">
        <f aca="false">IF(U360&gt;=Settings!$C$8,1,0)</f>
        <v>0</v>
      </c>
      <c r="AA360" s="53" t="n">
        <f aca="false">IF(S360=1,IF(J360="Listed / Publicado",0,1),0)</f>
        <v>0</v>
      </c>
      <c r="AB360" s="53" t="n">
        <f aca="false">IF(T360=1,IF(ISNUMBER(L360),L360-G360,0),0)</f>
        <v>0</v>
      </c>
      <c r="AC360" s="53" t="n">
        <f aca="false">IF(S360=1,IF(ISNUMBER(I360),I360-G360,0),0)</f>
        <v>0</v>
      </c>
    </row>
    <row r="361" customFormat="false" ht="15" hidden="false" customHeight="false" outlineLevel="0" collapsed="false">
      <c r="B361" s="54"/>
      <c r="C361" s="55"/>
      <c r="D361" s="55"/>
      <c r="E361" s="55"/>
      <c r="F361" s="56"/>
      <c r="G361" s="57"/>
      <c r="H361" s="55"/>
      <c r="I361" s="57"/>
      <c r="J361" s="54"/>
      <c r="K361" s="56"/>
      <c r="L361" s="57"/>
      <c r="M361" s="54"/>
      <c r="N361" s="58" t="str">
        <f aca="false">IF(S361=1,IF(U361&lt;0,"",U361),IF(Y361=1,X361,""))</f>
        <v/>
      </c>
      <c r="O361" s="59" t="str">
        <f aca="false">IF(S361=1,IF(ISNUMBER(I361),I361-G361,""),"")</f>
        <v/>
      </c>
      <c r="P361" s="59" t="str">
        <f aca="false">IF(T361=1,IF(ISNUMBER(L361),L361-G361,""),"")</f>
        <v/>
      </c>
      <c r="Q361" s="60" t="str">
        <f aca="false">IF(C361="","",IF(T361=1,"✔ SOLD / VENDIDO",IF(S361=0,"— CLOSED / CERRADO",IF(U361&lt;0,"⚠ ADD DATE / AGREGA FECHA",IF(U361&gt;=Settings!$C$8,"⚠ STALE – REPRICE / ESTANCADO",IF(U361&gt;=Settings!$C$7,"● WATCH / VIGILAR","✔ FRESH / RECIENTE"))))))</f>
        <v/>
      </c>
      <c r="S361" s="53" t="n">
        <f aca="false">IF(C361="",0,IF(OR(J361="",J361="In Stock / En Inventario",J361="Listed / Publicado"),1,0))</f>
        <v>0</v>
      </c>
      <c r="T361" s="53" t="n">
        <f aca="false">IF(C361="",0,IF(J361="Sold / Vendido",1,0))</f>
        <v>0</v>
      </c>
      <c r="U361" s="53" t="n">
        <f aca="true">IF(S361=1,IF(ISNUMBER(F361),TODAY()-F361,-1),-1)</f>
        <v>-1</v>
      </c>
      <c r="V361" s="53" t="n">
        <f aca="false">IF(U361&lt;0,IF(S361=1,5,0),IF(U361&lt;=30,1,IF(U361&lt;=60,2,IF(U361&lt;=90,3,4))))</f>
        <v>0</v>
      </c>
      <c r="W361" s="53" t="n">
        <f aca="false">IF(U361&lt;0,-1000000000000000,U361+ROW()/1000000)</f>
        <v>-1000000000000000</v>
      </c>
      <c r="X361" s="53" t="n">
        <f aca="false">IF(T361=1,IF(AND(ISNUMBER(F361),ISNUMBER(K361)),K361-F361,0),0)</f>
        <v>0</v>
      </c>
      <c r="Y361" s="53" t="n">
        <f aca="false">IF(T361=1,IF(AND(ISNUMBER(F361),ISNUMBER(K361)),1,0),0)</f>
        <v>0</v>
      </c>
      <c r="Z361" s="53" t="n">
        <f aca="false">IF(U361&gt;=Settings!$C$8,1,0)</f>
        <v>0</v>
      </c>
      <c r="AA361" s="53" t="n">
        <f aca="false">IF(S361=1,IF(J361="Listed / Publicado",0,1),0)</f>
        <v>0</v>
      </c>
      <c r="AB361" s="53" t="n">
        <f aca="false">IF(T361=1,IF(ISNUMBER(L361),L361-G361,0),0)</f>
        <v>0</v>
      </c>
      <c r="AC361" s="53" t="n">
        <f aca="false">IF(S361=1,IF(ISNUMBER(I361),I361-G361,0),0)</f>
        <v>0</v>
      </c>
    </row>
    <row r="362" customFormat="false" ht="15" hidden="false" customHeight="false" outlineLevel="0" collapsed="false">
      <c r="B362" s="54"/>
      <c r="C362" s="55"/>
      <c r="D362" s="55"/>
      <c r="E362" s="55"/>
      <c r="F362" s="56"/>
      <c r="G362" s="57"/>
      <c r="H362" s="55"/>
      <c r="I362" s="57"/>
      <c r="J362" s="54"/>
      <c r="K362" s="56"/>
      <c r="L362" s="57"/>
      <c r="M362" s="54"/>
      <c r="N362" s="58" t="str">
        <f aca="false">IF(S362=1,IF(U362&lt;0,"",U362),IF(Y362=1,X362,""))</f>
        <v/>
      </c>
      <c r="O362" s="59" t="str">
        <f aca="false">IF(S362=1,IF(ISNUMBER(I362),I362-G362,""),"")</f>
        <v/>
      </c>
      <c r="P362" s="59" t="str">
        <f aca="false">IF(T362=1,IF(ISNUMBER(L362),L362-G362,""),"")</f>
        <v/>
      </c>
      <c r="Q362" s="60" t="str">
        <f aca="false">IF(C362="","",IF(T362=1,"✔ SOLD / VENDIDO",IF(S362=0,"— CLOSED / CERRADO",IF(U362&lt;0,"⚠ ADD DATE / AGREGA FECHA",IF(U362&gt;=Settings!$C$8,"⚠ STALE – REPRICE / ESTANCADO",IF(U362&gt;=Settings!$C$7,"● WATCH / VIGILAR","✔ FRESH / RECIENTE"))))))</f>
        <v/>
      </c>
      <c r="S362" s="53" t="n">
        <f aca="false">IF(C362="",0,IF(OR(J362="",J362="In Stock / En Inventario",J362="Listed / Publicado"),1,0))</f>
        <v>0</v>
      </c>
      <c r="T362" s="53" t="n">
        <f aca="false">IF(C362="",0,IF(J362="Sold / Vendido",1,0))</f>
        <v>0</v>
      </c>
      <c r="U362" s="53" t="n">
        <f aca="true">IF(S362=1,IF(ISNUMBER(F362),TODAY()-F362,-1),-1)</f>
        <v>-1</v>
      </c>
      <c r="V362" s="53" t="n">
        <f aca="false">IF(U362&lt;0,IF(S362=1,5,0),IF(U362&lt;=30,1,IF(U362&lt;=60,2,IF(U362&lt;=90,3,4))))</f>
        <v>0</v>
      </c>
      <c r="W362" s="53" t="n">
        <f aca="false">IF(U362&lt;0,-1000000000000000,U362+ROW()/1000000)</f>
        <v>-1000000000000000</v>
      </c>
      <c r="X362" s="53" t="n">
        <f aca="false">IF(T362=1,IF(AND(ISNUMBER(F362),ISNUMBER(K362)),K362-F362,0),0)</f>
        <v>0</v>
      </c>
      <c r="Y362" s="53" t="n">
        <f aca="false">IF(T362=1,IF(AND(ISNUMBER(F362),ISNUMBER(K362)),1,0),0)</f>
        <v>0</v>
      </c>
      <c r="Z362" s="53" t="n">
        <f aca="false">IF(U362&gt;=Settings!$C$8,1,0)</f>
        <v>0</v>
      </c>
      <c r="AA362" s="53" t="n">
        <f aca="false">IF(S362=1,IF(J362="Listed / Publicado",0,1),0)</f>
        <v>0</v>
      </c>
      <c r="AB362" s="53" t="n">
        <f aca="false">IF(T362=1,IF(ISNUMBER(L362),L362-G362,0),0)</f>
        <v>0</v>
      </c>
      <c r="AC362" s="53" t="n">
        <f aca="false">IF(S362=1,IF(ISNUMBER(I362),I362-G362,0),0)</f>
        <v>0</v>
      </c>
    </row>
    <row r="363" customFormat="false" ht="15" hidden="false" customHeight="false" outlineLevel="0" collapsed="false">
      <c r="B363" s="54"/>
      <c r="C363" s="55"/>
      <c r="D363" s="55"/>
      <c r="E363" s="55"/>
      <c r="F363" s="56"/>
      <c r="G363" s="57"/>
      <c r="H363" s="55"/>
      <c r="I363" s="57"/>
      <c r="J363" s="54"/>
      <c r="K363" s="56"/>
      <c r="L363" s="57"/>
      <c r="M363" s="54"/>
      <c r="N363" s="58" t="str">
        <f aca="false">IF(S363=1,IF(U363&lt;0,"",U363),IF(Y363=1,X363,""))</f>
        <v/>
      </c>
      <c r="O363" s="59" t="str">
        <f aca="false">IF(S363=1,IF(ISNUMBER(I363),I363-G363,""),"")</f>
        <v/>
      </c>
      <c r="P363" s="59" t="str">
        <f aca="false">IF(T363=1,IF(ISNUMBER(L363),L363-G363,""),"")</f>
        <v/>
      </c>
      <c r="Q363" s="60" t="str">
        <f aca="false">IF(C363="","",IF(T363=1,"✔ SOLD / VENDIDO",IF(S363=0,"— CLOSED / CERRADO",IF(U363&lt;0,"⚠ ADD DATE / AGREGA FECHA",IF(U363&gt;=Settings!$C$8,"⚠ STALE – REPRICE / ESTANCADO",IF(U363&gt;=Settings!$C$7,"● WATCH / VIGILAR","✔ FRESH / RECIENTE"))))))</f>
        <v/>
      </c>
      <c r="S363" s="53" t="n">
        <f aca="false">IF(C363="",0,IF(OR(J363="",J363="In Stock / En Inventario",J363="Listed / Publicado"),1,0))</f>
        <v>0</v>
      </c>
      <c r="T363" s="53" t="n">
        <f aca="false">IF(C363="",0,IF(J363="Sold / Vendido",1,0))</f>
        <v>0</v>
      </c>
      <c r="U363" s="53" t="n">
        <f aca="true">IF(S363=1,IF(ISNUMBER(F363),TODAY()-F363,-1),-1)</f>
        <v>-1</v>
      </c>
      <c r="V363" s="53" t="n">
        <f aca="false">IF(U363&lt;0,IF(S363=1,5,0),IF(U363&lt;=30,1,IF(U363&lt;=60,2,IF(U363&lt;=90,3,4))))</f>
        <v>0</v>
      </c>
      <c r="W363" s="53" t="n">
        <f aca="false">IF(U363&lt;0,-1000000000000000,U363+ROW()/1000000)</f>
        <v>-1000000000000000</v>
      </c>
      <c r="X363" s="53" t="n">
        <f aca="false">IF(T363=1,IF(AND(ISNUMBER(F363),ISNUMBER(K363)),K363-F363,0),0)</f>
        <v>0</v>
      </c>
      <c r="Y363" s="53" t="n">
        <f aca="false">IF(T363=1,IF(AND(ISNUMBER(F363),ISNUMBER(K363)),1,0),0)</f>
        <v>0</v>
      </c>
      <c r="Z363" s="53" t="n">
        <f aca="false">IF(U363&gt;=Settings!$C$8,1,0)</f>
        <v>0</v>
      </c>
      <c r="AA363" s="53" t="n">
        <f aca="false">IF(S363=1,IF(J363="Listed / Publicado",0,1),0)</f>
        <v>0</v>
      </c>
      <c r="AB363" s="53" t="n">
        <f aca="false">IF(T363=1,IF(ISNUMBER(L363),L363-G363,0),0)</f>
        <v>0</v>
      </c>
      <c r="AC363" s="53" t="n">
        <f aca="false">IF(S363=1,IF(ISNUMBER(I363),I363-G363,0),0)</f>
        <v>0</v>
      </c>
    </row>
    <row r="364" customFormat="false" ht="15" hidden="false" customHeight="false" outlineLevel="0" collapsed="false">
      <c r="B364" s="54"/>
      <c r="C364" s="55"/>
      <c r="D364" s="55"/>
      <c r="E364" s="55"/>
      <c r="F364" s="56"/>
      <c r="G364" s="57"/>
      <c r="H364" s="55"/>
      <c r="I364" s="57"/>
      <c r="J364" s="54"/>
      <c r="K364" s="56"/>
      <c r="L364" s="57"/>
      <c r="M364" s="54"/>
      <c r="N364" s="58" t="str">
        <f aca="false">IF(S364=1,IF(U364&lt;0,"",U364),IF(Y364=1,X364,""))</f>
        <v/>
      </c>
      <c r="O364" s="59" t="str">
        <f aca="false">IF(S364=1,IF(ISNUMBER(I364),I364-G364,""),"")</f>
        <v/>
      </c>
      <c r="P364" s="59" t="str">
        <f aca="false">IF(T364=1,IF(ISNUMBER(L364),L364-G364,""),"")</f>
        <v/>
      </c>
      <c r="Q364" s="60" t="str">
        <f aca="false">IF(C364="","",IF(T364=1,"✔ SOLD / VENDIDO",IF(S364=0,"— CLOSED / CERRADO",IF(U364&lt;0,"⚠ ADD DATE / AGREGA FECHA",IF(U364&gt;=Settings!$C$8,"⚠ STALE – REPRICE / ESTANCADO",IF(U364&gt;=Settings!$C$7,"● WATCH / VIGILAR","✔ FRESH / RECIENTE"))))))</f>
        <v/>
      </c>
      <c r="S364" s="53" t="n">
        <f aca="false">IF(C364="",0,IF(OR(J364="",J364="In Stock / En Inventario",J364="Listed / Publicado"),1,0))</f>
        <v>0</v>
      </c>
      <c r="T364" s="53" t="n">
        <f aca="false">IF(C364="",0,IF(J364="Sold / Vendido",1,0))</f>
        <v>0</v>
      </c>
      <c r="U364" s="53" t="n">
        <f aca="true">IF(S364=1,IF(ISNUMBER(F364),TODAY()-F364,-1),-1)</f>
        <v>-1</v>
      </c>
      <c r="V364" s="53" t="n">
        <f aca="false">IF(U364&lt;0,IF(S364=1,5,0),IF(U364&lt;=30,1,IF(U364&lt;=60,2,IF(U364&lt;=90,3,4))))</f>
        <v>0</v>
      </c>
      <c r="W364" s="53" t="n">
        <f aca="false">IF(U364&lt;0,-1000000000000000,U364+ROW()/1000000)</f>
        <v>-1000000000000000</v>
      </c>
      <c r="X364" s="53" t="n">
        <f aca="false">IF(T364=1,IF(AND(ISNUMBER(F364),ISNUMBER(K364)),K364-F364,0),0)</f>
        <v>0</v>
      </c>
      <c r="Y364" s="53" t="n">
        <f aca="false">IF(T364=1,IF(AND(ISNUMBER(F364),ISNUMBER(K364)),1,0),0)</f>
        <v>0</v>
      </c>
      <c r="Z364" s="53" t="n">
        <f aca="false">IF(U364&gt;=Settings!$C$8,1,0)</f>
        <v>0</v>
      </c>
      <c r="AA364" s="53" t="n">
        <f aca="false">IF(S364=1,IF(J364="Listed / Publicado",0,1),0)</f>
        <v>0</v>
      </c>
      <c r="AB364" s="53" t="n">
        <f aca="false">IF(T364=1,IF(ISNUMBER(L364),L364-G364,0),0)</f>
        <v>0</v>
      </c>
      <c r="AC364" s="53" t="n">
        <f aca="false">IF(S364=1,IF(ISNUMBER(I364),I364-G364,0),0)</f>
        <v>0</v>
      </c>
    </row>
    <row r="365" customFormat="false" ht="15" hidden="false" customHeight="false" outlineLevel="0" collapsed="false">
      <c r="B365" s="54"/>
      <c r="C365" s="55"/>
      <c r="D365" s="55"/>
      <c r="E365" s="55"/>
      <c r="F365" s="56"/>
      <c r="G365" s="57"/>
      <c r="H365" s="55"/>
      <c r="I365" s="57"/>
      <c r="J365" s="54"/>
      <c r="K365" s="56"/>
      <c r="L365" s="57"/>
      <c r="M365" s="54"/>
      <c r="N365" s="58" t="str">
        <f aca="false">IF(S365=1,IF(U365&lt;0,"",U365),IF(Y365=1,X365,""))</f>
        <v/>
      </c>
      <c r="O365" s="59" t="str">
        <f aca="false">IF(S365=1,IF(ISNUMBER(I365),I365-G365,""),"")</f>
        <v/>
      </c>
      <c r="P365" s="59" t="str">
        <f aca="false">IF(T365=1,IF(ISNUMBER(L365),L365-G365,""),"")</f>
        <v/>
      </c>
      <c r="Q365" s="60" t="str">
        <f aca="false">IF(C365="","",IF(T365=1,"✔ SOLD / VENDIDO",IF(S365=0,"— CLOSED / CERRADO",IF(U365&lt;0,"⚠ ADD DATE / AGREGA FECHA",IF(U365&gt;=Settings!$C$8,"⚠ STALE – REPRICE / ESTANCADO",IF(U365&gt;=Settings!$C$7,"● WATCH / VIGILAR","✔ FRESH / RECIENTE"))))))</f>
        <v/>
      </c>
      <c r="S365" s="53" t="n">
        <f aca="false">IF(C365="",0,IF(OR(J365="",J365="In Stock / En Inventario",J365="Listed / Publicado"),1,0))</f>
        <v>0</v>
      </c>
      <c r="T365" s="53" t="n">
        <f aca="false">IF(C365="",0,IF(J365="Sold / Vendido",1,0))</f>
        <v>0</v>
      </c>
      <c r="U365" s="53" t="n">
        <f aca="true">IF(S365=1,IF(ISNUMBER(F365),TODAY()-F365,-1),-1)</f>
        <v>-1</v>
      </c>
      <c r="V365" s="53" t="n">
        <f aca="false">IF(U365&lt;0,IF(S365=1,5,0),IF(U365&lt;=30,1,IF(U365&lt;=60,2,IF(U365&lt;=90,3,4))))</f>
        <v>0</v>
      </c>
      <c r="W365" s="53" t="n">
        <f aca="false">IF(U365&lt;0,-1000000000000000,U365+ROW()/1000000)</f>
        <v>-1000000000000000</v>
      </c>
      <c r="X365" s="53" t="n">
        <f aca="false">IF(T365=1,IF(AND(ISNUMBER(F365),ISNUMBER(K365)),K365-F365,0),0)</f>
        <v>0</v>
      </c>
      <c r="Y365" s="53" t="n">
        <f aca="false">IF(T365=1,IF(AND(ISNUMBER(F365),ISNUMBER(K365)),1,0),0)</f>
        <v>0</v>
      </c>
      <c r="Z365" s="53" t="n">
        <f aca="false">IF(U365&gt;=Settings!$C$8,1,0)</f>
        <v>0</v>
      </c>
      <c r="AA365" s="53" t="n">
        <f aca="false">IF(S365=1,IF(J365="Listed / Publicado",0,1),0)</f>
        <v>0</v>
      </c>
      <c r="AB365" s="53" t="n">
        <f aca="false">IF(T365=1,IF(ISNUMBER(L365),L365-G365,0),0)</f>
        <v>0</v>
      </c>
      <c r="AC365" s="53" t="n">
        <f aca="false">IF(S365=1,IF(ISNUMBER(I365),I365-G365,0),0)</f>
        <v>0</v>
      </c>
    </row>
    <row r="366" customFormat="false" ht="15" hidden="false" customHeight="false" outlineLevel="0" collapsed="false">
      <c r="B366" s="54"/>
      <c r="C366" s="55"/>
      <c r="D366" s="55"/>
      <c r="E366" s="55"/>
      <c r="F366" s="56"/>
      <c r="G366" s="57"/>
      <c r="H366" s="55"/>
      <c r="I366" s="57"/>
      <c r="J366" s="54"/>
      <c r="K366" s="56"/>
      <c r="L366" s="57"/>
      <c r="M366" s="54"/>
      <c r="N366" s="58" t="str">
        <f aca="false">IF(S366=1,IF(U366&lt;0,"",U366),IF(Y366=1,X366,""))</f>
        <v/>
      </c>
      <c r="O366" s="59" t="str">
        <f aca="false">IF(S366=1,IF(ISNUMBER(I366),I366-G366,""),"")</f>
        <v/>
      </c>
      <c r="P366" s="59" t="str">
        <f aca="false">IF(T366=1,IF(ISNUMBER(L366),L366-G366,""),"")</f>
        <v/>
      </c>
      <c r="Q366" s="60" t="str">
        <f aca="false">IF(C366="","",IF(T366=1,"✔ SOLD / VENDIDO",IF(S366=0,"— CLOSED / CERRADO",IF(U366&lt;0,"⚠ ADD DATE / AGREGA FECHA",IF(U366&gt;=Settings!$C$8,"⚠ STALE – REPRICE / ESTANCADO",IF(U366&gt;=Settings!$C$7,"● WATCH / VIGILAR","✔ FRESH / RECIENTE"))))))</f>
        <v/>
      </c>
      <c r="S366" s="53" t="n">
        <f aca="false">IF(C366="",0,IF(OR(J366="",J366="In Stock / En Inventario",J366="Listed / Publicado"),1,0))</f>
        <v>0</v>
      </c>
      <c r="T366" s="53" t="n">
        <f aca="false">IF(C366="",0,IF(J366="Sold / Vendido",1,0))</f>
        <v>0</v>
      </c>
      <c r="U366" s="53" t="n">
        <f aca="true">IF(S366=1,IF(ISNUMBER(F366),TODAY()-F366,-1),-1)</f>
        <v>-1</v>
      </c>
      <c r="V366" s="53" t="n">
        <f aca="false">IF(U366&lt;0,IF(S366=1,5,0),IF(U366&lt;=30,1,IF(U366&lt;=60,2,IF(U366&lt;=90,3,4))))</f>
        <v>0</v>
      </c>
      <c r="W366" s="53" t="n">
        <f aca="false">IF(U366&lt;0,-1000000000000000,U366+ROW()/1000000)</f>
        <v>-1000000000000000</v>
      </c>
      <c r="X366" s="53" t="n">
        <f aca="false">IF(T366=1,IF(AND(ISNUMBER(F366),ISNUMBER(K366)),K366-F366,0),0)</f>
        <v>0</v>
      </c>
      <c r="Y366" s="53" t="n">
        <f aca="false">IF(T366=1,IF(AND(ISNUMBER(F366),ISNUMBER(K366)),1,0),0)</f>
        <v>0</v>
      </c>
      <c r="Z366" s="53" t="n">
        <f aca="false">IF(U366&gt;=Settings!$C$8,1,0)</f>
        <v>0</v>
      </c>
      <c r="AA366" s="53" t="n">
        <f aca="false">IF(S366=1,IF(J366="Listed / Publicado",0,1),0)</f>
        <v>0</v>
      </c>
      <c r="AB366" s="53" t="n">
        <f aca="false">IF(T366=1,IF(ISNUMBER(L366),L366-G366,0),0)</f>
        <v>0</v>
      </c>
      <c r="AC366" s="53" t="n">
        <f aca="false">IF(S366=1,IF(ISNUMBER(I366),I366-G366,0),0)</f>
        <v>0</v>
      </c>
    </row>
    <row r="367" customFormat="false" ht="15" hidden="false" customHeight="false" outlineLevel="0" collapsed="false">
      <c r="B367" s="54"/>
      <c r="C367" s="55"/>
      <c r="D367" s="55"/>
      <c r="E367" s="55"/>
      <c r="F367" s="56"/>
      <c r="G367" s="57"/>
      <c r="H367" s="55"/>
      <c r="I367" s="57"/>
      <c r="J367" s="54"/>
      <c r="K367" s="56"/>
      <c r="L367" s="57"/>
      <c r="M367" s="54"/>
      <c r="N367" s="58" t="str">
        <f aca="false">IF(S367=1,IF(U367&lt;0,"",U367),IF(Y367=1,X367,""))</f>
        <v/>
      </c>
      <c r="O367" s="59" t="str">
        <f aca="false">IF(S367=1,IF(ISNUMBER(I367),I367-G367,""),"")</f>
        <v/>
      </c>
      <c r="P367" s="59" t="str">
        <f aca="false">IF(T367=1,IF(ISNUMBER(L367),L367-G367,""),"")</f>
        <v/>
      </c>
      <c r="Q367" s="60" t="str">
        <f aca="false">IF(C367="","",IF(T367=1,"✔ SOLD / VENDIDO",IF(S367=0,"— CLOSED / CERRADO",IF(U367&lt;0,"⚠ ADD DATE / AGREGA FECHA",IF(U367&gt;=Settings!$C$8,"⚠ STALE – REPRICE / ESTANCADO",IF(U367&gt;=Settings!$C$7,"● WATCH / VIGILAR","✔ FRESH / RECIENTE"))))))</f>
        <v/>
      </c>
      <c r="S367" s="53" t="n">
        <f aca="false">IF(C367="",0,IF(OR(J367="",J367="In Stock / En Inventario",J367="Listed / Publicado"),1,0))</f>
        <v>0</v>
      </c>
      <c r="T367" s="53" t="n">
        <f aca="false">IF(C367="",0,IF(J367="Sold / Vendido",1,0))</f>
        <v>0</v>
      </c>
      <c r="U367" s="53" t="n">
        <f aca="true">IF(S367=1,IF(ISNUMBER(F367),TODAY()-F367,-1),-1)</f>
        <v>-1</v>
      </c>
      <c r="V367" s="53" t="n">
        <f aca="false">IF(U367&lt;0,IF(S367=1,5,0),IF(U367&lt;=30,1,IF(U367&lt;=60,2,IF(U367&lt;=90,3,4))))</f>
        <v>0</v>
      </c>
      <c r="W367" s="53" t="n">
        <f aca="false">IF(U367&lt;0,-1000000000000000,U367+ROW()/1000000)</f>
        <v>-1000000000000000</v>
      </c>
      <c r="X367" s="53" t="n">
        <f aca="false">IF(T367=1,IF(AND(ISNUMBER(F367),ISNUMBER(K367)),K367-F367,0),0)</f>
        <v>0</v>
      </c>
      <c r="Y367" s="53" t="n">
        <f aca="false">IF(T367=1,IF(AND(ISNUMBER(F367),ISNUMBER(K367)),1,0),0)</f>
        <v>0</v>
      </c>
      <c r="Z367" s="53" t="n">
        <f aca="false">IF(U367&gt;=Settings!$C$8,1,0)</f>
        <v>0</v>
      </c>
      <c r="AA367" s="53" t="n">
        <f aca="false">IF(S367=1,IF(J367="Listed / Publicado",0,1),0)</f>
        <v>0</v>
      </c>
      <c r="AB367" s="53" t="n">
        <f aca="false">IF(T367=1,IF(ISNUMBER(L367),L367-G367,0),0)</f>
        <v>0</v>
      </c>
      <c r="AC367" s="53" t="n">
        <f aca="false">IF(S367=1,IF(ISNUMBER(I367),I367-G367,0),0)</f>
        <v>0</v>
      </c>
    </row>
    <row r="368" customFormat="false" ht="15" hidden="false" customHeight="false" outlineLevel="0" collapsed="false">
      <c r="B368" s="54"/>
      <c r="C368" s="55"/>
      <c r="D368" s="55"/>
      <c r="E368" s="55"/>
      <c r="F368" s="56"/>
      <c r="G368" s="57"/>
      <c r="H368" s="55"/>
      <c r="I368" s="57"/>
      <c r="J368" s="54"/>
      <c r="K368" s="56"/>
      <c r="L368" s="57"/>
      <c r="M368" s="54"/>
      <c r="N368" s="58" t="str">
        <f aca="false">IF(S368=1,IF(U368&lt;0,"",U368),IF(Y368=1,X368,""))</f>
        <v/>
      </c>
      <c r="O368" s="59" t="str">
        <f aca="false">IF(S368=1,IF(ISNUMBER(I368),I368-G368,""),"")</f>
        <v/>
      </c>
      <c r="P368" s="59" t="str">
        <f aca="false">IF(T368=1,IF(ISNUMBER(L368),L368-G368,""),"")</f>
        <v/>
      </c>
      <c r="Q368" s="60" t="str">
        <f aca="false">IF(C368="","",IF(T368=1,"✔ SOLD / VENDIDO",IF(S368=0,"— CLOSED / CERRADO",IF(U368&lt;0,"⚠ ADD DATE / AGREGA FECHA",IF(U368&gt;=Settings!$C$8,"⚠ STALE – REPRICE / ESTANCADO",IF(U368&gt;=Settings!$C$7,"● WATCH / VIGILAR","✔ FRESH / RECIENTE"))))))</f>
        <v/>
      </c>
      <c r="S368" s="53" t="n">
        <f aca="false">IF(C368="",0,IF(OR(J368="",J368="In Stock / En Inventario",J368="Listed / Publicado"),1,0))</f>
        <v>0</v>
      </c>
      <c r="T368" s="53" t="n">
        <f aca="false">IF(C368="",0,IF(J368="Sold / Vendido",1,0))</f>
        <v>0</v>
      </c>
      <c r="U368" s="53" t="n">
        <f aca="true">IF(S368=1,IF(ISNUMBER(F368),TODAY()-F368,-1),-1)</f>
        <v>-1</v>
      </c>
      <c r="V368" s="53" t="n">
        <f aca="false">IF(U368&lt;0,IF(S368=1,5,0),IF(U368&lt;=30,1,IF(U368&lt;=60,2,IF(U368&lt;=90,3,4))))</f>
        <v>0</v>
      </c>
      <c r="W368" s="53" t="n">
        <f aca="false">IF(U368&lt;0,-1000000000000000,U368+ROW()/1000000)</f>
        <v>-1000000000000000</v>
      </c>
      <c r="X368" s="53" t="n">
        <f aca="false">IF(T368=1,IF(AND(ISNUMBER(F368),ISNUMBER(K368)),K368-F368,0),0)</f>
        <v>0</v>
      </c>
      <c r="Y368" s="53" t="n">
        <f aca="false">IF(T368=1,IF(AND(ISNUMBER(F368),ISNUMBER(K368)),1,0),0)</f>
        <v>0</v>
      </c>
      <c r="Z368" s="53" t="n">
        <f aca="false">IF(U368&gt;=Settings!$C$8,1,0)</f>
        <v>0</v>
      </c>
      <c r="AA368" s="53" t="n">
        <f aca="false">IF(S368=1,IF(J368="Listed / Publicado",0,1),0)</f>
        <v>0</v>
      </c>
      <c r="AB368" s="53" t="n">
        <f aca="false">IF(T368=1,IF(ISNUMBER(L368),L368-G368,0),0)</f>
        <v>0</v>
      </c>
      <c r="AC368" s="53" t="n">
        <f aca="false">IF(S368=1,IF(ISNUMBER(I368),I368-G368,0),0)</f>
        <v>0</v>
      </c>
    </row>
    <row r="369" customFormat="false" ht="15" hidden="false" customHeight="false" outlineLevel="0" collapsed="false">
      <c r="B369" s="54"/>
      <c r="C369" s="55"/>
      <c r="D369" s="55"/>
      <c r="E369" s="55"/>
      <c r="F369" s="56"/>
      <c r="G369" s="57"/>
      <c r="H369" s="55"/>
      <c r="I369" s="57"/>
      <c r="J369" s="54"/>
      <c r="K369" s="56"/>
      <c r="L369" s="57"/>
      <c r="M369" s="54"/>
      <c r="N369" s="58" t="str">
        <f aca="false">IF(S369=1,IF(U369&lt;0,"",U369),IF(Y369=1,X369,""))</f>
        <v/>
      </c>
      <c r="O369" s="59" t="str">
        <f aca="false">IF(S369=1,IF(ISNUMBER(I369),I369-G369,""),"")</f>
        <v/>
      </c>
      <c r="P369" s="59" t="str">
        <f aca="false">IF(T369=1,IF(ISNUMBER(L369),L369-G369,""),"")</f>
        <v/>
      </c>
      <c r="Q369" s="60" t="str">
        <f aca="false">IF(C369="","",IF(T369=1,"✔ SOLD / VENDIDO",IF(S369=0,"— CLOSED / CERRADO",IF(U369&lt;0,"⚠ ADD DATE / AGREGA FECHA",IF(U369&gt;=Settings!$C$8,"⚠ STALE – REPRICE / ESTANCADO",IF(U369&gt;=Settings!$C$7,"● WATCH / VIGILAR","✔ FRESH / RECIENTE"))))))</f>
        <v/>
      </c>
      <c r="S369" s="53" t="n">
        <f aca="false">IF(C369="",0,IF(OR(J369="",J369="In Stock / En Inventario",J369="Listed / Publicado"),1,0))</f>
        <v>0</v>
      </c>
      <c r="T369" s="53" t="n">
        <f aca="false">IF(C369="",0,IF(J369="Sold / Vendido",1,0))</f>
        <v>0</v>
      </c>
      <c r="U369" s="53" t="n">
        <f aca="true">IF(S369=1,IF(ISNUMBER(F369),TODAY()-F369,-1),-1)</f>
        <v>-1</v>
      </c>
      <c r="V369" s="53" t="n">
        <f aca="false">IF(U369&lt;0,IF(S369=1,5,0),IF(U369&lt;=30,1,IF(U369&lt;=60,2,IF(U369&lt;=90,3,4))))</f>
        <v>0</v>
      </c>
      <c r="W369" s="53" t="n">
        <f aca="false">IF(U369&lt;0,-1000000000000000,U369+ROW()/1000000)</f>
        <v>-1000000000000000</v>
      </c>
      <c r="X369" s="53" t="n">
        <f aca="false">IF(T369=1,IF(AND(ISNUMBER(F369),ISNUMBER(K369)),K369-F369,0),0)</f>
        <v>0</v>
      </c>
      <c r="Y369" s="53" t="n">
        <f aca="false">IF(T369=1,IF(AND(ISNUMBER(F369),ISNUMBER(K369)),1,0),0)</f>
        <v>0</v>
      </c>
      <c r="Z369" s="53" t="n">
        <f aca="false">IF(U369&gt;=Settings!$C$8,1,0)</f>
        <v>0</v>
      </c>
      <c r="AA369" s="53" t="n">
        <f aca="false">IF(S369=1,IF(J369="Listed / Publicado",0,1),0)</f>
        <v>0</v>
      </c>
      <c r="AB369" s="53" t="n">
        <f aca="false">IF(T369=1,IF(ISNUMBER(L369),L369-G369,0),0)</f>
        <v>0</v>
      </c>
      <c r="AC369" s="53" t="n">
        <f aca="false">IF(S369=1,IF(ISNUMBER(I369),I369-G369,0),0)</f>
        <v>0</v>
      </c>
    </row>
    <row r="370" customFormat="false" ht="15" hidden="false" customHeight="false" outlineLevel="0" collapsed="false">
      <c r="B370" s="54"/>
      <c r="C370" s="55"/>
      <c r="D370" s="55"/>
      <c r="E370" s="55"/>
      <c r="F370" s="56"/>
      <c r="G370" s="57"/>
      <c r="H370" s="55"/>
      <c r="I370" s="57"/>
      <c r="J370" s="54"/>
      <c r="K370" s="56"/>
      <c r="L370" s="57"/>
      <c r="M370" s="54"/>
      <c r="N370" s="58" t="str">
        <f aca="false">IF(S370=1,IF(U370&lt;0,"",U370),IF(Y370=1,X370,""))</f>
        <v/>
      </c>
      <c r="O370" s="59" t="str">
        <f aca="false">IF(S370=1,IF(ISNUMBER(I370),I370-G370,""),"")</f>
        <v/>
      </c>
      <c r="P370" s="59" t="str">
        <f aca="false">IF(T370=1,IF(ISNUMBER(L370),L370-G370,""),"")</f>
        <v/>
      </c>
      <c r="Q370" s="60" t="str">
        <f aca="false">IF(C370="","",IF(T370=1,"✔ SOLD / VENDIDO",IF(S370=0,"— CLOSED / CERRADO",IF(U370&lt;0,"⚠ ADD DATE / AGREGA FECHA",IF(U370&gt;=Settings!$C$8,"⚠ STALE – REPRICE / ESTANCADO",IF(U370&gt;=Settings!$C$7,"● WATCH / VIGILAR","✔ FRESH / RECIENTE"))))))</f>
        <v/>
      </c>
      <c r="S370" s="53" t="n">
        <f aca="false">IF(C370="",0,IF(OR(J370="",J370="In Stock / En Inventario",J370="Listed / Publicado"),1,0))</f>
        <v>0</v>
      </c>
      <c r="T370" s="53" t="n">
        <f aca="false">IF(C370="",0,IF(J370="Sold / Vendido",1,0))</f>
        <v>0</v>
      </c>
      <c r="U370" s="53" t="n">
        <f aca="true">IF(S370=1,IF(ISNUMBER(F370),TODAY()-F370,-1),-1)</f>
        <v>-1</v>
      </c>
      <c r="V370" s="53" t="n">
        <f aca="false">IF(U370&lt;0,IF(S370=1,5,0),IF(U370&lt;=30,1,IF(U370&lt;=60,2,IF(U370&lt;=90,3,4))))</f>
        <v>0</v>
      </c>
      <c r="W370" s="53" t="n">
        <f aca="false">IF(U370&lt;0,-1000000000000000,U370+ROW()/1000000)</f>
        <v>-1000000000000000</v>
      </c>
      <c r="X370" s="53" t="n">
        <f aca="false">IF(T370=1,IF(AND(ISNUMBER(F370),ISNUMBER(K370)),K370-F370,0),0)</f>
        <v>0</v>
      </c>
      <c r="Y370" s="53" t="n">
        <f aca="false">IF(T370=1,IF(AND(ISNUMBER(F370),ISNUMBER(K370)),1,0),0)</f>
        <v>0</v>
      </c>
      <c r="Z370" s="53" t="n">
        <f aca="false">IF(U370&gt;=Settings!$C$8,1,0)</f>
        <v>0</v>
      </c>
      <c r="AA370" s="53" t="n">
        <f aca="false">IF(S370=1,IF(J370="Listed / Publicado",0,1),0)</f>
        <v>0</v>
      </c>
      <c r="AB370" s="53" t="n">
        <f aca="false">IF(T370=1,IF(ISNUMBER(L370),L370-G370,0),0)</f>
        <v>0</v>
      </c>
      <c r="AC370" s="53" t="n">
        <f aca="false">IF(S370=1,IF(ISNUMBER(I370),I370-G370,0),0)</f>
        <v>0</v>
      </c>
    </row>
    <row r="371" customFormat="false" ht="15" hidden="false" customHeight="false" outlineLevel="0" collapsed="false">
      <c r="B371" s="54"/>
      <c r="C371" s="55"/>
      <c r="D371" s="55"/>
      <c r="E371" s="55"/>
      <c r="F371" s="56"/>
      <c r="G371" s="57"/>
      <c r="H371" s="55"/>
      <c r="I371" s="57"/>
      <c r="J371" s="54"/>
      <c r="K371" s="56"/>
      <c r="L371" s="57"/>
      <c r="M371" s="54"/>
      <c r="N371" s="58" t="str">
        <f aca="false">IF(S371=1,IF(U371&lt;0,"",U371),IF(Y371=1,X371,""))</f>
        <v/>
      </c>
      <c r="O371" s="59" t="str">
        <f aca="false">IF(S371=1,IF(ISNUMBER(I371),I371-G371,""),"")</f>
        <v/>
      </c>
      <c r="P371" s="59" t="str">
        <f aca="false">IF(T371=1,IF(ISNUMBER(L371),L371-G371,""),"")</f>
        <v/>
      </c>
      <c r="Q371" s="60" t="str">
        <f aca="false">IF(C371="","",IF(T371=1,"✔ SOLD / VENDIDO",IF(S371=0,"— CLOSED / CERRADO",IF(U371&lt;0,"⚠ ADD DATE / AGREGA FECHA",IF(U371&gt;=Settings!$C$8,"⚠ STALE – REPRICE / ESTANCADO",IF(U371&gt;=Settings!$C$7,"● WATCH / VIGILAR","✔ FRESH / RECIENTE"))))))</f>
        <v/>
      </c>
      <c r="S371" s="53" t="n">
        <f aca="false">IF(C371="",0,IF(OR(J371="",J371="In Stock / En Inventario",J371="Listed / Publicado"),1,0))</f>
        <v>0</v>
      </c>
      <c r="T371" s="53" t="n">
        <f aca="false">IF(C371="",0,IF(J371="Sold / Vendido",1,0))</f>
        <v>0</v>
      </c>
      <c r="U371" s="53" t="n">
        <f aca="true">IF(S371=1,IF(ISNUMBER(F371),TODAY()-F371,-1),-1)</f>
        <v>-1</v>
      </c>
      <c r="V371" s="53" t="n">
        <f aca="false">IF(U371&lt;0,IF(S371=1,5,0),IF(U371&lt;=30,1,IF(U371&lt;=60,2,IF(U371&lt;=90,3,4))))</f>
        <v>0</v>
      </c>
      <c r="W371" s="53" t="n">
        <f aca="false">IF(U371&lt;0,-1000000000000000,U371+ROW()/1000000)</f>
        <v>-1000000000000000</v>
      </c>
      <c r="X371" s="53" t="n">
        <f aca="false">IF(T371=1,IF(AND(ISNUMBER(F371),ISNUMBER(K371)),K371-F371,0),0)</f>
        <v>0</v>
      </c>
      <c r="Y371" s="53" t="n">
        <f aca="false">IF(T371=1,IF(AND(ISNUMBER(F371),ISNUMBER(K371)),1,0),0)</f>
        <v>0</v>
      </c>
      <c r="Z371" s="53" t="n">
        <f aca="false">IF(U371&gt;=Settings!$C$8,1,0)</f>
        <v>0</v>
      </c>
      <c r="AA371" s="53" t="n">
        <f aca="false">IF(S371=1,IF(J371="Listed / Publicado",0,1),0)</f>
        <v>0</v>
      </c>
      <c r="AB371" s="53" t="n">
        <f aca="false">IF(T371=1,IF(ISNUMBER(L371),L371-G371,0),0)</f>
        <v>0</v>
      </c>
      <c r="AC371" s="53" t="n">
        <f aca="false">IF(S371=1,IF(ISNUMBER(I371),I371-G371,0),0)</f>
        <v>0</v>
      </c>
    </row>
    <row r="372" customFormat="false" ht="15" hidden="false" customHeight="false" outlineLevel="0" collapsed="false">
      <c r="B372" s="54"/>
      <c r="C372" s="55"/>
      <c r="D372" s="55"/>
      <c r="E372" s="55"/>
      <c r="F372" s="56"/>
      <c r="G372" s="57"/>
      <c r="H372" s="55"/>
      <c r="I372" s="57"/>
      <c r="J372" s="54"/>
      <c r="K372" s="56"/>
      <c r="L372" s="57"/>
      <c r="M372" s="54"/>
      <c r="N372" s="58" t="str">
        <f aca="false">IF(S372=1,IF(U372&lt;0,"",U372),IF(Y372=1,X372,""))</f>
        <v/>
      </c>
      <c r="O372" s="59" t="str">
        <f aca="false">IF(S372=1,IF(ISNUMBER(I372),I372-G372,""),"")</f>
        <v/>
      </c>
      <c r="P372" s="59" t="str">
        <f aca="false">IF(T372=1,IF(ISNUMBER(L372),L372-G372,""),"")</f>
        <v/>
      </c>
      <c r="Q372" s="60" t="str">
        <f aca="false">IF(C372="","",IF(T372=1,"✔ SOLD / VENDIDO",IF(S372=0,"— CLOSED / CERRADO",IF(U372&lt;0,"⚠ ADD DATE / AGREGA FECHA",IF(U372&gt;=Settings!$C$8,"⚠ STALE – REPRICE / ESTANCADO",IF(U372&gt;=Settings!$C$7,"● WATCH / VIGILAR","✔ FRESH / RECIENTE"))))))</f>
        <v/>
      </c>
      <c r="S372" s="53" t="n">
        <f aca="false">IF(C372="",0,IF(OR(J372="",J372="In Stock / En Inventario",J372="Listed / Publicado"),1,0))</f>
        <v>0</v>
      </c>
      <c r="T372" s="53" t="n">
        <f aca="false">IF(C372="",0,IF(J372="Sold / Vendido",1,0))</f>
        <v>0</v>
      </c>
      <c r="U372" s="53" t="n">
        <f aca="true">IF(S372=1,IF(ISNUMBER(F372),TODAY()-F372,-1),-1)</f>
        <v>-1</v>
      </c>
      <c r="V372" s="53" t="n">
        <f aca="false">IF(U372&lt;0,IF(S372=1,5,0),IF(U372&lt;=30,1,IF(U372&lt;=60,2,IF(U372&lt;=90,3,4))))</f>
        <v>0</v>
      </c>
      <c r="W372" s="53" t="n">
        <f aca="false">IF(U372&lt;0,-1000000000000000,U372+ROW()/1000000)</f>
        <v>-1000000000000000</v>
      </c>
      <c r="X372" s="53" t="n">
        <f aca="false">IF(T372=1,IF(AND(ISNUMBER(F372),ISNUMBER(K372)),K372-F372,0),0)</f>
        <v>0</v>
      </c>
      <c r="Y372" s="53" t="n">
        <f aca="false">IF(T372=1,IF(AND(ISNUMBER(F372),ISNUMBER(K372)),1,0),0)</f>
        <v>0</v>
      </c>
      <c r="Z372" s="53" t="n">
        <f aca="false">IF(U372&gt;=Settings!$C$8,1,0)</f>
        <v>0</v>
      </c>
      <c r="AA372" s="53" t="n">
        <f aca="false">IF(S372=1,IF(J372="Listed / Publicado",0,1),0)</f>
        <v>0</v>
      </c>
      <c r="AB372" s="53" t="n">
        <f aca="false">IF(T372=1,IF(ISNUMBER(L372),L372-G372,0),0)</f>
        <v>0</v>
      </c>
      <c r="AC372" s="53" t="n">
        <f aca="false">IF(S372=1,IF(ISNUMBER(I372),I372-G372,0),0)</f>
        <v>0</v>
      </c>
    </row>
    <row r="373" customFormat="false" ht="15" hidden="false" customHeight="false" outlineLevel="0" collapsed="false">
      <c r="B373" s="54"/>
      <c r="C373" s="55"/>
      <c r="D373" s="55"/>
      <c r="E373" s="55"/>
      <c r="F373" s="56"/>
      <c r="G373" s="57"/>
      <c r="H373" s="55"/>
      <c r="I373" s="57"/>
      <c r="J373" s="54"/>
      <c r="K373" s="56"/>
      <c r="L373" s="57"/>
      <c r="M373" s="54"/>
      <c r="N373" s="58" t="str">
        <f aca="false">IF(S373=1,IF(U373&lt;0,"",U373),IF(Y373=1,X373,""))</f>
        <v/>
      </c>
      <c r="O373" s="59" t="str">
        <f aca="false">IF(S373=1,IF(ISNUMBER(I373),I373-G373,""),"")</f>
        <v/>
      </c>
      <c r="P373" s="59" t="str">
        <f aca="false">IF(T373=1,IF(ISNUMBER(L373),L373-G373,""),"")</f>
        <v/>
      </c>
      <c r="Q373" s="60" t="str">
        <f aca="false">IF(C373="","",IF(T373=1,"✔ SOLD / VENDIDO",IF(S373=0,"— CLOSED / CERRADO",IF(U373&lt;0,"⚠ ADD DATE / AGREGA FECHA",IF(U373&gt;=Settings!$C$8,"⚠ STALE – REPRICE / ESTANCADO",IF(U373&gt;=Settings!$C$7,"● WATCH / VIGILAR","✔ FRESH / RECIENTE"))))))</f>
        <v/>
      </c>
      <c r="S373" s="53" t="n">
        <f aca="false">IF(C373="",0,IF(OR(J373="",J373="In Stock / En Inventario",J373="Listed / Publicado"),1,0))</f>
        <v>0</v>
      </c>
      <c r="T373" s="53" t="n">
        <f aca="false">IF(C373="",0,IF(J373="Sold / Vendido",1,0))</f>
        <v>0</v>
      </c>
      <c r="U373" s="53" t="n">
        <f aca="true">IF(S373=1,IF(ISNUMBER(F373),TODAY()-F373,-1),-1)</f>
        <v>-1</v>
      </c>
      <c r="V373" s="53" t="n">
        <f aca="false">IF(U373&lt;0,IF(S373=1,5,0),IF(U373&lt;=30,1,IF(U373&lt;=60,2,IF(U373&lt;=90,3,4))))</f>
        <v>0</v>
      </c>
      <c r="W373" s="53" t="n">
        <f aca="false">IF(U373&lt;0,-1000000000000000,U373+ROW()/1000000)</f>
        <v>-1000000000000000</v>
      </c>
      <c r="X373" s="53" t="n">
        <f aca="false">IF(T373=1,IF(AND(ISNUMBER(F373),ISNUMBER(K373)),K373-F373,0),0)</f>
        <v>0</v>
      </c>
      <c r="Y373" s="53" t="n">
        <f aca="false">IF(T373=1,IF(AND(ISNUMBER(F373),ISNUMBER(K373)),1,0),0)</f>
        <v>0</v>
      </c>
      <c r="Z373" s="53" t="n">
        <f aca="false">IF(U373&gt;=Settings!$C$8,1,0)</f>
        <v>0</v>
      </c>
      <c r="AA373" s="53" t="n">
        <f aca="false">IF(S373=1,IF(J373="Listed / Publicado",0,1),0)</f>
        <v>0</v>
      </c>
      <c r="AB373" s="53" t="n">
        <f aca="false">IF(T373=1,IF(ISNUMBER(L373),L373-G373,0),0)</f>
        <v>0</v>
      </c>
      <c r="AC373" s="53" t="n">
        <f aca="false">IF(S373=1,IF(ISNUMBER(I373),I373-G373,0),0)</f>
        <v>0</v>
      </c>
    </row>
    <row r="374" customFormat="false" ht="15" hidden="false" customHeight="false" outlineLevel="0" collapsed="false">
      <c r="B374" s="54"/>
      <c r="C374" s="55"/>
      <c r="D374" s="55"/>
      <c r="E374" s="55"/>
      <c r="F374" s="56"/>
      <c r="G374" s="57"/>
      <c r="H374" s="55"/>
      <c r="I374" s="57"/>
      <c r="J374" s="54"/>
      <c r="K374" s="56"/>
      <c r="L374" s="57"/>
      <c r="M374" s="54"/>
      <c r="N374" s="58" t="str">
        <f aca="false">IF(S374=1,IF(U374&lt;0,"",U374),IF(Y374=1,X374,""))</f>
        <v/>
      </c>
      <c r="O374" s="59" t="str">
        <f aca="false">IF(S374=1,IF(ISNUMBER(I374),I374-G374,""),"")</f>
        <v/>
      </c>
      <c r="P374" s="59" t="str">
        <f aca="false">IF(T374=1,IF(ISNUMBER(L374),L374-G374,""),"")</f>
        <v/>
      </c>
      <c r="Q374" s="60" t="str">
        <f aca="false">IF(C374="","",IF(T374=1,"✔ SOLD / VENDIDO",IF(S374=0,"— CLOSED / CERRADO",IF(U374&lt;0,"⚠ ADD DATE / AGREGA FECHA",IF(U374&gt;=Settings!$C$8,"⚠ STALE – REPRICE / ESTANCADO",IF(U374&gt;=Settings!$C$7,"● WATCH / VIGILAR","✔ FRESH / RECIENTE"))))))</f>
        <v/>
      </c>
      <c r="S374" s="53" t="n">
        <f aca="false">IF(C374="",0,IF(OR(J374="",J374="In Stock / En Inventario",J374="Listed / Publicado"),1,0))</f>
        <v>0</v>
      </c>
      <c r="T374" s="53" t="n">
        <f aca="false">IF(C374="",0,IF(J374="Sold / Vendido",1,0))</f>
        <v>0</v>
      </c>
      <c r="U374" s="53" t="n">
        <f aca="true">IF(S374=1,IF(ISNUMBER(F374),TODAY()-F374,-1),-1)</f>
        <v>-1</v>
      </c>
      <c r="V374" s="53" t="n">
        <f aca="false">IF(U374&lt;0,IF(S374=1,5,0),IF(U374&lt;=30,1,IF(U374&lt;=60,2,IF(U374&lt;=90,3,4))))</f>
        <v>0</v>
      </c>
      <c r="W374" s="53" t="n">
        <f aca="false">IF(U374&lt;0,-1000000000000000,U374+ROW()/1000000)</f>
        <v>-1000000000000000</v>
      </c>
      <c r="X374" s="53" t="n">
        <f aca="false">IF(T374=1,IF(AND(ISNUMBER(F374),ISNUMBER(K374)),K374-F374,0),0)</f>
        <v>0</v>
      </c>
      <c r="Y374" s="53" t="n">
        <f aca="false">IF(T374=1,IF(AND(ISNUMBER(F374),ISNUMBER(K374)),1,0),0)</f>
        <v>0</v>
      </c>
      <c r="Z374" s="53" t="n">
        <f aca="false">IF(U374&gt;=Settings!$C$8,1,0)</f>
        <v>0</v>
      </c>
      <c r="AA374" s="53" t="n">
        <f aca="false">IF(S374=1,IF(J374="Listed / Publicado",0,1),0)</f>
        <v>0</v>
      </c>
      <c r="AB374" s="53" t="n">
        <f aca="false">IF(T374=1,IF(ISNUMBER(L374),L374-G374,0),0)</f>
        <v>0</v>
      </c>
      <c r="AC374" s="53" t="n">
        <f aca="false">IF(S374=1,IF(ISNUMBER(I374),I374-G374,0),0)</f>
        <v>0</v>
      </c>
    </row>
    <row r="375" customFormat="false" ht="15" hidden="false" customHeight="false" outlineLevel="0" collapsed="false">
      <c r="B375" s="54"/>
      <c r="C375" s="55"/>
      <c r="D375" s="55"/>
      <c r="E375" s="55"/>
      <c r="F375" s="56"/>
      <c r="G375" s="57"/>
      <c r="H375" s="55"/>
      <c r="I375" s="57"/>
      <c r="J375" s="54"/>
      <c r="K375" s="56"/>
      <c r="L375" s="57"/>
      <c r="M375" s="54"/>
      <c r="N375" s="58" t="str">
        <f aca="false">IF(S375=1,IF(U375&lt;0,"",U375),IF(Y375=1,X375,""))</f>
        <v/>
      </c>
      <c r="O375" s="59" t="str">
        <f aca="false">IF(S375=1,IF(ISNUMBER(I375),I375-G375,""),"")</f>
        <v/>
      </c>
      <c r="P375" s="59" t="str">
        <f aca="false">IF(T375=1,IF(ISNUMBER(L375),L375-G375,""),"")</f>
        <v/>
      </c>
      <c r="Q375" s="60" t="str">
        <f aca="false">IF(C375="","",IF(T375=1,"✔ SOLD / VENDIDO",IF(S375=0,"— CLOSED / CERRADO",IF(U375&lt;0,"⚠ ADD DATE / AGREGA FECHA",IF(U375&gt;=Settings!$C$8,"⚠ STALE – REPRICE / ESTANCADO",IF(U375&gt;=Settings!$C$7,"● WATCH / VIGILAR","✔ FRESH / RECIENTE"))))))</f>
        <v/>
      </c>
      <c r="S375" s="53" t="n">
        <f aca="false">IF(C375="",0,IF(OR(J375="",J375="In Stock / En Inventario",J375="Listed / Publicado"),1,0))</f>
        <v>0</v>
      </c>
      <c r="T375" s="53" t="n">
        <f aca="false">IF(C375="",0,IF(J375="Sold / Vendido",1,0))</f>
        <v>0</v>
      </c>
      <c r="U375" s="53" t="n">
        <f aca="true">IF(S375=1,IF(ISNUMBER(F375),TODAY()-F375,-1),-1)</f>
        <v>-1</v>
      </c>
      <c r="V375" s="53" t="n">
        <f aca="false">IF(U375&lt;0,IF(S375=1,5,0),IF(U375&lt;=30,1,IF(U375&lt;=60,2,IF(U375&lt;=90,3,4))))</f>
        <v>0</v>
      </c>
      <c r="W375" s="53" t="n">
        <f aca="false">IF(U375&lt;0,-1000000000000000,U375+ROW()/1000000)</f>
        <v>-1000000000000000</v>
      </c>
      <c r="X375" s="53" t="n">
        <f aca="false">IF(T375=1,IF(AND(ISNUMBER(F375),ISNUMBER(K375)),K375-F375,0),0)</f>
        <v>0</v>
      </c>
      <c r="Y375" s="53" t="n">
        <f aca="false">IF(T375=1,IF(AND(ISNUMBER(F375),ISNUMBER(K375)),1,0),0)</f>
        <v>0</v>
      </c>
      <c r="Z375" s="53" t="n">
        <f aca="false">IF(U375&gt;=Settings!$C$8,1,0)</f>
        <v>0</v>
      </c>
      <c r="AA375" s="53" t="n">
        <f aca="false">IF(S375=1,IF(J375="Listed / Publicado",0,1),0)</f>
        <v>0</v>
      </c>
      <c r="AB375" s="53" t="n">
        <f aca="false">IF(T375=1,IF(ISNUMBER(L375),L375-G375,0),0)</f>
        <v>0</v>
      </c>
      <c r="AC375" s="53" t="n">
        <f aca="false">IF(S375=1,IF(ISNUMBER(I375),I375-G375,0),0)</f>
        <v>0</v>
      </c>
    </row>
    <row r="376" customFormat="false" ht="15" hidden="false" customHeight="false" outlineLevel="0" collapsed="false">
      <c r="B376" s="54"/>
      <c r="C376" s="55"/>
      <c r="D376" s="55"/>
      <c r="E376" s="55"/>
      <c r="F376" s="56"/>
      <c r="G376" s="57"/>
      <c r="H376" s="55"/>
      <c r="I376" s="57"/>
      <c r="J376" s="54"/>
      <c r="K376" s="56"/>
      <c r="L376" s="57"/>
      <c r="M376" s="54"/>
      <c r="N376" s="58" t="str">
        <f aca="false">IF(S376=1,IF(U376&lt;0,"",U376),IF(Y376=1,X376,""))</f>
        <v/>
      </c>
      <c r="O376" s="59" t="str">
        <f aca="false">IF(S376=1,IF(ISNUMBER(I376),I376-G376,""),"")</f>
        <v/>
      </c>
      <c r="P376" s="59" t="str">
        <f aca="false">IF(T376=1,IF(ISNUMBER(L376),L376-G376,""),"")</f>
        <v/>
      </c>
      <c r="Q376" s="60" t="str">
        <f aca="false">IF(C376="","",IF(T376=1,"✔ SOLD / VENDIDO",IF(S376=0,"— CLOSED / CERRADO",IF(U376&lt;0,"⚠ ADD DATE / AGREGA FECHA",IF(U376&gt;=Settings!$C$8,"⚠ STALE – REPRICE / ESTANCADO",IF(U376&gt;=Settings!$C$7,"● WATCH / VIGILAR","✔ FRESH / RECIENTE"))))))</f>
        <v/>
      </c>
      <c r="S376" s="53" t="n">
        <f aca="false">IF(C376="",0,IF(OR(J376="",J376="In Stock / En Inventario",J376="Listed / Publicado"),1,0))</f>
        <v>0</v>
      </c>
      <c r="T376" s="53" t="n">
        <f aca="false">IF(C376="",0,IF(J376="Sold / Vendido",1,0))</f>
        <v>0</v>
      </c>
      <c r="U376" s="53" t="n">
        <f aca="true">IF(S376=1,IF(ISNUMBER(F376),TODAY()-F376,-1),-1)</f>
        <v>-1</v>
      </c>
      <c r="V376" s="53" t="n">
        <f aca="false">IF(U376&lt;0,IF(S376=1,5,0),IF(U376&lt;=30,1,IF(U376&lt;=60,2,IF(U376&lt;=90,3,4))))</f>
        <v>0</v>
      </c>
      <c r="W376" s="53" t="n">
        <f aca="false">IF(U376&lt;0,-1000000000000000,U376+ROW()/1000000)</f>
        <v>-1000000000000000</v>
      </c>
      <c r="X376" s="53" t="n">
        <f aca="false">IF(T376=1,IF(AND(ISNUMBER(F376),ISNUMBER(K376)),K376-F376,0),0)</f>
        <v>0</v>
      </c>
      <c r="Y376" s="53" t="n">
        <f aca="false">IF(T376=1,IF(AND(ISNUMBER(F376),ISNUMBER(K376)),1,0),0)</f>
        <v>0</v>
      </c>
      <c r="Z376" s="53" t="n">
        <f aca="false">IF(U376&gt;=Settings!$C$8,1,0)</f>
        <v>0</v>
      </c>
      <c r="AA376" s="53" t="n">
        <f aca="false">IF(S376=1,IF(J376="Listed / Publicado",0,1),0)</f>
        <v>0</v>
      </c>
      <c r="AB376" s="53" t="n">
        <f aca="false">IF(T376=1,IF(ISNUMBER(L376),L376-G376,0),0)</f>
        <v>0</v>
      </c>
      <c r="AC376" s="53" t="n">
        <f aca="false">IF(S376=1,IF(ISNUMBER(I376),I376-G376,0),0)</f>
        <v>0</v>
      </c>
    </row>
    <row r="377" customFormat="false" ht="15" hidden="false" customHeight="false" outlineLevel="0" collapsed="false">
      <c r="B377" s="54"/>
      <c r="C377" s="55"/>
      <c r="D377" s="55"/>
      <c r="E377" s="55"/>
      <c r="F377" s="56"/>
      <c r="G377" s="57"/>
      <c r="H377" s="55"/>
      <c r="I377" s="57"/>
      <c r="J377" s="54"/>
      <c r="K377" s="56"/>
      <c r="L377" s="57"/>
      <c r="M377" s="54"/>
      <c r="N377" s="58" t="str">
        <f aca="false">IF(S377=1,IF(U377&lt;0,"",U377),IF(Y377=1,X377,""))</f>
        <v/>
      </c>
      <c r="O377" s="59" t="str">
        <f aca="false">IF(S377=1,IF(ISNUMBER(I377),I377-G377,""),"")</f>
        <v/>
      </c>
      <c r="P377" s="59" t="str">
        <f aca="false">IF(T377=1,IF(ISNUMBER(L377),L377-G377,""),"")</f>
        <v/>
      </c>
      <c r="Q377" s="60" t="str">
        <f aca="false">IF(C377="","",IF(T377=1,"✔ SOLD / VENDIDO",IF(S377=0,"— CLOSED / CERRADO",IF(U377&lt;0,"⚠ ADD DATE / AGREGA FECHA",IF(U377&gt;=Settings!$C$8,"⚠ STALE – REPRICE / ESTANCADO",IF(U377&gt;=Settings!$C$7,"● WATCH / VIGILAR","✔ FRESH / RECIENTE"))))))</f>
        <v/>
      </c>
      <c r="S377" s="53" t="n">
        <f aca="false">IF(C377="",0,IF(OR(J377="",J377="In Stock / En Inventario",J377="Listed / Publicado"),1,0))</f>
        <v>0</v>
      </c>
      <c r="T377" s="53" t="n">
        <f aca="false">IF(C377="",0,IF(J377="Sold / Vendido",1,0))</f>
        <v>0</v>
      </c>
      <c r="U377" s="53" t="n">
        <f aca="true">IF(S377=1,IF(ISNUMBER(F377),TODAY()-F377,-1),-1)</f>
        <v>-1</v>
      </c>
      <c r="V377" s="53" t="n">
        <f aca="false">IF(U377&lt;0,IF(S377=1,5,0),IF(U377&lt;=30,1,IF(U377&lt;=60,2,IF(U377&lt;=90,3,4))))</f>
        <v>0</v>
      </c>
      <c r="W377" s="53" t="n">
        <f aca="false">IF(U377&lt;0,-1000000000000000,U377+ROW()/1000000)</f>
        <v>-1000000000000000</v>
      </c>
      <c r="X377" s="53" t="n">
        <f aca="false">IF(T377=1,IF(AND(ISNUMBER(F377),ISNUMBER(K377)),K377-F377,0),0)</f>
        <v>0</v>
      </c>
      <c r="Y377" s="53" t="n">
        <f aca="false">IF(T377=1,IF(AND(ISNUMBER(F377),ISNUMBER(K377)),1,0),0)</f>
        <v>0</v>
      </c>
      <c r="Z377" s="53" t="n">
        <f aca="false">IF(U377&gt;=Settings!$C$8,1,0)</f>
        <v>0</v>
      </c>
      <c r="AA377" s="53" t="n">
        <f aca="false">IF(S377=1,IF(J377="Listed / Publicado",0,1),0)</f>
        <v>0</v>
      </c>
      <c r="AB377" s="53" t="n">
        <f aca="false">IF(T377=1,IF(ISNUMBER(L377),L377-G377,0),0)</f>
        <v>0</v>
      </c>
      <c r="AC377" s="53" t="n">
        <f aca="false">IF(S377=1,IF(ISNUMBER(I377),I377-G377,0),0)</f>
        <v>0</v>
      </c>
    </row>
    <row r="378" customFormat="false" ht="15" hidden="false" customHeight="false" outlineLevel="0" collapsed="false">
      <c r="B378" s="54"/>
      <c r="C378" s="55"/>
      <c r="D378" s="55"/>
      <c r="E378" s="55"/>
      <c r="F378" s="56"/>
      <c r="G378" s="57"/>
      <c r="H378" s="55"/>
      <c r="I378" s="57"/>
      <c r="J378" s="54"/>
      <c r="K378" s="56"/>
      <c r="L378" s="57"/>
      <c r="M378" s="54"/>
      <c r="N378" s="58" t="str">
        <f aca="false">IF(S378=1,IF(U378&lt;0,"",U378),IF(Y378=1,X378,""))</f>
        <v/>
      </c>
      <c r="O378" s="59" t="str">
        <f aca="false">IF(S378=1,IF(ISNUMBER(I378),I378-G378,""),"")</f>
        <v/>
      </c>
      <c r="P378" s="59" t="str">
        <f aca="false">IF(T378=1,IF(ISNUMBER(L378),L378-G378,""),"")</f>
        <v/>
      </c>
      <c r="Q378" s="60" t="str">
        <f aca="false">IF(C378="","",IF(T378=1,"✔ SOLD / VENDIDO",IF(S378=0,"— CLOSED / CERRADO",IF(U378&lt;0,"⚠ ADD DATE / AGREGA FECHA",IF(U378&gt;=Settings!$C$8,"⚠ STALE – REPRICE / ESTANCADO",IF(U378&gt;=Settings!$C$7,"● WATCH / VIGILAR","✔ FRESH / RECIENTE"))))))</f>
        <v/>
      </c>
      <c r="S378" s="53" t="n">
        <f aca="false">IF(C378="",0,IF(OR(J378="",J378="In Stock / En Inventario",J378="Listed / Publicado"),1,0))</f>
        <v>0</v>
      </c>
      <c r="T378" s="53" t="n">
        <f aca="false">IF(C378="",0,IF(J378="Sold / Vendido",1,0))</f>
        <v>0</v>
      </c>
      <c r="U378" s="53" t="n">
        <f aca="true">IF(S378=1,IF(ISNUMBER(F378),TODAY()-F378,-1),-1)</f>
        <v>-1</v>
      </c>
      <c r="V378" s="53" t="n">
        <f aca="false">IF(U378&lt;0,IF(S378=1,5,0),IF(U378&lt;=30,1,IF(U378&lt;=60,2,IF(U378&lt;=90,3,4))))</f>
        <v>0</v>
      </c>
      <c r="W378" s="53" t="n">
        <f aca="false">IF(U378&lt;0,-1000000000000000,U378+ROW()/1000000)</f>
        <v>-1000000000000000</v>
      </c>
      <c r="X378" s="53" t="n">
        <f aca="false">IF(T378=1,IF(AND(ISNUMBER(F378),ISNUMBER(K378)),K378-F378,0),0)</f>
        <v>0</v>
      </c>
      <c r="Y378" s="53" t="n">
        <f aca="false">IF(T378=1,IF(AND(ISNUMBER(F378),ISNUMBER(K378)),1,0),0)</f>
        <v>0</v>
      </c>
      <c r="Z378" s="53" t="n">
        <f aca="false">IF(U378&gt;=Settings!$C$8,1,0)</f>
        <v>0</v>
      </c>
      <c r="AA378" s="53" t="n">
        <f aca="false">IF(S378=1,IF(J378="Listed / Publicado",0,1),0)</f>
        <v>0</v>
      </c>
      <c r="AB378" s="53" t="n">
        <f aca="false">IF(T378=1,IF(ISNUMBER(L378),L378-G378,0),0)</f>
        <v>0</v>
      </c>
      <c r="AC378" s="53" t="n">
        <f aca="false">IF(S378=1,IF(ISNUMBER(I378),I378-G378,0),0)</f>
        <v>0</v>
      </c>
    </row>
    <row r="379" customFormat="false" ht="15" hidden="false" customHeight="false" outlineLevel="0" collapsed="false">
      <c r="B379" s="54"/>
      <c r="C379" s="55"/>
      <c r="D379" s="55"/>
      <c r="E379" s="55"/>
      <c r="F379" s="56"/>
      <c r="G379" s="57"/>
      <c r="H379" s="55"/>
      <c r="I379" s="57"/>
      <c r="J379" s="54"/>
      <c r="K379" s="56"/>
      <c r="L379" s="57"/>
      <c r="M379" s="54"/>
      <c r="N379" s="58" t="str">
        <f aca="false">IF(S379=1,IF(U379&lt;0,"",U379),IF(Y379=1,X379,""))</f>
        <v/>
      </c>
      <c r="O379" s="59" t="str">
        <f aca="false">IF(S379=1,IF(ISNUMBER(I379),I379-G379,""),"")</f>
        <v/>
      </c>
      <c r="P379" s="59" t="str">
        <f aca="false">IF(T379=1,IF(ISNUMBER(L379),L379-G379,""),"")</f>
        <v/>
      </c>
      <c r="Q379" s="60" t="str">
        <f aca="false">IF(C379="","",IF(T379=1,"✔ SOLD / VENDIDO",IF(S379=0,"— CLOSED / CERRADO",IF(U379&lt;0,"⚠ ADD DATE / AGREGA FECHA",IF(U379&gt;=Settings!$C$8,"⚠ STALE – REPRICE / ESTANCADO",IF(U379&gt;=Settings!$C$7,"● WATCH / VIGILAR","✔ FRESH / RECIENTE"))))))</f>
        <v/>
      </c>
      <c r="S379" s="53" t="n">
        <f aca="false">IF(C379="",0,IF(OR(J379="",J379="In Stock / En Inventario",J379="Listed / Publicado"),1,0))</f>
        <v>0</v>
      </c>
      <c r="T379" s="53" t="n">
        <f aca="false">IF(C379="",0,IF(J379="Sold / Vendido",1,0))</f>
        <v>0</v>
      </c>
      <c r="U379" s="53" t="n">
        <f aca="true">IF(S379=1,IF(ISNUMBER(F379),TODAY()-F379,-1),-1)</f>
        <v>-1</v>
      </c>
      <c r="V379" s="53" t="n">
        <f aca="false">IF(U379&lt;0,IF(S379=1,5,0),IF(U379&lt;=30,1,IF(U379&lt;=60,2,IF(U379&lt;=90,3,4))))</f>
        <v>0</v>
      </c>
      <c r="W379" s="53" t="n">
        <f aca="false">IF(U379&lt;0,-1000000000000000,U379+ROW()/1000000)</f>
        <v>-1000000000000000</v>
      </c>
      <c r="X379" s="53" t="n">
        <f aca="false">IF(T379=1,IF(AND(ISNUMBER(F379),ISNUMBER(K379)),K379-F379,0),0)</f>
        <v>0</v>
      </c>
      <c r="Y379" s="53" t="n">
        <f aca="false">IF(T379=1,IF(AND(ISNUMBER(F379),ISNUMBER(K379)),1,0),0)</f>
        <v>0</v>
      </c>
      <c r="Z379" s="53" t="n">
        <f aca="false">IF(U379&gt;=Settings!$C$8,1,0)</f>
        <v>0</v>
      </c>
      <c r="AA379" s="53" t="n">
        <f aca="false">IF(S379=1,IF(J379="Listed / Publicado",0,1),0)</f>
        <v>0</v>
      </c>
      <c r="AB379" s="53" t="n">
        <f aca="false">IF(T379=1,IF(ISNUMBER(L379),L379-G379,0),0)</f>
        <v>0</v>
      </c>
      <c r="AC379" s="53" t="n">
        <f aca="false">IF(S379=1,IF(ISNUMBER(I379),I379-G379,0),0)</f>
        <v>0</v>
      </c>
    </row>
    <row r="380" customFormat="false" ht="15" hidden="false" customHeight="false" outlineLevel="0" collapsed="false">
      <c r="B380" s="54"/>
      <c r="C380" s="55"/>
      <c r="D380" s="55"/>
      <c r="E380" s="55"/>
      <c r="F380" s="56"/>
      <c r="G380" s="57"/>
      <c r="H380" s="55"/>
      <c r="I380" s="57"/>
      <c r="J380" s="54"/>
      <c r="K380" s="56"/>
      <c r="L380" s="57"/>
      <c r="M380" s="54"/>
      <c r="N380" s="58" t="str">
        <f aca="false">IF(S380=1,IF(U380&lt;0,"",U380),IF(Y380=1,X380,""))</f>
        <v/>
      </c>
      <c r="O380" s="59" t="str">
        <f aca="false">IF(S380=1,IF(ISNUMBER(I380),I380-G380,""),"")</f>
        <v/>
      </c>
      <c r="P380" s="59" t="str">
        <f aca="false">IF(T380=1,IF(ISNUMBER(L380),L380-G380,""),"")</f>
        <v/>
      </c>
      <c r="Q380" s="60" t="str">
        <f aca="false">IF(C380="","",IF(T380=1,"✔ SOLD / VENDIDO",IF(S380=0,"— CLOSED / CERRADO",IF(U380&lt;0,"⚠ ADD DATE / AGREGA FECHA",IF(U380&gt;=Settings!$C$8,"⚠ STALE – REPRICE / ESTANCADO",IF(U380&gt;=Settings!$C$7,"● WATCH / VIGILAR","✔ FRESH / RECIENTE"))))))</f>
        <v/>
      </c>
      <c r="S380" s="53" t="n">
        <f aca="false">IF(C380="",0,IF(OR(J380="",J380="In Stock / En Inventario",J380="Listed / Publicado"),1,0))</f>
        <v>0</v>
      </c>
      <c r="T380" s="53" t="n">
        <f aca="false">IF(C380="",0,IF(J380="Sold / Vendido",1,0))</f>
        <v>0</v>
      </c>
      <c r="U380" s="53" t="n">
        <f aca="true">IF(S380=1,IF(ISNUMBER(F380),TODAY()-F380,-1),-1)</f>
        <v>-1</v>
      </c>
      <c r="V380" s="53" t="n">
        <f aca="false">IF(U380&lt;0,IF(S380=1,5,0),IF(U380&lt;=30,1,IF(U380&lt;=60,2,IF(U380&lt;=90,3,4))))</f>
        <v>0</v>
      </c>
      <c r="W380" s="53" t="n">
        <f aca="false">IF(U380&lt;0,-1000000000000000,U380+ROW()/1000000)</f>
        <v>-1000000000000000</v>
      </c>
      <c r="X380" s="53" t="n">
        <f aca="false">IF(T380=1,IF(AND(ISNUMBER(F380),ISNUMBER(K380)),K380-F380,0),0)</f>
        <v>0</v>
      </c>
      <c r="Y380" s="53" t="n">
        <f aca="false">IF(T380=1,IF(AND(ISNUMBER(F380),ISNUMBER(K380)),1,0),0)</f>
        <v>0</v>
      </c>
      <c r="Z380" s="53" t="n">
        <f aca="false">IF(U380&gt;=Settings!$C$8,1,0)</f>
        <v>0</v>
      </c>
      <c r="AA380" s="53" t="n">
        <f aca="false">IF(S380=1,IF(J380="Listed / Publicado",0,1),0)</f>
        <v>0</v>
      </c>
      <c r="AB380" s="53" t="n">
        <f aca="false">IF(T380=1,IF(ISNUMBER(L380),L380-G380,0),0)</f>
        <v>0</v>
      </c>
      <c r="AC380" s="53" t="n">
        <f aca="false">IF(S380=1,IF(ISNUMBER(I380),I380-G380,0),0)</f>
        <v>0</v>
      </c>
    </row>
    <row r="381" customFormat="false" ht="15" hidden="false" customHeight="false" outlineLevel="0" collapsed="false">
      <c r="B381" s="54"/>
      <c r="C381" s="55"/>
      <c r="D381" s="55"/>
      <c r="E381" s="55"/>
      <c r="F381" s="56"/>
      <c r="G381" s="57"/>
      <c r="H381" s="55"/>
      <c r="I381" s="57"/>
      <c r="J381" s="54"/>
      <c r="K381" s="56"/>
      <c r="L381" s="57"/>
      <c r="M381" s="54"/>
      <c r="N381" s="58" t="str">
        <f aca="false">IF(S381=1,IF(U381&lt;0,"",U381),IF(Y381=1,X381,""))</f>
        <v/>
      </c>
      <c r="O381" s="59" t="str">
        <f aca="false">IF(S381=1,IF(ISNUMBER(I381),I381-G381,""),"")</f>
        <v/>
      </c>
      <c r="P381" s="59" t="str">
        <f aca="false">IF(T381=1,IF(ISNUMBER(L381),L381-G381,""),"")</f>
        <v/>
      </c>
      <c r="Q381" s="60" t="str">
        <f aca="false">IF(C381="","",IF(T381=1,"✔ SOLD / VENDIDO",IF(S381=0,"— CLOSED / CERRADO",IF(U381&lt;0,"⚠ ADD DATE / AGREGA FECHA",IF(U381&gt;=Settings!$C$8,"⚠ STALE – REPRICE / ESTANCADO",IF(U381&gt;=Settings!$C$7,"● WATCH / VIGILAR","✔ FRESH / RECIENTE"))))))</f>
        <v/>
      </c>
      <c r="S381" s="53" t="n">
        <f aca="false">IF(C381="",0,IF(OR(J381="",J381="In Stock / En Inventario",J381="Listed / Publicado"),1,0))</f>
        <v>0</v>
      </c>
      <c r="T381" s="53" t="n">
        <f aca="false">IF(C381="",0,IF(J381="Sold / Vendido",1,0))</f>
        <v>0</v>
      </c>
      <c r="U381" s="53" t="n">
        <f aca="true">IF(S381=1,IF(ISNUMBER(F381),TODAY()-F381,-1),-1)</f>
        <v>-1</v>
      </c>
      <c r="V381" s="53" t="n">
        <f aca="false">IF(U381&lt;0,IF(S381=1,5,0),IF(U381&lt;=30,1,IF(U381&lt;=60,2,IF(U381&lt;=90,3,4))))</f>
        <v>0</v>
      </c>
      <c r="W381" s="53" t="n">
        <f aca="false">IF(U381&lt;0,-1000000000000000,U381+ROW()/1000000)</f>
        <v>-1000000000000000</v>
      </c>
      <c r="X381" s="53" t="n">
        <f aca="false">IF(T381=1,IF(AND(ISNUMBER(F381),ISNUMBER(K381)),K381-F381,0),0)</f>
        <v>0</v>
      </c>
      <c r="Y381" s="53" t="n">
        <f aca="false">IF(T381=1,IF(AND(ISNUMBER(F381),ISNUMBER(K381)),1,0),0)</f>
        <v>0</v>
      </c>
      <c r="Z381" s="53" t="n">
        <f aca="false">IF(U381&gt;=Settings!$C$8,1,0)</f>
        <v>0</v>
      </c>
      <c r="AA381" s="53" t="n">
        <f aca="false">IF(S381=1,IF(J381="Listed / Publicado",0,1),0)</f>
        <v>0</v>
      </c>
      <c r="AB381" s="53" t="n">
        <f aca="false">IF(T381=1,IF(ISNUMBER(L381),L381-G381,0),0)</f>
        <v>0</v>
      </c>
      <c r="AC381" s="53" t="n">
        <f aca="false">IF(S381=1,IF(ISNUMBER(I381),I381-G381,0),0)</f>
        <v>0</v>
      </c>
    </row>
    <row r="382" customFormat="false" ht="15" hidden="false" customHeight="false" outlineLevel="0" collapsed="false">
      <c r="B382" s="54"/>
      <c r="C382" s="55"/>
      <c r="D382" s="55"/>
      <c r="E382" s="55"/>
      <c r="F382" s="56"/>
      <c r="G382" s="57"/>
      <c r="H382" s="55"/>
      <c r="I382" s="57"/>
      <c r="J382" s="54"/>
      <c r="K382" s="56"/>
      <c r="L382" s="57"/>
      <c r="M382" s="54"/>
      <c r="N382" s="58" t="str">
        <f aca="false">IF(S382=1,IF(U382&lt;0,"",U382),IF(Y382=1,X382,""))</f>
        <v/>
      </c>
      <c r="O382" s="59" t="str">
        <f aca="false">IF(S382=1,IF(ISNUMBER(I382),I382-G382,""),"")</f>
        <v/>
      </c>
      <c r="P382" s="59" t="str">
        <f aca="false">IF(T382=1,IF(ISNUMBER(L382),L382-G382,""),"")</f>
        <v/>
      </c>
      <c r="Q382" s="60" t="str">
        <f aca="false">IF(C382="","",IF(T382=1,"✔ SOLD / VENDIDO",IF(S382=0,"— CLOSED / CERRADO",IF(U382&lt;0,"⚠ ADD DATE / AGREGA FECHA",IF(U382&gt;=Settings!$C$8,"⚠ STALE – REPRICE / ESTANCADO",IF(U382&gt;=Settings!$C$7,"● WATCH / VIGILAR","✔ FRESH / RECIENTE"))))))</f>
        <v/>
      </c>
      <c r="S382" s="53" t="n">
        <f aca="false">IF(C382="",0,IF(OR(J382="",J382="In Stock / En Inventario",J382="Listed / Publicado"),1,0))</f>
        <v>0</v>
      </c>
      <c r="T382" s="53" t="n">
        <f aca="false">IF(C382="",0,IF(J382="Sold / Vendido",1,0))</f>
        <v>0</v>
      </c>
      <c r="U382" s="53" t="n">
        <f aca="true">IF(S382=1,IF(ISNUMBER(F382),TODAY()-F382,-1),-1)</f>
        <v>-1</v>
      </c>
      <c r="V382" s="53" t="n">
        <f aca="false">IF(U382&lt;0,IF(S382=1,5,0),IF(U382&lt;=30,1,IF(U382&lt;=60,2,IF(U382&lt;=90,3,4))))</f>
        <v>0</v>
      </c>
      <c r="W382" s="53" t="n">
        <f aca="false">IF(U382&lt;0,-1000000000000000,U382+ROW()/1000000)</f>
        <v>-1000000000000000</v>
      </c>
      <c r="X382" s="53" t="n">
        <f aca="false">IF(T382=1,IF(AND(ISNUMBER(F382),ISNUMBER(K382)),K382-F382,0),0)</f>
        <v>0</v>
      </c>
      <c r="Y382" s="53" t="n">
        <f aca="false">IF(T382=1,IF(AND(ISNUMBER(F382),ISNUMBER(K382)),1,0),0)</f>
        <v>0</v>
      </c>
      <c r="Z382" s="53" t="n">
        <f aca="false">IF(U382&gt;=Settings!$C$8,1,0)</f>
        <v>0</v>
      </c>
      <c r="AA382" s="53" t="n">
        <f aca="false">IF(S382=1,IF(J382="Listed / Publicado",0,1),0)</f>
        <v>0</v>
      </c>
      <c r="AB382" s="53" t="n">
        <f aca="false">IF(T382=1,IF(ISNUMBER(L382),L382-G382,0),0)</f>
        <v>0</v>
      </c>
      <c r="AC382" s="53" t="n">
        <f aca="false">IF(S382=1,IF(ISNUMBER(I382),I382-G382,0),0)</f>
        <v>0</v>
      </c>
    </row>
    <row r="383" customFormat="false" ht="15" hidden="false" customHeight="false" outlineLevel="0" collapsed="false">
      <c r="B383" s="54"/>
      <c r="C383" s="55"/>
      <c r="D383" s="55"/>
      <c r="E383" s="55"/>
      <c r="F383" s="56"/>
      <c r="G383" s="57"/>
      <c r="H383" s="55"/>
      <c r="I383" s="57"/>
      <c r="J383" s="54"/>
      <c r="K383" s="56"/>
      <c r="L383" s="57"/>
      <c r="M383" s="54"/>
      <c r="N383" s="58" t="str">
        <f aca="false">IF(S383=1,IF(U383&lt;0,"",U383),IF(Y383=1,X383,""))</f>
        <v/>
      </c>
      <c r="O383" s="59" t="str">
        <f aca="false">IF(S383=1,IF(ISNUMBER(I383),I383-G383,""),"")</f>
        <v/>
      </c>
      <c r="P383" s="59" t="str">
        <f aca="false">IF(T383=1,IF(ISNUMBER(L383),L383-G383,""),"")</f>
        <v/>
      </c>
      <c r="Q383" s="60" t="str">
        <f aca="false">IF(C383="","",IF(T383=1,"✔ SOLD / VENDIDO",IF(S383=0,"— CLOSED / CERRADO",IF(U383&lt;0,"⚠ ADD DATE / AGREGA FECHA",IF(U383&gt;=Settings!$C$8,"⚠ STALE – REPRICE / ESTANCADO",IF(U383&gt;=Settings!$C$7,"● WATCH / VIGILAR","✔ FRESH / RECIENTE"))))))</f>
        <v/>
      </c>
      <c r="S383" s="53" t="n">
        <f aca="false">IF(C383="",0,IF(OR(J383="",J383="In Stock / En Inventario",J383="Listed / Publicado"),1,0))</f>
        <v>0</v>
      </c>
      <c r="T383" s="53" t="n">
        <f aca="false">IF(C383="",0,IF(J383="Sold / Vendido",1,0))</f>
        <v>0</v>
      </c>
      <c r="U383" s="53" t="n">
        <f aca="true">IF(S383=1,IF(ISNUMBER(F383),TODAY()-F383,-1),-1)</f>
        <v>-1</v>
      </c>
      <c r="V383" s="53" t="n">
        <f aca="false">IF(U383&lt;0,IF(S383=1,5,0),IF(U383&lt;=30,1,IF(U383&lt;=60,2,IF(U383&lt;=90,3,4))))</f>
        <v>0</v>
      </c>
      <c r="W383" s="53" t="n">
        <f aca="false">IF(U383&lt;0,-1000000000000000,U383+ROW()/1000000)</f>
        <v>-1000000000000000</v>
      </c>
      <c r="X383" s="53" t="n">
        <f aca="false">IF(T383=1,IF(AND(ISNUMBER(F383),ISNUMBER(K383)),K383-F383,0),0)</f>
        <v>0</v>
      </c>
      <c r="Y383" s="53" t="n">
        <f aca="false">IF(T383=1,IF(AND(ISNUMBER(F383),ISNUMBER(K383)),1,0),0)</f>
        <v>0</v>
      </c>
      <c r="Z383" s="53" t="n">
        <f aca="false">IF(U383&gt;=Settings!$C$8,1,0)</f>
        <v>0</v>
      </c>
      <c r="AA383" s="53" t="n">
        <f aca="false">IF(S383=1,IF(J383="Listed / Publicado",0,1),0)</f>
        <v>0</v>
      </c>
      <c r="AB383" s="53" t="n">
        <f aca="false">IF(T383=1,IF(ISNUMBER(L383),L383-G383,0),0)</f>
        <v>0</v>
      </c>
      <c r="AC383" s="53" t="n">
        <f aca="false">IF(S383=1,IF(ISNUMBER(I383),I383-G383,0),0)</f>
        <v>0</v>
      </c>
    </row>
    <row r="384" customFormat="false" ht="15" hidden="false" customHeight="false" outlineLevel="0" collapsed="false">
      <c r="B384" s="54"/>
      <c r="C384" s="55"/>
      <c r="D384" s="55"/>
      <c r="E384" s="55"/>
      <c r="F384" s="56"/>
      <c r="G384" s="57"/>
      <c r="H384" s="55"/>
      <c r="I384" s="57"/>
      <c r="J384" s="54"/>
      <c r="K384" s="56"/>
      <c r="L384" s="57"/>
      <c r="M384" s="54"/>
      <c r="N384" s="58" t="str">
        <f aca="false">IF(S384=1,IF(U384&lt;0,"",U384),IF(Y384=1,X384,""))</f>
        <v/>
      </c>
      <c r="O384" s="59" t="str">
        <f aca="false">IF(S384=1,IF(ISNUMBER(I384),I384-G384,""),"")</f>
        <v/>
      </c>
      <c r="P384" s="59" t="str">
        <f aca="false">IF(T384=1,IF(ISNUMBER(L384),L384-G384,""),"")</f>
        <v/>
      </c>
      <c r="Q384" s="60" t="str">
        <f aca="false">IF(C384="","",IF(T384=1,"✔ SOLD / VENDIDO",IF(S384=0,"— CLOSED / CERRADO",IF(U384&lt;0,"⚠ ADD DATE / AGREGA FECHA",IF(U384&gt;=Settings!$C$8,"⚠ STALE – REPRICE / ESTANCADO",IF(U384&gt;=Settings!$C$7,"● WATCH / VIGILAR","✔ FRESH / RECIENTE"))))))</f>
        <v/>
      </c>
      <c r="S384" s="53" t="n">
        <f aca="false">IF(C384="",0,IF(OR(J384="",J384="In Stock / En Inventario",J384="Listed / Publicado"),1,0))</f>
        <v>0</v>
      </c>
      <c r="T384" s="53" t="n">
        <f aca="false">IF(C384="",0,IF(J384="Sold / Vendido",1,0))</f>
        <v>0</v>
      </c>
      <c r="U384" s="53" t="n">
        <f aca="true">IF(S384=1,IF(ISNUMBER(F384),TODAY()-F384,-1),-1)</f>
        <v>-1</v>
      </c>
      <c r="V384" s="53" t="n">
        <f aca="false">IF(U384&lt;0,IF(S384=1,5,0),IF(U384&lt;=30,1,IF(U384&lt;=60,2,IF(U384&lt;=90,3,4))))</f>
        <v>0</v>
      </c>
      <c r="W384" s="53" t="n">
        <f aca="false">IF(U384&lt;0,-1000000000000000,U384+ROW()/1000000)</f>
        <v>-1000000000000000</v>
      </c>
      <c r="X384" s="53" t="n">
        <f aca="false">IF(T384=1,IF(AND(ISNUMBER(F384),ISNUMBER(K384)),K384-F384,0),0)</f>
        <v>0</v>
      </c>
      <c r="Y384" s="53" t="n">
        <f aca="false">IF(T384=1,IF(AND(ISNUMBER(F384),ISNUMBER(K384)),1,0),0)</f>
        <v>0</v>
      </c>
      <c r="Z384" s="53" t="n">
        <f aca="false">IF(U384&gt;=Settings!$C$8,1,0)</f>
        <v>0</v>
      </c>
      <c r="AA384" s="53" t="n">
        <f aca="false">IF(S384=1,IF(J384="Listed / Publicado",0,1),0)</f>
        <v>0</v>
      </c>
      <c r="AB384" s="53" t="n">
        <f aca="false">IF(T384=1,IF(ISNUMBER(L384),L384-G384,0),0)</f>
        <v>0</v>
      </c>
      <c r="AC384" s="53" t="n">
        <f aca="false">IF(S384=1,IF(ISNUMBER(I384),I384-G384,0),0)</f>
        <v>0</v>
      </c>
    </row>
    <row r="385" customFormat="false" ht="15" hidden="false" customHeight="false" outlineLevel="0" collapsed="false">
      <c r="B385" s="54"/>
      <c r="C385" s="55"/>
      <c r="D385" s="55"/>
      <c r="E385" s="55"/>
      <c r="F385" s="56"/>
      <c r="G385" s="57"/>
      <c r="H385" s="55"/>
      <c r="I385" s="57"/>
      <c r="J385" s="54"/>
      <c r="K385" s="56"/>
      <c r="L385" s="57"/>
      <c r="M385" s="54"/>
      <c r="N385" s="58" t="str">
        <f aca="false">IF(S385=1,IF(U385&lt;0,"",U385),IF(Y385=1,X385,""))</f>
        <v/>
      </c>
      <c r="O385" s="59" t="str">
        <f aca="false">IF(S385=1,IF(ISNUMBER(I385),I385-G385,""),"")</f>
        <v/>
      </c>
      <c r="P385" s="59" t="str">
        <f aca="false">IF(T385=1,IF(ISNUMBER(L385),L385-G385,""),"")</f>
        <v/>
      </c>
      <c r="Q385" s="60" t="str">
        <f aca="false">IF(C385="","",IF(T385=1,"✔ SOLD / VENDIDO",IF(S385=0,"— CLOSED / CERRADO",IF(U385&lt;0,"⚠ ADD DATE / AGREGA FECHA",IF(U385&gt;=Settings!$C$8,"⚠ STALE – REPRICE / ESTANCADO",IF(U385&gt;=Settings!$C$7,"● WATCH / VIGILAR","✔ FRESH / RECIENTE"))))))</f>
        <v/>
      </c>
      <c r="S385" s="53" t="n">
        <f aca="false">IF(C385="",0,IF(OR(J385="",J385="In Stock / En Inventario",J385="Listed / Publicado"),1,0))</f>
        <v>0</v>
      </c>
      <c r="T385" s="53" t="n">
        <f aca="false">IF(C385="",0,IF(J385="Sold / Vendido",1,0))</f>
        <v>0</v>
      </c>
      <c r="U385" s="53" t="n">
        <f aca="true">IF(S385=1,IF(ISNUMBER(F385),TODAY()-F385,-1),-1)</f>
        <v>-1</v>
      </c>
      <c r="V385" s="53" t="n">
        <f aca="false">IF(U385&lt;0,IF(S385=1,5,0),IF(U385&lt;=30,1,IF(U385&lt;=60,2,IF(U385&lt;=90,3,4))))</f>
        <v>0</v>
      </c>
      <c r="W385" s="53" t="n">
        <f aca="false">IF(U385&lt;0,-1000000000000000,U385+ROW()/1000000)</f>
        <v>-1000000000000000</v>
      </c>
      <c r="X385" s="53" t="n">
        <f aca="false">IF(T385=1,IF(AND(ISNUMBER(F385),ISNUMBER(K385)),K385-F385,0),0)</f>
        <v>0</v>
      </c>
      <c r="Y385" s="53" t="n">
        <f aca="false">IF(T385=1,IF(AND(ISNUMBER(F385),ISNUMBER(K385)),1,0),0)</f>
        <v>0</v>
      </c>
      <c r="Z385" s="53" t="n">
        <f aca="false">IF(U385&gt;=Settings!$C$8,1,0)</f>
        <v>0</v>
      </c>
      <c r="AA385" s="53" t="n">
        <f aca="false">IF(S385=1,IF(J385="Listed / Publicado",0,1),0)</f>
        <v>0</v>
      </c>
      <c r="AB385" s="53" t="n">
        <f aca="false">IF(T385=1,IF(ISNUMBER(L385),L385-G385,0),0)</f>
        <v>0</v>
      </c>
      <c r="AC385" s="53" t="n">
        <f aca="false">IF(S385=1,IF(ISNUMBER(I385),I385-G385,0),0)</f>
        <v>0</v>
      </c>
    </row>
    <row r="386" customFormat="false" ht="15" hidden="false" customHeight="false" outlineLevel="0" collapsed="false">
      <c r="B386" s="54"/>
      <c r="C386" s="55"/>
      <c r="D386" s="55"/>
      <c r="E386" s="55"/>
      <c r="F386" s="56"/>
      <c r="G386" s="57"/>
      <c r="H386" s="55"/>
      <c r="I386" s="57"/>
      <c r="J386" s="54"/>
      <c r="K386" s="56"/>
      <c r="L386" s="57"/>
      <c r="M386" s="54"/>
      <c r="N386" s="58" t="str">
        <f aca="false">IF(S386=1,IF(U386&lt;0,"",U386),IF(Y386=1,X386,""))</f>
        <v/>
      </c>
      <c r="O386" s="59" t="str">
        <f aca="false">IF(S386=1,IF(ISNUMBER(I386),I386-G386,""),"")</f>
        <v/>
      </c>
      <c r="P386" s="59" t="str">
        <f aca="false">IF(T386=1,IF(ISNUMBER(L386),L386-G386,""),"")</f>
        <v/>
      </c>
      <c r="Q386" s="60" t="str">
        <f aca="false">IF(C386="","",IF(T386=1,"✔ SOLD / VENDIDO",IF(S386=0,"— CLOSED / CERRADO",IF(U386&lt;0,"⚠ ADD DATE / AGREGA FECHA",IF(U386&gt;=Settings!$C$8,"⚠ STALE – REPRICE / ESTANCADO",IF(U386&gt;=Settings!$C$7,"● WATCH / VIGILAR","✔ FRESH / RECIENTE"))))))</f>
        <v/>
      </c>
      <c r="S386" s="53" t="n">
        <f aca="false">IF(C386="",0,IF(OR(J386="",J386="In Stock / En Inventario",J386="Listed / Publicado"),1,0))</f>
        <v>0</v>
      </c>
      <c r="T386" s="53" t="n">
        <f aca="false">IF(C386="",0,IF(J386="Sold / Vendido",1,0))</f>
        <v>0</v>
      </c>
      <c r="U386" s="53" t="n">
        <f aca="true">IF(S386=1,IF(ISNUMBER(F386),TODAY()-F386,-1),-1)</f>
        <v>-1</v>
      </c>
      <c r="V386" s="53" t="n">
        <f aca="false">IF(U386&lt;0,IF(S386=1,5,0),IF(U386&lt;=30,1,IF(U386&lt;=60,2,IF(U386&lt;=90,3,4))))</f>
        <v>0</v>
      </c>
      <c r="W386" s="53" t="n">
        <f aca="false">IF(U386&lt;0,-1000000000000000,U386+ROW()/1000000)</f>
        <v>-1000000000000000</v>
      </c>
      <c r="X386" s="53" t="n">
        <f aca="false">IF(T386=1,IF(AND(ISNUMBER(F386),ISNUMBER(K386)),K386-F386,0),0)</f>
        <v>0</v>
      </c>
      <c r="Y386" s="53" t="n">
        <f aca="false">IF(T386=1,IF(AND(ISNUMBER(F386),ISNUMBER(K386)),1,0),0)</f>
        <v>0</v>
      </c>
      <c r="Z386" s="53" t="n">
        <f aca="false">IF(U386&gt;=Settings!$C$8,1,0)</f>
        <v>0</v>
      </c>
      <c r="AA386" s="53" t="n">
        <f aca="false">IF(S386=1,IF(J386="Listed / Publicado",0,1),0)</f>
        <v>0</v>
      </c>
      <c r="AB386" s="53" t="n">
        <f aca="false">IF(T386=1,IF(ISNUMBER(L386),L386-G386,0),0)</f>
        <v>0</v>
      </c>
      <c r="AC386" s="53" t="n">
        <f aca="false">IF(S386=1,IF(ISNUMBER(I386),I386-G386,0),0)</f>
        <v>0</v>
      </c>
    </row>
    <row r="387" customFormat="false" ht="15" hidden="false" customHeight="false" outlineLevel="0" collapsed="false">
      <c r="B387" s="54"/>
      <c r="C387" s="55"/>
      <c r="D387" s="55"/>
      <c r="E387" s="55"/>
      <c r="F387" s="56"/>
      <c r="G387" s="57"/>
      <c r="H387" s="55"/>
      <c r="I387" s="57"/>
      <c r="J387" s="54"/>
      <c r="K387" s="56"/>
      <c r="L387" s="57"/>
      <c r="M387" s="54"/>
      <c r="N387" s="58" t="str">
        <f aca="false">IF(S387=1,IF(U387&lt;0,"",U387),IF(Y387=1,X387,""))</f>
        <v/>
      </c>
      <c r="O387" s="59" t="str">
        <f aca="false">IF(S387=1,IF(ISNUMBER(I387),I387-G387,""),"")</f>
        <v/>
      </c>
      <c r="P387" s="59" t="str">
        <f aca="false">IF(T387=1,IF(ISNUMBER(L387),L387-G387,""),"")</f>
        <v/>
      </c>
      <c r="Q387" s="60" t="str">
        <f aca="false">IF(C387="","",IF(T387=1,"✔ SOLD / VENDIDO",IF(S387=0,"— CLOSED / CERRADO",IF(U387&lt;0,"⚠ ADD DATE / AGREGA FECHA",IF(U387&gt;=Settings!$C$8,"⚠ STALE – REPRICE / ESTANCADO",IF(U387&gt;=Settings!$C$7,"● WATCH / VIGILAR","✔ FRESH / RECIENTE"))))))</f>
        <v/>
      </c>
      <c r="S387" s="53" t="n">
        <f aca="false">IF(C387="",0,IF(OR(J387="",J387="In Stock / En Inventario",J387="Listed / Publicado"),1,0))</f>
        <v>0</v>
      </c>
      <c r="T387" s="53" t="n">
        <f aca="false">IF(C387="",0,IF(J387="Sold / Vendido",1,0))</f>
        <v>0</v>
      </c>
      <c r="U387" s="53" t="n">
        <f aca="true">IF(S387=1,IF(ISNUMBER(F387),TODAY()-F387,-1),-1)</f>
        <v>-1</v>
      </c>
      <c r="V387" s="53" t="n">
        <f aca="false">IF(U387&lt;0,IF(S387=1,5,0),IF(U387&lt;=30,1,IF(U387&lt;=60,2,IF(U387&lt;=90,3,4))))</f>
        <v>0</v>
      </c>
      <c r="W387" s="53" t="n">
        <f aca="false">IF(U387&lt;0,-1000000000000000,U387+ROW()/1000000)</f>
        <v>-1000000000000000</v>
      </c>
      <c r="X387" s="53" t="n">
        <f aca="false">IF(T387=1,IF(AND(ISNUMBER(F387),ISNUMBER(K387)),K387-F387,0),0)</f>
        <v>0</v>
      </c>
      <c r="Y387" s="53" t="n">
        <f aca="false">IF(T387=1,IF(AND(ISNUMBER(F387),ISNUMBER(K387)),1,0),0)</f>
        <v>0</v>
      </c>
      <c r="Z387" s="53" t="n">
        <f aca="false">IF(U387&gt;=Settings!$C$8,1,0)</f>
        <v>0</v>
      </c>
      <c r="AA387" s="53" t="n">
        <f aca="false">IF(S387=1,IF(J387="Listed / Publicado",0,1),0)</f>
        <v>0</v>
      </c>
      <c r="AB387" s="53" t="n">
        <f aca="false">IF(T387=1,IF(ISNUMBER(L387),L387-G387,0),0)</f>
        <v>0</v>
      </c>
      <c r="AC387" s="53" t="n">
        <f aca="false">IF(S387=1,IF(ISNUMBER(I387),I387-G387,0),0)</f>
        <v>0</v>
      </c>
    </row>
    <row r="388" customFormat="false" ht="15" hidden="false" customHeight="false" outlineLevel="0" collapsed="false">
      <c r="B388" s="54"/>
      <c r="C388" s="55"/>
      <c r="D388" s="55"/>
      <c r="E388" s="55"/>
      <c r="F388" s="56"/>
      <c r="G388" s="57"/>
      <c r="H388" s="55"/>
      <c r="I388" s="57"/>
      <c r="J388" s="54"/>
      <c r="K388" s="56"/>
      <c r="L388" s="57"/>
      <c r="M388" s="54"/>
      <c r="N388" s="58" t="str">
        <f aca="false">IF(S388=1,IF(U388&lt;0,"",U388),IF(Y388=1,X388,""))</f>
        <v/>
      </c>
      <c r="O388" s="59" t="str">
        <f aca="false">IF(S388=1,IF(ISNUMBER(I388),I388-G388,""),"")</f>
        <v/>
      </c>
      <c r="P388" s="59" t="str">
        <f aca="false">IF(T388=1,IF(ISNUMBER(L388),L388-G388,""),"")</f>
        <v/>
      </c>
      <c r="Q388" s="60" t="str">
        <f aca="false">IF(C388="","",IF(T388=1,"✔ SOLD / VENDIDO",IF(S388=0,"— CLOSED / CERRADO",IF(U388&lt;0,"⚠ ADD DATE / AGREGA FECHA",IF(U388&gt;=Settings!$C$8,"⚠ STALE – REPRICE / ESTANCADO",IF(U388&gt;=Settings!$C$7,"● WATCH / VIGILAR","✔ FRESH / RECIENTE"))))))</f>
        <v/>
      </c>
      <c r="S388" s="53" t="n">
        <f aca="false">IF(C388="",0,IF(OR(J388="",J388="In Stock / En Inventario",J388="Listed / Publicado"),1,0))</f>
        <v>0</v>
      </c>
      <c r="T388" s="53" t="n">
        <f aca="false">IF(C388="",0,IF(J388="Sold / Vendido",1,0))</f>
        <v>0</v>
      </c>
      <c r="U388" s="53" t="n">
        <f aca="true">IF(S388=1,IF(ISNUMBER(F388),TODAY()-F388,-1),-1)</f>
        <v>-1</v>
      </c>
      <c r="V388" s="53" t="n">
        <f aca="false">IF(U388&lt;0,IF(S388=1,5,0),IF(U388&lt;=30,1,IF(U388&lt;=60,2,IF(U388&lt;=90,3,4))))</f>
        <v>0</v>
      </c>
      <c r="W388" s="53" t="n">
        <f aca="false">IF(U388&lt;0,-1000000000000000,U388+ROW()/1000000)</f>
        <v>-1000000000000000</v>
      </c>
      <c r="X388" s="53" t="n">
        <f aca="false">IF(T388=1,IF(AND(ISNUMBER(F388),ISNUMBER(K388)),K388-F388,0),0)</f>
        <v>0</v>
      </c>
      <c r="Y388" s="53" t="n">
        <f aca="false">IF(T388=1,IF(AND(ISNUMBER(F388),ISNUMBER(K388)),1,0),0)</f>
        <v>0</v>
      </c>
      <c r="Z388" s="53" t="n">
        <f aca="false">IF(U388&gt;=Settings!$C$8,1,0)</f>
        <v>0</v>
      </c>
      <c r="AA388" s="53" t="n">
        <f aca="false">IF(S388=1,IF(J388="Listed / Publicado",0,1),0)</f>
        <v>0</v>
      </c>
      <c r="AB388" s="53" t="n">
        <f aca="false">IF(T388=1,IF(ISNUMBER(L388),L388-G388,0),0)</f>
        <v>0</v>
      </c>
      <c r="AC388" s="53" t="n">
        <f aca="false">IF(S388=1,IF(ISNUMBER(I388),I388-G388,0),0)</f>
        <v>0</v>
      </c>
    </row>
    <row r="389" customFormat="false" ht="15" hidden="false" customHeight="false" outlineLevel="0" collapsed="false">
      <c r="B389" s="54"/>
      <c r="C389" s="55"/>
      <c r="D389" s="55"/>
      <c r="E389" s="55"/>
      <c r="F389" s="56"/>
      <c r="G389" s="57"/>
      <c r="H389" s="55"/>
      <c r="I389" s="57"/>
      <c r="J389" s="54"/>
      <c r="K389" s="56"/>
      <c r="L389" s="57"/>
      <c r="M389" s="54"/>
      <c r="N389" s="58" t="str">
        <f aca="false">IF(S389=1,IF(U389&lt;0,"",U389),IF(Y389=1,X389,""))</f>
        <v/>
      </c>
      <c r="O389" s="59" t="str">
        <f aca="false">IF(S389=1,IF(ISNUMBER(I389),I389-G389,""),"")</f>
        <v/>
      </c>
      <c r="P389" s="59" t="str">
        <f aca="false">IF(T389=1,IF(ISNUMBER(L389),L389-G389,""),"")</f>
        <v/>
      </c>
      <c r="Q389" s="60" t="str">
        <f aca="false">IF(C389="","",IF(T389=1,"✔ SOLD / VENDIDO",IF(S389=0,"— CLOSED / CERRADO",IF(U389&lt;0,"⚠ ADD DATE / AGREGA FECHA",IF(U389&gt;=Settings!$C$8,"⚠ STALE – REPRICE / ESTANCADO",IF(U389&gt;=Settings!$C$7,"● WATCH / VIGILAR","✔ FRESH / RECIENTE"))))))</f>
        <v/>
      </c>
      <c r="S389" s="53" t="n">
        <f aca="false">IF(C389="",0,IF(OR(J389="",J389="In Stock / En Inventario",J389="Listed / Publicado"),1,0))</f>
        <v>0</v>
      </c>
      <c r="T389" s="53" t="n">
        <f aca="false">IF(C389="",0,IF(J389="Sold / Vendido",1,0))</f>
        <v>0</v>
      </c>
      <c r="U389" s="53" t="n">
        <f aca="true">IF(S389=1,IF(ISNUMBER(F389),TODAY()-F389,-1),-1)</f>
        <v>-1</v>
      </c>
      <c r="V389" s="53" t="n">
        <f aca="false">IF(U389&lt;0,IF(S389=1,5,0),IF(U389&lt;=30,1,IF(U389&lt;=60,2,IF(U389&lt;=90,3,4))))</f>
        <v>0</v>
      </c>
      <c r="W389" s="53" t="n">
        <f aca="false">IF(U389&lt;0,-1000000000000000,U389+ROW()/1000000)</f>
        <v>-1000000000000000</v>
      </c>
      <c r="X389" s="53" t="n">
        <f aca="false">IF(T389=1,IF(AND(ISNUMBER(F389),ISNUMBER(K389)),K389-F389,0),0)</f>
        <v>0</v>
      </c>
      <c r="Y389" s="53" t="n">
        <f aca="false">IF(T389=1,IF(AND(ISNUMBER(F389),ISNUMBER(K389)),1,0),0)</f>
        <v>0</v>
      </c>
      <c r="Z389" s="53" t="n">
        <f aca="false">IF(U389&gt;=Settings!$C$8,1,0)</f>
        <v>0</v>
      </c>
      <c r="AA389" s="53" t="n">
        <f aca="false">IF(S389=1,IF(J389="Listed / Publicado",0,1),0)</f>
        <v>0</v>
      </c>
      <c r="AB389" s="53" t="n">
        <f aca="false">IF(T389=1,IF(ISNUMBER(L389),L389-G389,0),0)</f>
        <v>0</v>
      </c>
      <c r="AC389" s="53" t="n">
        <f aca="false">IF(S389=1,IF(ISNUMBER(I389),I389-G389,0),0)</f>
        <v>0</v>
      </c>
    </row>
    <row r="390" customFormat="false" ht="15" hidden="false" customHeight="false" outlineLevel="0" collapsed="false">
      <c r="B390" s="54"/>
      <c r="C390" s="55"/>
      <c r="D390" s="55"/>
      <c r="E390" s="55"/>
      <c r="F390" s="56"/>
      <c r="G390" s="57"/>
      <c r="H390" s="55"/>
      <c r="I390" s="57"/>
      <c r="J390" s="54"/>
      <c r="K390" s="56"/>
      <c r="L390" s="57"/>
      <c r="M390" s="54"/>
      <c r="N390" s="58" t="str">
        <f aca="false">IF(S390=1,IF(U390&lt;0,"",U390),IF(Y390=1,X390,""))</f>
        <v/>
      </c>
      <c r="O390" s="59" t="str">
        <f aca="false">IF(S390=1,IF(ISNUMBER(I390),I390-G390,""),"")</f>
        <v/>
      </c>
      <c r="P390" s="59" t="str">
        <f aca="false">IF(T390=1,IF(ISNUMBER(L390),L390-G390,""),"")</f>
        <v/>
      </c>
      <c r="Q390" s="60" t="str">
        <f aca="false">IF(C390="","",IF(T390=1,"✔ SOLD / VENDIDO",IF(S390=0,"— CLOSED / CERRADO",IF(U390&lt;0,"⚠ ADD DATE / AGREGA FECHA",IF(U390&gt;=Settings!$C$8,"⚠ STALE – REPRICE / ESTANCADO",IF(U390&gt;=Settings!$C$7,"● WATCH / VIGILAR","✔ FRESH / RECIENTE"))))))</f>
        <v/>
      </c>
      <c r="S390" s="53" t="n">
        <f aca="false">IF(C390="",0,IF(OR(J390="",J390="In Stock / En Inventario",J390="Listed / Publicado"),1,0))</f>
        <v>0</v>
      </c>
      <c r="T390" s="53" t="n">
        <f aca="false">IF(C390="",0,IF(J390="Sold / Vendido",1,0))</f>
        <v>0</v>
      </c>
      <c r="U390" s="53" t="n">
        <f aca="true">IF(S390=1,IF(ISNUMBER(F390),TODAY()-F390,-1),-1)</f>
        <v>-1</v>
      </c>
      <c r="V390" s="53" t="n">
        <f aca="false">IF(U390&lt;0,IF(S390=1,5,0),IF(U390&lt;=30,1,IF(U390&lt;=60,2,IF(U390&lt;=90,3,4))))</f>
        <v>0</v>
      </c>
      <c r="W390" s="53" t="n">
        <f aca="false">IF(U390&lt;0,-1000000000000000,U390+ROW()/1000000)</f>
        <v>-1000000000000000</v>
      </c>
      <c r="X390" s="53" t="n">
        <f aca="false">IF(T390=1,IF(AND(ISNUMBER(F390),ISNUMBER(K390)),K390-F390,0),0)</f>
        <v>0</v>
      </c>
      <c r="Y390" s="53" t="n">
        <f aca="false">IF(T390=1,IF(AND(ISNUMBER(F390),ISNUMBER(K390)),1,0),0)</f>
        <v>0</v>
      </c>
      <c r="Z390" s="53" t="n">
        <f aca="false">IF(U390&gt;=Settings!$C$8,1,0)</f>
        <v>0</v>
      </c>
      <c r="AA390" s="53" t="n">
        <f aca="false">IF(S390=1,IF(J390="Listed / Publicado",0,1),0)</f>
        <v>0</v>
      </c>
      <c r="AB390" s="53" t="n">
        <f aca="false">IF(T390=1,IF(ISNUMBER(L390),L390-G390,0),0)</f>
        <v>0</v>
      </c>
      <c r="AC390" s="53" t="n">
        <f aca="false">IF(S390=1,IF(ISNUMBER(I390),I390-G390,0),0)</f>
        <v>0</v>
      </c>
    </row>
    <row r="391" customFormat="false" ht="15" hidden="false" customHeight="false" outlineLevel="0" collapsed="false">
      <c r="B391" s="54"/>
      <c r="C391" s="55"/>
      <c r="D391" s="55"/>
      <c r="E391" s="55"/>
      <c r="F391" s="56"/>
      <c r="G391" s="57"/>
      <c r="H391" s="55"/>
      <c r="I391" s="57"/>
      <c r="J391" s="54"/>
      <c r="K391" s="56"/>
      <c r="L391" s="57"/>
      <c r="M391" s="54"/>
      <c r="N391" s="58" t="str">
        <f aca="false">IF(S391=1,IF(U391&lt;0,"",U391),IF(Y391=1,X391,""))</f>
        <v/>
      </c>
      <c r="O391" s="59" t="str">
        <f aca="false">IF(S391=1,IF(ISNUMBER(I391),I391-G391,""),"")</f>
        <v/>
      </c>
      <c r="P391" s="59" t="str">
        <f aca="false">IF(T391=1,IF(ISNUMBER(L391),L391-G391,""),"")</f>
        <v/>
      </c>
      <c r="Q391" s="60" t="str">
        <f aca="false">IF(C391="","",IF(T391=1,"✔ SOLD / VENDIDO",IF(S391=0,"— CLOSED / CERRADO",IF(U391&lt;0,"⚠ ADD DATE / AGREGA FECHA",IF(U391&gt;=Settings!$C$8,"⚠ STALE – REPRICE / ESTANCADO",IF(U391&gt;=Settings!$C$7,"● WATCH / VIGILAR","✔ FRESH / RECIENTE"))))))</f>
        <v/>
      </c>
      <c r="S391" s="53" t="n">
        <f aca="false">IF(C391="",0,IF(OR(J391="",J391="In Stock / En Inventario",J391="Listed / Publicado"),1,0))</f>
        <v>0</v>
      </c>
      <c r="T391" s="53" t="n">
        <f aca="false">IF(C391="",0,IF(J391="Sold / Vendido",1,0))</f>
        <v>0</v>
      </c>
      <c r="U391" s="53" t="n">
        <f aca="true">IF(S391=1,IF(ISNUMBER(F391),TODAY()-F391,-1),-1)</f>
        <v>-1</v>
      </c>
      <c r="V391" s="53" t="n">
        <f aca="false">IF(U391&lt;0,IF(S391=1,5,0),IF(U391&lt;=30,1,IF(U391&lt;=60,2,IF(U391&lt;=90,3,4))))</f>
        <v>0</v>
      </c>
      <c r="W391" s="53" t="n">
        <f aca="false">IF(U391&lt;0,-1000000000000000,U391+ROW()/1000000)</f>
        <v>-1000000000000000</v>
      </c>
      <c r="X391" s="53" t="n">
        <f aca="false">IF(T391=1,IF(AND(ISNUMBER(F391),ISNUMBER(K391)),K391-F391,0),0)</f>
        <v>0</v>
      </c>
      <c r="Y391" s="53" t="n">
        <f aca="false">IF(T391=1,IF(AND(ISNUMBER(F391),ISNUMBER(K391)),1,0),0)</f>
        <v>0</v>
      </c>
      <c r="Z391" s="53" t="n">
        <f aca="false">IF(U391&gt;=Settings!$C$8,1,0)</f>
        <v>0</v>
      </c>
      <c r="AA391" s="53" t="n">
        <f aca="false">IF(S391=1,IF(J391="Listed / Publicado",0,1),0)</f>
        <v>0</v>
      </c>
      <c r="AB391" s="53" t="n">
        <f aca="false">IF(T391=1,IF(ISNUMBER(L391),L391-G391,0),0)</f>
        <v>0</v>
      </c>
      <c r="AC391" s="53" t="n">
        <f aca="false">IF(S391=1,IF(ISNUMBER(I391),I391-G391,0),0)</f>
        <v>0</v>
      </c>
    </row>
    <row r="392" customFormat="false" ht="15" hidden="false" customHeight="false" outlineLevel="0" collapsed="false">
      <c r="B392" s="54"/>
      <c r="C392" s="55"/>
      <c r="D392" s="55"/>
      <c r="E392" s="55"/>
      <c r="F392" s="56"/>
      <c r="G392" s="57"/>
      <c r="H392" s="55"/>
      <c r="I392" s="57"/>
      <c r="J392" s="54"/>
      <c r="K392" s="56"/>
      <c r="L392" s="57"/>
      <c r="M392" s="54"/>
      <c r="N392" s="58" t="str">
        <f aca="false">IF(S392=1,IF(U392&lt;0,"",U392),IF(Y392=1,X392,""))</f>
        <v/>
      </c>
      <c r="O392" s="59" t="str">
        <f aca="false">IF(S392=1,IF(ISNUMBER(I392),I392-G392,""),"")</f>
        <v/>
      </c>
      <c r="P392" s="59" t="str">
        <f aca="false">IF(T392=1,IF(ISNUMBER(L392),L392-G392,""),"")</f>
        <v/>
      </c>
      <c r="Q392" s="60" t="str">
        <f aca="false">IF(C392="","",IF(T392=1,"✔ SOLD / VENDIDO",IF(S392=0,"— CLOSED / CERRADO",IF(U392&lt;0,"⚠ ADD DATE / AGREGA FECHA",IF(U392&gt;=Settings!$C$8,"⚠ STALE – REPRICE / ESTANCADO",IF(U392&gt;=Settings!$C$7,"● WATCH / VIGILAR","✔ FRESH / RECIENTE"))))))</f>
        <v/>
      </c>
      <c r="S392" s="53" t="n">
        <f aca="false">IF(C392="",0,IF(OR(J392="",J392="In Stock / En Inventario",J392="Listed / Publicado"),1,0))</f>
        <v>0</v>
      </c>
      <c r="T392" s="53" t="n">
        <f aca="false">IF(C392="",0,IF(J392="Sold / Vendido",1,0))</f>
        <v>0</v>
      </c>
      <c r="U392" s="53" t="n">
        <f aca="true">IF(S392=1,IF(ISNUMBER(F392),TODAY()-F392,-1),-1)</f>
        <v>-1</v>
      </c>
      <c r="V392" s="53" t="n">
        <f aca="false">IF(U392&lt;0,IF(S392=1,5,0),IF(U392&lt;=30,1,IF(U392&lt;=60,2,IF(U392&lt;=90,3,4))))</f>
        <v>0</v>
      </c>
      <c r="W392" s="53" t="n">
        <f aca="false">IF(U392&lt;0,-1000000000000000,U392+ROW()/1000000)</f>
        <v>-1000000000000000</v>
      </c>
      <c r="X392" s="53" t="n">
        <f aca="false">IF(T392=1,IF(AND(ISNUMBER(F392),ISNUMBER(K392)),K392-F392,0),0)</f>
        <v>0</v>
      </c>
      <c r="Y392" s="53" t="n">
        <f aca="false">IF(T392=1,IF(AND(ISNUMBER(F392),ISNUMBER(K392)),1,0),0)</f>
        <v>0</v>
      </c>
      <c r="Z392" s="53" t="n">
        <f aca="false">IF(U392&gt;=Settings!$C$8,1,0)</f>
        <v>0</v>
      </c>
      <c r="AA392" s="53" t="n">
        <f aca="false">IF(S392=1,IF(J392="Listed / Publicado",0,1),0)</f>
        <v>0</v>
      </c>
      <c r="AB392" s="53" t="n">
        <f aca="false">IF(T392=1,IF(ISNUMBER(L392),L392-G392,0),0)</f>
        <v>0</v>
      </c>
      <c r="AC392" s="53" t="n">
        <f aca="false">IF(S392=1,IF(ISNUMBER(I392),I392-G392,0),0)</f>
        <v>0</v>
      </c>
    </row>
    <row r="393" customFormat="false" ht="15" hidden="false" customHeight="false" outlineLevel="0" collapsed="false">
      <c r="B393" s="54"/>
      <c r="C393" s="55"/>
      <c r="D393" s="55"/>
      <c r="E393" s="55"/>
      <c r="F393" s="56"/>
      <c r="G393" s="57"/>
      <c r="H393" s="55"/>
      <c r="I393" s="57"/>
      <c r="J393" s="54"/>
      <c r="K393" s="56"/>
      <c r="L393" s="57"/>
      <c r="M393" s="54"/>
      <c r="N393" s="58" t="str">
        <f aca="false">IF(S393=1,IF(U393&lt;0,"",U393),IF(Y393=1,X393,""))</f>
        <v/>
      </c>
      <c r="O393" s="59" t="str">
        <f aca="false">IF(S393=1,IF(ISNUMBER(I393),I393-G393,""),"")</f>
        <v/>
      </c>
      <c r="P393" s="59" t="str">
        <f aca="false">IF(T393=1,IF(ISNUMBER(L393),L393-G393,""),"")</f>
        <v/>
      </c>
      <c r="Q393" s="60" t="str">
        <f aca="false">IF(C393="","",IF(T393=1,"✔ SOLD / VENDIDO",IF(S393=0,"— CLOSED / CERRADO",IF(U393&lt;0,"⚠ ADD DATE / AGREGA FECHA",IF(U393&gt;=Settings!$C$8,"⚠ STALE – REPRICE / ESTANCADO",IF(U393&gt;=Settings!$C$7,"● WATCH / VIGILAR","✔ FRESH / RECIENTE"))))))</f>
        <v/>
      </c>
      <c r="S393" s="53" t="n">
        <f aca="false">IF(C393="",0,IF(OR(J393="",J393="In Stock / En Inventario",J393="Listed / Publicado"),1,0))</f>
        <v>0</v>
      </c>
      <c r="T393" s="53" t="n">
        <f aca="false">IF(C393="",0,IF(J393="Sold / Vendido",1,0))</f>
        <v>0</v>
      </c>
      <c r="U393" s="53" t="n">
        <f aca="true">IF(S393=1,IF(ISNUMBER(F393),TODAY()-F393,-1),-1)</f>
        <v>-1</v>
      </c>
      <c r="V393" s="53" t="n">
        <f aca="false">IF(U393&lt;0,IF(S393=1,5,0),IF(U393&lt;=30,1,IF(U393&lt;=60,2,IF(U393&lt;=90,3,4))))</f>
        <v>0</v>
      </c>
      <c r="W393" s="53" t="n">
        <f aca="false">IF(U393&lt;0,-1000000000000000,U393+ROW()/1000000)</f>
        <v>-1000000000000000</v>
      </c>
      <c r="X393" s="53" t="n">
        <f aca="false">IF(T393=1,IF(AND(ISNUMBER(F393),ISNUMBER(K393)),K393-F393,0),0)</f>
        <v>0</v>
      </c>
      <c r="Y393" s="53" t="n">
        <f aca="false">IF(T393=1,IF(AND(ISNUMBER(F393),ISNUMBER(K393)),1,0),0)</f>
        <v>0</v>
      </c>
      <c r="Z393" s="53" t="n">
        <f aca="false">IF(U393&gt;=Settings!$C$8,1,0)</f>
        <v>0</v>
      </c>
      <c r="AA393" s="53" t="n">
        <f aca="false">IF(S393=1,IF(J393="Listed / Publicado",0,1),0)</f>
        <v>0</v>
      </c>
      <c r="AB393" s="53" t="n">
        <f aca="false">IF(T393=1,IF(ISNUMBER(L393),L393-G393,0),0)</f>
        <v>0</v>
      </c>
      <c r="AC393" s="53" t="n">
        <f aca="false">IF(S393=1,IF(ISNUMBER(I393),I393-G393,0),0)</f>
        <v>0</v>
      </c>
    </row>
    <row r="394" customFormat="false" ht="15" hidden="false" customHeight="false" outlineLevel="0" collapsed="false">
      <c r="B394" s="54"/>
      <c r="C394" s="55"/>
      <c r="D394" s="55"/>
      <c r="E394" s="55"/>
      <c r="F394" s="56"/>
      <c r="G394" s="57"/>
      <c r="H394" s="55"/>
      <c r="I394" s="57"/>
      <c r="J394" s="54"/>
      <c r="K394" s="56"/>
      <c r="L394" s="57"/>
      <c r="M394" s="54"/>
      <c r="N394" s="58" t="str">
        <f aca="false">IF(S394=1,IF(U394&lt;0,"",U394),IF(Y394=1,X394,""))</f>
        <v/>
      </c>
      <c r="O394" s="59" t="str">
        <f aca="false">IF(S394=1,IF(ISNUMBER(I394),I394-G394,""),"")</f>
        <v/>
      </c>
      <c r="P394" s="59" t="str">
        <f aca="false">IF(T394=1,IF(ISNUMBER(L394),L394-G394,""),"")</f>
        <v/>
      </c>
      <c r="Q394" s="60" t="str">
        <f aca="false">IF(C394="","",IF(T394=1,"✔ SOLD / VENDIDO",IF(S394=0,"— CLOSED / CERRADO",IF(U394&lt;0,"⚠ ADD DATE / AGREGA FECHA",IF(U394&gt;=Settings!$C$8,"⚠ STALE – REPRICE / ESTANCADO",IF(U394&gt;=Settings!$C$7,"● WATCH / VIGILAR","✔ FRESH / RECIENTE"))))))</f>
        <v/>
      </c>
      <c r="S394" s="53" t="n">
        <f aca="false">IF(C394="",0,IF(OR(J394="",J394="In Stock / En Inventario",J394="Listed / Publicado"),1,0))</f>
        <v>0</v>
      </c>
      <c r="T394" s="53" t="n">
        <f aca="false">IF(C394="",0,IF(J394="Sold / Vendido",1,0))</f>
        <v>0</v>
      </c>
      <c r="U394" s="53" t="n">
        <f aca="true">IF(S394=1,IF(ISNUMBER(F394),TODAY()-F394,-1),-1)</f>
        <v>-1</v>
      </c>
      <c r="V394" s="53" t="n">
        <f aca="false">IF(U394&lt;0,IF(S394=1,5,0),IF(U394&lt;=30,1,IF(U394&lt;=60,2,IF(U394&lt;=90,3,4))))</f>
        <v>0</v>
      </c>
      <c r="W394" s="53" t="n">
        <f aca="false">IF(U394&lt;0,-1000000000000000,U394+ROW()/1000000)</f>
        <v>-1000000000000000</v>
      </c>
      <c r="X394" s="53" t="n">
        <f aca="false">IF(T394=1,IF(AND(ISNUMBER(F394),ISNUMBER(K394)),K394-F394,0),0)</f>
        <v>0</v>
      </c>
      <c r="Y394" s="53" t="n">
        <f aca="false">IF(T394=1,IF(AND(ISNUMBER(F394),ISNUMBER(K394)),1,0),0)</f>
        <v>0</v>
      </c>
      <c r="Z394" s="53" t="n">
        <f aca="false">IF(U394&gt;=Settings!$C$8,1,0)</f>
        <v>0</v>
      </c>
      <c r="AA394" s="53" t="n">
        <f aca="false">IF(S394=1,IF(J394="Listed / Publicado",0,1),0)</f>
        <v>0</v>
      </c>
      <c r="AB394" s="53" t="n">
        <f aca="false">IF(T394=1,IF(ISNUMBER(L394),L394-G394,0),0)</f>
        <v>0</v>
      </c>
      <c r="AC394" s="53" t="n">
        <f aca="false">IF(S394=1,IF(ISNUMBER(I394),I394-G394,0),0)</f>
        <v>0</v>
      </c>
    </row>
    <row r="395" customFormat="false" ht="15" hidden="false" customHeight="false" outlineLevel="0" collapsed="false">
      <c r="B395" s="54"/>
      <c r="C395" s="55"/>
      <c r="D395" s="55"/>
      <c r="E395" s="55"/>
      <c r="F395" s="56"/>
      <c r="G395" s="57"/>
      <c r="H395" s="55"/>
      <c r="I395" s="57"/>
      <c r="J395" s="54"/>
      <c r="K395" s="56"/>
      <c r="L395" s="57"/>
      <c r="M395" s="54"/>
      <c r="N395" s="58" t="str">
        <f aca="false">IF(S395=1,IF(U395&lt;0,"",U395),IF(Y395=1,X395,""))</f>
        <v/>
      </c>
      <c r="O395" s="59" t="str">
        <f aca="false">IF(S395=1,IF(ISNUMBER(I395),I395-G395,""),"")</f>
        <v/>
      </c>
      <c r="P395" s="59" t="str">
        <f aca="false">IF(T395=1,IF(ISNUMBER(L395),L395-G395,""),"")</f>
        <v/>
      </c>
      <c r="Q395" s="60" t="str">
        <f aca="false">IF(C395="","",IF(T395=1,"✔ SOLD / VENDIDO",IF(S395=0,"— CLOSED / CERRADO",IF(U395&lt;0,"⚠ ADD DATE / AGREGA FECHA",IF(U395&gt;=Settings!$C$8,"⚠ STALE – REPRICE / ESTANCADO",IF(U395&gt;=Settings!$C$7,"● WATCH / VIGILAR","✔ FRESH / RECIENTE"))))))</f>
        <v/>
      </c>
      <c r="S395" s="53" t="n">
        <f aca="false">IF(C395="",0,IF(OR(J395="",J395="In Stock / En Inventario",J395="Listed / Publicado"),1,0))</f>
        <v>0</v>
      </c>
      <c r="T395" s="53" t="n">
        <f aca="false">IF(C395="",0,IF(J395="Sold / Vendido",1,0))</f>
        <v>0</v>
      </c>
      <c r="U395" s="53" t="n">
        <f aca="true">IF(S395=1,IF(ISNUMBER(F395),TODAY()-F395,-1),-1)</f>
        <v>-1</v>
      </c>
      <c r="V395" s="53" t="n">
        <f aca="false">IF(U395&lt;0,IF(S395=1,5,0),IF(U395&lt;=30,1,IF(U395&lt;=60,2,IF(U395&lt;=90,3,4))))</f>
        <v>0</v>
      </c>
      <c r="W395" s="53" t="n">
        <f aca="false">IF(U395&lt;0,-1000000000000000,U395+ROW()/1000000)</f>
        <v>-1000000000000000</v>
      </c>
      <c r="X395" s="53" t="n">
        <f aca="false">IF(T395=1,IF(AND(ISNUMBER(F395),ISNUMBER(K395)),K395-F395,0),0)</f>
        <v>0</v>
      </c>
      <c r="Y395" s="53" t="n">
        <f aca="false">IF(T395=1,IF(AND(ISNUMBER(F395),ISNUMBER(K395)),1,0),0)</f>
        <v>0</v>
      </c>
      <c r="Z395" s="53" t="n">
        <f aca="false">IF(U395&gt;=Settings!$C$8,1,0)</f>
        <v>0</v>
      </c>
      <c r="AA395" s="53" t="n">
        <f aca="false">IF(S395=1,IF(J395="Listed / Publicado",0,1),0)</f>
        <v>0</v>
      </c>
      <c r="AB395" s="53" t="n">
        <f aca="false">IF(T395=1,IF(ISNUMBER(L395),L395-G395,0),0)</f>
        <v>0</v>
      </c>
      <c r="AC395" s="53" t="n">
        <f aca="false">IF(S395=1,IF(ISNUMBER(I395),I395-G395,0),0)</f>
        <v>0</v>
      </c>
    </row>
    <row r="396" customFormat="false" ht="15" hidden="false" customHeight="false" outlineLevel="0" collapsed="false">
      <c r="B396" s="54"/>
      <c r="C396" s="55"/>
      <c r="D396" s="55"/>
      <c r="E396" s="55"/>
      <c r="F396" s="56"/>
      <c r="G396" s="57"/>
      <c r="H396" s="55"/>
      <c r="I396" s="57"/>
      <c r="J396" s="54"/>
      <c r="K396" s="56"/>
      <c r="L396" s="57"/>
      <c r="M396" s="54"/>
      <c r="N396" s="58" t="str">
        <f aca="false">IF(S396=1,IF(U396&lt;0,"",U396),IF(Y396=1,X396,""))</f>
        <v/>
      </c>
      <c r="O396" s="59" t="str">
        <f aca="false">IF(S396=1,IF(ISNUMBER(I396),I396-G396,""),"")</f>
        <v/>
      </c>
      <c r="P396" s="59" t="str">
        <f aca="false">IF(T396=1,IF(ISNUMBER(L396),L396-G396,""),"")</f>
        <v/>
      </c>
      <c r="Q396" s="60" t="str">
        <f aca="false">IF(C396="","",IF(T396=1,"✔ SOLD / VENDIDO",IF(S396=0,"— CLOSED / CERRADO",IF(U396&lt;0,"⚠ ADD DATE / AGREGA FECHA",IF(U396&gt;=Settings!$C$8,"⚠ STALE – REPRICE / ESTANCADO",IF(U396&gt;=Settings!$C$7,"● WATCH / VIGILAR","✔ FRESH / RECIENTE"))))))</f>
        <v/>
      </c>
      <c r="S396" s="53" t="n">
        <f aca="false">IF(C396="",0,IF(OR(J396="",J396="In Stock / En Inventario",J396="Listed / Publicado"),1,0))</f>
        <v>0</v>
      </c>
      <c r="T396" s="53" t="n">
        <f aca="false">IF(C396="",0,IF(J396="Sold / Vendido",1,0))</f>
        <v>0</v>
      </c>
      <c r="U396" s="53" t="n">
        <f aca="true">IF(S396=1,IF(ISNUMBER(F396),TODAY()-F396,-1),-1)</f>
        <v>-1</v>
      </c>
      <c r="V396" s="53" t="n">
        <f aca="false">IF(U396&lt;0,IF(S396=1,5,0),IF(U396&lt;=30,1,IF(U396&lt;=60,2,IF(U396&lt;=90,3,4))))</f>
        <v>0</v>
      </c>
      <c r="W396" s="53" t="n">
        <f aca="false">IF(U396&lt;0,-1000000000000000,U396+ROW()/1000000)</f>
        <v>-1000000000000000</v>
      </c>
      <c r="X396" s="53" t="n">
        <f aca="false">IF(T396=1,IF(AND(ISNUMBER(F396),ISNUMBER(K396)),K396-F396,0),0)</f>
        <v>0</v>
      </c>
      <c r="Y396" s="53" t="n">
        <f aca="false">IF(T396=1,IF(AND(ISNUMBER(F396),ISNUMBER(K396)),1,0),0)</f>
        <v>0</v>
      </c>
      <c r="Z396" s="53" t="n">
        <f aca="false">IF(U396&gt;=Settings!$C$8,1,0)</f>
        <v>0</v>
      </c>
      <c r="AA396" s="53" t="n">
        <f aca="false">IF(S396=1,IF(J396="Listed / Publicado",0,1),0)</f>
        <v>0</v>
      </c>
      <c r="AB396" s="53" t="n">
        <f aca="false">IF(T396=1,IF(ISNUMBER(L396),L396-G396,0),0)</f>
        <v>0</v>
      </c>
      <c r="AC396" s="53" t="n">
        <f aca="false">IF(S396=1,IF(ISNUMBER(I396),I396-G396,0),0)</f>
        <v>0</v>
      </c>
    </row>
    <row r="397" customFormat="false" ht="15" hidden="false" customHeight="false" outlineLevel="0" collapsed="false">
      <c r="B397" s="54"/>
      <c r="C397" s="55"/>
      <c r="D397" s="55"/>
      <c r="E397" s="55"/>
      <c r="F397" s="56"/>
      <c r="G397" s="57"/>
      <c r="H397" s="55"/>
      <c r="I397" s="57"/>
      <c r="J397" s="54"/>
      <c r="K397" s="56"/>
      <c r="L397" s="57"/>
      <c r="M397" s="54"/>
      <c r="N397" s="58" t="str">
        <f aca="false">IF(S397=1,IF(U397&lt;0,"",U397),IF(Y397=1,X397,""))</f>
        <v/>
      </c>
      <c r="O397" s="59" t="str">
        <f aca="false">IF(S397=1,IF(ISNUMBER(I397),I397-G397,""),"")</f>
        <v/>
      </c>
      <c r="P397" s="59" t="str">
        <f aca="false">IF(T397=1,IF(ISNUMBER(L397),L397-G397,""),"")</f>
        <v/>
      </c>
      <c r="Q397" s="60" t="str">
        <f aca="false">IF(C397="","",IF(T397=1,"✔ SOLD / VENDIDO",IF(S397=0,"— CLOSED / CERRADO",IF(U397&lt;0,"⚠ ADD DATE / AGREGA FECHA",IF(U397&gt;=Settings!$C$8,"⚠ STALE – REPRICE / ESTANCADO",IF(U397&gt;=Settings!$C$7,"● WATCH / VIGILAR","✔ FRESH / RECIENTE"))))))</f>
        <v/>
      </c>
      <c r="S397" s="53" t="n">
        <f aca="false">IF(C397="",0,IF(OR(J397="",J397="In Stock / En Inventario",J397="Listed / Publicado"),1,0))</f>
        <v>0</v>
      </c>
      <c r="T397" s="53" t="n">
        <f aca="false">IF(C397="",0,IF(J397="Sold / Vendido",1,0))</f>
        <v>0</v>
      </c>
      <c r="U397" s="53" t="n">
        <f aca="true">IF(S397=1,IF(ISNUMBER(F397),TODAY()-F397,-1),-1)</f>
        <v>-1</v>
      </c>
      <c r="V397" s="53" t="n">
        <f aca="false">IF(U397&lt;0,IF(S397=1,5,0),IF(U397&lt;=30,1,IF(U397&lt;=60,2,IF(U397&lt;=90,3,4))))</f>
        <v>0</v>
      </c>
      <c r="W397" s="53" t="n">
        <f aca="false">IF(U397&lt;0,-1000000000000000,U397+ROW()/1000000)</f>
        <v>-1000000000000000</v>
      </c>
      <c r="X397" s="53" t="n">
        <f aca="false">IF(T397=1,IF(AND(ISNUMBER(F397),ISNUMBER(K397)),K397-F397,0),0)</f>
        <v>0</v>
      </c>
      <c r="Y397" s="53" t="n">
        <f aca="false">IF(T397=1,IF(AND(ISNUMBER(F397),ISNUMBER(K397)),1,0),0)</f>
        <v>0</v>
      </c>
      <c r="Z397" s="53" t="n">
        <f aca="false">IF(U397&gt;=Settings!$C$8,1,0)</f>
        <v>0</v>
      </c>
      <c r="AA397" s="53" t="n">
        <f aca="false">IF(S397=1,IF(J397="Listed / Publicado",0,1),0)</f>
        <v>0</v>
      </c>
      <c r="AB397" s="53" t="n">
        <f aca="false">IF(T397=1,IF(ISNUMBER(L397),L397-G397,0),0)</f>
        <v>0</v>
      </c>
      <c r="AC397" s="53" t="n">
        <f aca="false">IF(S397=1,IF(ISNUMBER(I397),I397-G397,0),0)</f>
        <v>0</v>
      </c>
    </row>
    <row r="398" customFormat="false" ht="15" hidden="false" customHeight="false" outlineLevel="0" collapsed="false">
      <c r="B398" s="54"/>
      <c r="C398" s="55"/>
      <c r="D398" s="55"/>
      <c r="E398" s="55"/>
      <c r="F398" s="56"/>
      <c r="G398" s="57"/>
      <c r="H398" s="55"/>
      <c r="I398" s="57"/>
      <c r="J398" s="54"/>
      <c r="K398" s="56"/>
      <c r="L398" s="57"/>
      <c r="M398" s="54"/>
      <c r="N398" s="58" t="str">
        <f aca="false">IF(S398=1,IF(U398&lt;0,"",U398),IF(Y398=1,X398,""))</f>
        <v/>
      </c>
      <c r="O398" s="59" t="str">
        <f aca="false">IF(S398=1,IF(ISNUMBER(I398),I398-G398,""),"")</f>
        <v/>
      </c>
      <c r="P398" s="59" t="str">
        <f aca="false">IF(T398=1,IF(ISNUMBER(L398),L398-G398,""),"")</f>
        <v/>
      </c>
      <c r="Q398" s="60" t="str">
        <f aca="false">IF(C398="","",IF(T398=1,"✔ SOLD / VENDIDO",IF(S398=0,"— CLOSED / CERRADO",IF(U398&lt;0,"⚠ ADD DATE / AGREGA FECHA",IF(U398&gt;=Settings!$C$8,"⚠ STALE – REPRICE / ESTANCADO",IF(U398&gt;=Settings!$C$7,"● WATCH / VIGILAR","✔ FRESH / RECIENTE"))))))</f>
        <v/>
      </c>
      <c r="S398" s="53" t="n">
        <f aca="false">IF(C398="",0,IF(OR(J398="",J398="In Stock / En Inventario",J398="Listed / Publicado"),1,0))</f>
        <v>0</v>
      </c>
      <c r="T398" s="53" t="n">
        <f aca="false">IF(C398="",0,IF(J398="Sold / Vendido",1,0))</f>
        <v>0</v>
      </c>
      <c r="U398" s="53" t="n">
        <f aca="true">IF(S398=1,IF(ISNUMBER(F398),TODAY()-F398,-1),-1)</f>
        <v>-1</v>
      </c>
      <c r="V398" s="53" t="n">
        <f aca="false">IF(U398&lt;0,IF(S398=1,5,0),IF(U398&lt;=30,1,IF(U398&lt;=60,2,IF(U398&lt;=90,3,4))))</f>
        <v>0</v>
      </c>
      <c r="W398" s="53" t="n">
        <f aca="false">IF(U398&lt;0,-1000000000000000,U398+ROW()/1000000)</f>
        <v>-1000000000000000</v>
      </c>
      <c r="X398" s="53" t="n">
        <f aca="false">IF(T398=1,IF(AND(ISNUMBER(F398),ISNUMBER(K398)),K398-F398,0),0)</f>
        <v>0</v>
      </c>
      <c r="Y398" s="53" t="n">
        <f aca="false">IF(T398=1,IF(AND(ISNUMBER(F398),ISNUMBER(K398)),1,0),0)</f>
        <v>0</v>
      </c>
      <c r="Z398" s="53" t="n">
        <f aca="false">IF(U398&gt;=Settings!$C$8,1,0)</f>
        <v>0</v>
      </c>
      <c r="AA398" s="53" t="n">
        <f aca="false">IF(S398=1,IF(J398="Listed / Publicado",0,1),0)</f>
        <v>0</v>
      </c>
      <c r="AB398" s="53" t="n">
        <f aca="false">IF(T398=1,IF(ISNUMBER(L398),L398-G398,0),0)</f>
        <v>0</v>
      </c>
      <c r="AC398" s="53" t="n">
        <f aca="false">IF(S398=1,IF(ISNUMBER(I398),I398-G398,0),0)</f>
        <v>0</v>
      </c>
    </row>
    <row r="399" customFormat="false" ht="15" hidden="false" customHeight="false" outlineLevel="0" collapsed="false">
      <c r="B399" s="54"/>
      <c r="C399" s="55"/>
      <c r="D399" s="55"/>
      <c r="E399" s="55"/>
      <c r="F399" s="56"/>
      <c r="G399" s="57"/>
      <c r="H399" s="55"/>
      <c r="I399" s="57"/>
      <c r="J399" s="54"/>
      <c r="K399" s="56"/>
      <c r="L399" s="57"/>
      <c r="M399" s="54"/>
      <c r="N399" s="58" t="str">
        <f aca="false">IF(S399=1,IF(U399&lt;0,"",U399),IF(Y399=1,X399,""))</f>
        <v/>
      </c>
      <c r="O399" s="59" t="str">
        <f aca="false">IF(S399=1,IF(ISNUMBER(I399),I399-G399,""),"")</f>
        <v/>
      </c>
      <c r="P399" s="59" t="str">
        <f aca="false">IF(T399=1,IF(ISNUMBER(L399),L399-G399,""),"")</f>
        <v/>
      </c>
      <c r="Q399" s="60" t="str">
        <f aca="false">IF(C399="","",IF(T399=1,"✔ SOLD / VENDIDO",IF(S399=0,"— CLOSED / CERRADO",IF(U399&lt;0,"⚠ ADD DATE / AGREGA FECHA",IF(U399&gt;=Settings!$C$8,"⚠ STALE – REPRICE / ESTANCADO",IF(U399&gt;=Settings!$C$7,"● WATCH / VIGILAR","✔ FRESH / RECIENTE"))))))</f>
        <v/>
      </c>
      <c r="S399" s="53" t="n">
        <f aca="false">IF(C399="",0,IF(OR(J399="",J399="In Stock / En Inventario",J399="Listed / Publicado"),1,0))</f>
        <v>0</v>
      </c>
      <c r="T399" s="53" t="n">
        <f aca="false">IF(C399="",0,IF(J399="Sold / Vendido",1,0))</f>
        <v>0</v>
      </c>
      <c r="U399" s="53" t="n">
        <f aca="true">IF(S399=1,IF(ISNUMBER(F399),TODAY()-F399,-1),-1)</f>
        <v>-1</v>
      </c>
      <c r="V399" s="53" t="n">
        <f aca="false">IF(U399&lt;0,IF(S399=1,5,0),IF(U399&lt;=30,1,IF(U399&lt;=60,2,IF(U399&lt;=90,3,4))))</f>
        <v>0</v>
      </c>
      <c r="W399" s="53" t="n">
        <f aca="false">IF(U399&lt;0,-1000000000000000,U399+ROW()/1000000)</f>
        <v>-1000000000000000</v>
      </c>
      <c r="X399" s="53" t="n">
        <f aca="false">IF(T399=1,IF(AND(ISNUMBER(F399),ISNUMBER(K399)),K399-F399,0),0)</f>
        <v>0</v>
      </c>
      <c r="Y399" s="53" t="n">
        <f aca="false">IF(T399=1,IF(AND(ISNUMBER(F399),ISNUMBER(K399)),1,0),0)</f>
        <v>0</v>
      </c>
      <c r="Z399" s="53" t="n">
        <f aca="false">IF(U399&gt;=Settings!$C$8,1,0)</f>
        <v>0</v>
      </c>
      <c r="AA399" s="53" t="n">
        <f aca="false">IF(S399=1,IF(J399="Listed / Publicado",0,1),0)</f>
        <v>0</v>
      </c>
      <c r="AB399" s="53" t="n">
        <f aca="false">IF(T399=1,IF(ISNUMBER(L399),L399-G399,0),0)</f>
        <v>0</v>
      </c>
      <c r="AC399" s="53" t="n">
        <f aca="false">IF(S399=1,IF(ISNUMBER(I399),I399-G399,0),0)</f>
        <v>0</v>
      </c>
    </row>
    <row r="400" customFormat="false" ht="15" hidden="false" customHeight="false" outlineLevel="0" collapsed="false">
      <c r="B400" s="54"/>
      <c r="C400" s="55"/>
      <c r="D400" s="55"/>
      <c r="E400" s="55"/>
      <c r="F400" s="56"/>
      <c r="G400" s="57"/>
      <c r="H400" s="55"/>
      <c r="I400" s="57"/>
      <c r="J400" s="54"/>
      <c r="K400" s="56"/>
      <c r="L400" s="57"/>
      <c r="M400" s="54"/>
      <c r="N400" s="58" t="str">
        <f aca="false">IF(S400=1,IF(U400&lt;0,"",U400),IF(Y400=1,X400,""))</f>
        <v/>
      </c>
      <c r="O400" s="59" t="str">
        <f aca="false">IF(S400=1,IF(ISNUMBER(I400),I400-G400,""),"")</f>
        <v/>
      </c>
      <c r="P400" s="59" t="str">
        <f aca="false">IF(T400=1,IF(ISNUMBER(L400),L400-G400,""),"")</f>
        <v/>
      </c>
      <c r="Q400" s="60" t="str">
        <f aca="false">IF(C400="","",IF(T400=1,"✔ SOLD / VENDIDO",IF(S400=0,"— CLOSED / CERRADO",IF(U400&lt;0,"⚠ ADD DATE / AGREGA FECHA",IF(U400&gt;=Settings!$C$8,"⚠ STALE – REPRICE / ESTANCADO",IF(U400&gt;=Settings!$C$7,"● WATCH / VIGILAR","✔ FRESH / RECIENTE"))))))</f>
        <v/>
      </c>
      <c r="S400" s="53" t="n">
        <f aca="false">IF(C400="",0,IF(OR(J400="",J400="In Stock / En Inventario",J400="Listed / Publicado"),1,0))</f>
        <v>0</v>
      </c>
      <c r="T400" s="53" t="n">
        <f aca="false">IF(C400="",0,IF(J400="Sold / Vendido",1,0))</f>
        <v>0</v>
      </c>
      <c r="U400" s="53" t="n">
        <f aca="true">IF(S400=1,IF(ISNUMBER(F400),TODAY()-F400,-1),-1)</f>
        <v>-1</v>
      </c>
      <c r="V400" s="53" t="n">
        <f aca="false">IF(U400&lt;0,IF(S400=1,5,0),IF(U400&lt;=30,1,IF(U400&lt;=60,2,IF(U400&lt;=90,3,4))))</f>
        <v>0</v>
      </c>
      <c r="W400" s="53" t="n">
        <f aca="false">IF(U400&lt;0,-1000000000000000,U400+ROW()/1000000)</f>
        <v>-1000000000000000</v>
      </c>
      <c r="X400" s="53" t="n">
        <f aca="false">IF(T400=1,IF(AND(ISNUMBER(F400),ISNUMBER(K400)),K400-F400,0),0)</f>
        <v>0</v>
      </c>
      <c r="Y400" s="53" t="n">
        <f aca="false">IF(T400=1,IF(AND(ISNUMBER(F400),ISNUMBER(K400)),1,0),0)</f>
        <v>0</v>
      </c>
      <c r="Z400" s="53" t="n">
        <f aca="false">IF(U400&gt;=Settings!$C$8,1,0)</f>
        <v>0</v>
      </c>
      <c r="AA400" s="53" t="n">
        <f aca="false">IF(S400=1,IF(J400="Listed / Publicado",0,1),0)</f>
        <v>0</v>
      </c>
      <c r="AB400" s="53" t="n">
        <f aca="false">IF(T400=1,IF(ISNUMBER(L400),L400-G400,0),0)</f>
        <v>0</v>
      </c>
      <c r="AC400" s="53" t="n">
        <f aca="false">IF(S400=1,IF(ISNUMBER(I400),I400-G400,0),0)</f>
        <v>0</v>
      </c>
    </row>
    <row r="401" customFormat="false" ht="15" hidden="false" customHeight="false" outlineLevel="0" collapsed="false">
      <c r="B401" s="54"/>
      <c r="C401" s="55"/>
      <c r="D401" s="55"/>
      <c r="E401" s="55"/>
      <c r="F401" s="56"/>
      <c r="G401" s="57"/>
      <c r="H401" s="55"/>
      <c r="I401" s="57"/>
      <c r="J401" s="54"/>
      <c r="K401" s="56"/>
      <c r="L401" s="57"/>
      <c r="M401" s="54"/>
      <c r="N401" s="58" t="str">
        <f aca="false">IF(S401=1,IF(U401&lt;0,"",U401),IF(Y401=1,X401,""))</f>
        <v/>
      </c>
      <c r="O401" s="59" t="str">
        <f aca="false">IF(S401=1,IF(ISNUMBER(I401),I401-G401,""),"")</f>
        <v/>
      </c>
      <c r="P401" s="59" t="str">
        <f aca="false">IF(T401=1,IF(ISNUMBER(L401),L401-G401,""),"")</f>
        <v/>
      </c>
      <c r="Q401" s="60" t="str">
        <f aca="false">IF(C401="","",IF(T401=1,"✔ SOLD / VENDIDO",IF(S401=0,"— CLOSED / CERRADO",IF(U401&lt;0,"⚠ ADD DATE / AGREGA FECHA",IF(U401&gt;=Settings!$C$8,"⚠ STALE – REPRICE / ESTANCADO",IF(U401&gt;=Settings!$C$7,"● WATCH / VIGILAR","✔ FRESH / RECIENTE"))))))</f>
        <v/>
      </c>
      <c r="S401" s="53" t="n">
        <f aca="false">IF(C401="",0,IF(OR(J401="",J401="In Stock / En Inventario",J401="Listed / Publicado"),1,0))</f>
        <v>0</v>
      </c>
      <c r="T401" s="53" t="n">
        <f aca="false">IF(C401="",0,IF(J401="Sold / Vendido",1,0))</f>
        <v>0</v>
      </c>
      <c r="U401" s="53" t="n">
        <f aca="true">IF(S401=1,IF(ISNUMBER(F401),TODAY()-F401,-1),-1)</f>
        <v>-1</v>
      </c>
      <c r="V401" s="53" t="n">
        <f aca="false">IF(U401&lt;0,IF(S401=1,5,0),IF(U401&lt;=30,1,IF(U401&lt;=60,2,IF(U401&lt;=90,3,4))))</f>
        <v>0</v>
      </c>
      <c r="W401" s="53" t="n">
        <f aca="false">IF(U401&lt;0,-1000000000000000,U401+ROW()/1000000)</f>
        <v>-1000000000000000</v>
      </c>
      <c r="X401" s="53" t="n">
        <f aca="false">IF(T401=1,IF(AND(ISNUMBER(F401),ISNUMBER(K401)),K401-F401,0),0)</f>
        <v>0</v>
      </c>
      <c r="Y401" s="53" t="n">
        <f aca="false">IF(T401=1,IF(AND(ISNUMBER(F401),ISNUMBER(K401)),1,0),0)</f>
        <v>0</v>
      </c>
      <c r="Z401" s="53" t="n">
        <f aca="false">IF(U401&gt;=Settings!$C$8,1,0)</f>
        <v>0</v>
      </c>
      <c r="AA401" s="53" t="n">
        <f aca="false">IF(S401=1,IF(J401="Listed / Publicado",0,1),0)</f>
        <v>0</v>
      </c>
      <c r="AB401" s="53" t="n">
        <f aca="false">IF(T401=1,IF(ISNUMBER(L401),L401-G401,0),0)</f>
        <v>0</v>
      </c>
      <c r="AC401" s="53" t="n">
        <f aca="false">IF(S401=1,IF(ISNUMBER(I401),I401-G401,0),0)</f>
        <v>0</v>
      </c>
    </row>
    <row r="402" customFormat="false" ht="15" hidden="false" customHeight="false" outlineLevel="0" collapsed="false">
      <c r="B402" s="54"/>
      <c r="C402" s="55"/>
      <c r="D402" s="55"/>
      <c r="E402" s="55"/>
      <c r="F402" s="56"/>
      <c r="G402" s="57"/>
      <c r="H402" s="55"/>
      <c r="I402" s="57"/>
      <c r="J402" s="54"/>
      <c r="K402" s="56"/>
      <c r="L402" s="57"/>
      <c r="M402" s="54"/>
      <c r="N402" s="58" t="str">
        <f aca="false">IF(S402=1,IF(U402&lt;0,"",U402),IF(Y402=1,X402,""))</f>
        <v/>
      </c>
      <c r="O402" s="59" t="str">
        <f aca="false">IF(S402=1,IF(ISNUMBER(I402),I402-G402,""),"")</f>
        <v/>
      </c>
      <c r="P402" s="59" t="str">
        <f aca="false">IF(T402=1,IF(ISNUMBER(L402),L402-G402,""),"")</f>
        <v/>
      </c>
      <c r="Q402" s="60" t="str">
        <f aca="false">IF(C402="","",IF(T402=1,"✔ SOLD / VENDIDO",IF(S402=0,"— CLOSED / CERRADO",IF(U402&lt;0,"⚠ ADD DATE / AGREGA FECHA",IF(U402&gt;=Settings!$C$8,"⚠ STALE – REPRICE / ESTANCADO",IF(U402&gt;=Settings!$C$7,"● WATCH / VIGILAR","✔ FRESH / RECIENTE"))))))</f>
        <v/>
      </c>
      <c r="S402" s="53" t="n">
        <f aca="false">IF(C402="",0,IF(OR(J402="",J402="In Stock / En Inventario",J402="Listed / Publicado"),1,0))</f>
        <v>0</v>
      </c>
      <c r="T402" s="53" t="n">
        <f aca="false">IF(C402="",0,IF(J402="Sold / Vendido",1,0))</f>
        <v>0</v>
      </c>
      <c r="U402" s="53" t="n">
        <f aca="true">IF(S402=1,IF(ISNUMBER(F402),TODAY()-F402,-1),-1)</f>
        <v>-1</v>
      </c>
      <c r="V402" s="53" t="n">
        <f aca="false">IF(U402&lt;0,IF(S402=1,5,0),IF(U402&lt;=30,1,IF(U402&lt;=60,2,IF(U402&lt;=90,3,4))))</f>
        <v>0</v>
      </c>
      <c r="W402" s="53" t="n">
        <f aca="false">IF(U402&lt;0,-1000000000000000,U402+ROW()/1000000)</f>
        <v>-1000000000000000</v>
      </c>
      <c r="X402" s="53" t="n">
        <f aca="false">IF(T402=1,IF(AND(ISNUMBER(F402),ISNUMBER(K402)),K402-F402,0),0)</f>
        <v>0</v>
      </c>
      <c r="Y402" s="53" t="n">
        <f aca="false">IF(T402=1,IF(AND(ISNUMBER(F402),ISNUMBER(K402)),1,0),0)</f>
        <v>0</v>
      </c>
      <c r="Z402" s="53" t="n">
        <f aca="false">IF(U402&gt;=Settings!$C$8,1,0)</f>
        <v>0</v>
      </c>
      <c r="AA402" s="53" t="n">
        <f aca="false">IF(S402=1,IF(J402="Listed / Publicado",0,1),0)</f>
        <v>0</v>
      </c>
      <c r="AB402" s="53" t="n">
        <f aca="false">IF(T402=1,IF(ISNUMBER(L402),L402-G402,0),0)</f>
        <v>0</v>
      </c>
      <c r="AC402" s="53" t="n">
        <f aca="false">IF(S402=1,IF(ISNUMBER(I402),I402-G402,0),0)</f>
        <v>0</v>
      </c>
    </row>
    <row r="403" customFormat="false" ht="15" hidden="false" customHeight="false" outlineLevel="0" collapsed="false">
      <c r="B403" s="54"/>
      <c r="C403" s="55"/>
      <c r="D403" s="55"/>
      <c r="E403" s="55"/>
      <c r="F403" s="56"/>
      <c r="G403" s="57"/>
      <c r="H403" s="55"/>
      <c r="I403" s="57"/>
      <c r="J403" s="54"/>
      <c r="K403" s="56"/>
      <c r="L403" s="57"/>
      <c r="M403" s="54"/>
      <c r="N403" s="58" t="str">
        <f aca="false">IF(S403=1,IF(U403&lt;0,"",U403),IF(Y403=1,X403,""))</f>
        <v/>
      </c>
      <c r="O403" s="59" t="str">
        <f aca="false">IF(S403=1,IF(ISNUMBER(I403),I403-G403,""),"")</f>
        <v/>
      </c>
      <c r="P403" s="59" t="str">
        <f aca="false">IF(T403=1,IF(ISNUMBER(L403),L403-G403,""),"")</f>
        <v/>
      </c>
      <c r="Q403" s="60" t="str">
        <f aca="false">IF(C403="","",IF(T403=1,"✔ SOLD / VENDIDO",IF(S403=0,"— CLOSED / CERRADO",IF(U403&lt;0,"⚠ ADD DATE / AGREGA FECHA",IF(U403&gt;=Settings!$C$8,"⚠ STALE – REPRICE / ESTANCADO",IF(U403&gt;=Settings!$C$7,"● WATCH / VIGILAR","✔ FRESH / RECIENTE"))))))</f>
        <v/>
      </c>
      <c r="S403" s="53" t="n">
        <f aca="false">IF(C403="",0,IF(OR(J403="",J403="In Stock / En Inventario",J403="Listed / Publicado"),1,0))</f>
        <v>0</v>
      </c>
      <c r="T403" s="53" t="n">
        <f aca="false">IF(C403="",0,IF(J403="Sold / Vendido",1,0))</f>
        <v>0</v>
      </c>
      <c r="U403" s="53" t="n">
        <f aca="true">IF(S403=1,IF(ISNUMBER(F403),TODAY()-F403,-1),-1)</f>
        <v>-1</v>
      </c>
      <c r="V403" s="53" t="n">
        <f aca="false">IF(U403&lt;0,IF(S403=1,5,0),IF(U403&lt;=30,1,IF(U403&lt;=60,2,IF(U403&lt;=90,3,4))))</f>
        <v>0</v>
      </c>
      <c r="W403" s="53" t="n">
        <f aca="false">IF(U403&lt;0,-1000000000000000,U403+ROW()/1000000)</f>
        <v>-1000000000000000</v>
      </c>
      <c r="X403" s="53" t="n">
        <f aca="false">IF(T403=1,IF(AND(ISNUMBER(F403),ISNUMBER(K403)),K403-F403,0),0)</f>
        <v>0</v>
      </c>
      <c r="Y403" s="53" t="n">
        <f aca="false">IF(T403=1,IF(AND(ISNUMBER(F403),ISNUMBER(K403)),1,0),0)</f>
        <v>0</v>
      </c>
      <c r="Z403" s="53" t="n">
        <f aca="false">IF(U403&gt;=Settings!$C$8,1,0)</f>
        <v>0</v>
      </c>
      <c r="AA403" s="53" t="n">
        <f aca="false">IF(S403=1,IF(J403="Listed / Publicado",0,1),0)</f>
        <v>0</v>
      </c>
      <c r="AB403" s="53" t="n">
        <f aca="false">IF(T403=1,IF(ISNUMBER(L403),L403-G403,0),0)</f>
        <v>0</v>
      </c>
      <c r="AC403" s="53" t="n">
        <f aca="false">IF(S403=1,IF(ISNUMBER(I403),I403-G403,0),0)</f>
        <v>0</v>
      </c>
    </row>
    <row r="404" customFormat="false" ht="15" hidden="false" customHeight="false" outlineLevel="0" collapsed="false">
      <c r="B404" s="54"/>
      <c r="C404" s="55"/>
      <c r="D404" s="55"/>
      <c r="E404" s="55"/>
      <c r="F404" s="56"/>
      <c r="G404" s="57"/>
      <c r="H404" s="55"/>
      <c r="I404" s="57"/>
      <c r="J404" s="54"/>
      <c r="K404" s="56"/>
      <c r="L404" s="57"/>
      <c r="M404" s="54"/>
      <c r="N404" s="58" t="str">
        <f aca="false">IF(S404=1,IF(U404&lt;0,"",U404),IF(Y404=1,X404,""))</f>
        <v/>
      </c>
      <c r="O404" s="59" t="str">
        <f aca="false">IF(S404=1,IF(ISNUMBER(I404),I404-G404,""),"")</f>
        <v/>
      </c>
      <c r="P404" s="59" t="str">
        <f aca="false">IF(T404=1,IF(ISNUMBER(L404),L404-G404,""),"")</f>
        <v/>
      </c>
      <c r="Q404" s="60" t="str">
        <f aca="false">IF(C404="","",IF(T404=1,"✔ SOLD / VENDIDO",IF(S404=0,"— CLOSED / CERRADO",IF(U404&lt;0,"⚠ ADD DATE / AGREGA FECHA",IF(U404&gt;=Settings!$C$8,"⚠ STALE – REPRICE / ESTANCADO",IF(U404&gt;=Settings!$C$7,"● WATCH / VIGILAR","✔ FRESH / RECIENTE"))))))</f>
        <v/>
      </c>
      <c r="S404" s="53" t="n">
        <f aca="false">IF(C404="",0,IF(OR(J404="",J404="In Stock / En Inventario",J404="Listed / Publicado"),1,0))</f>
        <v>0</v>
      </c>
      <c r="T404" s="53" t="n">
        <f aca="false">IF(C404="",0,IF(J404="Sold / Vendido",1,0))</f>
        <v>0</v>
      </c>
      <c r="U404" s="53" t="n">
        <f aca="true">IF(S404=1,IF(ISNUMBER(F404),TODAY()-F404,-1),-1)</f>
        <v>-1</v>
      </c>
      <c r="V404" s="53" t="n">
        <f aca="false">IF(U404&lt;0,IF(S404=1,5,0),IF(U404&lt;=30,1,IF(U404&lt;=60,2,IF(U404&lt;=90,3,4))))</f>
        <v>0</v>
      </c>
      <c r="W404" s="53" t="n">
        <f aca="false">IF(U404&lt;0,-1000000000000000,U404+ROW()/1000000)</f>
        <v>-1000000000000000</v>
      </c>
      <c r="X404" s="53" t="n">
        <f aca="false">IF(T404=1,IF(AND(ISNUMBER(F404),ISNUMBER(K404)),K404-F404,0),0)</f>
        <v>0</v>
      </c>
      <c r="Y404" s="53" t="n">
        <f aca="false">IF(T404=1,IF(AND(ISNUMBER(F404),ISNUMBER(K404)),1,0),0)</f>
        <v>0</v>
      </c>
      <c r="Z404" s="53" t="n">
        <f aca="false">IF(U404&gt;=Settings!$C$8,1,0)</f>
        <v>0</v>
      </c>
      <c r="AA404" s="53" t="n">
        <f aca="false">IF(S404=1,IF(J404="Listed / Publicado",0,1),0)</f>
        <v>0</v>
      </c>
      <c r="AB404" s="53" t="n">
        <f aca="false">IF(T404=1,IF(ISNUMBER(L404),L404-G404,0),0)</f>
        <v>0</v>
      </c>
      <c r="AC404" s="53" t="n">
        <f aca="false">IF(S404=1,IF(ISNUMBER(I404),I404-G404,0),0)</f>
        <v>0</v>
      </c>
    </row>
    <row r="405" customFormat="false" ht="15" hidden="false" customHeight="false" outlineLevel="0" collapsed="false">
      <c r="B405" s="54"/>
      <c r="C405" s="55"/>
      <c r="D405" s="55"/>
      <c r="E405" s="55"/>
      <c r="F405" s="56"/>
      <c r="G405" s="57"/>
      <c r="H405" s="55"/>
      <c r="I405" s="57"/>
      <c r="J405" s="54"/>
      <c r="K405" s="56"/>
      <c r="L405" s="57"/>
      <c r="M405" s="54"/>
      <c r="N405" s="58" t="str">
        <f aca="false">IF(S405=1,IF(U405&lt;0,"",U405),IF(Y405=1,X405,""))</f>
        <v/>
      </c>
      <c r="O405" s="59" t="str">
        <f aca="false">IF(S405=1,IF(ISNUMBER(I405),I405-G405,""),"")</f>
        <v/>
      </c>
      <c r="P405" s="59" t="str">
        <f aca="false">IF(T405=1,IF(ISNUMBER(L405),L405-G405,""),"")</f>
        <v/>
      </c>
      <c r="Q405" s="60" t="str">
        <f aca="false">IF(C405="","",IF(T405=1,"✔ SOLD / VENDIDO",IF(S405=0,"— CLOSED / CERRADO",IF(U405&lt;0,"⚠ ADD DATE / AGREGA FECHA",IF(U405&gt;=Settings!$C$8,"⚠ STALE – REPRICE / ESTANCADO",IF(U405&gt;=Settings!$C$7,"● WATCH / VIGILAR","✔ FRESH / RECIENTE"))))))</f>
        <v/>
      </c>
      <c r="S405" s="53" t="n">
        <f aca="false">IF(C405="",0,IF(OR(J405="",J405="In Stock / En Inventario",J405="Listed / Publicado"),1,0))</f>
        <v>0</v>
      </c>
      <c r="T405" s="53" t="n">
        <f aca="false">IF(C405="",0,IF(J405="Sold / Vendido",1,0))</f>
        <v>0</v>
      </c>
      <c r="U405" s="53" t="n">
        <f aca="true">IF(S405=1,IF(ISNUMBER(F405),TODAY()-F405,-1),-1)</f>
        <v>-1</v>
      </c>
      <c r="V405" s="53" t="n">
        <f aca="false">IF(U405&lt;0,IF(S405=1,5,0),IF(U405&lt;=30,1,IF(U405&lt;=60,2,IF(U405&lt;=90,3,4))))</f>
        <v>0</v>
      </c>
      <c r="W405" s="53" t="n">
        <f aca="false">IF(U405&lt;0,-1000000000000000,U405+ROW()/1000000)</f>
        <v>-1000000000000000</v>
      </c>
      <c r="X405" s="53" t="n">
        <f aca="false">IF(T405=1,IF(AND(ISNUMBER(F405),ISNUMBER(K405)),K405-F405,0),0)</f>
        <v>0</v>
      </c>
      <c r="Y405" s="53" t="n">
        <f aca="false">IF(T405=1,IF(AND(ISNUMBER(F405),ISNUMBER(K405)),1,0),0)</f>
        <v>0</v>
      </c>
      <c r="Z405" s="53" t="n">
        <f aca="false">IF(U405&gt;=Settings!$C$8,1,0)</f>
        <v>0</v>
      </c>
      <c r="AA405" s="53" t="n">
        <f aca="false">IF(S405=1,IF(J405="Listed / Publicado",0,1),0)</f>
        <v>0</v>
      </c>
      <c r="AB405" s="53" t="n">
        <f aca="false">IF(T405=1,IF(ISNUMBER(L405),L405-G405,0),0)</f>
        <v>0</v>
      </c>
      <c r="AC405" s="53" t="n">
        <f aca="false">IF(S405=1,IF(ISNUMBER(I405),I405-G405,0),0)</f>
        <v>0</v>
      </c>
    </row>
    <row r="406" customFormat="false" ht="15" hidden="false" customHeight="false" outlineLevel="0" collapsed="false">
      <c r="B406" s="54"/>
      <c r="C406" s="55"/>
      <c r="D406" s="55"/>
      <c r="E406" s="55"/>
      <c r="F406" s="56"/>
      <c r="G406" s="57"/>
      <c r="H406" s="55"/>
      <c r="I406" s="57"/>
      <c r="J406" s="54"/>
      <c r="K406" s="56"/>
      <c r="L406" s="57"/>
      <c r="M406" s="54"/>
      <c r="N406" s="58" t="str">
        <f aca="false">IF(S406=1,IF(U406&lt;0,"",U406),IF(Y406=1,X406,""))</f>
        <v/>
      </c>
      <c r="O406" s="59" t="str">
        <f aca="false">IF(S406=1,IF(ISNUMBER(I406),I406-G406,""),"")</f>
        <v/>
      </c>
      <c r="P406" s="59" t="str">
        <f aca="false">IF(T406=1,IF(ISNUMBER(L406),L406-G406,""),"")</f>
        <v/>
      </c>
      <c r="Q406" s="60" t="str">
        <f aca="false">IF(C406="","",IF(T406=1,"✔ SOLD / VENDIDO",IF(S406=0,"— CLOSED / CERRADO",IF(U406&lt;0,"⚠ ADD DATE / AGREGA FECHA",IF(U406&gt;=Settings!$C$8,"⚠ STALE – REPRICE / ESTANCADO",IF(U406&gt;=Settings!$C$7,"● WATCH / VIGILAR","✔ FRESH / RECIENTE"))))))</f>
        <v/>
      </c>
      <c r="S406" s="53" t="n">
        <f aca="false">IF(C406="",0,IF(OR(J406="",J406="In Stock / En Inventario",J406="Listed / Publicado"),1,0))</f>
        <v>0</v>
      </c>
      <c r="T406" s="53" t="n">
        <f aca="false">IF(C406="",0,IF(J406="Sold / Vendido",1,0))</f>
        <v>0</v>
      </c>
      <c r="U406" s="53" t="n">
        <f aca="true">IF(S406=1,IF(ISNUMBER(F406),TODAY()-F406,-1),-1)</f>
        <v>-1</v>
      </c>
      <c r="V406" s="53" t="n">
        <f aca="false">IF(U406&lt;0,IF(S406=1,5,0),IF(U406&lt;=30,1,IF(U406&lt;=60,2,IF(U406&lt;=90,3,4))))</f>
        <v>0</v>
      </c>
      <c r="W406" s="53" t="n">
        <f aca="false">IF(U406&lt;0,-1000000000000000,U406+ROW()/1000000)</f>
        <v>-1000000000000000</v>
      </c>
      <c r="X406" s="53" t="n">
        <f aca="false">IF(T406=1,IF(AND(ISNUMBER(F406),ISNUMBER(K406)),K406-F406,0),0)</f>
        <v>0</v>
      </c>
      <c r="Y406" s="53" t="n">
        <f aca="false">IF(T406=1,IF(AND(ISNUMBER(F406),ISNUMBER(K406)),1,0),0)</f>
        <v>0</v>
      </c>
      <c r="Z406" s="53" t="n">
        <f aca="false">IF(U406&gt;=Settings!$C$8,1,0)</f>
        <v>0</v>
      </c>
      <c r="AA406" s="53" t="n">
        <f aca="false">IF(S406=1,IF(J406="Listed / Publicado",0,1),0)</f>
        <v>0</v>
      </c>
      <c r="AB406" s="53" t="n">
        <f aca="false">IF(T406=1,IF(ISNUMBER(L406),L406-G406,0),0)</f>
        <v>0</v>
      </c>
      <c r="AC406" s="53" t="n">
        <f aca="false">IF(S406=1,IF(ISNUMBER(I406),I406-G406,0),0)</f>
        <v>0</v>
      </c>
    </row>
    <row r="407" customFormat="false" ht="15" hidden="false" customHeight="false" outlineLevel="0" collapsed="false">
      <c r="B407" s="54"/>
      <c r="C407" s="55"/>
      <c r="D407" s="55"/>
      <c r="E407" s="55"/>
      <c r="F407" s="56"/>
      <c r="G407" s="57"/>
      <c r="H407" s="55"/>
      <c r="I407" s="57"/>
      <c r="J407" s="54"/>
      <c r="K407" s="56"/>
      <c r="L407" s="57"/>
      <c r="M407" s="54"/>
      <c r="N407" s="58" t="str">
        <f aca="false">IF(S407=1,IF(U407&lt;0,"",U407),IF(Y407=1,X407,""))</f>
        <v/>
      </c>
      <c r="O407" s="59" t="str">
        <f aca="false">IF(S407=1,IF(ISNUMBER(I407),I407-G407,""),"")</f>
        <v/>
      </c>
      <c r="P407" s="59" t="str">
        <f aca="false">IF(T407=1,IF(ISNUMBER(L407),L407-G407,""),"")</f>
        <v/>
      </c>
      <c r="Q407" s="60" t="str">
        <f aca="false">IF(C407="","",IF(T407=1,"✔ SOLD / VENDIDO",IF(S407=0,"— CLOSED / CERRADO",IF(U407&lt;0,"⚠ ADD DATE / AGREGA FECHA",IF(U407&gt;=Settings!$C$8,"⚠ STALE – REPRICE / ESTANCADO",IF(U407&gt;=Settings!$C$7,"● WATCH / VIGILAR","✔ FRESH / RECIENTE"))))))</f>
        <v/>
      </c>
      <c r="S407" s="53" t="n">
        <f aca="false">IF(C407="",0,IF(OR(J407="",J407="In Stock / En Inventario",J407="Listed / Publicado"),1,0))</f>
        <v>0</v>
      </c>
      <c r="T407" s="53" t="n">
        <f aca="false">IF(C407="",0,IF(J407="Sold / Vendido",1,0))</f>
        <v>0</v>
      </c>
      <c r="U407" s="53" t="n">
        <f aca="true">IF(S407=1,IF(ISNUMBER(F407),TODAY()-F407,-1),-1)</f>
        <v>-1</v>
      </c>
      <c r="V407" s="53" t="n">
        <f aca="false">IF(U407&lt;0,IF(S407=1,5,0),IF(U407&lt;=30,1,IF(U407&lt;=60,2,IF(U407&lt;=90,3,4))))</f>
        <v>0</v>
      </c>
      <c r="W407" s="53" t="n">
        <f aca="false">IF(U407&lt;0,-1000000000000000,U407+ROW()/1000000)</f>
        <v>-1000000000000000</v>
      </c>
      <c r="X407" s="53" t="n">
        <f aca="false">IF(T407=1,IF(AND(ISNUMBER(F407),ISNUMBER(K407)),K407-F407,0),0)</f>
        <v>0</v>
      </c>
      <c r="Y407" s="53" t="n">
        <f aca="false">IF(T407=1,IF(AND(ISNUMBER(F407),ISNUMBER(K407)),1,0),0)</f>
        <v>0</v>
      </c>
      <c r="Z407" s="53" t="n">
        <f aca="false">IF(U407&gt;=Settings!$C$8,1,0)</f>
        <v>0</v>
      </c>
      <c r="AA407" s="53" t="n">
        <f aca="false">IF(S407=1,IF(J407="Listed / Publicado",0,1),0)</f>
        <v>0</v>
      </c>
      <c r="AB407" s="53" t="n">
        <f aca="false">IF(T407=1,IF(ISNUMBER(L407),L407-G407,0),0)</f>
        <v>0</v>
      </c>
      <c r="AC407" s="53" t="n">
        <f aca="false">IF(S407=1,IF(ISNUMBER(I407),I407-G407,0),0)</f>
        <v>0</v>
      </c>
    </row>
    <row r="408" customFormat="false" ht="15" hidden="false" customHeight="false" outlineLevel="0" collapsed="false">
      <c r="B408" s="54"/>
      <c r="C408" s="55"/>
      <c r="D408" s="55"/>
      <c r="E408" s="55"/>
      <c r="F408" s="56"/>
      <c r="G408" s="57"/>
      <c r="H408" s="55"/>
      <c r="I408" s="57"/>
      <c r="J408" s="54"/>
      <c r="K408" s="56"/>
      <c r="L408" s="57"/>
      <c r="M408" s="54"/>
      <c r="N408" s="58" t="str">
        <f aca="false">IF(S408=1,IF(U408&lt;0,"",U408),IF(Y408=1,X408,""))</f>
        <v/>
      </c>
      <c r="O408" s="59" t="str">
        <f aca="false">IF(S408=1,IF(ISNUMBER(I408),I408-G408,""),"")</f>
        <v/>
      </c>
      <c r="P408" s="59" t="str">
        <f aca="false">IF(T408=1,IF(ISNUMBER(L408),L408-G408,""),"")</f>
        <v/>
      </c>
      <c r="Q408" s="60" t="str">
        <f aca="false">IF(C408="","",IF(T408=1,"✔ SOLD / VENDIDO",IF(S408=0,"— CLOSED / CERRADO",IF(U408&lt;0,"⚠ ADD DATE / AGREGA FECHA",IF(U408&gt;=Settings!$C$8,"⚠ STALE – REPRICE / ESTANCADO",IF(U408&gt;=Settings!$C$7,"● WATCH / VIGILAR","✔ FRESH / RECIENTE"))))))</f>
        <v/>
      </c>
      <c r="S408" s="53" t="n">
        <f aca="false">IF(C408="",0,IF(OR(J408="",J408="In Stock / En Inventario",J408="Listed / Publicado"),1,0))</f>
        <v>0</v>
      </c>
      <c r="T408" s="53" t="n">
        <f aca="false">IF(C408="",0,IF(J408="Sold / Vendido",1,0))</f>
        <v>0</v>
      </c>
      <c r="U408" s="53" t="n">
        <f aca="true">IF(S408=1,IF(ISNUMBER(F408),TODAY()-F408,-1),-1)</f>
        <v>-1</v>
      </c>
      <c r="V408" s="53" t="n">
        <f aca="false">IF(U408&lt;0,IF(S408=1,5,0),IF(U408&lt;=30,1,IF(U408&lt;=60,2,IF(U408&lt;=90,3,4))))</f>
        <v>0</v>
      </c>
      <c r="W408" s="53" t="n">
        <f aca="false">IF(U408&lt;0,-1000000000000000,U408+ROW()/1000000)</f>
        <v>-1000000000000000</v>
      </c>
      <c r="X408" s="53" t="n">
        <f aca="false">IF(T408=1,IF(AND(ISNUMBER(F408),ISNUMBER(K408)),K408-F408,0),0)</f>
        <v>0</v>
      </c>
      <c r="Y408" s="53" t="n">
        <f aca="false">IF(T408=1,IF(AND(ISNUMBER(F408),ISNUMBER(K408)),1,0),0)</f>
        <v>0</v>
      </c>
      <c r="Z408" s="53" t="n">
        <f aca="false">IF(U408&gt;=Settings!$C$8,1,0)</f>
        <v>0</v>
      </c>
      <c r="AA408" s="53" t="n">
        <f aca="false">IF(S408=1,IF(J408="Listed / Publicado",0,1),0)</f>
        <v>0</v>
      </c>
      <c r="AB408" s="53" t="n">
        <f aca="false">IF(T408=1,IF(ISNUMBER(L408),L408-G408,0),0)</f>
        <v>0</v>
      </c>
      <c r="AC408" s="53" t="n">
        <f aca="false">IF(S408=1,IF(ISNUMBER(I408),I408-G408,0),0)</f>
        <v>0</v>
      </c>
    </row>
    <row r="409" customFormat="false" ht="15" hidden="false" customHeight="false" outlineLevel="0" collapsed="false">
      <c r="B409" s="54"/>
      <c r="C409" s="55"/>
      <c r="D409" s="55"/>
      <c r="E409" s="55"/>
      <c r="F409" s="56"/>
      <c r="G409" s="57"/>
      <c r="H409" s="55"/>
      <c r="I409" s="57"/>
      <c r="J409" s="54"/>
      <c r="K409" s="56"/>
      <c r="L409" s="57"/>
      <c r="M409" s="54"/>
      <c r="N409" s="58" t="str">
        <f aca="false">IF(S409=1,IF(U409&lt;0,"",U409),IF(Y409=1,X409,""))</f>
        <v/>
      </c>
      <c r="O409" s="59" t="str">
        <f aca="false">IF(S409=1,IF(ISNUMBER(I409),I409-G409,""),"")</f>
        <v/>
      </c>
      <c r="P409" s="59" t="str">
        <f aca="false">IF(T409=1,IF(ISNUMBER(L409),L409-G409,""),"")</f>
        <v/>
      </c>
      <c r="Q409" s="60" t="str">
        <f aca="false">IF(C409="","",IF(T409=1,"✔ SOLD / VENDIDO",IF(S409=0,"— CLOSED / CERRADO",IF(U409&lt;0,"⚠ ADD DATE / AGREGA FECHA",IF(U409&gt;=Settings!$C$8,"⚠ STALE – REPRICE / ESTANCADO",IF(U409&gt;=Settings!$C$7,"● WATCH / VIGILAR","✔ FRESH / RECIENTE"))))))</f>
        <v/>
      </c>
      <c r="S409" s="53" t="n">
        <f aca="false">IF(C409="",0,IF(OR(J409="",J409="In Stock / En Inventario",J409="Listed / Publicado"),1,0))</f>
        <v>0</v>
      </c>
      <c r="T409" s="53" t="n">
        <f aca="false">IF(C409="",0,IF(J409="Sold / Vendido",1,0))</f>
        <v>0</v>
      </c>
      <c r="U409" s="53" t="n">
        <f aca="true">IF(S409=1,IF(ISNUMBER(F409),TODAY()-F409,-1),-1)</f>
        <v>-1</v>
      </c>
      <c r="V409" s="53" t="n">
        <f aca="false">IF(U409&lt;0,IF(S409=1,5,0),IF(U409&lt;=30,1,IF(U409&lt;=60,2,IF(U409&lt;=90,3,4))))</f>
        <v>0</v>
      </c>
      <c r="W409" s="53" t="n">
        <f aca="false">IF(U409&lt;0,-1000000000000000,U409+ROW()/1000000)</f>
        <v>-1000000000000000</v>
      </c>
      <c r="X409" s="53" t="n">
        <f aca="false">IF(T409=1,IF(AND(ISNUMBER(F409),ISNUMBER(K409)),K409-F409,0),0)</f>
        <v>0</v>
      </c>
      <c r="Y409" s="53" t="n">
        <f aca="false">IF(T409=1,IF(AND(ISNUMBER(F409),ISNUMBER(K409)),1,0),0)</f>
        <v>0</v>
      </c>
      <c r="Z409" s="53" t="n">
        <f aca="false">IF(U409&gt;=Settings!$C$8,1,0)</f>
        <v>0</v>
      </c>
      <c r="AA409" s="53" t="n">
        <f aca="false">IF(S409=1,IF(J409="Listed / Publicado",0,1),0)</f>
        <v>0</v>
      </c>
      <c r="AB409" s="53" t="n">
        <f aca="false">IF(T409=1,IF(ISNUMBER(L409),L409-G409,0),0)</f>
        <v>0</v>
      </c>
      <c r="AC409" s="53" t="n">
        <f aca="false">IF(S409=1,IF(ISNUMBER(I409),I409-G409,0),0)</f>
        <v>0</v>
      </c>
    </row>
    <row r="410" customFormat="false" ht="15" hidden="false" customHeight="false" outlineLevel="0" collapsed="false">
      <c r="B410" s="54"/>
      <c r="C410" s="55"/>
      <c r="D410" s="55"/>
      <c r="E410" s="55"/>
      <c r="F410" s="56"/>
      <c r="G410" s="57"/>
      <c r="H410" s="55"/>
      <c r="I410" s="57"/>
      <c r="J410" s="54"/>
      <c r="K410" s="56"/>
      <c r="L410" s="57"/>
      <c r="M410" s="54"/>
      <c r="N410" s="58" t="str">
        <f aca="false">IF(S410=1,IF(U410&lt;0,"",U410),IF(Y410=1,X410,""))</f>
        <v/>
      </c>
      <c r="O410" s="59" t="str">
        <f aca="false">IF(S410=1,IF(ISNUMBER(I410),I410-G410,""),"")</f>
        <v/>
      </c>
      <c r="P410" s="59" t="str">
        <f aca="false">IF(T410=1,IF(ISNUMBER(L410),L410-G410,""),"")</f>
        <v/>
      </c>
      <c r="Q410" s="60" t="str">
        <f aca="false">IF(C410="","",IF(T410=1,"✔ SOLD / VENDIDO",IF(S410=0,"— CLOSED / CERRADO",IF(U410&lt;0,"⚠ ADD DATE / AGREGA FECHA",IF(U410&gt;=Settings!$C$8,"⚠ STALE – REPRICE / ESTANCADO",IF(U410&gt;=Settings!$C$7,"● WATCH / VIGILAR","✔ FRESH / RECIENTE"))))))</f>
        <v/>
      </c>
      <c r="S410" s="53" t="n">
        <f aca="false">IF(C410="",0,IF(OR(J410="",J410="In Stock / En Inventario",J410="Listed / Publicado"),1,0))</f>
        <v>0</v>
      </c>
      <c r="T410" s="53" t="n">
        <f aca="false">IF(C410="",0,IF(J410="Sold / Vendido",1,0))</f>
        <v>0</v>
      </c>
      <c r="U410" s="53" t="n">
        <f aca="true">IF(S410=1,IF(ISNUMBER(F410),TODAY()-F410,-1),-1)</f>
        <v>-1</v>
      </c>
      <c r="V410" s="53" t="n">
        <f aca="false">IF(U410&lt;0,IF(S410=1,5,0),IF(U410&lt;=30,1,IF(U410&lt;=60,2,IF(U410&lt;=90,3,4))))</f>
        <v>0</v>
      </c>
      <c r="W410" s="53" t="n">
        <f aca="false">IF(U410&lt;0,-1000000000000000,U410+ROW()/1000000)</f>
        <v>-1000000000000000</v>
      </c>
      <c r="X410" s="53" t="n">
        <f aca="false">IF(T410=1,IF(AND(ISNUMBER(F410),ISNUMBER(K410)),K410-F410,0),0)</f>
        <v>0</v>
      </c>
      <c r="Y410" s="53" t="n">
        <f aca="false">IF(T410=1,IF(AND(ISNUMBER(F410),ISNUMBER(K410)),1,0),0)</f>
        <v>0</v>
      </c>
      <c r="Z410" s="53" t="n">
        <f aca="false">IF(U410&gt;=Settings!$C$8,1,0)</f>
        <v>0</v>
      </c>
      <c r="AA410" s="53" t="n">
        <f aca="false">IF(S410=1,IF(J410="Listed / Publicado",0,1),0)</f>
        <v>0</v>
      </c>
      <c r="AB410" s="53" t="n">
        <f aca="false">IF(T410=1,IF(ISNUMBER(L410),L410-G410,0),0)</f>
        <v>0</v>
      </c>
      <c r="AC410" s="53" t="n">
        <f aca="false">IF(S410=1,IF(ISNUMBER(I410),I410-G410,0),0)</f>
        <v>0</v>
      </c>
    </row>
    <row r="411" customFormat="false" ht="15" hidden="false" customHeight="false" outlineLevel="0" collapsed="false">
      <c r="B411" s="54"/>
      <c r="C411" s="55"/>
      <c r="D411" s="55"/>
      <c r="E411" s="55"/>
      <c r="F411" s="56"/>
      <c r="G411" s="57"/>
      <c r="H411" s="55"/>
      <c r="I411" s="57"/>
      <c r="J411" s="54"/>
      <c r="K411" s="56"/>
      <c r="L411" s="57"/>
      <c r="M411" s="54"/>
      <c r="N411" s="58" t="str">
        <f aca="false">IF(S411=1,IF(U411&lt;0,"",U411),IF(Y411=1,X411,""))</f>
        <v/>
      </c>
      <c r="O411" s="59" t="str">
        <f aca="false">IF(S411=1,IF(ISNUMBER(I411),I411-G411,""),"")</f>
        <v/>
      </c>
      <c r="P411" s="59" t="str">
        <f aca="false">IF(T411=1,IF(ISNUMBER(L411),L411-G411,""),"")</f>
        <v/>
      </c>
      <c r="Q411" s="60" t="str">
        <f aca="false">IF(C411="","",IF(T411=1,"✔ SOLD / VENDIDO",IF(S411=0,"— CLOSED / CERRADO",IF(U411&lt;0,"⚠ ADD DATE / AGREGA FECHA",IF(U411&gt;=Settings!$C$8,"⚠ STALE – REPRICE / ESTANCADO",IF(U411&gt;=Settings!$C$7,"● WATCH / VIGILAR","✔ FRESH / RECIENTE"))))))</f>
        <v/>
      </c>
      <c r="S411" s="53" t="n">
        <f aca="false">IF(C411="",0,IF(OR(J411="",J411="In Stock / En Inventario",J411="Listed / Publicado"),1,0))</f>
        <v>0</v>
      </c>
      <c r="T411" s="53" t="n">
        <f aca="false">IF(C411="",0,IF(J411="Sold / Vendido",1,0))</f>
        <v>0</v>
      </c>
      <c r="U411" s="53" t="n">
        <f aca="true">IF(S411=1,IF(ISNUMBER(F411),TODAY()-F411,-1),-1)</f>
        <v>-1</v>
      </c>
      <c r="V411" s="53" t="n">
        <f aca="false">IF(U411&lt;0,IF(S411=1,5,0),IF(U411&lt;=30,1,IF(U411&lt;=60,2,IF(U411&lt;=90,3,4))))</f>
        <v>0</v>
      </c>
      <c r="W411" s="53" t="n">
        <f aca="false">IF(U411&lt;0,-1000000000000000,U411+ROW()/1000000)</f>
        <v>-1000000000000000</v>
      </c>
      <c r="X411" s="53" t="n">
        <f aca="false">IF(T411=1,IF(AND(ISNUMBER(F411),ISNUMBER(K411)),K411-F411,0),0)</f>
        <v>0</v>
      </c>
      <c r="Y411" s="53" t="n">
        <f aca="false">IF(T411=1,IF(AND(ISNUMBER(F411),ISNUMBER(K411)),1,0),0)</f>
        <v>0</v>
      </c>
      <c r="Z411" s="53" t="n">
        <f aca="false">IF(U411&gt;=Settings!$C$8,1,0)</f>
        <v>0</v>
      </c>
      <c r="AA411" s="53" t="n">
        <f aca="false">IF(S411=1,IF(J411="Listed / Publicado",0,1),0)</f>
        <v>0</v>
      </c>
      <c r="AB411" s="53" t="n">
        <f aca="false">IF(T411=1,IF(ISNUMBER(L411),L411-G411,0),0)</f>
        <v>0</v>
      </c>
      <c r="AC411" s="53" t="n">
        <f aca="false">IF(S411=1,IF(ISNUMBER(I411),I411-G411,0),0)</f>
        <v>0</v>
      </c>
    </row>
    <row r="412" customFormat="false" ht="15" hidden="false" customHeight="false" outlineLevel="0" collapsed="false">
      <c r="B412" s="54"/>
      <c r="C412" s="55"/>
      <c r="D412" s="55"/>
      <c r="E412" s="55"/>
      <c r="F412" s="56"/>
      <c r="G412" s="57"/>
      <c r="H412" s="55"/>
      <c r="I412" s="57"/>
      <c r="J412" s="54"/>
      <c r="K412" s="56"/>
      <c r="L412" s="57"/>
      <c r="M412" s="54"/>
      <c r="N412" s="58" t="str">
        <f aca="false">IF(S412=1,IF(U412&lt;0,"",U412),IF(Y412=1,X412,""))</f>
        <v/>
      </c>
      <c r="O412" s="59" t="str">
        <f aca="false">IF(S412=1,IF(ISNUMBER(I412),I412-G412,""),"")</f>
        <v/>
      </c>
      <c r="P412" s="59" t="str">
        <f aca="false">IF(T412=1,IF(ISNUMBER(L412),L412-G412,""),"")</f>
        <v/>
      </c>
      <c r="Q412" s="60" t="str">
        <f aca="false">IF(C412="","",IF(T412=1,"✔ SOLD / VENDIDO",IF(S412=0,"— CLOSED / CERRADO",IF(U412&lt;0,"⚠ ADD DATE / AGREGA FECHA",IF(U412&gt;=Settings!$C$8,"⚠ STALE – REPRICE / ESTANCADO",IF(U412&gt;=Settings!$C$7,"● WATCH / VIGILAR","✔ FRESH / RECIENTE"))))))</f>
        <v/>
      </c>
      <c r="S412" s="53" t="n">
        <f aca="false">IF(C412="",0,IF(OR(J412="",J412="In Stock / En Inventario",J412="Listed / Publicado"),1,0))</f>
        <v>0</v>
      </c>
      <c r="T412" s="53" t="n">
        <f aca="false">IF(C412="",0,IF(J412="Sold / Vendido",1,0))</f>
        <v>0</v>
      </c>
      <c r="U412" s="53" t="n">
        <f aca="true">IF(S412=1,IF(ISNUMBER(F412),TODAY()-F412,-1),-1)</f>
        <v>-1</v>
      </c>
      <c r="V412" s="53" t="n">
        <f aca="false">IF(U412&lt;0,IF(S412=1,5,0),IF(U412&lt;=30,1,IF(U412&lt;=60,2,IF(U412&lt;=90,3,4))))</f>
        <v>0</v>
      </c>
      <c r="W412" s="53" t="n">
        <f aca="false">IF(U412&lt;0,-1000000000000000,U412+ROW()/1000000)</f>
        <v>-1000000000000000</v>
      </c>
      <c r="X412" s="53" t="n">
        <f aca="false">IF(T412=1,IF(AND(ISNUMBER(F412),ISNUMBER(K412)),K412-F412,0),0)</f>
        <v>0</v>
      </c>
      <c r="Y412" s="53" t="n">
        <f aca="false">IF(T412=1,IF(AND(ISNUMBER(F412),ISNUMBER(K412)),1,0),0)</f>
        <v>0</v>
      </c>
      <c r="Z412" s="53" t="n">
        <f aca="false">IF(U412&gt;=Settings!$C$8,1,0)</f>
        <v>0</v>
      </c>
      <c r="AA412" s="53" t="n">
        <f aca="false">IF(S412=1,IF(J412="Listed / Publicado",0,1),0)</f>
        <v>0</v>
      </c>
      <c r="AB412" s="53" t="n">
        <f aca="false">IF(T412=1,IF(ISNUMBER(L412),L412-G412,0),0)</f>
        <v>0</v>
      </c>
      <c r="AC412" s="53" t="n">
        <f aca="false">IF(S412=1,IF(ISNUMBER(I412),I412-G412,0),0)</f>
        <v>0</v>
      </c>
    </row>
    <row r="413" customFormat="false" ht="15" hidden="false" customHeight="false" outlineLevel="0" collapsed="false">
      <c r="B413" s="54"/>
      <c r="C413" s="55"/>
      <c r="D413" s="55"/>
      <c r="E413" s="55"/>
      <c r="F413" s="56"/>
      <c r="G413" s="57"/>
      <c r="H413" s="55"/>
      <c r="I413" s="57"/>
      <c r="J413" s="54"/>
      <c r="K413" s="56"/>
      <c r="L413" s="57"/>
      <c r="M413" s="54"/>
      <c r="N413" s="58" t="str">
        <f aca="false">IF(S413=1,IF(U413&lt;0,"",U413),IF(Y413=1,X413,""))</f>
        <v/>
      </c>
      <c r="O413" s="59" t="str">
        <f aca="false">IF(S413=1,IF(ISNUMBER(I413),I413-G413,""),"")</f>
        <v/>
      </c>
      <c r="P413" s="59" t="str">
        <f aca="false">IF(T413=1,IF(ISNUMBER(L413),L413-G413,""),"")</f>
        <v/>
      </c>
      <c r="Q413" s="60" t="str">
        <f aca="false">IF(C413="","",IF(T413=1,"✔ SOLD / VENDIDO",IF(S413=0,"— CLOSED / CERRADO",IF(U413&lt;0,"⚠ ADD DATE / AGREGA FECHA",IF(U413&gt;=Settings!$C$8,"⚠ STALE – REPRICE / ESTANCADO",IF(U413&gt;=Settings!$C$7,"● WATCH / VIGILAR","✔ FRESH / RECIENTE"))))))</f>
        <v/>
      </c>
      <c r="S413" s="53" t="n">
        <f aca="false">IF(C413="",0,IF(OR(J413="",J413="In Stock / En Inventario",J413="Listed / Publicado"),1,0))</f>
        <v>0</v>
      </c>
      <c r="T413" s="53" t="n">
        <f aca="false">IF(C413="",0,IF(J413="Sold / Vendido",1,0))</f>
        <v>0</v>
      </c>
      <c r="U413" s="53" t="n">
        <f aca="true">IF(S413=1,IF(ISNUMBER(F413),TODAY()-F413,-1),-1)</f>
        <v>-1</v>
      </c>
      <c r="V413" s="53" t="n">
        <f aca="false">IF(U413&lt;0,IF(S413=1,5,0),IF(U413&lt;=30,1,IF(U413&lt;=60,2,IF(U413&lt;=90,3,4))))</f>
        <v>0</v>
      </c>
      <c r="W413" s="53" t="n">
        <f aca="false">IF(U413&lt;0,-1000000000000000,U413+ROW()/1000000)</f>
        <v>-1000000000000000</v>
      </c>
      <c r="X413" s="53" t="n">
        <f aca="false">IF(T413=1,IF(AND(ISNUMBER(F413),ISNUMBER(K413)),K413-F413,0),0)</f>
        <v>0</v>
      </c>
      <c r="Y413" s="53" t="n">
        <f aca="false">IF(T413=1,IF(AND(ISNUMBER(F413),ISNUMBER(K413)),1,0),0)</f>
        <v>0</v>
      </c>
      <c r="Z413" s="53" t="n">
        <f aca="false">IF(U413&gt;=Settings!$C$8,1,0)</f>
        <v>0</v>
      </c>
      <c r="AA413" s="53" t="n">
        <f aca="false">IF(S413=1,IF(J413="Listed / Publicado",0,1),0)</f>
        <v>0</v>
      </c>
      <c r="AB413" s="53" t="n">
        <f aca="false">IF(T413=1,IF(ISNUMBER(L413),L413-G413,0),0)</f>
        <v>0</v>
      </c>
      <c r="AC413" s="53" t="n">
        <f aca="false">IF(S413=1,IF(ISNUMBER(I413),I413-G413,0),0)</f>
        <v>0</v>
      </c>
    </row>
    <row r="414" customFormat="false" ht="15" hidden="false" customHeight="false" outlineLevel="0" collapsed="false">
      <c r="B414" s="54"/>
      <c r="C414" s="55"/>
      <c r="D414" s="55"/>
      <c r="E414" s="55"/>
      <c r="F414" s="56"/>
      <c r="G414" s="57"/>
      <c r="H414" s="55"/>
      <c r="I414" s="57"/>
      <c r="J414" s="54"/>
      <c r="K414" s="56"/>
      <c r="L414" s="57"/>
      <c r="M414" s="54"/>
      <c r="N414" s="58" t="str">
        <f aca="false">IF(S414=1,IF(U414&lt;0,"",U414),IF(Y414=1,X414,""))</f>
        <v/>
      </c>
      <c r="O414" s="59" t="str">
        <f aca="false">IF(S414=1,IF(ISNUMBER(I414),I414-G414,""),"")</f>
        <v/>
      </c>
      <c r="P414" s="59" t="str">
        <f aca="false">IF(T414=1,IF(ISNUMBER(L414),L414-G414,""),"")</f>
        <v/>
      </c>
      <c r="Q414" s="60" t="str">
        <f aca="false">IF(C414="","",IF(T414=1,"✔ SOLD / VENDIDO",IF(S414=0,"— CLOSED / CERRADO",IF(U414&lt;0,"⚠ ADD DATE / AGREGA FECHA",IF(U414&gt;=Settings!$C$8,"⚠ STALE – REPRICE / ESTANCADO",IF(U414&gt;=Settings!$C$7,"● WATCH / VIGILAR","✔ FRESH / RECIENTE"))))))</f>
        <v/>
      </c>
      <c r="S414" s="53" t="n">
        <f aca="false">IF(C414="",0,IF(OR(J414="",J414="In Stock / En Inventario",J414="Listed / Publicado"),1,0))</f>
        <v>0</v>
      </c>
      <c r="T414" s="53" t="n">
        <f aca="false">IF(C414="",0,IF(J414="Sold / Vendido",1,0))</f>
        <v>0</v>
      </c>
      <c r="U414" s="53" t="n">
        <f aca="true">IF(S414=1,IF(ISNUMBER(F414),TODAY()-F414,-1),-1)</f>
        <v>-1</v>
      </c>
      <c r="V414" s="53" t="n">
        <f aca="false">IF(U414&lt;0,IF(S414=1,5,0),IF(U414&lt;=30,1,IF(U414&lt;=60,2,IF(U414&lt;=90,3,4))))</f>
        <v>0</v>
      </c>
      <c r="W414" s="53" t="n">
        <f aca="false">IF(U414&lt;0,-1000000000000000,U414+ROW()/1000000)</f>
        <v>-1000000000000000</v>
      </c>
      <c r="X414" s="53" t="n">
        <f aca="false">IF(T414=1,IF(AND(ISNUMBER(F414),ISNUMBER(K414)),K414-F414,0),0)</f>
        <v>0</v>
      </c>
      <c r="Y414" s="53" t="n">
        <f aca="false">IF(T414=1,IF(AND(ISNUMBER(F414),ISNUMBER(K414)),1,0),0)</f>
        <v>0</v>
      </c>
      <c r="Z414" s="53" t="n">
        <f aca="false">IF(U414&gt;=Settings!$C$8,1,0)</f>
        <v>0</v>
      </c>
      <c r="AA414" s="53" t="n">
        <f aca="false">IF(S414=1,IF(J414="Listed / Publicado",0,1),0)</f>
        <v>0</v>
      </c>
      <c r="AB414" s="53" t="n">
        <f aca="false">IF(T414=1,IF(ISNUMBER(L414),L414-G414,0),0)</f>
        <v>0</v>
      </c>
      <c r="AC414" s="53" t="n">
        <f aca="false">IF(S414=1,IF(ISNUMBER(I414),I414-G414,0),0)</f>
        <v>0</v>
      </c>
    </row>
    <row r="415" customFormat="false" ht="15" hidden="false" customHeight="false" outlineLevel="0" collapsed="false">
      <c r="B415" s="54"/>
      <c r="C415" s="55"/>
      <c r="D415" s="55"/>
      <c r="E415" s="55"/>
      <c r="F415" s="56"/>
      <c r="G415" s="57"/>
      <c r="H415" s="55"/>
      <c r="I415" s="57"/>
      <c r="J415" s="54"/>
      <c r="K415" s="56"/>
      <c r="L415" s="57"/>
      <c r="M415" s="54"/>
      <c r="N415" s="58" t="str">
        <f aca="false">IF(S415=1,IF(U415&lt;0,"",U415),IF(Y415=1,X415,""))</f>
        <v/>
      </c>
      <c r="O415" s="59" t="str">
        <f aca="false">IF(S415=1,IF(ISNUMBER(I415),I415-G415,""),"")</f>
        <v/>
      </c>
      <c r="P415" s="59" t="str">
        <f aca="false">IF(T415=1,IF(ISNUMBER(L415),L415-G415,""),"")</f>
        <v/>
      </c>
      <c r="Q415" s="60" t="str">
        <f aca="false">IF(C415="","",IF(T415=1,"✔ SOLD / VENDIDO",IF(S415=0,"— CLOSED / CERRADO",IF(U415&lt;0,"⚠ ADD DATE / AGREGA FECHA",IF(U415&gt;=Settings!$C$8,"⚠ STALE – REPRICE / ESTANCADO",IF(U415&gt;=Settings!$C$7,"● WATCH / VIGILAR","✔ FRESH / RECIENTE"))))))</f>
        <v/>
      </c>
      <c r="S415" s="53" t="n">
        <f aca="false">IF(C415="",0,IF(OR(J415="",J415="In Stock / En Inventario",J415="Listed / Publicado"),1,0))</f>
        <v>0</v>
      </c>
      <c r="T415" s="53" t="n">
        <f aca="false">IF(C415="",0,IF(J415="Sold / Vendido",1,0))</f>
        <v>0</v>
      </c>
      <c r="U415" s="53" t="n">
        <f aca="true">IF(S415=1,IF(ISNUMBER(F415),TODAY()-F415,-1),-1)</f>
        <v>-1</v>
      </c>
      <c r="V415" s="53" t="n">
        <f aca="false">IF(U415&lt;0,IF(S415=1,5,0),IF(U415&lt;=30,1,IF(U415&lt;=60,2,IF(U415&lt;=90,3,4))))</f>
        <v>0</v>
      </c>
      <c r="W415" s="53" t="n">
        <f aca="false">IF(U415&lt;0,-1000000000000000,U415+ROW()/1000000)</f>
        <v>-1000000000000000</v>
      </c>
      <c r="X415" s="53" t="n">
        <f aca="false">IF(T415=1,IF(AND(ISNUMBER(F415),ISNUMBER(K415)),K415-F415,0),0)</f>
        <v>0</v>
      </c>
      <c r="Y415" s="53" t="n">
        <f aca="false">IF(T415=1,IF(AND(ISNUMBER(F415),ISNUMBER(K415)),1,0),0)</f>
        <v>0</v>
      </c>
      <c r="Z415" s="53" t="n">
        <f aca="false">IF(U415&gt;=Settings!$C$8,1,0)</f>
        <v>0</v>
      </c>
      <c r="AA415" s="53" t="n">
        <f aca="false">IF(S415=1,IF(J415="Listed / Publicado",0,1),0)</f>
        <v>0</v>
      </c>
      <c r="AB415" s="53" t="n">
        <f aca="false">IF(T415=1,IF(ISNUMBER(L415),L415-G415,0),0)</f>
        <v>0</v>
      </c>
      <c r="AC415" s="53" t="n">
        <f aca="false">IF(S415=1,IF(ISNUMBER(I415),I415-G415,0),0)</f>
        <v>0</v>
      </c>
    </row>
    <row r="416" customFormat="false" ht="15" hidden="false" customHeight="false" outlineLevel="0" collapsed="false">
      <c r="B416" s="54"/>
      <c r="C416" s="55"/>
      <c r="D416" s="55"/>
      <c r="E416" s="55"/>
      <c r="F416" s="56"/>
      <c r="G416" s="57"/>
      <c r="H416" s="55"/>
      <c r="I416" s="57"/>
      <c r="J416" s="54"/>
      <c r="K416" s="56"/>
      <c r="L416" s="57"/>
      <c r="M416" s="54"/>
      <c r="N416" s="58" t="str">
        <f aca="false">IF(S416=1,IF(U416&lt;0,"",U416),IF(Y416=1,X416,""))</f>
        <v/>
      </c>
      <c r="O416" s="59" t="str">
        <f aca="false">IF(S416=1,IF(ISNUMBER(I416),I416-G416,""),"")</f>
        <v/>
      </c>
      <c r="P416" s="59" t="str">
        <f aca="false">IF(T416=1,IF(ISNUMBER(L416),L416-G416,""),"")</f>
        <v/>
      </c>
      <c r="Q416" s="60" t="str">
        <f aca="false">IF(C416="","",IF(T416=1,"✔ SOLD / VENDIDO",IF(S416=0,"— CLOSED / CERRADO",IF(U416&lt;0,"⚠ ADD DATE / AGREGA FECHA",IF(U416&gt;=Settings!$C$8,"⚠ STALE – REPRICE / ESTANCADO",IF(U416&gt;=Settings!$C$7,"● WATCH / VIGILAR","✔ FRESH / RECIENTE"))))))</f>
        <v/>
      </c>
      <c r="S416" s="53" t="n">
        <f aca="false">IF(C416="",0,IF(OR(J416="",J416="In Stock / En Inventario",J416="Listed / Publicado"),1,0))</f>
        <v>0</v>
      </c>
      <c r="T416" s="53" t="n">
        <f aca="false">IF(C416="",0,IF(J416="Sold / Vendido",1,0))</f>
        <v>0</v>
      </c>
      <c r="U416" s="53" t="n">
        <f aca="true">IF(S416=1,IF(ISNUMBER(F416),TODAY()-F416,-1),-1)</f>
        <v>-1</v>
      </c>
      <c r="V416" s="53" t="n">
        <f aca="false">IF(U416&lt;0,IF(S416=1,5,0),IF(U416&lt;=30,1,IF(U416&lt;=60,2,IF(U416&lt;=90,3,4))))</f>
        <v>0</v>
      </c>
      <c r="W416" s="53" t="n">
        <f aca="false">IF(U416&lt;0,-1000000000000000,U416+ROW()/1000000)</f>
        <v>-1000000000000000</v>
      </c>
      <c r="X416" s="53" t="n">
        <f aca="false">IF(T416=1,IF(AND(ISNUMBER(F416),ISNUMBER(K416)),K416-F416,0),0)</f>
        <v>0</v>
      </c>
      <c r="Y416" s="53" t="n">
        <f aca="false">IF(T416=1,IF(AND(ISNUMBER(F416),ISNUMBER(K416)),1,0),0)</f>
        <v>0</v>
      </c>
      <c r="Z416" s="53" t="n">
        <f aca="false">IF(U416&gt;=Settings!$C$8,1,0)</f>
        <v>0</v>
      </c>
      <c r="AA416" s="53" t="n">
        <f aca="false">IF(S416=1,IF(J416="Listed / Publicado",0,1),0)</f>
        <v>0</v>
      </c>
      <c r="AB416" s="53" t="n">
        <f aca="false">IF(T416=1,IF(ISNUMBER(L416),L416-G416,0),0)</f>
        <v>0</v>
      </c>
      <c r="AC416" s="53" t="n">
        <f aca="false">IF(S416=1,IF(ISNUMBER(I416),I416-G416,0),0)</f>
        <v>0</v>
      </c>
    </row>
    <row r="417" customFormat="false" ht="15" hidden="false" customHeight="false" outlineLevel="0" collapsed="false">
      <c r="B417" s="54"/>
      <c r="C417" s="55"/>
      <c r="D417" s="55"/>
      <c r="E417" s="55"/>
      <c r="F417" s="56"/>
      <c r="G417" s="57"/>
      <c r="H417" s="55"/>
      <c r="I417" s="57"/>
      <c r="J417" s="54"/>
      <c r="K417" s="56"/>
      <c r="L417" s="57"/>
      <c r="M417" s="54"/>
      <c r="N417" s="58" t="str">
        <f aca="false">IF(S417=1,IF(U417&lt;0,"",U417),IF(Y417=1,X417,""))</f>
        <v/>
      </c>
      <c r="O417" s="59" t="str">
        <f aca="false">IF(S417=1,IF(ISNUMBER(I417),I417-G417,""),"")</f>
        <v/>
      </c>
      <c r="P417" s="59" t="str">
        <f aca="false">IF(T417=1,IF(ISNUMBER(L417),L417-G417,""),"")</f>
        <v/>
      </c>
      <c r="Q417" s="60" t="str">
        <f aca="false">IF(C417="","",IF(T417=1,"✔ SOLD / VENDIDO",IF(S417=0,"— CLOSED / CERRADO",IF(U417&lt;0,"⚠ ADD DATE / AGREGA FECHA",IF(U417&gt;=Settings!$C$8,"⚠ STALE – REPRICE / ESTANCADO",IF(U417&gt;=Settings!$C$7,"● WATCH / VIGILAR","✔ FRESH / RECIENTE"))))))</f>
        <v/>
      </c>
      <c r="S417" s="53" t="n">
        <f aca="false">IF(C417="",0,IF(OR(J417="",J417="In Stock / En Inventario",J417="Listed / Publicado"),1,0))</f>
        <v>0</v>
      </c>
      <c r="T417" s="53" t="n">
        <f aca="false">IF(C417="",0,IF(J417="Sold / Vendido",1,0))</f>
        <v>0</v>
      </c>
      <c r="U417" s="53" t="n">
        <f aca="true">IF(S417=1,IF(ISNUMBER(F417),TODAY()-F417,-1),-1)</f>
        <v>-1</v>
      </c>
      <c r="V417" s="53" t="n">
        <f aca="false">IF(U417&lt;0,IF(S417=1,5,0),IF(U417&lt;=30,1,IF(U417&lt;=60,2,IF(U417&lt;=90,3,4))))</f>
        <v>0</v>
      </c>
      <c r="W417" s="53" t="n">
        <f aca="false">IF(U417&lt;0,-1000000000000000,U417+ROW()/1000000)</f>
        <v>-1000000000000000</v>
      </c>
      <c r="X417" s="53" t="n">
        <f aca="false">IF(T417=1,IF(AND(ISNUMBER(F417),ISNUMBER(K417)),K417-F417,0),0)</f>
        <v>0</v>
      </c>
      <c r="Y417" s="53" t="n">
        <f aca="false">IF(T417=1,IF(AND(ISNUMBER(F417),ISNUMBER(K417)),1,0),0)</f>
        <v>0</v>
      </c>
      <c r="Z417" s="53" t="n">
        <f aca="false">IF(U417&gt;=Settings!$C$8,1,0)</f>
        <v>0</v>
      </c>
      <c r="AA417" s="53" t="n">
        <f aca="false">IF(S417=1,IF(J417="Listed / Publicado",0,1),0)</f>
        <v>0</v>
      </c>
      <c r="AB417" s="53" t="n">
        <f aca="false">IF(T417=1,IF(ISNUMBER(L417),L417-G417,0),0)</f>
        <v>0</v>
      </c>
      <c r="AC417" s="53" t="n">
        <f aca="false">IF(S417=1,IF(ISNUMBER(I417),I417-G417,0),0)</f>
        <v>0</v>
      </c>
    </row>
    <row r="418" customFormat="false" ht="15" hidden="false" customHeight="false" outlineLevel="0" collapsed="false">
      <c r="B418" s="54"/>
      <c r="C418" s="55"/>
      <c r="D418" s="55"/>
      <c r="E418" s="55"/>
      <c r="F418" s="56"/>
      <c r="G418" s="57"/>
      <c r="H418" s="55"/>
      <c r="I418" s="57"/>
      <c r="J418" s="54"/>
      <c r="K418" s="56"/>
      <c r="L418" s="57"/>
      <c r="M418" s="54"/>
      <c r="N418" s="58" t="str">
        <f aca="false">IF(S418=1,IF(U418&lt;0,"",U418),IF(Y418=1,X418,""))</f>
        <v/>
      </c>
      <c r="O418" s="59" t="str">
        <f aca="false">IF(S418=1,IF(ISNUMBER(I418),I418-G418,""),"")</f>
        <v/>
      </c>
      <c r="P418" s="59" t="str">
        <f aca="false">IF(T418=1,IF(ISNUMBER(L418),L418-G418,""),"")</f>
        <v/>
      </c>
      <c r="Q418" s="60" t="str">
        <f aca="false">IF(C418="","",IF(T418=1,"✔ SOLD / VENDIDO",IF(S418=0,"— CLOSED / CERRADO",IF(U418&lt;0,"⚠ ADD DATE / AGREGA FECHA",IF(U418&gt;=Settings!$C$8,"⚠ STALE – REPRICE / ESTANCADO",IF(U418&gt;=Settings!$C$7,"● WATCH / VIGILAR","✔ FRESH / RECIENTE"))))))</f>
        <v/>
      </c>
      <c r="S418" s="53" t="n">
        <f aca="false">IF(C418="",0,IF(OR(J418="",J418="In Stock / En Inventario",J418="Listed / Publicado"),1,0))</f>
        <v>0</v>
      </c>
      <c r="T418" s="53" t="n">
        <f aca="false">IF(C418="",0,IF(J418="Sold / Vendido",1,0))</f>
        <v>0</v>
      </c>
      <c r="U418" s="53" t="n">
        <f aca="true">IF(S418=1,IF(ISNUMBER(F418),TODAY()-F418,-1),-1)</f>
        <v>-1</v>
      </c>
      <c r="V418" s="53" t="n">
        <f aca="false">IF(U418&lt;0,IF(S418=1,5,0),IF(U418&lt;=30,1,IF(U418&lt;=60,2,IF(U418&lt;=90,3,4))))</f>
        <v>0</v>
      </c>
      <c r="W418" s="53" t="n">
        <f aca="false">IF(U418&lt;0,-1000000000000000,U418+ROW()/1000000)</f>
        <v>-1000000000000000</v>
      </c>
      <c r="X418" s="53" t="n">
        <f aca="false">IF(T418=1,IF(AND(ISNUMBER(F418),ISNUMBER(K418)),K418-F418,0),0)</f>
        <v>0</v>
      </c>
      <c r="Y418" s="53" t="n">
        <f aca="false">IF(T418=1,IF(AND(ISNUMBER(F418),ISNUMBER(K418)),1,0),0)</f>
        <v>0</v>
      </c>
      <c r="Z418" s="53" t="n">
        <f aca="false">IF(U418&gt;=Settings!$C$8,1,0)</f>
        <v>0</v>
      </c>
      <c r="AA418" s="53" t="n">
        <f aca="false">IF(S418=1,IF(J418="Listed / Publicado",0,1),0)</f>
        <v>0</v>
      </c>
      <c r="AB418" s="53" t="n">
        <f aca="false">IF(T418=1,IF(ISNUMBER(L418),L418-G418,0),0)</f>
        <v>0</v>
      </c>
      <c r="AC418" s="53" t="n">
        <f aca="false">IF(S418=1,IF(ISNUMBER(I418),I418-G418,0),0)</f>
        <v>0</v>
      </c>
    </row>
    <row r="419" customFormat="false" ht="15" hidden="false" customHeight="false" outlineLevel="0" collapsed="false">
      <c r="B419" s="54"/>
      <c r="C419" s="55"/>
      <c r="D419" s="55"/>
      <c r="E419" s="55"/>
      <c r="F419" s="56"/>
      <c r="G419" s="57"/>
      <c r="H419" s="55"/>
      <c r="I419" s="57"/>
      <c r="J419" s="54"/>
      <c r="K419" s="56"/>
      <c r="L419" s="57"/>
      <c r="M419" s="54"/>
      <c r="N419" s="58" t="str">
        <f aca="false">IF(S419=1,IF(U419&lt;0,"",U419),IF(Y419=1,X419,""))</f>
        <v/>
      </c>
      <c r="O419" s="59" t="str">
        <f aca="false">IF(S419=1,IF(ISNUMBER(I419),I419-G419,""),"")</f>
        <v/>
      </c>
      <c r="P419" s="59" t="str">
        <f aca="false">IF(T419=1,IF(ISNUMBER(L419),L419-G419,""),"")</f>
        <v/>
      </c>
      <c r="Q419" s="60" t="str">
        <f aca="false">IF(C419="","",IF(T419=1,"✔ SOLD / VENDIDO",IF(S419=0,"— CLOSED / CERRADO",IF(U419&lt;0,"⚠ ADD DATE / AGREGA FECHA",IF(U419&gt;=Settings!$C$8,"⚠ STALE – REPRICE / ESTANCADO",IF(U419&gt;=Settings!$C$7,"● WATCH / VIGILAR","✔ FRESH / RECIENTE"))))))</f>
        <v/>
      </c>
      <c r="S419" s="53" t="n">
        <f aca="false">IF(C419="",0,IF(OR(J419="",J419="In Stock / En Inventario",J419="Listed / Publicado"),1,0))</f>
        <v>0</v>
      </c>
      <c r="T419" s="53" t="n">
        <f aca="false">IF(C419="",0,IF(J419="Sold / Vendido",1,0))</f>
        <v>0</v>
      </c>
      <c r="U419" s="53" t="n">
        <f aca="true">IF(S419=1,IF(ISNUMBER(F419),TODAY()-F419,-1),-1)</f>
        <v>-1</v>
      </c>
      <c r="V419" s="53" t="n">
        <f aca="false">IF(U419&lt;0,IF(S419=1,5,0),IF(U419&lt;=30,1,IF(U419&lt;=60,2,IF(U419&lt;=90,3,4))))</f>
        <v>0</v>
      </c>
      <c r="W419" s="53" t="n">
        <f aca="false">IF(U419&lt;0,-1000000000000000,U419+ROW()/1000000)</f>
        <v>-1000000000000000</v>
      </c>
      <c r="X419" s="53" t="n">
        <f aca="false">IF(T419=1,IF(AND(ISNUMBER(F419),ISNUMBER(K419)),K419-F419,0),0)</f>
        <v>0</v>
      </c>
      <c r="Y419" s="53" t="n">
        <f aca="false">IF(T419=1,IF(AND(ISNUMBER(F419),ISNUMBER(K419)),1,0),0)</f>
        <v>0</v>
      </c>
      <c r="Z419" s="53" t="n">
        <f aca="false">IF(U419&gt;=Settings!$C$8,1,0)</f>
        <v>0</v>
      </c>
      <c r="AA419" s="53" t="n">
        <f aca="false">IF(S419=1,IF(J419="Listed / Publicado",0,1),0)</f>
        <v>0</v>
      </c>
      <c r="AB419" s="53" t="n">
        <f aca="false">IF(T419=1,IF(ISNUMBER(L419),L419-G419,0),0)</f>
        <v>0</v>
      </c>
      <c r="AC419" s="53" t="n">
        <f aca="false">IF(S419=1,IF(ISNUMBER(I419),I419-G419,0),0)</f>
        <v>0</v>
      </c>
    </row>
    <row r="420" customFormat="false" ht="15" hidden="false" customHeight="false" outlineLevel="0" collapsed="false">
      <c r="B420" s="54"/>
      <c r="C420" s="55"/>
      <c r="D420" s="55"/>
      <c r="E420" s="55"/>
      <c r="F420" s="56"/>
      <c r="G420" s="57"/>
      <c r="H420" s="55"/>
      <c r="I420" s="57"/>
      <c r="J420" s="54"/>
      <c r="K420" s="56"/>
      <c r="L420" s="57"/>
      <c r="M420" s="54"/>
      <c r="N420" s="58" t="str">
        <f aca="false">IF(S420=1,IF(U420&lt;0,"",U420),IF(Y420=1,X420,""))</f>
        <v/>
      </c>
      <c r="O420" s="59" t="str">
        <f aca="false">IF(S420=1,IF(ISNUMBER(I420),I420-G420,""),"")</f>
        <v/>
      </c>
      <c r="P420" s="59" t="str">
        <f aca="false">IF(T420=1,IF(ISNUMBER(L420),L420-G420,""),"")</f>
        <v/>
      </c>
      <c r="Q420" s="60" t="str">
        <f aca="false">IF(C420="","",IF(T420=1,"✔ SOLD / VENDIDO",IF(S420=0,"— CLOSED / CERRADO",IF(U420&lt;0,"⚠ ADD DATE / AGREGA FECHA",IF(U420&gt;=Settings!$C$8,"⚠ STALE – REPRICE / ESTANCADO",IF(U420&gt;=Settings!$C$7,"● WATCH / VIGILAR","✔ FRESH / RECIENTE"))))))</f>
        <v/>
      </c>
      <c r="S420" s="53" t="n">
        <f aca="false">IF(C420="",0,IF(OR(J420="",J420="In Stock / En Inventario",J420="Listed / Publicado"),1,0))</f>
        <v>0</v>
      </c>
      <c r="T420" s="53" t="n">
        <f aca="false">IF(C420="",0,IF(J420="Sold / Vendido",1,0))</f>
        <v>0</v>
      </c>
      <c r="U420" s="53" t="n">
        <f aca="true">IF(S420=1,IF(ISNUMBER(F420),TODAY()-F420,-1),-1)</f>
        <v>-1</v>
      </c>
      <c r="V420" s="53" t="n">
        <f aca="false">IF(U420&lt;0,IF(S420=1,5,0),IF(U420&lt;=30,1,IF(U420&lt;=60,2,IF(U420&lt;=90,3,4))))</f>
        <v>0</v>
      </c>
      <c r="W420" s="53" t="n">
        <f aca="false">IF(U420&lt;0,-1000000000000000,U420+ROW()/1000000)</f>
        <v>-1000000000000000</v>
      </c>
      <c r="X420" s="53" t="n">
        <f aca="false">IF(T420=1,IF(AND(ISNUMBER(F420),ISNUMBER(K420)),K420-F420,0),0)</f>
        <v>0</v>
      </c>
      <c r="Y420" s="53" t="n">
        <f aca="false">IF(T420=1,IF(AND(ISNUMBER(F420),ISNUMBER(K420)),1,0),0)</f>
        <v>0</v>
      </c>
      <c r="Z420" s="53" t="n">
        <f aca="false">IF(U420&gt;=Settings!$C$8,1,0)</f>
        <v>0</v>
      </c>
      <c r="AA420" s="53" t="n">
        <f aca="false">IF(S420=1,IF(J420="Listed / Publicado",0,1),0)</f>
        <v>0</v>
      </c>
      <c r="AB420" s="53" t="n">
        <f aca="false">IF(T420=1,IF(ISNUMBER(L420),L420-G420,0),0)</f>
        <v>0</v>
      </c>
      <c r="AC420" s="53" t="n">
        <f aca="false">IF(S420=1,IF(ISNUMBER(I420),I420-G420,0),0)</f>
        <v>0</v>
      </c>
    </row>
    <row r="421" customFormat="false" ht="15" hidden="false" customHeight="false" outlineLevel="0" collapsed="false">
      <c r="B421" s="54"/>
      <c r="C421" s="55"/>
      <c r="D421" s="55"/>
      <c r="E421" s="55"/>
      <c r="F421" s="56"/>
      <c r="G421" s="57"/>
      <c r="H421" s="55"/>
      <c r="I421" s="57"/>
      <c r="J421" s="54"/>
      <c r="K421" s="56"/>
      <c r="L421" s="57"/>
      <c r="M421" s="54"/>
      <c r="N421" s="58" t="str">
        <f aca="false">IF(S421=1,IF(U421&lt;0,"",U421),IF(Y421=1,X421,""))</f>
        <v/>
      </c>
      <c r="O421" s="59" t="str">
        <f aca="false">IF(S421=1,IF(ISNUMBER(I421),I421-G421,""),"")</f>
        <v/>
      </c>
      <c r="P421" s="59" t="str">
        <f aca="false">IF(T421=1,IF(ISNUMBER(L421),L421-G421,""),"")</f>
        <v/>
      </c>
      <c r="Q421" s="60" t="str">
        <f aca="false">IF(C421="","",IF(T421=1,"✔ SOLD / VENDIDO",IF(S421=0,"— CLOSED / CERRADO",IF(U421&lt;0,"⚠ ADD DATE / AGREGA FECHA",IF(U421&gt;=Settings!$C$8,"⚠ STALE – REPRICE / ESTANCADO",IF(U421&gt;=Settings!$C$7,"● WATCH / VIGILAR","✔ FRESH / RECIENTE"))))))</f>
        <v/>
      </c>
      <c r="S421" s="53" t="n">
        <f aca="false">IF(C421="",0,IF(OR(J421="",J421="In Stock / En Inventario",J421="Listed / Publicado"),1,0))</f>
        <v>0</v>
      </c>
      <c r="T421" s="53" t="n">
        <f aca="false">IF(C421="",0,IF(J421="Sold / Vendido",1,0))</f>
        <v>0</v>
      </c>
      <c r="U421" s="53" t="n">
        <f aca="true">IF(S421=1,IF(ISNUMBER(F421),TODAY()-F421,-1),-1)</f>
        <v>-1</v>
      </c>
      <c r="V421" s="53" t="n">
        <f aca="false">IF(U421&lt;0,IF(S421=1,5,0),IF(U421&lt;=30,1,IF(U421&lt;=60,2,IF(U421&lt;=90,3,4))))</f>
        <v>0</v>
      </c>
      <c r="W421" s="53" t="n">
        <f aca="false">IF(U421&lt;0,-1000000000000000,U421+ROW()/1000000)</f>
        <v>-1000000000000000</v>
      </c>
      <c r="X421" s="53" t="n">
        <f aca="false">IF(T421=1,IF(AND(ISNUMBER(F421),ISNUMBER(K421)),K421-F421,0),0)</f>
        <v>0</v>
      </c>
      <c r="Y421" s="53" t="n">
        <f aca="false">IF(T421=1,IF(AND(ISNUMBER(F421),ISNUMBER(K421)),1,0),0)</f>
        <v>0</v>
      </c>
      <c r="Z421" s="53" t="n">
        <f aca="false">IF(U421&gt;=Settings!$C$8,1,0)</f>
        <v>0</v>
      </c>
      <c r="AA421" s="53" t="n">
        <f aca="false">IF(S421=1,IF(J421="Listed / Publicado",0,1),0)</f>
        <v>0</v>
      </c>
      <c r="AB421" s="53" t="n">
        <f aca="false">IF(T421=1,IF(ISNUMBER(L421),L421-G421,0),0)</f>
        <v>0</v>
      </c>
      <c r="AC421" s="53" t="n">
        <f aca="false">IF(S421=1,IF(ISNUMBER(I421),I421-G421,0),0)</f>
        <v>0</v>
      </c>
    </row>
    <row r="422" customFormat="false" ht="15" hidden="false" customHeight="false" outlineLevel="0" collapsed="false">
      <c r="B422" s="54"/>
      <c r="C422" s="55"/>
      <c r="D422" s="55"/>
      <c r="E422" s="55"/>
      <c r="F422" s="56"/>
      <c r="G422" s="57"/>
      <c r="H422" s="55"/>
      <c r="I422" s="57"/>
      <c r="J422" s="54"/>
      <c r="K422" s="56"/>
      <c r="L422" s="57"/>
      <c r="M422" s="54"/>
      <c r="N422" s="58" t="str">
        <f aca="false">IF(S422=1,IF(U422&lt;0,"",U422),IF(Y422=1,X422,""))</f>
        <v/>
      </c>
      <c r="O422" s="59" t="str">
        <f aca="false">IF(S422=1,IF(ISNUMBER(I422),I422-G422,""),"")</f>
        <v/>
      </c>
      <c r="P422" s="59" t="str">
        <f aca="false">IF(T422=1,IF(ISNUMBER(L422),L422-G422,""),"")</f>
        <v/>
      </c>
      <c r="Q422" s="60" t="str">
        <f aca="false">IF(C422="","",IF(T422=1,"✔ SOLD / VENDIDO",IF(S422=0,"— CLOSED / CERRADO",IF(U422&lt;0,"⚠ ADD DATE / AGREGA FECHA",IF(U422&gt;=Settings!$C$8,"⚠ STALE – REPRICE / ESTANCADO",IF(U422&gt;=Settings!$C$7,"● WATCH / VIGILAR","✔ FRESH / RECIENTE"))))))</f>
        <v/>
      </c>
      <c r="S422" s="53" t="n">
        <f aca="false">IF(C422="",0,IF(OR(J422="",J422="In Stock / En Inventario",J422="Listed / Publicado"),1,0))</f>
        <v>0</v>
      </c>
      <c r="T422" s="53" t="n">
        <f aca="false">IF(C422="",0,IF(J422="Sold / Vendido",1,0))</f>
        <v>0</v>
      </c>
      <c r="U422" s="53" t="n">
        <f aca="true">IF(S422=1,IF(ISNUMBER(F422),TODAY()-F422,-1),-1)</f>
        <v>-1</v>
      </c>
      <c r="V422" s="53" t="n">
        <f aca="false">IF(U422&lt;0,IF(S422=1,5,0),IF(U422&lt;=30,1,IF(U422&lt;=60,2,IF(U422&lt;=90,3,4))))</f>
        <v>0</v>
      </c>
      <c r="W422" s="53" t="n">
        <f aca="false">IF(U422&lt;0,-1000000000000000,U422+ROW()/1000000)</f>
        <v>-1000000000000000</v>
      </c>
      <c r="X422" s="53" t="n">
        <f aca="false">IF(T422=1,IF(AND(ISNUMBER(F422),ISNUMBER(K422)),K422-F422,0),0)</f>
        <v>0</v>
      </c>
      <c r="Y422" s="53" t="n">
        <f aca="false">IF(T422=1,IF(AND(ISNUMBER(F422),ISNUMBER(K422)),1,0),0)</f>
        <v>0</v>
      </c>
      <c r="Z422" s="53" t="n">
        <f aca="false">IF(U422&gt;=Settings!$C$8,1,0)</f>
        <v>0</v>
      </c>
      <c r="AA422" s="53" t="n">
        <f aca="false">IF(S422=1,IF(J422="Listed / Publicado",0,1),0)</f>
        <v>0</v>
      </c>
      <c r="AB422" s="53" t="n">
        <f aca="false">IF(T422=1,IF(ISNUMBER(L422),L422-G422,0),0)</f>
        <v>0</v>
      </c>
      <c r="AC422" s="53" t="n">
        <f aca="false">IF(S422=1,IF(ISNUMBER(I422),I422-G422,0),0)</f>
        <v>0</v>
      </c>
    </row>
    <row r="423" customFormat="false" ht="15" hidden="false" customHeight="false" outlineLevel="0" collapsed="false">
      <c r="B423" s="54"/>
      <c r="C423" s="55"/>
      <c r="D423" s="55"/>
      <c r="E423" s="55"/>
      <c r="F423" s="56"/>
      <c r="G423" s="57"/>
      <c r="H423" s="55"/>
      <c r="I423" s="57"/>
      <c r="J423" s="54"/>
      <c r="K423" s="56"/>
      <c r="L423" s="57"/>
      <c r="M423" s="54"/>
      <c r="N423" s="58" t="str">
        <f aca="false">IF(S423=1,IF(U423&lt;0,"",U423),IF(Y423=1,X423,""))</f>
        <v/>
      </c>
      <c r="O423" s="59" t="str">
        <f aca="false">IF(S423=1,IF(ISNUMBER(I423),I423-G423,""),"")</f>
        <v/>
      </c>
      <c r="P423" s="59" t="str">
        <f aca="false">IF(T423=1,IF(ISNUMBER(L423),L423-G423,""),"")</f>
        <v/>
      </c>
      <c r="Q423" s="60" t="str">
        <f aca="false">IF(C423="","",IF(T423=1,"✔ SOLD / VENDIDO",IF(S423=0,"— CLOSED / CERRADO",IF(U423&lt;0,"⚠ ADD DATE / AGREGA FECHA",IF(U423&gt;=Settings!$C$8,"⚠ STALE – REPRICE / ESTANCADO",IF(U423&gt;=Settings!$C$7,"● WATCH / VIGILAR","✔ FRESH / RECIENTE"))))))</f>
        <v/>
      </c>
      <c r="S423" s="53" t="n">
        <f aca="false">IF(C423="",0,IF(OR(J423="",J423="In Stock / En Inventario",J423="Listed / Publicado"),1,0))</f>
        <v>0</v>
      </c>
      <c r="T423" s="53" t="n">
        <f aca="false">IF(C423="",0,IF(J423="Sold / Vendido",1,0))</f>
        <v>0</v>
      </c>
      <c r="U423" s="53" t="n">
        <f aca="true">IF(S423=1,IF(ISNUMBER(F423),TODAY()-F423,-1),-1)</f>
        <v>-1</v>
      </c>
      <c r="V423" s="53" t="n">
        <f aca="false">IF(U423&lt;0,IF(S423=1,5,0),IF(U423&lt;=30,1,IF(U423&lt;=60,2,IF(U423&lt;=90,3,4))))</f>
        <v>0</v>
      </c>
      <c r="W423" s="53" t="n">
        <f aca="false">IF(U423&lt;0,-1000000000000000,U423+ROW()/1000000)</f>
        <v>-1000000000000000</v>
      </c>
      <c r="X423" s="53" t="n">
        <f aca="false">IF(T423=1,IF(AND(ISNUMBER(F423),ISNUMBER(K423)),K423-F423,0),0)</f>
        <v>0</v>
      </c>
      <c r="Y423" s="53" t="n">
        <f aca="false">IF(T423=1,IF(AND(ISNUMBER(F423),ISNUMBER(K423)),1,0),0)</f>
        <v>0</v>
      </c>
      <c r="Z423" s="53" t="n">
        <f aca="false">IF(U423&gt;=Settings!$C$8,1,0)</f>
        <v>0</v>
      </c>
      <c r="AA423" s="53" t="n">
        <f aca="false">IF(S423=1,IF(J423="Listed / Publicado",0,1),0)</f>
        <v>0</v>
      </c>
      <c r="AB423" s="53" t="n">
        <f aca="false">IF(T423=1,IF(ISNUMBER(L423),L423-G423,0),0)</f>
        <v>0</v>
      </c>
      <c r="AC423" s="53" t="n">
        <f aca="false">IF(S423=1,IF(ISNUMBER(I423),I423-G423,0),0)</f>
        <v>0</v>
      </c>
    </row>
    <row r="424" customFormat="false" ht="15" hidden="false" customHeight="false" outlineLevel="0" collapsed="false">
      <c r="B424" s="54"/>
      <c r="C424" s="55"/>
      <c r="D424" s="55"/>
      <c r="E424" s="55"/>
      <c r="F424" s="56"/>
      <c r="G424" s="57"/>
      <c r="H424" s="55"/>
      <c r="I424" s="57"/>
      <c r="J424" s="54"/>
      <c r="K424" s="56"/>
      <c r="L424" s="57"/>
      <c r="M424" s="54"/>
      <c r="N424" s="58" t="str">
        <f aca="false">IF(S424=1,IF(U424&lt;0,"",U424),IF(Y424=1,X424,""))</f>
        <v/>
      </c>
      <c r="O424" s="59" t="str">
        <f aca="false">IF(S424=1,IF(ISNUMBER(I424),I424-G424,""),"")</f>
        <v/>
      </c>
      <c r="P424" s="59" t="str">
        <f aca="false">IF(T424=1,IF(ISNUMBER(L424),L424-G424,""),"")</f>
        <v/>
      </c>
      <c r="Q424" s="60" t="str">
        <f aca="false">IF(C424="","",IF(T424=1,"✔ SOLD / VENDIDO",IF(S424=0,"— CLOSED / CERRADO",IF(U424&lt;0,"⚠ ADD DATE / AGREGA FECHA",IF(U424&gt;=Settings!$C$8,"⚠ STALE – REPRICE / ESTANCADO",IF(U424&gt;=Settings!$C$7,"● WATCH / VIGILAR","✔ FRESH / RECIENTE"))))))</f>
        <v/>
      </c>
      <c r="S424" s="53" t="n">
        <f aca="false">IF(C424="",0,IF(OR(J424="",J424="In Stock / En Inventario",J424="Listed / Publicado"),1,0))</f>
        <v>0</v>
      </c>
      <c r="T424" s="53" t="n">
        <f aca="false">IF(C424="",0,IF(J424="Sold / Vendido",1,0))</f>
        <v>0</v>
      </c>
      <c r="U424" s="53" t="n">
        <f aca="true">IF(S424=1,IF(ISNUMBER(F424),TODAY()-F424,-1),-1)</f>
        <v>-1</v>
      </c>
      <c r="V424" s="53" t="n">
        <f aca="false">IF(U424&lt;0,IF(S424=1,5,0),IF(U424&lt;=30,1,IF(U424&lt;=60,2,IF(U424&lt;=90,3,4))))</f>
        <v>0</v>
      </c>
      <c r="W424" s="53" t="n">
        <f aca="false">IF(U424&lt;0,-1000000000000000,U424+ROW()/1000000)</f>
        <v>-1000000000000000</v>
      </c>
      <c r="X424" s="53" t="n">
        <f aca="false">IF(T424=1,IF(AND(ISNUMBER(F424),ISNUMBER(K424)),K424-F424,0),0)</f>
        <v>0</v>
      </c>
      <c r="Y424" s="53" t="n">
        <f aca="false">IF(T424=1,IF(AND(ISNUMBER(F424),ISNUMBER(K424)),1,0),0)</f>
        <v>0</v>
      </c>
      <c r="Z424" s="53" t="n">
        <f aca="false">IF(U424&gt;=Settings!$C$8,1,0)</f>
        <v>0</v>
      </c>
      <c r="AA424" s="53" t="n">
        <f aca="false">IF(S424=1,IF(J424="Listed / Publicado",0,1),0)</f>
        <v>0</v>
      </c>
      <c r="AB424" s="53" t="n">
        <f aca="false">IF(T424=1,IF(ISNUMBER(L424),L424-G424,0),0)</f>
        <v>0</v>
      </c>
      <c r="AC424" s="53" t="n">
        <f aca="false">IF(S424=1,IF(ISNUMBER(I424),I424-G424,0),0)</f>
        <v>0</v>
      </c>
    </row>
    <row r="425" customFormat="false" ht="15" hidden="false" customHeight="false" outlineLevel="0" collapsed="false">
      <c r="B425" s="54"/>
      <c r="C425" s="55"/>
      <c r="D425" s="55"/>
      <c r="E425" s="55"/>
      <c r="F425" s="56"/>
      <c r="G425" s="57"/>
      <c r="H425" s="55"/>
      <c r="I425" s="57"/>
      <c r="J425" s="54"/>
      <c r="K425" s="56"/>
      <c r="L425" s="57"/>
      <c r="M425" s="54"/>
      <c r="N425" s="58" t="str">
        <f aca="false">IF(S425=1,IF(U425&lt;0,"",U425),IF(Y425=1,X425,""))</f>
        <v/>
      </c>
      <c r="O425" s="59" t="str">
        <f aca="false">IF(S425=1,IF(ISNUMBER(I425),I425-G425,""),"")</f>
        <v/>
      </c>
      <c r="P425" s="59" t="str">
        <f aca="false">IF(T425=1,IF(ISNUMBER(L425),L425-G425,""),"")</f>
        <v/>
      </c>
      <c r="Q425" s="60" t="str">
        <f aca="false">IF(C425="","",IF(T425=1,"✔ SOLD / VENDIDO",IF(S425=0,"— CLOSED / CERRADO",IF(U425&lt;0,"⚠ ADD DATE / AGREGA FECHA",IF(U425&gt;=Settings!$C$8,"⚠ STALE – REPRICE / ESTANCADO",IF(U425&gt;=Settings!$C$7,"● WATCH / VIGILAR","✔ FRESH / RECIENTE"))))))</f>
        <v/>
      </c>
      <c r="S425" s="53" t="n">
        <f aca="false">IF(C425="",0,IF(OR(J425="",J425="In Stock / En Inventario",J425="Listed / Publicado"),1,0))</f>
        <v>0</v>
      </c>
      <c r="T425" s="53" t="n">
        <f aca="false">IF(C425="",0,IF(J425="Sold / Vendido",1,0))</f>
        <v>0</v>
      </c>
      <c r="U425" s="53" t="n">
        <f aca="true">IF(S425=1,IF(ISNUMBER(F425),TODAY()-F425,-1),-1)</f>
        <v>-1</v>
      </c>
      <c r="V425" s="53" t="n">
        <f aca="false">IF(U425&lt;0,IF(S425=1,5,0),IF(U425&lt;=30,1,IF(U425&lt;=60,2,IF(U425&lt;=90,3,4))))</f>
        <v>0</v>
      </c>
      <c r="W425" s="53" t="n">
        <f aca="false">IF(U425&lt;0,-1000000000000000,U425+ROW()/1000000)</f>
        <v>-1000000000000000</v>
      </c>
      <c r="X425" s="53" t="n">
        <f aca="false">IF(T425=1,IF(AND(ISNUMBER(F425),ISNUMBER(K425)),K425-F425,0),0)</f>
        <v>0</v>
      </c>
      <c r="Y425" s="53" t="n">
        <f aca="false">IF(T425=1,IF(AND(ISNUMBER(F425),ISNUMBER(K425)),1,0),0)</f>
        <v>0</v>
      </c>
      <c r="Z425" s="53" t="n">
        <f aca="false">IF(U425&gt;=Settings!$C$8,1,0)</f>
        <v>0</v>
      </c>
      <c r="AA425" s="53" t="n">
        <f aca="false">IF(S425=1,IF(J425="Listed / Publicado",0,1),0)</f>
        <v>0</v>
      </c>
      <c r="AB425" s="53" t="n">
        <f aca="false">IF(T425=1,IF(ISNUMBER(L425),L425-G425,0),0)</f>
        <v>0</v>
      </c>
      <c r="AC425" s="53" t="n">
        <f aca="false">IF(S425=1,IF(ISNUMBER(I425),I425-G425,0),0)</f>
        <v>0</v>
      </c>
    </row>
    <row r="426" customFormat="false" ht="15" hidden="false" customHeight="false" outlineLevel="0" collapsed="false">
      <c r="B426" s="54"/>
      <c r="C426" s="55"/>
      <c r="D426" s="55"/>
      <c r="E426" s="55"/>
      <c r="F426" s="56"/>
      <c r="G426" s="57"/>
      <c r="H426" s="55"/>
      <c r="I426" s="57"/>
      <c r="J426" s="54"/>
      <c r="K426" s="56"/>
      <c r="L426" s="57"/>
      <c r="M426" s="54"/>
      <c r="N426" s="58" t="str">
        <f aca="false">IF(S426=1,IF(U426&lt;0,"",U426),IF(Y426=1,X426,""))</f>
        <v/>
      </c>
      <c r="O426" s="59" t="str">
        <f aca="false">IF(S426=1,IF(ISNUMBER(I426),I426-G426,""),"")</f>
        <v/>
      </c>
      <c r="P426" s="59" t="str">
        <f aca="false">IF(T426=1,IF(ISNUMBER(L426),L426-G426,""),"")</f>
        <v/>
      </c>
      <c r="Q426" s="60" t="str">
        <f aca="false">IF(C426="","",IF(T426=1,"✔ SOLD / VENDIDO",IF(S426=0,"— CLOSED / CERRADO",IF(U426&lt;0,"⚠ ADD DATE / AGREGA FECHA",IF(U426&gt;=Settings!$C$8,"⚠ STALE – REPRICE / ESTANCADO",IF(U426&gt;=Settings!$C$7,"● WATCH / VIGILAR","✔ FRESH / RECIENTE"))))))</f>
        <v/>
      </c>
      <c r="S426" s="53" t="n">
        <f aca="false">IF(C426="",0,IF(OR(J426="",J426="In Stock / En Inventario",J426="Listed / Publicado"),1,0))</f>
        <v>0</v>
      </c>
      <c r="T426" s="53" t="n">
        <f aca="false">IF(C426="",0,IF(J426="Sold / Vendido",1,0))</f>
        <v>0</v>
      </c>
      <c r="U426" s="53" t="n">
        <f aca="true">IF(S426=1,IF(ISNUMBER(F426),TODAY()-F426,-1),-1)</f>
        <v>-1</v>
      </c>
      <c r="V426" s="53" t="n">
        <f aca="false">IF(U426&lt;0,IF(S426=1,5,0),IF(U426&lt;=30,1,IF(U426&lt;=60,2,IF(U426&lt;=90,3,4))))</f>
        <v>0</v>
      </c>
      <c r="W426" s="53" t="n">
        <f aca="false">IF(U426&lt;0,-1000000000000000,U426+ROW()/1000000)</f>
        <v>-1000000000000000</v>
      </c>
      <c r="X426" s="53" t="n">
        <f aca="false">IF(T426=1,IF(AND(ISNUMBER(F426),ISNUMBER(K426)),K426-F426,0),0)</f>
        <v>0</v>
      </c>
      <c r="Y426" s="53" t="n">
        <f aca="false">IF(T426=1,IF(AND(ISNUMBER(F426),ISNUMBER(K426)),1,0),0)</f>
        <v>0</v>
      </c>
      <c r="Z426" s="53" t="n">
        <f aca="false">IF(U426&gt;=Settings!$C$8,1,0)</f>
        <v>0</v>
      </c>
      <c r="AA426" s="53" t="n">
        <f aca="false">IF(S426=1,IF(J426="Listed / Publicado",0,1),0)</f>
        <v>0</v>
      </c>
      <c r="AB426" s="53" t="n">
        <f aca="false">IF(T426=1,IF(ISNUMBER(L426),L426-G426,0),0)</f>
        <v>0</v>
      </c>
      <c r="AC426" s="53" t="n">
        <f aca="false">IF(S426=1,IF(ISNUMBER(I426),I426-G426,0),0)</f>
        <v>0</v>
      </c>
    </row>
    <row r="427" customFormat="false" ht="15" hidden="false" customHeight="false" outlineLevel="0" collapsed="false">
      <c r="B427" s="54"/>
      <c r="C427" s="55"/>
      <c r="D427" s="55"/>
      <c r="E427" s="55"/>
      <c r="F427" s="56"/>
      <c r="G427" s="57"/>
      <c r="H427" s="55"/>
      <c r="I427" s="57"/>
      <c r="J427" s="54"/>
      <c r="K427" s="56"/>
      <c r="L427" s="57"/>
      <c r="M427" s="54"/>
      <c r="N427" s="58" t="str">
        <f aca="false">IF(S427=1,IF(U427&lt;0,"",U427),IF(Y427=1,X427,""))</f>
        <v/>
      </c>
      <c r="O427" s="59" t="str">
        <f aca="false">IF(S427=1,IF(ISNUMBER(I427),I427-G427,""),"")</f>
        <v/>
      </c>
      <c r="P427" s="59" t="str">
        <f aca="false">IF(T427=1,IF(ISNUMBER(L427),L427-G427,""),"")</f>
        <v/>
      </c>
      <c r="Q427" s="60" t="str">
        <f aca="false">IF(C427="","",IF(T427=1,"✔ SOLD / VENDIDO",IF(S427=0,"— CLOSED / CERRADO",IF(U427&lt;0,"⚠ ADD DATE / AGREGA FECHA",IF(U427&gt;=Settings!$C$8,"⚠ STALE – REPRICE / ESTANCADO",IF(U427&gt;=Settings!$C$7,"● WATCH / VIGILAR","✔ FRESH / RECIENTE"))))))</f>
        <v/>
      </c>
      <c r="S427" s="53" t="n">
        <f aca="false">IF(C427="",0,IF(OR(J427="",J427="In Stock / En Inventario",J427="Listed / Publicado"),1,0))</f>
        <v>0</v>
      </c>
      <c r="T427" s="53" t="n">
        <f aca="false">IF(C427="",0,IF(J427="Sold / Vendido",1,0))</f>
        <v>0</v>
      </c>
      <c r="U427" s="53" t="n">
        <f aca="true">IF(S427=1,IF(ISNUMBER(F427),TODAY()-F427,-1),-1)</f>
        <v>-1</v>
      </c>
      <c r="V427" s="53" t="n">
        <f aca="false">IF(U427&lt;0,IF(S427=1,5,0),IF(U427&lt;=30,1,IF(U427&lt;=60,2,IF(U427&lt;=90,3,4))))</f>
        <v>0</v>
      </c>
      <c r="W427" s="53" t="n">
        <f aca="false">IF(U427&lt;0,-1000000000000000,U427+ROW()/1000000)</f>
        <v>-1000000000000000</v>
      </c>
      <c r="X427" s="53" t="n">
        <f aca="false">IF(T427=1,IF(AND(ISNUMBER(F427),ISNUMBER(K427)),K427-F427,0),0)</f>
        <v>0</v>
      </c>
      <c r="Y427" s="53" t="n">
        <f aca="false">IF(T427=1,IF(AND(ISNUMBER(F427),ISNUMBER(K427)),1,0),0)</f>
        <v>0</v>
      </c>
      <c r="Z427" s="53" t="n">
        <f aca="false">IF(U427&gt;=Settings!$C$8,1,0)</f>
        <v>0</v>
      </c>
      <c r="AA427" s="53" t="n">
        <f aca="false">IF(S427=1,IF(J427="Listed / Publicado",0,1),0)</f>
        <v>0</v>
      </c>
      <c r="AB427" s="53" t="n">
        <f aca="false">IF(T427=1,IF(ISNUMBER(L427),L427-G427,0),0)</f>
        <v>0</v>
      </c>
      <c r="AC427" s="53" t="n">
        <f aca="false">IF(S427=1,IF(ISNUMBER(I427),I427-G427,0),0)</f>
        <v>0</v>
      </c>
    </row>
    <row r="428" customFormat="false" ht="15" hidden="false" customHeight="false" outlineLevel="0" collapsed="false">
      <c r="B428" s="54"/>
      <c r="C428" s="55"/>
      <c r="D428" s="55"/>
      <c r="E428" s="55"/>
      <c r="F428" s="56"/>
      <c r="G428" s="57"/>
      <c r="H428" s="55"/>
      <c r="I428" s="57"/>
      <c r="J428" s="54"/>
      <c r="K428" s="56"/>
      <c r="L428" s="57"/>
      <c r="M428" s="54"/>
      <c r="N428" s="58" t="str">
        <f aca="false">IF(S428=1,IF(U428&lt;0,"",U428),IF(Y428=1,X428,""))</f>
        <v/>
      </c>
      <c r="O428" s="59" t="str">
        <f aca="false">IF(S428=1,IF(ISNUMBER(I428),I428-G428,""),"")</f>
        <v/>
      </c>
      <c r="P428" s="59" t="str">
        <f aca="false">IF(T428=1,IF(ISNUMBER(L428),L428-G428,""),"")</f>
        <v/>
      </c>
      <c r="Q428" s="60" t="str">
        <f aca="false">IF(C428="","",IF(T428=1,"✔ SOLD / VENDIDO",IF(S428=0,"— CLOSED / CERRADO",IF(U428&lt;0,"⚠ ADD DATE / AGREGA FECHA",IF(U428&gt;=Settings!$C$8,"⚠ STALE – REPRICE / ESTANCADO",IF(U428&gt;=Settings!$C$7,"● WATCH / VIGILAR","✔ FRESH / RECIENTE"))))))</f>
        <v/>
      </c>
      <c r="S428" s="53" t="n">
        <f aca="false">IF(C428="",0,IF(OR(J428="",J428="In Stock / En Inventario",J428="Listed / Publicado"),1,0))</f>
        <v>0</v>
      </c>
      <c r="T428" s="53" t="n">
        <f aca="false">IF(C428="",0,IF(J428="Sold / Vendido",1,0))</f>
        <v>0</v>
      </c>
      <c r="U428" s="53" t="n">
        <f aca="true">IF(S428=1,IF(ISNUMBER(F428),TODAY()-F428,-1),-1)</f>
        <v>-1</v>
      </c>
      <c r="V428" s="53" t="n">
        <f aca="false">IF(U428&lt;0,IF(S428=1,5,0),IF(U428&lt;=30,1,IF(U428&lt;=60,2,IF(U428&lt;=90,3,4))))</f>
        <v>0</v>
      </c>
      <c r="W428" s="53" t="n">
        <f aca="false">IF(U428&lt;0,-1000000000000000,U428+ROW()/1000000)</f>
        <v>-1000000000000000</v>
      </c>
      <c r="X428" s="53" t="n">
        <f aca="false">IF(T428=1,IF(AND(ISNUMBER(F428),ISNUMBER(K428)),K428-F428,0),0)</f>
        <v>0</v>
      </c>
      <c r="Y428" s="53" t="n">
        <f aca="false">IF(T428=1,IF(AND(ISNUMBER(F428),ISNUMBER(K428)),1,0),0)</f>
        <v>0</v>
      </c>
      <c r="Z428" s="53" t="n">
        <f aca="false">IF(U428&gt;=Settings!$C$8,1,0)</f>
        <v>0</v>
      </c>
      <c r="AA428" s="53" t="n">
        <f aca="false">IF(S428=1,IF(J428="Listed / Publicado",0,1),0)</f>
        <v>0</v>
      </c>
      <c r="AB428" s="53" t="n">
        <f aca="false">IF(T428=1,IF(ISNUMBER(L428),L428-G428,0),0)</f>
        <v>0</v>
      </c>
      <c r="AC428" s="53" t="n">
        <f aca="false">IF(S428=1,IF(ISNUMBER(I428),I428-G428,0),0)</f>
        <v>0</v>
      </c>
    </row>
    <row r="429" customFormat="false" ht="15" hidden="false" customHeight="false" outlineLevel="0" collapsed="false">
      <c r="B429" s="54"/>
      <c r="C429" s="55"/>
      <c r="D429" s="55"/>
      <c r="E429" s="55"/>
      <c r="F429" s="56"/>
      <c r="G429" s="57"/>
      <c r="H429" s="55"/>
      <c r="I429" s="57"/>
      <c r="J429" s="54"/>
      <c r="K429" s="56"/>
      <c r="L429" s="57"/>
      <c r="M429" s="54"/>
      <c r="N429" s="58" t="str">
        <f aca="false">IF(S429=1,IF(U429&lt;0,"",U429),IF(Y429=1,X429,""))</f>
        <v/>
      </c>
      <c r="O429" s="59" t="str">
        <f aca="false">IF(S429=1,IF(ISNUMBER(I429),I429-G429,""),"")</f>
        <v/>
      </c>
      <c r="P429" s="59" t="str">
        <f aca="false">IF(T429=1,IF(ISNUMBER(L429),L429-G429,""),"")</f>
        <v/>
      </c>
      <c r="Q429" s="60" t="str">
        <f aca="false">IF(C429="","",IF(T429=1,"✔ SOLD / VENDIDO",IF(S429=0,"— CLOSED / CERRADO",IF(U429&lt;0,"⚠ ADD DATE / AGREGA FECHA",IF(U429&gt;=Settings!$C$8,"⚠ STALE – REPRICE / ESTANCADO",IF(U429&gt;=Settings!$C$7,"● WATCH / VIGILAR","✔ FRESH / RECIENTE"))))))</f>
        <v/>
      </c>
      <c r="S429" s="53" t="n">
        <f aca="false">IF(C429="",0,IF(OR(J429="",J429="In Stock / En Inventario",J429="Listed / Publicado"),1,0))</f>
        <v>0</v>
      </c>
      <c r="T429" s="53" t="n">
        <f aca="false">IF(C429="",0,IF(J429="Sold / Vendido",1,0))</f>
        <v>0</v>
      </c>
      <c r="U429" s="53" t="n">
        <f aca="true">IF(S429=1,IF(ISNUMBER(F429),TODAY()-F429,-1),-1)</f>
        <v>-1</v>
      </c>
      <c r="V429" s="53" t="n">
        <f aca="false">IF(U429&lt;0,IF(S429=1,5,0),IF(U429&lt;=30,1,IF(U429&lt;=60,2,IF(U429&lt;=90,3,4))))</f>
        <v>0</v>
      </c>
      <c r="W429" s="53" t="n">
        <f aca="false">IF(U429&lt;0,-1000000000000000,U429+ROW()/1000000)</f>
        <v>-1000000000000000</v>
      </c>
      <c r="X429" s="53" t="n">
        <f aca="false">IF(T429=1,IF(AND(ISNUMBER(F429),ISNUMBER(K429)),K429-F429,0),0)</f>
        <v>0</v>
      </c>
      <c r="Y429" s="53" t="n">
        <f aca="false">IF(T429=1,IF(AND(ISNUMBER(F429),ISNUMBER(K429)),1,0),0)</f>
        <v>0</v>
      </c>
      <c r="Z429" s="53" t="n">
        <f aca="false">IF(U429&gt;=Settings!$C$8,1,0)</f>
        <v>0</v>
      </c>
      <c r="AA429" s="53" t="n">
        <f aca="false">IF(S429=1,IF(J429="Listed / Publicado",0,1),0)</f>
        <v>0</v>
      </c>
      <c r="AB429" s="53" t="n">
        <f aca="false">IF(T429=1,IF(ISNUMBER(L429),L429-G429,0),0)</f>
        <v>0</v>
      </c>
      <c r="AC429" s="53" t="n">
        <f aca="false">IF(S429=1,IF(ISNUMBER(I429),I429-G429,0),0)</f>
        <v>0</v>
      </c>
    </row>
    <row r="430" customFormat="false" ht="15" hidden="false" customHeight="false" outlineLevel="0" collapsed="false">
      <c r="B430" s="54"/>
      <c r="C430" s="55"/>
      <c r="D430" s="55"/>
      <c r="E430" s="55"/>
      <c r="F430" s="56"/>
      <c r="G430" s="57"/>
      <c r="H430" s="55"/>
      <c r="I430" s="57"/>
      <c r="J430" s="54"/>
      <c r="K430" s="56"/>
      <c r="L430" s="57"/>
      <c r="M430" s="54"/>
      <c r="N430" s="58" t="str">
        <f aca="false">IF(S430=1,IF(U430&lt;0,"",U430),IF(Y430=1,X430,""))</f>
        <v/>
      </c>
      <c r="O430" s="59" t="str">
        <f aca="false">IF(S430=1,IF(ISNUMBER(I430),I430-G430,""),"")</f>
        <v/>
      </c>
      <c r="P430" s="59" t="str">
        <f aca="false">IF(T430=1,IF(ISNUMBER(L430),L430-G430,""),"")</f>
        <v/>
      </c>
      <c r="Q430" s="60" t="str">
        <f aca="false">IF(C430="","",IF(T430=1,"✔ SOLD / VENDIDO",IF(S430=0,"— CLOSED / CERRADO",IF(U430&lt;0,"⚠ ADD DATE / AGREGA FECHA",IF(U430&gt;=Settings!$C$8,"⚠ STALE – REPRICE / ESTANCADO",IF(U430&gt;=Settings!$C$7,"● WATCH / VIGILAR","✔ FRESH / RECIENTE"))))))</f>
        <v/>
      </c>
      <c r="S430" s="53" t="n">
        <f aca="false">IF(C430="",0,IF(OR(J430="",J430="In Stock / En Inventario",J430="Listed / Publicado"),1,0))</f>
        <v>0</v>
      </c>
      <c r="T430" s="53" t="n">
        <f aca="false">IF(C430="",0,IF(J430="Sold / Vendido",1,0))</f>
        <v>0</v>
      </c>
      <c r="U430" s="53" t="n">
        <f aca="true">IF(S430=1,IF(ISNUMBER(F430),TODAY()-F430,-1),-1)</f>
        <v>-1</v>
      </c>
      <c r="V430" s="53" t="n">
        <f aca="false">IF(U430&lt;0,IF(S430=1,5,0),IF(U430&lt;=30,1,IF(U430&lt;=60,2,IF(U430&lt;=90,3,4))))</f>
        <v>0</v>
      </c>
      <c r="W430" s="53" t="n">
        <f aca="false">IF(U430&lt;0,-1000000000000000,U430+ROW()/1000000)</f>
        <v>-1000000000000000</v>
      </c>
      <c r="X430" s="53" t="n">
        <f aca="false">IF(T430=1,IF(AND(ISNUMBER(F430),ISNUMBER(K430)),K430-F430,0),0)</f>
        <v>0</v>
      </c>
      <c r="Y430" s="53" t="n">
        <f aca="false">IF(T430=1,IF(AND(ISNUMBER(F430),ISNUMBER(K430)),1,0),0)</f>
        <v>0</v>
      </c>
      <c r="Z430" s="53" t="n">
        <f aca="false">IF(U430&gt;=Settings!$C$8,1,0)</f>
        <v>0</v>
      </c>
      <c r="AA430" s="53" t="n">
        <f aca="false">IF(S430=1,IF(J430="Listed / Publicado",0,1),0)</f>
        <v>0</v>
      </c>
      <c r="AB430" s="53" t="n">
        <f aca="false">IF(T430=1,IF(ISNUMBER(L430),L430-G430,0),0)</f>
        <v>0</v>
      </c>
      <c r="AC430" s="53" t="n">
        <f aca="false">IF(S430=1,IF(ISNUMBER(I430),I430-G430,0),0)</f>
        <v>0</v>
      </c>
    </row>
    <row r="431" customFormat="false" ht="15" hidden="false" customHeight="false" outlineLevel="0" collapsed="false">
      <c r="B431" s="54"/>
      <c r="C431" s="55"/>
      <c r="D431" s="55"/>
      <c r="E431" s="55"/>
      <c r="F431" s="56"/>
      <c r="G431" s="57"/>
      <c r="H431" s="55"/>
      <c r="I431" s="57"/>
      <c r="J431" s="54"/>
      <c r="K431" s="56"/>
      <c r="L431" s="57"/>
      <c r="M431" s="54"/>
      <c r="N431" s="58" t="str">
        <f aca="false">IF(S431=1,IF(U431&lt;0,"",U431),IF(Y431=1,X431,""))</f>
        <v/>
      </c>
      <c r="O431" s="59" t="str">
        <f aca="false">IF(S431=1,IF(ISNUMBER(I431),I431-G431,""),"")</f>
        <v/>
      </c>
      <c r="P431" s="59" t="str">
        <f aca="false">IF(T431=1,IF(ISNUMBER(L431),L431-G431,""),"")</f>
        <v/>
      </c>
      <c r="Q431" s="60" t="str">
        <f aca="false">IF(C431="","",IF(T431=1,"✔ SOLD / VENDIDO",IF(S431=0,"— CLOSED / CERRADO",IF(U431&lt;0,"⚠ ADD DATE / AGREGA FECHA",IF(U431&gt;=Settings!$C$8,"⚠ STALE – REPRICE / ESTANCADO",IF(U431&gt;=Settings!$C$7,"● WATCH / VIGILAR","✔ FRESH / RECIENTE"))))))</f>
        <v/>
      </c>
      <c r="S431" s="53" t="n">
        <f aca="false">IF(C431="",0,IF(OR(J431="",J431="In Stock / En Inventario",J431="Listed / Publicado"),1,0))</f>
        <v>0</v>
      </c>
      <c r="T431" s="53" t="n">
        <f aca="false">IF(C431="",0,IF(J431="Sold / Vendido",1,0))</f>
        <v>0</v>
      </c>
      <c r="U431" s="53" t="n">
        <f aca="true">IF(S431=1,IF(ISNUMBER(F431),TODAY()-F431,-1),-1)</f>
        <v>-1</v>
      </c>
      <c r="V431" s="53" t="n">
        <f aca="false">IF(U431&lt;0,IF(S431=1,5,0),IF(U431&lt;=30,1,IF(U431&lt;=60,2,IF(U431&lt;=90,3,4))))</f>
        <v>0</v>
      </c>
      <c r="W431" s="53" t="n">
        <f aca="false">IF(U431&lt;0,-1000000000000000,U431+ROW()/1000000)</f>
        <v>-1000000000000000</v>
      </c>
      <c r="X431" s="53" t="n">
        <f aca="false">IF(T431=1,IF(AND(ISNUMBER(F431),ISNUMBER(K431)),K431-F431,0),0)</f>
        <v>0</v>
      </c>
      <c r="Y431" s="53" t="n">
        <f aca="false">IF(T431=1,IF(AND(ISNUMBER(F431),ISNUMBER(K431)),1,0),0)</f>
        <v>0</v>
      </c>
      <c r="Z431" s="53" t="n">
        <f aca="false">IF(U431&gt;=Settings!$C$8,1,0)</f>
        <v>0</v>
      </c>
      <c r="AA431" s="53" t="n">
        <f aca="false">IF(S431=1,IF(J431="Listed / Publicado",0,1),0)</f>
        <v>0</v>
      </c>
      <c r="AB431" s="53" t="n">
        <f aca="false">IF(T431=1,IF(ISNUMBER(L431),L431-G431,0),0)</f>
        <v>0</v>
      </c>
      <c r="AC431" s="53" t="n">
        <f aca="false">IF(S431=1,IF(ISNUMBER(I431),I431-G431,0),0)</f>
        <v>0</v>
      </c>
    </row>
    <row r="432" customFormat="false" ht="15" hidden="false" customHeight="false" outlineLevel="0" collapsed="false">
      <c r="B432" s="54"/>
      <c r="C432" s="55"/>
      <c r="D432" s="55"/>
      <c r="E432" s="55"/>
      <c r="F432" s="56"/>
      <c r="G432" s="57"/>
      <c r="H432" s="55"/>
      <c r="I432" s="57"/>
      <c r="J432" s="54"/>
      <c r="K432" s="56"/>
      <c r="L432" s="57"/>
      <c r="M432" s="54"/>
      <c r="N432" s="58" t="str">
        <f aca="false">IF(S432=1,IF(U432&lt;0,"",U432),IF(Y432=1,X432,""))</f>
        <v/>
      </c>
      <c r="O432" s="59" t="str">
        <f aca="false">IF(S432=1,IF(ISNUMBER(I432),I432-G432,""),"")</f>
        <v/>
      </c>
      <c r="P432" s="59" t="str">
        <f aca="false">IF(T432=1,IF(ISNUMBER(L432),L432-G432,""),"")</f>
        <v/>
      </c>
      <c r="Q432" s="60" t="str">
        <f aca="false">IF(C432="","",IF(T432=1,"✔ SOLD / VENDIDO",IF(S432=0,"— CLOSED / CERRADO",IF(U432&lt;0,"⚠ ADD DATE / AGREGA FECHA",IF(U432&gt;=Settings!$C$8,"⚠ STALE – REPRICE / ESTANCADO",IF(U432&gt;=Settings!$C$7,"● WATCH / VIGILAR","✔ FRESH / RECIENTE"))))))</f>
        <v/>
      </c>
      <c r="S432" s="53" t="n">
        <f aca="false">IF(C432="",0,IF(OR(J432="",J432="In Stock / En Inventario",J432="Listed / Publicado"),1,0))</f>
        <v>0</v>
      </c>
      <c r="T432" s="53" t="n">
        <f aca="false">IF(C432="",0,IF(J432="Sold / Vendido",1,0))</f>
        <v>0</v>
      </c>
      <c r="U432" s="53" t="n">
        <f aca="true">IF(S432=1,IF(ISNUMBER(F432),TODAY()-F432,-1),-1)</f>
        <v>-1</v>
      </c>
      <c r="V432" s="53" t="n">
        <f aca="false">IF(U432&lt;0,IF(S432=1,5,0),IF(U432&lt;=30,1,IF(U432&lt;=60,2,IF(U432&lt;=90,3,4))))</f>
        <v>0</v>
      </c>
      <c r="W432" s="53" t="n">
        <f aca="false">IF(U432&lt;0,-1000000000000000,U432+ROW()/1000000)</f>
        <v>-1000000000000000</v>
      </c>
      <c r="X432" s="53" t="n">
        <f aca="false">IF(T432=1,IF(AND(ISNUMBER(F432),ISNUMBER(K432)),K432-F432,0),0)</f>
        <v>0</v>
      </c>
      <c r="Y432" s="53" t="n">
        <f aca="false">IF(T432=1,IF(AND(ISNUMBER(F432),ISNUMBER(K432)),1,0),0)</f>
        <v>0</v>
      </c>
      <c r="Z432" s="53" t="n">
        <f aca="false">IF(U432&gt;=Settings!$C$8,1,0)</f>
        <v>0</v>
      </c>
      <c r="AA432" s="53" t="n">
        <f aca="false">IF(S432=1,IF(J432="Listed / Publicado",0,1),0)</f>
        <v>0</v>
      </c>
      <c r="AB432" s="53" t="n">
        <f aca="false">IF(T432=1,IF(ISNUMBER(L432),L432-G432,0),0)</f>
        <v>0</v>
      </c>
      <c r="AC432" s="53" t="n">
        <f aca="false">IF(S432=1,IF(ISNUMBER(I432),I432-G432,0),0)</f>
        <v>0</v>
      </c>
    </row>
    <row r="433" customFormat="false" ht="15" hidden="false" customHeight="false" outlineLevel="0" collapsed="false">
      <c r="B433" s="54"/>
      <c r="C433" s="55"/>
      <c r="D433" s="55"/>
      <c r="E433" s="55"/>
      <c r="F433" s="56"/>
      <c r="G433" s="57"/>
      <c r="H433" s="55"/>
      <c r="I433" s="57"/>
      <c r="J433" s="54"/>
      <c r="K433" s="56"/>
      <c r="L433" s="57"/>
      <c r="M433" s="54"/>
      <c r="N433" s="58" t="str">
        <f aca="false">IF(S433=1,IF(U433&lt;0,"",U433),IF(Y433=1,X433,""))</f>
        <v/>
      </c>
      <c r="O433" s="59" t="str">
        <f aca="false">IF(S433=1,IF(ISNUMBER(I433),I433-G433,""),"")</f>
        <v/>
      </c>
      <c r="P433" s="59" t="str">
        <f aca="false">IF(T433=1,IF(ISNUMBER(L433),L433-G433,""),"")</f>
        <v/>
      </c>
      <c r="Q433" s="60" t="str">
        <f aca="false">IF(C433="","",IF(T433=1,"✔ SOLD / VENDIDO",IF(S433=0,"— CLOSED / CERRADO",IF(U433&lt;0,"⚠ ADD DATE / AGREGA FECHA",IF(U433&gt;=Settings!$C$8,"⚠ STALE – REPRICE / ESTANCADO",IF(U433&gt;=Settings!$C$7,"● WATCH / VIGILAR","✔ FRESH / RECIENTE"))))))</f>
        <v/>
      </c>
      <c r="S433" s="53" t="n">
        <f aca="false">IF(C433="",0,IF(OR(J433="",J433="In Stock / En Inventario",J433="Listed / Publicado"),1,0))</f>
        <v>0</v>
      </c>
      <c r="T433" s="53" t="n">
        <f aca="false">IF(C433="",0,IF(J433="Sold / Vendido",1,0))</f>
        <v>0</v>
      </c>
      <c r="U433" s="53" t="n">
        <f aca="true">IF(S433=1,IF(ISNUMBER(F433),TODAY()-F433,-1),-1)</f>
        <v>-1</v>
      </c>
      <c r="V433" s="53" t="n">
        <f aca="false">IF(U433&lt;0,IF(S433=1,5,0),IF(U433&lt;=30,1,IF(U433&lt;=60,2,IF(U433&lt;=90,3,4))))</f>
        <v>0</v>
      </c>
      <c r="W433" s="53" t="n">
        <f aca="false">IF(U433&lt;0,-1000000000000000,U433+ROW()/1000000)</f>
        <v>-1000000000000000</v>
      </c>
      <c r="X433" s="53" t="n">
        <f aca="false">IF(T433=1,IF(AND(ISNUMBER(F433),ISNUMBER(K433)),K433-F433,0),0)</f>
        <v>0</v>
      </c>
      <c r="Y433" s="53" t="n">
        <f aca="false">IF(T433=1,IF(AND(ISNUMBER(F433),ISNUMBER(K433)),1,0),0)</f>
        <v>0</v>
      </c>
      <c r="Z433" s="53" t="n">
        <f aca="false">IF(U433&gt;=Settings!$C$8,1,0)</f>
        <v>0</v>
      </c>
      <c r="AA433" s="53" t="n">
        <f aca="false">IF(S433=1,IF(J433="Listed / Publicado",0,1),0)</f>
        <v>0</v>
      </c>
      <c r="AB433" s="53" t="n">
        <f aca="false">IF(T433=1,IF(ISNUMBER(L433),L433-G433,0),0)</f>
        <v>0</v>
      </c>
      <c r="AC433" s="53" t="n">
        <f aca="false">IF(S433=1,IF(ISNUMBER(I433),I433-G433,0),0)</f>
        <v>0</v>
      </c>
    </row>
    <row r="434" customFormat="false" ht="15" hidden="false" customHeight="false" outlineLevel="0" collapsed="false">
      <c r="B434" s="54"/>
      <c r="C434" s="55"/>
      <c r="D434" s="55"/>
      <c r="E434" s="55"/>
      <c r="F434" s="56"/>
      <c r="G434" s="57"/>
      <c r="H434" s="55"/>
      <c r="I434" s="57"/>
      <c r="J434" s="54"/>
      <c r="K434" s="56"/>
      <c r="L434" s="57"/>
      <c r="M434" s="54"/>
      <c r="N434" s="58" t="str">
        <f aca="false">IF(S434=1,IF(U434&lt;0,"",U434),IF(Y434=1,X434,""))</f>
        <v/>
      </c>
      <c r="O434" s="59" t="str">
        <f aca="false">IF(S434=1,IF(ISNUMBER(I434),I434-G434,""),"")</f>
        <v/>
      </c>
      <c r="P434" s="59" t="str">
        <f aca="false">IF(T434=1,IF(ISNUMBER(L434),L434-G434,""),"")</f>
        <v/>
      </c>
      <c r="Q434" s="60" t="str">
        <f aca="false">IF(C434="","",IF(T434=1,"✔ SOLD / VENDIDO",IF(S434=0,"— CLOSED / CERRADO",IF(U434&lt;0,"⚠ ADD DATE / AGREGA FECHA",IF(U434&gt;=Settings!$C$8,"⚠ STALE – REPRICE / ESTANCADO",IF(U434&gt;=Settings!$C$7,"● WATCH / VIGILAR","✔ FRESH / RECIENTE"))))))</f>
        <v/>
      </c>
      <c r="S434" s="53" t="n">
        <f aca="false">IF(C434="",0,IF(OR(J434="",J434="In Stock / En Inventario",J434="Listed / Publicado"),1,0))</f>
        <v>0</v>
      </c>
      <c r="T434" s="53" t="n">
        <f aca="false">IF(C434="",0,IF(J434="Sold / Vendido",1,0))</f>
        <v>0</v>
      </c>
      <c r="U434" s="53" t="n">
        <f aca="true">IF(S434=1,IF(ISNUMBER(F434),TODAY()-F434,-1),-1)</f>
        <v>-1</v>
      </c>
      <c r="V434" s="53" t="n">
        <f aca="false">IF(U434&lt;0,IF(S434=1,5,0),IF(U434&lt;=30,1,IF(U434&lt;=60,2,IF(U434&lt;=90,3,4))))</f>
        <v>0</v>
      </c>
      <c r="W434" s="53" t="n">
        <f aca="false">IF(U434&lt;0,-1000000000000000,U434+ROW()/1000000)</f>
        <v>-1000000000000000</v>
      </c>
      <c r="X434" s="53" t="n">
        <f aca="false">IF(T434=1,IF(AND(ISNUMBER(F434),ISNUMBER(K434)),K434-F434,0),0)</f>
        <v>0</v>
      </c>
      <c r="Y434" s="53" t="n">
        <f aca="false">IF(T434=1,IF(AND(ISNUMBER(F434),ISNUMBER(K434)),1,0),0)</f>
        <v>0</v>
      </c>
      <c r="Z434" s="53" t="n">
        <f aca="false">IF(U434&gt;=Settings!$C$8,1,0)</f>
        <v>0</v>
      </c>
      <c r="AA434" s="53" t="n">
        <f aca="false">IF(S434=1,IF(J434="Listed / Publicado",0,1),0)</f>
        <v>0</v>
      </c>
      <c r="AB434" s="53" t="n">
        <f aca="false">IF(T434=1,IF(ISNUMBER(L434),L434-G434,0),0)</f>
        <v>0</v>
      </c>
      <c r="AC434" s="53" t="n">
        <f aca="false">IF(S434=1,IF(ISNUMBER(I434),I434-G434,0),0)</f>
        <v>0</v>
      </c>
    </row>
    <row r="435" customFormat="false" ht="15" hidden="false" customHeight="false" outlineLevel="0" collapsed="false">
      <c r="B435" s="54"/>
      <c r="C435" s="55"/>
      <c r="D435" s="55"/>
      <c r="E435" s="55"/>
      <c r="F435" s="56"/>
      <c r="G435" s="57"/>
      <c r="H435" s="55"/>
      <c r="I435" s="57"/>
      <c r="J435" s="54"/>
      <c r="K435" s="56"/>
      <c r="L435" s="57"/>
      <c r="M435" s="54"/>
      <c r="N435" s="58" t="str">
        <f aca="false">IF(S435=1,IF(U435&lt;0,"",U435),IF(Y435=1,X435,""))</f>
        <v/>
      </c>
      <c r="O435" s="59" t="str">
        <f aca="false">IF(S435=1,IF(ISNUMBER(I435),I435-G435,""),"")</f>
        <v/>
      </c>
      <c r="P435" s="59" t="str">
        <f aca="false">IF(T435=1,IF(ISNUMBER(L435),L435-G435,""),"")</f>
        <v/>
      </c>
      <c r="Q435" s="60" t="str">
        <f aca="false">IF(C435="","",IF(T435=1,"✔ SOLD / VENDIDO",IF(S435=0,"— CLOSED / CERRADO",IF(U435&lt;0,"⚠ ADD DATE / AGREGA FECHA",IF(U435&gt;=Settings!$C$8,"⚠ STALE – REPRICE / ESTANCADO",IF(U435&gt;=Settings!$C$7,"● WATCH / VIGILAR","✔ FRESH / RECIENTE"))))))</f>
        <v/>
      </c>
      <c r="S435" s="53" t="n">
        <f aca="false">IF(C435="",0,IF(OR(J435="",J435="In Stock / En Inventario",J435="Listed / Publicado"),1,0))</f>
        <v>0</v>
      </c>
      <c r="T435" s="53" t="n">
        <f aca="false">IF(C435="",0,IF(J435="Sold / Vendido",1,0))</f>
        <v>0</v>
      </c>
      <c r="U435" s="53" t="n">
        <f aca="true">IF(S435=1,IF(ISNUMBER(F435),TODAY()-F435,-1),-1)</f>
        <v>-1</v>
      </c>
      <c r="V435" s="53" t="n">
        <f aca="false">IF(U435&lt;0,IF(S435=1,5,0),IF(U435&lt;=30,1,IF(U435&lt;=60,2,IF(U435&lt;=90,3,4))))</f>
        <v>0</v>
      </c>
      <c r="W435" s="53" t="n">
        <f aca="false">IF(U435&lt;0,-1000000000000000,U435+ROW()/1000000)</f>
        <v>-1000000000000000</v>
      </c>
      <c r="X435" s="53" t="n">
        <f aca="false">IF(T435=1,IF(AND(ISNUMBER(F435),ISNUMBER(K435)),K435-F435,0),0)</f>
        <v>0</v>
      </c>
      <c r="Y435" s="53" t="n">
        <f aca="false">IF(T435=1,IF(AND(ISNUMBER(F435),ISNUMBER(K435)),1,0),0)</f>
        <v>0</v>
      </c>
      <c r="Z435" s="53" t="n">
        <f aca="false">IF(U435&gt;=Settings!$C$8,1,0)</f>
        <v>0</v>
      </c>
      <c r="AA435" s="53" t="n">
        <f aca="false">IF(S435=1,IF(J435="Listed / Publicado",0,1),0)</f>
        <v>0</v>
      </c>
      <c r="AB435" s="53" t="n">
        <f aca="false">IF(T435=1,IF(ISNUMBER(L435),L435-G435,0),0)</f>
        <v>0</v>
      </c>
      <c r="AC435" s="53" t="n">
        <f aca="false">IF(S435=1,IF(ISNUMBER(I435),I435-G435,0),0)</f>
        <v>0</v>
      </c>
    </row>
    <row r="436" customFormat="false" ht="15" hidden="false" customHeight="false" outlineLevel="0" collapsed="false">
      <c r="B436" s="54"/>
      <c r="C436" s="55"/>
      <c r="D436" s="55"/>
      <c r="E436" s="55"/>
      <c r="F436" s="56"/>
      <c r="G436" s="57"/>
      <c r="H436" s="55"/>
      <c r="I436" s="57"/>
      <c r="J436" s="54"/>
      <c r="K436" s="56"/>
      <c r="L436" s="57"/>
      <c r="M436" s="54"/>
      <c r="N436" s="58" t="str">
        <f aca="false">IF(S436=1,IF(U436&lt;0,"",U436),IF(Y436=1,X436,""))</f>
        <v/>
      </c>
      <c r="O436" s="59" t="str">
        <f aca="false">IF(S436=1,IF(ISNUMBER(I436),I436-G436,""),"")</f>
        <v/>
      </c>
      <c r="P436" s="59" t="str">
        <f aca="false">IF(T436=1,IF(ISNUMBER(L436),L436-G436,""),"")</f>
        <v/>
      </c>
      <c r="Q436" s="60" t="str">
        <f aca="false">IF(C436="","",IF(T436=1,"✔ SOLD / VENDIDO",IF(S436=0,"— CLOSED / CERRADO",IF(U436&lt;0,"⚠ ADD DATE / AGREGA FECHA",IF(U436&gt;=Settings!$C$8,"⚠ STALE – REPRICE / ESTANCADO",IF(U436&gt;=Settings!$C$7,"● WATCH / VIGILAR","✔ FRESH / RECIENTE"))))))</f>
        <v/>
      </c>
      <c r="S436" s="53" t="n">
        <f aca="false">IF(C436="",0,IF(OR(J436="",J436="In Stock / En Inventario",J436="Listed / Publicado"),1,0))</f>
        <v>0</v>
      </c>
      <c r="T436" s="53" t="n">
        <f aca="false">IF(C436="",0,IF(J436="Sold / Vendido",1,0))</f>
        <v>0</v>
      </c>
      <c r="U436" s="53" t="n">
        <f aca="true">IF(S436=1,IF(ISNUMBER(F436),TODAY()-F436,-1),-1)</f>
        <v>-1</v>
      </c>
      <c r="V436" s="53" t="n">
        <f aca="false">IF(U436&lt;0,IF(S436=1,5,0),IF(U436&lt;=30,1,IF(U436&lt;=60,2,IF(U436&lt;=90,3,4))))</f>
        <v>0</v>
      </c>
      <c r="W436" s="53" t="n">
        <f aca="false">IF(U436&lt;0,-1000000000000000,U436+ROW()/1000000)</f>
        <v>-1000000000000000</v>
      </c>
      <c r="X436" s="53" t="n">
        <f aca="false">IF(T436=1,IF(AND(ISNUMBER(F436),ISNUMBER(K436)),K436-F436,0),0)</f>
        <v>0</v>
      </c>
      <c r="Y436" s="53" t="n">
        <f aca="false">IF(T436=1,IF(AND(ISNUMBER(F436),ISNUMBER(K436)),1,0),0)</f>
        <v>0</v>
      </c>
      <c r="Z436" s="53" t="n">
        <f aca="false">IF(U436&gt;=Settings!$C$8,1,0)</f>
        <v>0</v>
      </c>
      <c r="AA436" s="53" t="n">
        <f aca="false">IF(S436=1,IF(J436="Listed / Publicado",0,1),0)</f>
        <v>0</v>
      </c>
      <c r="AB436" s="53" t="n">
        <f aca="false">IF(T436=1,IF(ISNUMBER(L436),L436-G436,0),0)</f>
        <v>0</v>
      </c>
      <c r="AC436" s="53" t="n">
        <f aca="false">IF(S436=1,IF(ISNUMBER(I436),I436-G436,0),0)</f>
        <v>0</v>
      </c>
    </row>
    <row r="437" customFormat="false" ht="15" hidden="false" customHeight="false" outlineLevel="0" collapsed="false">
      <c r="B437" s="54"/>
      <c r="C437" s="55"/>
      <c r="D437" s="55"/>
      <c r="E437" s="55"/>
      <c r="F437" s="56"/>
      <c r="G437" s="57"/>
      <c r="H437" s="55"/>
      <c r="I437" s="57"/>
      <c r="J437" s="54"/>
      <c r="K437" s="56"/>
      <c r="L437" s="57"/>
      <c r="M437" s="54"/>
      <c r="N437" s="58" t="str">
        <f aca="false">IF(S437=1,IF(U437&lt;0,"",U437),IF(Y437=1,X437,""))</f>
        <v/>
      </c>
      <c r="O437" s="59" t="str">
        <f aca="false">IF(S437=1,IF(ISNUMBER(I437),I437-G437,""),"")</f>
        <v/>
      </c>
      <c r="P437" s="59" t="str">
        <f aca="false">IF(T437=1,IF(ISNUMBER(L437),L437-G437,""),"")</f>
        <v/>
      </c>
      <c r="Q437" s="60" t="str">
        <f aca="false">IF(C437="","",IF(T437=1,"✔ SOLD / VENDIDO",IF(S437=0,"— CLOSED / CERRADO",IF(U437&lt;0,"⚠ ADD DATE / AGREGA FECHA",IF(U437&gt;=Settings!$C$8,"⚠ STALE – REPRICE / ESTANCADO",IF(U437&gt;=Settings!$C$7,"● WATCH / VIGILAR","✔ FRESH / RECIENTE"))))))</f>
        <v/>
      </c>
      <c r="S437" s="53" t="n">
        <f aca="false">IF(C437="",0,IF(OR(J437="",J437="In Stock / En Inventario",J437="Listed / Publicado"),1,0))</f>
        <v>0</v>
      </c>
      <c r="T437" s="53" t="n">
        <f aca="false">IF(C437="",0,IF(J437="Sold / Vendido",1,0))</f>
        <v>0</v>
      </c>
      <c r="U437" s="53" t="n">
        <f aca="true">IF(S437=1,IF(ISNUMBER(F437),TODAY()-F437,-1),-1)</f>
        <v>-1</v>
      </c>
      <c r="V437" s="53" t="n">
        <f aca="false">IF(U437&lt;0,IF(S437=1,5,0),IF(U437&lt;=30,1,IF(U437&lt;=60,2,IF(U437&lt;=90,3,4))))</f>
        <v>0</v>
      </c>
      <c r="W437" s="53" t="n">
        <f aca="false">IF(U437&lt;0,-1000000000000000,U437+ROW()/1000000)</f>
        <v>-1000000000000000</v>
      </c>
      <c r="X437" s="53" t="n">
        <f aca="false">IF(T437=1,IF(AND(ISNUMBER(F437),ISNUMBER(K437)),K437-F437,0),0)</f>
        <v>0</v>
      </c>
      <c r="Y437" s="53" t="n">
        <f aca="false">IF(T437=1,IF(AND(ISNUMBER(F437),ISNUMBER(K437)),1,0),0)</f>
        <v>0</v>
      </c>
      <c r="Z437" s="53" t="n">
        <f aca="false">IF(U437&gt;=Settings!$C$8,1,0)</f>
        <v>0</v>
      </c>
      <c r="AA437" s="53" t="n">
        <f aca="false">IF(S437=1,IF(J437="Listed / Publicado",0,1),0)</f>
        <v>0</v>
      </c>
      <c r="AB437" s="53" t="n">
        <f aca="false">IF(T437=1,IF(ISNUMBER(L437),L437-G437,0),0)</f>
        <v>0</v>
      </c>
      <c r="AC437" s="53" t="n">
        <f aca="false">IF(S437=1,IF(ISNUMBER(I437),I437-G437,0),0)</f>
        <v>0</v>
      </c>
    </row>
    <row r="438" customFormat="false" ht="15" hidden="false" customHeight="false" outlineLevel="0" collapsed="false">
      <c r="B438" s="54"/>
      <c r="C438" s="55"/>
      <c r="D438" s="55"/>
      <c r="E438" s="55"/>
      <c r="F438" s="56"/>
      <c r="G438" s="57"/>
      <c r="H438" s="55"/>
      <c r="I438" s="57"/>
      <c r="J438" s="54"/>
      <c r="K438" s="56"/>
      <c r="L438" s="57"/>
      <c r="M438" s="54"/>
      <c r="N438" s="58" t="str">
        <f aca="false">IF(S438=1,IF(U438&lt;0,"",U438),IF(Y438=1,X438,""))</f>
        <v/>
      </c>
      <c r="O438" s="59" t="str">
        <f aca="false">IF(S438=1,IF(ISNUMBER(I438),I438-G438,""),"")</f>
        <v/>
      </c>
      <c r="P438" s="59" t="str">
        <f aca="false">IF(T438=1,IF(ISNUMBER(L438),L438-G438,""),"")</f>
        <v/>
      </c>
      <c r="Q438" s="60" t="str">
        <f aca="false">IF(C438="","",IF(T438=1,"✔ SOLD / VENDIDO",IF(S438=0,"— CLOSED / CERRADO",IF(U438&lt;0,"⚠ ADD DATE / AGREGA FECHA",IF(U438&gt;=Settings!$C$8,"⚠ STALE – REPRICE / ESTANCADO",IF(U438&gt;=Settings!$C$7,"● WATCH / VIGILAR","✔ FRESH / RECIENTE"))))))</f>
        <v/>
      </c>
      <c r="S438" s="53" t="n">
        <f aca="false">IF(C438="",0,IF(OR(J438="",J438="In Stock / En Inventario",J438="Listed / Publicado"),1,0))</f>
        <v>0</v>
      </c>
      <c r="T438" s="53" t="n">
        <f aca="false">IF(C438="",0,IF(J438="Sold / Vendido",1,0))</f>
        <v>0</v>
      </c>
      <c r="U438" s="53" t="n">
        <f aca="true">IF(S438=1,IF(ISNUMBER(F438),TODAY()-F438,-1),-1)</f>
        <v>-1</v>
      </c>
      <c r="V438" s="53" t="n">
        <f aca="false">IF(U438&lt;0,IF(S438=1,5,0),IF(U438&lt;=30,1,IF(U438&lt;=60,2,IF(U438&lt;=90,3,4))))</f>
        <v>0</v>
      </c>
      <c r="W438" s="53" t="n">
        <f aca="false">IF(U438&lt;0,-1000000000000000,U438+ROW()/1000000)</f>
        <v>-1000000000000000</v>
      </c>
      <c r="X438" s="53" t="n">
        <f aca="false">IF(T438=1,IF(AND(ISNUMBER(F438),ISNUMBER(K438)),K438-F438,0),0)</f>
        <v>0</v>
      </c>
      <c r="Y438" s="53" t="n">
        <f aca="false">IF(T438=1,IF(AND(ISNUMBER(F438),ISNUMBER(K438)),1,0),0)</f>
        <v>0</v>
      </c>
      <c r="Z438" s="53" t="n">
        <f aca="false">IF(U438&gt;=Settings!$C$8,1,0)</f>
        <v>0</v>
      </c>
      <c r="AA438" s="53" t="n">
        <f aca="false">IF(S438=1,IF(J438="Listed / Publicado",0,1),0)</f>
        <v>0</v>
      </c>
      <c r="AB438" s="53" t="n">
        <f aca="false">IF(T438=1,IF(ISNUMBER(L438),L438-G438,0),0)</f>
        <v>0</v>
      </c>
      <c r="AC438" s="53" t="n">
        <f aca="false">IF(S438=1,IF(ISNUMBER(I438),I438-G438,0),0)</f>
        <v>0</v>
      </c>
    </row>
    <row r="439" customFormat="false" ht="15" hidden="false" customHeight="false" outlineLevel="0" collapsed="false">
      <c r="B439" s="54"/>
      <c r="C439" s="55"/>
      <c r="D439" s="55"/>
      <c r="E439" s="55"/>
      <c r="F439" s="56"/>
      <c r="G439" s="57"/>
      <c r="H439" s="55"/>
      <c r="I439" s="57"/>
      <c r="J439" s="54"/>
      <c r="K439" s="56"/>
      <c r="L439" s="57"/>
      <c r="M439" s="54"/>
      <c r="N439" s="58" t="str">
        <f aca="false">IF(S439=1,IF(U439&lt;0,"",U439),IF(Y439=1,X439,""))</f>
        <v/>
      </c>
      <c r="O439" s="59" t="str">
        <f aca="false">IF(S439=1,IF(ISNUMBER(I439),I439-G439,""),"")</f>
        <v/>
      </c>
      <c r="P439" s="59" t="str">
        <f aca="false">IF(T439=1,IF(ISNUMBER(L439),L439-G439,""),"")</f>
        <v/>
      </c>
      <c r="Q439" s="60" t="str">
        <f aca="false">IF(C439="","",IF(T439=1,"✔ SOLD / VENDIDO",IF(S439=0,"— CLOSED / CERRADO",IF(U439&lt;0,"⚠ ADD DATE / AGREGA FECHA",IF(U439&gt;=Settings!$C$8,"⚠ STALE – REPRICE / ESTANCADO",IF(U439&gt;=Settings!$C$7,"● WATCH / VIGILAR","✔ FRESH / RECIENTE"))))))</f>
        <v/>
      </c>
      <c r="S439" s="53" t="n">
        <f aca="false">IF(C439="",0,IF(OR(J439="",J439="In Stock / En Inventario",J439="Listed / Publicado"),1,0))</f>
        <v>0</v>
      </c>
      <c r="T439" s="53" t="n">
        <f aca="false">IF(C439="",0,IF(J439="Sold / Vendido",1,0))</f>
        <v>0</v>
      </c>
      <c r="U439" s="53" t="n">
        <f aca="true">IF(S439=1,IF(ISNUMBER(F439),TODAY()-F439,-1),-1)</f>
        <v>-1</v>
      </c>
      <c r="V439" s="53" t="n">
        <f aca="false">IF(U439&lt;0,IF(S439=1,5,0),IF(U439&lt;=30,1,IF(U439&lt;=60,2,IF(U439&lt;=90,3,4))))</f>
        <v>0</v>
      </c>
      <c r="W439" s="53" t="n">
        <f aca="false">IF(U439&lt;0,-1000000000000000,U439+ROW()/1000000)</f>
        <v>-1000000000000000</v>
      </c>
      <c r="X439" s="53" t="n">
        <f aca="false">IF(T439=1,IF(AND(ISNUMBER(F439),ISNUMBER(K439)),K439-F439,0),0)</f>
        <v>0</v>
      </c>
      <c r="Y439" s="53" t="n">
        <f aca="false">IF(T439=1,IF(AND(ISNUMBER(F439),ISNUMBER(K439)),1,0),0)</f>
        <v>0</v>
      </c>
      <c r="Z439" s="53" t="n">
        <f aca="false">IF(U439&gt;=Settings!$C$8,1,0)</f>
        <v>0</v>
      </c>
      <c r="AA439" s="53" t="n">
        <f aca="false">IF(S439=1,IF(J439="Listed / Publicado",0,1),0)</f>
        <v>0</v>
      </c>
      <c r="AB439" s="53" t="n">
        <f aca="false">IF(T439=1,IF(ISNUMBER(L439),L439-G439,0),0)</f>
        <v>0</v>
      </c>
      <c r="AC439" s="53" t="n">
        <f aca="false">IF(S439=1,IF(ISNUMBER(I439),I439-G439,0),0)</f>
        <v>0</v>
      </c>
    </row>
    <row r="440" customFormat="false" ht="15" hidden="false" customHeight="false" outlineLevel="0" collapsed="false">
      <c r="B440" s="54"/>
      <c r="C440" s="55"/>
      <c r="D440" s="55"/>
      <c r="E440" s="55"/>
      <c r="F440" s="56"/>
      <c r="G440" s="57"/>
      <c r="H440" s="55"/>
      <c r="I440" s="57"/>
      <c r="J440" s="54"/>
      <c r="K440" s="56"/>
      <c r="L440" s="57"/>
      <c r="M440" s="54"/>
      <c r="N440" s="58" t="str">
        <f aca="false">IF(S440=1,IF(U440&lt;0,"",U440),IF(Y440=1,X440,""))</f>
        <v/>
      </c>
      <c r="O440" s="59" t="str">
        <f aca="false">IF(S440=1,IF(ISNUMBER(I440),I440-G440,""),"")</f>
        <v/>
      </c>
      <c r="P440" s="59" t="str">
        <f aca="false">IF(T440=1,IF(ISNUMBER(L440),L440-G440,""),"")</f>
        <v/>
      </c>
      <c r="Q440" s="60" t="str">
        <f aca="false">IF(C440="","",IF(T440=1,"✔ SOLD / VENDIDO",IF(S440=0,"— CLOSED / CERRADO",IF(U440&lt;0,"⚠ ADD DATE / AGREGA FECHA",IF(U440&gt;=Settings!$C$8,"⚠ STALE – REPRICE / ESTANCADO",IF(U440&gt;=Settings!$C$7,"● WATCH / VIGILAR","✔ FRESH / RECIENTE"))))))</f>
        <v/>
      </c>
      <c r="S440" s="53" t="n">
        <f aca="false">IF(C440="",0,IF(OR(J440="",J440="In Stock / En Inventario",J440="Listed / Publicado"),1,0))</f>
        <v>0</v>
      </c>
      <c r="T440" s="53" t="n">
        <f aca="false">IF(C440="",0,IF(J440="Sold / Vendido",1,0))</f>
        <v>0</v>
      </c>
      <c r="U440" s="53" t="n">
        <f aca="true">IF(S440=1,IF(ISNUMBER(F440),TODAY()-F440,-1),-1)</f>
        <v>-1</v>
      </c>
      <c r="V440" s="53" t="n">
        <f aca="false">IF(U440&lt;0,IF(S440=1,5,0),IF(U440&lt;=30,1,IF(U440&lt;=60,2,IF(U440&lt;=90,3,4))))</f>
        <v>0</v>
      </c>
      <c r="W440" s="53" t="n">
        <f aca="false">IF(U440&lt;0,-1000000000000000,U440+ROW()/1000000)</f>
        <v>-1000000000000000</v>
      </c>
      <c r="X440" s="53" t="n">
        <f aca="false">IF(T440=1,IF(AND(ISNUMBER(F440),ISNUMBER(K440)),K440-F440,0),0)</f>
        <v>0</v>
      </c>
      <c r="Y440" s="53" t="n">
        <f aca="false">IF(T440=1,IF(AND(ISNUMBER(F440),ISNUMBER(K440)),1,0),0)</f>
        <v>0</v>
      </c>
      <c r="Z440" s="53" t="n">
        <f aca="false">IF(U440&gt;=Settings!$C$8,1,0)</f>
        <v>0</v>
      </c>
      <c r="AA440" s="53" t="n">
        <f aca="false">IF(S440=1,IF(J440="Listed / Publicado",0,1),0)</f>
        <v>0</v>
      </c>
      <c r="AB440" s="53" t="n">
        <f aca="false">IF(T440=1,IF(ISNUMBER(L440),L440-G440,0),0)</f>
        <v>0</v>
      </c>
      <c r="AC440" s="53" t="n">
        <f aca="false">IF(S440=1,IF(ISNUMBER(I440),I440-G440,0),0)</f>
        <v>0</v>
      </c>
    </row>
    <row r="441" customFormat="false" ht="15" hidden="false" customHeight="false" outlineLevel="0" collapsed="false">
      <c r="B441" s="54"/>
      <c r="C441" s="55"/>
      <c r="D441" s="55"/>
      <c r="E441" s="55"/>
      <c r="F441" s="56"/>
      <c r="G441" s="57"/>
      <c r="H441" s="55"/>
      <c r="I441" s="57"/>
      <c r="J441" s="54"/>
      <c r="K441" s="56"/>
      <c r="L441" s="57"/>
      <c r="M441" s="54"/>
      <c r="N441" s="58" t="str">
        <f aca="false">IF(S441=1,IF(U441&lt;0,"",U441),IF(Y441=1,X441,""))</f>
        <v/>
      </c>
      <c r="O441" s="59" t="str">
        <f aca="false">IF(S441=1,IF(ISNUMBER(I441),I441-G441,""),"")</f>
        <v/>
      </c>
      <c r="P441" s="59" t="str">
        <f aca="false">IF(T441=1,IF(ISNUMBER(L441),L441-G441,""),"")</f>
        <v/>
      </c>
      <c r="Q441" s="60" t="str">
        <f aca="false">IF(C441="","",IF(T441=1,"✔ SOLD / VENDIDO",IF(S441=0,"— CLOSED / CERRADO",IF(U441&lt;0,"⚠ ADD DATE / AGREGA FECHA",IF(U441&gt;=Settings!$C$8,"⚠ STALE – REPRICE / ESTANCADO",IF(U441&gt;=Settings!$C$7,"● WATCH / VIGILAR","✔ FRESH / RECIENTE"))))))</f>
        <v/>
      </c>
      <c r="S441" s="53" t="n">
        <f aca="false">IF(C441="",0,IF(OR(J441="",J441="In Stock / En Inventario",J441="Listed / Publicado"),1,0))</f>
        <v>0</v>
      </c>
      <c r="T441" s="53" t="n">
        <f aca="false">IF(C441="",0,IF(J441="Sold / Vendido",1,0))</f>
        <v>0</v>
      </c>
      <c r="U441" s="53" t="n">
        <f aca="true">IF(S441=1,IF(ISNUMBER(F441),TODAY()-F441,-1),-1)</f>
        <v>-1</v>
      </c>
      <c r="V441" s="53" t="n">
        <f aca="false">IF(U441&lt;0,IF(S441=1,5,0),IF(U441&lt;=30,1,IF(U441&lt;=60,2,IF(U441&lt;=90,3,4))))</f>
        <v>0</v>
      </c>
      <c r="W441" s="53" t="n">
        <f aca="false">IF(U441&lt;0,-1000000000000000,U441+ROW()/1000000)</f>
        <v>-1000000000000000</v>
      </c>
      <c r="X441" s="53" t="n">
        <f aca="false">IF(T441=1,IF(AND(ISNUMBER(F441),ISNUMBER(K441)),K441-F441,0),0)</f>
        <v>0</v>
      </c>
      <c r="Y441" s="53" t="n">
        <f aca="false">IF(T441=1,IF(AND(ISNUMBER(F441),ISNUMBER(K441)),1,0),0)</f>
        <v>0</v>
      </c>
      <c r="Z441" s="53" t="n">
        <f aca="false">IF(U441&gt;=Settings!$C$8,1,0)</f>
        <v>0</v>
      </c>
      <c r="AA441" s="53" t="n">
        <f aca="false">IF(S441=1,IF(J441="Listed / Publicado",0,1),0)</f>
        <v>0</v>
      </c>
      <c r="AB441" s="53" t="n">
        <f aca="false">IF(T441=1,IF(ISNUMBER(L441),L441-G441,0),0)</f>
        <v>0</v>
      </c>
      <c r="AC441" s="53" t="n">
        <f aca="false">IF(S441=1,IF(ISNUMBER(I441),I441-G441,0),0)</f>
        <v>0</v>
      </c>
    </row>
    <row r="442" customFormat="false" ht="15" hidden="false" customHeight="false" outlineLevel="0" collapsed="false">
      <c r="B442" s="54"/>
      <c r="C442" s="55"/>
      <c r="D442" s="55"/>
      <c r="E442" s="55"/>
      <c r="F442" s="56"/>
      <c r="G442" s="57"/>
      <c r="H442" s="55"/>
      <c r="I442" s="57"/>
      <c r="J442" s="54"/>
      <c r="K442" s="56"/>
      <c r="L442" s="57"/>
      <c r="M442" s="54"/>
      <c r="N442" s="58" t="str">
        <f aca="false">IF(S442=1,IF(U442&lt;0,"",U442),IF(Y442=1,X442,""))</f>
        <v/>
      </c>
      <c r="O442" s="59" t="str">
        <f aca="false">IF(S442=1,IF(ISNUMBER(I442),I442-G442,""),"")</f>
        <v/>
      </c>
      <c r="P442" s="59" t="str">
        <f aca="false">IF(T442=1,IF(ISNUMBER(L442),L442-G442,""),"")</f>
        <v/>
      </c>
      <c r="Q442" s="60" t="str">
        <f aca="false">IF(C442="","",IF(T442=1,"✔ SOLD / VENDIDO",IF(S442=0,"— CLOSED / CERRADO",IF(U442&lt;0,"⚠ ADD DATE / AGREGA FECHA",IF(U442&gt;=Settings!$C$8,"⚠ STALE – REPRICE / ESTANCADO",IF(U442&gt;=Settings!$C$7,"● WATCH / VIGILAR","✔ FRESH / RECIENTE"))))))</f>
        <v/>
      </c>
      <c r="S442" s="53" t="n">
        <f aca="false">IF(C442="",0,IF(OR(J442="",J442="In Stock / En Inventario",J442="Listed / Publicado"),1,0))</f>
        <v>0</v>
      </c>
      <c r="T442" s="53" t="n">
        <f aca="false">IF(C442="",0,IF(J442="Sold / Vendido",1,0))</f>
        <v>0</v>
      </c>
      <c r="U442" s="53" t="n">
        <f aca="true">IF(S442=1,IF(ISNUMBER(F442),TODAY()-F442,-1),-1)</f>
        <v>-1</v>
      </c>
      <c r="V442" s="53" t="n">
        <f aca="false">IF(U442&lt;0,IF(S442=1,5,0),IF(U442&lt;=30,1,IF(U442&lt;=60,2,IF(U442&lt;=90,3,4))))</f>
        <v>0</v>
      </c>
      <c r="W442" s="53" t="n">
        <f aca="false">IF(U442&lt;0,-1000000000000000,U442+ROW()/1000000)</f>
        <v>-1000000000000000</v>
      </c>
      <c r="X442" s="53" t="n">
        <f aca="false">IF(T442=1,IF(AND(ISNUMBER(F442),ISNUMBER(K442)),K442-F442,0),0)</f>
        <v>0</v>
      </c>
      <c r="Y442" s="53" t="n">
        <f aca="false">IF(T442=1,IF(AND(ISNUMBER(F442),ISNUMBER(K442)),1,0),0)</f>
        <v>0</v>
      </c>
      <c r="Z442" s="53" t="n">
        <f aca="false">IF(U442&gt;=Settings!$C$8,1,0)</f>
        <v>0</v>
      </c>
      <c r="AA442" s="53" t="n">
        <f aca="false">IF(S442=1,IF(J442="Listed / Publicado",0,1),0)</f>
        <v>0</v>
      </c>
      <c r="AB442" s="53" t="n">
        <f aca="false">IF(T442=1,IF(ISNUMBER(L442),L442-G442,0),0)</f>
        <v>0</v>
      </c>
      <c r="AC442" s="53" t="n">
        <f aca="false">IF(S442=1,IF(ISNUMBER(I442),I442-G442,0),0)</f>
        <v>0</v>
      </c>
    </row>
    <row r="443" customFormat="false" ht="15" hidden="false" customHeight="false" outlineLevel="0" collapsed="false">
      <c r="B443" s="54"/>
      <c r="C443" s="55"/>
      <c r="D443" s="55"/>
      <c r="E443" s="55"/>
      <c r="F443" s="56"/>
      <c r="G443" s="57"/>
      <c r="H443" s="55"/>
      <c r="I443" s="57"/>
      <c r="J443" s="54"/>
      <c r="K443" s="56"/>
      <c r="L443" s="57"/>
      <c r="M443" s="54"/>
      <c r="N443" s="58" t="str">
        <f aca="false">IF(S443=1,IF(U443&lt;0,"",U443),IF(Y443=1,X443,""))</f>
        <v/>
      </c>
      <c r="O443" s="59" t="str">
        <f aca="false">IF(S443=1,IF(ISNUMBER(I443),I443-G443,""),"")</f>
        <v/>
      </c>
      <c r="P443" s="59" t="str">
        <f aca="false">IF(T443=1,IF(ISNUMBER(L443),L443-G443,""),"")</f>
        <v/>
      </c>
      <c r="Q443" s="60" t="str">
        <f aca="false">IF(C443="","",IF(T443=1,"✔ SOLD / VENDIDO",IF(S443=0,"— CLOSED / CERRADO",IF(U443&lt;0,"⚠ ADD DATE / AGREGA FECHA",IF(U443&gt;=Settings!$C$8,"⚠ STALE – REPRICE / ESTANCADO",IF(U443&gt;=Settings!$C$7,"● WATCH / VIGILAR","✔ FRESH / RECIENTE"))))))</f>
        <v/>
      </c>
      <c r="S443" s="53" t="n">
        <f aca="false">IF(C443="",0,IF(OR(J443="",J443="In Stock / En Inventario",J443="Listed / Publicado"),1,0))</f>
        <v>0</v>
      </c>
      <c r="T443" s="53" t="n">
        <f aca="false">IF(C443="",0,IF(J443="Sold / Vendido",1,0))</f>
        <v>0</v>
      </c>
      <c r="U443" s="53" t="n">
        <f aca="true">IF(S443=1,IF(ISNUMBER(F443),TODAY()-F443,-1),-1)</f>
        <v>-1</v>
      </c>
      <c r="V443" s="53" t="n">
        <f aca="false">IF(U443&lt;0,IF(S443=1,5,0),IF(U443&lt;=30,1,IF(U443&lt;=60,2,IF(U443&lt;=90,3,4))))</f>
        <v>0</v>
      </c>
      <c r="W443" s="53" t="n">
        <f aca="false">IF(U443&lt;0,-1000000000000000,U443+ROW()/1000000)</f>
        <v>-1000000000000000</v>
      </c>
      <c r="X443" s="53" t="n">
        <f aca="false">IF(T443=1,IF(AND(ISNUMBER(F443),ISNUMBER(K443)),K443-F443,0),0)</f>
        <v>0</v>
      </c>
      <c r="Y443" s="53" t="n">
        <f aca="false">IF(T443=1,IF(AND(ISNUMBER(F443),ISNUMBER(K443)),1,0),0)</f>
        <v>0</v>
      </c>
      <c r="Z443" s="53" t="n">
        <f aca="false">IF(U443&gt;=Settings!$C$8,1,0)</f>
        <v>0</v>
      </c>
      <c r="AA443" s="53" t="n">
        <f aca="false">IF(S443=1,IF(J443="Listed / Publicado",0,1),0)</f>
        <v>0</v>
      </c>
      <c r="AB443" s="53" t="n">
        <f aca="false">IF(T443=1,IF(ISNUMBER(L443),L443-G443,0),0)</f>
        <v>0</v>
      </c>
      <c r="AC443" s="53" t="n">
        <f aca="false">IF(S443=1,IF(ISNUMBER(I443),I443-G443,0),0)</f>
        <v>0</v>
      </c>
    </row>
    <row r="444" customFormat="false" ht="15" hidden="false" customHeight="false" outlineLevel="0" collapsed="false">
      <c r="B444" s="54"/>
      <c r="C444" s="55"/>
      <c r="D444" s="55"/>
      <c r="E444" s="55"/>
      <c r="F444" s="56"/>
      <c r="G444" s="57"/>
      <c r="H444" s="55"/>
      <c r="I444" s="57"/>
      <c r="J444" s="54"/>
      <c r="K444" s="56"/>
      <c r="L444" s="57"/>
      <c r="M444" s="54"/>
      <c r="N444" s="58" t="str">
        <f aca="false">IF(S444=1,IF(U444&lt;0,"",U444),IF(Y444=1,X444,""))</f>
        <v/>
      </c>
      <c r="O444" s="59" t="str">
        <f aca="false">IF(S444=1,IF(ISNUMBER(I444),I444-G444,""),"")</f>
        <v/>
      </c>
      <c r="P444" s="59" t="str">
        <f aca="false">IF(T444=1,IF(ISNUMBER(L444),L444-G444,""),"")</f>
        <v/>
      </c>
      <c r="Q444" s="60" t="str">
        <f aca="false">IF(C444="","",IF(T444=1,"✔ SOLD / VENDIDO",IF(S444=0,"— CLOSED / CERRADO",IF(U444&lt;0,"⚠ ADD DATE / AGREGA FECHA",IF(U444&gt;=Settings!$C$8,"⚠ STALE – REPRICE / ESTANCADO",IF(U444&gt;=Settings!$C$7,"● WATCH / VIGILAR","✔ FRESH / RECIENTE"))))))</f>
        <v/>
      </c>
      <c r="S444" s="53" t="n">
        <f aca="false">IF(C444="",0,IF(OR(J444="",J444="In Stock / En Inventario",J444="Listed / Publicado"),1,0))</f>
        <v>0</v>
      </c>
      <c r="T444" s="53" t="n">
        <f aca="false">IF(C444="",0,IF(J444="Sold / Vendido",1,0))</f>
        <v>0</v>
      </c>
      <c r="U444" s="53" t="n">
        <f aca="true">IF(S444=1,IF(ISNUMBER(F444),TODAY()-F444,-1),-1)</f>
        <v>-1</v>
      </c>
      <c r="V444" s="53" t="n">
        <f aca="false">IF(U444&lt;0,IF(S444=1,5,0),IF(U444&lt;=30,1,IF(U444&lt;=60,2,IF(U444&lt;=90,3,4))))</f>
        <v>0</v>
      </c>
      <c r="W444" s="53" t="n">
        <f aca="false">IF(U444&lt;0,-1000000000000000,U444+ROW()/1000000)</f>
        <v>-1000000000000000</v>
      </c>
      <c r="X444" s="53" t="n">
        <f aca="false">IF(T444=1,IF(AND(ISNUMBER(F444),ISNUMBER(K444)),K444-F444,0),0)</f>
        <v>0</v>
      </c>
      <c r="Y444" s="53" t="n">
        <f aca="false">IF(T444=1,IF(AND(ISNUMBER(F444),ISNUMBER(K444)),1,0),0)</f>
        <v>0</v>
      </c>
      <c r="Z444" s="53" t="n">
        <f aca="false">IF(U444&gt;=Settings!$C$8,1,0)</f>
        <v>0</v>
      </c>
      <c r="AA444" s="53" t="n">
        <f aca="false">IF(S444=1,IF(J444="Listed / Publicado",0,1),0)</f>
        <v>0</v>
      </c>
      <c r="AB444" s="53" t="n">
        <f aca="false">IF(T444=1,IF(ISNUMBER(L444),L444-G444,0),0)</f>
        <v>0</v>
      </c>
      <c r="AC444" s="53" t="n">
        <f aca="false">IF(S444=1,IF(ISNUMBER(I444),I444-G444,0),0)</f>
        <v>0</v>
      </c>
    </row>
    <row r="445" customFormat="false" ht="15" hidden="false" customHeight="false" outlineLevel="0" collapsed="false">
      <c r="B445" s="54"/>
      <c r="C445" s="55"/>
      <c r="D445" s="55"/>
      <c r="E445" s="55"/>
      <c r="F445" s="56"/>
      <c r="G445" s="57"/>
      <c r="H445" s="55"/>
      <c r="I445" s="57"/>
      <c r="J445" s="54"/>
      <c r="K445" s="56"/>
      <c r="L445" s="57"/>
      <c r="M445" s="54"/>
      <c r="N445" s="58" t="str">
        <f aca="false">IF(S445=1,IF(U445&lt;0,"",U445),IF(Y445=1,X445,""))</f>
        <v/>
      </c>
      <c r="O445" s="59" t="str">
        <f aca="false">IF(S445=1,IF(ISNUMBER(I445),I445-G445,""),"")</f>
        <v/>
      </c>
      <c r="P445" s="59" t="str">
        <f aca="false">IF(T445=1,IF(ISNUMBER(L445),L445-G445,""),"")</f>
        <v/>
      </c>
      <c r="Q445" s="60" t="str">
        <f aca="false">IF(C445="","",IF(T445=1,"✔ SOLD / VENDIDO",IF(S445=0,"— CLOSED / CERRADO",IF(U445&lt;0,"⚠ ADD DATE / AGREGA FECHA",IF(U445&gt;=Settings!$C$8,"⚠ STALE – REPRICE / ESTANCADO",IF(U445&gt;=Settings!$C$7,"● WATCH / VIGILAR","✔ FRESH / RECIENTE"))))))</f>
        <v/>
      </c>
      <c r="S445" s="53" t="n">
        <f aca="false">IF(C445="",0,IF(OR(J445="",J445="In Stock / En Inventario",J445="Listed / Publicado"),1,0))</f>
        <v>0</v>
      </c>
      <c r="T445" s="53" t="n">
        <f aca="false">IF(C445="",0,IF(J445="Sold / Vendido",1,0))</f>
        <v>0</v>
      </c>
      <c r="U445" s="53" t="n">
        <f aca="true">IF(S445=1,IF(ISNUMBER(F445),TODAY()-F445,-1),-1)</f>
        <v>-1</v>
      </c>
      <c r="V445" s="53" t="n">
        <f aca="false">IF(U445&lt;0,IF(S445=1,5,0),IF(U445&lt;=30,1,IF(U445&lt;=60,2,IF(U445&lt;=90,3,4))))</f>
        <v>0</v>
      </c>
      <c r="W445" s="53" t="n">
        <f aca="false">IF(U445&lt;0,-1000000000000000,U445+ROW()/1000000)</f>
        <v>-1000000000000000</v>
      </c>
      <c r="X445" s="53" t="n">
        <f aca="false">IF(T445=1,IF(AND(ISNUMBER(F445),ISNUMBER(K445)),K445-F445,0),0)</f>
        <v>0</v>
      </c>
      <c r="Y445" s="53" t="n">
        <f aca="false">IF(T445=1,IF(AND(ISNUMBER(F445),ISNUMBER(K445)),1,0),0)</f>
        <v>0</v>
      </c>
      <c r="Z445" s="53" t="n">
        <f aca="false">IF(U445&gt;=Settings!$C$8,1,0)</f>
        <v>0</v>
      </c>
      <c r="AA445" s="53" t="n">
        <f aca="false">IF(S445=1,IF(J445="Listed / Publicado",0,1),0)</f>
        <v>0</v>
      </c>
      <c r="AB445" s="53" t="n">
        <f aca="false">IF(T445=1,IF(ISNUMBER(L445),L445-G445,0),0)</f>
        <v>0</v>
      </c>
      <c r="AC445" s="53" t="n">
        <f aca="false">IF(S445=1,IF(ISNUMBER(I445),I445-G445,0),0)</f>
        <v>0</v>
      </c>
    </row>
    <row r="446" customFormat="false" ht="15" hidden="false" customHeight="false" outlineLevel="0" collapsed="false">
      <c r="B446" s="54"/>
      <c r="C446" s="55"/>
      <c r="D446" s="55"/>
      <c r="E446" s="55"/>
      <c r="F446" s="56"/>
      <c r="G446" s="57"/>
      <c r="H446" s="55"/>
      <c r="I446" s="57"/>
      <c r="J446" s="54"/>
      <c r="K446" s="56"/>
      <c r="L446" s="57"/>
      <c r="M446" s="54"/>
      <c r="N446" s="58" t="str">
        <f aca="false">IF(S446=1,IF(U446&lt;0,"",U446),IF(Y446=1,X446,""))</f>
        <v/>
      </c>
      <c r="O446" s="59" t="str">
        <f aca="false">IF(S446=1,IF(ISNUMBER(I446),I446-G446,""),"")</f>
        <v/>
      </c>
      <c r="P446" s="59" t="str">
        <f aca="false">IF(T446=1,IF(ISNUMBER(L446),L446-G446,""),"")</f>
        <v/>
      </c>
      <c r="Q446" s="60" t="str">
        <f aca="false">IF(C446="","",IF(T446=1,"✔ SOLD / VENDIDO",IF(S446=0,"— CLOSED / CERRADO",IF(U446&lt;0,"⚠ ADD DATE / AGREGA FECHA",IF(U446&gt;=Settings!$C$8,"⚠ STALE – REPRICE / ESTANCADO",IF(U446&gt;=Settings!$C$7,"● WATCH / VIGILAR","✔ FRESH / RECIENTE"))))))</f>
        <v/>
      </c>
      <c r="S446" s="53" t="n">
        <f aca="false">IF(C446="",0,IF(OR(J446="",J446="In Stock / En Inventario",J446="Listed / Publicado"),1,0))</f>
        <v>0</v>
      </c>
      <c r="T446" s="53" t="n">
        <f aca="false">IF(C446="",0,IF(J446="Sold / Vendido",1,0))</f>
        <v>0</v>
      </c>
      <c r="U446" s="53" t="n">
        <f aca="true">IF(S446=1,IF(ISNUMBER(F446),TODAY()-F446,-1),-1)</f>
        <v>-1</v>
      </c>
      <c r="V446" s="53" t="n">
        <f aca="false">IF(U446&lt;0,IF(S446=1,5,0),IF(U446&lt;=30,1,IF(U446&lt;=60,2,IF(U446&lt;=90,3,4))))</f>
        <v>0</v>
      </c>
      <c r="W446" s="53" t="n">
        <f aca="false">IF(U446&lt;0,-1000000000000000,U446+ROW()/1000000)</f>
        <v>-1000000000000000</v>
      </c>
      <c r="X446" s="53" t="n">
        <f aca="false">IF(T446=1,IF(AND(ISNUMBER(F446),ISNUMBER(K446)),K446-F446,0),0)</f>
        <v>0</v>
      </c>
      <c r="Y446" s="53" t="n">
        <f aca="false">IF(T446=1,IF(AND(ISNUMBER(F446),ISNUMBER(K446)),1,0),0)</f>
        <v>0</v>
      </c>
      <c r="Z446" s="53" t="n">
        <f aca="false">IF(U446&gt;=Settings!$C$8,1,0)</f>
        <v>0</v>
      </c>
      <c r="AA446" s="53" t="n">
        <f aca="false">IF(S446=1,IF(J446="Listed / Publicado",0,1),0)</f>
        <v>0</v>
      </c>
      <c r="AB446" s="53" t="n">
        <f aca="false">IF(T446=1,IF(ISNUMBER(L446),L446-G446,0),0)</f>
        <v>0</v>
      </c>
      <c r="AC446" s="53" t="n">
        <f aca="false">IF(S446=1,IF(ISNUMBER(I446),I446-G446,0),0)</f>
        <v>0</v>
      </c>
    </row>
    <row r="447" customFormat="false" ht="15" hidden="false" customHeight="false" outlineLevel="0" collapsed="false">
      <c r="B447" s="54"/>
      <c r="C447" s="55"/>
      <c r="D447" s="55"/>
      <c r="E447" s="55"/>
      <c r="F447" s="56"/>
      <c r="G447" s="57"/>
      <c r="H447" s="55"/>
      <c r="I447" s="57"/>
      <c r="J447" s="54"/>
      <c r="K447" s="56"/>
      <c r="L447" s="57"/>
      <c r="M447" s="54"/>
      <c r="N447" s="58" t="str">
        <f aca="false">IF(S447=1,IF(U447&lt;0,"",U447),IF(Y447=1,X447,""))</f>
        <v/>
      </c>
      <c r="O447" s="59" t="str">
        <f aca="false">IF(S447=1,IF(ISNUMBER(I447),I447-G447,""),"")</f>
        <v/>
      </c>
      <c r="P447" s="59" t="str">
        <f aca="false">IF(T447=1,IF(ISNUMBER(L447),L447-G447,""),"")</f>
        <v/>
      </c>
      <c r="Q447" s="60" t="str">
        <f aca="false">IF(C447="","",IF(T447=1,"✔ SOLD / VENDIDO",IF(S447=0,"— CLOSED / CERRADO",IF(U447&lt;0,"⚠ ADD DATE / AGREGA FECHA",IF(U447&gt;=Settings!$C$8,"⚠ STALE – REPRICE / ESTANCADO",IF(U447&gt;=Settings!$C$7,"● WATCH / VIGILAR","✔ FRESH / RECIENTE"))))))</f>
        <v/>
      </c>
      <c r="S447" s="53" t="n">
        <f aca="false">IF(C447="",0,IF(OR(J447="",J447="In Stock / En Inventario",J447="Listed / Publicado"),1,0))</f>
        <v>0</v>
      </c>
      <c r="T447" s="53" t="n">
        <f aca="false">IF(C447="",0,IF(J447="Sold / Vendido",1,0))</f>
        <v>0</v>
      </c>
      <c r="U447" s="53" t="n">
        <f aca="true">IF(S447=1,IF(ISNUMBER(F447),TODAY()-F447,-1),-1)</f>
        <v>-1</v>
      </c>
      <c r="V447" s="53" t="n">
        <f aca="false">IF(U447&lt;0,IF(S447=1,5,0),IF(U447&lt;=30,1,IF(U447&lt;=60,2,IF(U447&lt;=90,3,4))))</f>
        <v>0</v>
      </c>
      <c r="W447" s="53" t="n">
        <f aca="false">IF(U447&lt;0,-1000000000000000,U447+ROW()/1000000)</f>
        <v>-1000000000000000</v>
      </c>
      <c r="X447" s="53" t="n">
        <f aca="false">IF(T447=1,IF(AND(ISNUMBER(F447),ISNUMBER(K447)),K447-F447,0),0)</f>
        <v>0</v>
      </c>
      <c r="Y447" s="53" t="n">
        <f aca="false">IF(T447=1,IF(AND(ISNUMBER(F447),ISNUMBER(K447)),1,0),0)</f>
        <v>0</v>
      </c>
      <c r="Z447" s="53" t="n">
        <f aca="false">IF(U447&gt;=Settings!$C$8,1,0)</f>
        <v>0</v>
      </c>
      <c r="AA447" s="53" t="n">
        <f aca="false">IF(S447=1,IF(J447="Listed / Publicado",0,1),0)</f>
        <v>0</v>
      </c>
      <c r="AB447" s="53" t="n">
        <f aca="false">IF(T447=1,IF(ISNUMBER(L447),L447-G447,0),0)</f>
        <v>0</v>
      </c>
      <c r="AC447" s="53" t="n">
        <f aca="false">IF(S447=1,IF(ISNUMBER(I447),I447-G447,0),0)</f>
        <v>0</v>
      </c>
    </row>
    <row r="448" customFormat="false" ht="15" hidden="false" customHeight="false" outlineLevel="0" collapsed="false">
      <c r="B448" s="54"/>
      <c r="C448" s="55"/>
      <c r="D448" s="55"/>
      <c r="E448" s="55"/>
      <c r="F448" s="56"/>
      <c r="G448" s="57"/>
      <c r="H448" s="55"/>
      <c r="I448" s="57"/>
      <c r="J448" s="54"/>
      <c r="K448" s="56"/>
      <c r="L448" s="57"/>
      <c r="M448" s="54"/>
      <c r="N448" s="58" t="str">
        <f aca="false">IF(S448=1,IF(U448&lt;0,"",U448),IF(Y448=1,X448,""))</f>
        <v/>
      </c>
      <c r="O448" s="59" t="str">
        <f aca="false">IF(S448=1,IF(ISNUMBER(I448),I448-G448,""),"")</f>
        <v/>
      </c>
      <c r="P448" s="59" t="str">
        <f aca="false">IF(T448=1,IF(ISNUMBER(L448),L448-G448,""),"")</f>
        <v/>
      </c>
      <c r="Q448" s="60" t="str">
        <f aca="false">IF(C448="","",IF(T448=1,"✔ SOLD / VENDIDO",IF(S448=0,"— CLOSED / CERRADO",IF(U448&lt;0,"⚠ ADD DATE / AGREGA FECHA",IF(U448&gt;=Settings!$C$8,"⚠ STALE – REPRICE / ESTANCADO",IF(U448&gt;=Settings!$C$7,"● WATCH / VIGILAR","✔ FRESH / RECIENTE"))))))</f>
        <v/>
      </c>
      <c r="S448" s="53" t="n">
        <f aca="false">IF(C448="",0,IF(OR(J448="",J448="In Stock / En Inventario",J448="Listed / Publicado"),1,0))</f>
        <v>0</v>
      </c>
      <c r="T448" s="53" t="n">
        <f aca="false">IF(C448="",0,IF(J448="Sold / Vendido",1,0))</f>
        <v>0</v>
      </c>
      <c r="U448" s="53" t="n">
        <f aca="true">IF(S448=1,IF(ISNUMBER(F448),TODAY()-F448,-1),-1)</f>
        <v>-1</v>
      </c>
      <c r="V448" s="53" t="n">
        <f aca="false">IF(U448&lt;0,IF(S448=1,5,0),IF(U448&lt;=30,1,IF(U448&lt;=60,2,IF(U448&lt;=90,3,4))))</f>
        <v>0</v>
      </c>
      <c r="W448" s="53" t="n">
        <f aca="false">IF(U448&lt;0,-1000000000000000,U448+ROW()/1000000)</f>
        <v>-1000000000000000</v>
      </c>
      <c r="X448" s="53" t="n">
        <f aca="false">IF(T448=1,IF(AND(ISNUMBER(F448),ISNUMBER(K448)),K448-F448,0),0)</f>
        <v>0</v>
      </c>
      <c r="Y448" s="53" t="n">
        <f aca="false">IF(T448=1,IF(AND(ISNUMBER(F448),ISNUMBER(K448)),1,0),0)</f>
        <v>0</v>
      </c>
      <c r="Z448" s="53" t="n">
        <f aca="false">IF(U448&gt;=Settings!$C$8,1,0)</f>
        <v>0</v>
      </c>
      <c r="AA448" s="53" t="n">
        <f aca="false">IF(S448=1,IF(J448="Listed / Publicado",0,1),0)</f>
        <v>0</v>
      </c>
      <c r="AB448" s="53" t="n">
        <f aca="false">IF(T448=1,IF(ISNUMBER(L448),L448-G448,0),0)</f>
        <v>0</v>
      </c>
      <c r="AC448" s="53" t="n">
        <f aca="false">IF(S448=1,IF(ISNUMBER(I448),I448-G448,0),0)</f>
        <v>0</v>
      </c>
    </row>
    <row r="449" customFormat="false" ht="15" hidden="false" customHeight="false" outlineLevel="0" collapsed="false">
      <c r="B449" s="54"/>
      <c r="C449" s="55"/>
      <c r="D449" s="55"/>
      <c r="E449" s="55"/>
      <c r="F449" s="56"/>
      <c r="G449" s="57"/>
      <c r="H449" s="55"/>
      <c r="I449" s="57"/>
      <c r="J449" s="54"/>
      <c r="K449" s="56"/>
      <c r="L449" s="57"/>
      <c r="M449" s="54"/>
      <c r="N449" s="58" t="str">
        <f aca="false">IF(S449=1,IF(U449&lt;0,"",U449),IF(Y449=1,X449,""))</f>
        <v/>
      </c>
      <c r="O449" s="59" t="str">
        <f aca="false">IF(S449=1,IF(ISNUMBER(I449),I449-G449,""),"")</f>
        <v/>
      </c>
      <c r="P449" s="59" t="str">
        <f aca="false">IF(T449=1,IF(ISNUMBER(L449),L449-G449,""),"")</f>
        <v/>
      </c>
      <c r="Q449" s="60" t="str">
        <f aca="false">IF(C449="","",IF(T449=1,"✔ SOLD / VENDIDO",IF(S449=0,"— CLOSED / CERRADO",IF(U449&lt;0,"⚠ ADD DATE / AGREGA FECHA",IF(U449&gt;=Settings!$C$8,"⚠ STALE – REPRICE / ESTANCADO",IF(U449&gt;=Settings!$C$7,"● WATCH / VIGILAR","✔ FRESH / RECIENTE"))))))</f>
        <v/>
      </c>
      <c r="S449" s="53" t="n">
        <f aca="false">IF(C449="",0,IF(OR(J449="",J449="In Stock / En Inventario",J449="Listed / Publicado"),1,0))</f>
        <v>0</v>
      </c>
      <c r="T449" s="53" t="n">
        <f aca="false">IF(C449="",0,IF(J449="Sold / Vendido",1,0))</f>
        <v>0</v>
      </c>
      <c r="U449" s="53" t="n">
        <f aca="true">IF(S449=1,IF(ISNUMBER(F449),TODAY()-F449,-1),-1)</f>
        <v>-1</v>
      </c>
      <c r="V449" s="53" t="n">
        <f aca="false">IF(U449&lt;0,IF(S449=1,5,0),IF(U449&lt;=30,1,IF(U449&lt;=60,2,IF(U449&lt;=90,3,4))))</f>
        <v>0</v>
      </c>
      <c r="W449" s="53" t="n">
        <f aca="false">IF(U449&lt;0,-1000000000000000,U449+ROW()/1000000)</f>
        <v>-1000000000000000</v>
      </c>
      <c r="X449" s="53" t="n">
        <f aca="false">IF(T449=1,IF(AND(ISNUMBER(F449),ISNUMBER(K449)),K449-F449,0),0)</f>
        <v>0</v>
      </c>
      <c r="Y449" s="53" t="n">
        <f aca="false">IF(T449=1,IF(AND(ISNUMBER(F449),ISNUMBER(K449)),1,0),0)</f>
        <v>0</v>
      </c>
      <c r="Z449" s="53" t="n">
        <f aca="false">IF(U449&gt;=Settings!$C$8,1,0)</f>
        <v>0</v>
      </c>
      <c r="AA449" s="53" t="n">
        <f aca="false">IF(S449=1,IF(J449="Listed / Publicado",0,1),0)</f>
        <v>0</v>
      </c>
      <c r="AB449" s="53" t="n">
        <f aca="false">IF(T449=1,IF(ISNUMBER(L449),L449-G449,0),0)</f>
        <v>0</v>
      </c>
      <c r="AC449" s="53" t="n">
        <f aca="false">IF(S449=1,IF(ISNUMBER(I449),I449-G449,0),0)</f>
        <v>0</v>
      </c>
    </row>
    <row r="450" customFormat="false" ht="15" hidden="false" customHeight="false" outlineLevel="0" collapsed="false">
      <c r="B450" s="54"/>
      <c r="C450" s="55"/>
      <c r="D450" s="55"/>
      <c r="E450" s="55"/>
      <c r="F450" s="56"/>
      <c r="G450" s="57"/>
      <c r="H450" s="55"/>
      <c r="I450" s="57"/>
      <c r="J450" s="54"/>
      <c r="K450" s="56"/>
      <c r="L450" s="57"/>
      <c r="M450" s="54"/>
      <c r="N450" s="58" t="str">
        <f aca="false">IF(S450=1,IF(U450&lt;0,"",U450),IF(Y450=1,X450,""))</f>
        <v/>
      </c>
      <c r="O450" s="59" t="str">
        <f aca="false">IF(S450=1,IF(ISNUMBER(I450),I450-G450,""),"")</f>
        <v/>
      </c>
      <c r="P450" s="59" t="str">
        <f aca="false">IF(T450=1,IF(ISNUMBER(L450),L450-G450,""),"")</f>
        <v/>
      </c>
      <c r="Q450" s="60" t="str">
        <f aca="false">IF(C450="","",IF(T450=1,"✔ SOLD / VENDIDO",IF(S450=0,"— CLOSED / CERRADO",IF(U450&lt;0,"⚠ ADD DATE / AGREGA FECHA",IF(U450&gt;=Settings!$C$8,"⚠ STALE – REPRICE / ESTANCADO",IF(U450&gt;=Settings!$C$7,"● WATCH / VIGILAR","✔ FRESH / RECIENTE"))))))</f>
        <v/>
      </c>
      <c r="S450" s="53" t="n">
        <f aca="false">IF(C450="",0,IF(OR(J450="",J450="In Stock / En Inventario",J450="Listed / Publicado"),1,0))</f>
        <v>0</v>
      </c>
      <c r="T450" s="53" t="n">
        <f aca="false">IF(C450="",0,IF(J450="Sold / Vendido",1,0))</f>
        <v>0</v>
      </c>
      <c r="U450" s="53" t="n">
        <f aca="true">IF(S450=1,IF(ISNUMBER(F450),TODAY()-F450,-1),-1)</f>
        <v>-1</v>
      </c>
      <c r="V450" s="53" t="n">
        <f aca="false">IF(U450&lt;0,IF(S450=1,5,0),IF(U450&lt;=30,1,IF(U450&lt;=60,2,IF(U450&lt;=90,3,4))))</f>
        <v>0</v>
      </c>
      <c r="W450" s="53" t="n">
        <f aca="false">IF(U450&lt;0,-1000000000000000,U450+ROW()/1000000)</f>
        <v>-1000000000000000</v>
      </c>
      <c r="X450" s="53" t="n">
        <f aca="false">IF(T450=1,IF(AND(ISNUMBER(F450),ISNUMBER(K450)),K450-F450,0),0)</f>
        <v>0</v>
      </c>
      <c r="Y450" s="53" t="n">
        <f aca="false">IF(T450=1,IF(AND(ISNUMBER(F450),ISNUMBER(K450)),1,0),0)</f>
        <v>0</v>
      </c>
      <c r="Z450" s="53" t="n">
        <f aca="false">IF(U450&gt;=Settings!$C$8,1,0)</f>
        <v>0</v>
      </c>
      <c r="AA450" s="53" t="n">
        <f aca="false">IF(S450=1,IF(J450="Listed / Publicado",0,1),0)</f>
        <v>0</v>
      </c>
      <c r="AB450" s="53" t="n">
        <f aca="false">IF(T450=1,IF(ISNUMBER(L450),L450-G450,0),0)</f>
        <v>0</v>
      </c>
      <c r="AC450" s="53" t="n">
        <f aca="false">IF(S450=1,IF(ISNUMBER(I450),I450-G450,0),0)</f>
        <v>0</v>
      </c>
    </row>
    <row r="451" customFormat="false" ht="15" hidden="false" customHeight="false" outlineLevel="0" collapsed="false">
      <c r="B451" s="54"/>
      <c r="C451" s="55"/>
      <c r="D451" s="55"/>
      <c r="E451" s="55"/>
      <c r="F451" s="56"/>
      <c r="G451" s="57"/>
      <c r="H451" s="55"/>
      <c r="I451" s="57"/>
      <c r="J451" s="54"/>
      <c r="K451" s="56"/>
      <c r="L451" s="57"/>
      <c r="M451" s="54"/>
      <c r="N451" s="58" t="str">
        <f aca="false">IF(S451=1,IF(U451&lt;0,"",U451),IF(Y451=1,X451,""))</f>
        <v/>
      </c>
      <c r="O451" s="59" t="str">
        <f aca="false">IF(S451=1,IF(ISNUMBER(I451),I451-G451,""),"")</f>
        <v/>
      </c>
      <c r="P451" s="59" t="str">
        <f aca="false">IF(T451=1,IF(ISNUMBER(L451),L451-G451,""),"")</f>
        <v/>
      </c>
      <c r="Q451" s="60" t="str">
        <f aca="false">IF(C451="","",IF(T451=1,"✔ SOLD / VENDIDO",IF(S451=0,"— CLOSED / CERRADO",IF(U451&lt;0,"⚠ ADD DATE / AGREGA FECHA",IF(U451&gt;=Settings!$C$8,"⚠ STALE – REPRICE / ESTANCADO",IF(U451&gt;=Settings!$C$7,"● WATCH / VIGILAR","✔ FRESH / RECIENTE"))))))</f>
        <v/>
      </c>
      <c r="S451" s="53" t="n">
        <f aca="false">IF(C451="",0,IF(OR(J451="",J451="In Stock / En Inventario",J451="Listed / Publicado"),1,0))</f>
        <v>0</v>
      </c>
      <c r="T451" s="53" t="n">
        <f aca="false">IF(C451="",0,IF(J451="Sold / Vendido",1,0))</f>
        <v>0</v>
      </c>
      <c r="U451" s="53" t="n">
        <f aca="true">IF(S451=1,IF(ISNUMBER(F451),TODAY()-F451,-1),-1)</f>
        <v>-1</v>
      </c>
      <c r="V451" s="53" t="n">
        <f aca="false">IF(U451&lt;0,IF(S451=1,5,0),IF(U451&lt;=30,1,IF(U451&lt;=60,2,IF(U451&lt;=90,3,4))))</f>
        <v>0</v>
      </c>
      <c r="W451" s="53" t="n">
        <f aca="false">IF(U451&lt;0,-1000000000000000,U451+ROW()/1000000)</f>
        <v>-1000000000000000</v>
      </c>
      <c r="X451" s="53" t="n">
        <f aca="false">IF(T451=1,IF(AND(ISNUMBER(F451),ISNUMBER(K451)),K451-F451,0),0)</f>
        <v>0</v>
      </c>
      <c r="Y451" s="53" t="n">
        <f aca="false">IF(T451=1,IF(AND(ISNUMBER(F451),ISNUMBER(K451)),1,0),0)</f>
        <v>0</v>
      </c>
      <c r="Z451" s="53" t="n">
        <f aca="false">IF(U451&gt;=Settings!$C$8,1,0)</f>
        <v>0</v>
      </c>
      <c r="AA451" s="53" t="n">
        <f aca="false">IF(S451=1,IF(J451="Listed / Publicado",0,1),0)</f>
        <v>0</v>
      </c>
      <c r="AB451" s="53" t="n">
        <f aca="false">IF(T451=1,IF(ISNUMBER(L451),L451-G451,0),0)</f>
        <v>0</v>
      </c>
      <c r="AC451" s="53" t="n">
        <f aca="false">IF(S451=1,IF(ISNUMBER(I451),I451-G451,0),0)</f>
        <v>0</v>
      </c>
    </row>
    <row r="452" customFormat="false" ht="15" hidden="false" customHeight="false" outlineLevel="0" collapsed="false">
      <c r="B452" s="54"/>
      <c r="C452" s="55"/>
      <c r="D452" s="55"/>
      <c r="E452" s="55"/>
      <c r="F452" s="56"/>
      <c r="G452" s="57"/>
      <c r="H452" s="55"/>
      <c r="I452" s="57"/>
      <c r="J452" s="54"/>
      <c r="K452" s="56"/>
      <c r="L452" s="57"/>
      <c r="M452" s="54"/>
      <c r="N452" s="58" t="str">
        <f aca="false">IF(S452=1,IF(U452&lt;0,"",U452),IF(Y452=1,X452,""))</f>
        <v/>
      </c>
      <c r="O452" s="59" t="str">
        <f aca="false">IF(S452=1,IF(ISNUMBER(I452),I452-G452,""),"")</f>
        <v/>
      </c>
      <c r="P452" s="59" t="str">
        <f aca="false">IF(T452=1,IF(ISNUMBER(L452),L452-G452,""),"")</f>
        <v/>
      </c>
      <c r="Q452" s="60" t="str">
        <f aca="false">IF(C452="","",IF(T452=1,"✔ SOLD / VENDIDO",IF(S452=0,"— CLOSED / CERRADO",IF(U452&lt;0,"⚠ ADD DATE / AGREGA FECHA",IF(U452&gt;=Settings!$C$8,"⚠ STALE – REPRICE / ESTANCADO",IF(U452&gt;=Settings!$C$7,"● WATCH / VIGILAR","✔ FRESH / RECIENTE"))))))</f>
        <v/>
      </c>
      <c r="S452" s="53" t="n">
        <f aca="false">IF(C452="",0,IF(OR(J452="",J452="In Stock / En Inventario",J452="Listed / Publicado"),1,0))</f>
        <v>0</v>
      </c>
      <c r="T452" s="53" t="n">
        <f aca="false">IF(C452="",0,IF(J452="Sold / Vendido",1,0))</f>
        <v>0</v>
      </c>
      <c r="U452" s="53" t="n">
        <f aca="true">IF(S452=1,IF(ISNUMBER(F452),TODAY()-F452,-1),-1)</f>
        <v>-1</v>
      </c>
      <c r="V452" s="53" t="n">
        <f aca="false">IF(U452&lt;0,IF(S452=1,5,0),IF(U452&lt;=30,1,IF(U452&lt;=60,2,IF(U452&lt;=90,3,4))))</f>
        <v>0</v>
      </c>
      <c r="W452" s="53" t="n">
        <f aca="false">IF(U452&lt;0,-1000000000000000,U452+ROW()/1000000)</f>
        <v>-1000000000000000</v>
      </c>
      <c r="X452" s="53" t="n">
        <f aca="false">IF(T452=1,IF(AND(ISNUMBER(F452),ISNUMBER(K452)),K452-F452,0),0)</f>
        <v>0</v>
      </c>
      <c r="Y452" s="53" t="n">
        <f aca="false">IF(T452=1,IF(AND(ISNUMBER(F452),ISNUMBER(K452)),1,0),0)</f>
        <v>0</v>
      </c>
      <c r="Z452" s="53" t="n">
        <f aca="false">IF(U452&gt;=Settings!$C$8,1,0)</f>
        <v>0</v>
      </c>
      <c r="AA452" s="53" t="n">
        <f aca="false">IF(S452=1,IF(J452="Listed / Publicado",0,1),0)</f>
        <v>0</v>
      </c>
      <c r="AB452" s="53" t="n">
        <f aca="false">IF(T452=1,IF(ISNUMBER(L452),L452-G452,0),0)</f>
        <v>0</v>
      </c>
      <c r="AC452" s="53" t="n">
        <f aca="false">IF(S452=1,IF(ISNUMBER(I452),I452-G452,0),0)</f>
        <v>0</v>
      </c>
    </row>
    <row r="453" customFormat="false" ht="15" hidden="false" customHeight="false" outlineLevel="0" collapsed="false">
      <c r="B453" s="54"/>
      <c r="C453" s="55"/>
      <c r="D453" s="55"/>
      <c r="E453" s="55"/>
      <c r="F453" s="56"/>
      <c r="G453" s="57"/>
      <c r="H453" s="55"/>
      <c r="I453" s="57"/>
      <c r="J453" s="54"/>
      <c r="K453" s="56"/>
      <c r="L453" s="57"/>
      <c r="M453" s="54"/>
      <c r="N453" s="58" t="str">
        <f aca="false">IF(S453=1,IF(U453&lt;0,"",U453),IF(Y453=1,X453,""))</f>
        <v/>
      </c>
      <c r="O453" s="59" t="str">
        <f aca="false">IF(S453=1,IF(ISNUMBER(I453),I453-G453,""),"")</f>
        <v/>
      </c>
      <c r="P453" s="59" t="str">
        <f aca="false">IF(T453=1,IF(ISNUMBER(L453),L453-G453,""),"")</f>
        <v/>
      </c>
      <c r="Q453" s="60" t="str">
        <f aca="false">IF(C453="","",IF(T453=1,"✔ SOLD / VENDIDO",IF(S453=0,"— CLOSED / CERRADO",IF(U453&lt;0,"⚠ ADD DATE / AGREGA FECHA",IF(U453&gt;=Settings!$C$8,"⚠ STALE – REPRICE / ESTANCADO",IF(U453&gt;=Settings!$C$7,"● WATCH / VIGILAR","✔ FRESH / RECIENTE"))))))</f>
        <v/>
      </c>
      <c r="S453" s="53" t="n">
        <f aca="false">IF(C453="",0,IF(OR(J453="",J453="In Stock / En Inventario",J453="Listed / Publicado"),1,0))</f>
        <v>0</v>
      </c>
      <c r="T453" s="53" t="n">
        <f aca="false">IF(C453="",0,IF(J453="Sold / Vendido",1,0))</f>
        <v>0</v>
      </c>
      <c r="U453" s="53" t="n">
        <f aca="true">IF(S453=1,IF(ISNUMBER(F453),TODAY()-F453,-1),-1)</f>
        <v>-1</v>
      </c>
      <c r="V453" s="53" t="n">
        <f aca="false">IF(U453&lt;0,IF(S453=1,5,0),IF(U453&lt;=30,1,IF(U453&lt;=60,2,IF(U453&lt;=90,3,4))))</f>
        <v>0</v>
      </c>
      <c r="W453" s="53" t="n">
        <f aca="false">IF(U453&lt;0,-1000000000000000,U453+ROW()/1000000)</f>
        <v>-1000000000000000</v>
      </c>
      <c r="X453" s="53" t="n">
        <f aca="false">IF(T453=1,IF(AND(ISNUMBER(F453),ISNUMBER(K453)),K453-F453,0),0)</f>
        <v>0</v>
      </c>
      <c r="Y453" s="53" t="n">
        <f aca="false">IF(T453=1,IF(AND(ISNUMBER(F453),ISNUMBER(K453)),1,0),0)</f>
        <v>0</v>
      </c>
      <c r="Z453" s="53" t="n">
        <f aca="false">IF(U453&gt;=Settings!$C$8,1,0)</f>
        <v>0</v>
      </c>
      <c r="AA453" s="53" t="n">
        <f aca="false">IF(S453=1,IF(J453="Listed / Publicado",0,1),0)</f>
        <v>0</v>
      </c>
      <c r="AB453" s="53" t="n">
        <f aca="false">IF(T453=1,IF(ISNUMBER(L453),L453-G453,0),0)</f>
        <v>0</v>
      </c>
      <c r="AC453" s="53" t="n">
        <f aca="false">IF(S453=1,IF(ISNUMBER(I453),I453-G453,0),0)</f>
        <v>0</v>
      </c>
    </row>
    <row r="454" customFormat="false" ht="15" hidden="false" customHeight="false" outlineLevel="0" collapsed="false">
      <c r="B454" s="54"/>
      <c r="C454" s="55"/>
      <c r="D454" s="55"/>
      <c r="E454" s="55"/>
      <c r="F454" s="56"/>
      <c r="G454" s="57"/>
      <c r="H454" s="55"/>
      <c r="I454" s="57"/>
      <c r="J454" s="54"/>
      <c r="K454" s="56"/>
      <c r="L454" s="57"/>
      <c r="M454" s="54"/>
      <c r="N454" s="58" t="str">
        <f aca="false">IF(S454=1,IF(U454&lt;0,"",U454),IF(Y454=1,X454,""))</f>
        <v/>
      </c>
      <c r="O454" s="59" t="str">
        <f aca="false">IF(S454=1,IF(ISNUMBER(I454),I454-G454,""),"")</f>
        <v/>
      </c>
      <c r="P454" s="59" t="str">
        <f aca="false">IF(T454=1,IF(ISNUMBER(L454),L454-G454,""),"")</f>
        <v/>
      </c>
      <c r="Q454" s="60" t="str">
        <f aca="false">IF(C454="","",IF(T454=1,"✔ SOLD / VENDIDO",IF(S454=0,"— CLOSED / CERRADO",IF(U454&lt;0,"⚠ ADD DATE / AGREGA FECHA",IF(U454&gt;=Settings!$C$8,"⚠ STALE – REPRICE / ESTANCADO",IF(U454&gt;=Settings!$C$7,"● WATCH / VIGILAR","✔ FRESH / RECIENTE"))))))</f>
        <v/>
      </c>
      <c r="S454" s="53" t="n">
        <f aca="false">IF(C454="",0,IF(OR(J454="",J454="In Stock / En Inventario",J454="Listed / Publicado"),1,0))</f>
        <v>0</v>
      </c>
      <c r="T454" s="53" t="n">
        <f aca="false">IF(C454="",0,IF(J454="Sold / Vendido",1,0))</f>
        <v>0</v>
      </c>
      <c r="U454" s="53" t="n">
        <f aca="true">IF(S454=1,IF(ISNUMBER(F454),TODAY()-F454,-1),-1)</f>
        <v>-1</v>
      </c>
      <c r="V454" s="53" t="n">
        <f aca="false">IF(U454&lt;0,IF(S454=1,5,0),IF(U454&lt;=30,1,IF(U454&lt;=60,2,IF(U454&lt;=90,3,4))))</f>
        <v>0</v>
      </c>
      <c r="W454" s="53" t="n">
        <f aca="false">IF(U454&lt;0,-1000000000000000,U454+ROW()/1000000)</f>
        <v>-1000000000000000</v>
      </c>
      <c r="X454" s="53" t="n">
        <f aca="false">IF(T454=1,IF(AND(ISNUMBER(F454),ISNUMBER(K454)),K454-F454,0),0)</f>
        <v>0</v>
      </c>
      <c r="Y454" s="53" t="n">
        <f aca="false">IF(T454=1,IF(AND(ISNUMBER(F454),ISNUMBER(K454)),1,0),0)</f>
        <v>0</v>
      </c>
      <c r="Z454" s="53" t="n">
        <f aca="false">IF(U454&gt;=Settings!$C$8,1,0)</f>
        <v>0</v>
      </c>
      <c r="AA454" s="53" t="n">
        <f aca="false">IF(S454=1,IF(J454="Listed / Publicado",0,1),0)</f>
        <v>0</v>
      </c>
      <c r="AB454" s="53" t="n">
        <f aca="false">IF(T454=1,IF(ISNUMBER(L454),L454-G454,0),0)</f>
        <v>0</v>
      </c>
      <c r="AC454" s="53" t="n">
        <f aca="false">IF(S454=1,IF(ISNUMBER(I454),I454-G454,0),0)</f>
        <v>0</v>
      </c>
    </row>
    <row r="455" customFormat="false" ht="15" hidden="false" customHeight="false" outlineLevel="0" collapsed="false">
      <c r="B455" s="54"/>
      <c r="C455" s="55"/>
      <c r="D455" s="55"/>
      <c r="E455" s="55"/>
      <c r="F455" s="56"/>
      <c r="G455" s="57"/>
      <c r="H455" s="55"/>
      <c r="I455" s="57"/>
      <c r="J455" s="54"/>
      <c r="K455" s="56"/>
      <c r="L455" s="57"/>
      <c r="M455" s="54"/>
      <c r="N455" s="58" t="str">
        <f aca="false">IF(S455=1,IF(U455&lt;0,"",U455),IF(Y455=1,X455,""))</f>
        <v/>
      </c>
      <c r="O455" s="59" t="str">
        <f aca="false">IF(S455=1,IF(ISNUMBER(I455),I455-G455,""),"")</f>
        <v/>
      </c>
      <c r="P455" s="59" t="str">
        <f aca="false">IF(T455=1,IF(ISNUMBER(L455),L455-G455,""),"")</f>
        <v/>
      </c>
      <c r="Q455" s="60" t="str">
        <f aca="false">IF(C455="","",IF(T455=1,"✔ SOLD / VENDIDO",IF(S455=0,"— CLOSED / CERRADO",IF(U455&lt;0,"⚠ ADD DATE / AGREGA FECHA",IF(U455&gt;=Settings!$C$8,"⚠ STALE – REPRICE / ESTANCADO",IF(U455&gt;=Settings!$C$7,"● WATCH / VIGILAR","✔ FRESH / RECIENTE"))))))</f>
        <v/>
      </c>
      <c r="S455" s="53" t="n">
        <f aca="false">IF(C455="",0,IF(OR(J455="",J455="In Stock / En Inventario",J455="Listed / Publicado"),1,0))</f>
        <v>0</v>
      </c>
      <c r="T455" s="53" t="n">
        <f aca="false">IF(C455="",0,IF(J455="Sold / Vendido",1,0))</f>
        <v>0</v>
      </c>
      <c r="U455" s="53" t="n">
        <f aca="true">IF(S455=1,IF(ISNUMBER(F455),TODAY()-F455,-1),-1)</f>
        <v>-1</v>
      </c>
      <c r="V455" s="53" t="n">
        <f aca="false">IF(U455&lt;0,IF(S455=1,5,0),IF(U455&lt;=30,1,IF(U455&lt;=60,2,IF(U455&lt;=90,3,4))))</f>
        <v>0</v>
      </c>
      <c r="W455" s="53" t="n">
        <f aca="false">IF(U455&lt;0,-1000000000000000,U455+ROW()/1000000)</f>
        <v>-1000000000000000</v>
      </c>
      <c r="X455" s="53" t="n">
        <f aca="false">IF(T455=1,IF(AND(ISNUMBER(F455),ISNUMBER(K455)),K455-F455,0),0)</f>
        <v>0</v>
      </c>
      <c r="Y455" s="53" t="n">
        <f aca="false">IF(T455=1,IF(AND(ISNUMBER(F455),ISNUMBER(K455)),1,0),0)</f>
        <v>0</v>
      </c>
      <c r="Z455" s="53" t="n">
        <f aca="false">IF(U455&gt;=Settings!$C$8,1,0)</f>
        <v>0</v>
      </c>
      <c r="AA455" s="53" t="n">
        <f aca="false">IF(S455=1,IF(J455="Listed / Publicado",0,1),0)</f>
        <v>0</v>
      </c>
      <c r="AB455" s="53" t="n">
        <f aca="false">IF(T455=1,IF(ISNUMBER(L455),L455-G455,0),0)</f>
        <v>0</v>
      </c>
      <c r="AC455" s="53" t="n">
        <f aca="false">IF(S455=1,IF(ISNUMBER(I455),I455-G455,0),0)</f>
        <v>0</v>
      </c>
    </row>
    <row r="456" customFormat="false" ht="15" hidden="false" customHeight="false" outlineLevel="0" collapsed="false">
      <c r="B456" s="54"/>
      <c r="C456" s="55"/>
      <c r="D456" s="55"/>
      <c r="E456" s="55"/>
      <c r="F456" s="56"/>
      <c r="G456" s="57"/>
      <c r="H456" s="55"/>
      <c r="I456" s="57"/>
      <c r="J456" s="54"/>
      <c r="K456" s="56"/>
      <c r="L456" s="57"/>
      <c r="M456" s="54"/>
      <c r="N456" s="58" t="str">
        <f aca="false">IF(S456=1,IF(U456&lt;0,"",U456),IF(Y456=1,X456,""))</f>
        <v/>
      </c>
      <c r="O456" s="59" t="str">
        <f aca="false">IF(S456=1,IF(ISNUMBER(I456),I456-G456,""),"")</f>
        <v/>
      </c>
      <c r="P456" s="59" t="str">
        <f aca="false">IF(T456=1,IF(ISNUMBER(L456),L456-G456,""),"")</f>
        <v/>
      </c>
      <c r="Q456" s="60" t="str">
        <f aca="false">IF(C456="","",IF(T456=1,"✔ SOLD / VENDIDO",IF(S456=0,"— CLOSED / CERRADO",IF(U456&lt;0,"⚠ ADD DATE / AGREGA FECHA",IF(U456&gt;=Settings!$C$8,"⚠ STALE – REPRICE / ESTANCADO",IF(U456&gt;=Settings!$C$7,"● WATCH / VIGILAR","✔ FRESH / RECIENTE"))))))</f>
        <v/>
      </c>
      <c r="S456" s="53" t="n">
        <f aca="false">IF(C456="",0,IF(OR(J456="",J456="In Stock / En Inventario",J456="Listed / Publicado"),1,0))</f>
        <v>0</v>
      </c>
      <c r="T456" s="53" t="n">
        <f aca="false">IF(C456="",0,IF(J456="Sold / Vendido",1,0))</f>
        <v>0</v>
      </c>
      <c r="U456" s="53" t="n">
        <f aca="true">IF(S456=1,IF(ISNUMBER(F456),TODAY()-F456,-1),-1)</f>
        <v>-1</v>
      </c>
      <c r="V456" s="53" t="n">
        <f aca="false">IF(U456&lt;0,IF(S456=1,5,0),IF(U456&lt;=30,1,IF(U456&lt;=60,2,IF(U456&lt;=90,3,4))))</f>
        <v>0</v>
      </c>
      <c r="W456" s="53" t="n">
        <f aca="false">IF(U456&lt;0,-1000000000000000,U456+ROW()/1000000)</f>
        <v>-1000000000000000</v>
      </c>
      <c r="X456" s="53" t="n">
        <f aca="false">IF(T456=1,IF(AND(ISNUMBER(F456),ISNUMBER(K456)),K456-F456,0),0)</f>
        <v>0</v>
      </c>
      <c r="Y456" s="53" t="n">
        <f aca="false">IF(T456=1,IF(AND(ISNUMBER(F456),ISNUMBER(K456)),1,0),0)</f>
        <v>0</v>
      </c>
      <c r="Z456" s="53" t="n">
        <f aca="false">IF(U456&gt;=Settings!$C$8,1,0)</f>
        <v>0</v>
      </c>
      <c r="AA456" s="53" t="n">
        <f aca="false">IF(S456=1,IF(J456="Listed / Publicado",0,1),0)</f>
        <v>0</v>
      </c>
      <c r="AB456" s="53" t="n">
        <f aca="false">IF(T456=1,IF(ISNUMBER(L456),L456-G456,0),0)</f>
        <v>0</v>
      </c>
      <c r="AC456" s="53" t="n">
        <f aca="false">IF(S456=1,IF(ISNUMBER(I456),I456-G456,0),0)</f>
        <v>0</v>
      </c>
    </row>
    <row r="457" customFormat="false" ht="15" hidden="false" customHeight="false" outlineLevel="0" collapsed="false">
      <c r="B457" s="54"/>
      <c r="C457" s="55"/>
      <c r="D457" s="55"/>
      <c r="E457" s="55"/>
      <c r="F457" s="56"/>
      <c r="G457" s="57"/>
      <c r="H457" s="55"/>
      <c r="I457" s="57"/>
      <c r="J457" s="54"/>
      <c r="K457" s="56"/>
      <c r="L457" s="57"/>
      <c r="M457" s="54"/>
      <c r="N457" s="58" t="str">
        <f aca="false">IF(S457=1,IF(U457&lt;0,"",U457),IF(Y457=1,X457,""))</f>
        <v/>
      </c>
      <c r="O457" s="59" t="str">
        <f aca="false">IF(S457=1,IF(ISNUMBER(I457),I457-G457,""),"")</f>
        <v/>
      </c>
      <c r="P457" s="59" t="str">
        <f aca="false">IF(T457=1,IF(ISNUMBER(L457),L457-G457,""),"")</f>
        <v/>
      </c>
      <c r="Q457" s="60" t="str">
        <f aca="false">IF(C457="","",IF(T457=1,"✔ SOLD / VENDIDO",IF(S457=0,"— CLOSED / CERRADO",IF(U457&lt;0,"⚠ ADD DATE / AGREGA FECHA",IF(U457&gt;=Settings!$C$8,"⚠ STALE – REPRICE / ESTANCADO",IF(U457&gt;=Settings!$C$7,"● WATCH / VIGILAR","✔ FRESH / RECIENTE"))))))</f>
        <v/>
      </c>
      <c r="S457" s="53" t="n">
        <f aca="false">IF(C457="",0,IF(OR(J457="",J457="In Stock / En Inventario",J457="Listed / Publicado"),1,0))</f>
        <v>0</v>
      </c>
      <c r="T457" s="53" t="n">
        <f aca="false">IF(C457="",0,IF(J457="Sold / Vendido",1,0))</f>
        <v>0</v>
      </c>
      <c r="U457" s="53" t="n">
        <f aca="true">IF(S457=1,IF(ISNUMBER(F457),TODAY()-F457,-1),-1)</f>
        <v>-1</v>
      </c>
      <c r="V457" s="53" t="n">
        <f aca="false">IF(U457&lt;0,IF(S457=1,5,0),IF(U457&lt;=30,1,IF(U457&lt;=60,2,IF(U457&lt;=90,3,4))))</f>
        <v>0</v>
      </c>
      <c r="W457" s="53" t="n">
        <f aca="false">IF(U457&lt;0,-1000000000000000,U457+ROW()/1000000)</f>
        <v>-1000000000000000</v>
      </c>
      <c r="X457" s="53" t="n">
        <f aca="false">IF(T457=1,IF(AND(ISNUMBER(F457),ISNUMBER(K457)),K457-F457,0),0)</f>
        <v>0</v>
      </c>
      <c r="Y457" s="53" t="n">
        <f aca="false">IF(T457=1,IF(AND(ISNUMBER(F457),ISNUMBER(K457)),1,0),0)</f>
        <v>0</v>
      </c>
      <c r="Z457" s="53" t="n">
        <f aca="false">IF(U457&gt;=Settings!$C$8,1,0)</f>
        <v>0</v>
      </c>
      <c r="AA457" s="53" t="n">
        <f aca="false">IF(S457=1,IF(J457="Listed / Publicado",0,1),0)</f>
        <v>0</v>
      </c>
      <c r="AB457" s="53" t="n">
        <f aca="false">IF(T457=1,IF(ISNUMBER(L457),L457-G457,0),0)</f>
        <v>0</v>
      </c>
      <c r="AC457" s="53" t="n">
        <f aca="false">IF(S457=1,IF(ISNUMBER(I457),I457-G457,0),0)</f>
        <v>0</v>
      </c>
    </row>
    <row r="458" customFormat="false" ht="15" hidden="false" customHeight="false" outlineLevel="0" collapsed="false">
      <c r="B458" s="54"/>
      <c r="C458" s="55"/>
      <c r="D458" s="55"/>
      <c r="E458" s="55"/>
      <c r="F458" s="56"/>
      <c r="G458" s="57"/>
      <c r="H458" s="55"/>
      <c r="I458" s="57"/>
      <c r="J458" s="54"/>
      <c r="K458" s="56"/>
      <c r="L458" s="57"/>
      <c r="M458" s="54"/>
      <c r="N458" s="58" t="str">
        <f aca="false">IF(S458=1,IF(U458&lt;0,"",U458),IF(Y458=1,X458,""))</f>
        <v/>
      </c>
      <c r="O458" s="59" t="str">
        <f aca="false">IF(S458=1,IF(ISNUMBER(I458),I458-G458,""),"")</f>
        <v/>
      </c>
      <c r="P458" s="59" t="str">
        <f aca="false">IF(T458=1,IF(ISNUMBER(L458),L458-G458,""),"")</f>
        <v/>
      </c>
      <c r="Q458" s="60" t="str">
        <f aca="false">IF(C458="","",IF(T458=1,"✔ SOLD / VENDIDO",IF(S458=0,"— CLOSED / CERRADO",IF(U458&lt;0,"⚠ ADD DATE / AGREGA FECHA",IF(U458&gt;=Settings!$C$8,"⚠ STALE – REPRICE / ESTANCADO",IF(U458&gt;=Settings!$C$7,"● WATCH / VIGILAR","✔ FRESH / RECIENTE"))))))</f>
        <v/>
      </c>
      <c r="S458" s="53" t="n">
        <f aca="false">IF(C458="",0,IF(OR(J458="",J458="In Stock / En Inventario",J458="Listed / Publicado"),1,0))</f>
        <v>0</v>
      </c>
      <c r="T458" s="53" t="n">
        <f aca="false">IF(C458="",0,IF(J458="Sold / Vendido",1,0))</f>
        <v>0</v>
      </c>
      <c r="U458" s="53" t="n">
        <f aca="true">IF(S458=1,IF(ISNUMBER(F458),TODAY()-F458,-1),-1)</f>
        <v>-1</v>
      </c>
      <c r="V458" s="53" t="n">
        <f aca="false">IF(U458&lt;0,IF(S458=1,5,0),IF(U458&lt;=30,1,IF(U458&lt;=60,2,IF(U458&lt;=90,3,4))))</f>
        <v>0</v>
      </c>
      <c r="W458" s="53" t="n">
        <f aca="false">IF(U458&lt;0,-1000000000000000,U458+ROW()/1000000)</f>
        <v>-1000000000000000</v>
      </c>
      <c r="X458" s="53" t="n">
        <f aca="false">IF(T458=1,IF(AND(ISNUMBER(F458),ISNUMBER(K458)),K458-F458,0),0)</f>
        <v>0</v>
      </c>
      <c r="Y458" s="53" t="n">
        <f aca="false">IF(T458=1,IF(AND(ISNUMBER(F458),ISNUMBER(K458)),1,0),0)</f>
        <v>0</v>
      </c>
      <c r="Z458" s="53" t="n">
        <f aca="false">IF(U458&gt;=Settings!$C$8,1,0)</f>
        <v>0</v>
      </c>
      <c r="AA458" s="53" t="n">
        <f aca="false">IF(S458=1,IF(J458="Listed / Publicado",0,1),0)</f>
        <v>0</v>
      </c>
      <c r="AB458" s="53" t="n">
        <f aca="false">IF(T458=1,IF(ISNUMBER(L458),L458-G458,0),0)</f>
        <v>0</v>
      </c>
      <c r="AC458" s="53" t="n">
        <f aca="false">IF(S458=1,IF(ISNUMBER(I458),I458-G458,0),0)</f>
        <v>0</v>
      </c>
    </row>
    <row r="459" customFormat="false" ht="15" hidden="false" customHeight="false" outlineLevel="0" collapsed="false">
      <c r="B459" s="54"/>
      <c r="C459" s="55"/>
      <c r="D459" s="55"/>
      <c r="E459" s="55"/>
      <c r="F459" s="56"/>
      <c r="G459" s="57"/>
      <c r="H459" s="55"/>
      <c r="I459" s="57"/>
      <c r="J459" s="54"/>
      <c r="K459" s="56"/>
      <c r="L459" s="57"/>
      <c r="M459" s="54"/>
      <c r="N459" s="58" t="str">
        <f aca="false">IF(S459=1,IF(U459&lt;0,"",U459),IF(Y459=1,X459,""))</f>
        <v/>
      </c>
      <c r="O459" s="59" t="str">
        <f aca="false">IF(S459=1,IF(ISNUMBER(I459),I459-G459,""),"")</f>
        <v/>
      </c>
      <c r="P459" s="59" t="str">
        <f aca="false">IF(T459=1,IF(ISNUMBER(L459),L459-G459,""),"")</f>
        <v/>
      </c>
      <c r="Q459" s="60" t="str">
        <f aca="false">IF(C459="","",IF(T459=1,"✔ SOLD / VENDIDO",IF(S459=0,"— CLOSED / CERRADO",IF(U459&lt;0,"⚠ ADD DATE / AGREGA FECHA",IF(U459&gt;=Settings!$C$8,"⚠ STALE – REPRICE / ESTANCADO",IF(U459&gt;=Settings!$C$7,"● WATCH / VIGILAR","✔ FRESH / RECIENTE"))))))</f>
        <v/>
      </c>
      <c r="S459" s="53" t="n">
        <f aca="false">IF(C459="",0,IF(OR(J459="",J459="In Stock / En Inventario",J459="Listed / Publicado"),1,0))</f>
        <v>0</v>
      </c>
      <c r="T459" s="53" t="n">
        <f aca="false">IF(C459="",0,IF(J459="Sold / Vendido",1,0))</f>
        <v>0</v>
      </c>
      <c r="U459" s="53" t="n">
        <f aca="true">IF(S459=1,IF(ISNUMBER(F459),TODAY()-F459,-1),-1)</f>
        <v>-1</v>
      </c>
      <c r="V459" s="53" t="n">
        <f aca="false">IF(U459&lt;0,IF(S459=1,5,0),IF(U459&lt;=30,1,IF(U459&lt;=60,2,IF(U459&lt;=90,3,4))))</f>
        <v>0</v>
      </c>
      <c r="W459" s="53" t="n">
        <f aca="false">IF(U459&lt;0,-1000000000000000,U459+ROW()/1000000)</f>
        <v>-1000000000000000</v>
      </c>
      <c r="X459" s="53" t="n">
        <f aca="false">IF(T459=1,IF(AND(ISNUMBER(F459),ISNUMBER(K459)),K459-F459,0),0)</f>
        <v>0</v>
      </c>
      <c r="Y459" s="53" t="n">
        <f aca="false">IF(T459=1,IF(AND(ISNUMBER(F459),ISNUMBER(K459)),1,0),0)</f>
        <v>0</v>
      </c>
      <c r="Z459" s="53" t="n">
        <f aca="false">IF(U459&gt;=Settings!$C$8,1,0)</f>
        <v>0</v>
      </c>
      <c r="AA459" s="53" t="n">
        <f aca="false">IF(S459=1,IF(J459="Listed / Publicado",0,1),0)</f>
        <v>0</v>
      </c>
      <c r="AB459" s="53" t="n">
        <f aca="false">IF(T459=1,IF(ISNUMBER(L459),L459-G459,0),0)</f>
        <v>0</v>
      </c>
      <c r="AC459" s="53" t="n">
        <f aca="false">IF(S459=1,IF(ISNUMBER(I459),I459-G459,0),0)</f>
        <v>0</v>
      </c>
    </row>
    <row r="460" customFormat="false" ht="15" hidden="false" customHeight="false" outlineLevel="0" collapsed="false">
      <c r="B460" s="54"/>
      <c r="C460" s="55"/>
      <c r="D460" s="55"/>
      <c r="E460" s="55"/>
      <c r="F460" s="56"/>
      <c r="G460" s="57"/>
      <c r="H460" s="55"/>
      <c r="I460" s="57"/>
      <c r="J460" s="54"/>
      <c r="K460" s="56"/>
      <c r="L460" s="57"/>
      <c r="M460" s="54"/>
      <c r="N460" s="58" t="str">
        <f aca="false">IF(S460=1,IF(U460&lt;0,"",U460),IF(Y460=1,X460,""))</f>
        <v/>
      </c>
      <c r="O460" s="59" t="str">
        <f aca="false">IF(S460=1,IF(ISNUMBER(I460),I460-G460,""),"")</f>
        <v/>
      </c>
      <c r="P460" s="59" t="str">
        <f aca="false">IF(T460=1,IF(ISNUMBER(L460),L460-G460,""),"")</f>
        <v/>
      </c>
      <c r="Q460" s="60" t="str">
        <f aca="false">IF(C460="","",IF(T460=1,"✔ SOLD / VENDIDO",IF(S460=0,"— CLOSED / CERRADO",IF(U460&lt;0,"⚠ ADD DATE / AGREGA FECHA",IF(U460&gt;=Settings!$C$8,"⚠ STALE – REPRICE / ESTANCADO",IF(U460&gt;=Settings!$C$7,"● WATCH / VIGILAR","✔ FRESH / RECIENTE"))))))</f>
        <v/>
      </c>
      <c r="S460" s="53" t="n">
        <f aca="false">IF(C460="",0,IF(OR(J460="",J460="In Stock / En Inventario",J460="Listed / Publicado"),1,0))</f>
        <v>0</v>
      </c>
      <c r="T460" s="53" t="n">
        <f aca="false">IF(C460="",0,IF(J460="Sold / Vendido",1,0))</f>
        <v>0</v>
      </c>
      <c r="U460" s="53" t="n">
        <f aca="true">IF(S460=1,IF(ISNUMBER(F460),TODAY()-F460,-1),-1)</f>
        <v>-1</v>
      </c>
      <c r="V460" s="53" t="n">
        <f aca="false">IF(U460&lt;0,IF(S460=1,5,0),IF(U460&lt;=30,1,IF(U460&lt;=60,2,IF(U460&lt;=90,3,4))))</f>
        <v>0</v>
      </c>
      <c r="W460" s="53" t="n">
        <f aca="false">IF(U460&lt;0,-1000000000000000,U460+ROW()/1000000)</f>
        <v>-1000000000000000</v>
      </c>
      <c r="X460" s="53" t="n">
        <f aca="false">IF(T460=1,IF(AND(ISNUMBER(F460),ISNUMBER(K460)),K460-F460,0),0)</f>
        <v>0</v>
      </c>
      <c r="Y460" s="53" t="n">
        <f aca="false">IF(T460=1,IF(AND(ISNUMBER(F460),ISNUMBER(K460)),1,0),0)</f>
        <v>0</v>
      </c>
      <c r="Z460" s="53" t="n">
        <f aca="false">IF(U460&gt;=Settings!$C$8,1,0)</f>
        <v>0</v>
      </c>
      <c r="AA460" s="53" t="n">
        <f aca="false">IF(S460=1,IF(J460="Listed / Publicado",0,1),0)</f>
        <v>0</v>
      </c>
      <c r="AB460" s="53" t="n">
        <f aca="false">IF(T460=1,IF(ISNUMBER(L460),L460-G460,0),0)</f>
        <v>0</v>
      </c>
      <c r="AC460" s="53" t="n">
        <f aca="false">IF(S460=1,IF(ISNUMBER(I460),I460-G460,0),0)</f>
        <v>0</v>
      </c>
    </row>
    <row r="461" customFormat="false" ht="15" hidden="false" customHeight="false" outlineLevel="0" collapsed="false">
      <c r="B461" s="54"/>
      <c r="C461" s="55"/>
      <c r="D461" s="55"/>
      <c r="E461" s="55"/>
      <c r="F461" s="56"/>
      <c r="G461" s="57"/>
      <c r="H461" s="55"/>
      <c r="I461" s="57"/>
      <c r="J461" s="54"/>
      <c r="K461" s="56"/>
      <c r="L461" s="57"/>
      <c r="M461" s="54"/>
      <c r="N461" s="58" t="str">
        <f aca="false">IF(S461=1,IF(U461&lt;0,"",U461),IF(Y461=1,X461,""))</f>
        <v/>
      </c>
      <c r="O461" s="59" t="str">
        <f aca="false">IF(S461=1,IF(ISNUMBER(I461),I461-G461,""),"")</f>
        <v/>
      </c>
      <c r="P461" s="59" t="str">
        <f aca="false">IF(T461=1,IF(ISNUMBER(L461),L461-G461,""),"")</f>
        <v/>
      </c>
      <c r="Q461" s="60" t="str">
        <f aca="false">IF(C461="","",IF(T461=1,"✔ SOLD / VENDIDO",IF(S461=0,"— CLOSED / CERRADO",IF(U461&lt;0,"⚠ ADD DATE / AGREGA FECHA",IF(U461&gt;=Settings!$C$8,"⚠ STALE – REPRICE / ESTANCADO",IF(U461&gt;=Settings!$C$7,"● WATCH / VIGILAR","✔ FRESH / RECIENTE"))))))</f>
        <v/>
      </c>
      <c r="S461" s="53" t="n">
        <f aca="false">IF(C461="",0,IF(OR(J461="",J461="In Stock / En Inventario",J461="Listed / Publicado"),1,0))</f>
        <v>0</v>
      </c>
      <c r="T461" s="53" t="n">
        <f aca="false">IF(C461="",0,IF(J461="Sold / Vendido",1,0))</f>
        <v>0</v>
      </c>
      <c r="U461" s="53" t="n">
        <f aca="true">IF(S461=1,IF(ISNUMBER(F461),TODAY()-F461,-1),-1)</f>
        <v>-1</v>
      </c>
      <c r="V461" s="53" t="n">
        <f aca="false">IF(U461&lt;0,IF(S461=1,5,0),IF(U461&lt;=30,1,IF(U461&lt;=60,2,IF(U461&lt;=90,3,4))))</f>
        <v>0</v>
      </c>
      <c r="W461" s="53" t="n">
        <f aca="false">IF(U461&lt;0,-1000000000000000,U461+ROW()/1000000)</f>
        <v>-1000000000000000</v>
      </c>
      <c r="X461" s="53" t="n">
        <f aca="false">IF(T461=1,IF(AND(ISNUMBER(F461),ISNUMBER(K461)),K461-F461,0),0)</f>
        <v>0</v>
      </c>
      <c r="Y461" s="53" t="n">
        <f aca="false">IF(T461=1,IF(AND(ISNUMBER(F461),ISNUMBER(K461)),1,0),0)</f>
        <v>0</v>
      </c>
      <c r="Z461" s="53" t="n">
        <f aca="false">IF(U461&gt;=Settings!$C$8,1,0)</f>
        <v>0</v>
      </c>
      <c r="AA461" s="53" t="n">
        <f aca="false">IF(S461=1,IF(J461="Listed / Publicado",0,1),0)</f>
        <v>0</v>
      </c>
      <c r="AB461" s="53" t="n">
        <f aca="false">IF(T461=1,IF(ISNUMBER(L461),L461-G461,0),0)</f>
        <v>0</v>
      </c>
      <c r="AC461" s="53" t="n">
        <f aca="false">IF(S461=1,IF(ISNUMBER(I461),I461-G461,0),0)</f>
        <v>0</v>
      </c>
    </row>
    <row r="462" customFormat="false" ht="15" hidden="false" customHeight="false" outlineLevel="0" collapsed="false">
      <c r="B462" s="54"/>
      <c r="C462" s="55"/>
      <c r="D462" s="55"/>
      <c r="E462" s="55"/>
      <c r="F462" s="56"/>
      <c r="G462" s="57"/>
      <c r="H462" s="55"/>
      <c r="I462" s="57"/>
      <c r="J462" s="54"/>
      <c r="K462" s="56"/>
      <c r="L462" s="57"/>
      <c r="M462" s="54"/>
      <c r="N462" s="58" t="str">
        <f aca="false">IF(S462=1,IF(U462&lt;0,"",U462),IF(Y462=1,X462,""))</f>
        <v/>
      </c>
      <c r="O462" s="59" t="str">
        <f aca="false">IF(S462=1,IF(ISNUMBER(I462),I462-G462,""),"")</f>
        <v/>
      </c>
      <c r="P462" s="59" t="str">
        <f aca="false">IF(T462=1,IF(ISNUMBER(L462),L462-G462,""),"")</f>
        <v/>
      </c>
      <c r="Q462" s="60" t="str">
        <f aca="false">IF(C462="","",IF(T462=1,"✔ SOLD / VENDIDO",IF(S462=0,"— CLOSED / CERRADO",IF(U462&lt;0,"⚠ ADD DATE / AGREGA FECHA",IF(U462&gt;=Settings!$C$8,"⚠ STALE – REPRICE / ESTANCADO",IF(U462&gt;=Settings!$C$7,"● WATCH / VIGILAR","✔ FRESH / RECIENTE"))))))</f>
        <v/>
      </c>
      <c r="S462" s="53" t="n">
        <f aca="false">IF(C462="",0,IF(OR(J462="",J462="In Stock / En Inventario",J462="Listed / Publicado"),1,0))</f>
        <v>0</v>
      </c>
      <c r="T462" s="53" t="n">
        <f aca="false">IF(C462="",0,IF(J462="Sold / Vendido",1,0))</f>
        <v>0</v>
      </c>
      <c r="U462" s="53" t="n">
        <f aca="true">IF(S462=1,IF(ISNUMBER(F462),TODAY()-F462,-1),-1)</f>
        <v>-1</v>
      </c>
      <c r="V462" s="53" t="n">
        <f aca="false">IF(U462&lt;0,IF(S462=1,5,0),IF(U462&lt;=30,1,IF(U462&lt;=60,2,IF(U462&lt;=90,3,4))))</f>
        <v>0</v>
      </c>
      <c r="W462" s="53" t="n">
        <f aca="false">IF(U462&lt;0,-1000000000000000,U462+ROW()/1000000)</f>
        <v>-1000000000000000</v>
      </c>
      <c r="X462" s="53" t="n">
        <f aca="false">IF(T462=1,IF(AND(ISNUMBER(F462),ISNUMBER(K462)),K462-F462,0),0)</f>
        <v>0</v>
      </c>
      <c r="Y462" s="53" t="n">
        <f aca="false">IF(T462=1,IF(AND(ISNUMBER(F462),ISNUMBER(K462)),1,0),0)</f>
        <v>0</v>
      </c>
      <c r="Z462" s="53" t="n">
        <f aca="false">IF(U462&gt;=Settings!$C$8,1,0)</f>
        <v>0</v>
      </c>
      <c r="AA462" s="53" t="n">
        <f aca="false">IF(S462=1,IF(J462="Listed / Publicado",0,1),0)</f>
        <v>0</v>
      </c>
      <c r="AB462" s="53" t="n">
        <f aca="false">IF(T462=1,IF(ISNUMBER(L462),L462-G462,0),0)</f>
        <v>0</v>
      </c>
      <c r="AC462" s="53" t="n">
        <f aca="false">IF(S462=1,IF(ISNUMBER(I462),I462-G462,0),0)</f>
        <v>0</v>
      </c>
    </row>
    <row r="463" customFormat="false" ht="15" hidden="false" customHeight="false" outlineLevel="0" collapsed="false">
      <c r="B463" s="54"/>
      <c r="C463" s="55"/>
      <c r="D463" s="55"/>
      <c r="E463" s="55"/>
      <c r="F463" s="56"/>
      <c r="G463" s="57"/>
      <c r="H463" s="55"/>
      <c r="I463" s="57"/>
      <c r="J463" s="54"/>
      <c r="K463" s="56"/>
      <c r="L463" s="57"/>
      <c r="M463" s="54"/>
      <c r="N463" s="58" t="str">
        <f aca="false">IF(S463=1,IF(U463&lt;0,"",U463),IF(Y463=1,X463,""))</f>
        <v/>
      </c>
      <c r="O463" s="59" t="str">
        <f aca="false">IF(S463=1,IF(ISNUMBER(I463),I463-G463,""),"")</f>
        <v/>
      </c>
      <c r="P463" s="59" t="str">
        <f aca="false">IF(T463=1,IF(ISNUMBER(L463),L463-G463,""),"")</f>
        <v/>
      </c>
      <c r="Q463" s="60" t="str">
        <f aca="false">IF(C463="","",IF(T463=1,"✔ SOLD / VENDIDO",IF(S463=0,"— CLOSED / CERRADO",IF(U463&lt;0,"⚠ ADD DATE / AGREGA FECHA",IF(U463&gt;=Settings!$C$8,"⚠ STALE – REPRICE / ESTANCADO",IF(U463&gt;=Settings!$C$7,"● WATCH / VIGILAR","✔ FRESH / RECIENTE"))))))</f>
        <v/>
      </c>
      <c r="S463" s="53" t="n">
        <f aca="false">IF(C463="",0,IF(OR(J463="",J463="In Stock / En Inventario",J463="Listed / Publicado"),1,0))</f>
        <v>0</v>
      </c>
      <c r="T463" s="53" t="n">
        <f aca="false">IF(C463="",0,IF(J463="Sold / Vendido",1,0))</f>
        <v>0</v>
      </c>
      <c r="U463" s="53" t="n">
        <f aca="true">IF(S463=1,IF(ISNUMBER(F463),TODAY()-F463,-1),-1)</f>
        <v>-1</v>
      </c>
      <c r="V463" s="53" t="n">
        <f aca="false">IF(U463&lt;0,IF(S463=1,5,0),IF(U463&lt;=30,1,IF(U463&lt;=60,2,IF(U463&lt;=90,3,4))))</f>
        <v>0</v>
      </c>
      <c r="W463" s="53" t="n">
        <f aca="false">IF(U463&lt;0,-1000000000000000,U463+ROW()/1000000)</f>
        <v>-1000000000000000</v>
      </c>
      <c r="X463" s="53" t="n">
        <f aca="false">IF(T463=1,IF(AND(ISNUMBER(F463),ISNUMBER(K463)),K463-F463,0),0)</f>
        <v>0</v>
      </c>
      <c r="Y463" s="53" t="n">
        <f aca="false">IF(T463=1,IF(AND(ISNUMBER(F463),ISNUMBER(K463)),1,0),0)</f>
        <v>0</v>
      </c>
      <c r="Z463" s="53" t="n">
        <f aca="false">IF(U463&gt;=Settings!$C$8,1,0)</f>
        <v>0</v>
      </c>
      <c r="AA463" s="53" t="n">
        <f aca="false">IF(S463=1,IF(J463="Listed / Publicado",0,1),0)</f>
        <v>0</v>
      </c>
      <c r="AB463" s="53" t="n">
        <f aca="false">IF(T463=1,IF(ISNUMBER(L463),L463-G463,0),0)</f>
        <v>0</v>
      </c>
      <c r="AC463" s="53" t="n">
        <f aca="false">IF(S463=1,IF(ISNUMBER(I463),I463-G463,0),0)</f>
        <v>0</v>
      </c>
    </row>
    <row r="464" customFormat="false" ht="15" hidden="false" customHeight="false" outlineLevel="0" collapsed="false">
      <c r="B464" s="54"/>
      <c r="C464" s="55"/>
      <c r="D464" s="55"/>
      <c r="E464" s="55"/>
      <c r="F464" s="56"/>
      <c r="G464" s="57"/>
      <c r="H464" s="55"/>
      <c r="I464" s="57"/>
      <c r="J464" s="54"/>
      <c r="K464" s="56"/>
      <c r="L464" s="57"/>
      <c r="M464" s="54"/>
      <c r="N464" s="58" t="str">
        <f aca="false">IF(S464=1,IF(U464&lt;0,"",U464),IF(Y464=1,X464,""))</f>
        <v/>
      </c>
      <c r="O464" s="59" t="str">
        <f aca="false">IF(S464=1,IF(ISNUMBER(I464),I464-G464,""),"")</f>
        <v/>
      </c>
      <c r="P464" s="59" t="str">
        <f aca="false">IF(T464=1,IF(ISNUMBER(L464),L464-G464,""),"")</f>
        <v/>
      </c>
      <c r="Q464" s="60" t="str">
        <f aca="false">IF(C464="","",IF(T464=1,"✔ SOLD / VENDIDO",IF(S464=0,"— CLOSED / CERRADO",IF(U464&lt;0,"⚠ ADD DATE / AGREGA FECHA",IF(U464&gt;=Settings!$C$8,"⚠ STALE – REPRICE / ESTANCADO",IF(U464&gt;=Settings!$C$7,"● WATCH / VIGILAR","✔ FRESH / RECIENTE"))))))</f>
        <v/>
      </c>
      <c r="S464" s="53" t="n">
        <f aca="false">IF(C464="",0,IF(OR(J464="",J464="In Stock / En Inventario",J464="Listed / Publicado"),1,0))</f>
        <v>0</v>
      </c>
      <c r="T464" s="53" t="n">
        <f aca="false">IF(C464="",0,IF(J464="Sold / Vendido",1,0))</f>
        <v>0</v>
      </c>
      <c r="U464" s="53" t="n">
        <f aca="true">IF(S464=1,IF(ISNUMBER(F464),TODAY()-F464,-1),-1)</f>
        <v>-1</v>
      </c>
      <c r="V464" s="53" t="n">
        <f aca="false">IF(U464&lt;0,IF(S464=1,5,0),IF(U464&lt;=30,1,IF(U464&lt;=60,2,IF(U464&lt;=90,3,4))))</f>
        <v>0</v>
      </c>
      <c r="W464" s="53" t="n">
        <f aca="false">IF(U464&lt;0,-1000000000000000,U464+ROW()/1000000)</f>
        <v>-1000000000000000</v>
      </c>
      <c r="X464" s="53" t="n">
        <f aca="false">IF(T464=1,IF(AND(ISNUMBER(F464),ISNUMBER(K464)),K464-F464,0),0)</f>
        <v>0</v>
      </c>
      <c r="Y464" s="53" t="n">
        <f aca="false">IF(T464=1,IF(AND(ISNUMBER(F464),ISNUMBER(K464)),1,0),0)</f>
        <v>0</v>
      </c>
      <c r="Z464" s="53" t="n">
        <f aca="false">IF(U464&gt;=Settings!$C$8,1,0)</f>
        <v>0</v>
      </c>
      <c r="AA464" s="53" t="n">
        <f aca="false">IF(S464=1,IF(J464="Listed / Publicado",0,1),0)</f>
        <v>0</v>
      </c>
      <c r="AB464" s="53" t="n">
        <f aca="false">IF(T464=1,IF(ISNUMBER(L464),L464-G464,0),0)</f>
        <v>0</v>
      </c>
      <c r="AC464" s="53" t="n">
        <f aca="false">IF(S464=1,IF(ISNUMBER(I464),I464-G464,0),0)</f>
        <v>0</v>
      </c>
    </row>
    <row r="465" customFormat="false" ht="15" hidden="false" customHeight="false" outlineLevel="0" collapsed="false">
      <c r="B465" s="54"/>
      <c r="C465" s="55"/>
      <c r="D465" s="55"/>
      <c r="E465" s="55"/>
      <c r="F465" s="56"/>
      <c r="G465" s="57"/>
      <c r="H465" s="55"/>
      <c r="I465" s="57"/>
      <c r="J465" s="54"/>
      <c r="K465" s="56"/>
      <c r="L465" s="57"/>
      <c r="M465" s="54"/>
      <c r="N465" s="58" t="str">
        <f aca="false">IF(S465=1,IF(U465&lt;0,"",U465),IF(Y465=1,X465,""))</f>
        <v/>
      </c>
      <c r="O465" s="59" t="str">
        <f aca="false">IF(S465=1,IF(ISNUMBER(I465),I465-G465,""),"")</f>
        <v/>
      </c>
      <c r="P465" s="59" t="str">
        <f aca="false">IF(T465=1,IF(ISNUMBER(L465),L465-G465,""),"")</f>
        <v/>
      </c>
      <c r="Q465" s="60" t="str">
        <f aca="false">IF(C465="","",IF(T465=1,"✔ SOLD / VENDIDO",IF(S465=0,"— CLOSED / CERRADO",IF(U465&lt;0,"⚠ ADD DATE / AGREGA FECHA",IF(U465&gt;=Settings!$C$8,"⚠ STALE – REPRICE / ESTANCADO",IF(U465&gt;=Settings!$C$7,"● WATCH / VIGILAR","✔ FRESH / RECIENTE"))))))</f>
        <v/>
      </c>
      <c r="S465" s="53" t="n">
        <f aca="false">IF(C465="",0,IF(OR(J465="",J465="In Stock / En Inventario",J465="Listed / Publicado"),1,0))</f>
        <v>0</v>
      </c>
      <c r="T465" s="53" t="n">
        <f aca="false">IF(C465="",0,IF(J465="Sold / Vendido",1,0))</f>
        <v>0</v>
      </c>
      <c r="U465" s="53" t="n">
        <f aca="true">IF(S465=1,IF(ISNUMBER(F465),TODAY()-F465,-1),-1)</f>
        <v>-1</v>
      </c>
      <c r="V465" s="53" t="n">
        <f aca="false">IF(U465&lt;0,IF(S465=1,5,0),IF(U465&lt;=30,1,IF(U465&lt;=60,2,IF(U465&lt;=90,3,4))))</f>
        <v>0</v>
      </c>
      <c r="W465" s="53" t="n">
        <f aca="false">IF(U465&lt;0,-1000000000000000,U465+ROW()/1000000)</f>
        <v>-1000000000000000</v>
      </c>
      <c r="X465" s="53" t="n">
        <f aca="false">IF(T465=1,IF(AND(ISNUMBER(F465),ISNUMBER(K465)),K465-F465,0),0)</f>
        <v>0</v>
      </c>
      <c r="Y465" s="53" t="n">
        <f aca="false">IF(T465=1,IF(AND(ISNUMBER(F465),ISNUMBER(K465)),1,0),0)</f>
        <v>0</v>
      </c>
      <c r="Z465" s="53" t="n">
        <f aca="false">IF(U465&gt;=Settings!$C$8,1,0)</f>
        <v>0</v>
      </c>
      <c r="AA465" s="53" t="n">
        <f aca="false">IF(S465=1,IF(J465="Listed / Publicado",0,1),0)</f>
        <v>0</v>
      </c>
      <c r="AB465" s="53" t="n">
        <f aca="false">IF(T465=1,IF(ISNUMBER(L465),L465-G465,0),0)</f>
        <v>0</v>
      </c>
      <c r="AC465" s="53" t="n">
        <f aca="false">IF(S465=1,IF(ISNUMBER(I465),I465-G465,0),0)</f>
        <v>0</v>
      </c>
    </row>
    <row r="466" customFormat="false" ht="15" hidden="false" customHeight="false" outlineLevel="0" collapsed="false">
      <c r="B466" s="54"/>
      <c r="C466" s="55"/>
      <c r="D466" s="55"/>
      <c r="E466" s="55"/>
      <c r="F466" s="56"/>
      <c r="G466" s="57"/>
      <c r="H466" s="55"/>
      <c r="I466" s="57"/>
      <c r="J466" s="54"/>
      <c r="K466" s="56"/>
      <c r="L466" s="57"/>
      <c r="M466" s="54"/>
      <c r="N466" s="58" t="str">
        <f aca="false">IF(S466=1,IF(U466&lt;0,"",U466),IF(Y466=1,X466,""))</f>
        <v/>
      </c>
      <c r="O466" s="59" t="str">
        <f aca="false">IF(S466=1,IF(ISNUMBER(I466),I466-G466,""),"")</f>
        <v/>
      </c>
      <c r="P466" s="59" t="str">
        <f aca="false">IF(T466=1,IF(ISNUMBER(L466),L466-G466,""),"")</f>
        <v/>
      </c>
      <c r="Q466" s="60" t="str">
        <f aca="false">IF(C466="","",IF(T466=1,"✔ SOLD / VENDIDO",IF(S466=0,"— CLOSED / CERRADO",IF(U466&lt;0,"⚠ ADD DATE / AGREGA FECHA",IF(U466&gt;=Settings!$C$8,"⚠ STALE – REPRICE / ESTANCADO",IF(U466&gt;=Settings!$C$7,"● WATCH / VIGILAR","✔ FRESH / RECIENTE"))))))</f>
        <v/>
      </c>
      <c r="S466" s="53" t="n">
        <f aca="false">IF(C466="",0,IF(OR(J466="",J466="In Stock / En Inventario",J466="Listed / Publicado"),1,0))</f>
        <v>0</v>
      </c>
      <c r="T466" s="53" t="n">
        <f aca="false">IF(C466="",0,IF(J466="Sold / Vendido",1,0))</f>
        <v>0</v>
      </c>
      <c r="U466" s="53" t="n">
        <f aca="true">IF(S466=1,IF(ISNUMBER(F466),TODAY()-F466,-1),-1)</f>
        <v>-1</v>
      </c>
      <c r="V466" s="53" t="n">
        <f aca="false">IF(U466&lt;0,IF(S466=1,5,0),IF(U466&lt;=30,1,IF(U466&lt;=60,2,IF(U466&lt;=90,3,4))))</f>
        <v>0</v>
      </c>
      <c r="W466" s="53" t="n">
        <f aca="false">IF(U466&lt;0,-1000000000000000,U466+ROW()/1000000)</f>
        <v>-1000000000000000</v>
      </c>
      <c r="X466" s="53" t="n">
        <f aca="false">IF(T466=1,IF(AND(ISNUMBER(F466),ISNUMBER(K466)),K466-F466,0),0)</f>
        <v>0</v>
      </c>
      <c r="Y466" s="53" t="n">
        <f aca="false">IF(T466=1,IF(AND(ISNUMBER(F466),ISNUMBER(K466)),1,0),0)</f>
        <v>0</v>
      </c>
      <c r="Z466" s="53" t="n">
        <f aca="false">IF(U466&gt;=Settings!$C$8,1,0)</f>
        <v>0</v>
      </c>
      <c r="AA466" s="53" t="n">
        <f aca="false">IF(S466=1,IF(J466="Listed / Publicado",0,1),0)</f>
        <v>0</v>
      </c>
      <c r="AB466" s="53" t="n">
        <f aca="false">IF(T466=1,IF(ISNUMBER(L466),L466-G466,0),0)</f>
        <v>0</v>
      </c>
      <c r="AC466" s="53" t="n">
        <f aca="false">IF(S466=1,IF(ISNUMBER(I466),I466-G466,0),0)</f>
        <v>0</v>
      </c>
    </row>
    <row r="467" customFormat="false" ht="15" hidden="false" customHeight="false" outlineLevel="0" collapsed="false">
      <c r="B467" s="54"/>
      <c r="C467" s="55"/>
      <c r="D467" s="55"/>
      <c r="E467" s="55"/>
      <c r="F467" s="56"/>
      <c r="G467" s="57"/>
      <c r="H467" s="55"/>
      <c r="I467" s="57"/>
      <c r="J467" s="54"/>
      <c r="K467" s="56"/>
      <c r="L467" s="57"/>
      <c r="M467" s="54"/>
      <c r="N467" s="58" t="str">
        <f aca="false">IF(S467=1,IF(U467&lt;0,"",U467),IF(Y467=1,X467,""))</f>
        <v/>
      </c>
      <c r="O467" s="59" t="str">
        <f aca="false">IF(S467=1,IF(ISNUMBER(I467),I467-G467,""),"")</f>
        <v/>
      </c>
      <c r="P467" s="59" t="str">
        <f aca="false">IF(T467=1,IF(ISNUMBER(L467),L467-G467,""),"")</f>
        <v/>
      </c>
      <c r="Q467" s="60" t="str">
        <f aca="false">IF(C467="","",IF(T467=1,"✔ SOLD / VENDIDO",IF(S467=0,"— CLOSED / CERRADO",IF(U467&lt;0,"⚠ ADD DATE / AGREGA FECHA",IF(U467&gt;=Settings!$C$8,"⚠ STALE – REPRICE / ESTANCADO",IF(U467&gt;=Settings!$C$7,"● WATCH / VIGILAR","✔ FRESH / RECIENTE"))))))</f>
        <v/>
      </c>
      <c r="S467" s="53" t="n">
        <f aca="false">IF(C467="",0,IF(OR(J467="",J467="In Stock / En Inventario",J467="Listed / Publicado"),1,0))</f>
        <v>0</v>
      </c>
      <c r="T467" s="53" t="n">
        <f aca="false">IF(C467="",0,IF(J467="Sold / Vendido",1,0))</f>
        <v>0</v>
      </c>
      <c r="U467" s="53" t="n">
        <f aca="true">IF(S467=1,IF(ISNUMBER(F467),TODAY()-F467,-1),-1)</f>
        <v>-1</v>
      </c>
      <c r="V467" s="53" t="n">
        <f aca="false">IF(U467&lt;0,IF(S467=1,5,0),IF(U467&lt;=30,1,IF(U467&lt;=60,2,IF(U467&lt;=90,3,4))))</f>
        <v>0</v>
      </c>
      <c r="W467" s="53" t="n">
        <f aca="false">IF(U467&lt;0,-1000000000000000,U467+ROW()/1000000)</f>
        <v>-1000000000000000</v>
      </c>
      <c r="X467" s="53" t="n">
        <f aca="false">IF(T467=1,IF(AND(ISNUMBER(F467),ISNUMBER(K467)),K467-F467,0),0)</f>
        <v>0</v>
      </c>
      <c r="Y467" s="53" t="n">
        <f aca="false">IF(T467=1,IF(AND(ISNUMBER(F467),ISNUMBER(K467)),1,0),0)</f>
        <v>0</v>
      </c>
      <c r="Z467" s="53" t="n">
        <f aca="false">IF(U467&gt;=Settings!$C$8,1,0)</f>
        <v>0</v>
      </c>
      <c r="AA467" s="53" t="n">
        <f aca="false">IF(S467=1,IF(J467="Listed / Publicado",0,1),0)</f>
        <v>0</v>
      </c>
      <c r="AB467" s="53" t="n">
        <f aca="false">IF(T467=1,IF(ISNUMBER(L467),L467-G467,0),0)</f>
        <v>0</v>
      </c>
      <c r="AC467" s="53" t="n">
        <f aca="false">IF(S467=1,IF(ISNUMBER(I467),I467-G467,0),0)</f>
        <v>0</v>
      </c>
    </row>
    <row r="468" customFormat="false" ht="15" hidden="false" customHeight="false" outlineLevel="0" collapsed="false">
      <c r="B468" s="54"/>
      <c r="C468" s="55"/>
      <c r="D468" s="55"/>
      <c r="E468" s="55"/>
      <c r="F468" s="56"/>
      <c r="G468" s="57"/>
      <c r="H468" s="55"/>
      <c r="I468" s="57"/>
      <c r="J468" s="54"/>
      <c r="K468" s="56"/>
      <c r="L468" s="57"/>
      <c r="M468" s="54"/>
      <c r="N468" s="58" t="str">
        <f aca="false">IF(S468=1,IF(U468&lt;0,"",U468),IF(Y468=1,X468,""))</f>
        <v/>
      </c>
      <c r="O468" s="59" t="str">
        <f aca="false">IF(S468=1,IF(ISNUMBER(I468),I468-G468,""),"")</f>
        <v/>
      </c>
      <c r="P468" s="59" t="str">
        <f aca="false">IF(T468=1,IF(ISNUMBER(L468),L468-G468,""),"")</f>
        <v/>
      </c>
      <c r="Q468" s="60" t="str">
        <f aca="false">IF(C468="","",IF(T468=1,"✔ SOLD / VENDIDO",IF(S468=0,"— CLOSED / CERRADO",IF(U468&lt;0,"⚠ ADD DATE / AGREGA FECHA",IF(U468&gt;=Settings!$C$8,"⚠ STALE – REPRICE / ESTANCADO",IF(U468&gt;=Settings!$C$7,"● WATCH / VIGILAR","✔ FRESH / RECIENTE"))))))</f>
        <v/>
      </c>
      <c r="S468" s="53" t="n">
        <f aca="false">IF(C468="",0,IF(OR(J468="",J468="In Stock / En Inventario",J468="Listed / Publicado"),1,0))</f>
        <v>0</v>
      </c>
      <c r="T468" s="53" t="n">
        <f aca="false">IF(C468="",0,IF(J468="Sold / Vendido",1,0))</f>
        <v>0</v>
      </c>
      <c r="U468" s="53" t="n">
        <f aca="true">IF(S468=1,IF(ISNUMBER(F468),TODAY()-F468,-1),-1)</f>
        <v>-1</v>
      </c>
      <c r="V468" s="53" t="n">
        <f aca="false">IF(U468&lt;0,IF(S468=1,5,0),IF(U468&lt;=30,1,IF(U468&lt;=60,2,IF(U468&lt;=90,3,4))))</f>
        <v>0</v>
      </c>
      <c r="W468" s="53" t="n">
        <f aca="false">IF(U468&lt;0,-1000000000000000,U468+ROW()/1000000)</f>
        <v>-1000000000000000</v>
      </c>
      <c r="X468" s="53" t="n">
        <f aca="false">IF(T468=1,IF(AND(ISNUMBER(F468),ISNUMBER(K468)),K468-F468,0),0)</f>
        <v>0</v>
      </c>
      <c r="Y468" s="53" t="n">
        <f aca="false">IF(T468=1,IF(AND(ISNUMBER(F468),ISNUMBER(K468)),1,0),0)</f>
        <v>0</v>
      </c>
      <c r="Z468" s="53" t="n">
        <f aca="false">IF(U468&gt;=Settings!$C$8,1,0)</f>
        <v>0</v>
      </c>
      <c r="AA468" s="53" t="n">
        <f aca="false">IF(S468=1,IF(J468="Listed / Publicado",0,1),0)</f>
        <v>0</v>
      </c>
      <c r="AB468" s="53" t="n">
        <f aca="false">IF(T468=1,IF(ISNUMBER(L468),L468-G468,0),0)</f>
        <v>0</v>
      </c>
      <c r="AC468" s="53" t="n">
        <f aca="false">IF(S468=1,IF(ISNUMBER(I468),I468-G468,0),0)</f>
        <v>0</v>
      </c>
    </row>
    <row r="469" customFormat="false" ht="15" hidden="false" customHeight="false" outlineLevel="0" collapsed="false">
      <c r="B469" s="54"/>
      <c r="C469" s="55"/>
      <c r="D469" s="55"/>
      <c r="E469" s="55"/>
      <c r="F469" s="56"/>
      <c r="G469" s="57"/>
      <c r="H469" s="55"/>
      <c r="I469" s="57"/>
      <c r="J469" s="54"/>
      <c r="K469" s="56"/>
      <c r="L469" s="57"/>
      <c r="M469" s="54"/>
      <c r="N469" s="58" t="str">
        <f aca="false">IF(S469=1,IF(U469&lt;0,"",U469),IF(Y469=1,X469,""))</f>
        <v/>
      </c>
      <c r="O469" s="59" t="str">
        <f aca="false">IF(S469=1,IF(ISNUMBER(I469),I469-G469,""),"")</f>
        <v/>
      </c>
      <c r="P469" s="59" t="str">
        <f aca="false">IF(T469=1,IF(ISNUMBER(L469),L469-G469,""),"")</f>
        <v/>
      </c>
      <c r="Q469" s="60" t="str">
        <f aca="false">IF(C469="","",IF(T469=1,"✔ SOLD / VENDIDO",IF(S469=0,"— CLOSED / CERRADO",IF(U469&lt;0,"⚠ ADD DATE / AGREGA FECHA",IF(U469&gt;=Settings!$C$8,"⚠ STALE – REPRICE / ESTANCADO",IF(U469&gt;=Settings!$C$7,"● WATCH / VIGILAR","✔ FRESH / RECIENTE"))))))</f>
        <v/>
      </c>
      <c r="S469" s="53" t="n">
        <f aca="false">IF(C469="",0,IF(OR(J469="",J469="In Stock / En Inventario",J469="Listed / Publicado"),1,0))</f>
        <v>0</v>
      </c>
      <c r="T469" s="53" t="n">
        <f aca="false">IF(C469="",0,IF(J469="Sold / Vendido",1,0))</f>
        <v>0</v>
      </c>
      <c r="U469" s="53" t="n">
        <f aca="true">IF(S469=1,IF(ISNUMBER(F469),TODAY()-F469,-1),-1)</f>
        <v>-1</v>
      </c>
      <c r="V469" s="53" t="n">
        <f aca="false">IF(U469&lt;0,IF(S469=1,5,0),IF(U469&lt;=30,1,IF(U469&lt;=60,2,IF(U469&lt;=90,3,4))))</f>
        <v>0</v>
      </c>
      <c r="W469" s="53" t="n">
        <f aca="false">IF(U469&lt;0,-1000000000000000,U469+ROW()/1000000)</f>
        <v>-1000000000000000</v>
      </c>
      <c r="X469" s="53" t="n">
        <f aca="false">IF(T469=1,IF(AND(ISNUMBER(F469),ISNUMBER(K469)),K469-F469,0),0)</f>
        <v>0</v>
      </c>
      <c r="Y469" s="53" t="n">
        <f aca="false">IF(T469=1,IF(AND(ISNUMBER(F469),ISNUMBER(K469)),1,0),0)</f>
        <v>0</v>
      </c>
      <c r="Z469" s="53" t="n">
        <f aca="false">IF(U469&gt;=Settings!$C$8,1,0)</f>
        <v>0</v>
      </c>
      <c r="AA469" s="53" t="n">
        <f aca="false">IF(S469=1,IF(J469="Listed / Publicado",0,1),0)</f>
        <v>0</v>
      </c>
      <c r="AB469" s="53" t="n">
        <f aca="false">IF(T469=1,IF(ISNUMBER(L469),L469-G469,0),0)</f>
        <v>0</v>
      </c>
      <c r="AC469" s="53" t="n">
        <f aca="false">IF(S469=1,IF(ISNUMBER(I469),I469-G469,0),0)</f>
        <v>0</v>
      </c>
    </row>
    <row r="470" customFormat="false" ht="15" hidden="false" customHeight="false" outlineLevel="0" collapsed="false">
      <c r="B470" s="54"/>
      <c r="C470" s="55"/>
      <c r="D470" s="55"/>
      <c r="E470" s="55"/>
      <c r="F470" s="56"/>
      <c r="G470" s="57"/>
      <c r="H470" s="55"/>
      <c r="I470" s="57"/>
      <c r="J470" s="54"/>
      <c r="K470" s="56"/>
      <c r="L470" s="57"/>
      <c r="M470" s="54"/>
      <c r="N470" s="58" t="str">
        <f aca="false">IF(S470=1,IF(U470&lt;0,"",U470),IF(Y470=1,X470,""))</f>
        <v/>
      </c>
      <c r="O470" s="59" t="str">
        <f aca="false">IF(S470=1,IF(ISNUMBER(I470),I470-G470,""),"")</f>
        <v/>
      </c>
      <c r="P470" s="59" t="str">
        <f aca="false">IF(T470=1,IF(ISNUMBER(L470),L470-G470,""),"")</f>
        <v/>
      </c>
      <c r="Q470" s="60" t="str">
        <f aca="false">IF(C470="","",IF(T470=1,"✔ SOLD / VENDIDO",IF(S470=0,"— CLOSED / CERRADO",IF(U470&lt;0,"⚠ ADD DATE / AGREGA FECHA",IF(U470&gt;=Settings!$C$8,"⚠ STALE – REPRICE / ESTANCADO",IF(U470&gt;=Settings!$C$7,"● WATCH / VIGILAR","✔ FRESH / RECIENTE"))))))</f>
        <v/>
      </c>
      <c r="S470" s="53" t="n">
        <f aca="false">IF(C470="",0,IF(OR(J470="",J470="In Stock / En Inventario",J470="Listed / Publicado"),1,0))</f>
        <v>0</v>
      </c>
      <c r="T470" s="53" t="n">
        <f aca="false">IF(C470="",0,IF(J470="Sold / Vendido",1,0))</f>
        <v>0</v>
      </c>
      <c r="U470" s="53" t="n">
        <f aca="true">IF(S470=1,IF(ISNUMBER(F470),TODAY()-F470,-1),-1)</f>
        <v>-1</v>
      </c>
      <c r="V470" s="53" t="n">
        <f aca="false">IF(U470&lt;0,IF(S470=1,5,0),IF(U470&lt;=30,1,IF(U470&lt;=60,2,IF(U470&lt;=90,3,4))))</f>
        <v>0</v>
      </c>
      <c r="W470" s="53" t="n">
        <f aca="false">IF(U470&lt;0,-1000000000000000,U470+ROW()/1000000)</f>
        <v>-1000000000000000</v>
      </c>
      <c r="X470" s="53" t="n">
        <f aca="false">IF(T470=1,IF(AND(ISNUMBER(F470),ISNUMBER(K470)),K470-F470,0),0)</f>
        <v>0</v>
      </c>
      <c r="Y470" s="53" t="n">
        <f aca="false">IF(T470=1,IF(AND(ISNUMBER(F470),ISNUMBER(K470)),1,0),0)</f>
        <v>0</v>
      </c>
      <c r="Z470" s="53" t="n">
        <f aca="false">IF(U470&gt;=Settings!$C$8,1,0)</f>
        <v>0</v>
      </c>
      <c r="AA470" s="53" t="n">
        <f aca="false">IF(S470=1,IF(J470="Listed / Publicado",0,1),0)</f>
        <v>0</v>
      </c>
      <c r="AB470" s="53" t="n">
        <f aca="false">IF(T470=1,IF(ISNUMBER(L470),L470-G470,0),0)</f>
        <v>0</v>
      </c>
      <c r="AC470" s="53" t="n">
        <f aca="false">IF(S470=1,IF(ISNUMBER(I470),I470-G470,0),0)</f>
        <v>0</v>
      </c>
    </row>
    <row r="471" customFormat="false" ht="15" hidden="false" customHeight="false" outlineLevel="0" collapsed="false">
      <c r="B471" s="54"/>
      <c r="C471" s="55"/>
      <c r="D471" s="55"/>
      <c r="E471" s="55"/>
      <c r="F471" s="56"/>
      <c r="G471" s="57"/>
      <c r="H471" s="55"/>
      <c r="I471" s="57"/>
      <c r="J471" s="54"/>
      <c r="K471" s="56"/>
      <c r="L471" s="57"/>
      <c r="M471" s="54"/>
      <c r="N471" s="58" t="str">
        <f aca="false">IF(S471=1,IF(U471&lt;0,"",U471),IF(Y471=1,X471,""))</f>
        <v/>
      </c>
      <c r="O471" s="59" t="str">
        <f aca="false">IF(S471=1,IF(ISNUMBER(I471),I471-G471,""),"")</f>
        <v/>
      </c>
      <c r="P471" s="59" t="str">
        <f aca="false">IF(T471=1,IF(ISNUMBER(L471),L471-G471,""),"")</f>
        <v/>
      </c>
      <c r="Q471" s="60" t="str">
        <f aca="false">IF(C471="","",IF(T471=1,"✔ SOLD / VENDIDO",IF(S471=0,"— CLOSED / CERRADO",IF(U471&lt;0,"⚠ ADD DATE / AGREGA FECHA",IF(U471&gt;=Settings!$C$8,"⚠ STALE – REPRICE / ESTANCADO",IF(U471&gt;=Settings!$C$7,"● WATCH / VIGILAR","✔ FRESH / RECIENTE"))))))</f>
        <v/>
      </c>
      <c r="S471" s="53" t="n">
        <f aca="false">IF(C471="",0,IF(OR(J471="",J471="In Stock / En Inventario",J471="Listed / Publicado"),1,0))</f>
        <v>0</v>
      </c>
      <c r="T471" s="53" t="n">
        <f aca="false">IF(C471="",0,IF(J471="Sold / Vendido",1,0))</f>
        <v>0</v>
      </c>
      <c r="U471" s="53" t="n">
        <f aca="true">IF(S471=1,IF(ISNUMBER(F471),TODAY()-F471,-1),-1)</f>
        <v>-1</v>
      </c>
      <c r="V471" s="53" t="n">
        <f aca="false">IF(U471&lt;0,IF(S471=1,5,0),IF(U471&lt;=30,1,IF(U471&lt;=60,2,IF(U471&lt;=90,3,4))))</f>
        <v>0</v>
      </c>
      <c r="W471" s="53" t="n">
        <f aca="false">IF(U471&lt;0,-1000000000000000,U471+ROW()/1000000)</f>
        <v>-1000000000000000</v>
      </c>
      <c r="X471" s="53" t="n">
        <f aca="false">IF(T471=1,IF(AND(ISNUMBER(F471),ISNUMBER(K471)),K471-F471,0),0)</f>
        <v>0</v>
      </c>
      <c r="Y471" s="53" t="n">
        <f aca="false">IF(T471=1,IF(AND(ISNUMBER(F471),ISNUMBER(K471)),1,0),0)</f>
        <v>0</v>
      </c>
      <c r="Z471" s="53" t="n">
        <f aca="false">IF(U471&gt;=Settings!$C$8,1,0)</f>
        <v>0</v>
      </c>
      <c r="AA471" s="53" t="n">
        <f aca="false">IF(S471=1,IF(J471="Listed / Publicado",0,1),0)</f>
        <v>0</v>
      </c>
      <c r="AB471" s="53" t="n">
        <f aca="false">IF(T471=1,IF(ISNUMBER(L471),L471-G471,0),0)</f>
        <v>0</v>
      </c>
      <c r="AC471" s="53" t="n">
        <f aca="false">IF(S471=1,IF(ISNUMBER(I471),I471-G471,0),0)</f>
        <v>0</v>
      </c>
    </row>
    <row r="472" customFormat="false" ht="15" hidden="false" customHeight="false" outlineLevel="0" collapsed="false">
      <c r="B472" s="54"/>
      <c r="C472" s="55"/>
      <c r="D472" s="55"/>
      <c r="E472" s="55"/>
      <c r="F472" s="56"/>
      <c r="G472" s="57"/>
      <c r="H472" s="55"/>
      <c r="I472" s="57"/>
      <c r="J472" s="54"/>
      <c r="K472" s="56"/>
      <c r="L472" s="57"/>
      <c r="M472" s="54"/>
      <c r="N472" s="58" t="str">
        <f aca="false">IF(S472=1,IF(U472&lt;0,"",U472),IF(Y472=1,X472,""))</f>
        <v/>
      </c>
      <c r="O472" s="59" t="str">
        <f aca="false">IF(S472=1,IF(ISNUMBER(I472),I472-G472,""),"")</f>
        <v/>
      </c>
      <c r="P472" s="59" t="str">
        <f aca="false">IF(T472=1,IF(ISNUMBER(L472),L472-G472,""),"")</f>
        <v/>
      </c>
      <c r="Q472" s="60" t="str">
        <f aca="false">IF(C472="","",IF(T472=1,"✔ SOLD / VENDIDO",IF(S472=0,"— CLOSED / CERRADO",IF(U472&lt;0,"⚠ ADD DATE / AGREGA FECHA",IF(U472&gt;=Settings!$C$8,"⚠ STALE – REPRICE / ESTANCADO",IF(U472&gt;=Settings!$C$7,"● WATCH / VIGILAR","✔ FRESH / RECIENTE"))))))</f>
        <v/>
      </c>
      <c r="S472" s="53" t="n">
        <f aca="false">IF(C472="",0,IF(OR(J472="",J472="In Stock / En Inventario",J472="Listed / Publicado"),1,0))</f>
        <v>0</v>
      </c>
      <c r="T472" s="53" t="n">
        <f aca="false">IF(C472="",0,IF(J472="Sold / Vendido",1,0))</f>
        <v>0</v>
      </c>
      <c r="U472" s="53" t="n">
        <f aca="true">IF(S472=1,IF(ISNUMBER(F472),TODAY()-F472,-1),-1)</f>
        <v>-1</v>
      </c>
      <c r="V472" s="53" t="n">
        <f aca="false">IF(U472&lt;0,IF(S472=1,5,0),IF(U472&lt;=30,1,IF(U472&lt;=60,2,IF(U472&lt;=90,3,4))))</f>
        <v>0</v>
      </c>
      <c r="W472" s="53" t="n">
        <f aca="false">IF(U472&lt;0,-1000000000000000,U472+ROW()/1000000)</f>
        <v>-1000000000000000</v>
      </c>
      <c r="X472" s="53" t="n">
        <f aca="false">IF(T472=1,IF(AND(ISNUMBER(F472),ISNUMBER(K472)),K472-F472,0),0)</f>
        <v>0</v>
      </c>
      <c r="Y472" s="53" t="n">
        <f aca="false">IF(T472=1,IF(AND(ISNUMBER(F472),ISNUMBER(K472)),1,0),0)</f>
        <v>0</v>
      </c>
      <c r="Z472" s="53" t="n">
        <f aca="false">IF(U472&gt;=Settings!$C$8,1,0)</f>
        <v>0</v>
      </c>
      <c r="AA472" s="53" t="n">
        <f aca="false">IF(S472=1,IF(J472="Listed / Publicado",0,1),0)</f>
        <v>0</v>
      </c>
      <c r="AB472" s="53" t="n">
        <f aca="false">IF(T472=1,IF(ISNUMBER(L472),L472-G472,0),0)</f>
        <v>0</v>
      </c>
      <c r="AC472" s="53" t="n">
        <f aca="false">IF(S472=1,IF(ISNUMBER(I472),I472-G472,0),0)</f>
        <v>0</v>
      </c>
    </row>
    <row r="473" customFormat="false" ht="15" hidden="false" customHeight="false" outlineLevel="0" collapsed="false">
      <c r="B473" s="54"/>
      <c r="C473" s="55"/>
      <c r="D473" s="55"/>
      <c r="E473" s="55"/>
      <c r="F473" s="56"/>
      <c r="G473" s="57"/>
      <c r="H473" s="55"/>
      <c r="I473" s="57"/>
      <c r="J473" s="54"/>
      <c r="K473" s="56"/>
      <c r="L473" s="57"/>
      <c r="M473" s="54"/>
      <c r="N473" s="58" t="str">
        <f aca="false">IF(S473=1,IF(U473&lt;0,"",U473),IF(Y473=1,X473,""))</f>
        <v/>
      </c>
      <c r="O473" s="59" t="str">
        <f aca="false">IF(S473=1,IF(ISNUMBER(I473),I473-G473,""),"")</f>
        <v/>
      </c>
      <c r="P473" s="59" t="str">
        <f aca="false">IF(T473=1,IF(ISNUMBER(L473),L473-G473,""),"")</f>
        <v/>
      </c>
      <c r="Q473" s="60" t="str">
        <f aca="false">IF(C473="","",IF(T473=1,"✔ SOLD / VENDIDO",IF(S473=0,"— CLOSED / CERRADO",IF(U473&lt;0,"⚠ ADD DATE / AGREGA FECHA",IF(U473&gt;=Settings!$C$8,"⚠ STALE – REPRICE / ESTANCADO",IF(U473&gt;=Settings!$C$7,"● WATCH / VIGILAR","✔ FRESH / RECIENTE"))))))</f>
        <v/>
      </c>
      <c r="S473" s="53" t="n">
        <f aca="false">IF(C473="",0,IF(OR(J473="",J473="In Stock / En Inventario",J473="Listed / Publicado"),1,0))</f>
        <v>0</v>
      </c>
      <c r="T473" s="53" t="n">
        <f aca="false">IF(C473="",0,IF(J473="Sold / Vendido",1,0))</f>
        <v>0</v>
      </c>
      <c r="U473" s="53" t="n">
        <f aca="true">IF(S473=1,IF(ISNUMBER(F473),TODAY()-F473,-1),-1)</f>
        <v>-1</v>
      </c>
      <c r="V473" s="53" t="n">
        <f aca="false">IF(U473&lt;0,IF(S473=1,5,0),IF(U473&lt;=30,1,IF(U473&lt;=60,2,IF(U473&lt;=90,3,4))))</f>
        <v>0</v>
      </c>
      <c r="W473" s="53" t="n">
        <f aca="false">IF(U473&lt;0,-1000000000000000,U473+ROW()/1000000)</f>
        <v>-1000000000000000</v>
      </c>
      <c r="X473" s="53" t="n">
        <f aca="false">IF(T473=1,IF(AND(ISNUMBER(F473),ISNUMBER(K473)),K473-F473,0),0)</f>
        <v>0</v>
      </c>
      <c r="Y473" s="53" t="n">
        <f aca="false">IF(T473=1,IF(AND(ISNUMBER(F473),ISNUMBER(K473)),1,0),0)</f>
        <v>0</v>
      </c>
      <c r="Z473" s="53" t="n">
        <f aca="false">IF(U473&gt;=Settings!$C$8,1,0)</f>
        <v>0</v>
      </c>
      <c r="AA473" s="53" t="n">
        <f aca="false">IF(S473=1,IF(J473="Listed / Publicado",0,1),0)</f>
        <v>0</v>
      </c>
      <c r="AB473" s="53" t="n">
        <f aca="false">IF(T473=1,IF(ISNUMBER(L473),L473-G473,0),0)</f>
        <v>0</v>
      </c>
      <c r="AC473" s="53" t="n">
        <f aca="false">IF(S473=1,IF(ISNUMBER(I473),I473-G473,0),0)</f>
        <v>0</v>
      </c>
    </row>
    <row r="474" customFormat="false" ht="15" hidden="false" customHeight="false" outlineLevel="0" collapsed="false">
      <c r="B474" s="54"/>
      <c r="C474" s="55"/>
      <c r="D474" s="55"/>
      <c r="E474" s="55"/>
      <c r="F474" s="56"/>
      <c r="G474" s="57"/>
      <c r="H474" s="55"/>
      <c r="I474" s="57"/>
      <c r="J474" s="54"/>
      <c r="K474" s="56"/>
      <c r="L474" s="57"/>
      <c r="M474" s="54"/>
      <c r="N474" s="58" t="str">
        <f aca="false">IF(S474=1,IF(U474&lt;0,"",U474),IF(Y474=1,X474,""))</f>
        <v/>
      </c>
      <c r="O474" s="59" t="str">
        <f aca="false">IF(S474=1,IF(ISNUMBER(I474),I474-G474,""),"")</f>
        <v/>
      </c>
      <c r="P474" s="59" t="str">
        <f aca="false">IF(T474=1,IF(ISNUMBER(L474),L474-G474,""),"")</f>
        <v/>
      </c>
      <c r="Q474" s="60" t="str">
        <f aca="false">IF(C474="","",IF(T474=1,"✔ SOLD / VENDIDO",IF(S474=0,"— CLOSED / CERRADO",IF(U474&lt;0,"⚠ ADD DATE / AGREGA FECHA",IF(U474&gt;=Settings!$C$8,"⚠ STALE – REPRICE / ESTANCADO",IF(U474&gt;=Settings!$C$7,"● WATCH / VIGILAR","✔ FRESH / RECIENTE"))))))</f>
        <v/>
      </c>
      <c r="S474" s="53" t="n">
        <f aca="false">IF(C474="",0,IF(OR(J474="",J474="In Stock / En Inventario",J474="Listed / Publicado"),1,0))</f>
        <v>0</v>
      </c>
      <c r="T474" s="53" t="n">
        <f aca="false">IF(C474="",0,IF(J474="Sold / Vendido",1,0))</f>
        <v>0</v>
      </c>
      <c r="U474" s="53" t="n">
        <f aca="true">IF(S474=1,IF(ISNUMBER(F474),TODAY()-F474,-1),-1)</f>
        <v>-1</v>
      </c>
      <c r="V474" s="53" t="n">
        <f aca="false">IF(U474&lt;0,IF(S474=1,5,0),IF(U474&lt;=30,1,IF(U474&lt;=60,2,IF(U474&lt;=90,3,4))))</f>
        <v>0</v>
      </c>
      <c r="W474" s="53" t="n">
        <f aca="false">IF(U474&lt;0,-1000000000000000,U474+ROW()/1000000)</f>
        <v>-1000000000000000</v>
      </c>
      <c r="X474" s="53" t="n">
        <f aca="false">IF(T474=1,IF(AND(ISNUMBER(F474),ISNUMBER(K474)),K474-F474,0),0)</f>
        <v>0</v>
      </c>
      <c r="Y474" s="53" t="n">
        <f aca="false">IF(T474=1,IF(AND(ISNUMBER(F474),ISNUMBER(K474)),1,0),0)</f>
        <v>0</v>
      </c>
      <c r="Z474" s="53" t="n">
        <f aca="false">IF(U474&gt;=Settings!$C$8,1,0)</f>
        <v>0</v>
      </c>
      <c r="AA474" s="53" t="n">
        <f aca="false">IF(S474=1,IF(J474="Listed / Publicado",0,1),0)</f>
        <v>0</v>
      </c>
      <c r="AB474" s="53" t="n">
        <f aca="false">IF(T474=1,IF(ISNUMBER(L474),L474-G474,0),0)</f>
        <v>0</v>
      </c>
      <c r="AC474" s="53" t="n">
        <f aca="false">IF(S474=1,IF(ISNUMBER(I474),I474-G474,0),0)</f>
        <v>0</v>
      </c>
    </row>
    <row r="475" customFormat="false" ht="15" hidden="false" customHeight="false" outlineLevel="0" collapsed="false">
      <c r="B475" s="54"/>
      <c r="C475" s="55"/>
      <c r="D475" s="55"/>
      <c r="E475" s="55"/>
      <c r="F475" s="56"/>
      <c r="G475" s="57"/>
      <c r="H475" s="55"/>
      <c r="I475" s="57"/>
      <c r="J475" s="54"/>
      <c r="K475" s="56"/>
      <c r="L475" s="57"/>
      <c r="M475" s="54"/>
      <c r="N475" s="58" t="str">
        <f aca="false">IF(S475=1,IF(U475&lt;0,"",U475),IF(Y475=1,X475,""))</f>
        <v/>
      </c>
      <c r="O475" s="59" t="str">
        <f aca="false">IF(S475=1,IF(ISNUMBER(I475),I475-G475,""),"")</f>
        <v/>
      </c>
      <c r="P475" s="59" t="str">
        <f aca="false">IF(T475=1,IF(ISNUMBER(L475),L475-G475,""),"")</f>
        <v/>
      </c>
      <c r="Q475" s="60" t="str">
        <f aca="false">IF(C475="","",IF(T475=1,"✔ SOLD / VENDIDO",IF(S475=0,"— CLOSED / CERRADO",IF(U475&lt;0,"⚠ ADD DATE / AGREGA FECHA",IF(U475&gt;=Settings!$C$8,"⚠ STALE – REPRICE / ESTANCADO",IF(U475&gt;=Settings!$C$7,"● WATCH / VIGILAR","✔ FRESH / RECIENTE"))))))</f>
        <v/>
      </c>
      <c r="S475" s="53" t="n">
        <f aca="false">IF(C475="",0,IF(OR(J475="",J475="In Stock / En Inventario",J475="Listed / Publicado"),1,0))</f>
        <v>0</v>
      </c>
      <c r="T475" s="53" t="n">
        <f aca="false">IF(C475="",0,IF(J475="Sold / Vendido",1,0))</f>
        <v>0</v>
      </c>
      <c r="U475" s="53" t="n">
        <f aca="true">IF(S475=1,IF(ISNUMBER(F475),TODAY()-F475,-1),-1)</f>
        <v>-1</v>
      </c>
      <c r="V475" s="53" t="n">
        <f aca="false">IF(U475&lt;0,IF(S475=1,5,0),IF(U475&lt;=30,1,IF(U475&lt;=60,2,IF(U475&lt;=90,3,4))))</f>
        <v>0</v>
      </c>
      <c r="W475" s="53" t="n">
        <f aca="false">IF(U475&lt;0,-1000000000000000,U475+ROW()/1000000)</f>
        <v>-1000000000000000</v>
      </c>
      <c r="X475" s="53" t="n">
        <f aca="false">IF(T475=1,IF(AND(ISNUMBER(F475),ISNUMBER(K475)),K475-F475,0),0)</f>
        <v>0</v>
      </c>
      <c r="Y475" s="53" t="n">
        <f aca="false">IF(T475=1,IF(AND(ISNUMBER(F475),ISNUMBER(K475)),1,0),0)</f>
        <v>0</v>
      </c>
      <c r="Z475" s="53" t="n">
        <f aca="false">IF(U475&gt;=Settings!$C$8,1,0)</f>
        <v>0</v>
      </c>
      <c r="AA475" s="53" t="n">
        <f aca="false">IF(S475=1,IF(J475="Listed / Publicado",0,1),0)</f>
        <v>0</v>
      </c>
      <c r="AB475" s="53" t="n">
        <f aca="false">IF(T475=1,IF(ISNUMBER(L475),L475-G475,0),0)</f>
        <v>0</v>
      </c>
      <c r="AC475" s="53" t="n">
        <f aca="false">IF(S475=1,IF(ISNUMBER(I475),I475-G475,0),0)</f>
        <v>0</v>
      </c>
    </row>
    <row r="476" customFormat="false" ht="15" hidden="false" customHeight="false" outlineLevel="0" collapsed="false">
      <c r="B476" s="54"/>
      <c r="C476" s="55"/>
      <c r="D476" s="55"/>
      <c r="E476" s="55"/>
      <c r="F476" s="56"/>
      <c r="G476" s="57"/>
      <c r="H476" s="55"/>
      <c r="I476" s="57"/>
      <c r="J476" s="54"/>
      <c r="K476" s="56"/>
      <c r="L476" s="57"/>
      <c r="M476" s="54"/>
      <c r="N476" s="58" t="str">
        <f aca="false">IF(S476=1,IF(U476&lt;0,"",U476),IF(Y476=1,X476,""))</f>
        <v/>
      </c>
      <c r="O476" s="59" t="str">
        <f aca="false">IF(S476=1,IF(ISNUMBER(I476),I476-G476,""),"")</f>
        <v/>
      </c>
      <c r="P476" s="59" t="str">
        <f aca="false">IF(T476=1,IF(ISNUMBER(L476),L476-G476,""),"")</f>
        <v/>
      </c>
      <c r="Q476" s="60" t="str">
        <f aca="false">IF(C476="","",IF(T476=1,"✔ SOLD / VENDIDO",IF(S476=0,"— CLOSED / CERRADO",IF(U476&lt;0,"⚠ ADD DATE / AGREGA FECHA",IF(U476&gt;=Settings!$C$8,"⚠ STALE – REPRICE / ESTANCADO",IF(U476&gt;=Settings!$C$7,"● WATCH / VIGILAR","✔ FRESH / RECIENTE"))))))</f>
        <v/>
      </c>
      <c r="S476" s="53" t="n">
        <f aca="false">IF(C476="",0,IF(OR(J476="",J476="In Stock / En Inventario",J476="Listed / Publicado"),1,0))</f>
        <v>0</v>
      </c>
      <c r="T476" s="53" t="n">
        <f aca="false">IF(C476="",0,IF(J476="Sold / Vendido",1,0))</f>
        <v>0</v>
      </c>
      <c r="U476" s="53" t="n">
        <f aca="true">IF(S476=1,IF(ISNUMBER(F476),TODAY()-F476,-1),-1)</f>
        <v>-1</v>
      </c>
      <c r="V476" s="53" t="n">
        <f aca="false">IF(U476&lt;0,IF(S476=1,5,0),IF(U476&lt;=30,1,IF(U476&lt;=60,2,IF(U476&lt;=90,3,4))))</f>
        <v>0</v>
      </c>
      <c r="W476" s="53" t="n">
        <f aca="false">IF(U476&lt;0,-1000000000000000,U476+ROW()/1000000)</f>
        <v>-1000000000000000</v>
      </c>
      <c r="X476" s="53" t="n">
        <f aca="false">IF(T476=1,IF(AND(ISNUMBER(F476),ISNUMBER(K476)),K476-F476,0),0)</f>
        <v>0</v>
      </c>
      <c r="Y476" s="53" t="n">
        <f aca="false">IF(T476=1,IF(AND(ISNUMBER(F476),ISNUMBER(K476)),1,0),0)</f>
        <v>0</v>
      </c>
      <c r="Z476" s="53" t="n">
        <f aca="false">IF(U476&gt;=Settings!$C$8,1,0)</f>
        <v>0</v>
      </c>
      <c r="AA476" s="53" t="n">
        <f aca="false">IF(S476=1,IF(J476="Listed / Publicado",0,1),0)</f>
        <v>0</v>
      </c>
      <c r="AB476" s="53" t="n">
        <f aca="false">IF(T476=1,IF(ISNUMBER(L476),L476-G476,0),0)</f>
        <v>0</v>
      </c>
      <c r="AC476" s="53" t="n">
        <f aca="false">IF(S476=1,IF(ISNUMBER(I476),I476-G476,0),0)</f>
        <v>0</v>
      </c>
    </row>
    <row r="477" customFormat="false" ht="15" hidden="false" customHeight="false" outlineLevel="0" collapsed="false">
      <c r="B477" s="54"/>
      <c r="C477" s="55"/>
      <c r="D477" s="55"/>
      <c r="E477" s="55"/>
      <c r="F477" s="56"/>
      <c r="G477" s="57"/>
      <c r="H477" s="55"/>
      <c r="I477" s="57"/>
      <c r="J477" s="54"/>
      <c r="K477" s="56"/>
      <c r="L477" s="57"/>
      <c r="M477" s="54"/>
      <c r="N477" s="58" t="str">
        <f aca="false">IF(S477=1,IF(U477&lt;0,"",U477),IF(Y477=1,X477,""))</f>
        <v/>
      </c>
      <c r="O477" s="59" t="str">
        <f aca="false">IF(S477=1,IF(ISNUMBER(I477),I477-G477,""),"")</f>
        <v/>
      </c>
      <c r="P477" s="59" t="str">
        <f aca="false">IF(T477=1,IF(ISNUMBER(L477),L477-G477,""),"")</f>
        <v/>
      </c>
      <c r="Q477" s="60" t="str">
        <f aca="false">IF(C477="","",IF(T477=1,"✔ SOLD / VENDIDO",IF(S477=0,"— CLOSED / CERRADO",IF(U477&lt;0,"⚠ ADD DATE / AGREGA FECHA",IF(U477&gt;=Settings!$C$8,"⚠ STALE – REPRICE / ESTANCADO",IF(U477&gt;=Settings!$C$7,"● WATCH / VIGILAR","✔ FRESH / RECIENTE"))))))</f>
        <v/>
      </c>
      <c r="S477" s="53" t="n">
        <f aca="false">IF(C477="",0,IF(OR(J477="",J477="In Stock / En Inventario",J477="Listed / Publicado"),1,0))</f>
        <v>0</v>
      </c>
      <c r="T477" s="53" t="n">
        <f aca="false">IF(C477="",0,IF(J477="Sold / Vendido",1,0))</f>
        <v>0</v>
      </c>
      <c r="U477" s="53" t="n">
        <f aca="true">IF(S477=1,IF(ISNUMBER(F477),TODAY()-F477,-1),-1)</f>
        <v>-1</v>
      </c>
      <c r="V477" s="53" t="n">
        <f aca="false">IF(U477&lt;0,IF(S477=1,5,0),IF(U477&lt;=30,1,IF(U477&lt;=60,2,IF(U477&lt;=90,3,4))))</f>
        <v>0</v>
      </c>
      <c r="W477" s="53" t="n">
        <f aca="false">IF(U477&lt;0,-1000000000000000,U477+ROW()/1000000)</f>
        <v>-1000000000000000</v>
      </c>
      <c r="X477" s="53" t="n">
        <f aca="false">IF(T477=1,IF(AND(ISNUMBER(F477),ISNUMBER(K477)),K477-F477,0),0)</f>
        <v>0</v>
      </c>
      <c r="Y477" s="53" t="n">
        <f aca="false">IF(T477=1,IF(AND(ISNUMBER(F477),ISNUMBER(K477)),1,0),0)</f>
        <v>0</v>
      </c>
      <c r="Z477" s="53" t="n">
        <f aca="false">IF(U477&gt;=Settings!$C$8,1,0)</f>
        <v>0</v>
      </c>
      <c r="AA477" s="53" t="n">
        <f aca="false">IF(S477=1,IF(J477="Listed / Publicado",0,1),0)</f>
        <v>0</v>
      </c>
      <c r="AB477" s="53" t="n">
        <f aca="false">IF(T477=1,IF(ISNUMBER(L477),L477-G477,0),0)</f>
        <v>0</v>
      </c>
      <c r="AC477" s="53" t="n">
        <f aca="false">IF(S477=1,IF(ISNUMBER(I477),I477-G477,0),0)</f>
        <v>0</v>
      </c>
    </row>
    <row r="478" customFormat="false" ht="15" hidden="false" customHeight="false" outlineLevel="0" collapsed="false">
      <c r="B478" s="54"/>
      <c r="C478" s="55"/>
      <c r="D478" s="55"/>
      <c r="E478" s="55"/>
      <c r="F478" s="56"/>
      <c r="G478" s="57"/>
      <c r="H478" s="55"/>
      <c r="I478" s="57"/>
      <c r="J478" s="54"/>
      <c r="K478" s="56"/>
      <c r="L478" s="57"/>
      <c r="M478" s="54"/>
      <c r="N478" s="58" t="str">
        <f aca="false">IF(S478=1,IF(U478&lt;0,"",U478),IF(Y478=1,X478,""))</f>
        <v/>
      </c>
      <c r="O478" s="59" t="str">
        <f aca="false">IF(S478=1,IF(ISNUMBER(I478),I478-G478,""),"")</f>
        <v/>
      </c>
      <c r="P478" s="59" t="str">
        <f aca="false">IF(T478=1,IF(ISNUMBER(L478),L478-G478,""),"")</f>
        <v/>
      </c>
      <c r="Q478" s="60" t="str">
        <f aca="false">IF(C478="","",IF(T478=1,"✔ SOLD / VENDIDO",IF(S478=0,"— CLOSED / CERRADO",IF(U478&lt;0,"⚠ ADD DATE / AGREGA FECHA",IF(U478&gt;=Settings!$C$8,"⚠ STALE – REPRICE / ESTANCADO",IF(U478&gt;=Settings!$C$7,"● WATCH / VIGILAR","✔ FRESH / RECIENTE"))))))</f>
        <v/>
      </c>
      <c r="S478" s="53" t="n">
        <f aca="false">IF(C478="",0,IF(OR(J478="",J478="In Stock / En Inventario",J478="Listed / Publicado"),1,0))</f>
        <v>0</v>
      </c>
      <c r="T478" s="53" t="n">
        <f aca="false">IF(C478="",0,IF(J478="Sold / Vendido",1,0))</f>
        <v>0</v>
      </c>
      <c r="U478" s="53" t="n">
        <f aca="true">IF(S478=1,IF(ISNUMBER(F478),TODAY()-F478,-1),-1)</f>
        <v>-1</v>
      </c>
      <c r="V478" s="53" t="n">
        <f aca="false">IF(U478&lt;0,IF(S478=1,5,0),IF(U478&lt;=30,1,IF(U478&lt;=60,2,IF(U478&lt;=90,3,4))))</f>
        <v>0</v>
      </c>
      <c r="W478" s="53" t="n">
        <f aca="false">IF(U478&lt;0,-1000000000000000,U478+ROW()/1000000)</f>
        <v>-1000000000000000</v>
      </c>
      <c r="X478" s="53" t="n">
        <f aca="false">IF(T478=1,IF(AND(ISNUMBER(F478),ISNUMBER(K478)),K478-F478,0),0)</f>
        <v>0</v>
      </c>
      <c r="Y478" s="53" t="n">
        <f aca="false">IF(T478=1,IF(AND(ISNUMBER(F478),ISNUMBER(K478)),1,0),0)</f>
        <v>0</v>
      </c>
      <c r="Z478" s="53" t="n">
        <f aca="false">IF(U478&gt;=Settings!$C$8,1,0)</f>
        <v>0</v>
      </c>
      <c r="AA478" s="53" t="n">
        <f aca="false">IF(S478=1,IF(J478="Listed / Publicado",0,1),0)</f>
        <v>0</v>
      </c>
      <c r="AB478" s="53" t="n">
        <f aca="false">IF(T478=1,IF(ISNUMBER(L478),L478-G478,0),0)</f>
        <v>0</v>
      </c>
      <c r="AC478" s="53" t="n">
        <f aca="false">IF(S478=1,IF(ISNUMBER(I478),I478-G478,0),0)</f>
        <v>0</v>
      </c>
    </row>
    <row r="479" customFormat="false" ht="15" hidden="false" customHeight="false" outlineLevel="0" collapsed="false">
      <c r="B479" s="54"/>
      <c r="C479" s="55"/>
      <c r="D479" s="55"/>
      <c r="E479" s="55"/>
      <c r="F479" s="56"/>
      <c r="G479" s="57"/>
      <c r="H479" s="55"/>
      <c r="I479" s="57"/>
      <c r="J479" s="54"/>
      <c r="K479" s="56"/>
      <c r="L479" s="57"/>
      <c r="M479" s="54"/>
      <c r="N479" s="58" t="str">
        <f aca="false">IF(S479=1,IF(U479&lt;0,"",U479),IF(Y479=1,X479,""))</f>
        <v/>
      </c>
      <c r="O479" s="59" t="str">
        <f aca="false">IF(S479=1,IF(ISNUMBER(I479),I479-G479,""),"")</f>
        <v/>
      </c>
      <c r="P479" s="59" t="str">
        <f aca="false">IF(T479=1,IF(ISNUMBER(L479),L479-G479,""),"")</f>
        <v/>
      </c>
      <c r="Q479" s="60" t="str">
        <f aca="false">IF(C479="","",IF(T479=1,"✔ SOLD / VENDIDO",IF(S479=0,"— CLOSED / CERRADO",IF(U479&lt;0,"⚠ ADD DATE / AGREGA FECHA",IF(U479&gt;=Settings!$C$8,"⚠ STALE – REPRICE / ESTANCADO",IF(U479&gt;=Settings!$C$7,"● WATCH / VIGILAR","✔ FRESH / RECIENTE"))))))</f>
        <v/>
      </c>
      <c r="S479" s="53" t="n">
        <f aca="false">IF(C479="",0,IF(OR(J479="",J479="In Stock / En Inventario",J479="Listed / Publicado"),1,0))</f>
        <v>0</v>
      </c>
      <c r="T479" s="53" t="n">
        <f aca="false">IF(C479="",0,IF(J479="Sold / Vendido",1,0))</f>
        <v>0</v>
      </c>
      <c r="U479" s="53" t="n">
        <f aca="true">IF(S479=1,IF(ISNUMBER(F479),TODAY()-F479,-1),-1)</f>
        <v>-1</v>
      </c>
      <c r="V479" s="53" t="n">
        <f aca="false">IF(U479&lt;0,IF(S479=1,5,0),IF(U479&lt;=30,1,IF(U479&lt;=60,2,IF(U479&lt;=90,3,4))))</f>
        <v>0</v>
      </c>
      <c r="W479" s="53" t="n">
        <f aca="false">IF(U479&lt;0,-1000000000000000,U479+ROW()/1000000)</f>
        <v>-1000000000000000</v>
      </c>
      <c r="X479" s="53" t="n">
        <f aca="false">IF(T479=1,IF(AND(ISNUMBER(F479),ISNUMBER(K479)),K479-F479,0),0)</f>
        <v>0</v>
      </c>
      <c r="Y479" s="53" t="n">
        <f aca="false">IF(T479=1,IF(AND(ISNUMBER(F479),ISNUMBER(K479)),1,0),0)</f>
        <v>0</v>
      </c>
      <c r="Z479" s="53" t="n">
        <f aca="false">IF(U479&gt;=Settings!$C$8,1,0)</f>
        <v>0</v>
      </c>
      <c r="AA479" s="53" t="n">
        <f aca="false">IF(S479=1,IF(J479="Listed / Publicado",0,1),0)</f>
        <v>0</v>
      </c>
      <c r="AB479" s="53" t="n">
        <f aca="false">IF(T479=1,IF(ISNUMBER(L479),L479-G479,0),0)</f>
        <v>0</v>
      </c>
      <c r="AC479" s="53" t="n">
        <f aca="false">IF(S479=1,IF(ISNUMBER(I479),I479-G479,0),0)</f>
        <v>0</v>
      </c>
    </row>
    <row r="480" customFormat="false" ht="15" hidden="false" customHeight="false" outlineLevel="0" collapsed="false">
      <c r="B480" s="54"/>
      <c r="C480" s="55"/>
      <c r="D480" s="55"/>
      <c r="E480" s="55"/>
      <c r="F480" s="56"/>
      <c r="G480" s="57"/>
      <c r="H480" s="55"/>
      <c r="I480" s="57"/>
      <c r="J480" s="54"/>
      <c r="K480" s="56"/>
      <c r="L480" s="57"/>
      <c r="M480" s="54"/>
      <c r="N480" s="58" t="str">
        <f aca="false">IF(S480=1,IF(U480&lt;0,"",U480),IF(Y480=1,X480,""))</f>
        <v/>
      </c>
      <c r="O480" s="59" t="str">
        <f aca="false">IF(S480=1,IF(ISNUMBER(I480),I480-G480,""),"")</f>
        <v/>
      </c>
      <c r="P480" s="59" t="str">
        <f aca="false">IF(T480=1,IF(ISNUMBER(L480),L480-G480,""),"")</f>
        <v/>
      </c>
      <c r="Q480" s="60" t="str">
        <f aca="false">IF(C480="","",IF(T480=1,"✔ SOLD / VENDIDO",IF(S480=0,"— CLOSED / CERRADO",IF(U480&lt;0,"⚠ ADD DATE / AGREGA FECHA",IF(U480&gt;=Settings!$C$8,"⚠ STALE – REPRICE / ESTANCADO",IF(U480&gt;=Settings!$C$7,"● WATCH / VIGILAR","✔ FRESH / RECIENTE"))))))</f>
        <v/>
      </c>
      <c r="S480" s="53" t="n">
        <f aca="false">IF(C480="",0,IF(OR(J480="",J480="In Stock / En Inventario",J480="Listed / Publicado"),1,0))</f>
        <v>0</v>
      </c>
      <c r="T480" s="53" t="n">
        <f aca="false">IF(C480="",0,IF(J480="Sold / Vendido",1,0))</f>
        <v>0</v>
      </c>
      <c r="U480" s="53" t="n">
        <f aca="true">IF(S480=1,IF(ISNUMBER(F480),TODAY()-F480,-1),-1)</f>
        <v>-1</v>
      </c>
      <c r="V480" s="53" t="n">
        <f aca="false">IF(U480&lt;0,IF(S480=1,5,0),IF(U480&lt;=30,1,IF(U480&lt;=60,2,IF(U480&lt;=90,3,4))))</f>
        <v>0</v>
      </c>
      <c r="W480" s="53" t="n">
        <f aca="false">IF(U480&lt;0,-1000000000000000,U480+ROW()/1000000)</f>
        <v>-1000000000000000</v>
      </c>
      <c r="X480" s="53" t="n">
        <f aca="false">IF(T480=1,IF(AND(ISNUMBER(F480),ISNUMBER(K480)),K480-F480,0),0)</f>
        <v>0</v>
      </c>
      <c r="Y480" s="53" t="n">
        <f aca="false">IF(T480=1,IF(AND(ISNUMBER(F480),ISNUMBER(K480)),1,0),0)</f>
        <v>0</v>
      </c>
      <c r="Z480" s="53" t="n">
        <f aca="false">IF(U480&gt;=Settings!$C$8,1,0)</f>
        <v>0</v>
      </c>
      <c r="AA480" s="53" t="n">
        <f aca="false">IF(S480=1,IF(J480="Listed / Publicado",0,1),0)</f>
        <v>0</v>
      </c>
      <c r="AB480" s="53" t="n">
        <f aca="false">IF(T480=1,IF(ISNUMBER(L480),L480-G480,0),0)</f>
        <v>0</v>
      </c>
      <c r="AC480" s="53" t="n">
        <f aca="false">IF(S480=1,IF(ISNUMBER(I480),I480-G480,0),0)</f>
        <v>0</v>
      </c>
    </row>
    <row r="481" customFormat="false" ht="15" hidden="false" customHeight="false" outlineLevel="0" collapsed="false">
      <c r="B481" s="54"/>
      <c r="C481" s="55"/>
      <c r="D481" s="55"/>
      <c r="E481" s="55"/>
      <c r="F481" s="56"/>
      <c r="G481" s="57"/>
      <c r="H481" s="55"/>
      <c r="I481" s="57"/>
      <c r="J481" s="54"/>
      <c r="K481" s="56"/>
      <c r="L481" s="57"/>
      <c r="M481" s="54"/>
      <c r="N481" s="58" t="str">
        <f aca="false">IF(S481=1,IF(U481&lt;0,"",U481),IF(Y481=1,X481,""))</f>
        <v/>
      </c>
      <c r="O481" s="59" t="str">
        <f aca="false">IF(S481=1,IF(ISNUMBER(I481),I481-G481,""),"")</f>
        <v/>
      </c>
      <c r="P481" s="59" t="str">
        <f aca="false">IF(T481=1,IF(ISNUMBER(L481),L481-G481,""),"")</f>
        <v/>
      </c>
      <c r="Q481" s="60" t="str">
        <f aca="false">IF(C481="","",IF(T481=1,"✔ SOLD / VENDIDO",IF(S481=0,"— CLOSED / CERRADO",IF(U481&lt;0,"⚠ ADD DATE / AGREGA FECHA",IF(U481&gt;=Settings!$C$8,"⚠ STALE – REPRICE / ESTANCADO",IF(U481&gt;=Settings!$C$7,"● WATCH / VIGILAR","✔ FRESH / RECIENTE"))))))</f>
        <v/>
      </c>
      <c r="S481" s="53" t="n">
        <f aca="false">IF(C481="",0,IF(OR(J481="",J481="In Stock / En Inventario",J481="Listed / Publicado"),1,0))</f>
        <v>0</v>
      </c>
      <c r="T481" s="53" t="n">
        <f aca="false">IF(C481="",0,IF(J481="Sold / Vendido",1,0))</f>
        <v>0</v>
      </c>
      <c r="U481" s="53" t="n">
        <f aca="true">IF(S481=1,IF(ISNUMBER(F481),TODAY()-F481,-1),-1)</f>
        <v>-1</v>
      </c>
      <c r="V481" s="53" t="n">
        <f aca="false">IF(U481&lt;0,IF(S481=1,5,0),IF(U481&lt;=30,1,IF(U481&lt;=60,2,IF(U481&lt;=90,3,4))))</f>
        <v>0</v>
      </c>
      <c r="W481" s="53" t="n">
        <f aca="false">IF(U481&lt;0,-1000000000000000,U481+ROW()/1000000)</f>
        <v>-1000000000000000</v>
      </c>
      <c r="X481" s="53" t="n">
        <f aca="false">IF(T481=1,IF(AND(ISNUMBER(F481),ISNUMBER(K481)),K481-F481,0),0)</f>
        <v>0</v>
      </c>
      <c r="Y481" s="53" t="n">
        <f aca="false">IF(T481=1,IF(AND(ISNUMBER(F481),ISNUMBER(K481)),1,0),0)</f>
        <v>0</v>
      </c>
      <c r="Z481" s="53" t="n">
        <f aca="false">IF(U481&gt;=Settings!$C$8,1,0)</f>
        <v>0</v>
      </c>
      <c r="AA481" s="53" t="n">
        <f aca="false">IF(S481=1,IF(J481="Listed / Publicado",0,1),0)</f>
        <v>0</v>
      </c>
      <c r="AB481" s="53" t="n">
        <f aca="false">IF(T481=1,IF(ISNUMBER(L481),L481-G481,0),0)</f>
        <v>0</v>
      </c>
      <c r="AC481" s="53" t="n">
        <f aca="false">IF(S481=1,IF(ISNUMBER(I481),I481-G481,0),0)</f>
        <v>0</v>
      </c>
    </row>
    <row r="482" customFormat="false" ht="15" hidden="false" customHeight="false" outlineLevel="0" collapsed="false">
      <c r="B482" s="54"/>
      <c r="C482" s="55"/>
      <c r="D482" s="55"/>
      <c r="E482" s="55"/>
      <c r="F482" s="56"/>
      <c r="G482" s="57"/>
      <c r="H482" s="55"/>
      <c r="I482" s="57"/>
      <c r="J482" s="54"/>
      <c r="K482" s="56"/>
      <c r="L482" s="57"/>
      <c r="M482" s="54"/>
      <c r="N482" s="58" t="str">
        <f aca="false">IF(S482=1,IF(U482&lt;0,"",U482),IF(Y482=1,X482,""))</f>
        <v/>
      </c>
      <c r="O482" s="59" t="str">
        <f aca="false">IF(S482=1,IF(ISNUMBER(I482),I482-G482,""),"")</f>
        <v/>
      </c>
      <c r="P482" s="59" t="str">
        <f aca="false">IF(T482=1,IF(ISNUMBER(L482),L482-G482,""),"")</f>
        <v/>
      </c>
      <c r="Q482" s="60" t="str">
        <f aca="false">IF(C482="","",IF(T482=1,"✔ SOLD / VENDIDO",IF(S482=0,"— CLOSED / CERRADO",IF(U482&lt;0,"⚠ ADD DATE / AGREGA FECHA",IF(U482&gt;=Settings!$C$8,"⚠ STALE – REPRICE / ESTANCADO",IF(U482&gt;=Settings!$C$7,"● WATCH / VIGILAR","✔ FRESH / RECIENTE"))))))</f>
        <v/>
      </c>
      <c r="S482" s="53" t="n">
        <f aca="false">IF(C482="",0,IF(OR(J482="",J482="In Stock / En Inventario",J482="Listed / Publicado"),1,0))</f>
        <v>0</v>
      </c>
      <c r="T482" s="53" t="n">
        <f aca="false">IF(C482="",0,IF(J482="Sold / Vendido",1,0))</f>
        <v>0</v>
      </c>
      <c r="U482" s="53" t="n">
        <f aca="true">IF(S482=1,IF(ISNUMBER(F482),TODAY()-F482,-1),-1)</f>
        <v>-1</v>
      </c>
      <c r="V482" s="53" t="n">
        <f aca="false">IF(U482&lt;0,IF(S482=1,5,0),IF(U482&lt;=30,1,IF(U482&lt;=60,2,IF(U482&lt;=90,3,4))))</f>
        <v>0</v>
      </c>
      <c r="W482" s="53" t="n">
        <f aca="false">IF(U482&lt;0,-1000000000000000,U482+ROW()/1000000)</f>
        <v>-1000000000000000</v>
      </c>
      <c r="X482" s="53" t="n">
        <f aca="false">IF(T482=1,IF(AND(ISNUMBER(F482),ISNUMBER(K482)),K482-F482,0),0)</f>
        <v>0</v>
      </c>
      <c r="Y482" s="53" t="n">
        <f aca="false">IF(T482=1,IF(AND(ISNUMBER(F482),ISNUMBER(K482)),1,0),0)</f>
        <v>0</v>
      </c>
      <c r="Z482" s="53" t="n">
        <f aca="false">IF(U482&gt;=Settings!$C$8,1,0)</f>
        <v>0</v>
      </c>
      <c r="AA482" s="53" t="n">
        <f aca="false">IF(S482=1,IF(J482="Listed / Publicado",0,1),0)</f>
        <v>0</v>
      </c>
      <c r="AB482" s="53" t="n">
        <f aca="false">IF(T482=1,IF(ISNUMBER(L482),L482-G482,0),0)</f>
        <v>0</v>
      </c>
      <c r="AC482" s="53" t="n">
        <f aca="false">IF(S482=1,IF(ISNUMBER(I482),I482-G482,0),0)</f>
        <v>0</v>
      </c>
    </row>
    <row r="483" customFormat="false" ht="15" hidden="false" customHeight="false" outlineLevel="0" collapsed="false">
      <c r="B483" s="54"/>
      <c r="C483" s="55"/>
      <c r="D483" s="55"/>
      <c r="E483" s="55"/>
      <c r="F483" s="56"/>
      <c r="G483" s="57"/>
      <c r="H483" s="55"/>
      <c r="I483" s="57"/>
      <c r="J483" s="54"/>
      <c r="K483" s="56"/>
      <c r="L483" s="57"/>
      <c r="M483" s="54"/>
      <c r="N483" s="58" t="str">
        <f aca="false">IF(S483=1,IF(U483&lt;0,"",U483),IF(Y483=1,X483,""))</f>
        <v/>
      </c>
      <c r="O483" s="59" t="str">
        <f aca="false">IF(S483=1,IF(ISNUMBER(I483),I483-G483,""),"")</f>
        <v/>
      </c>
      <c r="P483" s="59" t="str">
        <f aca="false">IF(T483=1,IF(ISNUMBER(L483),L483-G483,""),"")</f>
        <v/>
      </c>
      <c r="Q483" s="60" t="str">
        <f aca="false">IF(C483="","",IF(T483=1,"✔ SOLD / VENDIDO",IF(S483=0,"— CLOSED / CERRADO",IF(U483&lt;0,"⚠ ADD DATE / AGREGA FECHA",IF(U483&gt;=Settings!$C$8,"⚠ STALE – REPRICE / ESTANCADO",IF(U483&gt;=Settings!$C$7,"● WATCH / VIGILAR","✔ FRESH / RECIENTE"))))))</f>
        <v/>
      </c>
      <c r="S483" s="53" t="n">
        <f aca="false">IF(C483="",0,IF(OR(J483="",J483="In Stock / En Inventario",J483="Listed / Publicado"),1,0))</f>
        <v>0</v>
      </c>
      <c r="T483" s="53" t="n">
        <f aca="false">IF(C483="",0,IF(J483="Sold / Vendido",1,0))</f>
        <v>0</v>
      </c>
      <c r="U483" s="53" t="n">
        <f aca="true">IF(S483=1,IF(ISNUMBER(F483),TODAY()-F483,-1),-1)</f>
        <v>-1</v>
      </c>
      <c r="V483" s="53" t="n">
        <f aca="false">IF(U483&lt;0,IF(S483=1,5,0),IF(U483&lt;=30,1,IF(U483&lt;=60,2,IF(U483&lt;=90,3,4))))</f>
        <v>0</v>
      </c>
      <c r="W483" s="53" t="n">
        <f aca="false">IF(U483&lt;0,-1000000000000000,U483+ROW()/1000000)</f>
        <v>-1000000000000000</v>
      </c>
      <c r="X483" s="53" t="n">
        <f aca="false">IF(T483=1,IF(AND(ISNUMBER(F483),ISNUMBER(K483)),K483-F483,0),0)</f>
        <v>0</v>
      </c>
      <c r="Y483" s="53" t="n">
        <f aca="false">IF(T483=1,IF(AND(ISNUMBER(F483),ISNUMBER(K483)),1,0),0)</f>
        <v>0</v>
      </c>
      <c r="Z483" s="53" t="n">
        <f aca="false">IF(U483&gt;=Settings!$C$8,1,0)</f>
        <v>0</v>
      </c>
      <c r="AA483" s="53" t="n">
        <f aca="false">IF(S483=1,IF(J483="Listed / Publicado",0,1),0)</f>
        <v>0</v>
      </c>
      <c r="AB483" s="53" t="n">
        <f aca="false">IF(T483=1,IF(ISNUMBER(L483),L483-G483,0),0)</f>
        <v>0</v>
      </c>
      <c r="AC483" s="53" t="n">
        <f aca="false">IF(S483=1,IF(ISNUMBER(I483),I483-G483,0),0)</f>
        <v>0</v>
      </c>
    </row>
    <row r="484" customFormat="false" ht="15" hidden="false" customHeight="false" outlineLevel="0" collapsed="false">
      <c r="B484" s="54"/>
      <c r="C484" s="55"/>
      <c r="D484" s="55"/>
      <c r="E484" s="55"/>
      <c r="F484" s="56"/>
      <c r="G484" s="57"/>
      <c r="H484" s="55"/>
      <c r="I484" s="57"/>
      <c r="J484" s="54"/>
      <c r="K484" s="56"/>
      <c r="L484" s="57"/>
      <c r="M484" s="54"/>
      <c r="N484" s="58" t="str">
        <f aca="false">IF(S484=1,IF(U484&lt;0,"",U484),IF(Y484=1,X484,""))</f>
        <v/>
      </c>
      <c r="O484" s="59" t="str">
        <f aca="false">IF(S484=1,IF(ISNUMBER(I484),I484-G484,""),"")</f>
        <v/>
      </c>
      <c r="P484" s="59" t="str">
        <f aca="false">IF(T484=1,IF(ISNUMBER(L484),L484-G484,""),"")</f>
        <v/>
      </c>
      <c r="Q484" s="60" t="str">
        <f aca="false">IF(C484="","",IF(T484=1,"✔ SOLD / VENDIDO",IF(S484=0,"— CLOSED / CERRADO",IF(U484&lt;0,"⚠ ADD DATE / AGREGA FECHA",IF(U484&gt;=Settings!$C$8,"⚠ STALE – REPRICE / ESTANCADO",IF(U484&gt;=Settings!$C$7,"● WATCH / VIGILAR","✔ FRESH / RECIENTE"))))))</f>
        <v/>
      </c>
      <c r="S484" s="53" t="n">
        <f aca="false">IF(C484="",0,IF(OR(J484="",J484="In Stock / En Inventario",J484="Listed / Publicado"),1,0))</f>
        <v>0</v>
      </c>
      <c r="T484" s="53" t="n">
        <f aca="false">IF(C484="",0,IF(J484="Sold / Vendido",1,0))</f>
        <v>0</v>
      </c>
      <c r="U484" s="53" t="n">
        <f aca="true">IF(S484=1,IF(ISNUMBER(F484),TODAY()-F484,-1),-1)</f>
        <v>-1</v>
      </c>
      <c r="V484" s="53" t="n">
        <f aca="false">IF(U484&lt;0,IF(S484=1,5,0),IF(U484&lt;=30,1,IF(U484&lt;=60,2,IF(U484&lt;=90,3,4))))</f>
        <v>0</v>
      </c>
      <c r="W484" s="53" t="n">
        <f aca="false">IF(U484&lt;0,-1000000000000000,U484+ROW()/1000000)</f>
        <v>-1000000000000000</v>
      </c>
      <c r="X484" s="53" t="n">
        <f aca="false">IF(T484=1,IF(AND(ISNUMBER(F484),ISNUMBER(K484)),K484-F484,0),0)</f>
        <v>0</v>
      </c>
      <c r="Y484" s="53" t="n">
        <f aca="false">IF(T484=1,IF(AND(ISNUMBER(F484),ISNUMBER(K484)),1,0),0)</f>
        <v>0</v>
      </c>
      <c r="Z484" s="53" t="n">
        <f aca="false">IF(U484&gt;=Settings!$C$8,1,0)</f>
        <v>0</v>
      </c>
      <c r="AA484" s="53" t="n">
        <f aca="false">IF(S484=1,IF(J484="Listed / Publicado",0,1),0)</f>
        <v>0</v>
      </c>
      <c r="AB484" s="53" t="n">
        <f aca="false">IF(T484=1,IF(ISNUMBER(L484),L484-G484,0),0)</f>
        <v>0</v>
      </c>
      <c r="AC484" s="53" t="n">
        <f aca="false">IF(S484=1,IF(ISNUMBER(I484),I484-G484,0),0)</f>
        <v>0</v>
      </c>
    </row>
    <row r="485" customFormat="false" ht="15" hidden="false" customHeight="false" outlineLevel="0" collapsed="false">
      <c r="B485" s="54"/>
      <c r="C485" s="55"/>
      <c r="D485" s="55"/>
      <c r="E485" s="55"/>
      <c r="F485" s="56"/>
      <c r="G485" s="57"/>
      <c r="H485" s="55"/>
      <c r="I485" s="57"/>
      <c r="J485" s="54"/>
      <c r="K485" s="56"/>
      <c r="L485" s="57"/>
      <c r="M485" s="54"/>
      <c r="N485" s="58" t="str">
        <f aca="false">IF(S485=1,IF(U485&lt;0,"",U485),IF(Y485=1,X485,""))</f>
        <v/>
      </c>
      <c r="O485" s="59" t="str">
        <f aca="false">IF(S485=1,IF(ISNUMBER(I485),I485-G485,""),"")</f>
        <v/>
      </c>
      <c r="P485" s="59" t="str">
        <f aca="false">IF(T485=1,IF(ISNUMBER(L485),L485-G485,""),"")</f>
        <v/>
      </c>
      <c r="Q485" s="60" t="str">
        <f aca="false">IF(C485="","",IF(T485=1,"✔ SOLD / VENDIDO",IF(S485=0,"— CLOSED / CERRADO",IF(U485&lt;0,"⚠ ADD DATE / AGREGA FECHA",IF(U485&gt;=Settings!$C$8,"⚠ STALE – REPRICE / ESTANCADO",IF(U485&gt;=Settings!$C$7,"● WATCH / VIGILAR","✔ FRESH / RECIENTE"))))))</f>
        <v/>
      </c>
      <c r="S485" s="53" t="n">
        <f aca="false">IF(C485="",0,IF(OR(J485="",J485="In Stock / En Inventario",J485="Listed / Publicado"),1,0))</f>
        <v>0</v>
      </c>
      <c r="T485" s="53" t="n">
        <f aca="false">IF(C485="",0,IF(J485="Sold / Vendido",1,0))</f>
        <v>0</v>
      </c>
      <c r="U485" s="53" t="n">
        <f aca="true">IF(S485=1,IF(ISNUMBER(F485),TODAY()-F485,-1),-1)</f>
        <v>-1</v>
      </c>
      <c r="V485" s="53" t="n">
        <f aca="false">IF(U485&lt;0,IF(S485=1,5,0),IF(U485&lt;=30,1,IF(U485&lt;=60,2,IF(U485&lt;=90,3,4))))</f>
        <v>0</v>
      </c>
      <c r="W485" s="53" t="n">
        <f aca="false">IF(U485&lt;0,-1000000000000000,U485+ROW()/1000000)</f>
        <v>-1000000000000000</v>
      </c>
      <c r="X485" s="53" t="n">
        <f aca="false">IF(T485=1,IF(AND(ISNUMBER(F485),ISNUMBER(K485)),K485-F485,0),0)</f>
        <v>0</v>
      </c>
      <c r="Y485" s="53" t="n">
        <f aca="false">IF(T485=1,IF(AND(ISNUMBER(F485),ISNUMBER(K485)),1,0),0)</f>
        <v>0</v>
      </c>
      <c r="Z485" s="53" t="n">
        <f aca="false">IF(U485&gt;=Settings!$C$8,1,0)</f>
        <v>0</v>
      </c>
      <c r="AA485" s="53" t="n">
        <f aca="false">IF(S485=1,IF(J485="Listed / Publicado",0,1),0)</f>
        <v>0</v>
      </c>
      <c r="AB485" s="53" t="n">
        <f aca="false">IF(T485=1,IF(ISNUMBER(L485),L485-G485,0),0)</f>
        <v>0</v>
      </c>
      <c r="AC485" s="53" t="n">
        <f aca="false">IF(S485=1,IF(ISNUMBER(I485),I485-G485,0),0)</f>
        <v>0</v>
      </c>
    </row>
    <row r="486" customFormat="false" ht="15" hidden="false" customHeight="false" outlineLevel="0" collapsed="false">
      <c r="B486" s="54"/>
      <c r="C486" s="55"/>
      <c r="D486" s="55"/>
      <c r="E486" s="55"/>
      <c r="F486" s="56"/>
      <c r="G486" s="57"/>
      <c r="H486" s="55"/>
      <c r="I486" s="57"/>
      <c r="J486" s="54"/>
      <c r="K486" s="56"/>
      <c r="L486" s="57"/>
      <c r="M486" s="54"/>
      <c r="N486" s="58" t="str">
        <f aca="false">IF(S486=1,IF(U486&lt;0,"",U486),IF(Y486=1,X486,""))</f>
        <v/>
      </c>
      <c r="O486" s="59" t="str">
        <f aca="false">IF(S486=1,IF(ISNUMBER(I486),I486-G486,""),"")</f>
        <v/>
      </c>
      <c r="P486" s="59" t="str">
        <f aca="false">IF(T486=1,IF(ISNUMBER(L486),L486-G486,""),"")</f>
        <v/>
      </c>
      <c r="Q486" s="60" t="str">
        <f aca="false">IF(C486="","",IF(T486=1,"✔ SOLD / VENDIDO",IF(S486=0,"— CLOSED / CERRADO",IF(U486&lt;0,"⚠ ADD DATE / AGREGA FECHA",IF(U486&gt;=Settings!$C$8,"⚠ STALE – REPRICE / ESTANCADO",IF(U486&gt;=Settings!$C$7,"● WATCH / VIGILAR","✔ FRESH / RECIENTE"))))))</f>
        <v/>
      </c>
      <c r="S486" s="53" t="n">
        <f aca="false">IF(C486="",0,IF(OR(J486="",J486="In Stock / En Inventario",J486="Listed / Publicado"),1,0))</f>
        <v>0</v>
      </c>
      <c r="T486" s="53" t="n">
        <f aca="false">IF(C486="",0,IF(J486="Sold / Vendido",1,0))</f>
        <v>0</v>
      </c>
      <c r="U486" s="53" t="n">
        <f aca="true">IF(S486=1,IF(ISNUMBER(F486),TODAY()-F486,-1),-1)</f>
        <v>-1</v>
      </c>
      <c r="V486" s="53" t="n">
        <f aca="false">IF(U486&lt;0,IF(S486=1,5,0),IF(U486&lt;=30,1,IF(U486&lt;=60,2,IF(U486&lt;=90,3,4))))</f>
        <v>0</v>
      </c>
      <c r="W486" s="53" t="n">
        <f aca="false">IF(U486&lt;0,-1000000000000000,U486+ROW()/1000000)</f>
        <v>-1000000000000000</v>
      </c>
      <c r="X486" s="53" t="n">
        <f aca="false">IF(T486=1,IF(AND(ISNUMBER(F486),ISNUMBER(K486)),K486-F486,0),0)</f>
        <v>0</v>
      </c>
      <c r="Y486" s="53" t="n">
        <f aca="false">IF(T486=1,IF(AND(ISNUMBER(F486),ISNUMBER(K486)),1,0),0)</f>
        <v>0</v>
      </c>
      <c r="Z486" s="53" t="n">
        <f aca="false">IF(U486&gt;=Settings!$C$8,1,0)</f>
        <v>0</v>
      </c>
      <c r="AA486" s="53" t="n">
        <f aca="false">IF(S486=1,IF(J486="Listed / Publicado",0,1),0)</f>
        <v>0</v>
      </c>
      <c r="AB486" s="53" t="n">
        <f aca="false">IF(T486=1,IF(ISNUMBER(L486),L486-G486,0),0)</f>
        <v>0</v>
      </c>
      <c r="AC486" s="53" t="n">
        <f aca="false">IF(S486=1,IF(ISNUMBER(I486),I486-G486,0),0)</f>
        <v>0</v>
      </c>
    </row>
    <row r="487" customFormat="false" ht="15" hidden="false" customHeight="false" outlineLevel="0" collapsed="false">
      <c r="B487" s="54"/>
      <c r="C487" s="55"/>
      <c r="D487" s="55"/>
      <c r="E487" s="55"/>
      <c r="F487" s="56"/>
      <c r="G487" s="57"/>
      <c r="H487" s="55"/>
      <c r="I487" s="57"/>
      <c r="J487" s="54"/>
      <c r="K487" s="56"/>
      <c r="L487" s="57"/>
      <c r="M487" s="54"/>
      <c r="N487" s="58" t="str">
        <f aca="false">IF(S487=1,IF(U487&lt;0,"",U487),IF(Y487=1,X487,""))</f>
        <v/>
      </c>
      <c r="O487" s="59" t="str">
        <f aca="false">IF(S487=1,IF(ISNUMBER(I487),I487-G487,""),"")</f>
        <v/>
      </c>
      <c r="P487" s="59" t="str">
        <f aca="false">IF(T487=1,IF(ISNUMBER(L487),L487-G487,""),"")</f>
        <v/>
      </c>
      <c r="Q487" s="60" t="str">
        <f aca="false">IF(C487="","",IF(T487=1,"✔ SOLD / VENDIDO",IF(S487=0,"— CLOSED / CERRADO",IF(U487&lt;0,"⚠ ADD DATE / AGREGA FECHA",IF(U487&gt;=Settings!$C$8,"⚠ STALE – REPRICE / ESTANCADO",IF(U487&gt;=Settings!$C$7,"● WATCH / VIGILAR","✔ FRESH / RECIENTE"))))))</f>
        <v/>
      </c>
      <c r="S487" s="53" t="n">
        <f aca="false">IF(C487="",0,IF(OR(J487="",J487="In Stock / En Inventario",J487="Listed / Publicado"),1,0))</f>
        <v>0</v>
      </c>
      <c r="T487" s="53" t="n">
        <f aca="false">IF(C487="",0,IF(J487="Sold / Vendido",1,0))</f>
        <v>0</v>
      </c>
      <c r="U487" s="53" t="n">
        <f aca="true">IF(S487=1,IF(ISNUMBER(F487),TODAY()-F487,-1),-1)</f>
        <v>-1</v>
      </c>
      <c r="V487" s="53" t="n">
        <f aca="false">IF(U487&lt;0,IF(S487=1,5,0),IF(U487&lt;=30,1,IF(U487&lt;=60,2,IF(U487&lt;=90,3,4))))</f>
        <v>0</v>
      </c>
      <c r="W487" s="53" t="n">
        <f aca="false">IF(U487&lt;0,-1000000000000000,U487+ROW()/1000000)</f>
        <v>-1000000000000000</v>
      </c>
      <c r="X487" s="53" t="n">
        <f aca="false">IF(T487=1,IF(AND(ISNUMBER(F487),ISNUMBER(K487)),K487-F487,0),0)</f>
        <v>0</v>
      </c>
      <c r="Y487" s="53" t="n">
        <f aca="false">IF(T487=1,IF(AND(ISNUMBER(F487),ISNUMBER(K487)),1,0),0)</f>
        <v>0</v>
      </c>
      <c r="Z487" s="53" t="n">
        <f aca="false">IF(U487&gt;=Settings!$C$8,1,0)</f>
        <v>0</v>
      </c>
      <c r="AA487" s="53" t="n">
        <f aca="false">IF(S487=1,IF(J487="Listed / Publicado",0,1),0)</f>
        <v>0</v>
      </c>
      <c r="AB487" s="53" t="n">
        <f aca="false">IF(T487=1,IF(ISNUMBER(L487),L487-G487,0),0)</f>
        <v>0</v>
      </c>
      <c r="AC487" s="53" t="n">
        <f aca="false">IF(S487=1,IF(ISNUMBER(I487),I487-G487,0),0)</f>
        <v>0</v>
      </c>
    </row>
    <row r="488" customFormat="false" ht="15" hidden="false" customHeight="false" outlineLevel="0" collapsed="false">
      <c r="B488" s="54"/>
      <c r="C488" s="55"/>
      <c r="D488" s="55"/>
      <c r="E488" s="55"/>
      <c r="F488" s="56"/>
      <c r="G488" s="57"/>
      <c r="H488" s="55"/>
      <c r="I488" s="57"/>
      <c r="J488" s="54"/>
      <c r="K488" s="56"/>
      <c r="L488" s="57"/>
      <c r="M488" s="54"/>
      <c r="N488" s="58" t="str">
        <f aca="false">IF(S488=1,IF(U488&lt;0,"",U488),IF(Y488=1,X488,""))</f>
        <v/>
      </c>
      <c r="O488" s="59" t="str">
        <f aca="false">IF(S488=1,IF(ISNUMBER(I488),I488-G488,""),"")</f>
        <v/>
      </c>
      <c r="P488" s="59" t="str">
        <f aca="false">IF(T488=1,IF(ISNUMBER(L488),L488-G488,""),"")</f>
        <v/>
      </c>
      <c r="Q488" s="60" t="str">
        <f aca="false">IF(C488="","",IF(T488=1,"✔ SOLD / VENDIDO",IF(S488=0,"— CLOSED / CERRADO",IF(U488&lt;0,"⚠ ADD DATE / AGREGA FECHA",IF(U488&gt;=Settings!$C$8,"⚠ STALE – REPRICE / ESTANCADO",IF(U488&gt;=Settings!$C$7,"● WATCH / VIGILAR","✔ FRESH / RECIENTE"))))))</f>
        <v/>
      </c>
      <c r="S488" s="53" t="n">
        <f aca="false">IF(C488="",0,IF(OR(J488="",J488="In Stock / En Inventario",J488="Listed / Publicado"),1,0))</f>
        <v>0</v>
      </c>
      <c r="T488" s="53" t="n">
        <f aca="false">IF(C488="",0,IF(J488="Sold / Vendido",1,0))</f>
        <v>0</v>
      </c>
      <c r="U488" s="53" t="n">
        <f aca="true">IF(S488=1,IF(ISNUMBER(F488),TODAY()-F488,-1),-1)</f>
        <v>-1</v>
      </c>
      <c r="V488" s="53" t="n">
        <f aca="false">IF(U488&lt;0,IF(S488=1,5,0),IF(U488&lt;=30,1,IF(U488&lt;=60,2,IF(U488&lt;=90,3,4))))</f>
        <v>0</v>
      </c>
      <c r="W488" s="53" t="n">
        <f aca="false">IF(U488&lt;0,-1000000000000000,U488+ROW()/1000000)</f>
        <v>-1000000000000000</v>
      </c>
      <c r="X488" s="53" t="n">
        <f aca="false">IF(T488=1,IF(AND(ISNUMBER(F488),ISNUMBER(K488)),K488-F488,0),0)</f>
        <v>0</v>
      </c>
      <c r="Y488" s="53" t="n">
        <f aca="false">IF(T488=1,IF(AND(ISNUMBER(F488),ISNUMBER(K488)),1,0),0)</f>
        <v>0</v>
      </c>
      <c r="Z488" s="53" t="n">
        <f aca="false">IF(U488&gt;=Settings!$C$8,1,0)</f>
        <v>0</v>
      </c>
      <c r="AA488" s="53" t="n">
        <f aca="false">IF(S488=1,IF(J488="Listed / Publicado",0,1),0)</f>
        <v>0</v>
      </c>
      <c r="AB488" s="53" t="n">
        <f aca="false">IF(T488=1,IF(ISNUMBER(L488),L488-G488,0),0)</f>
        <v>0</v>
      </c>
      <c r="AC488" s="53" t="n">
        <f aca="false">IF(S488=1,IF(ISNUMBER(I488),I488-G488,0),0)</f>
        <v>0</v>
      </c>
    </row>
    <row r="489" customFormat="false" ht="15" hidden="false" customHeight="false" outlineLevel="0" collapsed="false">
      <c r="B489" s="54"/>
      <c r="C489" s="55"/>
      <c r="D489" s="55"/>
      <c r="E489" s="55"/>
      <c r="F489" s="56"/>
      <c r="G489" s="57"/>
      <c r="H489" s="55"/>
      <c r="I489" s="57"/>
      <c r="J489" s="54"/>
      <c r="K489" s="56"/>
      <c r="L489" s="57"/>
      <c r="M489" s="54"/>
      <c r="N489" s="58" t="str">
        <f aca="false">IF(S489=1,IF(U489&lt;0,"",U489),IF(Y489=1,X489,""))</f>
        <v/>
      </c>
      <c r="O489" s="59" t="str">
        <f aca="false">IF(S489=1,IF(ISNUMBER(I489),I489-G489,""),"")</f>
        <v/>
      </c>
      <c r="P489" s="59" t="str">
        <f aca="false">IF(T489=1,IF(ISNUMBER(L489),L489-G489,""),"")</f>
        <v/>
      </c>
      <c r="Q489" s="60" t="str">
        <f aca="false">IF(C489="","",IF(T489=1,"✔ SOLD / VENDIDO",IF(S489=0,"— CLOSED / CERRADO",IF(U489&lt;0,"⚠ ADD DATE / AGREGA FECHA",IF(U489&gt;=Settings!$C$8,"⚠ STALE – REPRICE / ESTANCADO",IF(U489&gt;=Settings!$C$7,"● WATCH / VIGILAR","✔ FRESH / RECIENTE"))))))</f>
        <v/>
      </c>
      <c r="S489" s="53" t="n">
        <f aca="false">IF(C489="",0,IF(OR(J489="",J489="In Stock / En Inventario",J489="Listed / Publicado"),1,0))</f>
        <v>0</v>
      </c>
      <c r="T489" s="53" t="n">
        <f aca="false">IF(C489="",0,IF(J489="Sold / Vendido",1,0))</f>
        <v>0</v>
      </c>
      <c r="U489" s="53" t="n">
        <f aca="true">IF(S489=1,IF(ISNUMBER(F489),TODAY()-F489,-1),-1)</f>
        <v>-1</v>
      </c>
      <c r="V489" s="53" t="n">
        <f aca="false">IF(U489&lt;0,IF(S489=1,5,0),IF(U489&lt;=30,1,IF(U489&lt;=60,2,IF(U489&lt;=90,3,4))))</f>
        <v>0</v>
      </c>
      <c r="W489" s="53" t="n">
        <f aca="false">IF(U489&lt;0,-1000000000000000,U489+ROW()/1000000)</f>
        <v>-1000000000000000</v>
      </c>
      <c r="X489" s="53" t="n">
        <f aca="false">IF(T489=1,IF(AND(ISNUMBER(F489),ISNUMBER(K489)),K489-F489,0),0)</f>
        <v>0</v>
      </c>
      <c r="Y489" s="53" t="n">
        <f aca="false">IF(T489=1,IF(AND(ISNUMBER(F489),ISNUMBER(K489)),1,0),0)</f>
        <v>0</v>
      </c>
      <c r="Z489" s="53" t="n">
        <f aca="false">IF(U489&gt;=Settings!$C$8,1,0)</f>
        <v>0</v>
      </c>
      <c r="AA489" s="53" t="n">
        <f aca="false">IF(S489=1,IF(J489="Listed / Publicado",0,1),0)</f>
        <v>0</v>
      </c>
      <c r="AB489" s="53" t="n">
        <f aca="false">IF(T489=1,IF(ISNUMBER(L489),L489-G489,0),0)</f>
        <v>0</v>
      </c>
      <c r="AC489" s="53" t="n">
        <f aca="false">IF(S489=1,IF(ISNUMBER(I489),I489-G489,0),0)</f>
        <v>0</v>
      </c>
    </row>
    <row r="490" customFormat="false" ht="15" hidden="false" customHeight="false" outlineLevel="0" collapsed="false">
      <c r="B490" s="54"/>
      <c r="C490" s="55"/>
      <c r="D490" s="55"/>
      <c r="E490" s="55"/>
      <c r="F490" s="56"/>
      <c r="G490" s="57"/>
      <c r="H490" s="55"/>
      <c r="I490" s="57"/>
      <c r="J490" s="54"/>
      <c r="K490" s="56"/>
      <c r="L490" s="57"/>
      <c r="M490" s="54"/>
      <c r="N490" s="58" t="str">
        <f aca="false">IF(S490=1,IF(U490&lt;0,"",U490),IF(Y490=1,X490,""))</f>
        <v/>
      </c>
      <c r="O490" s="59" t="str">
        <f aca="false">IF(S490=1,IF(ISNUMBER(I490),I490-G490,""),"")</f>
        <v/>
      </c>
      <c r="P490" s="59" t="str">
        <f aca="false">IF(T490=1,IF(ISNUMBER(L490),L490-G490,""),"")</f>
        <v/>
      </c>
      <c r="Q490" s="60" t="str">
        <f aca="false">IF(C490="","",IF(T490=1,"✔ SOLD / VENDIDO",IF(S490=0,"— CLOSED / CERRADO",IF(U490&lt;0,"⚠ ADD DATE / AGREGA FECHA",IF(U490&gt;=Settings!$C$8,"⚠ STALE – REPRICE / ESTANCADO",IF(U490&gt;=Settings!$C$7,"● WATCH / VIGILAR","✔ FRESH / RECIENTE"))))))</f>
        <v/>
      </c>
      <c r="S490" s="53" t="n">
        <f aca="false">IF(C490="",0,IF(OR(J490="",J490="In Stock / En Inventario",J490="Listed / Publicado"),1,0))</f>
        <v>0</v>
      </c>
      <c r="T490" s="53" t="n">
        <f aca="false">IF(C490="",0,IF(J490="Sold / Vendido",1,0))</f>
        <v>0</v>
      </c>
      <c r="U490" s="53" t="n">
        <f aca="true">IF(S490=1,IF(ISNUMBER(F490),TODAY()-F490,-1),-1)</f>
        <v>-1</v>
      </c>
      <c r="V490" s="53" t="n">
        <f aca="false">IF(U490&lt;0,IF(S490=1,5,0),IF(U490&lt;=30,1,IF(U490&lt;=60,2,IF(U490&lt;=90,3,4))))</f>
        <v>0</v>
      </c>
      <c r="W490" s="53" t="n">
        <f aca="false">IF(U490&lt;0,-1000000000000000,U490+ROW()/1000000)</f>
        <v>-1000000000000000</v>
      </c>
      <c r="X490" s="53" t="n">
        <f aca="false">IF(T490=1,IF(AND(ISNUMBER(F490),ISNUMBER(K490)),K490-F490,0),0)</f>
        <v>0</v>
      </c>
      <c r="Y490" s="53" t="n">
        <f aca="false">IF(T490=1,IF(AND(ISNUMBER(F490),ISNUMBER(K490)),1,0),0)</f>
        <v>0</v>
      </c>
      <c r="Z490" s="53" t="n">
        <f aca="false">IF(U490&gt;=Settings!$C$8,1,0)</f>
        <v>0</v>
      </c>
      <c r="AA490" s="53" t="n">
        <f aca="false">IF(S490=1,IF(J490="Listed / Publicado",0,1),0)</f>
        <v>0</v>
      </c>
      <c r="AB490" s="53" t="n">
        <f aca="false">IF(T490=1,IF(ISNUMBER(L490),L490-G490,0),0)</f>
        <v>0</v>
      </c>
      <c r="AC490" s="53" t="n">
        <f aca="false">IF(S490=1,IF(ISNUMBER(I490),I490-G490,0),0)</f>
        <v>0</v>
      </c>
    </row>
    <row r="491" customFormat="false" ht="15" hidden="false" customHeight="false" outlineLevel="0" collapsed="false">
      <c r="B491" s="54"/>
      <c r="C491" s="55"/>
      <c r="D491" s="55"/>
      <c r="E491" s="55"/>
      <c r="F491" s="56"/>
      <c r="G491" s="57"/>
      <c r="H491" s="55"/>
      <c r="I491" s="57"/>
      <c r="J491" s="54"/>
      <c r="K491" s="56"/>
      <c r="L491" s="57"/>
      <c r="M491" s="54"/>
      <c r="N491" s="58" t="str">
        <f aca="false">IF(S491=1,IF(U491&lt;0,"",U491),IF(Y491=1,X491,""))</f>
        <v/>
      </c>
      <c r="O491" s="59" t="str">
        <f aca="false">IF(S491=1,IF(ISNUMBER(I491),I491-G491,""),"")</f>
        <v/>
      </c>
      <c r="P491" s="59" t="str">
        <f aca="false">IF(T491=1,IF(ISNUMBER(L491),L491-G491,""),"")</f>
        <v/>
      </c>
      <c r="Q491" s="60" t="str">
        <f aca="false">IF(C491="","",IF(T491=1,"✔ SOLD / VENDIDO",IF(S491=0,"— CLOSED / CERRADO",IF(U491&lt;0,"⚠ ADD DATE / AGREGA FECHA",IF(U491&gt;=Settings!$C$8,"⚠ STALE – REPRICE / ESTANCADO",IF(U491&gt;=Settings!$C$7,"● WATCH / VIGILAR","✔ FRESH / RECIENTE"))))))</f>
        <v/>
      </c>
      <c r="S491" s="53" t="n">
        <f aca="false">IF(C491="",0,IF(OR(J491="",J491="In Stock / En Inventario",J491="Listed / Publicado"),1,0))</f>
        <v>0</v>
      </c>
      <c r="T491" s="53" t="n">
        <f aca="false">IF(C491="",0,IF(J491="Sold / Vendido",1,0))</f>
        <v>0</v>
      </c>
      <c r="U491" s="53" t="n">
        <f aca="true">IF(S491=1,IF(ISNUMBER(F491),TODAY()-F491,-1),-1)</f>
        <v>-1</v>
      </c>
      <c r="V491" s="53" t="n">
        <f aca="false">IF(U491&lt;0,IF(S491=1,5,0),IF(U491&lt;=30,1,IF(U491&lt;=60,2,IF(U491&lt;=90,3,4))))</f>
        <v>0</v>
      </c>
      <c r="W491" s="53" t="n">
        <f aca="false">IF(U491&lt;0,-1000000000000000,U491+ROW()/1000000)</f>
        <v>-1000000000000000</v>
      </c>
      <c r="X491" s="53" t="n">
        <f aca="false">IF(T491=1,IF(AND(ISNUMBER(F491),ISNUMBER(K491)),K491-F491,0),0)</f>
        <v>0</v>
      </c>
      <c r="Y491" s="53" t="n">
        <f aca="false">IF(T491=1,IF(AND(ISNUMBER(F491),ISNUMBER(K491)),1,0),0)</f>
        <v>0</v>
      </c>
      <c r="Z491" s="53" t="n">
        <f aca="false">IF(U491&gt;=Settings!$C$8,1,0)</f>
        <v>0</v>
      </c>
      <c r="AA491" s="53" t="n">
        <f aca="false">IF(S491=1,IF(J491="Listed / Publicado",0,1),0)</f>
        <v>0</v>
      </c>
      <c r="AB491" s="53" t="n">
        <f aca="false">IF(T491=1,IF(ISNUMBER(L491),L491-G491,0),0)</f>
        <v>0</v>
      </c>
      <c r="AC491" s="53" t="n">
        <f aca="false">IF(S491=1,IF(ISNUMBER(I491),I491-G491,0),0)</f>
        <v>0</v>
      </c>
    </row>
    <row r="492" customFormat="false" ht="15" hidden="false" customHeight="false" outlineLevel="0" collapsed="false">
      <c r="B492" s="54"/>
      <c r="C492" s="55"/>
      <c r="D492" s="55"/>
      <c r="E492" s="55"/>
      <c r="F492" s="56"/>
      <c r="G492" s="57"/>
      <c r="H492" s="55"/>
      <c r="I492" s="57"/>
      <c r="J492" s="54"/>
      <c r="K492" s="56"/>
      <c r="L492" s="57"/>
      <c r="M492" s="54"/>
      <c r="N492" s="58" t="str">
        <f aca="false">IF(S492=1,IF(U492&lt;0,"",U492),IF(Y492=1,X492,""))</f>
        <v/>
      </c>
      <c r="O492" s="59" t="str">
        <f aca="false">IF(S492=1,IF(ISNUMBER(I492),I492-G492,""),"")</f>
        <v/>
      </c>
      <c r="P492" s="59" t="str">
        <f aca="false">IF(T492=1,IF(ISNUMBER(L492),L492-G492,""),"")</f>
        <v/>
      </c>
      <c r="Q492" s="60" t="str">
        <f aca="false">IF(C492="","",IF(T492=1,"✔ SOLD / VENDIDO",IF(S492=0,"— CLOSED / CERRADO",IF(U492&lt;0,"⚠ ADD DATE / AGREGA FECHA",IF(U492&gt;=Settings!$C$8,"⚠ STALE – REPRICE / ESTANCADO",IF(U492&gt;=Settings!$C$7,"● WATCH / VIGILAR","✔ FRESH / RECIENTE"))))))</f>
        <v/>
      </c>
      <c r="S492" s="53" t="n">
        <f aca="false">IF(C492="",0,IF(OR(J492="",J492="In Stock / En Inventario",J492="Listed / Publicado"),1,0))</f>
        <v>0</v>
      </c>
      <c r="T492" s="53" t="n">
        <f aca="false">IF(C492="",0,IF(J492="Sold / Vendido",1,0))</f>
        <v>0</v>
      </c>
      <c r="U492" s="53" t="n">
        <f aca="true">IF(S492=1,IF(ISNUMBER(F492),TODAY()-F492,-1),-1)</f>
        <v>-1</v>
      </c>
      <c r="V492" s="53" t="n">
        <f aca="false">IF(U492&lt;0,IF(S492=1,5,0),IF(U492&lt;=30,1,IF(U492&lt;=60,2,IF(U492&lt;=90,3,4))))</f>
        <v>0</v>
      </c>
      <c r="W492" s="53" t="n">
        <f aca="false">IF(U492&lt;0,-1000000000000000,U492+ROW()/1000000)</f>
        <v>-1000000000000000</v>
      </c>
      <c r="X492" s="53" t="n">
        <f aca="false">IF(T492=1,IF(AND(ISNUMBER(F492),ISNUMBER(K492)),K492-F492,0),0)</f>
        <v>0</v>
      </c>
      <c r="Y492" s="53" t="n">
        <f aca="false">IF(T492=1,IF(AND(ISNUMBER(F492),ISNUMBER(K492)),1,0),0)</f>
        <v>0</v>
      </c>
      <c r="Z492" s="53" t="n">
        <f aca="false">IF(U492&gt;=Settings!$C$8,1,0)</f>
        <v>0</v>
      </c>
      <c r="AA492" s="53" t="n">
        <f aca="false">IF(S492=1,IF(J492="Listed / Publicado",0,1),0)</f>
        <v>0</v>
      </c>
      <c r="AB492" s="53" t="n">
        <f aca="false">IF(T492=1,IF(ISNUMBER(L492),L492-G492,0),0)</f>
        <v>0</v>
      </c>
      <c r="AC492" s="53" t="n">
        <f aca="false">IF(S492=1,IF(ISNUMBER(I492),I492-G492,0),0)</f>
        <v>0</v>
      </c>
    </row>
    <row r="493" customFormat="false" ht="15" hidden="false" customHeight="false" outlineLevel="0" collapsed="false">
      <c r="B493" s="54"/>
      <c r="C493" s="55"/>
      <c r="D493" s="55"/>
      <c r="E493" s="55"/>
      <c r="F493" s="56"/>
      <c r="G493" s="57"/>
      <c r="H493" s="55"/>
      <c r="I493" s="57"/>
      <c r="J493" s="54"/>
      <c r="K493" s="56"/>
      <c r="L493" s="57"/>
      <c r="M493" s="54"/>
      <c r="N493" s="58" t="str">
        <f aca="false">IF(S493=1,IF(U493&lt;0,"",U493),IF(Y493=1,X493,""))</f>
        <v/>
      </c>
      <c r="O493" s="59" t="str">
        <f aca="false">IF(S493=1,IF(ISNUMBER(I493),I493-G493,""),"")</f>
        <v/>
      </c>
      <c r="P493" s="59" t="str">
        <f aca="false">IF(T493=1,IF(ISNUMBER(L493),L493-G493,""),"")</f>
        <v/>
      </c>
      <c r="Q493" s="60" t="str">
        <f aca="false">IF(C493="","",IF(T493=1,"✔ SOLD / VENDIDO",IF(S493=0,"— CLOSED / CERRADO",IF(U493&lt;0,"⚠ ADD DATE / AGREGA FECHA",IF(U493&gt;=Settings!$C$8,"⚠ STALE – REPRICE / ESTANCADO",IF(U493&gt;=Settings!$C$7,"● WATCH / VIGILAR","✔ FRESH / RECIENTE"))))))</f>
        <v/>
      </c>
      <c r="S493" s="53" t="n">
        <f aca="false">IF(C493="",0,IF(OR(J493="",J493="In Stock / En Inventario",J493="Listed / Publicado"),1,0))</f>
        <v>0</v>
      </c>
      <c r="T493" s="53" t="n">
        <f aca="false">IF(C493="",0,IF(J493="Sold / Vendido",1,0))</f>
        <v>0</v>
      </c>
      <c r="U493" s="53" t="n">
        <f aca="true">IF(S493=1,IF(ISNUMBER(F493),TODAY()-F493,-1),-1)</f>
        <v>-1</v>
      </c>
      <c r="V493" s="53" t="n">
        <f aca="false">IF(U493&lt;0,IF(S493=1,5,0),IF(U493&lt;=30,1,IF(U493&lt;=60,2,IF(U493&lt;=90,3,4))))</f>
        <v>0</v>
      </c>
      <c r="W493" s="53" t="n">
        <f aca="false">IF(U493&lt;0,-1000000000000000,U493+ROW()/1000000)</f>
        <v>-1000000000000000</v>
      </c>
      <c r="X493" s="53" t="n">
        <f aca="false">IF(T493=1,IF(AND(ISNUMBER(F493),ISNUMBER(K493)),K493-F493,0),0)</f>
        <v>0</v>
      </c>
      <c r="Y493" s="53" t="n">
        <f aca="false">IF(T493=1,IF(AND(ISNUMBER(F493),ISNUMBER(K493)),1,0),0)</f>
        <v>0</v>
      </c>
      <c r="Z493" s="53" t="n">
        <f aca="false">IF(U493&gt;=Settings!$C$8,1,0)</f>
        <v>0</v>
      </c>
      <c r="AA493" s="53" t="n">
        <f aca="false">IF(S493=1,IF(J493="Listed / Publicado",0,1),0)</f>
        <v>0</v>
      </c>
      <c r="AB493" s="53" t="n">
        <f aca="false">IF(T493=1,IF(ISNUMBER(L493),L493-G493,0),0)</f>
        <v>0</v>
      </c>
      <c r="AC493" s="53" t="n">
        <f aca="false">IF(S493=1,IF(ISNUMBER(I493),I493-G493,0),0)</f>
        <v>0</v>
      </c>
    </row>
    <row r="494" customFormat="false" ht="15" hidden="false" customHeight="false" outlineLevel="0" collapsed="false">
      <c r="B494" s="54"/>
      <c r="C494" s="55"/>
      <c r="D494" s="55"/>
      <c r="E494" s="55"/>
      <c r="F494" s="56"/>
      <c r="G494" s="57"/>
      <c r="H494" s="55"/>
      <c r="I494" s="57"/>
      <c r="J494" s="54"/>
      <c r="K494" s="56"/>
      <c r="L494" s="57"/>
      <c r="M494" s="54"/>
      <c r="N494" s="58" t="str">
        <f aca="false">IF(S494=1,IF(U494&lt;0,"",U494),IF(Y494=1,X494,""))</f>
        <v/>
      </c>
      <c r="O494" s="59" t="str">
        <f aca="false">IF(S494=1,IF(ISNUMBER(I494),I494-G494,""),"")</f>
        <v/>
      </c>
      <c r="P494" s="59" t="str">
        <f aca="false">IF(T494=1,IF(ISNUMBER(L494),L494-G494,""),"")</f>
        <v/>
      </c>
      <c r="Q494" s="60" t="str">
        <f aca="false">IF(C494="","",IF(T494=1,"✔ SOLD / VENDIDO",IF(S494=0,"— CLOSED / CERRADO",IF(U494&lt;0,"⚠ ADD DATE / AGREGA FECHA",IF(U494&gt;=Settings!$C$8,"⚠ STALE – REPRICE / ESTANCADO",IF(U494&gt;=Settings!$C$7,"● WATCH / VIGILAR","✔ FRESH / RECIENTE"))))))</f>
        <v/>
      </c>
      <c r="S494" s="53" t="n">
        <f aca="false">IF(C494="",0,IF(OR(J494="",J494="In Stock / En Inventario",J494="Listed / Publicado"),1,0))</f>
        <v>0</v>
      </c>
      <c r="T494" s="53" t="n">
        <f aca="false">IF(C494="",0,IF(J494="Sold / Vendido",1,0))</f>
        <v>0</v>
      </c>
      <c r="U494" s="53" t="n">
        <f aca="true">IF(S494=1,IF(ISNUMBER(F494),TODAY()-F494,-1),-1)</f>
        <v>-1</v>
      </c>
      <c r="V494" s="53" t="n">
        <f aca="false">IF(U494&lt;0,IF(S494=1,5,0),IF(U494&lt;=30,1,IF(U494&lt;=60,2,IF(U494&lt;=90,3,4))))</f>
        <v>0</v>
      </c>
      <c r="W494" s="53" t="n">
        <f aca="false">IF(U494&lt;0,-1000000000000000,U494+ROW()/1000000)</f>
        <v>-1000000000000000</v>
      </c>
      <c r="X494" s="53" t="n">
        <f aca="false">IF(T494=1,IF(AND(ISNUMBER(F494),ISNUMBER(K494)),K494-F494,0),0)</f>
        <v>0</v>
      </c>
      <c r="Y494" s="53" t="n">
        <f aca="false">IF(T494=1,IF(AND(ISNUMBER(F494),ISNUMBER(K494)),1,0),0)</f>
        <v>0</v>
      </c>
      <c r="Z494" s="53" t="n">
        <f aca="false">IF(U494&gt;=Settings!$C$8,1,0)</f>
        <v>0</v>
      </c>
      <c r="AA494" s="53" t="n">
        <f aca="false">IF(S494=1,IF(J494="Listed / Publicado",0,1),0)</f>
        <v>0</v>
      </c>
      <c r="AB494" s="53" t="n">
        <f aca="false">IF(T494=1,IF(ISNUMBER(L494),L494-G494,0),0)</f>
        <v>0</v>
      </c>
      <c r="AC494" s="53" t="n">
        <f aca="false">IF(S494=1,IF(ISNUMBER(I494),I494-G494,0),0)</f>
        <v>0</v>
      </c>
    </row>
    <row r="495" customFormat="false" ht="15" hidden="false" customHeight="false" outlineLevel="0" collapsed="false">
      <c r="B495" s="54"/>
      <c r="C495" s="55"/>
      <c r="D495" s="55"/>
      <c r="E495" s="55"/>
      <c r="F495" s="56"/>
      <c r="G495" s="57"/>
      <c r="H495" s="55"/>
      <c r="I495" s="57"/>
      <c r="J495" s="54"/>
      <c r="K495" s="56"/>
      <c r="L495" s="57"/>
      <c r="M495" s="54"/>
      <c r="N495" s="58" t="str">
        <f aca="false">IF(S495=1,IF(U495&lt;0,"",U495),IF(Y495=1,X495,""))</f>
        <v/>
      </c>
      <c r="O495" s="59" t="str">
        <f aca="false">IF(S495=1,IF(ISNUMBER(I495),I495-G495,""),"")</f>
        <v/>
      </c>
      <c r="P495" s="59" t="str">
        <f aca="false">IF(T495=1,IF(ISNUMBER(L495),L495-G495,""),"")</f>
        <v/>
      </c>
      <c r="Q495" s="60" t="str">
        <f aca="false">IF(C495="","",IF(T495=1,"✔ SOLD / VENDIDO",IF(S495=0,"— CLOSED / CERRADO",IF(U495&lt;0,"⚠ ADD DATE / AGREGA FECHA",IF(U495&gt;=Settings!$C$8,"⚠ STALE – REPRICE / ESTANCADO",IF(U495&gt;=Settings!$C$7,"● WATCH / VIGILAR","✔ FRESH / RECIENTE"))))))</f>
        <v/>
      </c>
      <c r="S495" s="53" t="n">
        <f aca="false">IF(C495="",0,IF(OR(J495="",J495="In Stock / En Inventario",J495="Listed / Publicado"),1,0))</f>
        <v>0</v>
      </c>
      <c r="T495" s="53" t="n">
        <f aca="false">IF(C495="",0,IF(J495="Sold / Vendido",1,0))</f>
        <v>0</v>
      </c>
      <c r="U495" s="53" t="n">
        <f aca="true">IF(S495=1,IF(ISNUMBER(F495),TODAY()-F495,-1),-1)</f>
        <v>-1</v>
      </c>
      <c r="V495" s="53" t="n">
        <f aca="false">IF(U495&lt;0,IF(S495=1,5,0),IF(U495&lt;=30,1,IF(U495&lt;=60,2,IF(U495&lt;=90,3,4))))</f>
        <v>0</v>
      </c>
      <c r="W495" s="53" t="n">
        <f aca="false">IF(U495&lt;0,-1000000000000000,U495+ROW()/1000000)</f>
        <v>-1000000000000000</v>
      </c>
      <c r="X495" s="53" t="n">
        <f aca="false">IF(T495=1,IF(AND(ISNUMBER(F495),ISNUMBER(K495)),K495-F495,0),0)</f>
        <v>0</v>
      </c>
      <c r="Y495" s="53" t="n">
        <f aca="false">IF(T495=1,IF(AND(ISNUMBER(F495),ISNUMBER(K495)),1,0),0)</f>
        <v>0</v>
      </c>
      <c r="Z495" s="53" t="n">
        <f aca="false">IF(U495&gt;=Settings!$C$8,1,0)</f>
        <v>0</v>
      </c>
      <c r="AA495" s="53" t="n">
        <f aca="false">IF(S495=1,IF(J495="Listed / Publicado",0,1),0)</f>
        <v>0</v>
      </c>
      <c r="AB495" s="53" t="n">
        <f aca="false">IF(T495=1,IF(ISNUMBER(L495),L495-G495,0),0)</f>
        <v>0</v>
      </c>
      <c r="AC495" s="53" t="n">
        <f aca="false">IF(S495=1,IF(ISNUMBER(I495),I495-G495,0),0)</f>
        <v>0</v>
      </c>
    </row>
    <row r="496" customFormat="false" ht="15" hidden="false" customHeight="false" outlineLevel="0" collapsed="false">
      <c r="B496" s="54"/>
      <c r="C496" s="55"/>
      <c r="D496" s="55"/>
      <c r="E496" s="55"/>
      <c r="F496" s="56"/>
      <c r="G496" s="57"/>
      <c r="H496" s="55"/>
      <c r="I496" s="57"/>
      <c r="J496" s="54"/>
      <c r="K496" s="56"/>
      <c r="L496" s="57"/>
      <c r="M496" s="54"/>
      <c r="N496" s="58" t="str">
        <f aca="false">IF(S496=1,IF(U496&lt;0,"",U496),IF(Y496=1,X496,""))</f>
        <v/>
      </c>
      <c r="O496" s="59" t="str">
        <f aca="false">IF(S496=1,IF(ISNUMBER(I496),I496-G496,""),"")</f>
        <v/>
      </c>
      <c r="P496" s="59" t="str">
        <f aca="false">IF(T496=1,IF(ISNUMBER(L496),L496-G496,""),"")</f>
        <v/>
      </c>
      <c r="Q496" s="60" t="str">
        <f aca="false">IF(C496="","",IF(T496=1,"✔ SOLD / VENDIDO",IF(S496=0,"— CLOSED / CERRADO",IF(U496&lt;0,"⚠ ADD DATE / AGREGA FECHA",IF(U496&gt;=Settings!$C$8,"⚠ STALE – REPRICE / ESTANCADO",IF(U496&gt;=Settings!$C$7,"● WATCH / VIGILAR","✔ FRESH / RECIENTE"))))))</f>
        <v/>
      </c>
      <c r="S496" s="53" t="n">
        <f aca="false">IF(C496="",0,IF(OR(J496="",J496="In Stock / En Inventario",J496="Listed / Publicado"),1,0))</f>
        <v>0</v>
      </c>
      <c r="T496" s="53" t="n">
        <f aca="false">IF(C496="",0,IF(J496="Sold / Vendido",1,0))</f>
        <v>0</v>
      </c>
      <c r="U496" s="53" t="n">
        <f aca="true">IF(S496=1,IF(ISNUMBER(F496),TODAY()-F496,-1),-1)</f>
        <v>-1</v>
      </c>
      <c r="V496" s="53" t="n">
        <f aca="false">IF(U496&lt;0,IF(S496=1,5,0),IF(U496&lt;=30,1,IF(U496&lt;=60,2,IF(U496&lt;=90,3,4))))</f>
        <v>0</v>
      </c>
      <c r="W496" s="53" t="n">
        <f aca="false">IF(U496&lt;0,-1000000000000000,U496+ROW()/1000000)</f>
        <v>-1000000000000000</v>
      </c>
      <c r="X496" s="53" t="n">
        <f aca="false">IF(T496=1,IF(AND(ISNUMBER(F496),ISNUMBER(K496)),K496-F496,0),0)</f>
        <v>0</v>
      </c>
      <c r="Y496" s="53" t="n">
        <f aca="false">IF(T496=1,IF(AND(ISNUMBER(F496),ISNUMBER(K496)),1,0),0)</f>
        <v>0</v>
      </c>
      <c r="Z496" s="53" t="n">
        <f aca="false">IF(U496&gt;=Settings!$C$8,1,0)</f>
        <v>0</v>
      </c>
      <c r="AA496" s="53" t="n">
        <f aca="false">IF(S496=1,IF(J496="Listed / Publicado",0,1),0)</f>
        <v>0</v>
      </c>
      <c r="AB496" s="53" t="n">
        <f aca="false">IF(T496=1,IF(ISNUMBER(L496),L496-G496,0),0)</f>
        <v>0</v>
      </c>
      <c r="AC496" s="53" t="n">
        <f aca="false">IF(S496=1,IF(ISNUMBER(I496),I496-G496,0),0)</f>
        <v>0</v>
      </c>
    </row>
    <row r="497" customFormat="false" ht="15" hidden="false" customHeight="false" outlineLevel="0" collapsed="false">
      <c r="B497" s="54"/>
      <c r="C497" s="55"/>
      <c r="D497" s="55"/>
      <c r="E497" s="55"/>
      <c r="F497" s="56"/>
      <c r="G497" s="57"/>
      <c r="H497" s="55"/>
      <c r="I497" s="57"/>
      <c r="J497" s="54"/>
      <c r="K497" s="56"/>
      <c r="L497" s="57"/>
      <c r="M497" s="54"/>
      <c r="N497" s="58" t="str">
        <f aca="false">IF(S497=1,IF(U497&lt;0,"",U497),IF(Y497=1,X497,""))</f>
        <v/>
      </c>
      <c r="O497" s="59" t="str">
        <f aca="false">IF(S497=1,IF(ISNUMBER(I497),I497-G497,""),"")</f>
        <v/>
      </c>
      <c r="P497" s="59" t="str">
        <f aca="false">IF(T497=1,IF(ISNUMBER(L497),L497-G497,""),"")</f>
        <v/>
      </c>
      <c r="Q497" s="60" t="str">
        <f aca="false">IF(C497="","",IF(T497=1,"✔ SOLD / VENDIDO",IF(S497=0,"— CLOSED / CERRADO",IF(U497&lt;0,"⚠ ADD DATE / AGREGA FECHA",IF(U497&gt;=Settings!$C$8,"⚠ STALE – REPRICE / ESTANCADO",IF(U497&gt;=Settings!$C$7,"● WATCH / VIGILAR","✔ FRESH / RECIENTE"))))))</f>
        <v/>
      </c>
      <c r="S497" s="53" t="n">
        <f aca="false">IF(C497="",0,IF(OR(J497="",J497="In Stock / En Inventario",J497="Listed / Publicado"),1,0))</f>
        <v>0</v>
      </c>
      <c r="T497" s="53" t="n">
        <f aca="false">IF(C497="",0,IF(J497="Sold / Vendido",1,0))</f>
        <v>0</v>
      </c>
      <c r="U497" s="53" t="n">
        <f aca="true">IF(S497=1,IF(ISNUMBER(F497),TODAY()-F497,-1),-1)</f>
        <v>-1</v>
      </c>
      <c r="V497" s="53" t="n">
        <f aca="false">IF(U497&lt;0,IF(S497=1,5,0),IF(U497&lt;=30,1,IF(U497&lt;=60,2,IF(U497&lt;=90,3,4))))</f>
        <v>0</v>
      </c>
      <c r="W497" s="53" t="n">
        <f aca="false">IF(U497&lt;0,-1000000000000000,U497+ROW()/1000000)</f>
        <v>-1000000000000000</v>
      </c>
      <c r="X497" s="53" t="n">
        <f aca="false">IF(T497=1,IF(AND(ISNUMBER(F497),ISNUMBER(K497)),K497-F497,0),0)</f>
        <v>0</v>
      </c>
      <c r="Y497" s="53" t="n">
        <f aca="false">IF(T497=1,IF(AND(ISNUMBER(F497),ISNUMBER(K497)),1,0),0)</f>
        <v>0</v>
      </c>
      <c r="Z497" s="53" t="n">
        <f aca="false">IF(U497&gt;=Settings!$C$8,1,0)</f>
        <v>0</v>
      </c>
      <c r="AA497" s="53" t="n">
        <f aca="false">IF(S497=1,IF(J497="Listed / Publicado",0,1),0)</f>
        <v>0</v>
      </c>
      <c r="AB497" s="53" t="n">
        <f aca="false">IF(T497=1,IF(ISNUMBER(L497),L497-G497,0),0)</f>
        <v>0</v>
      </c>
      <c r="AC497" s="53" t="n">
        <f aca="false">IF(S497=1,IF(ISNUMBER(I497),I497-G497,0),0)</f>
        <v>0</v>
      </c>
    </row>
    <row r="498" customFormat="false" ht="15" hidden="false" customHeight="false" outlineLevel="0" collapsed="false">
      <c r="B498" s="54"/>
      <c r="C498" s="55"/>
      <c r="D498" s="55"/>
      <c r="E498" s="55"/>
      <c r="F498" s="56"/>
      <c r="G498" s="57"/>
      <c r="H498" s="55"/>
      <c r="I498" s="57"/>
      <c r="J498" s="54"/>
      <c r="K498" s="56"/>
      <c r="L498" s="57"/>
      <c r="M498" s="54"/>
      <c r="N498" s="58" t="str">
        <f aca="false">IF(S498=1,IF(U498&lt;0,"",U498),IF(Y498=1,X498,""))</f>
        <v/>
      </c>
      <c r="O498" s="59" t="str">
        <f aca="false">IF(S498=1,IF(ISNUMBER(I498),I498-G498,""),"")</f>
        <v/>
      </c>
      <c r="P498" s="59" t="str">
        <f aca="false">IF(T498=1,IF(ISNUMBER(L498),L498-G498,""),"")</f>
        <v/>
      </c>
      <c r="Q498" s="60" t="str">
        <f aca="false">IF(C498="","",IF(T498=1,"✔ SOLD / VENDIDO",IF(S498=0,"— CLOSED / CERRADO",IF(U498&lt;0,"⚠ ADD DATE / AGREGA FECHA",IF(U498&gt;=Settings!$C$8,"⚠ STALE – REPRICE / ESTANCADO",IF(U498&gt;=Settings!$C$7,"● WATCH / VIGILAR","✔ FRESH / RECIENTE"))))))</f>
        <v/>
      </c>
      <c r="S498" s="53" t="n">
        <f aca="false">IF(C498="",0,IF(OR(J498="",J498="In Stock / En Inventario",J498="Listed / Publicado"),1,0))</f>
        <v>0</v>
      </c>
      <c r="T498" s="53" t="n">
        <f aca="false">IF(C498="",0,IF(J498="Sold / Vendido",1,0))</f>
        <v>0</v>
      </c>
      <c r="U498" s="53" t="n">
        <f aca="true">IF(S498=1,IF(ISNUMBER(F498),TODAY()-F498,-1),-1)</f>
        <v>-1</v>
      </c>
      <c r="V498" s="53" t="n">
        <f aca="false">IF(U498&lt;0,IF(S498=1,5,0),IF(U498&lt;=30,1,IF(U498&lt;=60,2,IF(U498&lt;=90,3,4))))</f>
        <v>0</v>
      </c>
      <c r="W498" s="53" t="n">
        <f aca="false">IF(U498&lt;0,-1000000000000000,U498+ROW()/1000000)</f>
        <v>-1000000000000000</v>
      </c>
      <c r="X498" s="53" t="n">
        <f aca="false">IF(T498=1,IF(AND(ISNUMBER(F498),ISNUMBER(K498)),K498-F498,0),0)</f>
        <v>0</v>
      </c>
      <c r="Y498" s="53" t="n">
        <f aca="false">IF(T498=1,IF(AND(ISNUMBER(F498),ISNUMBER(K498)),1,0),0)</f>
        <v>0</v>
      </c>
      <c r="Z498" s="53" t="n">
        <f aca="false">IF(U498&gt;=Settings!$C$8,1,0)</f>
        <v>0</v>
      </c>
      <c r="AA498" s="53" t="n">
        <f aca="false">IF(S498=1,IF(J498="Listed / Publicado",0,1),0)</f>
        <v>0</v>
      </c>
      <c r="AB498" s="53" t="n">
        <f aca="false">IF(T498=1,IF(ISNUMBER(L498),L498-G498,0),0)</f>
        <v>0</v>
      </c>
      <c r="AC498" s="53" t="n">
        <f aca="false">IF(S498=1,IF(ISNUMBER(I498),I498-G498,0),0)</f>
        <v>0</v>
      </c>
    </row>
    <row r="499" customFormat="false" ht="15" hidden="false" customHeight="false" outlineLevel="0" collapsed="false">
      <c r="B499" s="54"/>
      <c r="C499" s="55"/>
      <c r="D499" s="55"/>
      <c r="E499" s="55"/>
      <c r="F499" s="56"/>
      <c r="G499" s="57"/>
      <c r="H499" s="55"/>
      <c r="I499" s="57"/>
      <c r="J499" s="54"/>
      <c r="K499" s="56"/>
      <c r="L499" s="57"/>
      <c r="M499" s="54"/>
      <c r="N499" s="58" t="str">
        <f aca="false">IF(S499=1,IF(U499&lt;0,"",U499),IF(Y499=1,X499,""))</f>
        <v/>
      </c>
      <c r="O499" s="59" t="str">
        <f aca="false">IF(S499=1,IF(ISNUMBER(I499),I499-G499,""),"")</f>
        <v/>
      </c>
      <c r="P499" s="59" t="str">
        <f aca="false">IF(T499=1,IF(ISNUMBER(L499),L499-G499,""),"")</f>
        <v/>
      </c>
      <c r="Q499" s="60" t="str">
        <f aca="false">IF(C499="","",IF(T499=1,"✔ SOLD / VENDIDO",IF(S499=0,"— CLOSED / CERRADO",IF(U499&lt;0,"⚠ ADD DATE / AGREGA FECHA",IF(U499&gt;=Settings!$C$8,"⚠ STALE – REPRICE / ESTANCADO",IF(U499&gt;=Settings!$C$7,"● WATCH / VIGILAR","✔ FRESH / RECIENTE"))))))</f>
        <v/>
      </c>
      <c r="S499" s="53" t="n">
        <f aca="false">IF(C499="",0,IF(OR(J499="",J499="In Stock / En Inventario",J499="Listed / Publicado"),1,0))</f>
        <v>0</v>
      </c>
      <c r="T499" s="53" t="n">
        <f aca="false">IF(C499="",0,IF(J499="Sold / Vendido",1,0))</f>
        <v>0</v>
      </c>
      <c r="U499" s="53" t="n">
        <f aca="true">IF(S499=1,IF(ISNUMBER(F499),TODAY()-F499,-1),-1)</f>
        <v>-1</v>
      </c>
      <c r="V499" s="53" t="n">
        <f aca="false">IF(U499&lt;0,IF(S499=1,5,0),IF(U499&lt;=30,1,IF(U499&lt;=60,2,IF(U499&lt;=90,3,4))))</f>
        <v>0</v>
      </c>
      <c r="W499" s="53" t="n">
        <f aca="false">IF(U499&lt;0,-1000000000000000,U499+ROW()/1000000)</f>
        <v>-1000000000000000</v>
      </c>
      <c r="X499" s="53" t="n">
        <f aca="false">IF(T499=1,IF(AND(ISNUMBER(F499),ISNUMBER(K499)),K499-F499,0),0)</f>
        <v>0</v>
      </c>
      <c r="Y499" s="53" t="n">
        <f aca="false">IF(T499=1,IF(AND(ISNUMBER(F499),ISNUMBER(K499)),1,0),0)</f>
        <v>0</v>
      </c>
      <c r="Z499" s="53" t="n">
        <f aca="false">IF(U499&gt;=Settings!$C$8,1,0)</f>
        <v>0</v>
      </c>
      <c r="AA499" s="53" t="n">
        <f aca="false">IF(S499=1,IF(J499="Listed / Publicado",0,1),0)</f>
        <v>0</v>
      </c>
      <c r="AB499" s="53" t="n">
        <f aca="false">IF(T499=1,IF(ISNUMBER(L499),L499-G499,0),0)</f>
        <v>0</v>
      </c>
      <c r="AC499" s="53" t="n">
        <f aca="false">IF(S499=1,IF(ISNUMBER(I499),I499-G499,0),0)</f>
        <v>0</v>
      </c>
    </row>
    <row r="500" customFormat="false" ht="15" hidden="false" customHeight="false" outlineLevel="0" collapsed="false">
      <c r="B500" s="54"/>
      <c r="C500" s="55"/>
      <c r="D500" s="55"/>
      <c r="E500" s="55"/>
      <c r="F500" s="56"/>
      <c r="G500" s="57"/>
      <c r="H500" s="55"/>
      <c r="I500" s="57"/>
      <c r="J500" s="54"/>
      <c r="K500" s="56"/>
      <c r="L500" s="57"/>
      <c r="M500" s="54"/>
      <c r="N500" s="58" t="str">
        <f aca="false">IF(S500=1,IF(U500&lt;0,"",U500),IF(Y500=1,X500,""))</f>
        <v/>
      </c>
      <c r="O500" s="59" t="str">
        <f aca="false">IF(S500=1,IF(ISNUMBER(I500),I500-G500,""),"")</f>
        <v/>
      </c>
      <c r="P500" s="59" t="str">
        <f aca="false">IF(T500=1,IF(ISNUMBER(L500),L500-G500,""),"")</f>
        <v/>
      </c>
      <c r="Q500" s="60" t="str">
        <f aca="false">IF(C500="","",IF(T500=1,"✔ SOLD / VENDIDO",IF(S500=0,"— CLOSED / CERRADO",IF(U500&lt;0,"⚠ ADD DATE / AGREGA FECHA",IF(U500&gt;=Settings!$C$8,"⚠ STALE – REPRICE / ESTANCADO",IF(U500&gt;=Settings!$C$7,"● WATCH / VIGILAR","✔ FRESH / RECIENTE"))))))</f>
        <v/>
      </c>
      <c r="S500" s="53" t="n">
        <f aca="false">IF(C500="",0,IF(OR(J500="",J500="In Stock / En Inventario",J500="Listed / Publicado"),1,0))</f>
        <v>0</v>
      </c>
      <c r="T500" s="53" t="n">
        <f aca="false">IF(C500="",0,IF(J500="Sold / Vendido",1,0))</f>
        <v>0</v>
      </c>
      <c r="U500" s="53" t="n">
        <f aca="true">IF(S500=1,IF(ISNUMBER(F500),TODAY()-F500,-1),-1)</f>
        <v>-1</v>
      </c>
      <c r="V500" s="53" t="n">
        <f aca="false">IF(U500&lt;0,IF(S500=1,5,0),IF(U500&lt;=30,1,IF(U500&lt;=60,2,IF(U500&lt;=90,3,4))))</f>
        <v>0</v>
      </c>
      <c r="W500" s="53" t="n">
        <f aca="false">IF(U500&lt;0,-1000000000000000,U500+ROW()/1000000)</f>
        <v>-1000000000000000</v>
      </c>
      <c r="X500" s="53" t="n">
        <f aca="false">IF(T500=1,IF(AND(ISNUMBER(F500),ISNUMBER(K500)),K500-F500,0),0)</f>
        <v>0</v>
      </c>
      <c r="Y500" s="53" t="n">
        <f aca="false">IF(T500=1,IF(AND(ISNUMBER(F500),ISNUMBER(K500)),1,0),0)</f>
        <v>0</v>
      </c>
      <c r="Z500" s="53" t="n">
        <f aca="false">IF(U500&gt;=Settings!$C$8,1,0)</f>
        <v>0</v>
      </c>
      <c r="AA500" s="53" t="n">
        <f aca="false">IF(S500=1,IF(J500="Listed / Publicado",0,1),0)</f>
        <v>0</v>
      </c>
      <c r="AB500" s="53" t="n">
        <f aca="false">IF(T500=1,IF(ISNUMBER(L500),L500-G500,0),0)</f>
        <v>0</v>
      </c>
      <c r="AC500" s="53" t="n">
        <f aca="false">IF(S500=1,IF(ISNUMBER(I500),I500-G500,0),0)</f>
        <v>0</v>
      </c>
    </row>
    <row r="501" customFormat="false" ht="15" hidden="false" customHeight="false" outlineLevel="0" collapsed="false">
      <c r="B501" s="54"/>
      <c r="C501" s="55"/>
      <c r="D501" s="55"/>
      <c r="E501" s="55"/>
      <c r="F501" s="56"/>
      <c r="G501" s="57"/>
      <c r="H501" s="55"/>
      <c r="I501" s="57"/>
      <c r="J501" s="54"/>
      <c r="K501" s="56"/>
      <c r="L501" s="57"/>
      <c r="M501" s="54"/>
      <c r="N501" s="58" t="str">
        <f aca="false">IF(S501=1,IF(U501&lt;0,"",U501),IF(Y501=1,X501,""))</f>
        <v/>
      </c>
      <c r="O501" s="59" t="str">
        <f aca="false">IF(S501=1,IF(ISNUMBER(I501),I501-G501,""),"")</f>
        <v/>
      </c>
      <c r="P501" s="59" t="str">
        <f aca="false">IF(T501=1,IF(ISNUMBER(L501),L501-G501,""),"")</f>
        <v/>
      </c>
      <c r="Q501" s="60" t="str">
        <f aca="false">IF(C501="","",IF(T501=1,"✔ SOLD / VENDIDO",IF(S501=0,"— CLOSED / CERRADO",IF(U501&lt;0,"⚠ ADD DATE / AGREGA FECHA",IF(U501&gt;=Settings!$C$8,"⚠ STALE – REPRICE / ESTANCADO",IF(U501&gt;=Settings!$C$7,"● WATCH / VIGILAR","✔ FRESH / RECIENTE"))))))</f>
        <v/>
      </c>
      <c r="S501" s="53" t="n">
        <f aca="false">IF(C501="",0,IF(OR(J501="",J501="In Stock / En Inventario",J501="Listed / Publicado"),1,0))</f>
        <v>0</v>
      </c>
      <c r="T501" s="53" t="n">
        <f aca="false">IF(C501="",0,IF(J501="Sold / Vendido",1,0))</f>
        <v>0</v>
      </c>
      <c r="U501" s="53" t="n">
        <f aca="true">IF(S501=1,IF(ISNUMBER(F501),TODAY()-F501,-1),-1)</f>
        <v>-1</v>
      </c>
      <c r="V501" s="53" t="n">
        <f aca="false">IF(U501&lt;0,IF(S501=1,5,0),IF(U501&lt;=30,1,IF(U501&lt;=60,2,IF(U501&lt;=90,3,4))))</f>
        <v>0</v>
      </c>
      <c r="W501" s="53" t="n">
        <f aca="false">IF(U501&lt;0,-1000000000000000,U501+ROW()/1000000)</f>
        <v>-1000000000000000</v>
      </c>
      <c r="X501" s="53" t="n">
        <f aca="false">IF(T501=1,IF(AND(ISNUMBER(F501),ISNUMBER(K501)),K501-F501,0),0)</f>
        <v>0</v>
      </c>
      <c r="Y501" s="53" t="n">
        <f aca="false">IF(T501=1,IF(AND(ISNUMBER(F501),ISNUMBER(K501)),1,0),0)</f>
        <v>0</v>
      </c>
      <c r="Z501" s="53" t="n">
        <f aca="false">IF(U501&gt;=Settings!$C$8,1,0)</f>
        <v>0</v>
      </c>
      <c r="AA501" s="53" t="n">
        <f aca="false">IF(S501=1,IF(J501="Listed / Publicado",0,1),0)</f>
        <v>0</v>
      </c>
      <c r="AB501" s="53" t="n">
        <f aca="false">IF(T501=1,IF(ISNUMBER(L501),L501-G501,0),0)</f>
        <v>0</v>
      </c>
      <c r="AC501" s="53" t="n">
        <f aca="false">IF(S501=1,IF(ISNUMBER(I501),I501-G501,0),0)</f>
        <v>0</v>
      </c>
    </row>
    <row r="502" customFormat="false" ht="15" hidden="false" customHeight="false" outlineLevel="0" collapsed="false">
      <c r="B502" s="54"/>
      <c r="C502" s="55"/>
      <c r="D502" s="55"/>
      <c r="E502" s="55"/>
      <c r="F502" s="56"/>
      <c r="G502" s="57"/>
      <c r="H502" s="55"/>
      <c r="I502" s="57"/>
      <c r="J502" s="54"/>
      <c r="K502" s="56"/>
      <c r="L502" s="57"/>
      <c r="M502" s="54"/>
      <c r="N502" s="58" t="str">
        <f aca="false">IF(S502=1,IF(U502&lt;0,"",U502),IF(Y502=1,X502,""))</f>
        <v/>
      </c>
      <c r="O502" s="59" t="str">
        <f aca="false">IF(S502=1,IF(ISNUMBER(I502),I502-G502,""),"")</f>
        <v/>
      </c>
      <c r="P502" s="59" t="str">
        <f aca="false">IF(T502=1,IF(ISNUMBER(L502),L502-G502,""),"")</f>
        <v/>
      </c>
      <c r="Q502" s="60" t="str">
        <f aca="false">IF(C502="","",IF(T502=1,"✔ SOLD / VENDIDO",IF(S502=0,"— CLOSED / CERRADO",IF(U502&lt;0,"⚠ ADD DATE / AGREGA FECHA",IF(U502&gt;=Settings!$C$8,"⚠ STALE – REPRICE / ESTANCADO",IF(U502&gt;=Settings!$C$7,"● WATCH / VIGILAR","✔ FRESH / RECIENTE"))))))</f>
        <v/>
      </c>
      <c r="S502" s="53" t="n">
        <f aca="false">IF(C502="",0,IF(OR(J502="",J502="In Stock / En Inventario",J502="Listed / Publicado"),1,0))</f>
        <v>0</v>
      </c>
      <c r="T502" s="53" t="n">
        <f aca="false">IF(C502="",0,IF(J502="Sold / Vendido",1,0))</f>
        <v>0</v>
      </c>
      <c r="U502" s="53" t="n">
        <f aca="true">IF(S502=1,IF(ISNUMBER(F502),TODAY()-F502,-1),-1)</f>
        <v>-1</v>
      </c>
      <c r="V502" s="53" t="n">
        <f aca="false">IF(U502&lt;0,IF(S502=1,5,0),IF(U502&lt;=30,1,IF(U502&lt;=60,2,IF(U502&lt;=90,3,4))))</f>
        <v>0</v>
      </c>
      <c r="W502" s="53" t="n">
        <f aca="false">IF(U502&lt;0,-1000000000000000,U502+ROW()/1000000)</f>
        <v>-1000000000000000</v>
      </c>
      <c r="X502" s="53" t="n">
        <f aca="false">IF(T502=1,IF(AND(ISNUMBER(F502),ISNUMBER(K502)),K502-F502,0),0)</f>
        <v>0</v>
      </c>
      <c r="Y502" s="53" t="n">
        <f aca="false">IF(T502=1,IF(AND(ISNUMBER(F502),ISNUMBER(K502)),1,0),0)</f>
        <v>0</v>
      </c>
      <c r="Z502" s="53" t="n">
        <f aca="false">IF(U502&gt;=Settings!$C$8,1,0)</f>
        <v>0</v>
      </c>
      <c r="AA502" s="53" t="n">
        <f aca="false">IF(S502=1,IF(J502="Listed / Publicado",0,1),0)</f>
        <v>0</v>
      </c>
      <c r="AB502" s="53" t="n">
        <f aca="false">IF(T502=1,IF(ISNUMBER(L502),L502-G502,0),0)</f>
        <v>0</v>
      </c>
      <c r="AC502" s="53" t="n">
        <f aca="false">IF(S502=1,IF(ISNUMBER(I502),I502-G502,0),0)</f>
        <v>0</v>
      </c>
    </row>
    <row r="503" customFormat="false" ht="15" hidden="false" customHeight="false" outlineLevel="0" collapsed="false">
      <c r="B503" s="54"/>
      <c r="C503" s="55"/>
      <c r="D503" s="55"/>
      <c r="E503" s="55"/>
      <c r="F503" s="56"/>
      <c r="G503" s="57"/>
      <c r="H503" s="55"/>
      <c r="I503" s="57"/>
      <c r="J503" s="54"/>
      <c r="K503" s="56"/>
      <c r="L503" s="57"/>
      <c r="M503" s="54"/>
      <c r="N503" s="58" t="str">
        <f aca="false">IF(S503=1,IF(U503&lt;0,"",U503),IF(Y503=1,X503,""))</f>
        <v/>
      </c>
      <c r="O503" s="59" t="str">
        <f aca="false">IF(S503=1,IF(ISNUMBER(I503),I503-G503,""),"")</f>
        <v/>
      </c>
      <c r="P503" s="59" t="str">
        <f aca="false">IF(T503=1,IF(ISNUMBER(L503),L503-G503,""),"")</f>
        <v/>
      </c>
      <c r="Q503" s="60" t="str">
        <f aca="false">IF(C503="","",IF(T503=1,"✔ SOLD / VENDIDO",IF(S503=0,"— CLOSED / CERRADO",IF(U503&lt;0,"⚠ ADD DATE / AGREGA FECHA",IF(U503&gt;=Settings!$C$8,"⚠ STALE – REPRICE / ESTANCADO",IF(U503&gt;=Settings!$C$7,"● WATCH / VIGILAR","✔ FRESH / RECIENTE"))))))</f>
        <v/>
      </c>
      <c r="S503" s="53" t="n">
        <f aca="false">IF(C503="",0,IF(OR(J503="",J503="In Stock / En Inventario",J503="Listed / Publicado"),1,0))</f>
        <v>0</v>
      </c>
      <c r="T503" s="53" t="n">
        <f aca="false">IF(C503="",0,IF(J503="Sold / Vendido",1,0))</f>
        <v>0</v>
      </c>
      <c r="U503" s="53" t="n">
        <f aca="true">IF(S503=1,IF(ISNUMBER(F503),TODAY()-F503,-1),-1)</f>
        <v>-1</v>
      </c>
      <c r="V503" s="53" t="n">
        <f aca="false">IF(U503&lt;0,IF(S503=1,5,0),IF(U503&lt;=30,1,IF(U503&lt;=60,2,IF(U503&lt;=90,3,4))))</f>
        <v>0</v>
      </c>
      <c r="W503" s="53" t="n">
        <f aca="false">IF(U503&lt;0,-1000000000000000,U503+ROW()/1000000)</f>
        <v>-1000000000000000</v>
      </c>
      <c r="X503" s="53" t="n">
        <f aca="false">IF(T503=1,IF(AND(ISNUMBER(F503),ISNUMBER(K503)),K503-F503,0),0)</f>
        <v>0</v>
      </c>
      <c r="Y503" s="53" t="n">
        <f aca="false">IF(T503=1,IF(AND(ISNUMBER(F503),ISNUMBER(K503)),1,0),0)</f>
        <v>0</v>
      </c>
      <c r="Z503" s="53" t="n">
        <f aca="false">IF(U503&gt;=Settings!$C$8,1,0)</f>
        <v>0</v>
      </c>
      <c r="AA503" s="53" t="n">
        <f aca="false">IF(S503=1,IF(J503="Listed / Publicado",0,1),0)</f>
        <v>0</v>
      </c>
      <c r="AB503" s="53" t="n">
        <f aca="false">IF(T503=1,IF(ISNUMBER(L503),L503-G503,0),0)</f>
        <v>0</v>
      </c>
      <c r="AC503" s="53" t="n">
        <f aca="false">IF(S503=1,IF(ISNUMBER(I503),I503-G503,0),0)</f>
        <v>0</v>
      </c>
    </row>
    <row r="504" customFormat="false" ht="15" hidden="false" customHeight="false" outlineLevel="0" collapsed="false">
      <c r="B504" s="54"/>
      <c r="C504" s="55"/>
      <c r="D504" s="55"/>
      <c r="E504" s="55"/>
      <c r="F504" s="56"/>
      <c r="G504" s="57"/>
      <c r="H504" s="55"/>
      <c r="I504" s="57"/>
      <c r="J504" s="54"/>
      <c r="K504" s="56"/>
      <c r="L504" s="57"/>
      <c r="M504" s="54"/>
      <c r="N504" s="58" t="str">
        <f aca="false">IF(S504=1,IF(U504&lt;0,"",U504),IF(Y504=1,X504,""))</f>
        <v/>
      </c>
      <c r="O504" s="59" t="str">
        <f aca="false">IF(S504=1,IF(ISNUMBER(I504),I504-G504,""),"")</f>
        <v/>
      </c>
      <c r="P504" s="59" t="str">
        <f aca="false">IF(T504=1,IF(ISNUMBER(L504),L504-G504,""),"")</f>
        <v/>
      </c>
      <c r="Q504" s="60" t="str">
        <f aca="false">IF(C504="","",IF(T504=1,"✔ SOLD / VENDIDO",IF(S504=0,"— CLOSED / CERRADO",IF(U504&lt;0,"⚠ ADD DATE / AGREGA FECHA",IF(U504&gt;=Settings!$C$8,"⚠ STALE – REPRICE / ESTANCADO",IF(U504&gt;=Settings!$C$7,"● WATCH / VIGILAR","✔ FRESH / RECIENTE"))))))</f>
        <v/>
      </c>
      <c r="S504" s="53" t="n">
        <f aca="false">IF(C504="",0,IF(OR(J504="",J504="In Stock / En Inventario",J504="Listed / Publicado"),1,0))</f>
        <v>0</v>
      </c>
      <c r="T504" s="53" t="n">
        <f aca="false">IF(C504="",0,IF(J504="Sold / Vendido",1,0))</f>
        <v>0</v>
      </c>
      <c r="U504" s="53" t="n">
        <f aca="true">IF(S504=1,IF(ISNUMBER(F504),TODAY()-F504,-1),-1)</f>
        <v>-1</v>
      </c>
      <c r="V504" s="53" t="n">
        <f aca="false">IF(U504&lt;0,IF(S504=1,5,0),IF(U504&lt;=30,1,IF(U504&lt;=60,2,IF(U504&lt;=90,3,4))))</f>
        <v>0</v>
      </c>
      <c r="W504" s="53" t="n">
        <f aca="false">IF(U504&lt;0,-1000000000000000,U504+ROW()/1000000)</f>
        <v>-1000000000000000</v>
      </c>
      <c r="X504" s="53" t="n">
        <f aca="false">IF(T504=1,IF(AND(ISNUMBER(F504),ISNUMBER(K504)),K504-F504,0),0)</f>
        <v>0</v>
      </c>
      <c r="Y504" s="53" t="n">
        <f aca="false">IF(T504=1,IF(AND(ISNUMBER(F504),ISNUMBER(K504)),1,0),0)</f>
        <v>0</v>
      </c>
      <c r="Z504" s="53" t="n">
        <f aca="false">IF(U504&gt;=Settings!$C$8,1,0)</f>
        <v>0</v>
      </c>
      <c r="AA504" s="53" t="n">
        <f aca="false">IF(S504=1,IF(J504="Listed / Publicado",0,1),0)</f>
        <v>0</v>
      </c>
      <c r="AB504" s="53" t="n">
        <f aca="false">IF(T504=1,IF(ISNUMBER(L504),L504-G504,0),0)</f>
        <v>0</v>
      </c>
      <c r="AC504" s="53" t="n">
        <f aca="false">IF(S504=1,IF(ISNUMBER(I504),I504-G504,0),0)</f>
        <v>0</v>
      </c>
    </row>
    <row r="505" customFormat="false" ht="15" hidden="false" customHeight="false" outlineLevel="0" collapsed="false">
      <c r="B505" s="54"/>
      <c r="C505" s="55"/>
      <c r="D505" s="55"/>
      <c r="E505" s="55"/>
      <c r="F505" s="56"/>
      <c r="G505" s="57"/>
      <c r="H505" s="55"/>
      <c r="I505" s="57"/>
      <c r="J505" s="54"/>
      <c r="K505" s="56"/>
      <c r="L505" s="57"/>
      <c r="M505" s="54"/>
      <c r="N505" s="58" t="str">
        <f aca="false">IF(S505=1,IF(U505&lt;0,"",U505),IF(Y505=1,X505,""))</f>
        <v/>
      </c>
      <c r="O505" s="59" t="str">
        <f aca="false">IF(S505=1,IF(ISNUMBER(I505),I505-G505,""),"")</f>
        <v/>
      </c>
      <c r="P505" s="59" t="str">
        <f aca="false">IF(T505=1,IF(ISNUMBER(L505),L505-G505,""),"")</f>
        <v/>
      </c>
      <c r="Q505" s="60" t="str">
        <f aca="false">IF(C505="","",IF(T505=1,"✔ SOLD / VENDIDO",IF(S505=0,"— CLOSED / CERRADO",IF(U505&lt;0,"⚠ ADD DATE / AGREGA FECHA",IF(U505&gt;=Settings!$C$8,"⚠ STALE – REPRICE / ESTANCADO",IF(U505&gt;=Settings!$C$7,"● WATCH / VIGILAR","✔ FRESH / RECIENTE"))))))</f>
        <v/>
      </c>
      <c r="S505" s="53" t="n">
        <f aca="false">IF(C505="",0,IF(OR(J505="",J505="In Stock / En Inventario",J505="Listed / Publicado"),1,0))</f>
        <v>0</v>
      </c>
      <c r="T505" s="53" t="n">
        <f aca="false">IF(C505="",0,IF(J505="Sold / Vendido",1,0))</f>
        <v>0</v>
      </c>
      <c r="U505" s="53" t="n">
        <f aca="true">IF(S505=1,IF(ISNUMBER(F505),TODAY()-F505,-1),-1)</f>
        <v>-1</v>
      </c>
      <c r="V505" s="53" t="n">
        <f aca="false">IF(U505&lt;0,IF(S505=1,5,0),IF(U505&lt;=30,1,IF(U505&lt;=60,2,IF(U505&lt;=90,3,4))))</f>
        <v>0</v>
      </c>
      <c r="W505" s="53" t="n">
        <f aca="false">IF(U505&lt;0,-1000000000000000,U505+ROW()/1000000)</f>
        <v>-1000000000000000</v>
      </c>
      <c r="X505" s="53" t="n">
        <f aca="false">IF(T505=1,IF(AND(ISNUMBER(F505),ISNUMBER(K505)),K505-F505,0),0)</f>
        <v>0</v>
      </c>
      <c r="Y505" s="53" t="n">
        <f aca="false">IF(T505=1,IF(AND(ISNUMBER(F505),ISNUMBER(K505)),1,0),0)</f>
        <v>0</v>
      </c>
      <c r="Z505" s="53" t="n">
        <f aca="false">IF(U505&gt;=Settings!$C$8,1,0)</f>
        <v>0</v>
      </c>
      <c r="AA505" s="53" t="n">
        <f aca="false">IF(S505=1,IF(J505="Listed / Publicado",0,1),0)</f>
        <v>0</v>
      </c>
      <c r="AB505" s="53" t="n">
        <f aca="false">IF(T505=1,IF(ISNUMBER(L505),L505-G505,0),0)</f>
        <v>0</v>
      </c>
      <c r="AC505" s="53" t="n">
        <f aca="false">IF(S505=1,IF(ISNUMBER(I505),I505-G505,0),0)</f>
        <v>0</v>
      </c>
    </row>
    <row r="506" customFormat="false" ht="15" hidden="false" customHeight="false" outlineLevel="0" collapsed="false">
      <c r="B506" s="54"/>
      <c r="C506" s="55"/>
      <c r="D506" s="55"/>
      <c r="E506" s="55"/>
      <c r="F506" s="56"/>
      <c r="G506" s="57"/>
      <c r="H506" s="55"/>
      <c r="I506" s="57"/>
      <c r="J506" s="54"/>
      <c r="K506" s="56"/>
      <c r="L506" s="57"/>
      <c r="M506" s="54"/>
      <c r="N506" s="58" t="str">
        <f aca="false">IF(S506=1,IF(U506&lt;0,"",U506),IF(Y506=1,X506,""))</f>
        <v/>
      </c>
      <c r="O506" s="59" t="str">
        <f aca="false">IF(S506=1,IF(ISNUMBER(I506),I506-G506,""),"")</f>
        <v/>
      </c>
      <c r="P506" s="59" t="str">
        <f aca="false">IF(T506=1,IF(ISNUMBER(L506),L506-G506,""),"")</f>
        <v/>
      </c>
      <c r="Q506" s="60" t="str">
        <f aca="false">IF(C506="","",IF(T506=1,"✔ SOLD / VENDIDO",IF(S506=0,"— CLOSED / CERRADO",IF(U506&lt;0,"⚠ ADD DATE / AGREGA FECHA",IF(U506&gt;=Settings!$C$8,"⚠ STALE – REPRICE / ESTANCADO",IF(U506&gt;=Settings!$C$7,"● WATCH / VIGILAR","✔ FRESH / RECIENTE"))))))</f>
        <v/>
      </c>
      <c r="S506" s="53" t="n">
        <f aca="false">IF(C506="",0,IF(OR(J506="",J506="In Stock / En Inventario",J506="Listed / Publicado"),1,0))</f>
        <v>0</v>
      </c>
      <c r="T506" s="53" t="n">
        <f aca="false">IF(C506="",0,IF(J506="Sold / Vendido",1,0))</f>
        <v>0</v>
      </c>
      <c r="U506" s="53" t="n">
        <f aca="true">IF(S506=1,IF(ISNUMBER(F506),TODAY()-F506,-1),-1)</f>
        <v>-1</v>
      </c>
      <c r="V506" s="53" t="n">
        <f aca="false">IF(U506&lt;0,IF(S506=1,5,0),IF(U506&lt;=30,1,IF(U506&lt;=60,2,IF(U506&lt;=90,3,4))))</f>
        <v>0</v>
      </c>
      <c r="W506" s="53" t="n">
        <f aca="false">IF(U506&lt;0,-1000000000000000,U506+ROW()/1000000)</f>
        <v>-1000000000000000</v>
      </c>
      <c r="X506" s="53" t="n">
        <f aca="false">IF(T506=1,IF(AND(ISNUMBER(F506),ISNUMBER(K506)),K506-F506,0),0)</f>
        <v>0</v>
      </c>
      <c r="Y506" s="53" t="n">
        <f aca="false">IF(T506=1,IF(AND(ISNUMBER(F506),ISNUMBER(K506)),1,0),0)</f>
        <v>0</v>
      </c>
      <c r="Z506" s="53" t="n">
        <f aca="false">IF(U506&gt;=Settings!$C$8,1,0)</f>
        <v>0</v>
      </c>
      <c r="AA506" s="53" t="n">
        <f aca="false">IF(S506=1,IF(J506="Listed / Publicado",0,1),0)</f>
        <v>0</v>
      </c>
      <c r="AB506" s="53" t="n">
        <f aca="false">IF(T506=1,IF(ISNUMBER(L506),L506-G506,0),0)</f>
        <v>0</v>
      </c>
      <c r="AC506" s="53" t="n">
        <f aca="false">IF(S506=1,IF(ISNUMBER(I506),I506-G506,0),0)</f>
        <v>0</v>
      </c>
    </row>
    <row r="507" customFormat="false" ht="15" hidden="false" customHeight="false" outlineLevel="0" collapsed="false">
      <c r="B507" s="54"/>
      <c r="C507" s="55"/>
      <c r="D507" s="55"/>
      <c r="E507" s="55"/>
      <c r="F507" s="56"/>
      <c r="G507" s="57"/>
      <c r="H507" s="55"/>
      <c r="I507" s="57"/>
      <c r="J507" s="54"/>
      <c r="K507" s="56"/>
      <c r="L507" s="57"/>
      <c r="M507" s="54"/>
      <c r="N507" s="58" t="str">
        <f aca="false">IF(S507=1,IF(U507&lt;0,"",U507),IF(Y507=1,X507,""))</f>
        <v/>
      </c>
      <c r="O507" s="59" t="str">
        <f aca="false">IF(S507=1,IF(ISNUMBER(I507),I507-G507,""),"")</f>
        <v/>
      </c>
      <c r="P507" s="59" t="str">
        <f aca="false">IF(T507=1,IF(ISNUMBER(L507),L507-G507,""),"")</f>
        <v/>
      </c>
      <c r="Q507" s="60" t="str">
        <f aca="false">IF(C507="","",IF(T507=1,"✔ SOLD / VENDIDO",IF(S507=0,"— CLOSED / CERRADO",IF(U507&lt;0,"⚠ ADD DATE / AGREGA FECHA",IF(U507&gt;=Settings!$C$8,"⚠ STALE – REPRICE / ESTANCADO",IF(U507&gt;=Settings!$C$7,"● WATCH / VIGILAR","✔ FRESH / RECIENTE"))))))</f>
        <v/>
      </c>
      <c r="S507" s="53" t="n">
        <f aca="false">IF(C507="",0,IF(OR(J507="",J507="In Stock / En Inventario",J507="Listed / Publicado"),1,0))</f>
        <v>0</v>
      </c>
      <c r="T507" s="53" t="n">
        <f aca="false">IF(C507="",0,IF(J507="Sold / Vendido",1,0))</f>
        <v>0</v>
      </c>
      <c r="U507" s="53" t="n">
        <f aca="true">IF(S507=1,IF(ISNUMBER(F507),TODAY()-F507,-1),-1)</f>
        <v>-1</v>
      </c>
      <c r="V507" s="53" t="n">
        <f aca="false">IF(U507&lt;0,IF(S507=1,5,0),IF(U507&lt;=30,1,IF(U507&lt;=60,2,IF(U507&lt;=90,3,4))))</f>
        <v>0</v>
      </c>
      <c r="W507" s="53" t="n">
        <f aca="false">IF(U507&lt;0,-1000000000000000,U507+ROW()/1000000)</f>
        <v>-1000000000000000</v>
      </c>
      <c r="X507" s="53" t="n">
        <f aca="false">IF(T507=1,IF(AND(ISNUMBER(F507),ISNUMBER(K507)),K507-F507,0),0)</f>
        <v>0</v>
      </c>
      <c r="Y507" s="53" t="n">
        <f aca="false">IF(T507=1,IF(AND(ISNUMBER(F507),ISNUMBER(K507)),1,0),0)</f>
        <v>0</v>
      </c>
      <c r="Z507" s="53" t="n">
        <f aca="false">IF(U507&gt;=Settings!$C$8,1,0)</f>
        <v>0</v>
      </c>
      <c r="AA507" s="53" t="n">
        <f aca="false">IF(S507=1,IF(J507="Listed / Publicado",0,1),0)</f>
        <v>0</v>
      </c>
      <c r="AB507" s="53" t="n">
        <f aca="false">IF(T507=1,IF(ISNUMBER(L507),L507-G507,0),0)</f>
        <v>0</v>
      </c>
      <c r="AC507" s="53" t="n">
        <f aca="false">IF(S507=1,IF(ISNUMBER(I507),I507-G507,0),0)</f>
        <v>0</v>
      </c>
    </row>
    <row r="508" customFormat="false" ht="15" hidden="false" customHeight="false" outlineLevel="0" collapsed="false">
      <c r="B508" s="54"/>
      <c r="C508" s="55"/>
      <c r="D508" s="55"/>
      <c r="E508" s="55"/>
      <c r="F508" s="56"/>
      <c r="G508" s="57"/>
      <c r="H508" s="55"/>
      <c r="I508" s="57"/>
      <c r="J508" s="54"/>
      <c r="K508" s="56"/>
      <c r="L508" s="57"/>
      <c r="M508" s="54"/>
      <c r="N508" s="58" t="str">
        <f aca="false">IF(S508=1,IF(U508&lt;0,"",U508),IF(Y508=1,X508,""))</f>
        <v/>
      </c>
      <c r="O508" s="59" t="str">
        <f aca="false">IF(S508=1,IF(ISNUMBER(I508),I508-G508,""),"")</f>
        <v/>
      </c>
      <c r="P508" s="59" t="str">
        <f aca="false">IF(T508=1,IF(ISNUMBER(L508),L508-G508,""),"")</f>
        <v/>
      </c>
      <c r="Q508" s="60" t="str">
        <f aca="false">IF(C508="","",IF(T508=1,"✔ SOLD / VENDIDO",IF(S508=0,"— CLOSED / CERRADO",IF(U508&lt;0,"⚠ ADD DATE / AGREGA FECHA",IF(U508&gt;=Settings!$C$8,"⚠ STALE – REPRICE / ESTANCADO",IF(U508&gt;=Settings!$C$7,"● WATCH / VIGILAR","✔ FRESH / RECIENTE"))))))</f>
        <v/>
      </c>
      <c r="S508" s="53" t="n">
        <f aca="false">IF(C508="",0,IF(OR(J508="",J508="In Stock / En Inventario",J508="Listed / Publicado"),1,0))</f>
        <v>0</v>
      </c>
      <c r="T508" s="53" t="n">
        <f aca="false">IF(C508="",0,IF(J508="Sold / Vendido",1,0))</f>
        <v>0</v>
      </c>
      <c r="U508" s="53" t="n">
        <f aca="true">IF(S508=1,IF(ISNUMBER(F508),TODAY()-F508,-1),-1)</f>
        <v>-1</v>
      </c>
      <c r="V508" s="53" t="n">
        <f aca="false">IF(U508&lt;0,IF(S508=1,5,0),IF(U508&lt;=30,1,IF(U508&lt;=60,2,IF(U508&lt;=90,3,4))))</f>
        <v>0</v>
      </c>
      <c r="W508" s="53" t="n">
        <f aca="false">IF(U508&lt;0,-1000000000000000,U508+ROW()/1000000)</f>
        <v>-1000000000000000</v>
      </c>
      <c r="X508" s="53" t="n">
        <f aca="false">IF(T508=1,IF(AND(ISNUMBER(F508),ISNUMBER(K508)),K508-F508,0),0)</f>
        <v>0</v>
      </c>
      <c r="Y508" s="53" t="n">
        <f aca="false">IF(T508=1,IF(AND(ISNUMBER(F508),ISNUMBER(K508)),1,0),0)</f>
        <v>0</v>
      </c>
      <c r="Z508" s="53" t="n">
        <f aca="false">IF(U508&gt;=Settings!$C$8,1,0)</f>
        <v>0</v>
      </c>
      <c r="AA508" s="53" t="n">
        <f aca="false">IF(S508=1,IF(J508="Listed / Publicado",0,1),0)</f>
        <v>0</v>
      </c>
      <c r="AB508" s="53" t="n">
        <f aca="false">IF(T508=1,IF(ISNUMBER(L508),L508-G508,0),0)</f>
        <v>0</v>
      </c>
      <c r="AC508" s="53" t="n">
        <f aca="false">IF(S508=1,IF(ISNUMBER(I508),I508-G508,0),0)</f>
        <v>0</v>
      </c>
    </row>
    <row r="509" customFormat="false" ht="15" hidden="false" customHeight="false" outlineLevel="0" collapsed="false">
      <c r="B509" s="54"/>
      <c r="C509" s="55"/>
      <c r="D509" s="55"/>
      <c r="E509" s="55"/>
      <c r="F509" s="56"/>
      <c r="G509" s="57"/>
      <c r="H509" s="55"/>
      <c r="I509" s="57"/>
      <c r="J509" s="54"/>
      <c r="K509" s="56"/>
      <c r="L509" s="57"/>
      <c r="M509" s="54"/>
      <c r="N509" s="58" t="str">
        <f aca="false">IF(S509=1,IF(U509&lt;0,"",U509),IF(Y509=1,X509,""))</f>
        <v/>
      </c>
      <c r="O509" s="59" t="str">
        <f aca="false">IF(S509=1,IF(ISNUMBER(I509),I509-G509,""),"")</f>
        <v/>
      </c>
      <c r="P509" s="59" t="str">
        <f aca="false">IF(T509=1,IF(ISNUMBER(L509),L509-G509,""),"")</f>
        <v/>
      </c>
      <c r="Q509" s="60" t="str">
        <f aca="false">IF(C509="","",IF(T509=1,"✔ SOLD / VENDIDO",IF(S509=0,"— CLOSED / CERRADO",IF(U509&lt;0,"⚠ ADD DATE / AGREGA FECHA",IF(U509&gt;=Settings!$C$8,"⚠ STALE – REPRICE / ESTANCADO",IF(U509&gt;=Settings!$C$7,"● WATCH / VIGILAR","✔ FRESH / RECIENTE"))))))</f>
        <v/>
      </c>
      <c r="S509" s="53" t="n">
        <f aca="false">IF(C509="",0,IF(OR(J509="",J509="In Stock / En Inventario",J509="Listed / Publicado"),1,0))</f>
        <v>0</v>
      </c>
      <c r="T509" s="53" t="n">
        <f aca="false">IF(C509="",0,IF(J509="Sold / Vendido",1,0))</f>
        <v>0</v>
      </c>
      <c r="U509" s="53" t="n">
        <f aca="true">IF(S509=1,IF(ISNUMBER(F509),TODAY()-F509,-1),-1)</f>
        <v>-1</v>
      </c>
      <c r="V509" s="53" t="n">
        <f aca="false">IF(U509&lt;0,IF(S509=1,5,0),IF(U509&lt;=30,1,IF(U509&lt;=60,2,IF(U509&lt;=90,3,4))))</f>
        <v>0</v>
      </c>
      <c r="W509" s="53" t="n">
        <f aca="false">IF(U509&lt;0,-1000000000000000,U509+ROW()/1000000)</f>
        <v>-1000000000000000</v>
      </c>
      <c r="X509" s="53" t="n">
        <f aca="false">IF(T509=1,IF(AND(ISNUMBER(F509),ISNUMBER(K509)),K509-F509,0),0)</f>
        <v>0</v>
      </c>
      <c r="Y509" s="53" t="n">
        <f aca="false">IF(T509=1,IF(AND(ISNUMBER(F509),ISNUMBER(K509)),1,0),0)</f>
        <v>0</v>
      </c>
      <c r="Z509" s="53" t="n">
        <f aca="false">IF(U509&gt;=Settings!$C$8,1,0)</f>
        <v>0</v>
      </c>
      <c r="AA509" s="53" t="n">
        <f aca="false">IF(S509=1,IF(J509="Listed / Publicado",0,1),0)</f>
        <v>0</v>
      </c>
      <c r="AB509" s="53" t="n">
        <f aca="false">IF(T509=1,IF(ISNUMBER(L509),L509-G509,0),0)</f>
        <v>0</v>
      </c>
      <c r="AC509" s="53" t="n">
        <f aca="false">IF(S509=1,IF(ISNUMBER(I509),I509-G509,0),0)</f>
        <v>0</v>
      </c>
    </row>
    <row r="510" customFormat="false" ht="15" hidden="false" customHeight="false" outlineLevel="0" collapsed="false">
      <c r="B510" s="54"/>
      <c r="C510" s="55"/>
      <c r="D510" s="55"/>
      <c r="E510" s="55"/>
      <c r="F510" s="56"/>
      <c r="G510" s="57"/>
      <c r="H510" s="55"/>
      <c r="I510" s="57"/>
      <c r="J510" s="54"/>
      <c r="K510" s="56"/>
      <c r="L510" s="57"/>
      <c r="M510" s="54"/>
      <c r="N510" s="58" t="str">
        <f aca="false">IF(S510=1,IF(U510&lt;0,"",U510),IF(Y510=1,X510,""))</f>
        <v/>
      </c>
      <c r="O510" s="59" t="str">
        <f aca="false">IF(S510=1,IF(ISNUMBER(I510),I510-G510,""),"")</f>
        <v/>
      </c>
      <c r="P510" s="59" t="str">
        <f aca="false">IF(T510=1,IF(ISNUMBER(L510),L510-G510,""),"")</f>
        <v/>
      </c>
      <c r="Q510" s="60" t="str">
        <f aca="false">IF(C510="","",IF(T510=1,"✔ SOLD / VENDIDO",IF(S510=0,"— CLOSED / CERRADO",IF(U510&lt;0,"⚠ ADD DATE / AGREGA FECHA",IF(U510&gt;=Settings!$C$8,"⚠ STALE – REPRICE / ESTANCADO",IF(U510&gt;=Settings!$C$7,"● WATCH / VIGILAR","✔ FRESH / RECIENTE"))))))</f>
        <v/>
      </c>
      <c r="S510" s="53" t="n">
        <f aca="false">IF(C510="",0,IF(OR(J510="",J510="In Stock / En Inventario",J510="Listed / Publicado"),1,0))</f>
        <v>0</v>
      </c>
      <c r="T510" s="53" t="n">
        <f aca="false">IF(C510="",0,IF(J510="Sold / Vendido",1,0))</f>
        <v>0</v>
      </c>
      <c r="U510" s="53" t="n">
        <f aca="true">IF(S510=1,IF(ISNUMBER(F510),TODAY()-F510,-1),-1)</f>
        <v>-1</v>
      </c>
      <c r="V510" s="53" t="n">
        <f aca="false">IF(U510&lt;0,IF(S510=1,5,0),IF(U510&lt;=30,1,IF(U510&lt;=60,2,IF(U510&lt;=90,3,4))))</f>
        <v>0</v>
      </c>
      <c r="W510" s="53" t="n">
        <f aca="false">IF(U510&lt;0,-1000000000000000,U510+ROW()/1000000)</f>
        <v>-1000000000000000</v>
      </c>
      <c r="X510" s="53" t="n">
        <f aca="false">IF(T510=1,IF(AND(ISNUMBER(F510),ISNUMBER(K510)),K510-F510,0),0)</f>
        <v>0</v>
      </c>
      <c r="Y510" s="53" t="n">
        <f aca="false">IF(T510=1,IF(AND(ISNUMBER(F510),ISNUMBER(K510)),1,0),0)</f>
        <v>0</v>
      </c>
      <c r="Z510" s="53" t="n">
        <f aca="false">IF(U510&gt;=Settings!$C$8,1,0)</f>
        <v>0</v>
      </c>
      <c r="AA510" s="53" t="n">
        <f aca="false">IF(S510=1,IF(J510="Listed / Publicado",0,1),0)</f>
        <v>0</v>
      </c>
      <c r="AB510" s="53" t="n">
        <f aca="false">IF(T510=1,IF(ISNUMBER(L510),L510-G510,0),0)</f>
        <v>0</v>
      </c>
      <c r="AC510" s="53" t="n">
        <f aca="false">IF(S510=1,IF(ISNUMBER(I510),I510-G510,0),0)</f>
        <v>0</v>
      </c>
    </row>
    <row r="511" customFormat="false" ht="15" hidden="false" customHeight="false" outlineLevel="0" collapsed="false">
      <c r="B511" s="54"/>
      <c r="C511" s="55"/>
      <c r="D511" s="55"/>
      <c r="E511" s="55"/>
      <c r="F511" s="56"/>
      <c r="G511" s="57"/>
      <c r="H511" s="55"/>
      <c r="I511" s="57"/>
      <c r="J511" s="54"/>
      <c r="K511" s="56"/>
      <c r="L511" s="57"/>
      <c r="M511" s="54"/>
      <c r="N511" s="58" t="str">
        <f aca="false">IF(S511=1,IF(U511&lt;0,"",U511),IF(Y511=1,X511,""))</f>
        <v/>
      </c>
      <c r="O511" s="59" t="str">
        <f aca="false">IF(S511=1,IF(ISNUMBER(I511),I511-G511,""),"")</f>
        <v/>
      </c>
      <c r="P511" s="59" t="str">
        <f aca="false">IF(T511=1,IF(ISNUMBER(L511),L511-G511,""),"")</f>
        <v/>
      </c>
      <c r="Q511" s="60" t="str">
        <f aca="false">IF(C511="","",IF(T511=1,"✔ SOLD / VENDIDO",IF(S511=0,"— CLOSED / CERRADO",IF(U511&lt;0,"⚠ ADD DATE / AGREGA FECHA",IF(U511&gt;=Settings!$C$8,"⚠ STALE – REPRICE / ESTANCADO",IF(U511&gt;=Settings!$C$7,"● WATCH / VIGILAR","✔ FRESH / RECIENTE"))))))</f>
        <v/>
      </c>
      <c r="S511" s="53" t="n">
        <f aca="false">IF(C511="",0,IF(OR(J511="",J511="In Stock / En Inventario",J511="Listed / Publicado"),1,0))</f>
        <v>0</v>
      </c>
      <c r="T511" s="53" t="n">
        <f aca="false">IF(C511="",0,IF(J511="Sold / Vendido",1,0))</f>
        <v>0</v>
      </c>
      <c r="U511" s="53" t="n">
        <f aca="true">IF(S511=1,IF(ISNUMBER(F511),TODAY()-F511,-1),-1)</f>
        <v>-1</v>
      </c>
      <c r="V511" s="53" t="n">
        <f aca="false">IF(U511&lt;0,IF(S511=1,5,0),IF(U511&lt;=30,1,IF(U511&lt;=60,2,IF(U511&lt;=90,3,4))))</f>
        <v>0</v>
      </c>
      <c r="W511" s="53" t="n">
        <f aca="false">IF(U511&lt;0,-1000000000000000,U511+ROW()/1000000)</f>
        <v>-1000000000000000</v>
      </c>
      <c r="X511" s="53" t="n">
        <f aca="false">IF(T511=1,IF(AND(ISNUMBER(F511),ISNUMBER(K511)),K511-F511,0),0)</f>
        <v>0</v>
      </c>
      <c r="Y511" s="53" t="n">
        <f aca="false">IF(T511=1,IF(AND(ISNUMBER(F511),ISNUMBER(K511)),1,0),0)</f>
        <v>0</v>
      </c>
      <c r="Z511" s="53" t="n">
        <f aca="false">IF(U511&gt;=Settings!$C$8,1,0)</f>
        <v>0</v>
      </c>
      <c r="AA511" s="53" t="n">
        <f aca="false">IF(S511=1,IF(J511="Listed / Publicado",0,1),0)</f>
        <v>0</v>
      </c>
      <c r="AB511" s="53" t="n">
        <f aca="false">IF(T511=1,IF(ISNUMBER(L511),L511-G511,0),0)</f>
        <v>0</v>
      </c>
      <c r="AC511" s="53" t="n">
        <f aca="false">IF(S511=1,IF(ISNUMBER(I511),I511-G511,0),0)</f>
        <v>0</v>
      </c>
    </row>
    <row r="512" customFormat="false" ht="15" hidden="false" customHeight="false" outlineLevel="0" collapsed="false">
      <c r="B512" s="54"/>
      <c r="C512" s="55"/>
      <c r="D512" s="55"/>
      <c r="E512" s="55"/>
      <c r="F512" s="56"/>
      <c r="G512" s="57"/>
      <c r="H512" s="55"/>
      <c r="I512" s="57"/>
      <c r="J512" s="54"/>
      <c r="K512" s="56"/>
      <c r="L512" s="57"/>
      <c r="M512" s="54"/>
      <c r="N512" s="58" t="str">
        <f aca="false">IF(S512=1,IF(U512&lt;0,"",U512),IF(Y512=1,X512,""))</f>
        <v/>
      </c>
      <c r="O512" s="59" t="str">
        <f aca="false">IF(S512=1,IF(ISNUMBER(I512),I512-G512,""),"")</f>
        <v/>
      </c>
      <c r="P512" s="59" t="str">
        <f aca="false">IF(T512=1,IF(ISNUMBER(L512),L512-G512,""),"")</f>
        <v/>
      </c>
      <c r="Q512" s="60" t="str">
        <f aca="false">IF(C512="","",IF(T512=1,"✔ SOLD / VENDIDO",IF(S512=0,"— CLOSED / CERRADO",IF(U512&lt;0,"⚠ ADD DATE / AGREGA FECHA",IF(U512&gt;=Settings!$C$8,"⚠ STALE – REPRICE / ESTANCADO",IF(U512&gt;=Settings!$C$7,"● WATCH / VIGILAR","✔ FRESH / RECIENTE"))))))</f>
        <v/>
      </c>
      <c r="S512" s="53" t="n">
        <f aca="false">IF(C512="",0,IF(OR(J512="",J512="In Stock / En Inventario",J512="Listed / Publicado"),1,0))</f>
        <v>0</v>
      </c>
      <c r="T512" s="53" t="n">
        <f aca="false">IF(C512="",0,IF(J512="Sold / Vendido",1,0))</f>
        <v>0</v>
      </c>
      <c r="U512" s="53" t="n">
        <f aca="true">IF(S512=1,IF(ISNUMBER(F512),TODAY()-F512,-1),-1)</f>
        <v>-1</v>
      </c>
      <c r="V512" s="53" t="n">
        <f aca="false">IF(U512&lt;0,IF(S512=1,5,0),IF(U512&lt;=30,1,IF(U512&lt;=60,2,IF(U512&lt;=90,3,4))))</f>
        <v>0</v>
      </c>
      <c r="W512" s="53" t="n">
        <f aca="false">IF(U512&lt;0,-1000000000000000,U512+ROW()/1000000)</f>
        <v>-1000000000000000</v>
      </c>
      <c r="X512" s="53" t="n">
        <f aca="false">IF(T512=1,IF(AND(ISNUMBER(F512),ISNUMBER(K512)),K512-F512,0),0)</f>
        <v>0</v>
      </c>
      <c r="Y512" s="53" t="n">
        <f aca="false">IF(T512=1,IF(AND(ISNUMBER(F512),ISNUMBER(K512)),1,0),0)</f>
        <v>0</v>
      </c>
      <c r="Z512" s="53" t="n">
        <f aca="false">IF(U512&gt;=Settings!$C$8,1,0)</f>
        <v>0</v>
      </c>
      <c r="AA512" s="53" t="n">
        <f aca="false">IF(S512=1,IF(J512="Listed / Publicado",0,1),0)</f>
        <v>0</v>
      </c>
      <c r="AB512" s="53" t="n">
        <f aca="false">IF(T512=1,IF(ISNUMBER(L512),L512-G512,0),0)</f>
        <v>0</v>
      </c>
      <c r="AC512" s="53" t="n">
        <f aca="false">IF(S512=1,IF(ISNUMBER(I512),I512-G512,0),0)</f>
        <v>0</v>
      </c>
    </row>
    <row r="513" customFormat="false" ht="15" hidden="false" customHeight="false" outlineLevel="0" collapsed="false">
      <c r="B513" s="54"/>
      <c r="C513" s="55"/>
      <c r="D513" s="55"/>
      <c r="E513" s="55"/>
      <c r="F513" s="56"/>
      <c r="G513" s="57"/>
      <c r="H513" s="55"/>
      <c r="I513" s="57"/>
      <c r="J513" s="54"/>
      <c r="K513" s="56"/>
      <c r="L513" s="57"/>
      <c r="M513" s="54"/>
      <c r="N513" s="58" t="str">
        <f aca="false">IF(S513=1,IF(U513&lt;0,"",U513),IF(Y513=1,X513,""))</f>
        <v/>
      </c>
      <c r="O513" s="59" t="str">
        <f aca="false">IF(S513=1,IF(ISNUMBER(I513),I513-G513,""),"")</f>
        <v/>
      </c>
      <c r="P513" s="59" t="str">
        <f aca="false">IF(T513=1,IF(ISNUMBER(L513),L513-G513,""),"")</f>
        <v/>
      </c>
      <c r="Q513" s="60" t="str">
        <f aca="false">IF(C513="","",IF(T513=1,"✔ SOLD / VENDIDO",IF(S513=0,"— CLOSED / CERRADO",IF(U513&lt;0,"⚠ ADD DATE / AGREGA FECHA",IF(U513&gt;=Settings!$C$8,"⚠ STALE – REPRICE / ESTANCADO",IF(U513&gt;=Settings!$C$7,"● WATCH / VIGILAR","✔ FRESH / RECIENTE"))))))</f>
        <v/>
      </c>
      <c r="S513" s="53" t="n">
        <f aca="false">IF(C513="",0,IF(OR(J513="",J513="In Stock / En Inventario",J513="Listed / Publicado"),1,0))</f>
        <v>0</v>
      </c>
      <c r="T513" s="53" t="n">
        <f aca="false">IF(C513="",0,IF(J513="Sold / Vendido",1,0))</f>
        <v>0</v>
      </c>
      <c r="U513" s="53" t="n">
        <f aca="true">IF(S513=1,IF(ISNUMBER(F513),TODAY()-F513,-1),-1)</f>
        <v>-1</v>
      </c>
      <c r="V513" s="53" t="n">
        <f aca="false">IF(U513&lt;0,IF(S513=1,5,0),IF(U513&lt;=30,1,IF(U513&lt;=60,2,IF(U513&lt;=90,3,4))))</f>
        <v>0</v>
      </c>
      <c r="W513" s="53" t="n">
        <f aca="false">IF(U513&lt;0,-1000000000000000,U513+ROW()/1000000)</f>
        <v>-1000000000000000</v>
      </c>
      <c r="X513" s="53" t="n">
        <f aca="false">IF(T513=1,IF(AND(ISNUMBER(F513),ISNUMBER(K513)),K513-F513,0),0)</f>
        <v>0</v>
      </c>
      <c r="Y513" s="53" t="n">
        <f aca="false">IF(T513=1,IF(AND(ISNUMBER(F513),ISNUMBER(K513)),1,0),0)</f>
        <v>0</v>
      </c>
      <c r="Z513" s="53" t="n">
        <f aca="false">IF(U513&gt;=Settings!$C$8,1,0)</f>
        <v>0</v>
      </c>
      <c r="AA513" s="53" t="n">
        <f aca="false">IF(S513=1,IF(J513="Listed / Publicado",0,1),0)</f>
        <v>0</v>
      </c>
      <c r="AB513" s="53" t="n">
        <f aca="false">IF(T513=1,IF(ISNUMBER(L513),L513-G513,0),0)</f>
        <v>0</v>
      </c>
      <c r="AC513" s="53" t="n">
        <f aca="false">IF(S513=1,IF(ISNUMBER(I513),I513-G513,0),0)</f>
        <v>0</v>
      </c>
    </row>
    <row r="514" customFormat="false" ht="15" hidden="false" customHeight="false" outlineLevel="0" collapsed="false">
      <c r="B514" s="54"/>
      <c r="C514" s="55"/>
      <c r="D514" s="55"/>
      <c r="E514" s="55"/>
      <c r="F514" s="56"/>
      <c r="G514" s="57"/>
      <c r="H514" s="55"/>
      <c r="I514" s="57"/>
      <c r="J514" s="54"/>
      <c r="K514" s="56"/>
      <c r="L514" s="57"/>
      <c r="M514" s="54"/>
      <c r="N514" s="58" t="str">
        <f aca="false">IF(S514=1,IF(U514&lt;0,"",U514),IF(Y514=1,X514,""))</f>
        <v/>
      </c>
      <c r="O514" s="59" t="str">
        <f aca="false">IF(S514=1,IF(ISNUMBER(I514),I514-G514,""),"")</f>
        <v/>
      </c>
      <c r="P514" s="59" t="str">
        <f aca="false">IF(T514=1,IF(ISNUMBER(L514),L514-G514,""),"")</f>
        <v/>
      </c>
      <c r="Q514" s="60" t="str">
        <f aca="false">IF(C514="","",IF(T514=1,"✔ SOLD / VENDIDO",IF(S514=0,"— CLOSED / CERRADO",IF(U514&lt;0,"⚠ ADD DATE / AGREGA FECHA",IF(U514&gt;=Settings!$C$8,"⚠ STALE – REPRICE / ESTANCADO",IF(U514&gt;=Settings!$C$7,"● WATCH / VIGILAR","✔ FRESH / RECIENTE"))))))</f>
        <v/>
      </c>
      <c r="S514" s="53" t="n">
        <f aca="false">IF(C514="",0,IF(OR(J514="",J514="In Stock / En Inventario",J514="Listed / Publicado"),1,0))</f>
        <v>0</v>
      </c>
      <c r="T514" s="53" t="n">
        <f aca="false">IF(C514="",0,IF(J514="Sold / Vendido",1,0))</f>
        <v>0</v>
      </c>
      <c r="U514" s="53" t="n">
        <f aca="true">IF(S514=1,IF(ISNUMBER(F514),TODAY()-F514,-1),-1)</f>
        <v>-1</v>
      </c>
      <c r="V514" s="53" t="n">
        <f aca="false">IF(U514&lt;0,IF(S514=1,5,0),IF(U514&lt;=30,1,IF(U514&lt;=60,2,IF(U514&lt;=90,3,4))))</f>
        <v>0</v>
      </c>
      <c r="W514" s="53" t="n">
        <f aca="false">IF(U514&lt;0,-1000000000000000,U514+ROW()/1000000)</f>
        <v>-1000000000000000</v>
      </c>
      <c r="X514" s="53" t="n">
        <f aca="false">IF(T514=1,IF(AND(ISNUMBER(F514),ISNUMBER(K514)),K514-F514,0),0)</f>
        <v>0</v>
      </c>
      <c r="Y514" s="53" t="n">
        <f aca="false">IF(T514=1,IF(AND(ISNUMBER(F514),ISNUMBER(K514)),1,0),0)</f>
        <v>0</v>
      </c>
      <c r="Z514" s="53" t="n">
        <f aca="false">IF(U514&gt;=Settings!$C$8,1,0)</f>
        <v>0</v>
      </c>
      <c r="AA514" s="53" t="n">
        <f aca="false">IF(S514=1,IF(J514="Listed / Publicado",0,1),0)</f>
        <v>0</v>
      </c>
      <c r="AB514" s="53" t="n">
        <f aca="false">IF(T514=1,IF(ISNUMBER(L514),L514-G514,0),0)</f>
        <v>0</v>
      </c>
      <c r="AC514" s="53" t="n">
        <f aca="false">IF(S514=1,IF(ISNUMBER(I514),I514-G514,0),0)</f>
        <v>0</v>
      </c>
    </row>
    <row r="515" customFormat="false" ht="15" hidden="false" customHeight="false" outlineLevel="0" collapsed="false">
      <c r="B515" s="54"/>
      <c r="C515" s="55"/>
      <c r="D515" s="55"/>
      <c r="E515" s="55"/>
      <c r="F515" s="56"/>
      <c r="G515" s="57"/>
      <c r="H515" s="55"/>
      <c r="I515" s="57"/>
      <c r="J515" s="54"/>
      <c r="K515" s="56"/>
      <c r="L515" s="57"/>
      <c r="M515" s="54"/>
      <c r="N515" s="58" t="str">
        <f aca="false">IF(S515=1,IF(U515&lt;0,"",U515),IF(Y515=1,X515,""))</f>
        <v/>
      </c>
      <c r="O515" s="59" t="str">
        <f aca="false">IF(S515=1,IF(ISNUMBER(I515),I515-G515,""),"")</f>
        <v/>
      </c>
      <c r="P515" s="59" t="str">
        <f aca="false">IF(T515=1,IF(ISNUMBER(L515),L515-G515,""),"")</f>
        <v/>
      </c>
      <c r="Q515" s="60" t="str">
        <f aca="false">IF(C515="","",IF(T515=1,"✔ SOLD / VENDIDO",IF(S515=0,"— CLOSED / CERRADO",IF(U515&lt;0,"⚠ ADD DATE / AGREGA FECHA",IF(U515&gt;=Settings!$C$8,"⚠ STALE – REPRICE / ESTANCADO",IF(U515&gt;=Settings!$C$7,"● WATCH / VIGILAR","✔ FRESH / RECIENTE"))))))</f>
        <v/>
      </c>
      <c r="S515" s="53" t="n">
        <f aca="false">IF(C515="",0,IF(OR(J515="",J515="In Stock / En Inventario",J515="Listed / Publicado"),1,0))</f>
        <v>0</v>
      </c>
      <c r="T515" s="53" t="n">
        <f aca="false">IF(C515="",0,IF(J515="Sold / Vendido",1,0))</f>
        <v>0</v>
      </c>
      <c r="U515" s="53" t="n">
        <f aca="true">IF(S515=1,IF(ISNUMBER(F515),TODAY()-F515,-1),-1)</f>
        <v>-1</v>
      </c>
      <c r="V515" s="53" t="n">
        <f aca="false">IF(U515&lt;0,IF(S515=1,5,0),IF(U515&lt;=30,1,IF(U515&lt;=60,2,IF(U515&lt;=90,3,4))))</f>
        <v>0</v>
      </c>
      <c r="W515" s="53" t="n">
        <f aca="false">IF(U515&lt;0,-1000000000000000,U515+ROW()/1000000)</f>
        <v>-1000000000000000</v>
      </c>
      <c r="X515" s="53" t="n">
        <f aca="false">IF(T515=1,IF(AND(ISNUMBER(F515),ISNUMBER(K515)),K515-F515,0),0)</f>
        <v>0</v>
      </c>
      <c r="Y515" s="53" t="n">
        <f aca="false">IF(T515=1,IF(AND(ISNUMBER(F515),ISNUMBER(K515)),1,0),0)</f>
        <v>0</v>
      </c>
      <c r="Z515" s="53" t="n">
        <f aca="false">IF(U515&gt;=Settings!$C$8,1,0)</f>
        <v>0</v>
      </c>
      <c r="AA515" s="53" t="n">
        <f aca="false">IF(S515=1,IF(J515="Listed / Publicado",0,1),0)</f>
        <v>0</v>
      </c>
      <c r="AB515" s="53" t="n">
        <f aca="false">IF(T515=1,IF(ISNUMBER(L515),L515-G515,0),0)</f>
        <v>0</v>
      </c>
      <c r="AC515" s="53" t="n">
        <f aca="false">IF(S515=1,IF(ISNUMBER(I515),I515-G515,0),0)</f>
        <v>0</v>
      </c>
    </row>
    <row r="516" customFormat="false" ht="15" hidden="false" customHeight="false" outlineLevel="0" collapsed="false">
      <c r="B516" s="54"/>
      <c r="C516" s="55"/>
      <c r="D516" s="55"/>
      <c r="E516" s="55"/>
      <c r="F516" s="56"/>
      <c r="G516" s="57"/>
      <c r="H516" s="55"/>
      <c r="I516" s="57"/>
      <c r="J516" s="54"/>
      <c r="K516" s="56"/>
      <c r="L516" s="57"/>
      <c r="M516" s="54"/>
      <c r="N516" s="58" t="str">
        <f aca="false">IF(S516=1,IF(U516&lt;0,"",U516),IF(Y516=1,X516,""))</f>
        <v/>
      </c>
      <c r="O516" s="59" t="str">
        <f aca="false">IF(S516=1,IF(ISNUMBER(I516),I516-G516,""),"")</f>
        <v/>
      </c>
      <c r="P516" s="59" t="str">
        <f aca="false">IF(T516=1,IF(ISNUMBER(L516),L516-G516,""),"")</f>
        <v/>
      </c>
      <c r="Q516" s="60" t="str">
        <f aca="false">IF(C516="","",IF(T516=1,"✔ SOLD / VENDIDO",IF(S516=0,"— CLOSED / CERRADO",IF(U516&lt;0,"⚠ ADD DATE / AGREGA FECHA",IF(U516&gt;=Settings!$C$8,"⚠ STALE – REPRICE / ESTANCADO",IF(U516&gt;=Settings!$C$7,"● WATCH / VIGILAR","✔ FRESH / RECIENTE"))))))</f>
        <v/>
      </c>
      <c r="S516" s="53" t="n">
        <f aca="false">IF(C516="",0,IF(OR(J516="",J516="In Stock / En Inventario",J516="Listed / Publicado"),1,0))</f>
        <v>0</v>
      </c>
      <c r="T516" s="53" t="n">
        <f aca="false">IF(C516="",0,IF(J516="Sold / Vendido",1,0))</f>
        <v>0</v>
      </c>
      <c r="U516" s="53" t="n">
        <f aca="true">IF(S516=1,IF(ISNUMBER(F516),TODAY()-F516,-1),-1)</f>
        <v>-1</v>
      </c>
      <c r="V516" s="53" t="n">
        <f aca="false">IF(U516&lt;0,IF(S516=1,5,0),IF(U516&lt;=30,1,IF(U516&lt;=60,2,IF(U516&lt;=90,3,4))))</f>
        <v>0</v>
      </c>
      <c r="W516" s="53" t="n">
        <f aca="false">IF(U516&lt;0,-1000000000000000,U516+ROW()/1000000)</f>
        <v>-1000000000000000</v>
      </c>
      <c r="X516" s="53" t="n">
        <f aca="false">IF(T516=1,IF(AND(ISNUMBER(F516),ISNUMBER(K516)),K516-F516,0),0)</f>
        <v>0</v>
      </c>
      <c r="Y516" s="53" t="n">
        <f aca="false">IF(T516=1,IF(AND(ISNUMBER(F516),ISNUMBER(K516)),1,0),0)</f>
        <v>0</v>
      </c>
      <c r="Z516" s="53" t="n">
        <f aca="false">IF(U516&gt;=Settings!$C$8,1,0)</f>
        <v>0</v>
      </c>
      <c r="AA516" s="53" t="n">
        <f aca="false">IF(S516=1,IF(J516="Listed / Publicado",0,1),0)</f>
        <v>0</v>
      </c>
      <c r="AB516" s="53" t="n">
        <f aca="false">IF(T516=1,IF(ISNUMBER(L516),L516-G516,0),0)</f>
        <v>0</v>
      </c>
      <c r="AC516" s="53" t="n">
        <f aca="false">IF(S516=1,IF(ISNUMBER(I516),I516-G516,0),0)</f>
        <v>0</v>
      </c>
    </row>
    <row r="517" customFormat="false" ht="15" hidden="false" customHeight="false" outlineLevel="0" collapsed="false">
      <c r="B517" s="54"/>
      <c r="C517" s="55"/>
      <c r="D517" s="55"/>
      <c r="E517" s="55"/>
      <c r="F517" s="56"/>
      <c r="G517" s="57"/>
      <c r="H517" s="55"/>
      <c r="I517" s="57"/>
      <c r="J517" s="54"/>
      <c r="K517" s="56"/>
      <c r="L517" s="57"/>
      <c r="M517" s="54"/>
      <c r="N517" s="58" t="str">
        <f aca="false">IF(S517=1,IF(U517&lt;0,"",U517),IF(Y517=1,X517,""))</f>
        <v/>
      </c>
      <c r="O517" s="59" t="str">
        <f aca="false">IF(S517=1,IF(ISNUMBER(I517),I517-G517,""),"")</f>
        <v/>
      </c>
      <c r="P517" s="59" t="str">
        <f aca="false">IF(T517=1,IF(ISNUMBER(L517),L517-G517,""),"")</f>
        <v/>
      </c>
      <c r="Q517" s="60" t="str">
        <f aca="false">IF(C517="","",IF(T517=1,"✔ SOLD / VENDIDO",IF(S517=0,"— CLOSED / CERRADO",IF(U517&lt;0,"⚠ ADD DATE / AGREGA FECHA",IF(U517&gt;=Settings!$C$8,"⚠ STALE – REPRICE / ESTANCADO",IF(U517&gt;=Settings!$C$7,"● WATCH / VIGILAR","✔ FRESH / RECIENTE"))))))</f>
        <v/>
      </c>
      <c r="S517" s="53" t="n">
        <f aca="false">IF(C517="",0,IF(OR(J517="",J517="In Stock / En Inventario",J517="Listed / Publicado"),1,0))</f>
        <v>0</v>
      </c>
      <c r="T517" s="53" t="n">
        <f aca="false">IF(C517="",0,IF(J517="Sold / Vendido",1,0))</f>
        <v>0</v>
      </c>
      <c r="U517" s="53" t="n">
        <f aca="true">IF(S517=1,IF(ISNUMBER(F517),TODAY()-F517,-1),-1)</f>
        <v>-1</v>
      </c>
      <c r="V517" s="53" t="n">
        <f aca="false">IF(U517&lt;0,IF(S517=1,5,0),IF(U517&lt;=30,1,IF(U517&lt;=60,2,IF(U517&lt;=90,3,4))))</f>
        <v>0</v>
      </c>
      <c r="W517" s="53" t="n">
        <f aca="false">IF(U517&lt;0,-1000000000000000,U517+ROW()/1000000)</f>
        <v>-1000000000000000</v>
      </c>
      <c r="X517" s="53" t="n">
        <f aca="false">IF(T517=1,IF(AND(ISNUMBER(F517),ISNUMBER(K517)),K517-F517,0),0)</f>
        <v>0</v>
      </c>
      <c r="Y517" s="53" t="n">
        <f aca="false">IF(T517=1,IF(AND(ISNUMBER(F517),ISNUMBER(K517)),1,0),0)</f>
        <v>0</v>
      </c>
      <c r="Z517" s="53" t="n">
        <f aca="false">IF(U517&gt;=Settings!$C$8,1,0)</f>
        <v>0</v>
      </c>
      <c r="AA517" s="53" t="n">
        <f aca="false">IF(S517=1,IF(J517="Listed / Publicado",0,1),0)</f>
        <v>0</v>
      </c>
      <c r="AB517" s="53" t="n">
        <f aca="false">IF(T517=1,IF(ISNUMBER(L517),L517-G517,0),0)</f>
        <v>0</v>
      </c>
      <c r="AC517" s="53" t="n">
        <f aca="false">IF(S517=1,IF(ISNUMBER(I517),I517-G517,0),0)</f>
        <v>0</v>
      </c>
    </row>
    <row r="518" customFormat="false" ht="15" hidden="false" customHeight="false" outlineLevel="0" collapsed="false">
      <c r="B518" s="54"/>
      <c r="C518" s="55"/>
      <c r="D518" s="55"/>
      <c r="E518" s="55"/>
      <c r="F518" s="56"/>
      <c r="G518" s="57"/>
      <c r="H518" s="55"/>
      <c r="I518" s="57"/>
      <c r="J518" s="54"/>
      <c r="K518" s="56"/>
      <c r="L518" s="57"/>
      <c r="M518" s="54"/>
      <c r="N518" s="58" t="str">
        <f aca="false">IF(S518=1,IF(U518&lt;0,"",U518),IF(Y518=1,X518,""))</f>
        <v/>
      </c>
      <c r="O518" s="59" t="str">
        <f aca="false">IF(S518=1,IF(ISNUMBER(I518),I518-G518,""),"")</f>
        <v/>
      </c>
      <c r="P518" s="59" t="str">
        <f aca="false">IF(T518=1,IF(ISNUMBER(L518),L518-G518,""),"")</f>
        <v/>
      </c>
      <c r="Q518" s="60" t="str">
        <f aca="false">IF(C518="","",IF(T518=1,"✔ SOLD / VENDIDO",IF(S518=0,"— CLOSED / CERRADO",IF(U518&lt;0,"⚠ ADD DATE / AGREGA FECHA",IF(U518&gt;=Settings!$C$8,"⚠ STALE – REPRICE / ESTANCADO",IF(U518&gt;=Settings!$C$7,"● WATCH / VIGILAR","✔ FRESH / RECIENTE"))))))</f>
        <v/>
      </c>
      <c r="S518" s="53" t="n">
        <f aca="false">IF(C518="",0,IF(OR(J518="",J518="In Stock / En Inventario",J518="Listed / Publicado"),1,0))</f>
        <v>0</v>
      </c>
      <c r="T518" s="53" t="n">
        <f aca="false">IF(C518="",0,IF(J518="Sold / Vendido",1,0))</f>
        <v>0</v>
      </c>
      <c r="U518" s="53" t="n">
        <f aca="true">IF(S518=1,IF(ISNUMBER(F518),TODAY()-F518,-1),-1)</f>
        <v>-1</v>
      </c>
      <c r="V518" s="53" t="n">
        <f aca="false">IF(U518&lt;0,IF(S518=1,5,0),IF(U518&lt;=30,1,IF(U518&lt;=60,2,IF(U518&lt;=90,3,4))))</f>
        <v>0</v>
      </c>
      <c r="W518" s="53" t="n">
        <f aca="false">IF(U518&lt;0,-1000000000000000,U518+ROW()/1000000)</f>
        <v>-1000000000000000</v>
      </c>
      <c r="X518" s="53" t="n">
        <f aca="false">IF(T518=1,IF(AND(ISNUMBER(F518),ISNUMBER(K518)),K518-F518,0),0)</f>
        <v>0</v>
      </c>
      <c r="Y518" s="53" t="n">
        <f aca="false">IF(T518=1,IF(AND(ISNUMBER(F518),ISNUMBER(K518)),1,0),0)</f>
        <v>0</v>
      </c>
      <c r="Z518" s="53" t="n">
        <f aca="false">IF(U518&gt;=Settings!$C$8,1,0)</f>
        <v>0</v>
      </c>
      <c r="AA518" s="53" t="n">
        <f aca="false">IF(S518=1,IF(J518="Listed / Publicado",0,1),0)</f>
        <v>0</v>
      </c>
      <c r="AB518" s="53" t="n">
        <f aca="false">IF(T518=1,IF(ISNUMBER(L518),L518-G518,0),0)</f>
        <v>0</v>
      </c>
      <c r="AC518" s="53" t="n">
        <f aca="false">IF(S518=1,IF(ISNUMBER(I518),I518-G518,0),0)</f>
        <v>0</v>
      </c>
    </row>
    <row r="519" customFormat="false" ht="15" hidden="false" customHeight="false" outlineLevel="0" collapsed="false">
      <c r="B519" s="54"/>
      <c r="C519" s="55"/>
      <c r="D519" s="55"/>
      <c r="E519" s="55"/>
      <c r="F519" s="56"/>
      <c r="G519" s="57"/>
      <c r="H519" s="55"/>
      <c r="I519" s="57"/>
      <c r="J519" s="54"/>
      <c r="K519" s="56"/>
      <c r="L519" s="57"/>
      <c r="M519" s="54"/>
      <c r="N519" s="58" t="str">
        <f aca="false">IF(S519=1,IF(U519&lt;0,"",U519),IF(Y519=1,X519,""))</f>
        <v/>
      </c>
      <c r="O519" s="59" t="str">
        <f aca="false">IF(S519=1,IF(ISNUMBER(I519),I519-G519,""),"")</f>
        <v/>
      </c>
      <c r="P519" s="59" t="str">
        <f aca="false">IF(T519=1,IF(ISNUMBER(L519),L519-G519,""),"")</f>
        <v/>
      </c>
      <c r="Q519" s="60" t="str">
        <f aca="false">IF(C519="","",IF(T519=1,"✔ SOLD / VENDIDO",IF(S519=0,"— CLOSED / CERRADO",IF(U519&lt;0,"⚠ ADD DATE / AGREGA FECHA",IF(U519&gt;=Settings!$C$8,"⚠ STALE – REPRICE / ESTANCADO",IF(U519&gt;=Settings!$C$7,"● WATCH / VIGILAR","✔ FRESH / RECIENTE"))))))</f>
        <v/>
      </c>
      <c r="S519" s="53" t="n">
        <f aca="false">IF(C519="",0,IF(OR(J519="",J519="In Stock / En Inventario",J519="Listed / Publicado"),1,0))</f>
        <v>0</v>
      </c>
      <c r="T519" s="53" t="n">
        <f aca="false">IF(C519="",0,IF(J519="Sold / Vendido",1,0))</f>
        <v>0</v>
      </c>
      <c r="U519" s="53" t="n">
        <f aca="true">IF(S519=1,IF(ISNUMBER(F519),TODAY()-F519,-1),-1)</f>
        <v>-1</v>
      </c>
      <c r="V519" s="53" t="n">
        <f aca="false">IF(U519&lt;0,IF(S519=1,5,0),IF(U519&lt;=30,1,IF(U519&lt;=60,2,IF(U519&lt;=90,3,4))))</f>
        <v>0</v>
      </c>
      <c r="W519" s="53" t="n">
        <f aca="false">IF(U519&lt;0,-1000000000000000,U519+ROW()/1000000)</f>
        <v>-1000000000000000</v>
      </c>
      <c r="X519" s="53" t="n">
        <f aca="false">IF(T519=1,IF(AND(ISNUMBER(F519),ISNUMBER(K519)),K519-F519,0),0)</f>
        <v>0</v>
      </c>
      <c r="Y519" s="53" t="n">
        <f aca="false">IF(T519=1,IF(AND(ISNUMBER(F519),ISNUMBER(K519)),1,0),0)</f>
        <v>0</v>
      </c>
      <c r="Z519" s="53" t="n">
        <f aca="false">IF(U519&gt;=Settings!$C$8,1,0)</f>
        <v>0</v>
      </c>
      <c r="AA519" s="53" t="n">
        <f aca="false">IF(S519=1,IF(J519="Listed / Publicado",0,1),0)</f>
        <v>0</v>
      </c>
      <c r="AB519" s="53" t="n">
        <f aca="false">IF(T519=1,IF(ISNUMBER(L519),L519-G519,0),0)</f>
        <v>0</v>
      </c>
      <c r="AC519" s="53" t="n">
        <f aca="false">IF(S519=1,IF(ISNUMBER(I519),I519-G519,0),0)</f>
        <v>0</v>
      </c>
    </row>
    <row r="520" customFormat="false" ht="15" hidden="false" customHeight="false" outlineLevel="0" collapsed="false">
      <c r="B520" s="54"/>
      <c r="C520" s="55"/>
      <c r="D520" s="55"/>
      <c r="E520" s="55"/>
      <c r="F520" s="56"/>
      <c r="G520" s="57"/>
      <c r="H520" s="55"/>
      <c r="I520" s="57"/>
      <c r="J520" s="54"/>
      <c r="K520" s="56"/>
      <c r="L520" s="57"/>
      <c r="M520" s="54"/>
      <c r="N520" s="58" t="str">
        <f aca="false">IF(S520=1,IF(U520&lt;0,"",U520),IF(Y520=1,X520,""))</f>
        <v/>
      </c>
      <c r="O520" s="59" t="str">
        <f aca="false">IF(S520=1,IF(ISNUMBER(I520),I520-G520,""),"")</f>
        <v/>
      </c>
      <c r="P520" s="59" t="str">
        <f aca="false">IF(T520=1,IF(ISNUMBER(L520),L520-G520,""),"")</f>
        <v/>
      </c>
      <c r="Q520" s="60" t="str">
        <f aca="false">IF(C520="","",IF(T520=1,"✔ SOLD / VENDIDO",IF(S520=0,"— CLOSED / CERRADO",IF(U520&lt;0,"⚠ ADD DATE / AGREGA FECHA",IF(U520&gt;=Settings!$C$8,"⚠ STALE – REPRICE / ESTANCADO",IF(U520&gt;=Settings!$C$7,"● WATCH / VIGILAR","✔ FRESH / RECIENTE"))))))</f>
        <v/>
      </c>
      <c r="S520" s="53" t="n">
        <f aca="false">IF(C520="",0,IF(OR(J520="",J520="In Stock / En Inventario",J520="Listed / Publicado"),1,0))</f>
        <v>0</v>
      </c>
      <c r="T520" s="53" t="n">
        <f aca="false">IF(C520="",0,IF(J520="Sold / Vendido",1,0))</f>
        <v>0</v>
      </c>
      <c r="U520" s="53" t="n">
        <f aca="true">IF(S520=1,IF(ISNUMBER(F520),TODAY()-F520,-1),-1)</f>
        <v>-1</v>
      </c>
      <c r="V520" s="53" t="n">
        <f aca="false">IF(U520&lt;0,IF(S520=1,5,0),IF(U520&lt;=30,1,IF(U520&lt;=60,2,IF(U520&lt;=90,3,4))))</f>
        <v>0</v>
      </c>
      <c r="W520" s="53" t="n">
        <f aca="false">IF(U520&lt;0,-1000000000000000,U520+ROW()/1000000)</f>
        <v>-1000000000000000</v>
      </c>
      <c r="X520" s="53" t="n">
        <f aca="false">IF(T520=1,IF(AND(ISNUMBER(F520),ISNUMBER(K520)),K520-F520,0),0)</f>
        <v>0</v>
      </c>
      <c r="Y520" s="53" t="n">
        <f aca="false">IF(T520=1,IF(AND(ISNUMBER(F520),ISNUMBER(K520)),1,0),0)</f>
        <v>0</v>
      </c>
      <c r="Z520" s="53" t="n">
        <f aca="false">IF(U520&gt;=Settings!$C$8,1,0)</f>
        <v>0</v>
      </c>
      <c r="AA520" s="53" t="n">
        <f aca="false">IF(S520=1,IF(J520="Listed / Publicado",0,1),0)</f>
        <v>0</v>
      </c>
      <c r="AB520" s="53" t="n">
        <f aca="false">IF(T520=1,IF(ISNUMBER(L520),L520-G520,0),0)</f>
        <v>0</v>
      </c>
      <c r="AC520" s="53" t="n">
        <f aca="false">IF(S520=1,IF(ISNUMBER(I520),I520-G520,0),0)</f>
        <v>0</v>
      </c>
    </row>
    <row r="521" customFormat="false" ht="15" hidden="false" customHeight="false" outlineLevel="0" collapsed="false">
      <c r="B521" s="54"/>
      <c r="C521" s="55"/>
      <c r="D521" s="55"/>
      <c r="E521" s="55"/>
      <c r="F521" s="56"/>
      <c r="G521" s="57"/>
      <c r="H521" s="55"/>
      <c r="I521" s="57"/>
      <c r="J521" s="54"/>
      <c r="K521" s="56"/>
      <c r="L521" s="57"/>
      <c r="M521" s="54"/>
      <c r="N521" s="58" t="str">
        <f aca="false">IF(S521=1,IF(U521&lt;0,"",U521),IF(Y521=1,X521,""))</f>
        <v/>
      </c>
      <c r="O521" s="59" t="str">
        <f aca="false">IF(S521=1,IF(ISNUMBER(I521),I521-G521,""),"")</f>
        <v/>
      </c>
      <c r="P521" s="59" t="str">
        <f aca="false">IF(T521=1,IF(ISNUMBER(L521),L521-G521,""),"")</f>
        <v/>
      </c>
      <c r="Q521" s="60" t="str">
        <f aca="false">IF(C521="","",IF(T521=1,"✔ SOLD / VENDIDO",IF(S521=0,"— CLOSED / CERRADO",IF(U521&lt;0,"⚠ ADD DATE / AGREGA FECHA",IF(U521&gt;=Settings!$C$8,"⚠ STALE – REPRICE / ESTANCADO",IF(U521&gt;=Settings!$C$7,"● WATCH / VIGILAR","✔ FRESH / RECIENTE"))))))</f>
        <v/>
      </c>
      <c r="S521" s="53" t="n">
        <f aca="false">IF(C521="",0,IF(OR(J521="",J521="In Stock / En Inventario",J521="Listed / Publicado"),1,0))</f>
        <v>0</v>
      </c>
      <c r="T521" s="53" t="n">
        <f aca="false">IF(C521="",0,IF(J521="Sold / Vendido",1,0))</f>
        <v>0</v>
      </c>
      <c r="U521" s="53" t="n">
        <f aca="true">IF(S521=1,IF(ISNUMBER(F521),TODAY()-F521,-1),-1)</f>
        <v>-1</v>
      </c>
      <c r="V521" s="53" t="n">
        <f aca="false">IF(U521&lt;0,IF(S521=1,5,0),IF(U521&lt;=30,1,IF(U521&lt;=60,2,IF(U521&lt;=90,3,4))))</f>
        <v>0</v>
      </c>
      <c r="W521" s="53" t="n">
        <f aca="false">IF(U521&lt;0,-1000000000000000,U521+ROW()/1000000)</f>
        <v>-1000000000000000</v>
      </c>
      <c r="X521" s="53" t="n">
        <f aca="false">IF(T521=1,IF(AND(ISNUMBER(F521),ISNUMBER(K521)),K521-F521,0),0)</f>
        <v>0</v>
      </c>
      <c r="Y521" s="53" t="n">
        <f aca="false">IF(T521=1,IF(AND(ISNUMBER(F521),ISNUMBER(K521)),1,0),0)</f>
        <v>0</v>
      </c>
      <c r="Z521" s="53" t="n">
        <f aca="false">IF(U521&gt;=Settings!$C$8,1,0)</f>
        <v>0</v>
      </c>
      <c r="AA521" s="53" t="n">
        <f aca="false">IF(S521=1,IF(J521="Listed / Publicado",0,1),0)</f>
        <v>0</v>
      </c>
      <c r="AB521" s="53" t="n">
        <f aca="false">IF(T521=1,IF(ISNUMBER(L521),L521-G521,0),0)</f>
        <v>0</v>
      </c>
      <c r="AC521" s="53" t="n">
        <f aca="false">IF(S521=1,IF(ISNUMBER(I521),I521-G521,0),0)</f>
        <v>0</v>
      </c>
    </row>
    <row r="522" customFormat="false" ht="15" hidden="false" customHeight="false" outlineLevel="0" collapsed="false">
      <c r="B522" s="54"/>
      <c r="C522" s="55"/>
      <c r="D522" s="55"/>
      <c r="E522" s="55"/>
      <c r="F522" s="56"/>
      <c r="G522" s="57"/>
      <c r="H522" s="55"/>
      <c r="I522" s="57"/>
      <c r="J522" s="54"/>
      <c r="K522" s="56"/>
      <c r="L522" s="57"/>
      <c r="M522" s="54"/>
      <c r="N522" s="58" t="str">
        <f aca="false">IF(S522=1,IF(U522&lt;0,"",U522),IF(Y522=1,X522,""))</f>
        <v/>
      </c>
      <c r="O522" s="59" t="str">
        <f aca="false">IF(S522=1,IF(ISNUMBER(I522),I522-G522,""),"")</f>
        <v/>
      </c>
      <c r="P522" s="59" t="str">
        <f aca="false">IF(T522=1,IF(ISNUMBER(L522),L522-G522,""),"")</f>
        <v/>
      </c>
      <c r="Q522" s="60" t="str">
        <f aca="false">IF(C522="","",IF(T522=1,"✔ SOLD / VENDIDO",IF(S522=0,"— CLOSED / CERRADO",IF(U522&lt;0,"⚠ ADD DATE / AGREGA FECHA",IF(U522&gt;=Settings!$C$8,"⚠ STALE – REPRICE / ESTANCADO",IF(U522&gt;=Settings!$C$7,"● WATCH / VIGILAR","✔ FRESH / RECIENTE"))))))</f>
        <v/>
      </c>
      <c r="S522" s="53" t="n">
        <f aca="false">IF(C522="",0,IF(OR(J522="",J522="In Stock / En Inventario",J522="Listed / Publicado"),1,0))</f>
        <v>0</v>
      </c>
      <c r="T522" s="53" t="n">
        <f aca="false">IF(C522="",0,IF(J522="Sold / Vendido",1,0))</f>
        <v>0</v>
      </c>
      <c r="U522" s="53" t="n">
        <f aca="true">IF(S522=1,IF(ISNUMBER(F522),TODAY()-F522,-1),-1)</f>
        <v>-1</v>
      </c>
      <c r="V522" s="53" t="n">
        <f aca="false">IF(U522&lt;0,IF(S522=1,5,0),IF(U522&lt;=30,1,IF(U522&lt;=60,2,IF(U522&lt;=90,3,4))))</f>
        <v>0</v>
      </c>
      <c r="W522" s="53" t="n">
        <f aca="false">IF(U522&lt;0,-1000000000000000,U522+ROW()/1000000)</f>
        <v>-1000000000000000</v>
      </c>
      <c r="X522" s="53" t="n">
        <f aca="false">IF(T522=1,IF(AND(ISNUMBER(F522),ISNUMBER(K522)),K522-F522,0),0)</f>
        <v>0</v>
      </c>
      <c r="Y522" s="53" t="n">
        <f aca="false">IF(T522=1,IF(AND(ISNUMBER(F522),ISNUMBER(K522)),1,0),0)</f>
        <v>0</v>
      </c>
      <c r="Z522" s="53" t="n">
        <f aca="false">IF(U522&gt;=Settings!$C$8,1,0)</f>
        <v>0</v>
      </c>
      <c r="AA522" s="53" t="n">
        <f aca="false">IF(S522=1,IF(J522="Listed / Publicado",0,1),0)</f>
        <v>0</v>
      </c>
      <c r="AB522" s="53" t="n">
        <f aca="false">IF(T522=1,IF(ISNUMBER(L522),L522-G522,0),0)</f>
        <v>0</v>
      </c>
      <c r="AC522" s="53" t="n">
        <f aca="false">IF(S522=1,IF(ISNUMBER(I522),I522-G522,0),0)</f>
        <v>0</v>
      </c>
    </row>
    <row r="523" customFormat="false" ht="15" hidden="false" customHeight="false" outlineLevel="0" collapsed="false">
      <c r="B523" s="54"/>
      <c r="C523" s="55"/>
      <c r="D523" s="55"/>
      <c r="E523" s="55"/>
      <c r="F523" s="56"/>
      <c r="G523" s="57"/>
      <c r="H523" s="55"/>
      <c r="I523" s="57"/>
      <c r="J523" s="54"/>
      <c r="K523" s="56"/>
      <c r="L523" s="57"/>
      <c r="M523" s="54"/>
      <c r="N523" s="58" t="str">
        <f aca="false">IF(S523=1,IF(U523&lt;0,"",U523),IF(Y523=1,X523,""))</f>
        <v/>
      </c>
      <c r="O523" s="59" t="str">
        <f aca="false">IF(S523=1,IF(ISNUMBER(I523),I523-G523,""),"")</f>
        <v/>
      </c>
      <c r="P523" s="59" t="str">
        <f aca="false">IF(T523=1,IF(ISNUMBER(L523),L523-G523,""),"")</f>
        <v/>
      </c>
      <c r="Q523" s="60" t="str">
        <f aca="false">IF(C523="","",IF(T523=1,"✔ SOLD / VENDIDO",IF(S523=0,"— CLOSED / CERRADO",IF(U523&lt;0,"⚠ ADD DATE / AGREGA FECHA",IF(U523&gt;=Settings!$C$8,"⚠ STALE – REPRICE / ESTANCADO",IF(U523&gt;=Settings!$C$7,"● WATCH / VIGILAR","✔ FRESH / RECIENTE"))))))</f>
        <v/>
      </c>
      <c r="S523" s="53" t="n">
        <f aca="false">IF(C523="",0,IF(OR(J523="",J523="In Stock / En Inventario",J523="Listed / Publicado"),1,0))</f>
        <v>0</v>
      </c>
      <c r="T523" s="53" t="n">
        <f aca="false">IF(C523="",0,IF(J523="Sold / Vendido",1,0))</f>
        <v>0</v>
      </c>
      <c r="U523" s="53" t="n">
        <f aca="true">IF(S523=1,IF(ISNUMBER(F523),TODAY()-F523,-1),-1)</f>
        <v>-1</v>
      </c>
      <c r="V523" s="53" t="n">
        <f aca="false">IF(U523&lt;0,IF(S523=1,5,0),IF(U523&lt;=30,1,IF(U523&lt;=60,2,IF(U523&lt;=90,3,4))))</f>
        <v>0</v>
      </c>
      <c r="W523" s="53" t="n">
        <f aca="false">IF(U523&lt;0,-1000000000000000,U523+ROW()/1000000)</f>
        <v>-1000000000000000</v>
      </c>
      <c r="X523" s="53" t="n">
        <f aca="false">IF(T523=1,IF(AND(ISNUMBER(F523),ISNUMBER(K523)),K523-F523,0),0)</f>
        <v>0</v>
      </c>
      <c r="Y523" s="53" t="n">
        <f aca="false">IF(T523=1,IF(AND(ISNUMBER(F523),ISNUMBER(K523)),1,0),0)</f>
        <v>0</v>
      </c>
      <c r="Z523" s="53" t="n">
        <f aca="false">IF(U523&gt;=Settings!$C$8,1,0)</f>
        <v>0</v>
      </c>
      <c r="AA523" s="53" t="n">
        <f aca="false">IF(S523=1,IF(J523="Listed / Publicado",0,1),0)</f>
        <v>0</v>
      </c>
      <c r="AB523" s="53" t="n">
        <f aca="false">IF(T523=1,IF(ISNUMBER(L523),L523-G523,0),0)</f>
        <v>0</v>
      </c>
      <c r="AC523" s="53" t="n">
        <f aca="false">IF(S523=1,IF(ISNUMBER(I523),I523-G523,0),0)</f>
        <v>0</v>
      </c>
    </row>
    <row r="524" customFormat="false" ht="15" hidden="false" customHeight="false" outlineLevel="0" collapsed="false">
      <c r="B524" s="54"/>
      <c r="C524" s="55"/>
      <c r="D524" s="55"/>
      <c r="E524" s="55"/>
      <c r="F524" s="56"/>
      <c r="G524" s="57"/>
      <c r="H524" s="55"/>
      <c r="I524" s="57"/>
      <c r="J524" s="54"/>
      <c r="K524" s="56"/>
      <c r="L524" s="57"/>
      <c r="M524" s="54"/>
      <c r="N524" s="58" t="str">
        <f aca="false">IF(S524=1,IF(U524&lt;0,"",U524),IF(Y524=1,X524,""))</f>
        <v/>
      </c>
      <c r="O524" s="59" t="str">
        <f aca="false">IF(S524=1,IF(ISNUMBER(I524),I524-G524,""),"")</f>
        <v/>
      </c>
      <c r="P524" s="59" t="str">
        <f aca="false">IF(T524=1,IF(ISNUMBER(L524),L524-G524,""),"")</f>
        <v/>
      </c>
      <c r="Q524" s="60" t="str">
        <f aca="false">IF(C524="","",IF(T524=1,"✔ SOLD / VENDIDO",IF(S524=0,"— CLOSED / CERRADO",IF(U524&lt;0,"⚠ ADD DATE / AGREGA FECHA",IF(U524&gt;=Settings!$C$8,"⚠ STALE – REPRICE / ESTANCADO",IF(U524&gt;=Settings!$C$7,"● WATCH / VIGILAR","✔ FRESH / RECIENTE"))))))</f>
        <v/>
      </c>
      <c r="S524" s="53" t="n">
        <f aca="false">IF(C524="",0,IF(OR(J524="",J524="In Stock / En Inventario",J524="Listed / Publicado"),1,0))</f>
        <v>0</v>
      </c>
      <c r="T524" s="53" t="n">
        <f aca="false">IF(C524="",0,IF(J524="Sold / Vendido",1,0))</f>
        <v>0</v>
      </c>
      <c r="U524" s="53" t="n">
        <f aca="true">IF(S524=1,IF(ISNUMBER(F524),TODAY()-F524,-1),-1)</f>
        <v>-1</v>
      </c>
      <c r="V524" s="53" t="n">
        <f aca="false">IF(U524&lt;0,IF(S524=1,5,0),IF(U524&lt;=30,1,IF(U524&lt;=60,2,IF(U524&lt;=90,3,4))))</f>
        <v>0</v>
      </c>
      <c r="W524" s="53" t="n">
        <f aca="false">IF(U524&lt;0,-1000000000000000,U524+ROW()/1000000)</f>
        <v>-1000000000000000</v>
      </c>
      <c r="X524" s="53" t="n">
        <f aca="false">IF(T524=1,IF(AND(ISNUMBER(F524),ISNUMBER(K524)),K524-F524,0),0)</f>
        <v>0</v>
      </c>
      <c r="Y524" s="53" t="n">
        <f aca="false">IF(T524=1,IF(AND(ISNUMBER(F524),ISNUMBER(K524)),1,0),0)</f>
        <v>0</v>
      </c>
      <c r="Z524" s="53" t="n">
        <f aca="false">IF(U524&gt;=Settings!$C$8,1,0)</f>
        <v>0</v>
      </c>
      <c r="AA524" s="53" t="n">
        <f aca="false">IF(S524=1,IF(J524="Listed / Publicado",0,1),0)</f>
        <v>0</v>
      </c>
      <c r="AB524" s="53" t="n">
        <f aca="false">IF(T524=1,IF(ISNUMBER(L524),L524-G524,0),0)</f>
        <v>0</v>
      </c>
      <c r="AC524" s="53" t="n">
        <f aca="false">IF(S524=1,IF(ISNUMBER(I524),I524-G524,0),0)</f>
        <v>0</v>
      </c>
    </row>
    <row r="525" customFormat="false" ht="15" hidden="false" customHeight="false" outlineLevel="0" collapsed="false">
      <c r="B525" s="54"/>
      <c r="C525" s="55"/>
      <c r="D525" s="55"/>
      <c r="E525" s="55"/>
      <c r="F525" s="56"/>
      <c r="G525" s="57"/>
      <c r="H525" s="55"/>
      <c r="I525" s="57"/>
      <c r="J525" s="54"/>
      <c r="K525" s="56"/>
      <c r="L525" s="57"/>
      <c r="M525" s="54"/>
      <c r="N525" s="58" t="str">
        <f aca="false">IF(S525=1,IF(U525&lt;0,"",U525),IF(Y525=1,X525,""))</f>
        <v/>
      </c>
      <c r="O525" s="59" t="str">
        <f aca="false">IF(S525=1,IF(ISNUMBER(I525),I525-G525,""),"")</f>
        <v/>
      </c>
      <c r="P525" s="59" t="str">
        <f aca="false">IF(T525=1,IF(ISNUMBER(L525),L525-G525,""),"")</f>
        <v/>
      </c>
      <c r="Q525" s="60" t="str">
        <f aca="false">IF(C525="","",IF(T525=1,"✔ SOLD / VENDIDO",IF(S525=0,"— CLOSED / CERRADO",IF(U525&lt;0,"⚠ ADD DATE / AGREGA FECHA",IF(U525&gt;=Settings!$C$8,"⚠ STALE – REPRICE / ESTANCADO",IF(U525&gt;=Settings!$C$7,"● WATCH / VIGILAR","✔ FRESH / RECIENTE"))))))</f>
        <v/>
      </c>
      <c r="S525" s="53" t="n">
        <f aca="false">IF(C525="",0,IF(OR(J525="",J525="In Stock / En Inventario",J525="Listed / Publicado"),1,0))</f>
        <v>0</v>
      </c>
      <c r="T525" s="53" t="n">
        <f aca="false">IF(C525="",0,IF(J525="Sold / Vendido",1,0))</f>
        <v>0</v>
      </c>
      <c r="U525" s="53" t="n">
        <f aca="true">IF(S525=1,IF(ISNUMBER(F525),TODAY()-F525,-1),-1)</f>
        <v>-1</v>
      </c>
      <c r="V525" s="53" t="n">
        <f aca="false">IF(U525&lt;0,IF(S525=1,5,0),IF(U525&lt;=30,1,IF(U525&lt;=60,2,IF(U525&lt;=90,3,4))))</f>
        <v>0</v>
      </c>
      <c r="W525" s="53" t="n">
        <f aca="false">IF(U525&lt;0,-1000000000000000,U525+ROW()/1000000)</f>
        <v>-1000000000000000</v>
      </c>
      <c r="X525" s="53" t="n">
        <f aca="false">IF(T525=1,IF(AND(ISNUMBER(F525),ISNUMBER(K525)),K525-F525,0),0)</f>
        <v>0</v>
      </c>
      <c r="Y525" s="53" t="n">
        <f aca="false">IF(T525=1,IF(AND(ISNUMBER(F525),ISNUMBER(K525)),1,0),0)</f>
        <v>0</v>
      </c>
      <c r="Z525" s="53" t="n">
        <f aca="false">IF(U525&gt;=Settings!$C$8,1,0)</f>
        <v>0</v>
      </c>
      <c r="AA525" s="53" t="n">
        <f aca="false">IF(S525=1,IF(J525="Listed / Publicado",0,1),0)</f>
        <v>0</v>
      </c>
      <c r="AB525" s="53" t="n">
        <f aca="false">IF(T525=1,IF(ISNUMBER(L525),L525-G525,0),0)</f>
        <v>0</v>
      </c>
      <c r="AC525" s="53" t="n">
        <f aca="false">IF(S525=1,IF(ISNUMBER(I525),I525-G525,0),0)</f>
        <v>0</v>
      </c>
    </row>
    <row r="526" customFormat="false" ht="15" hidden="false" customHeight="false" outlineLevel="0" collapsed="false">
      <c r="B526" s="54"/>
      <c r="C526" s="55"/>
      <c r="D526" s="55"/>
      <c r="E526" s="55"/>
      <c r="F526" s="56"/>
      <c r="G526" s="57"/>
      <c r="H526" s="55"/>
      <c r="I526" s="57"/>
      <c r="J526" s="54"/>
      <c r="K526" s="56"/>
      <c r="L526" s="57"/>
      <c r="M526" s="54"/>
      <c r="N526" s="58" t="str">
        <f aca="false">IF(S526=1,IF(U526&lt;0,"",U526),IF(Y526=1,X526,""))</f>
        <v/>
      </c>
      <c r="O526" s="59" t="str">
        <f aca="false">IF(S526=1,IF(ISNUMBER(I526),I526-G526,""),"")</f>
        <v/>
      </c>
      <c r="P526" s="59" t="str">
        <f aca="false">IF(T526=1,IF(ISNUMBER(L526),L526-G526,""),"")</f>
        <v/>
      </c>
      <c r="Q526" s="60" t="str">
        <f aca="false">IF(C526="","",IF(T526=1,"✔ SOLD / VENDIDO",IF(S526=0,"— CLOSED / CERRADO",IF(U526&lt;0,"⚠ ADD DATE / AGREGA FECHA",IF(U526&gt;=Settings!$C$8,"⚠ STALE – REPRICE / ESTANCADO",IF(U526&gt;=Settings!$C$7,"● WATCH / VIGILAR","✔ FRESH / RECIENTE"))))))</f>
        <v/>
      </c>
      <c r="S526" s="53" t="n">
        <f aca="false">IF(C526="",0,IF(OR(J526="",J526="In Stock / En Inventario",J526="Listed / Publicado"),1,0))</f>
        <v>0</v>
      </c>
      <c r="T526" s="53" t="n">
        <f aca="false">IF(C526="",0,IF(J526="Sold / Vendido",1,0))</f>
        <v>0</v>
      </c>
      <c r="U526" s="53" t="n">
        <f aca="true">IF(S526=1,IF(ISNUMBER(F526),TODAY()-F526,-1),-1)</f>
        <v>-1</v>
      </c>
      <c r="V526" s="53" t="n">
        <f aca="false">IF(U526&lt;0,IF(S526=1,5,0),IF(U526&lt;=30,1,IF(U526&lt;=60,2,IF(U526&lt;=90,3,4))))</f>
        <v>0</v>
      </c>
      <c r="W526" s="53" t="n">
        <f aca="false">IF(U526&lt;0,-1000000000000000,U526+ROW()/1000000)</f>
        <v>-1000000000000000</v>
      </c>
      <c r="X526" s="53" t="n">
        <f aca="false">IF(T526=1,IF(AND(ISNUMBER(F526),ISNUMBER(K526)),K526-F526,0),0)</f>
        <v>0</v>
      </c>
      <c r="Y526" s="53" t="n">
        <f aca="false">IF(T526=1,IF(AND(ISNUMBER(F526),ISNUMBER(K526)),1,0),0)</f>
        <v>0</v>
      </c>
      <c r="Z526" s="53" t="n">
        <f aca="false">IF(U526&gt;=Settings!$C$8,1,0)</f>
        <v>0</v>
      </c>
      <c r="AA526" s="53" t="n">
        <f aca="false">IF(S526=1,IF(J526="Listed / Publicado",0,1),0)</f>
        <v>0</v>
      </c>
      <c r="AB526" s="53" t="n">
        <f aca="false">IF(T526=1,IF(ISNUMBER(L526),L526-G526,0),0)</f>
        <v>0</v>
      </c>
      <c r="AC526" s="53" t="n">
        <f aca="false">IF(S526=1,IF(ISNUMBER(I526),I526-G526,0),0)</f>
        <v>0</v>
      </c>
    </row>
    <row r="527" customFormat="false" ht="15" hidden="false" customHeight="false" outlineLevel="0" collapsed="false">
      <c r="B527" s="54"/>
      <c r="C527" s="55"/>
      <c r="D527" s="55"/>
      <c r="E527" s="55"/>
      <c r="F527" s="56"/>
      <c r="G527" s="57"/>
      <c r="H527" s="55"/>
      <c r="I527" s="57"/>
      <c r="J527" s="54"/>
      <c r="K527" s="56"/>
      <c r="L527" s="57"/>
      <c r="M527" s="54"/>
      <c r="N527" s="58" t="str">
        <f aca="false">IF(S527=1,IF(U527&lt;0,"",U527),IF(Y527=1,X527,""))</f>
        <v/>
      </c>
      <c r="O527" s="59" t="str">
        <f aca="false">IF(S527=1,IF(ISNUMBER(I527),I527-G527,""),"")</f>
        <v/>
      </c>
      <c r="P527" s="59" t="str">
        <f aca="false">IF(T527=1,IF(ISNUMBER(L527),L527-G527,""),"")</f>
        <v/>
      </c>
      <c r="Q527" s="60" t="str">
        <f aca="false">IF(C527="","",IF(T527=1,"✔ SOLD / VENDIDO",IF(S527=0,"— CLOSED / CERRADO",IF(U527&lt;0,"⚠ ADD DATE / AGREGA FECHA",IF(U527&gt;=Settings!$C$8,"⚠ STALE – REPRICE / ESTANCADO",IF(U527&gt;=Settings!$C$7,"● WATCH / VIGILAR","✔ FRESH / RECIENTE"))))))</f>
        <v/>
      </c>
      <c r="S527" s="53" t="n">
        <f aca="false">IF(C527="",0,IF(OR(J527="",J527="In Stock / En Inventario",J527="Listed / Publicado"),1,0))</f>
        <v>0</v>
      </c>
      <c r="T527" s="53" t="n">
        <f aca="false">IF(C527="",0,IF(J527="Sold / Vendido",1,0))</f>
        <v>0</v>
      </c>
      <c r="U527" s="53" t="n">
        <f aca="true">IF(S527=1,IF(ISNUMBER(F527),TODAY()-F527,-1),-1)</f>
        <v>-1</v>
      </c>
      <c r="V527" s="53" t="n">
        <f aca="false">IF(U527&lt;0,IF(S527=1,5,0),IF(U527&lt;=30,1,IF(U527&lt;=60,2,IF(U527&lt;=90,3,4))))</f>
        <v>0</v>
      </c>
      <c r="W527" s="53" t="n">
        <f aca="false">IF(U527&lt;0,-1000000000000000,U527+ROW()/1000000)</f>
        <v>-1000000000000000</v>
      </c>
      <c r="X527" s="53" t="n">
        <f aca="false">IF(T527=1,IF(AND(ISNUMBER(F527),ISNUMBER(K527)),K527-F527,0),0)</f>
        <v>0</v>
      </c>
      <c r="Y527" s="53" t="n">
        <f aca="false">IF(T527=1,IF(AND(ISNUMBER(F527),ISNUMBER(K527)),1,0),0)</f>
        <v>0</v>
      </c>
      <c r="Z527" s="53" t="n">
        <f aca="false">IF(U527&gt;=Settings!$C$8,1,0)</f>
        <v>0</v>
      </c>
      <c r="AA527" s="53" t="n">
        <f aca="false">IF(S527=1,IF(J527="Listed / Publicado",0,1),0)</f>
        <v>0</v>
      </c>
      <c r="AB527" s="53" t="n">
        <f aca="false">IF(T527=1,IF(ISNUMBER(L527),L527-G527,0),0)</f>
        <v>0</v>
      </c>
      <c r="AC527" s="53" t="n">
        <f aca="false">IF(S527=1,IF(ISNUMBER(I527),I527-G527,0),0)</f>
        <v>0</v>
      </c>
    </row>
    <row r="528" customFormat="false" ht="15" hidden="false" customHeight="false" outlineLevel="0" collapsed="false">
      <c r="B528" s="54"/>
      <c r="C528" s="55"/>
      <c r="D528" s="55"/>
      <c r="E528" s="55"/>
      <c r="F528" s="56"/>
      <c r="G528" s="57"/>
      <c r="H528" s="55"/>
      <c r="I528" s="57"/>
      <c r="J528" s="54"/>
      <c r="K528" s="56"/>
      <c r="L528" s="57"/>
      <c r="M528" s="54"/>
      <c r="N528" s="58" t="str">
        <f aca="false">IF(S528=1,IF(U528&lt;0,"",U528),IF(Y528=1,X528,""))</f>
        <v/>
      </c>
      <c r="O528" s="59" t="str">
        <f aca="false">IF(S528=1,IF(ISNUMBER(I528),I528-G528,""),"")</f>
        <v/>
      </c>
      <c r="P528" s="59" t="str">
        <f aca="false">IF(T528=1,IF(ISNUMBER(L528),L528-G528,""),"")</f>
        <v/>
      </c>
      <c r="Q528" s="60" t="str">
        <f aca="false">IF(C528="","",IF(T528=1,"✔ SOLD / VENDIDO",IF(S528=0,"— CLOSED / CERRADO",IF(U528&lt;0,"⚠ ADD DATE / AGREGA FECHA",IF(U528&gt;=Settings!$C$8,"⚠ STALE – REPRICE / ESTANCADO",IF(U528&gt;=Settings!$C$7,"● WATCH / VIGILAR","✔ FRESH / RECIENTE"))))))</f>
        <v/>
      </c>
      <c r="S528" s="53" t="n">
        <f aca="false">IF(C528="",0,IF(OR(J528="",J528="In Stock / En Inventario",J528="Listed / Publicado"),1,0))</f>
        <v>0</v>
      </c>
      <c r="T528" s="53" t="n">
        <f aca="false">IF(C528="",0,IF(J528="Sold / Vendido",1,0))</f>
        <v>0</v>
      </c>
      <c r="U528" s="53" t="n">
        <f aca="true">IF(S528=1,IF(ISNUMBER(F528),TODAY()-F528,-1),-1)</f>
        <v>-1</v>
      </c>
      <c r="V528" s="53" t="n">
        <f aca="false">IF(U528&lt;0,IF(S528=1,5,0),IF(U528&lt;=30,1,IF(U528&lt;=60,2,IF(U528&lt;=90,3,4))))</f>
        <v>0</v>
      </c>
      <c r="W528" s="53" t="n">
        <f aca="false">IF(U528&lt;0,-1000000000000000,U528+ROW()/1000000)</f>
        <v>-1000000000000000</v>
      </c>
      <c r="X528" s="53" t="n">
        <f aca="false">IF(T528=1,IF(AND(ISNUMBER(F528),ISNUMBER(K528)),K528-F528,0),0)</f>
        <v>0</v>
      </c>
      <c r="Y528" s="53" t="n">
        <f aca="false">IF(T528=1,IF(AND(ISNUMBER(F528),ISNUMBER(K528)),1,0),0)</f>
        <v>0</v>
      </c>
      <c r="Z528" s="53" t="n">
        <f aca="false">IF(U528&gt;=Settings!$C$8,1,0)</f>
        <v>0</v>
      </c>
      <c r="AA528" s="53" t="n">
        <f aca="false">IF(S528=1,IF(J528="Listed / Publicado",0,1),0)</f>
        <v>0</v>
      </c>
      <c r="AB528" s="53" t="n">
        <f aca="false">IF(T528=1,IF(ISNUMBER(L528),L528-G528,0),0)</f>
        <v>0</v>
      </c>
      <c r="AC528" s="53" t="n">
        <f aca="false">IF(S528=1,IF(ISNUMBER(I528),I528-G528,0),0)</f>
        <v>0</v>
      </c>
    </row>
    <row r="529" customFormat="false" ht="15" hidden="false" customHeight="false" outlineLevel="0" collapsed="false">
      <c r="B529" s="54"/>
      <c r="C529" s="55"/>
      <c r="D529" s="55"/>
      <c r="E529" s="55"/>
      <c r="F529" s="56"/>
      <c r="G529" s="57"/>
      <c r="H529" s="55"/>
      <c r="I529" s="57"/>
      <c r="J529" s="54"/>
      <c r="K529" s="56"/>
      <c r="L529" s="57"/>
      <c r="M529" s="54"/>
      <c r="N529" s="58" t="str">
        <f aca="false">IF(S529=1,IF(U529&lt;0,"",U529),IF(Y529=1,X529,""))</f>
        <v/>
      </c>
      <c r="O529" s="59" t="str">
        <f aca="false">IF(S529=1,IF(ISNUMBER(I529),I529-G529,""),"")</f>
        <v/>
      </c>
      <c r="P529" s="59" t="str">
        <f aca="false">IF(T529=1,IF(ISNUMBER(L529),L529-G529,""),"")</f>
        <v/>
      </c>
      <c r="Q529" s="60" t="str">
        <f aca="false">IF(C529="","",IF(T529=1,"✔ SOLD / VENDIDO",IF(S529=0,"— CLOSED / CERRADO",IF(U529&lt;0,"⚠ ADD DATE / AGREGA FECHA",IF(U529&gt;=Settings!$C$8,"⚠ STALE – REPRICE / ESTANCADO",IF(U529&gt;=Settings!$C$7,"● WATCH / VIGILAR","✔ FRESH / RECIENTE"))))))</f>
        <v/>
      </c>
      <c r="S529" s="53" t="n">
        <f aca="false">IF(C529="",0,IF(OR(J529="",J529="In Stock / En Inventario",J529="Listed / Publicado"),1,0))</f>
        <v>0</v>
      </c>
      <c r="T529" s="53" t="n">
        <f aca="false">IF(C529="",0,IF(J529="Sold / Vendido",1,0))</f>
        <v>0</v>
      </c>
      <c r="U529" s="53" t="n">
        <f aca="true">IF(S529=1,IF(ISNUMBER(F529),TODAY()-F529,-1),-1)</f>
        <v>-1</v>
      </c>
      <c r="V529" s="53" t="n">
        <f aca="false">IF(U529&lt;0,IF(S529=1,5,0),IF(U529&lt;=30,1,IF(U529&lt;=60,2,IF(U529&lt;=90,3,4))))</f>
        <v>0</v>
      </c>
      <c r="W529" s="53" t="n">
        <f aca="false">IF(U529&lt;0,-1000000000000000,U529+ROW()/1000000)</f>
        <v>-1000000000000000</v>
      </c>
      <c r="X529" s="53" t="n">
        <f aca="false">IF(T529=1,IF(AND(ISNUMBER(F529),ISNUMBER(K529)),K529-F529,0),0)</f>
        <v>0</v>
      </c>
      <c r="Y529" s="53" t="n">
        <f aca="false">IF(T529=1,IF(AND(ISNUMBER(F529),ISNUMBER(K529)),1,0),0)</f>
        <v>0</v>
      </c>
      <c r="Z529" s="53" t="n">
        <f aca="false">IF(U529&gt;=Settings!$C$8,1,0)</f>
        <v>0</v>
      </c>
      <c r="AA529" s="53" t="n">
        <f aca="false">IF(S529=1,IF(J529="Listed / Publicado",0,1),0)</f>
        <v>0</v>
      </c>
      <c r="AB529" s="53" t="n">
        <f aca="false">IF(T529=1,IF(ISNUMBER(L529),L529-G529,0),0)</f>
        <v>0</v>
      </c>
      <c r="AC529" s="53" t="n">
        <f aca="false">IF(S529=1,IF(ISNUMBER(I529),I529-G529,0),0)</f>
        <v>0</v>
      </c>
    </row>
    <row r="530" customFormat="false" ht="15" hidden="false" customHeight="false" outlineLevel="0" collapsed="false">
      <c r="B530" s="54"/>
      <c r="C530" s="55"/>
      <c r="D530" s="55"/>
      <c r="E530" s="55"/>
      <c r="F530" s="56"/>
      <c r="G530" s="57"/>
      <c r="H530" s="55"/>
      <c r="I530" s="57"/>
      <c r="J530" s="54"/>
      <c r="K530" s="56"/>
      <c r="L530" s="57"/>
      <c r="M530" s="54"/>
      <c r="N530" s="58" t="str">
        <f aca="false">IF(S530=1,IF(U530&lt;0,"",U530),IF(Y530=1,X530,""))</f>
        <v/>
      </c>
      <c r="O530" s="59" t="str">
        <f aca="false">IF(S530=1,IF(ISNUMBER(I530),I530-G530,""),"")</f>
        <v/>
      </c>
      <c r="P530" s="59" t="str">
        <f aca="false">IF(T530=1,IF(ISNUMBER(L530),L530-G530,""),"")</f>
        <v/>
      </c>
      <c r="Q530" s="60" t="str">
        <f aca="false">IF(C530="","",IF(T530=1,"✔ SOLD / VENDIDO",IF(S530=0,"— CLOSED / CERRADO",IF(U530&lt;0,"⚠ ADD DATE / AGREGA FECHA",IF(U530&gt;=Settings!$C$8,"⚠ STALE – REPRICE / ESTANCADO",IF(U530&gt;=Settings!$C$7,"● WATCH / VIGILAR","✔ FRESH / RECIENTE"))))))</f>
        <v/>
      </c>
      <c r="S530" s="53" t="n">
        <f aca="false">IF(C530="",0,IF(OR(J530="",J530="In Stock / En Inventario",J530="Listed / Publicado"),1,0))</f>
        <v>0</v>
      </c>
      <c r="T530" s="53" t="n">
        <f aca="false">IF(C530="",0,IF(J530="Sold / Vendido",1,0))</f>
        <v>0</v>
      </c>
      <c r="U530" s="53" t="n">
        <f aca="true">IF(S530=1,IF(ISNUMBER(F530),TODAY()-F530,-1),-1)</f>
        <v>-1</v>
      </c>
      <c r="V530" s="53" t="n">
        <f aca="false">IF(U530&lt;0,IF(S530=1,5,0),IF(U530&lt;=30,1,IF(U530&lt;=60,2,IF(U530&lt;=90,3,4))))</f>
        <v>0</v>
      </c>
      <c r="W530" s="53" t="n">
        <f aca="false">IF(U530&lt;0,-1000000000000000,U530+ROW()/1000000)</f>
        <v>-1000000000000000</v>
      </c>
      <c r="X530" s="53" t="n">
        <f aca="false">IF(T530=1,IF(AND(ISNUMBER(F530),ISNUMBER(K530)),K530-F530,0),0)</f>
        <v>0</v>
      </c>
      <c r="Y530" s="53" t="n">
        <f aca="false">IF(T530=1,IF(AND(ISNUMBER(F530),ISNUMBER(K530)),1,0),0)</f>
        <v>0</v>
      </c>
      <c r="Z530" s="53" t="n">
        <f aca="false">IF(U530&gt;=Settings!$C$8,1,0)</f>
        <v>0</v>
      </c>
      <c r="AA530" s="53" t="n">
        <f aca="false">IF(S530=1,IF(J530="Listed / Publicado",0,1),0)</f>
        <v>0</v>
      </c>
      <c r="AB530" s="53" t="n">
        <f aca="false">IF(T530=1,IF(ISNUMBER(L530),L530-G530,0),0)</f>
        <v>0</v>
      </c>
      <c r="AC530" s="53" t="n">
        <f aca="false">IF(S530=1,IF(ISNUMBER(I530),I530-G530,0),0)</f>
        <v>0</v>
      </c>
    </row>
    <row r="531" customFormat="false" ht="15" hidden="false" customHeight="false" outlineLevel="0" collapsed="false">
      <c r="B531" s="54"/>
      <c r="C531" s="55"/>
      <c r="D531" s="55"/>
      <c r="E531" s="55"/>
      <c r="F531" s="56"/>
      <c r="G531" s="57"/>
      <c r="H531" s="55"/>
      <c r="I531" s="57"/>
      <c r="J531" s="54"/>
      <c r="K531" s="56"/>
      <c r="L531" s="57"/>
      <c r="M531" s="54"/>
      <c r="N531" s="58" t="str">
        <f aca="false">IF(S531=1,IF(U531&lt;0,"",U531),IF(Y531=1,X531,""))</f>
        <v/>
      </c>
      <c r="O531" s="59" t="str">
        <f aca="false">IF(S531=1,IF(ISNUMBER(I531),I531-G531,""),"")</f>
        <v/>
      </c>
      <c r="P531" s="59" t="str">
        <f aca="false">IF(T531=1,IF(ISNUMBER(L531),L531-G531,""),"")</f>
        <v/>
      </c>
      <c r="Q531" s="60" t="str">
        <f aca="false">IF(C531="","",IF(T531=1,"✔ SOLD / VENDIDO",IF(S531=0,"— CLOSED / CERRADO",IF(U531&lt;0,"⚠ ADD DATE / AGREGA FECHA",IF(U531&gt;=Settings!$C$8,"⚠ STALE – REPRICE / ESTANCADO",IF(U531&gt;=Settings!$C$7,"● WATCH / VIGILAR","✔ FRESH / RECIENTE"))))))</f>
        <v/>
      </c>
      <c r="S531" s="53" t="n">
        <f aca="false">IF(C531="",0,IF(OR(J531="",J531="In Stock / En Inventario",J531="Listed / Publicado"),1,0))</f>
        <v>0</v>
      </c>
      <c r="T531" s="53" t="n">
        <f aca="false">IF(C531="",0,IF(J531="Sold / Vendido",1,0))</f>
        <v>0</v>
      </c>
      <c r="U531" s="53" t="n">
        <f aca="true">IF(S531=1,IF(ISNUMBER(F531),TODAY()-F531,-1),-1)</f>
        <v>-1</v>
      </c>
      <c r="V531" s="53" t="n">
        <f aca="false">IF(U531&lt;0,IF(S531=1,5,0),IF(U531&lt;=30,1,IF(U531&lt;=60,2,IF(U531&lt;=90,3,4))))</f>
        <v>0</v>
      </c>
      <c r="W531" s="53" t="n">
        <f aca="false">IF(U531&lt;0,-1000000000000000,U531+ROW()/1000000)</f>
        <v>-1000000000000000</v>
      </c>
      <c r="X531" s="53" t="n">
        <f aca="false">IF(T531=1,IF(AND(ISNUMBER(F531),ISNUMBER(K531)),K531-F531,0),0)</f>
        <v>0</v>
      </c>
      <c r="Y531" s="53" t="n">
        <f aca="false">IF(T531=1,IF(AND(ISNUMBER(F531),ISNUMBER(K531)),1,0),0)</f>
        <v>0</v>
      </c>
      <c r="Z531" s="53" t="n">
        <f aca="false">IF(U531&gt;=Settings!$C$8,1,0)</f>
        <v>0</v>
      </c>
      <c r="AA531" s="53" t="n">
        <f aca="false">IF(S531=1,IF(J531="Listed / Publicado",0,1),0)</f>
        <v>0</v>
      </c>
      <c r="AB531" s="53" t="n">
        <f aca="false">IF(T531=1,IF(ISNUMBER(L531),L531-G531,0),0)</f>
        <v>0</v>
      </c>
      <c r="AC531" s="53" t="n">
        <f aca="false">IF(S531=1,IF(ISNUMBER(I531),I531-G531,0),0)</f>
        <v>0</v>
      </c>
    </row>
    <row r="532" customFormat="false" ht="15" hidden="false" customHeight="false" outlineLevel="0" collapsed="false">
      <c r="B532" s="54"/>
      <c r="C532" s="55"/>
      <c r="D532" s="55"/>
      <c r="E532" s="55"/>
      <c r="F532" s="56"/>
      <c r="G532" s="57"/>
      <c r="H532" s="55"/>
      <c r="I532" s="57"/>
      <c r="J532" s="54"/>
      <c r="K532" s="56"/>
      <c r="L532" s="57"/>
      <c r="M532" s="54"/>
      <c r="N532" s="58" t="str">
        <f aca="false">IF(S532=1,IF(U532&lt;0,"",U532),IF(Y532=1,X532,""))</f>
        <v/>
      </c>
      <c r="O532" s="59" t="str">
        <f aca="false">IF(S532=1,IF(ISNUMBER(I532),I532-G532,""),"")</f>
        <v/>
      </c>
      <c r="P532" s="59" t="str">
        <f aca="false">IF(T532=1,IF(ISNUMBER(L532),L532-G532,""),"")</f>
        <v/>
      </c>
      <c r="Q532" s="60" t="str">
        <f aca="false">IF(C532="","",IF(T532=1,"✔ SOLD / VENDIDO",IF(S532=0,"— CLOSED / CERRADO",IF(U532&lt;0,"⚠ ADD DATE / AGREGA FECHA",IF(U532&gt;=Settings!$C$8,"⚠ STALE – REPRICE / ESTANCADO",IF(U532&gt;=Settings!$C$7,"● WATCH / VIGILAR","✔ FRESH / RECIENTE"))))))</f>
        <v/>
      </c>
      <c r="S532" s="53" t="n">
        <f aca="false">IF(C532="",0,IF(OR(J532="",J532="In Stock / En Inventario",J532="Listed / Publicado"),1,0))</f>
        <v>0</v>
      </c>
      <c r="T532" s="53" t="n">
        <f aca="false">IF(C532="",0,IF(J532="Sold / Vendido",1,0))</f>
        <v>0</v>
      </c>
      <c r="U532" s="53" t="n">
        <f aca="true">IF(S532=1,IF(ISNUMBER(F532),TODAY()-F532,-1),-1)</f>
        <v>-1</v>
      </c>
      <c r="V532" s="53" t="n">
        <f aca="false">IF(U532&lt;0,IF(S532=1,5,0),IF(U532&lt;=30,1,IF(U532&lt;=60,2,IF(U532&lt;=90,3,4))))</f>
        <v>0</v>
      </c>
      <c r="W532" s="53" t="n">
        <f aca="false">IF(U532&lt;0,-1000000000000000,U532+ROW()/1000000)</f>
        <v>-1000000000000000</v>
      </c>
      <c r="X532" s="53" t="n">
        <f aca="false">IF(T532=1,IF(AND(ISNUMBER(F532),ISNUMBER(K532)),K532-F532,0),0)</f>
        <v>0</v>
      </c>
      <c r="Y532" s="53" t="n">
        <f aca="false">IF(T532=1,IF(AND(ISNUMBER(F532),ISNUMBER(K532)),1,0),0)</f>
        <v>0</v>
      </c>
      <c r="Z532" s="53" t="n">
        <f aca="false">IF(U532&gt;=Settings!$C$8,1,0)</f>
        <v>0</v>
      </c>
      <c r="AA532" s="53" t="n">
        <f aca="false">IF(S532=1,IF(J532="Listed / Publicado",0,1),0)</f>
        <v>0</v>
      </c>
      <c r="AB532" s="53" t="n">
        <f aca="false">IF(T532=1,IF(ISNUMBER(L532),L532-G532,0),0)</f>
        <v>0</v>
      </c>
      <c r="AC532" s="53" t="n">
        <f aca="false">IF(S532=1,IF(ISNUMBER(I532),I532-G532,0),0)</f>
        <v>0</v>
      </c>
    </row>
    <row r="533" customFormat="false" ht="15" hidden="false" customHeight="false" outlineLevel="0" collapsed="false">
      <c r="B533" s="54"/>
      <c r="C533" s="55"/>
      <c r="D533" s="55"/>
      <c r="E533" s="55"/>
      <c r="F533" s="56"/>
      <c r="G533" s="57"/>
      <c r="H533" s="55"/>
      <c r="I533" s="57"/>
      <c r="J533" s="54"/>
      <c r="K533" s="56"/>
      <c r="L533" s="57"/>
      <c r="M533" s="54"/>
      <c r="N533" s="58" t="str">
        <f aca="false">IF(S533=1,IF(U533&lt;0,"",U533),IF(Y533=1,X533,""))</f>
        <v/>
      </c>
      <c r="O533" s="59" t="str">
        <f aca="false">IF(S533=1,IF(ISNUMBER(I533),I533-G533,""),"")</f>
        <v/>
      </c>
      <c r="P533" s="59" t="str">
        <f aca="false">IF(T533=1,IF(ISNUMBER(L533),L533-G533,""),"")</f>
        <v/>
      </c>
      <c r="Q533" s="60" t="str">
        <f aca="false">IF(C533="","",IF(T533=1,"✔ SOLD / VENDIDO",IF(S533=0,"— CLOSED / CERRADO",IF(U533&lt;0,"⚠ ADD DATE / AGREGA FECHA",IF(U533&gt;=Settings!$C$8,"⚠ STALE – REPRICE / ESTANCADO",IF(U533&gt;=Settings!$C$7,"● WATCH / VIGILAR","✔ FRESH / RECIENTE"))))))</f>
        <v/>
      </c>
      <c r="S533" s="53" t="n">
        <f aca="false">IF(C533="",0,IF(OR(J533="",J533="In Stock / En Inventario",J533="Listed / Publicado"),1,0))</f>
        <v>0</v>
      </c>
      <c r="T533" s="53" t="n">
        <f aca="false">IF(C533="",0,IF(J533="Sold / Vendido",1,0))</f>
        <v>0</v>
      </c>
      <c r="U533" s="53" t="n">
        <f aca="true">IF(S533=1,IF(ISNUMBER(F533),TODAY()-F533,-1),-1)</f>
        <v>-1</v>
      </c>
      <c r="V533" s="53" t="n">
        <f aca="false">IF(U533&lt;0,IF(S533=1,5,0),IF(U533&lt;=30,1,IF(U533&lt;=60,2,IF(U533&lt;=90,3,4))))</f>
        <v>0</v>
      </c>
      <c r="W533" s="53" t="n">
        <f aca="false">IF(U533&lt;0,-1000000000000000,U533+ROW()/1000000)</f>
        <v>-1000000000000000</v>
      </c>
      <c r="X533" s="53" t="n">
        <f aca="false">IF(T533=1,IF(AND(ISNUMBER(F533),ISNUMBER(K533)),K533-F533,0),0)</f>
        <v>0</v>
      </c>
      <c r="Y533" s="53" t="n">
        <f aca="false">IF(T533=1,IF(AND(ISNUMBER(F533),ISNUMBER(K533)),1,0),0)</f>
        <v>0</v>
      </c>
      <c r="Z533" s="53" t="n">
        <f aca="false">IF(U533&gt;=Settings!$C$8,1,0)</f>
        <v>0</v>
      </c>
      <c r="AA533" s="53" t="n">
        <f aca="false">IF(S533=1,IF(J533="Listed / Publicado",0,1),0)</f>
        <v>0</v>
      </c>
      <c r="AB533" s="53" t="n">
        <f aca="false">IF(T533=1,IF(ISNUMBER(L533),L533-G533,0),0)</f>
        <v>0</v>
      </c>
      <c r="AC533" s="53" t="n">
        <f aca="false">IF(S533=1,IF(ISNUMBER(I533),I533-G533,0),0)</f>
        <v>0</v>
      </c>
    </row>
    <row r="534" customFormat="false" ht="15" hidden="false" customHeight="false" outlineLevel="0" collapsed="false">
      <c r="B534" s="54"/>
      <c r="C534" s="55"/>
      <c r="D534" s="55"/>
      <c r="E534" s="55"/>
      <c r="F534" s="56"/>
      <c r="G534" s="57"/>
      <c r="H534" s="55"/>
      <c r="I534" s="57"/>
      <c r="J534" s="54"/>
      <c r="K534" s="56"/>
      <c r="L534" s="57"/>
      <c r="M534" s="54"/>
      <c r="N534" s="58" t="str">
        <f aca="false">IF(S534=1,IF(U534&lt;0,"",U534),IF(Y534=1,X534,""))</f>
        <v/>
      </c>
      <c r="O534" s="59" t="str">
        <f aca="false">IF(S534=1,IF(ISNUMBER(I534),I534-G534,""),"")</f>
        <v/>
      </c>
      <c r="P534" s="59" t="str">
        <f aca="false">IF(T534=1,IF(ISNUMBER(L534),L534-G534,""),"")</f>
        <v/>
      </c>
      <c r="Q534" s="60" t="str">
        <f aca="false">IF(C534="","",IF(T534=1,"✔ SOLD / VENDIDO",IF(S534=0,"— CLOSED / CERRADO",IF(U534&lt;0,"⚠ ADD DATE / AGREGA FECHA",IF(U534&gt;=Settings!$C$8,"⚠ STALE – REPRICE / ESTANCADO",IF(U534&gt;=Settings!$C$7,"● WATCH / VIGILAR","✔ FRESH / RECIENTE"))))))</f>
        <v/>
      </c>
      <c r="S534" s="53" t="n">
        <f aca="false">IF(C534="",0,IF(OR(J534="",J534="In Stock / En Inventario",J534="Listed / Publicado"),1,0))</f>
        <v>0</v>
      </c>
      <c r="T534" s="53" t="n">
        <f aca="false">IF(C534="",0,IF(J534="Sold / Vendido",1,0))</f>
        <v>0</v>
      </c>
      <c r="U534" s="53" t="n">
        <f aca="true">IF(S534=1,IF(ISNUMBER(F534),TODAY()-F534,-1),-1)</f>
        <v>-1</v>
      </c>
      <c r="V534" s="53" t="n">
        <f aca="false">IF(U534&lt;0,IF(S534=1,5,0),IF(U534&lt;=30,1,IF(U534&lt;=60,2,IF(U534&lt;=90,3,4))))</f>
        <v>0</v>
      </c>
      <c r="W534" s="53" t="n">
        <f aca="false">IF(U534&lt;0,-1000000000000000,U534+ROW()/1000000)</f>
        <v>-1000000000000000</v>
      </c>
      <c r="X534" s="53" t="n">
        <f aca="false">IF(T534=1,IF(AND(ISNUMBER(F534),ISNUMBER(K534)),K534-F534,0),0)</f>
        <v>0</v>
      </c>
      <c r="Y534" s="53" t="n">
        <f aca="false">IF(T534=1,IF(AND(ISNUMBER(F534),ISNUMBER(K534)),1,0),0)</f>
        <v>0</v>
      </c>
      <c r="Z534" s="53" t="n">
        <f aca="false">IF(U534&gt;=Settings!$C$8,1,0)</f>
        <v>0</v>
      </c>
      <c r="AA534" s="53" t="n">
        <f aca="false">IF(S534=1,IF(J534="Listed / Publicado",0,1),0)</f>
        <v>0</v>
      </c>
      <c r="AB534" s="53" t="n">
        <f aca="false">IF(T534=1,IF(ISNUMBER(L534),L534-G534,0),0)</f>
        <v>0</v>
      </c>
      <c r="AC534" s="53" t="n">
        <f aca="false">IF(S534=1,IF(ISNUMBER(I534),I534-G534,0),0)</f>
        <v>0</v>
      </c>
    </row>
    <row r="535" customFormat="false" ht="15" hidden="false" customHeight="false" outlineLevel="0" collapsed="false">
      <c r="B535" s="54"/>
      <c r="C535" s="55"/>
      <c r="D535" s="55"/>
      <c r="E535" s="55"/>
      <c r="F535" s="56"/>
      <c r="G535" s="57"/>
      <c r="H535" s="55"/>
      <c r="I535" s="57"/>
      <c r="J535" s="54"/>
      <c r="K535" s="56"/>
      <c r="L535" s="57"/>
      <c r="M535" s="54"/>
      <c r="N535" s="58" t="str">
        <f aca="false">IF(S535=1,IF(U535&lt;0,"",U535),IF(Y535=1,X535,""))</f>
        <v/>
      </c>
      <c r="O535" s="59" t="str">
        <f aca="false">IF(S535=1,IF(ISNUMBER(I535),I535-G535,""),"")</f>
        <v/>
      </c>
      <c r="P535" s="59" t="str">
        <f aca="false">IF(T535=1,IF(ISNUMBER(L535),L535-G535,""),"")</f>
        <v/>
      </c>
      <c r="Q535" s="60" t="str">
        <f aca="false">IF(C535="","",IF(T535=1,"✔ SOLD / VENDIDO",IF(S535=0,"— CLOSED / CERRADO",IF(U535&lt;0,"⚠ ADD DATE / AGREGA FECHA",IF(U535&gt;=Settings!$C$8,"⚠ STALE – REPRICE / ESTANCADO",IF(U535&gt;=Settings!$C$7,"● WATCH / VIGILAR","✔ FRESH / RECIENTE"))))))</f>
        <v/>
      </c>
      <c r="S535" s="53" t="n">
        <f aca="false">IF(C535="",0,IF(OR(J535="",J535="In Stock / En Inventario",J535="Listed / Publicado"),1,0))</f>
        <v>0</v>
      </c>
      <c r="T535" s="53" t="n">
        <f aca="false">IF(C535="",0,IF(J535="Sold / Vendido",1,0))</f>
        <v>0</v>
      </c>
      <c r="U535" s="53" t="n">
        <f aca="true">IF(S535=1,IF(ISNUMBER(F535),TODAY()-F535,-1),-1)</f>
        <v>-1</v>
      </c>
      <c r="V535" s="53" t="n">
        <f aca="false">IF(U535&lt;0,IF(S535=1,5,0),IF(U535&lt;=30,1,IF(U535&lt;=60,2,IF(U535&lt;=90,3,4))))</f>
        <v>0</v>
      </c>
      <c r="W535" s="53" t="n">
        <f aca="false">IF(U535&lt;0,-1000000000000000,U535+ROW()/1000000)</f>
        <v>-1000000000000000</v>
      </c>
      <c r="X535" s="53" t="n">
        <f aca="false">IF(T535=1,IF(AND(ISNUMBER(F535),ISNUMBER(K535)),K535-F535,0),0)</f>
        <v>0</v>
      </c>
      <c r="Y535" s="53" t="n">
        <f aca="false">IF(T535=1,IF(AND(ISNUMBER(F535),ISNUMBER(K535)),1,0),0)</f>
        <v>0</v>
      </c>
      <c r="Z535" s="53" t="n">
        <f aca="false">IF(U535&gt;=Settings!$C$8,1,0)</f>
        <v>0</v>
      </c>
      <c r="AA535" s="53" t="n">
        <f aca="false">IF(S535=1,IF(J535="Listed / Publicado",0,1),0)</f>
        <v>0</v>
      </c>
      <c r="AB535" s="53" t="n">
        <f aca="false">IF(T535=1,IF(ISNUMBER(L535),L535-G535,0),0)</f>
        <v>0</v>
      </c>
      <c r="AC535" s="53" t="n">
        <f aca="false">IF(S535=1,IF(ISNUMBER(I535),I535-G535,0),0)</f>
        <v>0</v>
      </c>
    </row>
    <row r="536" customFormat="false" ht="15" hidden="false" customHeight="false" outlineLevel="0" collapsed="false">
      <c r="B536" s="54"/>
      <c r="C536" s="55"/>
      <c r="D536" s="55"/>
      <c r="E536" s="55"/>
      <c r="F536" s="56"/>
      <c r="G536" s="57"/>
      <c r="H536" s="55"/>
      <c r="I536" s="57"/>
      <c r="J536" s="54"/>
      <c r="K536" s="56"/>
      <c r="L536" s="57"/>
      <c r="M536" s="54"/>
      <c r="N536" s="58" t="str">
        <f aca="false">IF(S536=1,IF(U536&lt;0,"",U536),IF(Y536=1,X536,""))</f>
        <v/>
      </c>
      <c r="O536" s="59" t="str">
        <f aca="false">IF(S536=1,IF(ISNUMBER(I536),I536-G536,""),"")</f>
        <v/>
      </c>
      <c r="P536" s="59" t="str">
        <f aca="false">IF(T536=1,IF(ISNUMBER(L536),L536-G536,""),"")</f>
        <v/>
      </c>
      <c r="Q536" s="60" t="str">
        <f aca="false">IF(C536="","",IF(T536=1,"✔ SOLD / VENDIDO",IF(S536=0,"— CLOSED / CERRADO",IF(U536&lt;0,"⚠ ADD DATE / AGREGA FECHA",IF(U536&gt;=Settings!$C$8,"⚠ STALE – REPRICE / ESTANCADO",IF(U536&gt;=Settings!$C$7,"● WATCH / VIGILAR","✔ FRESH / RECIENTE"))))))</f>
        <v/>
      </c>
      <c r="S536" s="53" t="n">
        <f aca="false">IF(C536="",0,IF(OR(J536="",J536="In Stock / En Inventario",J536="Listed / Publicado"),1,0))</f>
        <v>0</v>
      </c>
      <c r="T536" s="53" t="n">
        <f aca="false">IF(C536="",0,IF(J536="Sold / Vendido",1,0))</f>
        <v>0</v>
      </c>
      <c r="U536" s="53" t="n">
        <f aca="true">IF(S536=1,IF(ISNUMBER(F536),TODAY()-F536,-1),-1)</f>
        <v>-1</v>
      </c>
      <c r="V536" s="53" t="n">
        <f aca="false">IF(U536&lt;0,IF(S536=1,5,0),IF(U536&lt;=30,1,IF(U536&lt;=60,2,IF(U536&lt;=90,3,4))))</f>
        <v>0</v>
      </c>
      <c r="W536" s="53" t="n">
        <f aca="false">IF(U536&lt;0,-1000000000000000,U536+ROW()/1000000)</f>
        <v>-1000000000000000</v>
      </c>
      <c r="X536" s="53" t="n">
        <f aca="false">IF(T536=1,IF(AND(ISNUMBER(F536),ISNUMBER(K536)),K536-F536,0),0)</f>
        <v>0</v>
      </c>
      <c r="Y536" s="53" t="n">
        <f aca="false">IF(T536=1,IF(AND(ISNUMBER(F536),ISNUMBER(K536)),1,0),0)</f>
        <v>0</v>
      </c>
      <c r="Z536" s="53" t="n">
        <f aca="false">IF(U536&gt;=Settings!$C$8,1,0)</f>
        <v>0</v>
      </c>
      <c r="AA536" s="53" t="n">
        <f aca="false">IF(S536=1,IF(J536="Listed / Publicado",0,1),0)</f>
        <v>0</v>
      </c>
      <c r="AB536" s="53" t="n">
        <f aca="false">IF(T536=1,IF(ISNUMBER(L536),L536-G536,0),0)</f>
        <v>0</v>
      </c>
      <c r="AC536" s="53" t="n">
        <f aca="false">IF(S536=1,IF(ISNUMBER(I536),I536-G536,0),0)</f>
        <v>0</v>
      </c>
    </row>
    <row r="537" customFormat="false" ht="15" hidden="false" customHeight="false" outlineLevel="0" collapsed="false">
      <c r="B537" s="54"/>
      <c r="C537" s="55"/>
      <c r="D537" s="55"/>
      <c r="E537" s="55"/>
      <c r="F537" s="56"/>
      <c r="G537" s="57"/>
      <c r="H537" s="55"/>
      <c r="I537" s="57"/>
      <c r="J537" s="54"/>
      <c r="K537" s="56"/>
      <c r="L537" s="57"/>
      <c r="M537" s="54"/>
      <c r="N537" s="58" t="str">
        <f aca="false">IF(S537=1,IF(U537&lt;0,"",U537),IF(Y537=1,X537,""))</f>
        <v/>
      </c>
      <c r="O537" s="59" t="str">
        <f aca="false">IF(S537=1,IF(ISNUMBER(I537),I537-G537,""),"")</f>
        <v/>
      </c>
      <c r="P537" s="59" t="str">
        <f aca="false">IF(T537=1,IF(ISNUMBER(L537),L537-G537,""),"")</f>
        <v/>
      </c>
      <c r="Q537" s="60" t="str">
        <f aca="false">IF(C537="","",IF(T537=1,"✔ SOLD / VENDIDO",IF(S537=0,"— CLOSED / CERRADO",IF(U537&lt;0,"⚠ ADD DATE / AGREGA FECHA",IF(U537&gt;=Settings!$C$8,"⚠ STALE – REPRICE / ESTANCADO",IF(U537&gt;=Settings!$C$7,"● WATCH / VIGILAR","✔ FRESH / RECIENTE"))))))</f>
        <v/>
      </c>
      <c r="S537" s="53" t="n">
        <f aca="false">IF(C537="",0,IF(OR(J537="",J537="In Stock / En Inventario",J537="Listed / Publicado"),1,0))</f>
        <v>0</v>
      </c>
      <c r="T537" s="53" t="n">
        <f aca="false">IF(C537="",0,IF(J537="Sold / Vendido",1,0))</f>
        <v>0</v>
      </c>
      <c r="U537" s="53" t="n">
        <f aca="true">IF(S537=1,IF(ISNUMBER(F537),TODAY()-F537,-1),-1)</f>
        <v>-1</v>
      </c>
      <c r="V537" s="53" t="n">
        <f aca="false">IF(U537&lt;0,IF(S537=1,5,0),IF(U537&lt;=30,1,IF(U537&lt;=60,2,IF(U537&lt;=90,3,4))))</f>
        <v>0</v>
      </c>
      <c r="W537" s="53" t="n">
        <f aca="false">IF(U537&lt;0,-1000000000000000,U537+ROW()/1000000)</f>
        <v>-1000000000000000</v>
      </c>
      <c r="X537" s="53" t="n">
        <f aca="false">IF(T537=1,IF(AND(ISNUMBER(F537),ISNUMBER(K537)),K537-F537,0),0)</f>
        <v>0</v>
      </c>
      <c r="Y537" s="53" t="n">
        <f aca="false">IF(T537=1,IF(AND(ISNUMBER(F537),ISNUMBER(K537)),1,0),0)</f>
        <v>0</v>
      </c>
      <c r="Z537" s="53" t="n">
        <f aca="false">IF(U537&gt;=Settings!$C$8,1,0)</f>
        <v>0</v>
      </c>
      <c r="AA537" s="53" t="n">
        <f aca="false">IF(S537=1,IF(J537="Listed / Publicado",0,1),0)</f>
        <v>0</v>
      </c>
      <c r="AB537" s="53" t="n">
        <f aca="false">IF(T537=1,IF(ISNUMBER(L537),L537-G537,0),0)</f>
        <v>0</v>
      </c>
      <c r="AC537" s="53" t="n">
        <f aca="false">IF(S537=1,IF(ISNUMBER(I537),I537-G537,0),0)</f>
        <v>0</v>
      </c>
    </row>
    <row r="538" customFormat="false" ht="15" hidden="false" customHeight="false" outlineLevel="0" collapsed="false">
      <c r="B538" s="54"/>
      <c r="C538" s="55"/>
      <c r="D538" s="55"/>
      <c r="E538" s="55"/>
      <c r="F538" s="56"/>
      <c r="G538" s="57"/>
      <c r="H538" s="55"/>
      <c r="I538" s="57"/>
      <c r="J538" s="54"/>
      <c r="K538" s="56"/>
      <c r="L538" s="57"/>
      <c r="M538" s="54"/>
      <c r="N538" s="58" t="str">
        <f aca="false">IF(S538=1,IF(U538&lt;0,"",U538),IF(Y538=1,X538,""))</f>
        <v/>
      </c>
      <c r="O538" s="59" t="str">
        <f aca="false">IF(S538=1,IF(ISNUMBER(I538),I538-G538,""),"")</f>
        <v/>
      </c>
      <c r="P538" s="59" t="str">
        <f aca="false">IF(T538=1,IF(ISNUMBER(L538),L538-G538,""),"")</f>
        <v/>
      </c>
      <c r="Q538" s="60" t="str">
        <f aca="false">IF(C538="","",IF(T538=1,"✔ SOLD / VENDIDO",IF(S538=0,"— CLOSED / CERRADO",IF(U538&lt;0,"⚠ ADD DATE / AGREGA FECHA",IF(U538&gt;=Settings!$C$8,"⚠ STALE – REPRICE / ESTANCADO",IF(U538&gt;=Settings!$C$7,"● WATCH / VIGILAR","✔ FRESH / RECIENTE"))))))</f>
        <v/>
      </c>
      <c r="S538" s="53" t="n">
        <f aca="false">IF(C538="",0,IF(OR(J538="",J538="In Stock / En Inventario",J538="Listed / Publicado"),1,0))</f>
        <v>0</v>
      </c>
      <c r="T538" s="53" t="n">
        <f aca="false">IF(C538="",0,IF(J538="Sold / Vendido",1,0))</f>
        <v>0</v>
      </c>
      <c r="U538" s="53" t="n">
        <f aca="true">IF(S538=1,IF(ISNUMBER(F538),TODAY()-F538,-1),-1)</f>
        <v>-1</v>
      </c>
      <c r="V538" s="53" t="n">
        <f aca="false">IF(U538&lt;0,IF(S538=1,5,0),IF(U538&lt;=30,1,IF(U538&lt;=60,2,IF(U538&lt;=90,3,4))))</f>
        <v>0</v>
      </c>
      <c r="W538" s="53" t="n">
        <f aca="false">IF(U538&lt;0,-1000000000000000,U538+ROW()/1000000)</f>
        <v>-1000000000000000</v>
      </c>
      <c r="X538" s="53" t="n">
        <f aca="false">IF(T538=1,IF(AND(ISNUMBER(F538),ISNUMBER(K538)),K538-F538,0),0)</f>
        <v>0</v>
      </c>
      <c r="Y538" s="53" t="n">
        <f aca="false">IF(T538=1,IF(AND(ISNUMBER(F538),ISNUMBER(K538)),1,0),0)</f>
        <v>0</v>
      </c>
      <c r="Z538" s="53" t="n">
        <f aca="false">IF(U538&gt;=Settings!$C$8,1,0)</f>
        <v>0</v>
      </c>
      <c r="AA538" s="53" t="n">
        <f aca="false">IF(S538=1,IF(J538="Listed / Publicado",0,1),0)</f>
        <v>0</v>
      </c>
      <c r="AB538" s="53" t="n">
        <f aca="false">IF(T538=1,IF(ISNUMBER(L538),L538-G538,0),0)</f>
        <v>0</v>
      </c>
      <c r="AC538" s="53" t="n">
        <f aca="false">IF(S538=1,IF(ISNUMBER(I538),I538-G538,0),0)</f>
        <v>0</v>
      </c>
    </row>
    <row r="539" customFormat="false" ht="15" hidden="false" customHeight="false" outlineLevel="0" collapsed="false">
      <c r="B539" s="54"/>
      <c r="C539" s="55"/>
      <c r="D539" s="55"/>
      <c r="E539" s="55"/>
      <c r="F539" s="56"/>
      <c r="G539" s="57"/>
      <c r="H539" s="55"/>
      <c r="I539" s="57"/>
      <c r="J539" s="54"/>
      <c r="K539" s="56"/>
      <c r="L539" s="57"/>
      <c r="M539" s="54"/>
      <c r="N539" s="58" t="str">
        <f aca="false">IF(S539=1,IF(U539&lt;0,"",U539),IF(Y539=1,X539,""))</f>
        <v/>
      </c>
      <c r="O539" s="59" t="str">
        <f aca="false">IF(S539=1,IF(ISNUMBER(I539),I539-G539,""),"")</f>
        <v/>
      </c>
      <c r="P539" s="59" t="str">
        <f aca="false">IF(T539=1,IF(ISNUMBER(L539),L539-G539,""),"")</f>
        <v/>
      </c>
      <c r="Q539" s="60" t="str">
        <f aca="false">IF(C539="","",IF(T539=1,"✔ SOLD / VENDIDO",IF(S539=0,"— CLOSED / CERRADO",IF(U539&lt;0,"⚠ ADD DATE / AGREGA FECHA",IF(U539&gt;=Settings!$C$8,"⚠ STALE – REPRICE / ESTANCADO",IF(U539&gt;=Settings!$C$7,"● WATCH / VIGILAR","✔ FRESH / RECIENTE"))))))</f>
        <v/>
      </c>
      <c r="S539" s="53" t="n">
        <f aca="false">IF(C539="",0,IF(OR(J539="",J539="In Stock / En Inventario",J539="Listed / Publicado"),1,0))</f>
        <v>0</v>
      </c>
      <c r="T539" s="53" t="n">
        <f aca="false">IF(C539="",0,IF(J539="Sold / Vendido",1,0))</f>
        <v>0</v>
      </c>
      <c r="U539" s="53" t="n">
        <f aca="true">IF(S539=1,IF(ISNUMBER(F539),TODAY()-F539,-1),-1)</f>
        <v>-1</v>
      </c>
      <c r="V539" s="53" t="n">
        <f aca="false">IF(U539&lt;0,IF(S539=1,5,0),IF(U539&lt;=30,1,IF(U539&lt;=60,2,IF(U539&lt;=90,3,4))))</f>
        <v>0</v>
      </c>
      <c r="W539" s="53" t="n">
        <f aca="false">IF(U539&lt;0,-1000000000000000,U539+ROW()/1000000)</f>
        <v>-1000000000000000</v>
      </c>
      <c r="X539" s="53" t="n">
        <f aca="false">IF(T539=1,IF(AND(ISNUMBER(F539),ISNUMBER(K539)),K539-F539,0),0)</f>
        <v>0</v>
      </c>
      <c r="Y539" s="53" t="n">
        <f aca="false">IF(T539=1,IF(AND(ISNUMBER(F539),ISNUMBER(K539)),1,0),0)</f>
        <v>0</v>
      </c>
      <c r="Z539" s="53" t="n">
        <f aca="false">IF(U539&gt;=Settings!$C$8,1,0)</f>
        <v>0</v>
      </c>
      <c r="AA539" s="53" t="n">
        <f aca="false">IF(S539=1,IF(J539="Listed / Publicado",0,1),0)</f>
        <v>0</v>
      </c>
      <c r="AB539" s="53" t="n">
        <f aca="false">IF(T539=1,IF(ISNUMBER(L539),L539-G539,0),0)</f>
        <v>0</v>
      </c>
      <c r="AC539" s="53" t="n">
        <f aca="false">IF(S539=1,IF(ISNUMBER(I539),I539-G539,0),0)</f>
        <v>0</v>
      </c>
    </row>
    <row r="540" customFormat="false" ht="15" hidden="false" customHeight="false" outlineLevel="0" collapsed="false">
      <c r="B540" s="54"/>
      <c r="C540" s="55"/>
      <c r="D540" s="55"/>
      <c r="E540" s="55"/>
      <c r="F540" s="56"/>
      <c r="G540" s="57"/>
      <c r="H540" s="55"/>
      <c r="I540" s="57"/>
      <c r="J540" s="54"/>
      <c r="K540" s="56"/>
      <c r="L540" s="57"/>
      <c r="M540" s="54"/>
      <c r="N540" s="58" t="str">
        <f aca="false">IF(S540=1,IF(U540&lt;0,"",U540),IF(Y540=1,X540,""))</f>
        <v/>
      </c>
      <c r="O540" s="59" t="str">
        <f aca="false">IF(S540=1,IF(ISNUMBER(I540),I540-G540,""),"")</f>
        <v/>
      </c>
      <c r="P540" s="59" t="str">
        <f aca="false">IF(T540=1,IF(ISNUMBER(L540),L540-G540,""),"")</f>
        <v/>
      </c>
      <c r="Q540" s="60" t="str">
        <f aca="false">IF(C540="","",IF(T540=1,"✔ SOLD / VENDIDO",IF(S540=0,"— CLOSED / CERRADO",IF(U540&lt;0,"⚠ ADD DATE / AGREGA FECHA",IF(U540&gt;=Settings!$C$8,"⚠ STALE – REPRICE / ESTANCADO",IF(U540&gt;=Settings!$C$7,"● WATCH / VIGILAR","✔ FRESH / RECIENTE"))))))</f>
        <v/>
      </c>
      <c r="S540" s="53" t="n">
        <f aca="false">IF(C540="",0,IF(OR(J540="",J540="In Stock / En Inventario",J540="Listed / Publicado"),1,0))</f>
        <v>0</v>
      </c>
      <c r="T540" s="53" t="n">
        <f aca="false">IF(C540="",0,IF(J540="Sold / Vendido",1,0))</f>
        <v>0</v>
      </c>
      <c r="U540" s="53" t="n">
        <f aca="true">IF(S540=1,IF(ISNUMBER(F540),TODAY()-F540,-1),-1)</f>
        <v>-1</v>
      </c>
      <c r="V540" s="53" t="n">
        <f aca="false">IF(U540&lt;0,IF(S540=1,5,0),IF(U540&lt;=30,1,IF(U540&lt;=60,2,IF(U540&lt;=90,3,4))))</f>
        <v>0</v>
      </c>
      <c r="W540" s="53" t="n">
        <f aca="false">IF(U540&lt;0,-1000000000000000,U540+ROW()/1000000)</f>
        <v>-1000000000000000</v>
      </c>
      <c r="X540" s="53" t="n">
        <f aca="false">IF(T540=1,IF(AND(ISNUMBER(F540),ISNUMBER(K540)),K540-F540,0),0)</f>
        <v>0</v>
      </c>
      <c r="Y540" s="53" t="n">
        <f aca="false">IF(T540=1,IF(AND(ISNUMBER(F540),ISNUMBER(K540)),1,0),0)</f>
        <v>0</v>
      </c>
      <c r="Z540" s="53" t="n">
        <f aca="false">IF(U540&gt;=Settings!$C$8,1,0)</f>
        <v>0</v>
      </c>
      <c r="AA540" s="53" t="n">
        <f aca="false">IF(S540=1,IF(J540="Listed / Publicado",0,1),0)</f>
        <v>0</v>
      </c>
      <c r="AB540" s="53" t="n">
        <f aca="false">IF(T540=1,IF(ISNUMBER(L540),L540-G540,0),0)</f>
        <v>0</v>
      </c>
      <c r="AC540" s="53" t="n">
        <f aca="false">IF(S540=1,IF(ISNUMBER(I540),I540-G540,0),0)</f>
        <v>0</v>
      </c>
    </row>
    <row r="541" customFormat="false" ht="15" hidden="false" customHeight="false" outlineLevel="0" collapsed="false">
      <c r="B541" s="54"/>
      <c r="C541" s="55"/>
      <c r="D541" s="55"/>
      <c r="E541" s="55"/>
      <c r="F541" s="56"/>
      <c r="G541" s="57"/>
      <c r="H541" s="55"/>
      <c r="I541" s="57"/>
      <c r="J541" s="54"/>
      <c r="K541" s="56"/>
      <c r="L541" s="57"/>
      <c r="M541" s="54"/>
      <c r="N541" s="58" t="str">
        <f aca="false">IF(S541=1,IF(U541&lt;0,"",U541),IF(Y541=1,X541,""))</f>
        <v/>
      </c>
      <c r="O541" s="59" t="str">
        <f aca="false">IF(S541=1,IF(ISNUMBER(I541),I541-G541,""),"")</f>
        <v/>
      </c>
      <c r="P541" s="59" t="str">
        <f aca="false">IF(T541=1,IF(ISNUMBER(L541),L541-G541,""),"")</f>
        <v/>
      </c>
      <c r="Q541" s="60" t="str">
        <f aca="false">IF(C541="","",IF(T541=1,"✔ SOLD / VENDIDO",IF(S541=0,"— CLOSED / CERRADO",IF(U541&lt;0,"⚠ ADD DATE / AGREGA FECHA",IF(U541&gt;=Settings!$C$8,"⚠ STALE – REPRICE / ESTANCADO",IF(U541&gt;=Settings!$C$7,"● WATCH / VIGILAR","✔ FRESH / RECIENTE"))))))</f>
        <v/>
      </c>
      <c r="S541" s="53" t="n">
        <f aca="false">IF(C541="",0,IF(OR(J541="",J541="In Stock / En Inventario",J541="Listed / Publicado"),1,0))</f>
        <v>0</v>
      </c>
      <c r="T541" s="53" t="n">
        <f aca="false">IF(C541="",0,IF(J541="Sold / Vendido",1,0))</f>
        <v>0</v>
      </c>
      <c r="U541" s="53" t="n">
        <f aca="true">IF(S541=1,IF(ISNUMBER(F541),TODAY()-F541,-1),-1)</f>
        <v>-1</v>
      </c>
      <c r="V541" s="53" t="n">
        <f aca="false">IF(U541&lt;0,IF(S541=1,5,0),IF(U541&lt;=30,1,IF(U541&lt;=60,2,IF(U541&lt;=90,3,4))))</f>
        <v>0</v>
      </c>
      <c r="W541" s="53" t="n">
        <f aca="false">IF(U541&lt;0,-1000000000000000,U541+ROW()/1000000)</f>
        <v>-1000000000000000</v>
      </c>
      <c r="X541" s="53" t="n">
        <f aca="false">IF(T541=1,IF(AND(ISNUMBER(F541),ISNUMBER(K541)),K541-F541,0),0)</f>
        <v>0</v>
      </c>
      <c r="Y541" s="53" t="n">
        <f aca="false">IF(T541=1,IF(AND(ISNUMBER(F541),ISNUMBER(K541)),1,0),0)</f>
        <v>0</v>
      </c>
      <c r="Z541" s="53" t="n">
        <f aca="false">IF(U541&gt;=Settings!$C$8,1,0)</f>
        <v>0</v>
      </c>
      <c r="AA541" s="53" t="n">
        <f aca="false">IF(S541=1,IF(J541="Listed / Publicado",0,1),0)</f>
        <v>0</v>
      </c>
      <c r="AB541" s="53" t="n">
        <f aca="false">IF(T541=1,IF(ISNUMBER(L541),L541-G541,0),0)</f>
        <v>0</v>
      </c>
      <c r="AC541" s="53" t="n">
        <f aca="false">IF(S541=1,IF(ISNUMBER(I541),I541-G541,0),0)</f>
        <v>0</v>
      </c>
    </row>
    <row r="542" customFormat="false" ht="15" hidden="false" customHeight="false" outlineLevel="0" collapsed="false">
      <c r="B542" s="54"/>
      <c r="C542" s="55"/>
      <c r="D542" s="55"/>
      <c r="E542" s="55"/>
      <c r="F542" s="56"/>
      <c r="G542" s="57"/>
      <c r="H542" s="55"/>
      <c r="I542" s="57"/>
      <c r="J542" s="54"/>
      <c r="K542" s="56"/>
      <c r="L542" s="57"/>
      <c r="M542" s="54"/>
      <c r="N542" s="58" t="str">
        <f aca="false">IF(S542=1,IF(U542&lt;0,"",U542),IF(Y542=1,X542,""))</f>
        <v/>
      </c>
      <c r="O542" s="59" t="str">
        <f aca="false">IF(S542=1,IF(ISNUMBER(I542),I542-G542,""),"")</f>
        <v/>
      </c>
      <c r="P542" s="59" t="str">
        <f aca="false">IF(T542=1,IF(ISNUMBER(L542),L542-G542,""),"")</f>
        <v/>
      </c>
      <c r="Q542" s="60" t="str">
        <f aca="false">IF(C542="","",IF(T542=1,"✔ SOLD / VENDIDO",IF(S542=0,"— CLOSED / CERRADO",IF(U542&lt;0,"⚠ ADD DATE / AGREGA FECHA",IF(U542&gt;=Settings!$C$8,"⚠ STALE – REPRICE / ESTANCADO",IF(U542&gt;=Settings!$C$7,"● WATCH / VIGILAR","✔ FRESH / RECIENTE"))))))</f>
        <v/>
      </c>
      <c r="S542" s="53" t="n">
        <f aca="false">IF(C542="",0,IF(OR(J542="",J542="In Stock / En Inventario",J542="Listed / Publicado"),1,0))</f>
        <v>0</v>
      </c>
      <c r="T542" s="53" t="n">
        <f aca="false">IF(C542="",0,IF(J542="Sold / Vendido",1,0))</f>
        <v>0</v>
      </c>
      <c r="U542" s="53" t="n">
        <f aca="true">IF(S542=1,IF(ISNUMBER(F542),TODAY()-F542,-1),-1)</f>
        <v>-1</v>
      </c>
      <c r="V542" s="53" t="n">
        <f aca="false">IF(U542&lt;0,IF(S542=1,5,0),IF(U542&lt;=30,1,IF(U542&lt;=60,2,IF(U542&lt;=90,3,4))))</f>
        <v>0</v>
      </c>
      <c r="W542" s="53" t="n">
        <f aca="false">IF(U542&lt;0,-1000000000000000,U542+ROW()/1000000)</f>
        <v>-1000000000000000</v>
      </c>
      <c r="X542" s="53" t="n">
        <f aca="false">IF(T542=1,IF(AND(ISNUMBER(F542),ISNUMBER(K542)),K542-F542,0),0)</f>
        <v>0</v>
      </c>
      <c r="Y542" s="53" t="n">
        <f aca="false">IF(T542=1,IF(AND(ISNUMBER(F542),ISNUMBER(K542)),1,0),0)</f>
        <v>0</v>
      </c>
      <c r="Z542" s="53" t="n">
        <f aca="false">IF(U542&gt;=Settings!$C$8,1,0)</f>
        <v>0</v>
      </c>
      <c r="AA542" s="53" t="n">
        <f aca="false">IF(S542=1,IF(J542="Listed / Publicado",0,1),0)</f>
        <v>0</v>
      </c>
      <c r="AB542" s="53" t="n">
        <f aca="false">IF(T542=1,IF(ISNUMBER(L542),L542-G542,0),0)</f>
        <v>0</v>
      </c>
      <c r="AC542" s="53" t="n">
        <f aca="false">IF(S542=1,IF(ISNUMBER(I542),I542-G542,0),0)</f>
        <v>0</v>
      </c>
    </row>
    <row r="543" customFormat="false" ht="15" hidden="false" customHeight="false" outlineLevel="0" collapsed="false">
      <c r="B543" s="54"/>
      <c r="C543" s="55"/>
      <c r="D543" s="55"/>
      <c r="E543" s="55"/>
      <c r="F543" s="56"/>
      <c r="G543" s="57"/>
      <c r="H543" s="55"/>
      <c r="I543" s="57"/>
      <c r="J543" s="54"/>
      <c r="K543" s="56"/>
      <c r="L543" s="57"/>
      <c r="M543" s="54"/>
      <c r="N543" s="58" t="str">
        <f aca="false">IF(S543=1,IF(U543&lt;0,"",U543),IF(Y543=1,X543,""))</f>
        <v/>
      </c>
      <c r="O543" s="59" t="str">
        <f aca="false">IF(S543=1,IF(ISNUMBER(I543),I543-G543,""),"")</f>
        <v/>
      </c>
      <c r="P543" s="59" t="str">
        <f aca="false">IF(T543=1,IF(ISNUMBER(L543),L543-G543,""),"")</f>
        <v/>
      </c>
      <c r="Q543" s="60" t="str">
        <f aca="false">IF(C543="","",IF(T543=1,"✔ SOLD / VENDIDO",IF(S543=0,"— CLOSED / CERRADO",IF(U543&lt;0,"⚠ ADD DATE / AGREGA FECHA",IF(U543&gt;=Settings!$C$8,"⚠ STALE – REPRICE / ESTANCADO",IF(U543&gt;=Settings!$C$7,"● WATCH / VIGILAR","✔ FRESH / RECIENTE"))))))</f>
        <v/>
      </c>
      <c r="S543" s="53" t="n">
        <f aca="false">IF(C543="",0,IF(OR(J543="",J543="In Stock / En Inventario",J543="Listed / Publicado"),1,0))</f>
        <v>0</v>
      </c>
      <c r="T543" s="53" t="n">
        <f aca="false">IF(C543="",0,IF(J543="Sold / Vendido",1,0))</f>
        <v>0</v>
      </c>
      <c r="U543" s="53" t="n">
        <f aca="true">IF(S543=1,IF(ISNUMBER(F543),TODAY()-F543,-1),-1)</f>
        <v>-1</v>
      </c>
      <c r="V543" s="53" t="n">
        <f aca="false">IF(U543&lt;0,IF(S543=1,5,0),IF(U543&lt;=30,1,IF(U543&lt;=60,2,IF(U543&lt;=90,3,4))))</f>
        <v>0</v>
      </c>
      <c r="W543" s="53" t="n">
        <f aca="false">IF(U543&lt;0,-1000000000000000,U543+ROW()/1000000)</f>
        <v>-1000000000000000</v>
      </c>
      <c r="X543" s="53" t="n">
        <f aca="false">IF(T543=1,IF(AND(ISNUMBER(F543),ISNUMBER(K543)),K543-F543,0),0)</f>
        <v>0</v>
      </c>
      <c r="Y543" s="53" t="n">
        <f aca="false">IF(T543=1,IF(AND(ISNUMBER(F543),ISNUMBER(K543)),1,0),0)</f>
        <v>0</v>
      </c>
      <c r="Z543" s="53" t="n">
        <f aca="false">IF(U543&gt;=Settings!$C$8,1,0)</f>
        <v>0</v>
      </c>
      <c r="AA543" s="53" t="n">
        <f aca="false">IF(S543=1,IF(J543="Listed / Publicado",0,1),0)</f>
        <v>0</v>
      </c>
      <c r="AB543" s="53" t="n">
        <f aca="false">IF(T543=1,IF(ISNUMBER(L543),L543-G543,0),0)</f>
        <v>0</v>
      </c>
      <c r="AC543" s="53" t="n">
        <f aca="false">IF(S543=1,IF(ISNUMBER(I543),I543-G543,0),0)</f>
        <v>0</v>
      </c>
    </row>
    <row r="544" customFormat="false" ht="15" hidden="false" customHeight="false" outlineLevel="0" collapsed="false">
      <c r="B544" s="54"/>
      <c r="C544" s="55"/>
      <c r="D544" s="55"/>
      <c r="E544" s="55"/>
      <c r="F544" s="56"/>
      <c r="G544" s="57"/>
      <c r="H544" s="55"/>
      <c r="I544" s="57"/>
      <c r="J544" s="54"/>
      <c r="K544" s="56"/>
      <c r="L544" s="57"/>
      <c r="M544" s="54"/>
      <c r="N544" s="58" t="str">
        <f aca="false">IF(S544=1,IF(U544&lt;0,"",U544),IF(Y544=1,X544,""))</f>
        <v/>
      </c>
      <c r="O544" s="59" t="str">
        <f aca="false">IF(S544=1,IF(ISNUMBER(I544),I544-G544,""),"")</f>
        <v/>
      </c>
      <c r="P544" s="59" t="str">
        <f aca="false">IF(T544=1,IF(ISNUMBER(L544),L544-G544,""),"")</f>
        <v/>
      </c>
      <c r="Q544" s="60" t="str">
        <f aca="false">IF(C544="","",IF(T544=1,"✔ SOLD / VENDIDO",IF(S544=0,"— CLOSED / CERRADO",IF(U544&lt;0,"⚠ ADD DATE / AGREGA FECHA",IF(U544&gt;=Settings!$C$8,"⚠ STALE – REPRICE / ESTANCADO",IF(U544&gt;=Settings!$C$7,"● WATCH / VIGILAR","✔ FRESH / RECIENTE"))))))</f>
        <v/>
      </c>
      <c r="S544" s="53" t="n">
        <f aca="false">IF(C544="",0,IF(OR(J544="",J544="In Stock / En Inventario",J544="Listed / Publicado"),1,0))</f>
        <v>0</v>
      </c>
      <c r="T544" s="53" t="n">
        <f aca="false">IF(C544="",0,IF(J544="Sold / Vendido",1,0))</f>
        <v>0</v>
      </c>
      <c r="U544" s="53" t="n">
        <f aca="true">IF(S544=1,IF(ISNUMBER(F544),TODAY()-F544,-1),-1)</f>
        <v>-1</v>
      </c>
      <c r="V544" s="53" t="n">
        <f aca="false">IF(U544&lt;0,IF(S544=1,5,0),IF(U544&lt;=30,1,IF(U544&lt;=60,2,IF(U544&lt;=90,3,4))))</f>
        <v>0</v>
      </c>
      <c r="W544" s="53" t="n">
        <f aca="false">IF(U544&lt;0,-1000000000000000,U544+ROW()/1000000)</f>
        <v>-1000000000000000</v>
      </c>
      <c r="X544" s="53" t="n">
        <f aca="false">IF(T544=1,IF(AND(ISNUMBER(F544),ISNUMBER(K544)),K544-F544,0),0)</f>
        <v>0</v>
      </c>
      <c r="Y544" s="53" t="n">
        <f aca="false">IF(T544=1,IF(AND(ISNUMBER(F544),ISNUMBER(K544)),1,0),0)</f>
        <v>0</v>
      </c>
      <c r="Z544" s="53" t="n">
        <f aca="false">IF(U544&gt;=Settings!$C$8,1,0)</f>
        <v>0</v>
      </c>
      <c r="AA544" s="53" t="n">
        <f aca="false">IF(S544=1,IF(J544="Listed / Publicado",0,1),0)</f>
        <v>0</v>
      </c>
      <c r="AB544" s="53" t="n">
        <f aca="false">IF(T544=1,IF(ISNUMBER(L544),L544-G544,0),0)</f>
        <v>0</v>
      </c>
      <c r="AC544" s="53" t="n">
        <f aca="false">IF(S544=1,IF(ISNUMBER(I544),I544-G544,0),0)</f>
        <v>0</v>
      </c>
    </row>
    <row r="545" customFormat="false" ht="15" hidden="false" customHeight="false" outlineLevel="0" collapsed="false">
      <c r="B545" s="54"/>
      <c r="C545" s="55"/>
      <c r="D545" s="55"/>
      <c r="E545" s="55"/>
      <c r="F545" s="56"/>
      <c r="G545" s="57"/>
      <c r="H545" s="55"/>
      <c r="I545" s="57"/>
      <c r="J545" s="54"/>
      <c r="K545" s="56"/>
      <c r="L545" s="57"/>
      <c r="M545" s="54"/>
      <c r="N545" s="58" t="str">
        <f aca="false">IF(S545=1,IF(U545&lt;0,"",U545),IF(Y545=1,X545,""))</f>
        <v/>
      </c>
      <c r="O545" s="59" t="str">
        <f aca="false">IF(S545=1,IF(ISNUMBER(I545),I545-G545,""),"")</f>
        <v/>
      </c>
      <c r="P545" s="59" t="str">
        <f aca="false">IF(T545=1,IF(ISNUMBER(L545),L545-G545,""),"")</f>
        <v/>
      </c>
      <c r="Q545" s="60" t="str">
        <f aca="false">IF(C545="","",IF(T545=1,"✔ SOLD / VENDIDO",IF(S545=0,"— CLOSED / CERRADO",IF(U545&lt;0,"⚠ ADD DATE / AGREGA FECHA",IF(U545&gt;=Settings!$C$8,"⚠ STALE – REPRICE / ESTANCADO",IF(U545&gt;=Settings!$C$7,"● WATCH / VIGILAR","✔ FRESH / RECIENTE"))))))</f>
        <v/>
      </c>
      <c r="S545" s="53" t="n">
        <f aca="false">IF(C545="",0,IF(OR(J545="",J545="In Stock / En Inventario",J545="Listed / Publicado"),1,0))</f>
        <v>0</v>
      </c>
      <c r="T545" s="53" t="n">
        <f aca="false">IF(C545="",0,IF(J545="Sold / Vendido",1,0))</f>
        <v>0</v>
      </c>
      <c r="U545" s="53" t="n">
        <f aca="true">IF(S545=1,IF(ISNUMBER(F545),TODAY()-F545,-1),-1)</f>
        <v>-1</v>
      </c>
      <c r="V545" s="53" t="n">
        <f aca="false">IF(U545&lt;0,IF(S545=1,5,0),IF(U545&lt;=30,1,IF(U545&lt;=60,2,IF(U545&lt;=90,3,4))))</f>
        <v>0</v>
      </c>
      <c r="W545" s="53" t="n">
        <f aca="false">IF(U545&lt;0,-1000000000000000,U545+ROW()/1000000)</f>
        <v>-1000000000000000</v>
      </c>
      <c r="X545" s="53" t="n">
        <f aca="false">IF(T545=1,IF(AND(ISNUMBER(F545),ISNUMBER(K545)),K545-F545,0),0)</f>
        <v>0</v>
      </c>
      <c r="Y545" s="53" t="n">
        <f aca="false">IF(T545=1,IF(AND(ISNUMBER(F545),ISNUMBER(K545)),1,0),0)</f>
        <v>0</v>
      </c>
      <c r="Z545" s="53" t="n">
        <f aca="false">IF(U545&gt;=Settings!$C$8,1,0)</f>
        <v>0</v>
      </c>
      <c r="AA545" s="53" t="n">
        <f aca="false">IF(S545=1,IF(J545="Listed / Publicado",0,1),0)</f>
        <v>0</v>
      </c>
      <c r="AB545" s="53" t="n">
        <f aca="false">IF(T545=1,IF(ISNUMBER(L545),L545-G545,0),0)</f>
        <v>0</v>
      </c>
      <c r="AC545" s="53" t="n">
        <f aca="false">IF(S545=1,IF(ISNUMBER(I545),I545-G545,0),0)</f>
        <v>0</v>
      </c>
    </row>
    <row r="546" customFormat="false" ht="15" hidden="false" customHeight="false" outlineLevel="0" collapsed="false">
      <c r="B546" s="54"/>
      <c r="C546" s="55"/>
      <c r="D546" s="55"/>
      <c r="E546" s="55"/>
      <c r="F546" s="56"/>
      <c r="G546" s="57"/>
      <c r="H546" s="55"/>
      <c r="I546" s="57"/>
      <c r="J546" s="54"/>
      <c r="K546" s="56"/>
      <c r="L546" s="57"/>
      <c r="M546" s="54"/>
      <c r="N546" s="58" t="str">
        <f aca="false">IF(S546=1,IF(U546&lt;0,"",U546),IF(Y546=1,X546,""))</f>
        <v/>
      </c>
      <c r="O546" s="59" t="str">
        <f aca="false">IF(S546=1,IF(ISNUMBER(I546),I546-G546,""),"")</f>
        <v/>
      </c>
      <c r="P546" s="59" t="str">
        <f aca="false">IF(T546=1,IF(ISNUMBER(L546),L546-G546,""),"")</f>
        <v/>
      </c>
      <c r="Q546" s="60" t="str">
        <f aca="false">IF(C546="","",IF(T546=1,"✔ SOLD / VENDIDO",IF(S546=0,"— CLOSED / CERRADO",IF(U546&lt;0,"⚠ ADD DATE / AGREGA FECHA",IF(U546&gt;=Settings!$C$8,"⚠ STALE – REPRICE / ESTANCADO",IF(U546&gt;=Settings!$C$7,"● WATCH / VIGILAR","✔ FRESH / RECIENTE"))))))</f>
        <v/>
      </c>
      <c r="S546" s="53" t="n">
        <f aca="false">IF(C546="",0,IF(OR(J546="",J546="In Stock / En Inventario",J546="Listed / Publicado"),1,0))</f>
        <v>0</v>
      </c>
      <c r="T546" s="53" t="n">
        <f aca="false">IF(C546="",0,IF(J546="Sold / Vendido",1,0))</f>
        <v>0</v>
      </c>
      <c r="U546" s="53" t="n">
        <f aca="true">IF(S546=1,IF(ISNUMBER(F546),TODAY()-F546,-1),-1)</f>
        <v>-1</v>
      </c>
      <c r="V546" s="53" t="n">
        <f aca="false">IF(U546&lt;0,IF(S546=1,5,0),IF(U546&lt;=30,1,IF(U546&lt;=60,2,IF(U546&lt;=90,3,4))))</f>
        <v>0</v>
      </c>
      <c r="W546" s="53" t="n">
        <f aca="false">IF(U546&lt;0,-1000000000000000,U546+ROW()/1000000)</f>
        <v>-1000000000000000</v>
      </c>
      <c r="X546" s="53" t="n">
        <f aca="false">IF(T546=1,IF(AND(ISNUMBER(F546),ISNUMBER(K546)),K546-F546,0),0)</f>
        <v>0</v>
      </c>
      <c r="Y546" s="53" t="n">
        <f aca="false">IF(T546=1,IF(AND(ISNUMBER(F546),ISNUMBER(K546)),1,0),0)</f>
        <v>0</v>
      </c>
      <c r="Z546" s="53" t="n">
        <f aca="false">IF(U546&gt;=Settings!$C$8,1,0)</f>
        <v>0</v>
      </c>
      <c r="AA546" s="53" t="n">
        <f aca="false">IF(S546=1,IF(J546="Listed / Publicado",0,1),0)</f>
        <v>0</v>
      </c>
      <c r="AB546" s="53" t="n">
        <f aca="false">IF(T546=1,IF(ISNUMBER(L546),L546-G546,0),0)</f>
        <v>0</v>
      </c>
      <c r="AC546" s="53" t="n">
        <f aca="false">IF(S546=1,IF(ISNUMBER(I546),I546-G546,0),0)</f>
        <v>0</v>
      </c>
    </row>
    <row r="547" customFormat="false" ht="15" hidden="false" customHeight="false" outlineLevel="0" collapsed="false">
      <c r="B547" s="54"/>
      <c r="C547" s="55"/>
      <c r="D547" s="55"/>
      <c r="E547" s="55"/>
      <c r="F547" s="56"/>
      <c r="G547" s="57"/>
      <c r="H547" s="55"/>
      <c r="I547" s="57"/>
      <c r="J547" s="54"/>
      <c r="K547" s="56"/>
      <c r="L547" s="57"/>
      <c r="M547" s="54"/>
      <c r="N547" s="58" t="str">
        <f aca="false">IF(S547=1,IF(U547&lt;0,"",U547),IF(Y547=1,X547,""))</f>
        <v/>
      </c>
      <c r="O547" s="59" t="str">
        <f aca="false">IF(S547=1,IF(ISNUMBER(I547),I547-G547,""),"")</f>
        <v/>
      </c>
      <c r="P547" s="59" t="str">
        <f aca="false">IF(T547=1,IF(ISNUMBER(L547),L547-G547,""),"")</f>
        <v/>
      </c>
      <c r="Q547" s="60" t="str">
        <f aca="false">IF(C547="","",IF(T547=1,"✔ SOLD / VENDIDO",IF(S547=0,"— CLOSED / CERRADO",IF(U547&lt;0,"⚠ ADD DATE / AGREGA FECHA",IF(U547&gt;=Settings!$C$8,"⚠ STALE – REPRICE / ESTANCADO",IF(U547&gt;=Settings!$C$7,"● WATCH / VIGILAR","✔ FRESH / RECIENTE"))))))</f>
        <v/>
      </c>
      <c r="S547" s="53" t="n">
        <f aca="false">IF(C547="",0,IF(OR(J547="",J547="In Stock / En Inventario",J547="Listed / Publicado"),1,0))</f>
        <v>0</v>
      </c>
      <c r="T547" s="53" t="n">
        <f aca="false">IF(C547="",0,IF(J547="Sold / Vendido",1,0))</f>
        <v>0</v>
      </c>
      <c r="U547" s="53" t="n">
        <f aca="true">IF(S547=1,IF(ISNUMBER(F547),TODAY()-F547,-1),-1)</f>
        <v>-1</v>
      </c>
      <c r="V547" s="53" t="n">
        <f aca="false">IF(U547&lt;0,IF(S547=1,5,0),IF(U547&lt;=30,1,IF(U547&lt;=60,2,IF(U547&lt;=90,3,4))))</f>
        <v>0</v>
      </c>
      <c r="W547" s="53" t="n">
        <f aca="false">IF(U547&lt;0,-1000000000000000,U547+ROW()/1000000)</f>
        <v>-1000000000000000</v>
      </c>
      <c r="X547" s="53" t="n">
        <f aca="false">IF(T547=1,IF(AND(ISNUMBER(F547),ISNUMBER(K547)),K547-F547,0),0)</f>
        <v>0</v>
      </c>
      <c r="Y547" s="53" t="n">
        <f aca="false">IF(T547=1,IF(AND(ISNUMBER(F547),ISNUMBER(K547)),1,0),0)</f>
        <v>0</v>
      </c>
      <c r="Z547" s="53" t="n">
        <f aca="false">IF(U547&gt;=Settings!$C$8,1,0)</f>
        <v>0</v>
      </c>
      <c r="AA547" s="53" t="n">
        <f aca="false">IF(S547=1,IF(J547="Listed / Publicado",0,1),0)</f>
        <v>0</v>
      </c>
      <c r="AB547" s="53" t="n">
        <f aca="false">IF(T547=1,IF(ISNUMBER(L547),L547-G547,0),0)</f>
        <v>0</v>
      </c>
      <c r="AC547" s="53" t="n">
        <f aca="false">IF(S547=1,IF(ISNUMBER(I547),I547-G547,0),0)</f>
        <v>0</v>
      </c>
    </row>
    <row r="548" customFormat="false" ht="15" hidden="false" customHeight="false" outlineLevel="0" collapsed="false">
      <c r="B548" s="54"/>
      <c r="C548" s="55"/>
      <c r="D548" s="55"/>
      <c r="E548" s="55"/>
      <c r="F548" s="56"/>
      <c r="G548" s="57"/>
      <c r="H548" s="55"/>
      <c r="I548" s="57"/>
      <c r="J548" s="54"/>
      <c r="K548" s="56"/>
      <c r="L548" s="57"/>
      <c r="M548" s="54"/>
      <c r="N548" s="58" t="str">
        <f aca="false">IF(S548=1,IF(U548&lt;0,"",U548),IF(Y548=1,X548,""))</f>
        <v/>
      </c>
      <c r="O548" s="59" t="str">
        <f aca="false">IF(S548=1,IF(ISNUMBER(I548),I548-G548,""),"")</f>
        <v/>
      </c>
      <c r="P548" s="59" t="str">
        <f aca="false">IF(T548=1,IF(ISNUMBER(L548),L548-G548,""),"")</f>
        <v/>
      </c>
      <c r="Q548" s="60" t="str">
        <f aca="false">IF(C548="","",IF(T548=1,"✔ SOLD / VENDIDO",IF(S548=0,"— CLOSED / CERRADO",IF(U548&lt;0,"⚠ ADD DATE / AGREGA FECHA",IF(U548&gt;=Settings!$C$8,"⚠ STALE – REPRICE / ESTANCADO",IF(U548&gt;=Settings!$C$7,"● WATCH / VIGILAR","✔ FRESH / RECIENTE"))))))</f>
        <v/>
      </c>
      <c r="S548" s="53" t="n">
        <f aca="false">IF(C548="",0,IF(OR(J548="",J548="In Stock / En Inventario",J548="Listed / Publicado"),1,0))</f>
        <v>0</v>
      </c>
      <c r="T548" s="53" t="n">
        <f aca="false">IF(C548="",0,IF(J548="Sold / Vendido",1,0))</f>
        <v>0</v>
      </c>
      <c r="U548" s="53" t="n">
        <f aca="true">IF(S548=1,IF(ISNUMBER(F548),TODAY()-F548,-1),-1)</f>
        <v>-1</v>
      </c>
      <c r="V548" s="53" t="n">
        <f aca="false">IF(U548&lt;0,IF(S548=1,5,0),IF(U548&lt;=30,1,IF(U548&lt;=60,2,IF(U548&lt;=90,3,4))))</f>
        <v>0</v>
      </c>
      <c r="W548" s="53" t="n">
        <f aca="false">IF(U548&lt;0,-1000000000000000,U548+ROW()/1000000)</f>
        <v>-1000000000000000</v>
      </c>
      <c r="X548" s="53" t="n">
        <f aca="false">IF(T548=1,IF(AND(ISNUMBER(F548),ISNUMBER(K548)),K548-F548,0),0)</f>
        <v>0</v>
      </c>
      <c r="Y548" s="53" t="n">
        <f aca="false">IF(T548=1,IF(AND(ISNUMBER(F548),ISNUMBER(K548)),1,0),0)</f>
        <v>0</v>
      </c>
      <c r="Z548" s="53" t="n">
        <f aca="false">IF(U548&gt;=Settings!$C$8,1,0)</f>
        <v>0</v>
      </c>
      <c r="AA548" s="53" t="n">
        <f aca="false">IF(S548=1,IF(J548="Listed / Publicado",0,1),0)</f>
        <v>0</v>
      </c>
      <c r="AB548" s="53" t="n">
        <f aca="false">IF(T548=1,IF(ISNUMBER(L548),L548-G548,0),0)</f>
        <v>0</v>
      </c>
      <c r="AC548" s="53" t="n">
        <f aca="false">IF(S548=1,IF(ISNUMBER(I548),I548-G548,0),0)</f>
        <v>0</v>
      </c>
    </row>
    <row r="549" customFormat="false" ht="15" hidden="false" customHeight="false" outlineLevel="0" collapsed="false">
      <c r="B549" s="54"/>
      <c r="C549" s="55"/>
      <c r="D549" s="55"/>
      <c r="E549" s="55"/>
      <c r="F549" s="56"/>
      <c r="G549" s="57"/>
      <c r="H549" s="55"/>
      <c r="I549" s="57"/>
      <c r="J549" s="54"/>
      <c r="K549" s="56"/>
      <c r="L549" s="57"/>
      <c r="M549" s="54"/>
      <c r="N549" s="58" t="str">
        <f aca="false">IF(S549=1,IF(U549&lt;0,"",U549),IF(Y549=1,X549,""))</f>
        <v/>
      </c>
      <c r="O549" s="59" t="str">
        <f aca="false">IF(S549=1,IF(ISNUMBER(I549),I549-G549,""),"")</f>
        <v/>
      </c>
      <c r="P549" s="59" t="str">
        <f aca="false">IF(T549=1,IF(ISNUMBER(L549),L549-G549,""),"")</f>
        <v/>
      </c>
      <c r="Q549" s="60" t="str">
        <f aca="false">IF(C549="","",IF(T549=1,"✔ SOLD / VENDIDO",IF(S549=0,"— CLOSED / CERRADO",IF(U549&lt;0,"⚠ ADD DATE / AGREGA FECHA",IF(U549&gt;=Settings!$C$8,"⚠ STALE – REPRICE / ESTANCADO",IF(U549&gt;=Settings!$C$7,"● WATCH / VIGILAR","✔ FRESH / RECIENTE"))))))</f>
        <v/>
      </c>
      <c r="S549" s="53" t="n">
        <f aca="false">IF(C549="",0,IF(OR(J549="",J549="In Stock / En Inventario",J549="Listed / Publicado"),1,0))</f>
        <v>0</v>
      </c>
      <c r="T549" s="53" t="n">
        <f aca="false">IF(C549="",0,IF(J549="Sold / Vendido",1,0))</f>
        <v>0</v>
      </c>
      <c r="U549" s="53" t="n">
        <f aca="true">IF(S549=1,IF(ISNUMBER(F549),TODAY()-F549,-1),-1)</f>
        <v>-1</v>
      </c>
      <c r="V549" s="53" t="n">
        <f aca="false">IF(U549&lt;0,IF(S549=1,5,0),IF(U549&lt;=30,1,IF(U549&lt;=60,2,IF(U549&lt;=90,3,4))))</f>
        <v>0</v>
      </c>
      <c r="W549" s="53" t="n">
        <f aca="false">IF(U549&lt;0,-1000000000000000,U549+ROW()/1000000)</f>
        <v>-1000000000000000</v>
      </c>
      <c r="X549" s="53" t="n">
        <f aca="false">IF(T549=1,IF(AND(ISNUMBER(F549),ISNUMBER(K549)),K549-F549,0),0)</f>
        <v>0</v>
      </c>
      <c r="Y549" s="53" t="n">
        <f aca="false">IF(T549=1,IF(AND(ISNUMBER(F549),ISNUMBER(K549)),1,0),0)</f>
        <v>0</v>
      </c>
      <c r="Z549" s="53" t="n">
        <f aca="false">IF(U549&gt;=Settings!$C$8,1,0)</f>
        <v>0</v>
      </c>
      <c r="AA549" s="53" t="n">
        <f aca="false">IF(S549=1,IF(J549="Listed / Publicado",0,1),0)</f>
        <v>0</v>
      </c>
      <c r="AB549" s="53" t="n">
        <f aca="false">IF(T549=1,IF(ISNUMBER(L549),L549-G549,0),0)</f>
        <v>0</v>
      </c>
      <c r="AC549" s="53" t="n">
        <f aca="false">IF(S549=1,IF(ISNUMBER(I549),I549-G549,0),0)</f>
        <v>0</v>
      </c>
    </row>
    <row r="550" customFormat="false" ht="15" hidden="false" customHeight="false" outlineLevel="0" collapsed="false">
      <c r="B550" s="54"/>
      <c r="C550" s="55"/>
      <c r="D550" s="55"/>
      <c r="E550" s="55"/>
      <c r="F550" s="56"/>
      <c r="G550" s="57"/>
      <c r="H550" s="55"/>
      <c r="I550" s="57"/>
      <c r="J550" s="54"/>
      <c r="K550" s="56"/>
      <c r="L550" s="57"/>
      <c r="M550" s="54"/>
      <c r="N550" s="58" t="str">
        <f aca="false">IF(S550=1,IF(U550&lt;0,"",U550),IF(Y550=1,X550,""))</f>
        <v/>
      </c>
      <c r="O550" s="59" t="str">
        <f aca="false">IF(S550=1,IF(ISNUMBER(I550),I550-G550,""),"")</f>
        <v/>
      </c>
      <c r="P550" s="59" t="str">
        <f aca="false">IF(T550=1,IF(ISNUMBER(L550),L550-G550,""),"")</f>
        <v/>
      </c>
      <c r="Q550" s="60" t="str">
        <f aca="false">IF(C550="","",IF(T550=1,"✔ SOLD / VENDIDO",IF(S550=0,"— CLOSED / CERRADO",IF(U550&lt;0,"⚠ ADD DATE / AGREGA FECHA",IF(U550&gt;=Settings!$C$8,"⚠ STALE – REPRICE / ESTANCADO",IF(U550&gt;=Settings!$C$7,"● WATCH / VIGILAR","✔ FRESH / RECIENTE"))))))</f>
        <v/>
      </c>
      <c r="S550" s="53" t="n">
        <f aca="false">IF(C550="",0,IF(OR(J550="",J550="In Stock / En Inventario",J550="Listed / Publicado"),1,0))</f>
        <v>0</v>
      </c>
      <c r="T550" s="53" t="n">
        <f aca="false">IF(C550="",0,IF(J550="Sold / Vendido",1,0))</f>
        <v>0</v>
      </c>
      <c r="U550" s="53" t="n">
        <f aca="true">IF(S550=1,IF(ISNUMBER(F550),TODAY()-F550,-1),-1)</f>
        <v>-1</v>
      </c>
      <c r="V550" s="53" t="n">
        <f aca="false">IF(U550&lt;0,IF(S550=1,5,0),IF(U550&lt;=30,1,IF(U550&lt;=60,2,IF(U550&lt;=90,3,4))))</f>
        <v>0</v>
      </c>
      <c r="W550" s="53" t="n">
        <f aca="false">IF(U550&lt;0,-1000000000000000,U550+ROW()/1000000)</f>
        <v>-1000000000000000</v>
      </c>
      <c r="X550" s="53" t="n">
        <f aca="false">IF(T550=1,IF(AND(ISNUMBER(F550),ISNUMBER(K550)),K550-F550,0),0)</f>
        <v>0</v>
      </c>
      <c r="Y550" s="53" t="n">
        <f aca="false">IF(T550=1,IF(AND(ISNUMBER(F550),ISNUMBER(K550)),1,0),0)</f>
        <v>0</v>
      </c>
      <c r="Z550" s="53" t="n">
        <f aca="false">IF(U550&gt;=Settings!$C$8,1,0)</f>
        <v>0</v>
      </c>
      <c r="AA550" s="53" t="n">
        <f aca="false">IF(S550=1,IF(J550="Listed / Publicado",0,1),0)</f>
        <v>0</v>
      </c>
      <c r="AB550" s="53" t="n">
        <f aca="false">IF(T550=1,IF(ISNUMBER(L550),L550-G550,0),0)</f>
        <v>0</v>
      </c>
      <c r="AC550" s="53" t="n">
        <f aca="false">IF(S550=1,IF(ISNUMBER(I550),I550-G550,0),0)</f>
        <v>0</v>
      </c>
    </row>
    <row r="551" customFormat="false" ht="15" hidden="false" customHeight="false" outlineLevel="0" collapsed="false">
      <c r="B551" s="54"/>
      <c r="C551" s="55"/>
      <c r="D551" s="55"/>
      <c r="E551" s="55"/>
      <c r="F551" s="56"/>
      <c r="G551" s="57"/>
      <c r="H551" s="55"/>
      <c r="I551" s="57"/>
      <c r="J551" s="54"/>
      <c r="K551" s="56"/>
      <c r="L551" s="57"/>
      <c r="M551" s="54"/>
      <c r="N551" s="58" t="str">
        <f aca="false">IF(S551=1,IF(U551&lt;0,"",U551),IF(Y551=1,X551,""))</f>
        <v/>
      </c>
      <c r="O551" s="59" t="str">
        <f aca="false">IF(S551=1,IF(ISNUMBER(I551),I551-G551,""),"")</f>
        <v/>
      </c>
      <c r="P551" s="59" t="str">
        <f aca="false">IF(T551=1,IF(ISNUMBER(L551),L551-G551,""),"")</f>
        <v/>
      </c>
      <c r="Q551" s="60" t="str">
        <f aca="false">IF(C551="","",IF(T551=1,"✔ SOLD / VENDIDO",IF(S551=0,"— CLOSED / CERRADO",IF(U551&lt;0,"⚠ ADD DATE / AGREGA FECHA",IF(U551&gt;=Settings!$C$8,"⚠ STALE – REPRICE / ESTANCADO",IF(U551&gt;=Settings!$C$7,"● WATCH / VIGILAR","✔ FRESH / RECIENTE"))))))</f>
        <v/>
      </c>
      <c r="S551" s="53" t="n">
        <f aca="false">IF(C551="",0,IF(OR(J551="",J551="In Stock / En Inventario",J551="Listed / Publicado"),1,0))</f>
        <v>0</v>
      </c>
      <c r="T551" s="53" t="n">
        <f aca="false">IF(C551="",0,IF(J551="Sold / Vendido",1,0))</f>
        <v>0</v>
      </c>
      <c r="U551" s="53" t="n">
        <f aca="true">IF(S551=1,IF(ISNUMBER(F551),TODAY()-F551,-1),-1)</f>
        <v>-1</v>
      </c>
      <c r="V551" s="53" t="n">
        <f aca="false">IF(U551&lt;0,IF(S551=1,5,0),IF(U551&lt;=30,1,IF(U551&lt;=60,2,IF(U551&lt;=90,3,4))))</f>
        <v>0</v>
      </c>
      <c r="W551" s="53" t="n">
        <f aca="false">IF(U551&lt;0,-1000000000000000,U551+ROW()/1000000)</f>
        <v>-1000000000000000</v>
      </c>
      <c r="X551" s="53" t="n">
        <f aca="false">IF(T551=1,IF(AND(ISNUMBER(F551),ISNUMBER(K551)),K551-F551,0),0)</f>
        <v>0</v>
      </c>
      <c r="Y551" s="53" t="n">
        <f aca="false">IF(T551=1,IF(AND(ISNUMBER(F551),ISNUMBER(K551)),1,0),0)</f>
        <v>0</v>
      </c>
      <c r="Z551" s="53" t="n">
        <f aca="false">IF(U551&gt;=Settings!$C$8,1,0)</f>
        <v>0</v>
      </c>
      <c r="AA551" s="53" t="n">
        <f aca="false">IF(S551=1,IF(J551="Listed / Publicado",0,1),0)</f>
        <v>0</v>
      </c>
      <c r="AB551" s="53" t="n">
        <f aca="false">IF(T551=1,IF(ISNUMBER(L551),L551-G551,0),0)</f>
        <v>0</v>
      </c>
      <c r="AC551" s="53" t="n">
        <f aca="false">IF(S551=1,IF(ISNUMBER(I551),I551-G551,0),0)</f>
        <v>0</v>
      </c>
    </row>
    <row r="552" customFormat="false" ht="15" hidden="false" customHeight="false" outlineLevel="0" collapsed="false">
      <c r="B552" s="54"/>
      <c r="C552" s="55"/>
      <c r="D552" s="55"/>
      <c r="E552" s="55"/>
      <c r="F552" s="56"/>
      <c r="G552" s="57"/>
      <c r="H552" s="55"/>
      <c r="I552" s="57"/>
      <c r="J552" s="54"/>
      <c r="K552" s="56"/>
      <c r="L552" s="57"/>
      <c r="M552" s="54"/>
      <c r="N552" s="58" t="str">
        <f aca="false">IF(S552=1,IF(U552&lt;0,"",U552),IF(Y552=1,X552,""))</f>
        <v/>
      </c>
      <c r="O552" s="59" t="str">
        <f aca="false">IF(S552=1,IF(ISNUMBER(I552),I552-G552,""),"")</f>
        <v/>
      </c>
      <c r="P552" s="59" t="str">
        <f aca="false">IF(T552=1,IF(ISNUMBER(L552),L552-G552,""),"")</f>
        <v/>
      </c>
      <c r="Q552" s="60" t="str">
        <f aca="false">IF(C552="","",IF(T552=1,"✔ SOLD / VENDIDO",IF(S552=0,"— CLOSED / CERRADO",IF(U552&lt;0,"⚠ ADD DATE / AGREGA FECHA",IF(U552&gt;=Settings!$C$8,"⚠ STALE – REPRICE / ESTANCADO",IF(U552&gt;=Settings!$C$7,"● WATCH / VIGILAR","✔ FRESH / RECIENTE"))))))</f>
        <v/>
      </c>
      <c r="S552" s="53" t="n">
        <f aca="false">IF(C552="",0,IF(OR(J552="",J552="In Stock / En Inventario",J552="Listed / Publicado"),1,0))</f>
        <v>0</v>
      </c>
      <c r="T552" s="53" t="n">
        <f aca="false">IF(C552="",0,IF(J552="Sold / Vendido",1,0))</f>
        <v>0</v>
      </c>
      <c r="U552" s="53" t="n">
        <f aca="true">IF(S552=1,IF(ISNUMBER(F552),TODAY()-F552,-1),-1)</f>
        <v>-1</v>
      </c>
      <c r="V552" s="53" t="n">
        <f aca="false">IF(U552&lt;0,IF(S552=1,5,0),IF(U552&lt;=30,1,IF(U552&lt;=60,2,IF(U552&lt;=90,3,4))))</f>
        <v>0</v>
      </c>
      <c r="W552" s="53" t="n">
        <f aca="false">IF(U552&lt;0,-1000000000000000,U552+ROW()/1000000)</f>
        <v>-1000000000000000</v>
      </c>
      <c r="X552" s="53" t="n">
        <f aca="false">IF(T552=1,IF(AND(ISNUMBER(F552),ISNUMBER(K552)),K552-F552,0),0)</f>
        <v>0</v>
      </c>
      <c r="Y552" s="53" t="n">
        <f aca="false">IF(T552=1,IF(AND(ISNUMBER(F552),ISNUMBER(K552)),1,0),0)</f>
        <v>0</v>
      </c>
      <c r="Z552" s="53" t="n">
        <f aca="false">IF(U552&gt;=Settings!$C$8,1,0)</f>
        <v>0</v>
      </c>
      <c r="AA552" s="53" t="n">
        <f aca="false">IF(S552=1,IF(J552="Listed / Publicado",0,1),0)</f>
        <v>0</v>
      </c>
      <c r="AB552" s="53" t="n">
        <f aca="false">IF(T552=1,IF(ISNUMBER(L552),L552-G552,0),0)</f>
        <v>0</v>
      </c>
      <c r="AC552" s="53" t="n">
        <f aca="false">IF(S552=1,IF(ISNUMBER(I552),I552-G552,0),0)</f>
        <v>0</v>
      </c>
    </row>
    <row r="553" customFormat="false" ht="15" hidden="false" customHeight="false" outlineLevel="0" collapsed="false">
      <c r="B553" s="54"/>
      <c r="C553" s="55"/>
      <c r="D553" s="55"/>
      <c r="E553" s="55"/>
      <c r="F553" s="56"/>
      <c r="G553" s="57"/>
      <c r="H553" s="55"/>
      <c r="I553" s="57"/>
      <c r="J553" s="54"/>
      <c r="K553" s="56"/>
      <c r="L553" s="57"/>
      <c r="M553" s="54"/>
      <c r="N553" s="58" t="str">
        <f aca="false">IF(S553=1,IF(U553&lt;0,"",U553),IF(Y553=1,X553,""))</f>
        <v/>
      </c>
      <c r="O553" s="59" t="str">
        <f aca="false">IF(S553=1,IF(ISNUMBER(I553),I553-G553,""),"")</f>
        <v/>
      </c>
      <c r="P553" s="59" t="str">
        <f aca="false">IF(T553=1,IF(ISNUMBER(L553),L553-G553,""),"")</f>
        <v/>
      </c>
      <c r="Q553" s="60" t="str">
        <f aca="false">IF(C553="","",IF(T553=1,"✔ SOLD / VENDIDO",IF(S553=0,"— CLOSED / CERRADO",IF(U553&lt;0,"⚠ ADD DATE / AGREGA FECHA",IF(U553&gt;=Settings!$C$8,"⚠ STALE – REPRICE / ESTANCADO",IF(U553&gt;=Settings!$C$7,"● WATCH / VIGILAR","✔ FRESH / RECIENTE"))))))</f>
        <v/>
      </c>
      <c r="S553" s="53" t="n">
        <f aca="false">IF(C553="",0,IF(OR(J553="",J553="In Stock / En Inventario",J553="Listed / Publicado"),1,0))</f>
        <v>0</v>
      </c>
      <c r="T553" s="53" t="n">
        <f aca="false">IF(C553="",0,IF(J553="Sold / Vendido",1,0))</f>
        <v>0</v>
      </c>
      <c r="U553" s="53" t="n">
        <f aca="true">IF(S553=1,IF(ISNUMBER(F553),TODAY()-F553,-1),-1)</f>
        <v>-1</v>
      </c>
      <c r="V553" s="53" t="n">
        <f aca="false">IF(U553&lt;0,IF(S553=1,5,0),IF(U553&lt;=30,1,IF(U553&lt;=60,2,IF(U553&lt;=90,3,4))))</f>
        <v>0</v>
      </c>
      <c r="W553" s="53" t="n">
        <f aca="false">IF(U553&lt;0,-1000000000000000,U553+ROW()/1000000)</f>
        <v>-1000000000000000</v>
      </c>
      <c r="X553" s="53" t="n">
        <f aca="false">IF(T553=1,IF(AND(ISNUMBER(F553),ISNUMBER(K553)),K553-F553,0),0)</f>
        <v>0</v>
      </c>
      <c r="Y553" s="53" t="n">
        <f aca="false">IF(T553=1,IF(AND(ISNUMBER(F553),ISNUMBER(K553)),1,0),0)</f>
        <v>0</v>
      </c>
      <c r="Z553" s="53" t="n">
        <f aca="false">IF(U553&gt;=Settings!$C$8,1,0)</f>
        <v>0</v>
      </c>
      <c r="AA553" s="53" t="n">
        <f aca="false">IF(S553=1,IF(J553="Listed / Publicado",0,1),0)</f>
        <v>0</v>
      </c>
      <c r="AB553" s="53" t="n">
        <f aca="false">IF(T553=1,IF(ISNUMBER(L553),L553-G553,0),0)</f>
        <v>0</v>
      </c>
      <c r="AC553" s="53" t="n">
        <f aca="false">IF(S553=1,IF(ISNUMBER(I553),I553-G553,0),0)</f>
        <v>0</v>
      </c>
    </row>
    <row r="554" customFormat="false" ht="15" hidden="false" customHeight="false" outlineLevel="0" collapsed="false">
      <c r="B554" s="54"/>
      <c r="C554" s="55"/>
      <c r="D554" s="55"/>
      <c r="E554" s="55"/>
      <c r="F554" s="56"/>
      <c r="G554" s="57"/>
      <c r="H554" s="55"/>
      <c r="I554" s="57"/>
      <c r="J554" s="54"/>
      <c r="K554" s="56"/>
      <c r="L554" s="57"/>
      <c r="M554" s="54"/>
      <c r="N554" s="58" t="str">
        <f aca="false">IF(S554=1,IF(U554&lt;0,"",U554),IF(Y554=1,X554,""))</f>
        <v/>
      </c>
      <c r="O554" s="59" t="str">
        <f aca="false">IF(S554=1,IF(ISNUMBER(I554),I554-G554,""),"")</f>
        <v/>
      </c>
      <c r="P554" s="59" t="str">
        <f aca="false">IF(T554=1,IF(ISNUMBER(L554),L554-G554,""),"")</f>
        <v/>
      </c>
      <c r="Q554" s="60" t="str">
        <f aca="false">IF(C554="","",IF(T554=1,"✔ SOLD / VENDIDO",IF(S554=0,"— CLOSED / CERRADO",IF(U554&lt;0,"⚠ ADD DATE / AGREGA FECHA",IF(U554&gt;=Settings!$C$8,"⚠ STALE – REPRICE / ESTANCADO",IF(U554&gt;=Settings!$C$7,"● WATCH / VIGILAR","✔ FRESH / RECIENTE"))))))</f>
        <v/>
      </c>
      <c r="S554" s="53" t="n">
        <f aca="false">IF(C554="",0,IF(OR(J554="",J554="In Stock / En Inventario",J554="Listed / Publicado"),1,0))</f>
        <v>0</v>
      </c>
      <c r="T554" s="53" t="n">
        <f aca="false">IF(C554="",0,IF(J554="Sold / Vendido",1,0))</f>
        <v>0</v>
      </c>
      <c r="U554" s="53" t="n">
        <f aca="true">IF(S554=1,IF(ISNUMBER(F554),TODAY()-F554,-1),-1)</f>
        <v>-1</v>
      </c>
      <c r="V554" s="53" t="n">
        <f aca="false">IF(U554&lt;0,IF(S554=1,5,0),IF(U554&lt;=30,1,IF(U554&lt;=60,2,IF(U554&lt;=90,3,4))))</f>
        <v>0</v>
      </c>
      <c r="W554" s="53" t="n">
        <f aca="false">IF(U554&lt;0,-1000000000000000,U554+ROW()/1000000)</f>
        <v>-1000000000000000</v>
      </c>
      <c r="X554" s="53" t="n">
        <f aca="false">IF(T554=1,IF(AND(ISNUMBER(F554),ISNUMBER(K554)),K554-F554,0),0)</f>
        <v>0</v>
      </c>
      <c r="Y554" s="53" t="n">
        <f aca="false">IF(T554=1,IF(AND(ISNUMBER(F554),ISNUMBER(K554)),1,0),0)</f>
        <v>0</v>
      </c>
      <c r="Z554" s="53" t="n">
        <f aca="false">IF(U554&gt;=Settings!$C$8,1,0)</f>
        <v>0</v>
      </c>
      <c r="AA554" s="53" t="n">
        <f aca="false">IF(S554=1,IF(J554="Listed / Publicado",0,1),0)</f>
        <v>0</v>
      </c>
      <c r="AB554" s="53" t="n">
        <f aca="false">IF(T554=1,IF(ISNUMBER(L554),L554-G554,0),0)</f>
        <v>0</v>
      </c>
      <c r="AC554" s="53" t="n">
        <f aca="false">IF(S554=1,IF(ISNUMBER(I554),I554-G554,0),0)</f>
        <v>0</v>
      </c>
    </row>
    <row r="555" customFormat="false" ht="15" hidden="false" customHeight="false" outlineLevel="0" collapsed="false">
      <c r="B555" s="54"/>
      <c r="C555" s="55"/>
      <c r="D555" s="55"/>
      <c r="E555" s="55"/>
      <c r="F555" s="56"/>
      <c r="G555" s="57"/>
      <c r="H555" s="55"/>
      <c r="I555" s="57"/>
      <c r="J555" s="54"/>
      <c r="K555" s="56"/>
      <c r="L555" s="57"/>
      <c r="M555" s="54"/>
      <c r="N555" s="58" t="str">
        <f aca="false">IF(S555=1,IF(U555&lt;0,"",U555),IF(Y555=1,X555,""))</f>
        <v/>
      </c>
      <c r="O555" s="59" t="str">
        <f aca="false">IF(S555=1,IF(ISNUMBER(I555),I555-G555,""),"")</f>
        <v/>
      </c>
      <c r="P555" s="59" t="str">
        <f aca="false">IF(T555=1,IF(ISNUMBER(L555),L555-G555,""),"")</f>
        <v/>
      </c>
      <c r="Q555" s="60" t="str">
        <f aca="false">IF(C555="","",IF(T555=1,"✔ SOLD / VENDIDO",IF(S555=0,"— CLOSED / CERRADO",IF(U555&lt;0,"⚠ ADD DATE / AGREGA FECHA",IF(U555&gt;=Settings!$C$8,"⚠ STALE – REPRICE / ESTANCADO",IF(U555&gt;=Settings!$C$7,"● WATCH / VIGILAR","✔ FRESH / RECIENTE"))))))</f>
        <v/>
      </c>
      <c r="S555" s="53" t="n">
        <f aca="false">IF(C555="",0,IF(OR(J555="",J555="In Stock / En Inventario",J555="Listed / Publicado"),1,0))</f>
        <v>0</v>
      </c>
      <c r="T555" s="53" t="n">
        <f aca="false">IF(C555="",0,IF(J555="Sold / Vendido",1,0))</f>
        <v>0</v>
      </c>
      <c r="U555" s="53" t="n">
        <f aca="true">IF(S555=1,IF(ISNUMBER(F555),TODAY()-F555,-1),-1)</f>
        <v>-1</v>
      </c>
      <c r="V555" s="53" t="n">
        <f aca="false">IF(U555&lt;0,IF(S555=1,5,0),IF(U555&lt;=30,1,IF(U555&lt;=60,2,IF(U555&lt;=90,3,4))))</f>
        <v>0</v>
      </c>
      <c r="W555" s="53" t="n">
        <f aca="false">IF(U555&lt;0,-1000000000000000,U555+ROW()/1000000)</f>
        <v>-1000000000000000</v>
      </c>
      <c r="X555" s="53" t="n">
        <f aca="false">IF(T555=1,IF(AND(ISNUMBER(F555),ISNUMBER(K555)),K555-F555,0),0)</f>
        <v>0</v>
      </c>
      <c r="Y555" s="53" t="n">
        <f aca="false">IF(T555=1,IF(AND(ISNUMBER(F555),ISNUMBER(K555)),1,0),0)</f>
        <v>0</v>
      </c>
      <c r="Z555" s="53" t="n">
        <f aca="false">IF(U555&gt;=Settings!$C$8,1,0)</f>
        <v>0</v>
      </c>
      <c r="AA555" s="53" t="n">
        <f aca="false">IF(S555=1,IF(J555="Listed / Publicado",0,1),0)</f>
        <v>0</v>
      </c>
      <c r="AB555" s="53" t="n">
        <f aca="false">IF(T555=1,IF(ISNUMBER(L555),L555-G555,0),0)</f>
        <v>0</v>
      </c>
      <c r="AC555" s="53" t="n">
        <f aca="false">IF(S555=1,IF(ISNUMBER(I555),I555-G555,0),0)</f>
        <v>0</v>
      </c>
    </row>
    <row r="556" customFormat="false" ht="15" hidden="false" customHeight="false" outlineLevel="0" collapsed="false">
      <c r="B556" s="54"/>
      <c r="C556" s="55"/>
      <c r="D556" s="55"/>
      <c r="E556" s="55"/>
      <c r="F556" s="56"/>
      <c r="G556" s="57"/>
      <c r="H556" s="55"/>
      <c r="I556" s="57"/>
      <c r="J556" s="54"/>
      <c r="K556" s="56"/>
      <c r="L556" s="57"/>
      <c r="M556" s="54"/>
      <c r="N556" s="58" t="str">
        <f aca="false">IF(S556=1,IF(U556&lt;0,"",U556),IF(Y556=1,X556,""))</f>
        <v/>
      </c>
      <c r="O556" s="59" t="str">
        <f aca="false">IF(S556=1,IF(ISNUMBER(I556),I556-G556,""),"")</f>
        <v/>
      </c>
      <c r="P556" s="59" t="str">
        <f aca="false">IF(T556=1,IF(ISNUMBER(L556),L556-G556,""),"")</f>
        <v/>
      </c>
      <c r="Q556" s="60" t="str">
        <f aca="false">IF(C556="","",IF(T556=1,"✔ SOLD / VENDIDO",IF(S556=0,"— CLOSED / CERRADO",IF(U556&lt;0,"⚠ ADD DATE / AGREGA FECHA",IF(U556&gt;=Settings!$C$8,"⚠ STALE – REPRICE / ESTANCADO",IF(U556&gt;=Settings!$C$7,"● WATCH / VIGILAR","✔ FRESH / RECIENTE"))))))</f>
        <v/>
      </c>
      <c r="S556" s="53" t="n">
        <f aca="false">IF(C556="",0,IF(OR(J556="",J556="In Stock / En Inventario",J556="Listed / Publicado"),1,0))</f>
        <v>0</v>
      </c>
      <c r="T556" s="53" t="n">
        <f aca="false">IF(C556="",0,IF(J556="Sold / Vendido",1,0))</f>
        <v>0</v>
      </c>
      <c r="U556" s="53" t="n">
        <f aca="true">IF(S556=1,IF(ISNUMBER(F556),TODAY()-F556,-1),-1)</f>
        <v>-1</v>
      </c>
      <c r="V556" s="53" t="n">
        <f aca="false">IF(U556&lt;0,IF(S556=1,5,0),IF(U556&lt;=30,1,IF(U556&lt;=60,2,IF(U556&lt;=90,3,4))))</f>
        <v>0</v>
      </c>
      <c r="W556" s="53" t="n">
        <f aca="false">IF(U556&lt;0,-1000000000000000,U556+ROW()/1000000)</f>
        <v>-1000000000000000</v>
      </c>
      <c r="X556" s="53" t="n">
        <f aca="false">IF(T556=1,IF(AND(ISNUMBER(F556),ISNUMBER(K556)),K556-F556,0),0)</f>
        <v>0</v>
      </c>
      <c r="Y556" s="53" t="n">
        <f aca="false">IF(T556=1,IF(AND(ISNUMBER(F556),ISNUMBER(K556)),1,0),0)</f>
        <v>0</v>
      </c>
      <c r="Z556" s="53" t="n">
        <f aca="false">IF(U556&gt;=Settings!$C$8,1,0)</f>
        <v>0</v>
      </c>
      <c r="AA556" s="53" t="n">
        <f aca="false">IF(S556=1,IF(J556="Listed / Publicado",0,1),0)</f>
        <v>0</v>
      </c>
      <c r="AB556" s="53" t="n">
        <f aca="false">IF(T556=1,IF(ISNUMBER(L556),L556-G556,0),0)</f>
        <v>0</v>
      </c>
      <c r="AC556" s="53" t="n">
        <f aca="false">IF(S556=1,IF(ISNUMBER(I556),I556-G556,0),0)</f>
        <v>0</v>
      </c>
    </row>
    <row r="557" customFormat="false" ht="15" hidden="false" customHeight="false" outlineLevel="0" collapsed="false">
      <c r="B557" s="54"/>
      <c r="C557" s="55"/>
      <c r="D557" s="55"/>
      <c r="E557" s="55"/>
      <c r="F557" s="56"/>
      <c r="G557" s="57"/>
      <c r="H557" s="55"/>
      <c r="I557" s="57"/>
      <c r="J557" s="54"/>
      <c r="K557" s="56"/>
      <c r="L557" s="57"/>
      <c r="M557" s="54"/>
      <c r="N557" s="58" t="str">
        <f aca="false">IF(S557=1,IF(U557&lt;0,"",U557),IF(Y557=1,X557,""))</f>
        <v/>
      </c>
      <c r="O557" s="59" t="str">
        <f aca="false">IF(S557=1,IF(ISNUMBER(I557),I557-G557,""),"")</f>
        <v/>
      </c>
      <c r="P557" s="59" t="str">
        <f aca="false">IF(T557=1,IF(ISNUMBER(L557),L557-G557,""),"")</f>
        <v/>
      </c>
      <c r="Q557" s="60" t="str">
        <f aca="false">IF(C557="","",IF(T557=1,"✔ SOLD / VENDIDO",IF(S557=0,"— CLOSED / CERRADO",IF(U557&lt;0,"⚠ ADD DATE / AGREGA FECHA",IF(U557&gt;=Settings!$C$8,"⚠ STALE – REPRICE / ESTANCADO",IF(U557&gt;=Settings!$C$7,"● WATCH / VIGILAR","✔ FRESH / RECIENTE"))))))</f>
        <v/>
      </c>
      <c r="S557" s="53" t="n">
        <f aca="false">IF(C557="",0,IF(OR(J557="",J557="In Stock / En Inventario",J557="Listed / Publicado"),1,0))</f>
        <v>0</v>
      </c>
      <c r="T557" s="53" t="n">
        <f aca="false">IF(C557="",0,IF(J557="Sold / Vendido",1,0))</f>
        <v>0</v>
      </c>
      <c r="U557" s="53" t="n">
        <f aca="true">IF(S557=1,IF(ISNUMBER(F557),TODAY()-F557,-1),-1)</f>
        <v>-1</v>
      </c>
      <c r="V557" s="53" t="n">
        <f aca="false">IF(U557&lt;0,IF(S557=1,5,0),IF(U557&lt;=30,1,IF(U557&lt;=60,2,IF(U557&lt;=90,3,4))))</f>
        <v>0</v>
      </c>
      <c r="W557" s="53" t="n">
        <f aca="false">IF(U557&lt;0,-1000000000000000,U557+ROW()/1000000)</f>
        <v>-1000000000000000</v>
      </c>
      <c r="X557" s="53" t="n">
        <f aca="false">IF(T557=1,IF(AND(ISNUMBER(F557),ISNUMBER(K557)),K557-F557,0),0)</f>
        <v>0</v>
      </c>
      <c r="Y557" s="53" t="n">
        <f aca="false">IF(T557=1,IF(AND(ISNUMBER(F557),ISNUMBER(K557)),1,0),0)</f>
        <v>0</v>
      </c>
      <c r="Z557" s="53" t="n">
        <f aca="false">IF(U557&gt;=Settings!$C$8,1,0)</f>
        <v>0</v>
      </c>
      <c r="AA557" s="53" t="n">
        <f aca="false">IF(S557=1,IF(J557="Listed / Publicado",0,1),0)</f>
        <v>0</v>
      </c>
      <c r="AB557" s="53" t="n">
        <f aca="false">IF(T557=1,IF(ISNUMBER(L557),L557-G557,0),0)</f>
        <v>0</v>
      </c>
      <c r="AC557" s="53" t="n">
        <f aca="false">IF(S557=1,IF(ISNUMBER(I557),I557-G557,0),0)</f>
        <v>0</v>
      </c>
    </row>
    <row r="558" customFormat="false" ht="15" hidden="false" customHeight="false" outlineLevel="0" collapsed="false">
      <c r="B558" s="54"/>
      <c r="C558" s="55"/>
      <c r="D558" s="55"/>
      <c r="E558" s="55"/>
      <c r="F558" s="56"/>
      <c r="G558" s="57"/>
      <c r="H558" s="55"/>
      <c r="I558" s="57"/>
      <c r="J558" s="54"/>
      <c r="K558" s="56"/>
      <c r="L558" s="57"/>
      <c r="M558" s="54"/>
      <c r="N558" s="58" t="str">
        <f aca="false">IF(S558=1,IF(U558&lt;0,"",U558),IF(Y558=1,X558,""))</f>
        <v/>
      </c>
      <c r="O558" s="59" t="str">
        <f aca="false">IF(S558=1,IF(ISNUMBER(I558),I558-G558,""),"")</f>
        <v/>
      </c>
      <c r="P558" s="59" t="str">
        <f aca="false">IF(T558=1,IF(ISNUMBER(L558),L558-G558,""),"")</f>
        <v/>
      </c>
      <c r="Q558" s="60" t="str">
        <f aca="false">IF(C558="","",IF(T558=1,"✔ SOLD / VENDIDO",IF(S558=0,"— CLOSED / CERRADO",IF(U558&lt;0,"⚠ ADD DATE / AGREGA FECHA",IF(U558&gt;=Settings!$C$8,"⚠ STALE – REPRICE / ESTANCADO",IF(U558&gt;=Settings!$C$7,"● WATCH / VIGILAR","✔ FRESH / RECIENTE"))))))</f>
        <v/>
      </c>
      <c r="S558" s="53" t="n">
        <f aca="false">IF(C558="",0,IF(OR(J558="",J558="In Stock / En Inventario",J558="Listed / Publicado"),1,0))</f>
        <v>0</v>
      </c>
      <c r="T558" s="53" t="n">
        <f aca="false">IF(C558="",0,IF(J558="Sold / Vendido",1,0))</f>
        <v>0</v>
      </c>
      <c r="U558" s="53" t="n">
        <f aca="true">IF(S558=1,IF(ISNUMBER(F558),TODAY()-F558,-1),-1)</f>
        <v>-1</v>
      </c>
      <c r="V558" s="53" t="n">
        <f aca="false">IF(U558&lt;0,IF(S558=1,5,0),IF(U558&lt;=30,1,IF(U558&lt;=60,2,IF(U558&lt;=90,3,4))))</f>
        <v>0</v>
      </c>
      <c r="W558" s="53" t="n">
        <f aca="false">IF(U558&lt;0,-1000000000000000,U558+ROW()/1000000)</f>
        <v>-1000000000000000</v>
      </c>
      <c r="X558" s="53" t="n">
        <f aca="false">IF(T558=1,IF(AND(ISNUMBER(F558),ISNUMBER(K558)),K558-F558,0),0)</f>
        <v>0</v>
      </c>
      <c r="Y558" s="53" t="n">
        <f aca="false">IF(T558=1,IF(AND(ISNUMBER(F558),ISNUMBER(K558)),1,0),0)</f>
        <v>0</v>
      </c>
      <c r="Z558" s="53" t="n">
        <f aca="false">IF(U558&gt;=Settings!$C$8,1,0)</f>
        <v>0</v>
      </c>
      <c r="AA558" s="53" t="n">
        <f aca="false">IF(S558=1,IF(J558="Listed / Publicado",0,1),0)</f>
        <v>0</v>
      </c>
      <c r="AB558" s="53" t="n">
        <f aca="false">IF(T558=1,IF(ISNUMBER(L558),L558-G558,0),0)</f>
        <v>0</v>
      </c>
      <c r="AC558" s="53" t="n">
        <f aca="false">IF(S558=1,IF(ISNUMBER(I558),I558-G558,0),0)</f>
        <v>0</v>
      </c>
    </row>
    <row r="559" customFormat="false" ht="15" hidden="false" customHeight="false" outlineLevel="0" collapsed="false">
      <c r="B559" s="54"/>
      <c r="C559" s="55"/>
      <c r="D559" s="55"/>
      <c r="E559" s="55"/>
      <c r="F559" s="56"/>
      <c r="G559" s="57"/>
      <c r="H559" s="55"/>
      <c r="I559" s="57"/>
      <c r="J559" s="54"/>
      <c r="K559" s="56"/>
      <c r="L559" s="57"/>
      <c r="M559" s="54"/>
      <c r="N559" s="58" t="str">
        <f aca="false">IF(S559=1,IF(U559&lt;0,"",U559),IF(Y559=1,X559,""))</f>
        <v/>
      </c>
      <c r="O559" s="59" t="str">
        <f aca="false">IF(S559=1,IF(ISNUMBER(I559),I559-G559,""),"")</f>
        <v/>
      </c>
      <c r="P559" s="59" t="str">
        <f aca="false">IF(T559=1,IF(ISNUMBER(L559),L559-G559,""),"")</f>
        <v/>
      </c>
      <c r="Q559" s="60" t="str">
        <f aca="false">IF(C559="","",IF(T559=1,"✔ SOLD / VENDIDO",IF(S559=0,"— CLOSED / CERRADO",IF(U559&lt;0,"⚠ ADD DATE / AGREGA FECHA",IF(U559&gt;=Settings!$C$8,"⚠ STALE – REPRICE / ESTANCADO",IF(U559&gt;=Settings!$C$7,"● WATCH / VIGILAR","✔ FRESH / RECIENTE"))))))</f>
        <v/>
      </c>
      <c r="S559" s="53" t="n">
        <f aca="false">IF(C559="",0,IF(OR(J559="",J559="In Stock / En Inventario",J559="Listed / Publicado"),1,0))</f>
        <v>0</v>
      </c>
      <c r="T559" s="53" t="n">
        <f aca="false">IF(C559="",0,IF(J559="Sold / Vendido",1,0))</f>
        <v>0</v>
      </c>
      <c r="U559" s="53" t="n">
        <f aca="true">IF(S559=1,IF(ISNUMBER(F559),TODAY()-F559,-1),-1)</f>
        <v>-1</v>
      </c>
      <c r="V559" s="53" t="n">
        <f aca="false">IF(U559&lt;0,IF(S559=1,5,0),IF(U559&lt;=30,1,IF(U559&lt;=60,2,IF(U559&lt;=90,3,4))))</f>
        <v>0</v>
      </c>
      <c r="W559" s="53" t="n">
        <f aca="false">IF(U559&lt;0,-1000000000000000,U559+ROW()/1000000)</f>
        <v>-1000000000000000</v>
      </c>
      <c r="X559" s="53" t="n">
        <f aca="false">IF(T559=1,IF(AND(ISNUMBER(F559),ISNUMBER(K559)),K559-F559,0),0)</f>
        <v>0</v>
      </c>
      <c r="Y559" s="53" t="n">
        <f aca="false">IF(T559=1,IF(AND(ISNUMBER(F559),ISNUMBER(K559)),1,0),0)</f>
        <v>0</v>
      </c>
      <c r="Z559" s="53" t="n">
        <f aca="false">IF(U559&gt;=Settings!$C$8,1,0)</f>
        <v>0</v>
      </c>
      <c r="AA559" s="53" t="n">
        <f aca="false">IF(S559=1,IF(J559="Listed / Publicado",0,1),0)</f>
        <v>0</v>
      </c>
      <c r="AB559" s="53" t="n">
        <f aca="false">IF(T559=1,IF(ISNUMBER(L559),L559-G559,0),0)</f>
        <v>0</v>
      </c>
      <c r="AC559" s="53" t="n">
        <f aca="false">IF(S559=1,IF(ISNUMBER(I559),I559-G559,0),0)</f>
        <v>0</v>
      </c>
    </row>
    <row r="560" customFormat="false" ht="15" hidden="false" customHeight="false" outlineLevel="0" collapsed="false">
      <c r="B560" s="54"/>
      <c r="C560" s="55"/>
      <c r="D560" s="55"/>
      <c r="E560" s="55"/>
      <c r="F560" s="56"/>
      <c r="G560" s="57"/>
      <c r="H560" s="55"/>
      <c r="I560" s="57"/>
      <c r="J560" s="54"/>
      <c r="K560" s="56"/>
      <c r="L560" s="57"/>
      <c r="M560" s="54"/>
      <c r="N560" s="58" t="str">
        <f aca="false">IF(S560=1,IF(U560&lt;0,"",U560),IF(Y560=1,X560,""))</f>
        <v/>
      </c>
      <c r="O560" s="59" t="str">
        <f aca="false">IF(S560=1,IF(ISNUMBER(I560),I560-G560,""),"")</f>
        <v/>
      </c>
      <c r="P560" s="59" t="str">
        <f aca="false">IF(T560=1,IF(ISNUMBER(L560),L560-G560,""),"")</f>
        <v/>
      </c>
      <c r="Q560" s="60" t="str">
        <f aca="false">IF(C560="","",IF(T560=1,"✔ SOLD / VENDIDO",IF(S560=0,"— CLOSED / CERRADO",IF(U560&lt;0,"⚠ ADD DATE / AGREGA FECHA",IF(U560&gt;=Settings!$C$8,"⚠ STALE – REPRICE / ESTANCADO",IF(U560&gt;=Settings!$C$7,"● WATCH / VIGILAR","✔ FRESH / RECIENTE"))))))</f>
        <v/>
      </c>
      <c r="S560" s="53" t="n">
        <f aca="false">IF(C560="",0,IF(OR(J560="",J560="In Stock / En Inventario",J560="Listed / Publicado"),1,0))</f>
        <v>0</v>
      </c>
      <c r="T560" s="53" t="n">
        <f aca="false">IF(C560="",0,IF(J560="Sold / Vendido",1,0))</f>
        <v>0</v>
      </c>
      <c r="U560" s="53" t="n">
        <f aca="true">IF(S560=1,IF(ISNUMBER(F560),TODAY()-F560,-1),-1)</f>
        <v>-1</v>
      </c>
      <c r="V560" s="53" t="n">
        <f aca="false">IF(U560&lt;0,IF(S560=1,5,0),IF(U560&lt;=30,1,IF(U560&lt;=60,2,IF(U560&lt;=90,3,4))))</f>
        <v>0</v>
      </c>
      <c r="W560" s="53" t="n">
        <f aca="false">IF(U560&lt;0,-1000000000000000,U560+ROW()/1000000)</f>
        <v>-1000000000000000</v>
      </c>
      <c r="X560" s="53" t="n">
        <f aca="false">IF(T560=1,IF(AND(ISNUMBER(F560),ISNUMBER(K560)),K560-F560,0),0)</f>
        <v>0</v>
      </c>
      <c r="Y560" s="53" t="n">
        <f aca="false">IF(T560=1,IF(AND(ISNUMBER(F560),ISNUMBER(K560)),1,0),0)</f>
        <v>0</v>
      </c>
      <c r="Z560" s="53" t="n">
        <f aca="false">IF(U560&gt;=Settings!$C$8,1,0)</f>
        <v>0</v>
      </c>
      <c r="AA560" s="53" t="n">
        <f aca="false">IF(S560=1,IF(J560="Listed / Publicado",0,1),0)</f>
        <v>0</v>
      </c>
      <c r="AB560" s="53" t="n">
        <f aca="false">IF(T560=1,IF(ISNUMBER(L560),L560-G560,0),0)</f>
        <v>0</v>
      </c>
      <c r="AC560" s="53" t="n">
        <f aca="false">IF(S560=1,IF(ISNUMBER(I560),I560-G560,0),0)</f>
        <v>0</v>
      </c>
    </row>
    <row r="561" customFormat="false" ht="15" hidden="false" customHeight="false" outlineLevel="0" collapsed="false">
      <c r="B561" s="54"/>
      <c r="C561" s="55"/>
      <c r="D561" s="55"/>
      <c r="E561" s="55"/>
      <c r="F561" s="56"/>
      <c r="G561" s="57"/>
      <c r="H561" s="55"/>
      <c r="I561" s="57"/>
      <c r="J561" s="54"/>
      <c r="K561" s="56"/>
      <c r="L561" s="57"/>
      <c r="M561" s="54"/>
      <c r="N561" s="58" t="str">
        <f aca="false">IF(S561=1,IF(U561&lt;0,"",U561),IF(Y561=1,X561,""))</f>
        <v/>
      </c>
      <c r="O561" s="59" t="str">
        <f aca="false">IF(S561=1,IF(ISNUMBER(I561),I561-G561,""),"")</f>
        <v/>
      </c>
      <c r="P561" s="59" t="str">
        <f aca="false">IF(T561=1,IF(ISNUMBER(L561),L561-G561,""),"")</f>
        <v/>
      </c>
      <c r="Q561" s="60" t="str">
        <f aca="false">IF(C561="","",IF(T561=1,"✔ SOLD / VENDIDO",IF(S561=0,"— CLOSED / CERRADO",IF(U561&lt;0,"⚠ ADD DATE / AGREGA FECHA",IF(U561&gt;=Settings!$C$8,"⚠ STALE – REPRICE / ESTANCADO",IF(U561&gt;=Settings!$C$7,"● WATCH / VIGILAR","✔ FRESH / RECIENTE"))))))</f>
        <v/>
      </c>
      <c r="S561" s="53" t="n">
        <f aca="false">IF(C561="",0,IF(OR(J561="",J561="In Stock / En Inventario",J561="Listed / Publicado"),1,0))</f>
        <v>0</v>
      </c>
      <c r="T561" s="53" t="n">
        <f aca="false">IF(C561="",0,IF(J561="Sold / Vendido",1,0))</f>
        <v>0</v>
      </c>
      <c r="U561" s="53" t="n">
        <f aca="true">IF(S561=1,IF(ISNUMBER(F561),TODAY()-F561,-1),-1)</f>
        <v>-1</v>
      </c>
      <c r="V561" s="53" t="n">
        <f aca="false">IF(U561&lt;0,IF(S561=1,5,0),IF(U561&lt;=30,1,IF(U561&lt;=60,2,IF(U561&lt;=90,3,4))))</f>
        <v>0</v>
      </c>
      <c r="W561" s="53" t="n">
        <f aca="false">IF(U561&lt;0,-1000000000000000,U561+ROW()/1000000)</f>
        <v>-1000000000000000</v>
      </c>
      <c r="X561" s="53" t="n">
        <f aca="false">IF(T561=1,IF(AND(ISNUMBER(F561),ISNUMBER(K561)),K561-F561,0),0)</f>
        <v>0</v>
      </c>
      <c r="Y561" s="53" t="n">
        <f aca="false">IF(T561=1,IF(AND(ISNUMBER(F561),ISNUMBER(K561)),1,0),0)</f>
        <v>0</v>
      </c>
      <c r="Z561" s="53" t="n">
        <f aca="false">IF(U561&gt;=Settings!$C$8,1,0)</f>
        <v>0</v>
      </c>
      <c r="AA561" s="53" t="n">
        <f aca="false">IF(S561=1,IF(J561="Listed / Publicado",0,1),0)</f>
        <v>0</v>
      </c>
      <c r="AB561" s="53" t="n">
        <f aca="false">IF(T561=1,IF(ISNUMBER(L561),L561-G561,0),0)</f>
        <v>0</v>
      </c>
      <c r="AC561" s="53" t="n">
        <f aca="false">IF(S561=1,IF(ISNUMBER(I561),I561-G561,0),0)</f>
        <v>0</v>
      </c>
    </row>
    <row r="562" customFormat="false" ht="15" hidden="false" customHeight="false" outlineLevel="0" collapsed="false">
      <c r="B562" s="54"/>
      <c r="C562" s="55"/>
      <c r="D562" s="55"/>
      <c r="E562" s="55"/>
      <c r="F562" s="56"/>
      <c r="G562" s="57"/>
      <c r="H562" s="55"/>
      <c r="I562" s="57"/>
      <c r="J562" s="54"/>
      <c r="K562" s="56"/>
      <c r="L562" s="57"/>
      <c r="M562" s="54"/>
      <c r="N562" s="58" t="str">
        <f aca="false">IF(S562=1,IF(U562&lt;0,"",U562),IF(Y562=1,X562,""))</f>
        <v/>
      </c>
      <c r="O562" s="59" t="str">
        <f aca="false">IF(S562=1,IF(ISNUMBER(I562),I562-G562,""),"")</f>
        <v/>
      </c>
      <c r="P562" s="59" t="str">
        <f aca="false">IF(T562=1,IF(ISNUMBER(L562),L562-G562,""),"")</f>
        <v/>
      </c>
      <c r="Q562" s="60" t="str">
        <f aca="false">IF(C562="","",IF(T562=1,"✔ SOLD / VENDIDO",IF(S562=0,"— CLOSED / CERRADO",IF(U562&lt;0,"⚠ ADD DATE / AGREGA FECHA",IF(U562&gt;=Settings!$C$8,"⚠ STALE – REPRICE / ESTANCADO",IF(U562&gt;=Settings!$C$7,"● WATCH / VIGILAR","✔ FRESH / RECIENTE"))))))</f>
        <v/>
      </c>
      <c r="S562" s="53" t="n">
        <f aca="false">IF(C562="",0,IF(OR(J562="",J562="In Stock / En Inventario",J562="Listed / Publicado"),1,0))</f>
        <v>0</v>
      </c>
      <c r="T562" s="53" t="n">
        <f aca="false">IF(C562="",0,IF(J562="Sold / Vendido",1,0))</f>
        <v>0</v>
      </c>
      <c r="U562" s="53" t="n">
        <f aca="true">IF(S562=1,IF(ISNUMBER(F562),TODAY()-F562,-1),-1)</f>
        <v>-1</v>
      </c>
      <c r="V562" s="53" t="n">
        <f aca="false">IF(U562&lt;0,IF(S562=1,5,0),IF(U562&lt;=30,1,IF(U562&lt;=60,2,IF(U562&lt;=90,3,4))))</f>
        <v>0</v>
      </c>
      <c r="W562" s="53" t="n">
        <f aca="false">IF(U562&lt;0,-1000000000000000,U562+ROW()/1000000)</f>
        <v>-1000000000000000</v>
      </c>
      <c r="X562" s="53" t="n">
        <f aca="false">IF(T562=1,IF(AND(ISNUMBER(F562),ISNUMBER(K562)),K562-F562,0),0)</f>
        <v>0</v>
      </c>
      <c r="Y562" s="53" t="n">
        <f aca="false">IF(T562=1,IF(AND(ISNUMBER(F562),ISNUMBER(K562)),1,0),0)</f>
        <v>0</v>
      </c>
      <c r="Z562" s="53" t="n">
        <f aca="false">IF(U562&gt;=Settings!$C$8,1,0)</f>
        <v>0</v>
      </c>
      <c r="AA562" s="53" t="n">
        <f aca="false">IF(S562=1,IF(J562="Listed / Publicado",0,1),0)</f>
        <v>0</v>
      </c>
      <c r="AB562" s="53" t="n">
        <f aca="false">IF(T562=1,IF(ISNUMBER(L562),L562-G562,0),0)</f>
        <v>0</v>
      </c>
      <c r="AC562" s="53" t="n">
        <f aca="false">IF(S562=1,IF(ISNUMBER(I562),I562-G562,0),0)</f>
        <v>0</v>
      </c>
    </row>
    <row r="563" customFormat="false" ht="15" hidden="false" customHeight="false" outlineLevel="0" collapsed="false">
      <c r="B563" s="54"/>
      <c r="C563" s="55"/>
      <c r="D563" s="55"/>
      <c r="E563" s="55"/>
      <c r="F563" s="56"/>
      <c r="G563" s="57"/>
      <c r="H563" s="55"/>
      <c r="I563" s="57"/>
      <c r="J563" s="54"/>
      <c r="K563" s="56"/>
      <c r="L563" s="57"/>
      <c r="M563" s="54"/>
      <c r="N563" s="58" t="str">
        <f aca="false">IF(S563=1,IF(U563&lt;0,"",U563),IF(Y563=1,X563,""))</f>
        <v/>
      </c>
      <c r="O563" s="59" t="str">
        <f aca="false">IF(S563=1,IF(ISNUMBER(I563),I563-G563,""),"")</f>
        <v/>
      </c>
      <c r="P563" s="59" t="str">
        <f aca="false">IF(T563=1,IF(ISNUMBER(L563),L563-G563,""),"")</f>
        <v/>
      </c>
      <c r="Q563" s="60" t="str">
        <f aca="false">IF(C563="","",IF(T563=1,"✔ SOLD / VENDIDO",IF(S563=0,"— CLOSED / CERRADO",IF(U563&lt;0,"⚠ ADD DATE / AGREGA FECHA",IF(U563&gt;=Settings!$C$8,"⚠ STALE – REPRICE / ESTANCADO",IF(U563&gt;=Settings!$C$7,"● WATCH / VIGILAR","✔ FRESH / RECIENTE"))))))</f>
        <v/>
      </c>
      <c r="S563" s="53" t="n">
        <f aca="false">IF(C563="",0,IF(OR(J563="",J563="In Stock / En Inventario",J563="Listed / Publicado"),1,0))</f>
        <v>0</v>
      </c>
      <c r="T563" s="53" t="n">
        <f aca="false">IF(C563="",0,IF(J563="Sold / Vendido",1,0))</f>
        <v>0</v>
      </c>
      <c r="U563" s="53" t="n">
        <f aca="true">IF(S563=1,IF(ISNUMBER(F563),TODAY()-F563,-1),-1)</f>
        <v>-1</v>
      </c>
      <c r="V563" s="53" t="n">
        <f aca="false">IF(U563&lt;0,IF(S563=1,5,0),IF(U563&lt;=30,1,IF(U563&lt;=60,2,IF(U563&lt;=90,3,4))))</f>
        <v>0</v>
      </c>
      <c r="W563" s="53" t="n">
        <f aca="false">IF(U563&lt;0,-1000000000000000,U563+ROW()/1000000)</f>
        <v>-1000000000000000</v>
      </c>
      <c r="X563" s="53" t="n">
        <f aca="false">IF(T563=1,IF(AND(ISNUMBER(F563),ISNUMBER(K563)),K563-F563,0),0)</f>
        <v>0</v>
      </c>
      <c r="Y563" s="53" t="n">
        <f aca="false">IF(T563=1,IF(AND(ISNUMBER(F563),ISNUMBER(K563)),1,0),0)</f>
        <v>0</v>
      </c>
      <c r="Z563" s="53" t="n">
        <f aca="false">IF(U563&gt;=Settings!$C$8,1,0)</f>
        <v>0</v>
      </c>
      <c r="AA563" s="53" t="n">
        <f aca="false">IF(S563=1,IF(J563="Listed / Publicado",0,1),0)</f>
        <v>0</v>
      </c>
      <c r="AB563" s="53" t="n">
        <f aca="false">IF(T563=1,IF(ISNUMBER(L563),L563-G563,0),0)</f>
        <v>0</v>
      </c>
      <c r="AC563" s="53" t="n">
        <f aca="false">IF(S563=1,IF(ISNUMBER(I563),I563-G563,0),0)</f>
        <v>0</v>
      </c>
    </row>
    <row r="564" customFormat="false" ht="15" hidden="false" customHeight="false" outlineLevel="0" collapsed="false">
      <c r="B564" s="54"/>
      <c r="C564" s="55"/>
      <c r="D564" s="55"/>
      <c r="E564" s="55"/>
      <c r="F564" s="56"/>
      <c r="G564" s="57"/>
      <c r="H564" s="55"/>
      <c r="I564" s="57"/>
      <c r="J564" s="54"/>
      <c r="K564" s="56"/>
      <c r="L564" s="57"/>
      <c r="M564" s="54"/>
      <c r="N564" s="58" t="str">
        <f aca="false">IF(S564=1,IF(U564&lt;0,"",U564),IF(Y564=1,X564,""))</f>
        <v/>
      </c>
      <c r="O564" s="59" t="str">
        <f aca="false">IF(S564=1,IF(ISNUMBER(I564),I564-G564,""),"")</f>
        <v/>
      </c>
      <c r="P564" s="59" t="str">
        <f aca="false">IF(T564=1,IF(ISNUMBER(L564),L564-G564,""),"")</f>
        <v/>
      </c>
      <c r="Q564" s="60" t="str">
        <f aca="false">IF(C564="","",IF(T564=1,"✔ SOLD / VENDIDO",IF(S564=0,"— CLOSED / CERRADO",IF(U564&lt;0,"⚠ ADD DATE / AGREGA FECHA",IF(U564&gt;=Settings!$C$8,"⚠ STALE – REPRICE / ESTANCADO",IF(U564&gt;=Settings!$C$7,"● WATCH / VIGILAR","✔ FRESH / RECIENTE"))))))</f>
        <v/>
      </c>
      <c r="S564" s="53" t="n">
        <f aca="false">IF(C564="",0,IF(OR(J564="",J564="In Stock / En Inventario",J564="Listed / Publicado"),1,0))</f>
        <v>0</v>
      </c>
      <c r="T564" s="53" t="n">
        <f aca="false">IF(C564="",0,IF(J564="Sold / Vendido",1,0))</f>
        <v>0</v>
      </c>
      <c r="U564" s="53" t="n">
        <f aca="true">IF(S564=1,IF(ISNUMBER(F564),TODAY()-F564,-1),-1)</f>
        <v>-1</v>
      </c>
      <c r="V564" s="53" t="n">
        <f aca="false">IF(U564&lt;0,IF(S564=1,5,0),IF(U564&lt;=30,1,IF(U564&lt;=60,2,IF(U564&lt;=90,3,4))))</f>
        <v>0</v>
      </c>
      <c r="W564" s="53" t="n">
        <f aca="false">IF(U564&lt;0,-1000000000000000,U564+ROW()/1000000)</f>
        <v>-1000000000000000</v>
      </c>
      <c r="X564" s="53" t="n">
        <f aca="false">IF(T564=1,IF(AND(ISNUMBER(F564),ISNUMBER(K564)),K564-F564,0),0)</f>
        <v>0</v>
      </c>
      <c r="Y564" s="53" t="n">
        <f aca="false">IF(T564=1,IF(AND(ISNUMBER(F564),ISNUMBER(K564)),1,0),0)</f>
        <v>0</v>
      </c>
      <c r="Z564" s="53" t="n">
        <f aca="false">IF(U564&gt;=Settings!$C$8,1,0)</f>
        <v>0</v>
      </c>
      <c r="AA564" s="53" t="n">
        <f aca="false">IF(S564=1,IF(J564="Listed / Publicado",0,1),0)</f>
        <v>0</v>
      </c>
      <c r="AB564" s="53" t="n">
        <f aca="false">IF(T564=1,IF(ISNUMBER(L564),L564-G564,0),0)</f>
        <v>0</v>
      </c>
      <c r="AC564" s="53" t="n">
        <f aca="false">IF(S564=1,IF(ISNUMBER(I564),I564-G564,0),0)</f>
        <v>0</v>
      </c>
    </row>
    <row r="565" customFormat="false" ht="15" hidden="false" customHeight="false" outlineLevel="0" collapsed="false">
      <c r="B565" s="54"/>
      <c r="C565" s="55"/>
      <c r="D565" s="55"/>
      <c r="E565" s="55"/>
      <c r="F565" s="56"/>
      <c r="G565" s="57"/>
      <c r="H565" s="55"/>
      <c r="I565" s="57"/>
      <c r="J565" s="54"/>
      <c r="K565" s="56"/>
      <c r="L565" s="57"/>
      <c r="M565" s="54"/>
      <c r="N565" s="58" t="str">
        <f aca="false">IF(S565=1,IF(U565&lt;0,"",U565),IF(Y565=1,X565,""))</f>
        <v/>
      </c>
      <c r="O565" s="59" t="str">
        <f aca="false">IF(S565=1,IF(ISNUMBER(I565),I565-G565,""),"")</f>
        <v/>
      </c>
      <c r="P565" s="59" t="str">
        <f aca="false">IF(T565=1,IF(ISNUMBER(L565),L565-G565,""),"")</f>
        <v/>
      </c>
      <c r="Q565" s="60" t="str">
        <f aca="false">IF(C565="","",IF(T565=1,"✔ SOLD / VENDIDO",IF(S565=0,"— CLOSED / CERRADO",IF(U565&lt;0,"⚠ ADD DATE / AGREGA FECHA",IF(U565&gt;=Settings!$C$8,"⚠ STALE – REPRICE / ESTANCADO",IF(U565&gt;=Settings!$C$7,"● WATCH / VIGILAR","✔ FRESH / RECIENTE"))))))</f>
        <v/>
      </c>
      <c r="S565" s="53" t="n">
        <f aca="false">IF(C565="",0,IF(OR(J565="",J565="In Stock / En Inventario",J565="Listed / Publicado"),1,0))</f>
        <v>0</v>
      </c>
      <c r="T565" s="53" t="n">
        <f aca="false">IF(C565="",0,IF(J565="Sold / Vendido",1,0))</f>
        <v>0</v>
      </c>
      <c r="U565" s="53" t="n">
        <f aca="true">IF(S565=1,IF(ISNUMBER(F565),TODAY()-F565,-1),-1)</f>
        <v>-1</v>
      </c>
      <c r="V565" s="53" t="n">
        <f aca="false">IF(U565&lt;0,IF(S565=1,5,0),IF(U565&lt;=30,1,IF(U565&lt;=60,2,IF(U565&lt;=90,3,4))))</f>
        <v>0</v>
      </c>
      <c r="W565" s="53" t="n">
        <f aca="false">IF(U565&lt;0,-1000000000000000,U565+ROW()/1000000)</f>
        <v>-1000000000000000</v>
      </c>
      <c r="X565" s="53" t="n">
        <f aca="false">IF(T565=1,IF(AND(ISNUMBER(F565),ISNUMBER(K565)),K565-F565,0),0)</f>
        <v>0</v>
      </c>
      <c r="Y565" s="53" t="n">
        <f aca="false">IF(T565=1,IF(AND(ISNUMBER(F565),ISNUMBER(K565)),1,0),0)</f>
        <v>0</v>
      </c>
      <c r="Z565" s="53" t="n">
        <f aca="false">IF(U565&gt;=Settings!$C$8,1,0)</f>
        <v>0</v>
      </c>
      <c r="AA565" s="53" t="n">
        <f aca="false">IF(S565=1,IF(J565="Listed / Publicado",0,1),0)</f>
        <v>0</v>
      </c>
      <c r="AB565" s="53" t="n">
        <f aca="false">IF(T565=1,IF(ISNUMBER(L565),L565-G565,0),0)</f>
        <v>0</v>
      </c>
      <c r="AC565" s="53" t="n">
        <f aca="false">IF(S565=1,IF(ISNUMBER(I565),I565-G565,0),0)</f>
        <v>0</v>
      </c>
    </row>
    <row r="566" customFormat="false" ht="15" hidden="false" customHeight="false" outlineLevel="0" collapsed="false">
      <c r="B566" s="54"/>
      <c r="C566" s="55"/>
      <c r="D566" s="55"/>
      <c r="E566" s="55"/>
      <c r="F566" s="56"/>
      <c r="G566" s="57"/>
      <c r="H566" s="55"/>
      <c r="I566" s="57"/>
      <c r="J566" s="54"/>
      <c r="K566" s="56"/>
      <c r="L566" s="57"/>
      <c r="M566" s="54"/>
      <c r="N566" s="58" t="str">
        <f aca="false">IF(S566=1,IF(U566&lt;0,"",U566),IF(Y566=1,X566,""))</f>
        <v/>
      </c>
      <c r="O566" s="59" t="str">
        <f aca="false">IF(S566=1,IF(ISNUMBER(I566),I566-G566,""),"")</f>
        <v/>
      </c>
      <c r="P566" s="59" t="str">
        <f aca="false">IF(T566=1,IF(ISNUMBER(L566),L566-G566,""),"")</f>
        <v/>
      </c>
      <c r="Q566" s="60" t="str">
        <f aca="false">IF(C566="","",IF(T566=1,"✔ SOLD / VENDIDO",IF(S566=0,"— CLOSED / CERRADO",IF(U566&lt;0,"⚠ ADD DATE / AGREGA FECHA",IF(U566&gt;=Settings!$C$8,"⚠ STALE – REPRICE / ESTANCADO",IF(U566&gt;=Settings!$C$7,"● WATCH / VIGILAR","✔ FRESH / RECIENTE"))))))</f>
        <v/>
      </c>
      <c r="S566" s="53" t="n">
        <f aca="false">IF(C566="",0,IF(OR(J566="",J566="In Stock / En Inventario",J566="Listed / Publicado"),1,0))</f>
        <v>0</v>
      </c>
      <c r="T566" s="53" t="n">
        <f aca="false">IF(C566="",0,IF(J566="Sold / Vendido",1,0))</f>
        <v>0</v>
      </c>
      <c r="U566" s="53" t="n">
        <f aca="true">IF(S566=1,IF(ISNUMBER(F566),TODAY()-F566,-1),-1)</f>
        <v>-1</v>
      </c>
      <c r="V566" s="53" t="n">
        <f aca="false">IF(U566&lt;0,IF(S566=1,5,0),IF(U566&lt;=30,1,IF(U566&lt;=60,2,IF(U566&lt;=90,3,4))))</f>
        <v>0</v>
      </c>
      <c r="W566" s="53" t="n">
        <f aca="false">IF(U566&lt;0,-1000000000000000,U566+ROW()/1000000)</f>
        <v>-1000000000000000</v>
      </c>
      <c r="X566" s="53" t="n">
        <f aca="false">IF(T566=1,IF(AND(ISNUMBER(F566),ISNUMBER(K566)),K566-F566,0),0)</f>
        <v>0</v>
      </c>
      <c r="Y566" s="53" t="n">
        <f aca="false">IF(T566=1,IF(AND(ISNUMBER(F566),ISNUMBER(K566)),1,0),0)</f>
        <v>0</v>
      </c>
      <c r="Z566" s="53" t="n">
        <f aca="false">IF(U566&gt;=Settings!$C$8,1,0)</f>
        <v>0</v>
      </c>
      <c r="AA566" s="53" t="n">
        <f aca="false">IF(S566=1,IF(J566="Listed / Publicado",0,1),0)</f>
        <v>0</v>
      </c>
      <c r="AB566" s="53" t="n">
        <f aca="false">IF(T566=1,IF(ISNUMBER(L566),L566-G566,0),0)</f>
        <v>0</v>
      </c>
      <c r="AC566" s="53" t="n">
        <f aca="false">IF(S566=1,IF(ISNUMBER(I566),I566-G566,0),0)</f>
        <v>0</v>
      </c>
    </row>
    <row r="567" customFormat="false" ht="15" hidden="false" customHeight="false" outlineLevel="0" collapsed="false">
      <c r="B567" s="54"/>
      <c r="C567" s="55"/>
      <c r="D567" s="55"/>
      <c r="E567" s="55"/>
      <c r="F567" s="56"/>
      <c r="G567" s="57"/>
      <c r="H567" s="55"/>
      <c r="I567" s="57"/>
      <c r="J567" s="54"/>
      <c r="K567" s="56"/>
      <c r="L567" s="57"/>
      <c r="M567" s="54"/>
      <c r="N567" s="58" t="str">
        <f aca="false">IF(S567=1,IF(U567&lt;0,"",U567),IF(Y567=1,X567,""))</f>
        <v/>
      </c>
      <c r="O567" s="59" t="str">
        <f aca="false">IF(S567=1,IF(ISNUMBER(I567),I567-G567,""),"")</f>
        <v/>
      </c>
      <c r="P567" s="59" t="str">
        <f aca="false">IF(T567=1,IF(ISNUMBER(L567),L567-G567,""),"")</f>
        <v/>
      </c>
      <c r="Q567" s="60" t="str">
        <f aca="false">IF(C567="","",IF(T567=1,"✔ SOLD / VENDIDO",IF(S567=0,"— CLOSED / CERRADO",IF(U567&lt;0,"⚠ ADD DATE / AGREGA FECHA",IF(U567&gt;=Settings!$C$8,"⚠ STALE – REPRICE / ESTANCADO",IF(U567&gt;=Settings!$C$7,"● WATCH / VIGILAR","✔ FRESH / RECIENTE"))))))</f>
        <v/>
      </c>
      <c r="S567" s="53" t="n">
        <f aca="false">IF(C567="",0,IF(OR(J567="",J567="In Stock / En Inventario",J567="Listed / Publicado"),1,0))</f>
        <v>0</v>
      </c>
      <c r="T567" s="53" t="n">
        <f aca="false">IF(C567="",0,IF(J567="Sold / Vendido",1,0))</f>
        <v>0</v>
      </c>
      <c r="U567" s="53" t="n">
        <f aca="true">IF(S567=1,IF(ISNUMBER(F567),TODAY()-F567,-1),-1)</f>
        <v>-1</v>
      </c>
      <c r="V567" s="53" t="n">
        <f aca="false">IF(U567&lt;0,IF(S567=1,5,0),IF(U567&lt;=30,1,IF(U567&lt;=60,2,IF(U567&lt;=90,3,4))))</f>
        <v>0</v>
      </c>
      <c r="W567" s="53" t="n">
        <f aca="false">IF(U567&lt;0,-1000000000000000,U567+ROW()/1000000)</f>
        <v>-1000000000000000</v>
      </c>
      <c r="X567" s="53" t="n">
        <f aca="false">IF(T567=1,IF(AND(ISNUMBER(F567),ISNUMBER(K567)),K567-F567,0),0)</f>
        <v>0</v>
      </c>
      <c r="Y567" s="53" t="n">
        <f aca="false">IF(T567=1,IF(AND(ISNUMBER(F567),ISNUMBER(K567)),1,0),0)</f>
        <v>0</v>
      </c>
      <c r="Z567" s="53" t="n">
        <f aca="false">IF(U567&gt;=Settings!$C$8,1,0)</f>
        <v>0</v>
      </c>
      <c r="AA567" s="53" t="n">
        <f aca="false">IF(S567=1,IF(J567="Listed / Publicado",0,1),0)</f>
        <v>0</v>
      </c>
      <c r="AB567" s="53" t="n">
        <f aca="false">IF(T567=1,IF(ISNUMBER(L567),L567-G567,0),0)</f>
        <v>0</v>
      </c>
      <c r="AC567" s="53" t="n">
        <f aca="false">IF(S567=1,IF(ISNUMBER(I567),I567-G567,0),0)</f>
        <v>0</v>
      </c>
    </row>
    <row r="568" customFormat="false" ht="15" hidden="false" customHeight="false" outlineLevel="0" collapsed="false">
      <c r="B568" s="54"/>
      <c r="C568" s="55"/>
      <c r="D568" s="55"/>
      <c r="E568" s="55"/>
      <c r="F568" s="56"/>
      <c r="G568" s="57"/>
      <c r="H568" s="55"/>
      <c r="I568" s="57"/>
      <c r="J568" s="54"/>
      <c r="K568" s="56"/>
      <c r="L568" s="57"/>
      <c r="M568" s="54"/>
      <c r="N568" s="58" t="str">
        <f aca="false">IF(S568=1,IF(U568&lt;0,"",U568),IF(Y568=1,X568,""))</f>
        <v/>
      </c>
      <c r="O568" s="59" t="str">
        <f aca="false">IF(S568=1,IF(ISNUMBER(I568),I568-G568,""),"")</f>
        <v/>
      </c>
      <c r="P568" s="59" t="str">
        <f aca="false">IF(T568=1,IF(ISNUMBER(L568),L568-G568,""),"")</f>
        <v/>
      </c>
      <c r="Q568" s="60" t="str">
        <f aca="false">IF(C568="","",IF(T568=1,"✔ SOLD / VENDIDO",IF(S568=0,"— CLOSED / CERRADO",IF(U568&lt;0,"⚠ ADD DATE / AGREGA FECHA",IF(U568&gt;=Settings!$C$8,"⚠ STALE – REPRICE / ESTANCADO",IF(U568&gt;=Settings!$C$7,"● WATCH / VIGILAR","✔ FRESH / RECIENTE"))))))</f>
        <v/>
      </c>
      <c r="S568" s="53" t="n">
        <f aca="false">IF(C568="",0,IF(OR(J568="",J568="In Stock / En Inventario",J568="Listed / Publicado"),1,0))</f>
        <v>0</v>
      </c>
      <c r="T568" s="53" t="n">
        <f aca="false">IF(C568="",0,IF(J568="Sold / Vendido",1,0))</f>
        <v>0</v>
      </c>
      <c r="U568" s="53" t="n">
        <f aca="true">IF(S568=1,IF(ISNUMBER(F568),TODAY()-F568,-1),-1)</f>
        <v>-1</v>
      </c>
      <c r="V568" s="53" t="n">
        <f aca="false">IF(U568&lt;0,IF(S568=1,5,0),IF(U568&lt;=30,1,IF(U568&lt;=60,2,IF(U568&lt;=90,3,4))))</f>
        <v>0</v>
      </c>
      <c r="W568" s="53" t="n">
        <f aca="false">IF(U568&lt;0,-1000000000000000,U568+ROW()/1000000)</f>
        <v>-1000000000000000</v>
      </c>
      <c r="X568" s="53" t="n">
        <f aca="false">IF(T568=1,IF(AND(ISNUMBER(F568),ISNUMBER(K568)),K568-F568,0),0)</f>
        <v>0</v>
      </c>
      <c r="Y568" s="53" t="n">
        <f aca="false">IF(T568=1,IF(AND(ISNUMBER(F568),ISNUMBER(K568)),1,0),0)</f>
        <v>0</v>
      </c>
      <c r="Z568" s="53" t="n">
        <f aca="false">IF(U568&gt;=Settings!$C$8,1,0)</f>
        <v>0</v>
      </c>
      <c r="AA568" s="53" t="n">
        <f aca="false">IF(S568=1,IF(J568="Listed / Publicado",0,1),0)</f>
        <v>0</v>
      </c>
      <c r="AB568" s="53" t="n">
        <f aca="false">IF(T568=1,IF(ISNUMBER(L568),L568-G568,0),0)</f>
        <v>0</v>
      </c>
      <c r="AC568" s="53" t="n">
        <f aca="false">IF(S568=1,IF(ISNUMBER(I568),I568-G568,0),0)</f>
        <v>0</v>
      </c>
    </row>
    <row r="569" customFormat="false" ht="15" hidden="false" customHeight="false" outlineLevel="0" collapsed="false">
      <c r="B569" s="54"/>
      <c r="C569" s="55"/>
      <c r="D569" s="55"/>
      <c r="E569" s="55"/>
      <c r="F569" s="56"/>
      <c r="G569" s="57"/>
      <c r="H569" s="55"/>
      <c r="I569" s="57"/>
      <c r="J569" s="54"/>
      <c r="K569" s="56"/>
      <c r="L569" s="57"/>
      <c r="M569" s="54"/>
      <c r="N569" s="58" t="str">
        <f aca="false">IF(S569=1,IF(U569&lt;0,"",U569),IF(Y569=1,X569,""))</f>
        <v/>
      </c>
      <c r="O569" s="59" t="str">
        <f aca="false">IF(S569=1,IF(ISNUMBER(I569),I569-G569,""),"")</f>
        <v/>
      </c>
      <c r="P569" s="59" t="str">
        <f aca="false">IF(T569=1,IF(ISNUMBER(L569),L569-G569,""),"")</f>
        <v/>
      </c>
      <c r="Q569" s="60" t="str">
        <f aca="false">IF(C569="","",IF(T569=1,"✔ SOLD / VENDIDO",IF(S569=0,"— CLOSED / CERRADO",IF(U569&lt;0,"⚠ ADD DATE / AGREGA FECHA",IF(U569&gt;=Settings!$C$8,"⚠ STALE – REPRICE / ESTANCADO",IF(U569&gt;=Settings!$C$7,"● WATCH / VIGILAR","✔ FRESH / RECIENTE"))))))</f>
        <v/>
      </c>
      <c r="S569" s="53" t="n">
        <f aca="false">IF(C569="",0,IF(OR(J569="",J569="In Stock / En Inventario",J569="Listed / Publicado"),1,0))</f>
        <v>0</v>
      </c>
      <c r="T569" s="53" t="n">
        <f aca="false">IF(C569="",0,IF(J569="Sold / Vendido",1,0))</f>
        <v>0</v>
      </c>
      <c r="U569" s="53" t="n">
        <f aca="true">IF(S569=1,IF(ISNUMBER(F569),TODAY()-F569,-1),-1)</f>
        <v>-1</v>
      </c>
      <c r="V569" s="53" t="n">
        <f aca="false">IF(U569&lt;0,IF(S569=1,5,0),IF(U569&lt;=30,1,IF(U569&lt;=60,2,IF(U569&lt;=90,3,4))))</f>
        <v>0</v>
      </c>
      <c r="W569" s="53" t="n">
        <f aca="false">IF(U569&lt;0,-1000000000000000,U569+ROW()/1000000)</f>
        <v>-1000000000000000</v>
      </c>
      <c r="X569" s="53" t="n">
        <f aca="false">IF(T569=1,IF(AND(ISNUMBER(F569),ISNUMBER(K569)),K569-F569,0),0)</f>
        <v>0</v>
      </c>
      <c r="Y569" s="53" t="n">
        <f aca="false">IF(T569=1,IF(AND(ISNUMBER(F569),ISNUMBER(K569)),1,0),0)</f>
        <v>0</v>
      </c>
      <c r="Z569" s="53" t="n">
        <f aca="false">IF(U569&gt;=Settings!$C$8,1,0)</f>
        <v>0</v>
      </c>
      <c r="AA569" s="53" t="n">
        <f aca="false">IF(S569=1,IF(J569="Listed / Publicado",0,1),0)</f>
        <v>0</v>
      </c>
      <c r="AB569" s="53" t="n">
        <f aca="false">IF(T569=1,IF(ISNUMBER(L569),L569-G569,0),0)</f>
        <v>0</v>
      </c>
      <c r="AC569" s="53" t="n">
        <f aca="false">IF(S569=1,IF(ISNUMBER(I569),I569-G569,0),0)</f>
        <v>0</v>
      </c>
    </row>
    <row r="570" customFormat="false" ht="15" hidden="false" customHeight="false" outlineLevel="0" collapsed="false">
      <c r="B570" s="54"/>
      <c r="C570" s="55"/>
      <c r="D570" s="55"/>
      <c r="E570" s="55"/>
      <c r="F570" s="56"/>
      <c r="G570" s="57"/>
      <c r="H570" s="55"/>
      <c r="I570" s="57"/>
      <c r="J570" s="54"/>
      <c r="K570" s="56"/>
      <c r="L570" s="57"/>
      <c r="M570" s="54"/>
      <c r="N570" s="58" t="str">
        <f aca="false">IF(S570=1,IF(U570&lt;0,"",U570),IF(Y570=1,X570,""))</f>
        <v/>
      </c>
      <c r="O570" s="59" t="str">
        <f aca="false">IF(S570=1,IF(ISNUMBER(I570),I570-G570,""),"")</f>
        <v/>
      </c>
      <c r="P570" s="59" t="str">
        <f aca="false">IF(T570=1,IF(ISNUMBER(L570),L570-G570,""),"")</f>
        <v/>
      </c>
      <c r="Q570" s="60" t="str">
        <f aca="false">IF(C570="","",IF(T570=1,"✔ SOLD / VENDIDO",IF(S570=0,"— CLOSED / CERRADO",IF(U570&lt;0,"⚠ ADD DATE / AGREGA FECHA",IF(U570&gt;=Settings!$C$8,"⚠ STALE – REPRICE / ESTANCADO",IF(U570&gt;=Settings!$C$7,"● WATCH / VIGILAR","✔ FRESH / RECIENTE"))))))</f>
        <v/>
      </c>
      <c r="S570" s="53" t="n">
        <f aca="false">IF(C570="",0,IF(OR(J570="",J570="In Stock / En Inventario",J570="Listed / Publicado"),1,0))</f>
        <v>0</v>
      </c>
      <c r="T570" s="53" t="n">
        <f aca="false">IF(C570="",0,IF(J570="Sold / Vendido",1,0))</f>
        <v>0</v>
      </c>
      <c r="U570" s="53" t="n">
        <f aca="true">IF(S570=1,IF(ISNUMBER(F570),TODAY()-F570,-1),-1)</f>
        <v>-1</v>
      </c>
      <c r="V570" s="53" t="n">
        <f aca="false">IF(U570&lt;0,IF(S570=1,5,0),IF(U570&lt;=30,1,IF(U570&lt;=60,2,IF(U570&lt;=90,3,4))))</f>
        <v>0</v>
      </c>
      <c r="W570" s="53" t="n">
        <f aca="false">IF(U570&lt;0,-1000000000000000,U570+ROW()/1000000)</f>
        <v>-1000000000000000</v>
      </c>
      <c r="X570" s="53" t="n">
        <f aca="false">IF(T570=1,IF(AND(ISNUMBER(F570),ISNUMBER(K570)),K570-F570,0),0)</f>
        <v>0</v>
      </c>
      <c r="Y570" s="53" t="n">
        <f aca="false">IF(T570=1,IF(AND(ISNUMBER(F570),ISNUMBER(K570)),1,0),0)</f>
        <v>0</v>
      </c>
      <c r="Z570" s="53" t="n">
        <f aca="false">IF(U570&gt;=Settings!$C$8,1,0)</f>
        <v>0</v>
      </c>
      <c r="AA570" s="53" t="n">
        <f aca="false">IF(S570=1,IF(J570="Listed / Publicado",0,1),0)</f>
        <v>0</v>
      </c>
      <c r="AB570" s="53" t="n">
        <f aca="false">IF(T570=1,IF(ISNUMBER(L570),L570-G570,0),0)</f>
        <v>0</v>
      </c>
      <c r="AC570" s="53" t="n">
        <f aca="false">IF(S570=1,IF(ISNUMBER(I570),I570-G570,0),0)</f>
        <v>0</v>
      </c>
    </row>
    <row r="571" customFormat="false" ht="15" hidden="false" customHeight="false" outlineLevel="0" collapsed="false">
      <c r="B571" s="54"/>
      <c r="C571" s="55"/>
      <c r="D571" s="55"/>
      <c r="E571" s="55"/>
      <c r="F571" s="56"/>
      <c r="G571" s="57"/>
      <c r="H571" s="55"/>
      <c r="I571" s="57"/>
      <c r="J571" s="54"/>
      <c r="K571" s="56"/>
      <c r="L571" s="57"/>
      <c r="M571" s="54"/>
      <c r="N571" s="58" t="str">
        <f aca="false">IF(S571=1,IF(U571&lt;0,"",U571),IF(Y571=1,X571,""))</f>
        <v/>
      </c>
      <c r="O571" s="59" t="str">
        <f aca="false">IF(S571=1,IF(ISNUMBER(I571),I571-G571,""),"")</f>
        <v/>
      </c>
      <c r="P571" s="59" t="str">
        <f aca="false">IF(T571=1,IF(ISNUMBER(L571),L571-G571,""),"")</f>
        <v/>
      </c>
      <c r="Q571" s="60" t="str">
        <f aca="false">IF(C571="","",IF(T571=1,"✔ SOLD / VENDIDO",IF(S571=0,"— CLOSED / CERRADO",IF(U571&lt;0,"⚠ ADD DATE / AGREGA FECHA",IF(U571&gt;=Settings!$C$8,"⚠ STALE – REPRICE / ESTANCADO",IF(U571&gt;=Settings!$C$7,"● WATCH / VIGILAR","✔ FRESH / RECIENTE"))))))</f>
        <v/>
      </c>
      <c r="S571" s="53" t="n">
        <f aca="false">IF(C571="",0,IF(OR(J571="",J571="In Stock / En Inventario",J571="Listed / Publicado"),1,0))</f>
        <v>0</v>
      </c>
      <c r="T571" s="53" t="n">
        <f aca="false">IF(C571="",0,IF(J571="Sold / Vendido",1,0))</f>
        <v>0</v>
      </c>
      <c r="U571" s="53" t="n">
        <f aca="true">IF(S571=1,IF(ISNUMBER(F571),TODAY()-F571,-1),-1)</f>
        <v>-1</v>
      </c>
      <c r="V571" s="53" t="n">
        <f aca="false">IF(U571&lt;0,IF(S571=1,5,0),IF(U571&lt;=30,1,IF(U571&lt;=60,2,IF(U571&lt;=90,3,4))))</f>
        <v>0</v>
      </c>
      <c r="W571" s="53" t="n">
        <f aca="false">IF(U571&lt;0,-1000000000000000,U571+ROW()/1000000)</f>
        <v>-1000000000000000</v>
      </c>
      <c r="X571" s="53" t="n">
        <f aca="false">IF(T571=1,IF(AND(ISNUMBER(F571),ISNUMBER(K571)),K571-F571,0),0)</f>
        <v>0</v>
      </c>
      <c r="Y571" s="53" t="n">
        <f aca="false">IF(T571=1,IF(AND(ISNUMBER(F571),ISNUMBER(K571)),1,0),0)</f>
        <v>0</v>
      </c>
      <c r="Z571" s="53" t="n">
        <f aca="false">IF(U571&gt;=Settings!$C$8,1,0)</f>
        <v>0</v>
      </c>
      <c r="AA571" s="53" t="n">
        <f aca="false">IF(S571=1,IF(J571="Listed / Publicado",0,1),0)</f>
        <v>0</v>
      </c>
      <c r="AB571" s="53" t="n">
        <f aca="false">IF(T571=1,IF(ISNUMBER(L571),L571-G571,0),0)</f>
        <v>0</v>
      </c>
      <c r="AC571" s="53" t="n">
        <f aca="false">IF(S571=1,IF(ISNUMBER(I571),I571-G571,0),0)</f>
        <v>0</v>
      </c>
    </row>
    <row r="572" customFormat="false" ht="15" hidden="false" customHeight="false" outlineLevel="0" collapsed="false">
      <c r="B572" s="54"/>
      <c r="C572" s="55"/>
      <c r="D572" s="55"/>
      <c r="E572" s="55"/>
      <c r="F572" s="56"/>
      <c r="G572" s="57"/>
      <c r="H572" s="55"/>
      <c r="I572" s="57"/>
      <c r="J572" s="54"/>
      <c r="K572" s="56"/>
      <c r="L572" s="57"/>
      <c r="M572" s="54"/>
      <c r="N572" s="58" t="str">
        <f aca="false">IF(S572=1,IF(U572&lt;0,"",U572),IF(Y572=1,X572,""))</f>
        <v/>
      </c>
      <c r="O572" s="59" t="str">
        <f aca="false">IF(S572=1,IF(ISNUMBER(I572),I572-G572,""),"")</f>
        <v/>
      </c>
      <c r="P572" s="59" t="str">
        <f aca="false">IF(T572=1,IF(ISNUMBER(L572),L572-G572,""),"")</f>
        <v/>
      </c>
      <c r="Q572" s="60" t="str">
        <f aca="false">IF(C572="","",IF(T572=1,"✔ SOLD / VENDIDO",IF(S572=0,"— CLOSED / CERRADO",IF(U572&lt;0,"⚠ ADD DATE / AGREGA FECHA",IF(U572&gt;=Settings!$C$8,"⚠ STALE – REPRICE / ESTANCADO",IF(U572&gt;=Settings!$C$7,"● WATCH / VIGILAR","✔ FRESH / RECIENTE"))))))</f>
        <v/>
      </c>
      <c r="S572" s="53" t="n">
        <f aca="false">IF(C572="",0,IF(OR(J572="",J572="In Stock / En Inventario",J572="Listed / Publicado"),1,0))</f>
        <v>0</v>
      </c>
      <c r="T572" s="53" t="n">
        <f aca="false">IF(C572="",0,IF(J572="Sold / Vendido",1,0))</f>
        <v>0</v>
      </c>
      <c r="U572" s="53" t="n">
        <f aca="true">IF(S572=1,IF(ISNUMBER(F572),TODAY()-F572,-1),-1)</f>
        <v>-1</v>
      </c>
      <c r="V572" s="53" t="n">
        <f aca="false">IF(U572&lt;0,IF(S572=1,5,0),IF(U572&lt;=30,1,IF(U572&lt;=60,2,IF(U572&lt;=90,3,4))))</f>
        <v>0</v>
      </c>
      <c r="W572" s="53" t="n">
        <f aca="false">IF(U572&lt;0,-1000000000000000,U572+ROW()/1000000)</f>
        <v>-1000000000000000</v>
      </c>
      <c r="X572" s="53" t="n">
        <f aca="false">IF(T572=1,IF(AND(ISNUMBER(F572),ISNUMBER(K572)),K572-F572,0),0)</f>
        <v>0</v>
      </c>
      <c r="Y572" s="53" t="n">
        <f aca="false">IF(T572=1,IF(AND(ISNUMBER(F572),ISNUMBER(K572)),1,0),0)</f>
        <v>0</v>
      </c>
      <c r="Z572" s="53" t="n">
        <f aca="false">IF(U572&gt;=Settings!$C$8,1,0)</f>
        <v>0</v>
      </c>
      <c r="AA572" s="53" t="n">
        <f aca="false">IF(S572=1,IF(J572="Listed / Publicado",0,1),0)</f>
        <v>0</v>
      </c>
      <c r="AB572" s="53" t="n">
        <f aca="false">IF(T572=1,IF(ISNUMBER(L572),L572-G572,0),0)</f>
        <v>0</v>
      </c>
      <c r="AC572" s="53" t="n">
        <f aca="false">IF(S572=1,IF(ISNUMBER(I572),I572-G572,0),0)</f>
        <v>0</v>
      </c>
    </row>
    <row r="573" customFormat="false" ht="15" hidden="false" customHeight="false" outlineLevel="0" collapsed="false">
      <c r="B573" s="54"/>
      <c r="C573" s="55"/>
      <c r="D573" s="55"/>
      <c r="E573" s="55"/>
      <c r="F573" s="56"/>
      <c r="G573" s="57"/>
      <c r="H573" s="55"/>
      <c r="I573" s="57"/>
      <c r="J573" s="54"/>
      <c r="K573" s="56"/>
      <c r="L573" s="57"/>
      <c r="M573" s="54"/>
      <c r="N573" s="58" t="str">
        <f aca="false">IF(S573=1,IF(U573&lt;0,"",U573),IF(Y573=1,X573,""))</f>
        <v/>
      </c>
      <c r="O573" s="59" t="str">
        <f aca="false">IF(S573=1,IF(ISNUMBER(I573),I573-G573,""),"")</f>
        <v/>
      </c>
      <c r="P573" s="59" t="str">
        <f aca="false">IF(T573=1,IF(ISNUMBER(L573),L573-G573,""),"")</f>
        <v/>
      </c>
      <c r="Q573" s="60" t="str">
        <f aca="false">IF(C573="","",IF(T573=1,"✔ SOLD / VENDIDO",IF(S573=0,"— CLOSED / CERRADO",IF(U573&lt;0,"⚠ ADD DATE / AGREGA FECHA",IF(U573&gt;=Settings!$C$8,"⚠ STALE – REPRICE / ESTANCADO",IF(U573&gt;=Settings!$C$7,"● WATCH / VIGILAR","✔ FRESH / RECIENTE"))))))</f>
        <v/>
      </c>
      <c r="S573" s="53" t="n">
        <f aca="false">IF(C573="",0,IF(OR(J573="",J573="In Stock / En Inventario",J573="Listed / Publicado"),1,0))</f>
        <v>0</v>
      </c>
      <c r="T573" s="53" t="n">
        <f aca="false">IF(C573="",0,IF(J573="Sold / Vendido",1,0))</f>
        <v>0</v>
      </c>
      <c r="U573" s="53" t="n">
        <f aca="true">IF(S573=1,IF(ISNUMBER(F573),TODAY()-F573,-1),-1)</f>
        <v>-1</v>
      </c>
      <c r="V573" s="53" t="n">
        <f aca="false">IF(U573&lt;0,IF(S573=1,5,0),IF(U573&lt;=30,1,IF(U573&lt;=60,2,IF(U573&lt;=90,3,4))))</f>
        <v>0</v>
      </c>
      <c r="W573" s="53" t="n">
        <f aca="false">IF(U573&lt;0,-1000000000000000,U573+ROW()/1000000)</f>
        <v>-1000000000000000</v>
      </c>
      <c r="X573" s="53" t="n">
        <f aca="false">IF(T573=1,IF(AND(ISNUMBER(F573),ISNUMBER(K573)),K573-F573,0),0)</f>
        <v>0</v>
      </c>
      <c r="Y573" s="53" t="n">
        <f aca="false">IF(T573=1,IF(AND(ISNUMBER(F573),ISNUMBER(K573)),1,0),0)</f>
        <v>0</v>
      </c>
      <c r="Z573" s="53" t="n">
        <f aca="false">IF(U573&gt;=Settings!$C$8,1,0)</f>
        <v>0</v>
      </c>
      <c r="AA573" s="53" t="n">
        <f aca="false">IF(S573=1,IF(J573="Listed / Publicado",0,1),0)</f>
        <v>0</v>
      </c>
      <c r="AB573" s="53" t="n">
        <f aca="false">IF(T573=1,IF(ISNUMBER(L573),L573-G573,0),0)</f>
        <v>0</v>
      </c>
      <c r="AC573" s="53" t="n">
        <f aca="false">IF(S573=1,IF(ISNUMBER(I573),I573-G573,0),0)</f>
        <v>0</v>
      </c>
    </row>
    <row r="574" customFormat="false" ht="15" hidden="false" customHeight="false" outlineLevel="0" collapsed="false">
      <c r="B574" s="54"/>
      <c r="C574" s="55"/>
      <c r="D574" s="55"/>
      <c r="E574" s="55"/>
      <c r="F574" s="56"/>
      <c r="G574" s="57"/>
      <c r="H574" s="55"/>
      <c r="I574" s="57"/>
      <c r="J574" s="54"/>
      <c r="K574" s="56"/>
      <c r="L574" s="57"/>
      <c r="M574" s="54"/>
      <c r="N574" s="58" t="str">
        <f aca="false">IF(S574=1,IF(U574&lt;0,"",U574),IF(Y574=1,X574,""))</f>
        <v/>
      </c>
      <c r="O574" s="59" t="str">
        <f aca="false">IF(S574=1,IF(ISNUMBER(I574),I574-G574,""),"")</f>
        <v/>
      </c>
      <c r="P574" s="59" t="str">
        <f aca="false">IF(T574=1,IF(ISNUMBER(L574),L574-G574,""),"")</f>
        <v/>
      </c>
      <c r="Q574" s="60" t="str">
        <f aca="false">IF(C574="","",IF(T574=1,"✔ SOLD / VENDIDO",IF(S574=0,"— CLOSED / CERRADO",IF(U574&lt;0,"⚠ ADD DATE / AGREGA FECHA",IF(U574&gt;=Settings!$C$8,"⚠ STALE – REPRICE / ESTANCADO",IF(U574&gt;=Settings!$C$7,"● WATCH / VIGILAR","✔ FRESH / RECIENTE"))))))</f>
        <v/>
      </c>
      <c r="S574" s="53" t="n">
        <f aca="false">IF(C574="",0,IF(OR(J574="",J574="In Stock / En Inventario",J574="Listed / Publicado"),1,0))</f>
        <v>0</v>
      </c>
      <c r="T574" s="53" t="n">
        <f aca="false">IF(C574="",0,IF(J574="Sold / Vendido",1,0))</f>
        <v>0</v>
      </c>
      <c r="U574" s="53" t="n">
        <f aca="true">IF(S574=1,IF(ISNUMBER(F574),TODAY()-F574,-1),-1)</f>
        <v>-1</v>
      </c>
      <c r="V574" s="53" t="n">
        <f aca="false">IF(U574&lt;0,IF(S574=1,5,0),IF(U574&lt;=30,1,IF(U574&lt;=60,2,IF(U574&lt;=90,3,4))))</f>
        <v>0</v>
      </c>
      <c r="W574" s="53" t="n">
        <f aca="false">IF(U574&lt;0,-1000000000000000,U574+ROW()/1000000)</f>
        <v>-1000000000000000</v>
      </c>
      <c r="X574" s="53" t="n">
        <f aca="false">IF(T574=1,IF(AND(ISNUMBER(F574),ISNUMBER(K574)),K574-F574,0),0)</f>
        <v>0</v>
      </c>
      <c r="Y574" s="53" t="n">
        <f aca="false">IF(T574=1,IF(AND(ISNUMBER(F574),ISNUMBER(K574)),1,0),0)</f>
        <v>0</v>
      </c>
      <c r="Z574" s="53" t="n">
        <f aca="false">IF(U574&gt;=Settings!$C$8,1,0)</f>
        <v>0</v>
      </c>
      <c r="AA574" s="53" t="n">
        <f aca="false">IF(S574=1,IF(J574="Listed / Publicado",0,1),0)</f>
        <v>0</v>
      </c>
      <c r="AB574" s="53" t="n">
        <f aca="false">IF(T574=1,IF(ISNUMBER(L574),L574-G574,0),0)</f>
        <v>0</v>
      </c>
      <c r="AC574" s="53" t="n">
        <f aca="false">IF(S574=1,IF(ISNUMBER(I574),I574-G574,0),0)</f>
        <v>0</v>
      </c>
    </row>
    <row r="575" customFormat="false" ht="15" hidden="false" customHeight="false" outlineLevel="0" collapsed="false">
      <c r="B575" s="54"/>
      <c r="C575" s="55"/>
      <c r="D575" s="55"/>
      <c r="E575" s="55"/>
      <c r="F575" s="56"/>
      <c r="G575" s="57"/>
      <c r="H575" s="55"/>
      <c r="I575" s="57"/>
      <c r="J575" s="54"/>
      <c r="K575" s="56"/>
      <c r="L575" s="57"/>
      <c r="M575" s="54"/>
      <c r="N575" s="58" t="str">
        <f aca="false">IF(S575=1,IF(U575&lt;0,"",U575),IF(Y575=1,X575,""))</f>
        <v/>
      </c>
      <c r="O575" s="59" t="str">
        <f aca="false">IF(S575=1,IF(ISNUMBER(I575),I575-G575,""),"")</f>
        <v/>
      </c>
      <c r="P575" s="59" t="str">
        <f aca="false">IF(T575=1,IF(ISNUMBER(L575),L575-G575,""),"")</f>
        <v/>
      </c>
      <c r="Q575" s="60" t="str">
        <f aca="false">IF(C575="","",IF(T575=1,"✔ SOLD / VENDIDO",IF(S575=0,"— CLOSED / CERRADO",IF(U575&lt;0,"⚠ ADD DATE / AGREGA FECHA",IF(U575&gt;=Settings!$C$8,"⚠ STALE – REPRICE / ESTANCADO",IF(U575&gt;=Settings!$C$7,"● WATCH / VIGILAR","✔ FRESH / RECIENTE"))))))</f>
        <v/>
      </c>
      <c r="S575" s="53" t="n">
        <f aca="false">IF(C575="",0,IF(OR(J575="",J575="In Stock / En Inventario",J575="Listed / Publicado"),1,0))</f>
        <v>0</v>
      </c>
      <c r="T575" s="53" t="n">
        <f aca="false">IF(C575="",0,IF(J575="Sold / Vendido",1,0))</f>
        <v>0</v>
      </c>
      <c r="U575" s="53" t="n">
        <f aca="true">IF(S575=1,IF(ISNUMBER(F575),TODAY()-F575,-1),-1)</f>
        <v>-1</v>
      </c>
      <c r="V575" s="53" t="n">
        <f aca="false">IF(U575&lt;0,IF(S575=1,5,0),IF(U575&lt;=30,1,IF(U575&lt;=60,2,IF(U575&lt;=90,3,4))))</f>
        <v>0</v>
      </c>
      <c r="W575" s="53" t="n">
        <f aca="false">IF(U575&lt;0,-1000000000000000,U575+ROW()/1000000)</f>
        <v>-1000000000000000</v>
      </c>
      <c r="X575" s="53" t="n">
        <f aca="false">IF(T575=1,IF(AND(ISNUMBER(F575),ISNUMBER(K575)),K575-F575,0),0)</f>
        <v>0</v>
      </c>
      <c r="Y575" s="53" t="n">
        <f aca="false">IF(T575=1,IF(AND(ISNUMBER(F575),ISNUMBER(K575)),1,0),0)</f>
        <v>0</v>
      </c>
      <c r="Z575" s="53" t="n">
        <f aca="false">IF(U575&gt;=Settings!$C$8,1,0)</f>
        <v>0</v>
      </c>
      <c r="AA575" s="53" t="n">
        <f aca="false">IF(S575=1,IF(J575="Listed / Publicado",0,1),0)</f>
        <v>0</v>
      </c>
      <c r="AB575" s="53" t="n">
        <f aca="false">IF(T575=1,IF(ISNUMBER(L575),L575-G575,0),0)</f>
        <v>0</v>
      </c>
      <c r="AC575" s="53" t="n">
        <f aca="false">IF(S575=1,IF(ISNUMBER(I575),I575-G575,0),0)</f>
        <v>0</v>
      </c>
    </row>
    <row r="576" customFormat="false" ht="15" hidden="false" customHeight="false" outlineLevel="0" collapsed="false">
      <c r="B576" s="54"/>
      <c r="C576" s="55"/>
      <c r="D576" s="55"/>
      <c r="E576" s="55"/>
      <c r="F576" s="56"/>
      <c r="G576" s="57"/>
      <c r="H576" s="55"/>
      <c r="I576" s="57"/>
      <c r="J576" s="54"/>
      <c r="K576" s="56"/>
      <c r="L576" s="57"/>
      <c r="M576" s="54"/>
      <c r="N576" s="58" t="str">
        <f aca="false">IF(S576=1,IF(U576&lt;0,"",U576),IF(Y576=1,X576,""))</f>
        <v/>
      </c>
      <c r="O576" s="59" t="str">
        <f aca="false">IF(S576=1,IF(ISNUMBER(I576),I576-G576,""),"")</f>
        <v/>
      </c>
      <c r="P576" s="59" t="str">
        <f aca="false">IF(T576=1,IF(ISNUMBER(L576),L576-G576,""),"")</f>
        <v/>
      </c>
      <c r="Q576" s="60" t="str">
        <f aca="false">IF(C576="","",IF(T576=1,"✔ SOLD / VENDIDO",IF(S576=0,"— CLOSED / CERRADO",IF(U576&lt;0,"⚠ ADD DATE / AGREGA FECHA",IF(U576&gt;=Settings!$C$8,"⚠ STALE – REPRICE / ESTANCADO",IF(U576&gt;=Settings!$C$7,"● WATCH / VIGILAR","✔ FRESH / RECIENTE"))))))</f>
        <v/>
      </c>
      <c r="S576" s="53" t="n">
        <f aca="false">IF(C576="",0,IF(OR(J576="",J576="In Stock / En Inventario",J576="Listed / Publicado"),1,0))</f>
        <v>0</v>
      </c>
      <c r="T576" s="53" t="n">
        <f aca="false">IF(C576="",0,IF(J576="Sold / Vendido",1,0))</f>
        <v>0</v>
      </c>
      <c r="U576" s="53" t="n">
        <f aca="true">IF(S576=1,IF(ISNUMBER(F576),TODAY()-F576,-1),-1)</f>
        <v>-1</v>
      </c>
      <c r="V576" s="53" t="n">
        <f aca="false">IF(U576&lt;0,IF(S576=1,5,0),IF(U576&lt;=30,1,IF(U576&lt;=60,2,IF(U576&lt;=90,3,4))))</f>
        <v>0</v>
      </c>
      <c r="W576" s="53" t="n">
        <f aca="false">IF(U576&lt;0,-1000000000000000,U576+ROW()/1000000)</f>
        <v>-1000000000000000</v>
      </c>
      <c r="X576" s="53" t="n">
        <f aca="false">IF(T576=1,IF(AND(ISNUMBER(F576),ISNUMBER(K576)),K576-F576,0),0)</f>
        <v>0</v>
      </c>
      <c r="Y576" s="53" t="n">
        <f aca="false">IF(T576=1,IF(AND(ISNUMBER(F576),ISNUMBER(K576)),1,0),0)</f>
        <v>0</v>
      </c>
      <c r="Z576" s="53" t="n">
        <f aca="false">IF(U576&gt;=Settings!$C$8,1,0)</f>
        <v>0</v>
      </c>
      <c r="AA576" s="53" t="n">
        <f aca="false">IF(S576=1,IF(J576="Listed / Publicado",0,1),0)</f>
        <v>0</v>
      </c>
      <c r="AB576" s="53" t="n">
        <f aca="false">IF(T576=1,IF(ISNUMBER(L576),L576-G576,0),0)</f>
        <v>0</v>
      </c>
      <c r="AC576" s="53" t="n">
        <f aca="false">IF(S576=1,IF(ISNUMBER(I576),I576-G576,0),0)</f>
        <v>0</v>
      </c>
    </row>
    <row r="577" customFormat="false" ht="15" hidden="false" customHeight="false" outlineLevel="0" collapsed="false">
      <c r="B577" s="54"/>
      <c r="C577" s="55"/>
      <c r="D577" s="55"/>
      <c r="E577" s="55"/>
      <c r="F577" s="56"/>
      <c r="G577" s="57"/>
      <c r="H577" s="55"/>
      <c r="I577" s="57"/>
      <c r="J577" s="54"/>
      <c r="K577" s="56"/>
      <c r="L577" s="57"/>
      <c r="M577" s="54"/>
      <c r="N577" s="58" t="str">
        <f aca="false">IF(S577=1,IF(U577&lt;0,"",U577),IF(Y577=1,X577,""))</f>
        <v/>
      </c>
      <c r="O577" s="59" t="str">
        <f aca="false">IF(S577=1,IF(ISNUMBER(I577),I577-G577,""),"")</f>
        <v/>
      </c>
      <c r="P577" s="59" t="str">
        <f aca="false">IF(T577=1,IF(ISNUMBER(L577),L577-G577,""),"")</f>
        <v/>
      </c>
      <c r="Q577" s="60" t="str">
        <f aca="false">IF(C577="","",IF(T577=1,"✔ SOLD / VENDIDO",IF(S577=0,"— CLOSED / CERRADO",IF(U577&lt;0,"⚠ ADD DATE / AGREGA FECHA",IF(U577&gt;=Settings!$C$8,"⚠ STALE – REPRICE / ESTANCADO",IF(U577&gt;=Settings!$C$7,"● WATCH / VIGILAR","✔ FRESH / RECIENTE"))))))</f>
        <v/>
      </c>
      <c r="S577" s="53" t="n">
        <f aca="false">IF(C577="",0,IF(OR(J577="",J577="In Stock / En Inventario",J577="Listed / Publicado"),1,0))</f>
        <v>0</v>
      </c>
      <c r="T577" s="53" t="n">
        <f aca="false">IF(C577="",0,IF(J577="Sold / Vendido",1,0))</f>
        <v>0</v>
      </c>
      <c r="U577" s="53" t="n">
        <f aca="true">IF(S577=1,IF(ISNUMBER(F577),TODAY()-F577,-1),-1)</f>
        <v>-1</v>
      </c>
      <c r="V577" s="53" t="n">
        <f aca="false">IF(U577&lt;0,IF(S577=1,5,0),IF(U577&lt;=30,1,IF(U577&lt;=60,2,IF(U577&lt;=90,3,4))))</f>
        <v>0</v>
      </c>
      <c r="W577" s="53" t="n">
        <f aca="false">IF(U577&lt;0,-1000000000000000,U577+ROW()/1000000)</f>
        <v>-1000000000000000</v>
      </c>
      <c r="X577" s="53" t="n">
        <f aca="false">IF(T577=1,IF(AND(ISNUMBER(F577),ISNUMBER(K577)),K577-F577,0),0)</f>
        <v>0</v>
      </c>
      <c r="Y577" s="53" t="n">
        <f aca="false">IF(T577=1,IF(AND(ISNUMBER(F577),ISNUMBER(K577)),1,0),0)</f>
        <v>0</v>
      </c>
      <c r="Z577" s="53" t="n">
        <f aca="false">IF(U577&gt;=Settings!$C$8,1,0)</f>
        <v>0</v>
      </c>
      <c r="AA577" s="53" t="n">
        <f aca="false">IF(S577=1,IF(J577="Listed / Publicado",0,1),0)</f>
        <v>0</v>
      </c>
      <c r="AB577" s="53" t="n">
        <f aca="false">IF(T577=1,IF(ISNUMBER(L577),L577-G577,0),0)</f>
        <v>0</v>
      </c>
      <c r="AC577" s="53" t="n">
        <f aca="false">IF(S577=1,IF(ISNUMBER(I577),I577-G577,0),0)</f>
        <v>0</v>
      </c>
    </row>
    <row r="578" customFormat="false" ht="15" hidden="false" customHeight="false" outlineLevel="0" collapsed="false">
      <c r="B578" s="54"/>
      <c r="C578" s="55"/>
      <c r="D578" s="55"/>
      <c r="E578" s="55"/>
      <c r="F578" s="56"/>
      <c r="G578" s="57"/>
      <c r="H578" s="55"/>
      <c r="I578" s="57"/>
      <c r="J578" s="54"/>
      <c r="K578" s="56"/>
      <c r="L578" s="57"/>
      <c r="M578" s="54"/>
      <c r="N578" s="58" t="str">
        <f aca="false">IF(S578=1,IF(U578&lt;0,"",U578),IF(Y578=1,X578,""))</f>
        <v/>
      </c>
      <c r="O578" s="59" t="str">
        <f aca="false">IF(S578=1,IF(ISNUMBER(I578),I578-G578,""),"")</f>
        <v/>
      </c>
      <c r="P578" s="59" t="str">
        <f aca="false">IF(T578=1,IF(ISNUMBER(L578),L578-G578,""),"")</f>
        <v/>
      </c>
      <c r="Q578" s="60" t="str">
        <f aca="false">IF(C578="","",IF(T578=1,"✔ SOLD / VENDIDO",IF(S578=0,"— CLOSED / CERRADO",IF(U578&lt;0,"⚠ ADD DATE / AGREGA FECHA",IF(U578&gt;=Settings!$C$8,"⚠ STALE – REPRICE / ESTANCADO",IF(U578&gt;=Settings!$C$7,"● WATCH / VIGILAR","✔ FRESH / RECIENTE"))))))</f>
        <v/>
      </c>
      <c r="S578" s="53" t="n">
        <f aca="false">IF(C578="",0,IF(OR(J578="",J578="In Stock / En Inventario",J578="Listed / Publicado"),1,0))</f>
        <v>0</v>
      </c>
      <c r="T578" s="53" t="n">
        <f aca="false">IF(C578="",0,IF(J578="Sold / Vendido",1,0))</f>
        <v>0</v>
      </c>
      <c r="U578" s="53" t="n">
        <f aca="true">IF(S578=1,IF(ISNUMBER(F578),TODAY()-F578,-1),-1)</f>
        <v>-1</v>
      </c>
      <c r="V578" s="53" t="n">
        <f aca="false">IF(U578&lt;0,IF(S578=1,5,0),IF(U578&lt;=30,1,IF(U578&lt;=60,2,IF(U578&lt;=90,3,4))))</f>
        <v>0</v>
      </c>
      <c r="W578" s="53" t="n">
        <f aca="false">IF(U578&lt;0,-1000000000000000,U578+ROW()/1000000)</f>
        <v>-1000000000000000</v>
      </c>
      <c r="X578" s="53" t="n">
        <f aca="false">IF(T578=1,IF(AND(ISNUMBER(F578),ISNUMBER(K578)),K578-F578,0),0)</f>
        <v>0</v>
      </c>
      <c r="Y578" s="53" t="n">
        <f aca="false">IF(T578=1,IF(AND(ISNUMBER(F578),ISNUMBER(K578)),1,0),0)</f>
        <v>0</v>
      </c>
      <c r="Z578" s="53" t="n">
        <f aca="false">IF(U578&gt;=Settings!$C$8,1,0)</f>
        <v>0</v>
      </c>
      <c r="AA578" s="53" t="n">
        <f aca="false">IF(S578=1,IF(J578="Listed / Publicado",0,1),0)</f>
        <v>0</v>
      </c>
      <c r="AB578" s="53" t="n">
        <f aca="false">IF(T578=1,IF(ISNUMBER(L578),L578-G578,0),0)</f>
        <v>0</v>
      </c>
      <c r="AC578" s="53" t="n">
        <f aca="false">IF(S578=1,IF(ISNUMBER(I578),I578-G578,0),0)</f>
        <v>0</v>
      </c>
    </row>
    <row r="579" customFormat="false" ht="15" hidden="false" customHeight="false" outlineLevel="0" collapsed="false">
      <c r="B579" s="54"/>
      <c r="C579" s="55"/>
      <c r="D579" s="55"/>
      <c r="E579" s="55"/>
      <c r="F579" s="56"/>
      <c r="G579" s="57"/>
      <c r="H579" s="55"/>
      <c r="I579" s="57"/>
      <c r="J579" s="54"/>
      <c r="K579" s="56"/>
      <c r="L579" s="57"/>
      <c r="M579" s="54"/>
      <c r="N579" s="58" t="str">
        <f aca="false">IF(S579=1,IF(U579&lt;0,"",U579),IF(Y579=1,X579,""))</f>
        <v/>
      </c>
      <c r="O579" s="59" t="str">
        <f aca="false">IF(S579=1,IF(ISNUMBER(I579),I579-G579,""),"")</f>
        <v/>
      </c>
      <c r="P579" s="59" t="str">
        <f aca="false">IF(T579=1,IF(ISNUMBER(L579),L579-G579,""),"")</f>
        <v/>
      </c>
      <c r="Q579" s="60" t="str">
        <f aca="false">IF(C579="","",IF(T579=1,"✔ SOLD / VENDIDO",IF(S579=0,"— CLOSED / CERRADO",IF(U579&lt;0,"⚠ ADD DATE / AGREGA FECHA",IF(U579&gt;=Settings!$C$8,"⚠ STALE – REPRICE / ESTANCADO",IF(U579&gt;=Settings!$C$7,"● WATCH / VIGILAR","✔ FRESH / RECIENTE"))))))</f>
        <v/>
      </c>
      <c r="S579" s="53" t="n">
        <f aca="false">IF(C579="",0,IF(OR(J579="",J579="In Stock / En Inventario",J579="Listed / Publicado"),1,0))</f>
        <v>0</v>
      </c>
      <c r="T579" s="53" t="n">
        <f aca="false">IF(C579="",0,IF(J579="Sold / Vendido",1,0))</f>
        <v>0</v>
      </c>
      <c r="U579" s="53" t="n">
        <f aca="true">IF(S579=1,IF(ISNUMBER(F579),TODAY()-F579,-1),-1)</f>
        <v>-1</v>
      </c>
      <c r="V579" s="53" t="n">
        <f aca="false">IF(U579&lt;0,IF(S579=1,5,0),IF(U579&lt;=30,1,IF(U579&lt;=60,2,IF(U579&lt;=90,3,4))))</f>
        <v>0</v>
      </c>
      <c r="W579" s="53" t="n">
        <f aca="false">IF(U579&lt;0,-1000000000000000,U579+ROW()/1000000)</f>
        <v>-1000000000000000</v>
      </c>
      <c r="X579" s="53" t="n">
        <f aca="false">IF(T579=1,IF(AND(ISNUMBER(F579),ISNUMBER(K579)),K579-F579,0),0)</f>
        <v>0</v>
      </c>
      <c r="Y579" s="53" t="n">
        <f aca="false">IF(T579=1,IF(AND(ISNUMBER(F579),ISNUMBER(K579)),1,0),0)</f>
        <v>0</v>
      </c>
      <c r="Z579" s="53" t="n">
        <f aca="false">IF(U579&gt;=Settings!$C$8,1,0)</f>
        <v>0</v>
      </c>
      <c r="AA579" s="53" t="n">
        <f aca="false">IF(S579=1,IF(J579="Listed / Publicado",0,1),0)</f>
        <v>0</v>
      </c>
      <c r="AB579" s="53" t="n">
        <f aca="false">IF(T579=1,IF(ISNUMBER(L579),L579-G579,0),0)</f>
        <v>0</v>
      </c>
      <c r="AC579" s="53" t="n">
        <f aca="false">IF(S579=1,IF(ISNUMBER(I579),I579-G579,0),0)</f>
        <v>0</v>
      </c>
    </row>
    <row r="580" customFormat="false" ht="15" hidden="false" customHeight="false" outlineLevel="0" collapsed="false">
      <c r="B580" s="54"/>
      <c r="C580" s="55"/>
      <c r="D580" s="55"/>
      <c r="E580" s="55"/>
      <c r="F580" s="56"/>
      <c r="G580" s="57"/>
      <c r="H580" s="55"/>
      <c r="I580" s="57"/>
      <c r="J580" s="54"/>
      <c r="K580" s="56"/>
      <c r="L580" s="57"/>
      <c r="M580" s="54"/>
      <c r="N580" s="58" t="str">
        <f aca="false">IF(S580=1,IF(U580&lt;0,"",U580),IF(Y580=1,X580,""))</f>
        <v/>
      </c>
      <c r="O580" s="59" t="str">
        <f aca="false">IF(S580=1,IF(ISNUMBER(I580),I580-G580,""),"")</f>
        <v/>
      </c>
      <c r="P580" s="59" t="str">
        <f aca="false">IF(T580=1,IF(ISNUMBER(L580),L580-G580,""),"")</f>
        <v/>
      </c>
      <c r="Q580" s="60" t="str">
        <f aca="false">IF(C580="","",IF(T580=1,"✔ SOLD / VENDIDO",IF(S580=0,"— CLOSED / CERRADO",IF(U580&lt;0,"⚠ ADD DATE / AGREGA FECHA",IF(U580&gt;=Settings!$C$8,"⚠ STALE – REPRICE / ESTANCADO",IF(U580&gt;=Settings!$C$7,"● WATCH / VIGILAR","✔ FRESH / RECIENTE"))))))</f>
        <v/>
      </c>
      <c r="S580" s="53" t="n">
        <f aca="false">IF(C580="",0,IF(OR(J580="",J580="In Stock / En Inventario",J580="Listed / Publicado"),1,0))</f>
        <v>0</v>
      </c>
      <c r="T580" s="53" t="n">
        <f aca="false">IF(C580="",0,IF(J580="Sold / Vendido",1,0))</f>
        <v>0</v>
      </c>
      <c r="U580" s="53" t="n">
        <f aca="true">IF(S580=1,IF(ISNUMBER(F580),TODAY()-F580,-1),-1)</f>
        <v>-1</v>
      </c>
      <c r="V580" s="53" t="n">
        <f aca="false">IF(U580&lt;0,IF(S580=1,5,0),IF(U580&lt;=30,1,IF(U580&lt;=60,2,IF(U580&lt;=90,3,4))))</f>
        <v>0</v>
      </c>
      <c r="W580" s="53" t="n">
        <f aca="false">IF(U580&lt;0,-1000000000000000,U580+ROW()/1000000)</f>
        <v>-1000000000000000</v>
      </c>
      <c r="X580" s="53" t="n">
        <f aca="false">IF(T580=1,IF(AND(ISNUMBER(F580),ISNUMBER(K580)),K580-F580,0),0)</f>
        <v>0</v>
      </c>
      <c r="Y580" s="53" t="n">
        <f aca="false">IF(T580=1,IF(AND(ISNUMBER(F580),ISNUMBER(K580)),1,0),0)</f>
        <v>0</v>
      </c>
      <c r="Z580" s="53" t="n">
        <f aca="false">IF(U580&gt;=Settings!$C$8,1,0)</f>
        <v>0</v>
      </c>
      <c r="AA580" s="53" t="n">
        <f aca="false">IF(S580=1,IF(J580="Listed / Publicado",0,1),0)</f>
        <v>0</v>
      </c>
      <c r="AB580" s="53" t="n">
        <f aca="false">IF(T580=1,IF(ISNUMBER(L580),L580-G580,0),0)</f>
        <v>0</v>
      </c>
      <c r="AC580" s="53" t="n">
        <f aca="false">IF(S580=1,IF(ISNUMBER(I580),I580-G580,0),0)</f>
        <v>0</v>
      </c>
    </row>
    <row r="581" customFormat="false" ht="15" hidden="false" customHeight="false" outlineLevel="0" collapsed="false">
      <c r="B581" s="54"/>
      <c r="C581" s="55"/>
      <c r="D581" s="55"/>
      <c r="E581" s="55"/>
      <c r="F581" s="56"/>
      <c r="G581" s="57"/>
      <c r="H581" s="55"/>
      <c r="I581" s="57"/>
      <c r="J581" s="54"/>
      <c r="K581" s="56"/>
      <c r="L581" s="57"/>
      <c r="M581" s="54"/>
      <c r="N581" s="58" t="str">
        <f aca="false">IF(S581=1,IF(U581&lt;0,"",U581),IF(Y581=1,X581,""))</f>
        <v/>
      </c>
      <c r="O581" s="59" t="str">
        <f aca="false">IF(S581=1,IF(ISNUMBER(I581),I581-G581,""),"")</f>
        <v/>
      </c>
      <c r="P581" s="59" t="str">
        <f aca="false">IF(T581=1,IF(ISNUMBER(L581),L581-G581,""),"")</f>
        <v/>
      </c>
      <c r="Q581" s="60" t="str">
        <f aca="false">IF(C581="","",IF(T581=1,"✔ SOLD / VENDIDO",IF(S581=0,"— CLOSED / CERRADO",IF(U581&lt;0,"⚠ ADD DATE / AGREGA FECHA",IF(U581&gt;=Settings!$C$8,"⚠ STALE – REPRICE / ESTANCADO",IF(U581&gt;=Settings!$C$7,"● WATCH / VIGILAR","✔ FRESH / RECIENTE"))))))</f>
        <v/>
      </c>
      <c r="S581" s="53" t="n">
        <f aca="false">IF(C581="",0,IF(OR(J581="",J581="In Stock / En Inventario",J581="Listed / Publicado"),1,0))</f>
        <v>0</v>
      </c>
      <c r="T581" s="53" t="n">
        <f aca="false">IF(C581="",0,IF(J581="Sold / Vendido",1,0))</f>
        <v>0</v>
      </c>
      <c r="U581" s="53" t="n">
        <f aca="true">IF(S581=1,IF(ISNUMBER(F581),TODAY()-F581,-1),-1)</f>
        <v>-1</v>
      </c>
      <c r="V581" s="53" t="n">
        <f aca="false">IF(U581&lt;0,IF(S581=1,5,0),IF(U581&lt;=30,1,IF(U581&lt;=60,2,IF(U581&lt;=90,3,4))))</f>
        <v>0</v>
      </c>
      <c r="W581" s="53" t="n">
        <f aca="false">IF(U581&lt;0,-1000000000000000,U581+ROW()/1000000)</f>
        <v>-1000000000000000</v>
      </c>
      <c r="X581" s="53" t="n">
        <f aca="false">IF(T581=1,IF(AND(ISNUMBER(F581),ISNUMBER(K581)),K581-F581,0),0)</f>
        <v>0</v>
      </c>
      <c r="Y581" s="53" t="n">
        <f aca="false">IF(T581=1,IF(AND(ISNUMBER(F581),ISNUMBER(K581)),1,0),0)</f>
        <v>0</v>
      </c>
      <c r="Z581" s="53" t="n">
        <f aca="false">IF(U581&gt;=Settings!$C$8,1,0)</f>
        <v>0</v>
      </c>
      <c r="AA581" s="53" t="n">
        <f aca="false">IF(S581=1,IF(J581="Listed / Publicado",0,1),0)</f>
        <v>0</v>
      </c>
      <c r="AB581" s="53" t="n">
        <f aca="false">IF(T581=1,IF(ISNUMBER(L581),L581-G581,0),0)</f>
        <v>0</v>
      </c>
      <c r="AC581" s="53" t="n">
        <f aca="false">IF(S581=1,IF(ISNUMBER(I581),I581-G581,0),0)</f>
        <v>0</v>
      </c>
    </row>
    <row r="582" customFormat="false" ht="15" hidden="false" customHeight="false" outlineLevel="0" collapsed="false">
      <c r="B582" s="54"/>
      <c r="C582" s="55"/>
      <c r="D582" s="55"/>
      <c r="E582" s="55"/>
      <c r="F582" s="56"/>
      <c r="G582" s="57"/>
      <c r="H582" s="55"/>
      <c r="I582" s="57"/>
      <c r="J582" s="54"/>
      <c r="K582" s="56"/>
      <c r="L582" s="57"/>
      <c r="M582" s="54"/>
      <c r="N582" s="58" t="str">
        <f aca="false">IF(S582=1,IF(U582&lt;0,"",U582),IF(Y582=1,X582,""))</f>
        <v/>
      </c>
      <c r="O582" s="59" t="str">
        <f aca="false">IF(S582=1,IF(ISNUMBER(I582),I582-G582,""),"")</f>
        <v/>
      </c>
      <c r="P582" s="59" t="str">
        <f aca="false">IF(T582=1,IF(ISNUMBER(L582),L582-G582,""),"")</f>
        <v/>
      </c>
      <c r="Q582" s="60" t="str">
        <f aca="false">IF(C582="","",IF(T582=1,"✔ SOLD / VENDIDO",IF(S582=0,"— CLOSED / CERRADO",IF(U582&lt;0,"⚠ ADD DATE / AGREGA FECHA",IF(U582&gt;=Settings!$C$8,"⚠ STALE – REPRICE / ESTANCADO",IF(U582&gt;=Settings!$C$7,"● WATCH / VIGILAR","✔ FRESH / RECIENTE"))))))</f>
        <v/>
      </c>
      <c r="S582" s="53" t="n">
        <f aca="false">IF(C582="",0,IF(OR(J582="",J582="In Stock / En Inventario",J582="Listed / Publicado"),1,0))</f>
        <v>0</v>
      </c>
      <c r="T582" s="53" t="n">
        <f aca="false">IF(C582="",0,IF(J582="Sold / Vendido",1,0))</f>
        <v>0</v>
      </c>
      <c r="U582" s="53" t="n">
        <f aca="true">IF(S582=1,IF(ISNUMBER(F582),TODAY()-F582,-1),-1)</f>
        <v>-1</v>
      </c>
      <c r="V582" s="53" t="n">
        <f aca="false">IF(U582&lt;0,IF(S582=1,5,0),IF(U582&lt;=30,1,IF(U582&lt;=60,2,IF(U582&lt;=90,3,4))))</f>
        <v>0</v>
      </c>
      <c r="W582" s="53" t="n">
        <f aca="false">IF(U582&lt;0,-1000000000000000,U582+ROW()/1000000)</f>
        <v>-1000000000000000</v>
      </c>
      <c r="X582" s="53" t="n">
        <f aca="false">IF(T582=1,IF(AND(ISNUMBER(F582),ISNUMBER(K582)),K582-F582,0),0)</f>
        <v>0</v>
      </c>
      <c r="Y582" s="53" t="n">
        <f aca="false">IF(T582=1,IF(AND(ISNUMBER(F582),ISNUMBER(K582)),1,0),0)</f>
        <v>0</v>
      </c>
      <c r="Z582" s="53" t="n">
        <f aca="false">IF(U582&gt;=Settings!$C$8,1,0)</f>
        <v>0</v>
      </c>
      <c r="AA582" s="53" t="n">
        <f aca="false">IF(S582=1,IF(J582="Listed / Publicado",0,1),0)</f>
        <v>0</v>
      </c>
      <c r="AB582" s="53" t="n">
        <f aca="false">IF(T582=1,IF(ISNUMBER(L582),L582-G582,0),0)</f>
        <v>0</v>
      </c>
      <c r="AC582" s="53" t="n">
        <f aca="false">IF(S582=1,IF(ISNUMBER(I582),I582-G582,0),0)</f>
        <v>0</v>
      </c>
    </row>
    <row r="583" customFormat="false" ht="15" hidden="false" customHeight="false" outlineLevel="0" collapsed="false">
      <c r="B583" s="54"/>
      <c r="C583" s="55"/>
      <c r="D583" s="55"/>
      <c r="E583" s="55"/>
      <c r="F583" s="56"/>
      <c r="G583" s="57"/>
      <c r="H583" s="55"/>
      <c r="I583" s="57"/>
      <c r="J583" s="54"/>
      <c r="K583" s="56"/>
      <c r="L583" s="57"/>
      <c r="M583" s="54"/>
      <c r="N583" s="58" t="str">
        <f aca="false">IF(S583=1,IF(U583&lt;0,"",U583),IF(Y583=1,X583,""))</f>
        <v/>
      </c>
      <c r="O583" s="59" t="str">
        <f aca="false">IF(S583=1,IF(ISNUMBER(I583),I583-G583,""),"")</f>
        <v/>
      </c>
      <c r="P583" s="59" t="str">
        <f aca="false">IF(T583=1,IF(ISNUMBER(L583),L583-G583,""),"")</f>
        <v/>
      </c>
      <c r="Q583" s="60" t="str">
        <f aca="false">IF(C583="","",IF(T583=1,"✔ SOLD / VENDIDO",IF(S583=0,"— CLOSED / CERRADO",IF(U583&lt;0,"⚠ ADD DATE / AGREGA FECHA",IF(U583&gt;=Settings!$C$8,"⚠ STALE – REPRICE / ESTANCADO",IF(U583&gt;=Settings!$C$7,"● WATCH / VIGILAR","✔ FRESH / RECIENTE"))))))</f>
        <v/>
      </c>
      <c r="S583" s="53" t="n">
        <f aca="false">IF(C583="",0,IF(OR(J583="",J583="In Stock / En Inventario",J583="Listed / Publicado"),1,0))</f>
        <v>0</v>
      </c>
      <c r="T583" s="53" t="n">
        <f aca="false">IF(C583="",0,IF(J583="Sold / Vendido",1,0))</f>
        <v>0</v>
      </c>
      <c r="U583" s="53" t="n">
        <f aca="true">IF(S583=1,IF(ISNUMBER(F583),TODAY()-F583,-1),-1)</f>
        <v>-1</v>
      </c>
      <c r="V583" s="53" t="n">
        <f aca="false">IF(U583&lt;0,IF(S583=1,5,0),IF(U583&lt;=30,1,IF(U583&lt;=60,2,IF(U583&lt;=90,3,4))))</f>
        <v>0</v>
      </c>
      <c r="W583" s="53" t="n">
        <f aca="false">IF(U583&lt;0,-1000000000000000,U583+ROW()/1000000)</f>
        <v>-1000000000000000</v>
      </c>
      <c r="X583" s="53" t="n">
        <f aca="false">IF(T583=1,IF(AND(ISNUMBER(F583),ISNUMBER(K583)),K583-F583,0),0)</f>
        <v>0</v>
      </c>
      <c r="Y583" s="53" t="n">
        <f aca="false">IF(T583=1,IF(AND(ISNUMBER(F583),ISNUMBER(K583)),1,0),0)</f>
        <v>0</v>
      </c>
      <c r="Z583" s="53" t="n">
        <f aca="false">IF(U583&gt;=Settings!$C$8,1,0)</f>
        <v>0</v>
      </c>
      <c r="AA583" s="53" t="n">
        <f aca="false">IF(S583=1,IF(J583="Listed / Publicado",0,1),0)</f>
        <v>0</v>
      </c>
      <c r="AB583" s="53" t="n">
        <f aca="false">IF(T583=1,IF(ISNUMBER(L583),L583-G583,0),0)</f>
        <v>0</v>
      </c>
      <c r="AC583" s="53" t="n">
        <f aca="false">IF(S583=1,IF(ISNUMBER(I583),I583-G583,0),0)</f>
        <v>0</v>
      </c>
    </row>
    <row r="584" customFormat="false" ht="15" hidden="false" customHeight="false" outlineLevel="0" collapsed="false">
      <c r="B584" s="54"/>
      <c r="C584" s="55"/>
      <c r="D584" s="55"/>
      <c r="E584" s="55"/>
      <c r="F584" s="56"/>
      <c r="G584" s="57"/>
      <c r="H584" s="55"/>
      <c r="I584" s="57"/>
      <c r="J584" s="54"/>
      <c r="K584" s="56"/>
      <c r="L584" s="57"/>
      <c r="M584" s="54"/>
      <c r="N584" s="58" t="str">
        <f aca="false">IF(S584=1,IF(U584&lt;0,"",U584),IF(Y584=1,X584,""))</f>
        <v/>
      </c>
      <c r="O584" s="59" t="str">
        <f aca="false">IF(S584=1,IF(ISNUMBER(I584),I584-G584,""),"")</f>
        <v/>
      </c>
      <c r="P584" s="59" t="str">
        <f aca="false">IF(T584=1,IF(ISNUMBER(L584),L584-G584,""),"")</f>
        <v/>
      </c>
      <c r="Q584" s="60" t="str">
        <f aca="false">IF(C584="","",IF(T584=1,"✔ SOLD / VENDIDO",IF(S584=0,"— CLOSED / CERRADO",IF(U584&lt;0,"⚠ ADD DATE / AGREGA FECHA",IF(U584&gt;=Settings!$C$8,"⚠ STALE – REPRICE / ESTANCADO",IF(U584&gt;=Settings!$C$7,"● WATCH / VIGILAR","✔ FRESH / RECIENTE"))))))</f>
        <v/>
      </c>
      <c r="S584" s="53" t="n">
        <f aca="false">IF(C584="",0,IF(OR(J584="",J584="In Stock / En Inventario",J584="Listed / Publicado"),1,0))</f>
        <v>0</v>
      </c>
      <c r="T584" s="53" t="n">
        <f aca="false">IF(C584="",0,IF(J584="Sold / Vendido",1,0))</f>
        <v>0</v>
      </c>
      <c r="U584" s="53" t="n">
        <f aca="true">IF(S584=1,IF(ISNUMBER(F584),TODAY()-F584,-1),-1)</f>
        <v>-1</v>
      </c>
      <c r="V584" s="53" t="n">
        <f aca="false">IF(U584&lt;0,IF(S584=1,5,0),IF(U584&lt;=30,1,IF(U584&lt;=60,2,IF(U584&lt;=90,3,4))))</f>
        <v>0</v>
      </c>
      <c r="W584" s="53" t="n">
        <f aca="false">IF(U584&lt;0,-1000000000000000,U584+ROW()/1000000)</f>
        <v>-1000000000000000</v>
      </c>
      <c r="X584" s="53" t="n">
        <f aca="false">IF(T584=1,IF(AND(ISNUMBER(F584),ISNUMBER(K584)),K584-F584,0),0)</f>
        <v>0</v>
      </c>
      <c r="Y584" s="53" t="n">
        <f aca="false">IF(T584=1,IF(AND(ISNUMBER(F584),ISNUMBER(K584)),1,0),0)</f>
        <v>0</v>
      </c>
      <c r="Z584" s="53" t="n">
        <f aca="false">IF(U584&gt;=Settings!$C$8,1,0)</f>
        <v>0</v>
      </c>
      <c r="AA584" s="53" t="n">
        <f aca="false">IF(S584=1,IF(J584="Listed / Publicado",0,1),0)</f>
        <v>0</v>
      </c>
      <c r="AB584" s="53" t="n">
        <f aca="false">IF(T584=1,IF(ISNUMBER(L584),L584-G584,0),0)</f>
        <v>0</v>
      </c>
      <c r="AC584" s="53" t="n">
        <f aca="false">IF(S584=1,IF(ISNUMBER(I584),I584-G584,0),0)</f>
        <v>0</v>
      </c>
    </row>
    <row r="585" customFormat="false" ht="15" hidden="false" customHeight="false" outlineLevel="0" collapsed="false">
      <c r="B585" s="54"/>
      <c r="C585" s="55"/>
      <c r="D585" s="55"/>
      <c r="E585" s="55"/>
      <c r="F585" s="56"/>
      <c r="G585" s="57"/>
      <c r="H585" s="55"/>
      <c r="I585" s="57"/>
      <c r="J585" s="54"/>
      <c r="K585" s="56"/>
      <c r="L585" s="57"/>
      <c r="M585" s="54"/>
      <c r="N585" s="58" t="str">
        <f aca="false">IF(S585=1,IF(U585&lt;0,"",U585),IF(Y585=1,X585,""))</f>
        <v/>
      </c>
      <c r="O585" s="59" t="str">
        <f aca="false">IF(S585=1,IF(ISNUMBER(I585),I585-G585,""),"")</f>
        <v/>
      </c>
      <c r="P585" s="59" t="str">
        <f aca="false">IF(T585=1,IF(ISNUMBER(L585),L585-G585,""),"")</f>
        <v/>
      </c>
      <c r="Q585" s="60" t="str">
        <f aca="false">IF(C585="","",IF(T585=1,"✔ SOLD / VENDIDO",IF(S585=0,"— CLOSED / CERRADO",IF(U585&lt;0,"⚠ ADD DATE / AGREGA FECHA",IF(U585&gt;=Settings!$C$8,"⚠ STALE – REPRICE / ESTANCADO",IF(U585&gt;=Settings!$C$7,"● WATCH / VIGILAR","✔ FRESH / RECIENTE"))))))</f>
        <v/>
      </c>
      <c r="S585" s="53" t="n">
        <f aca="false">IF(C585="",0,IF(OR(J585="",J585="In Stock / En Inventario",J585="Listed / Publicado"),1,0))</f>
        <v>0</v>
      </c>
      <c r="T585" s="53" t="n">
        <f aca="false">IF(C585="",0,IF(J585="Sold / Vendido",1,0))</f>
        <v>0</v>
      </c>
      <c r="U585" s="53" t="n">
        <f aca="true">IF(S585=1,IF(ISNUMBER(F585),TODAY()-F585,-1),-1)</f>
        <v>-1</v>
      </c>
      <c r="V585" s="53" t="n">
        <f aca="false">IF(U585&lt;0,IF(S585=1,5,0),IF(U585&lt;=30,1,IF(U585&lt;=60,2,IF(U585&lt;=90,3,4))))</f>
        <v>0</v>
      </c>
      <c r="W585" s="53" t="n">
        <f aca="false">IF(U585&lt;0,-1000000000000000,U585+ROW()/1000000)</f>
        <v>-1000000000000000</v>
      </c>
      <c r="X585" s="53" t="n">
        <f aca="false">IF(T585=1,IF(AND(ISNUMBER(F585),ISNUMBER(K585)),K585-F585,0),0)</f>
        <v>0</v>
      </c>
      <c r="Y585" s="53" t="n">
        <f aca="false">IF(T585=1,IF(AND(ISNUMBER(F585),ISNUMBER(K585)),1,0),0)</f>
        <v>0</v>
      </c>
      <c r="Z585" s="53" t="n">
        <f aca="false">IF(U585&gt;=Settings!$C$8,1,0)</f>
        <v>0</v>
      </c>
      <c r="AA585" s="53" t="n">
        <f aca="false">IF(S585=1,IF(J585="Listed / Publicado",0,1),0)</f>
        <v>0</v>
      </c>
      <c r="AB585" s="53" t="n">
        <f aca="false">IF(T585=1,IF(ISNUMBER(L585),L585-G585,0),0)</f>
        <v>0</v>
      </c>
      <c r="AC585" s="53" t="n">
        <f aca="false">IF(S585=1,IF(ISNUMBER(I585),I585-G585,0),0)</f>
        <v>0</v>
      </c>
    </row>
    <row r="586" customFormat="false" ht="15" hidden="false" customHeight="false" outlineLevel="0" collapsed="false">
      <c r="B586" s="54"/>
      <c r="C586" s="55"/>
      <c r="D586" s="55"/>
      <c r="E586" s="55"/>
      <c r="F586" s="56"/>
      <c r="G586" s="57"/>
      <c r="H586" s="55"/>
      <c r="I586" s="57"/>
      <c r="J586" s="54"/>
      <c r="K586" s="56"/>
      <c r="L586" s="57"/>
      <c r="M586" s="54"/>
      <c r="N586" s="58" t="str">
        <f aca="false">IF(S586=1,IF(U586&lt;0,"",U586),IF(Y586=1,X586,""))</f>
        <v/>
      </c>
      <c r="O586" s="59" t="str">
        <f aca="false">IF(S586=1,IF(ISNUMBER(I586),I586-G586,""),"")</f>
        <v/>
      </c>
      <c r="P586" s="59" t="str">
        <f aca="false">IF(T586=1,IF(ISNUMBER(L586),L586-G586,""),"")</f>
        <v/>
      </c>
      <c r="Q586" s="60" t="str">
        <f aca="false">IF(C586="","",IF(T586=1,"✔ SOLD / VENDIDO",IF(S586=0,"— CLOSED / CERRADO",IF(U586&lt;0,"⚠ ADD DATE / AGREGA FECHA",IF(U586&gt;=Settings!$C$8,"⚠ STALE – REPRICE / ESTANCADO",IF(U586&gt;=Settings!$C$7,"● WATCH / VIGILAR","✔ FRESH / RECIENTE"))))))</f>
        <v/>
      </c>
      <c r="S586" s="53" t="n">
        <f aca="false">IF(C586="",0,IF(OR(J586="",J586="In Stock / En Inventario",J586="Listed / Publicado"),1,0))</f>
        <v>0</v>
      </c>
      <c r="T586" s="53" t="n">
        <f aca="false">IF(C586="",0,IF(J586="Sold / Vendido",1,0))</f>
        <v>0</v>
      </c>
      <c r="U586" s="53" t="n">
        <f aca="true">IF(S586=1,IF(ISNUMBER(F586),TODAY()-F586,-1),-1)</f>
        <v>-1</v>
      </c>
      <c r="V586" s="53" t="n">
        <f aca="false">IF(U586&lt;0,IF(S586=1,5,0),IF(U586&lt;=30,1,IF(U586&lt;=60,2,IF(U586&lt;=90,3,4))))</f>
        <v>0</v>
      </c>
      <c r="W586" s="53" t="n">
        <f aca="false">IF(U586&lt;0,-1000000000000000,U586+ROW()/1000000)</f>
        <v>-1000000000000000</v>
      </c>
      <c r="X586" s="53" t="n">
        <f aca="false">IF(T586=1,IF(AND(ISNUMBER(F586),ISNUMBER(K586)),K586-F586,0),0)</f>
        <v>0</v>
      </c>
      <c r="Y586" s="53" t="n">
        <f aca="false">IF(T586=1,IF(AND(ISNUMBER(F586),ISNUMBER(K586)),1,0),0)</f>
        <v>0</v>
      </c>
      <c r="Z586" s="53" t="n">
        <f aca="false">IF(U586&gt;=Settings!$C$8,1,0)</f>
        <v>0</v>
      </c>
      <c r="AA586" s="53" t="n">
        <f aca="false">IF(S586=1,IF(J586="Listed / Publicado",0,1),0)</f>
        <v>0</v>
      </c>
      <c r="AB586" s="53" t="n">
        <f aca="false">IF(T586=1,IF(ISNUMBER(L586),L586-G586,0),0)</f>
        <v>0</v>
      </c>
      <c r="AC586" s="53" t="n">
        <f aca="false">IF(S586=1,IF(ISNUMBER(I586),I586-G586,0),0)</f>
        <v>0</v>
      </c>
    </row>
    <row r="587" customFormat="false" ht="15" hidden="false" customHeight="false" outlineLevel="0" collapsed="false">
      <c r="B587" s="54"/>
      <c r="C587" s="55"/>
      <c r="D587" s="55"/>
      <c r="E587" s="55"/>
      <c r="F587" s="56"/>
      <c r="G587" s="57"/>
      <c r="H587" s="55"/>
      <c r="I587" s="57"/>
      <c r="J587" s="54"/>
      <c r="K587" s="56"/>
      <c r="L587" s="57"/>
      <c r="M587" s="54"/>
      <c r="N587" s="58" t="str">
        <f aca="false">IF(S587=1,IF(U587&lt;0,"",U587),IF(Y587=1,X587,""))</f>
        <v/>
      </c>
      <c r="O587" s="59" t="str">
        <f aca="false">IF(S587=1,IF(ISNUMBER(I587),I587-G587,""),"")</f>
        <v/>
      </c>
      <c r="P587" s="59" t="str">
        <f aca="false">IF(T587=1,IF(ISNUMBER(L587),L587-G587,""),"")</f>
        <v/>
      </c>
      <c r="Q587" s="60" t="str">
        <f aca="false">IF(C587="","",IF(T587=1,"✔ SOLD / VENDIDO",IF(S587=0,"— CLOSED / CERRADO",IF(U587&lt;0,"⚠ ADD DATE / AGREGA FECHA",IF(U587&gt;=Settings!$C$8,"⚠ STALE – REPRICE / ESTANCADO",IF(U587&gt;=Settings!$C$7,"● WATCH / VIGILAR","✔ FRESH / RECIENTE"))))))</f>
        <v/>
      </c>
      <c r="S587" s="53" t="n">
        <f aca="false">IF(C587="",0,IF(OR(J587="",J587="In Stock / En Inventario",J587="Listed / Publicado"),1,0))</f>
        <v>0</v>
      </c>
      <c r="T587" s="53" t="n">
        <f aca="false">IF(C587="",0,IF(J587="Sold / Vendido",1,0))</f>
        <v>0</v>
      </c>
      <c r="U587" s="53" t="n">
        <f aca="true">IF(S587=1,IF(ISNUMBER(F587),TODAY()-F587,-1),-1)</f>
        <v>-1</v>
      </c>
      <c r="V587" s="53" t="n">
        <f aca="false">IF(U587&lt;0,IF(S587=1,5,0),IF(U587&lt;=30,1,IF(U587&lt;=60,2,IF(U587&lt;=90,3,4))))</f>
        <v>0</v>
      </c>
      <c r="W587" s="53" t="n">
        <f aca="false">IF(U587&lt;0,-1000000000000000,U587+ROW()/1000000)</f>
        <v>-1000000000000000</v>
      </c>
      <c r="X587" s="53" t="n">
        <f aca="false">IF(T587=1,IF(AND(ISNUMBER(F587),ISNUMBER(K587)),K587-F587,0),0)</f>
        <v>0</v>
      </c>
      <c r="Y587" s="53" t="n">
        <f aca="false">IF(T587=1,IF(AND(ISNUMBER(F587),ISNUMBER(K587)),1,0),0)</f>
        <v>0</v>
      </c>
      <c r="Z587" s="53" t="n">
        <f aca="false">IF(U587&gt;=Settings!$C$8,1,0)</f>
        <v>0</v>
      </c>
      <c r="AA587" s="53" t="n">
        <f aca="false">IF(S587=1,IF(J587="Listed / Publicado",0,1),0)</f>
        <v>0</v>
      </c>
      <c r="AB587" s="53" t="n">
        <f aca="false">IF(T587=1,IF(ISNUMBER(L587),L587-G587,0),0)</f>
        <v>0</v>
      </c>
      <c r="AC587" s="53" t="n">
        <f aca="false">IF(S587=1,IF(ISNUMBER(I587),I587-G587,0),0)</f>
        <v>0</v>
      </c>
    </row>
    <row r="588" customFormat="false" ht="15" hidden="false" customHeight="false" outlineLevel="0" collapsed="false">
      <c r="B588" s="54"/>
      <c r="C588" s="55"/>
      <c r="D588" s="55"/>
      <c r="E588" s="55"/>
      <c r="F588" s="56"/>
      <c r="G588" s="57"/>
      <c r="H588" s="55"/>
      <c r="I588" s="57"/>
      <c r="J588" s="54"/>
      <c r="K588" s="56"/>
      <c r="L588" s="57"/>
      <c r="M588" s="54"/>
      <c r="N588" s="58" t="str">
        <f aca="false">IF(S588=1,IF(U588&lt;0,"",U588),IF(Y588=1,X588,""))</f>
        <v/>
      </c>
      <c r="O588" s="59" t="str">
        <f aca="false">IF(S588=1,IF(ISNUMBER(I588),I588-G588,""),"")</f>
        <v/>
      </c>
      <c r="P588" s="59" t="str">
        <f aca="false">IF(T588=1,IF(ISNUMBER(L588),L588-G588,""),"")</f>
        <v/>
      </c>
      <c r="Q588" s="60" t="str">
        <f aca="false">IF(C588="","",IF(T588=1,"✔ SOLD / VENDIDO",IF(S588=0,"— CLOSED / CERRADO",IF(U588&lt;0,"⚠ ADD DATE / AGREGA FECHA",IF(U588&gt;=Settings!$C$8,"⚠ STALE – REPRICE / ESTANCADO",IF(U588&gt;=Settings!$C$7,"● WATCH / VIGILAR","✔ FRESH / RECIENTE"))))))</f>
        <v/>
      </c>
      <c r="S588" s="53" t="n">
        <f aca="false">IF(C588="",0,IF(OR(J588="",J588="In Stock / En Inventario",J588="Listed / Publicado"),1,0))</f>
        <v>0</v>
      </c>
      <c r="T588" s="53" t="n">
        <f aca="false">IF(C588="",0,IF(J588="Sold / Vendido",1,0))</f>
        <v>0</v>
      </c>
      <c r="U588" s="53" t="n">
        <f aca="true">IF(S588=1,IF(ISNUMBER(F588),TODAY()-F588,-1),-1)</f>
        <v>-1</v>
      </c>
      <c r="V588" s="53" t="n">
        <f aca="false">IF(U588&lt;0,IF(S588=1,5,0),IF(U588&lt;=30,1,IF(U588&lt;=60,2,IF(U588&lt;=90,3,4))))</f>
        <v>0</v>
      </c>
      <c r="W588" s="53" t="n">
        <f aca="false">IF(U588&lt;0,-1000000000000000,U588+ROW()/1000000)</f>
        <v>-1000000000000000</v>
      </c>
      <c r="X588" s="53" t="n">
        <f aca="false">IF(T588=1,IF(AND(ISNUMBER(F588),ISNUMBER(K588)),K588-F588,0),0)</f>
        <v>0</v>
      </c>
      <c r="Y588" s="53" t="n">
        <f aca="false">IF(T588=1,IF(AND(ISNUMBER(F588),ISNUMBER(K588)),1,0),0)</f>
        <v>0</v>
      </c>
      <c r="Z588" s="53" t="n">
        <f aca="false">IF(U588&gt;=Settings!$C$8,1,0)</f>
        <v>0</v>
      </c>
      <c r="AA588" s="53" t="n">
        <f aca="false">IF(S588=1,IF(J588="Listed / Publicado",0,1),0)</f>
        <v>0</v>
      </c>
      <c r="AB588" s="53" t="n">
        <f aca="false">IF(T588=1,IF(ISNUMBER(L588),L588-G588,0),0)</f>
        <v>0</v>
      </c>
      <c r="AC588" s="53" t="n">
        <f aca="false">IF(S588=1,IF(ISNUMBER(I588),I588-G588,0),0)</f>
        <v>0</v>
      </c>
    </row>
    <row r="589" customFormat="false" ht="15" hidden="false" customHeight="false" outlineLevel="0" collapsed="false">
      <c r="B589" s="54"/>
      <c r="C589" s="55"/>
      <c r="D589" s="55"/>
      <c r="E589" s="55"/>
      <c r="F589" s="56"/>
      <c r="G589" s="57"/>
      <c r="H589" s="55"/>
      <c r="I589" s="57"/>
      <c r="J589" s="54"/>
      <c r="K589" s="56"/>
      <c r="L589" s="57"/>
      <c r="M589" s="54"/>
      <c r="N589" s="58" t="str">
        <f aca="false">IF(S589=1,IF(U589&lt;0,"",U589),IF(Y589=1,X589,""))</f>
        <v/>
      </c>
      <c r="O589" s="59" t="str">
        <f aca="false">IF(S589=1,IF(ISNUMBER(I589),I589-G589,""),"")</f>
        <v/>
      </c>
      <c r="P589" s="59" t="str">
        <f aca="false">IF(T589=1,IF(ISNUMBER(L589),L589-G589,""),"")</f>
        <v/>
      </c>
      <c r="Q589" s="60" t="str">
        <f aca="false">IF(C589="","",IF(T589=1,"✔ SOLD / VENDIDO",IF(S589=0,"— CLOSED / CERRADO",IF(U589&lt;0,"⚠ ADD DATE / AGREGA FECHA",IF(U589&gt;=Settings!$C$8,"⚠ STALE – REPRICE / ESTANCADO",IF(U589&gt;=Settings!$C$7,"● WATCH / VIGILAR","✔ FRESH / RECIENTE"))))))</f>
        <v/>
      </c>
      <c r="S589" s="53" t="n">
        <f aca="false">IF(C589="",0,IF(OR(J589="",J589="In Stock / En Inventario",J589="Listed / Publicado"),1,0))</f>
        <v>0</v>
      </c>
      <c r="T589" s="53" t="n">
        <f aca="false">IF(C589="",0,IF(J589="Sold / Vendido",1,0))</f>
        <v>0</v>
      </c>
      <c r="U589" s="53" t="n">
        <f aca="true">IF(S589=1,IF(ISNUMBER(F589),TODAY()-F589,-1),-1)</f>
        <v>-1</v>
      </c>
      <c r="V589" s="53" t="n">
        <f aca="false">IF(U589&lt;0,IF(S589=1,5,0),IF(U589&lt;=30,1,IF(U589&lt;=60,2,IF(U589&lt;=90,3,4))))</f>
        <v>0</v>
      </c>
      <c r="W589" s="53" t="n">
        <f aca="false">IF(U589&lt;0,-1000000000000000,U589+ROW()/1000000)</f>
        <v>-1000000000000000</v>
      </c>
      <c r="X589" s="53" t="n">
        <f aca="false">IF(T589=1,IF(AND(ISNUMBER(F589),ISNUMBER(K589)),K589-F589,0),0)</f>
        <v>0</v>
      </c>
      <c r="Y589" s="53" t="n">
        <f aca="false">IF(T589=1,IF(AND(ISNUMBER(F589),ISNUMBER(K589)),1,0),0)</f>
        <v>0</v>
      </c>
      <c r="Z589" s="53" t="n">
        <f aca="false">IF(U589&gt;=Settings!$C$8,1,0)</f>
        <v>0</v>
      </c>
      <c r="AA589" s="53" t="n">
        <f aca="false">IF(S589=1,IF(J589="Listed / Publicado",0,1),0)</f>
        <v>0</v>
      </c>
      <c r="AB589" s="53" t="n">
        <f aca="false">IF(T589=1,IF(ISNUMBER(L589),L589-G589,0),0)</f>
        <v>0</v>
      </c>
      <c r="AC589" s="53" t="n">
        <f aca="false">IF(S589=1,IF(ISNUMBER(I589),I589-G589,0),0)</f>
        <v>0</v>
      </c>
    </row>
    <row r="590" customFormat="false" ht="15" hidden="false" customHeight="false" outlineLevel="0" collapsed="false">
      <c r="B590" s="54"/>
      <c r="C590" s="55"/>
      <c r="D590" s="55"/>
      <c r="E590" s="55"/>
      <c r="F590" s="56"/>
      <c r="G590" s="57"/>
      <c r="H590" s="55"/>
      <c r="I590" s="57"/>
      <c r="J590" s="54"/>
      <c r="K590" s="56"/>
      <c r="L590" s="57"/>
      <c r="M590" s="54"/>
      <c r="N590" s="58" t="str">
        <f aca="false">IF(S590=1,IF(U590&lt;0,"",U590),IF(Y590=1,X590,""))</f>
        <v/>
      </c>
      <c r="O590" s="59" t="str">
        <f aca="false">IF(S590=1,IF(ISNUMBER(I590),I590-G590,""),"")</f>
        <v/>
      </c>
      <c r="P590" s="59" t="str">
        <f aca="false">IF(T590=1,IF(ISNUMBER(L590),L590-G590,""),"")</f>
        <v/>
      </c>
      <c r="Q590" s="60" t="str">
        <f aca="false">IF(C590="","",IF(T590=1,"✔ SOLD / VENDIDO",IF(S590=0,"— CLOSED / CERRADO",IF(U590&lt;0,"⚠ ADD DATE / AGREGA FECHA",IF(U590&gt;=Settings!$C$8,"⚠ STALE – REPRICE / ESTANCADO",IF(U590&gt;=Settings!$C$7,"● WATCH / VIGILAR","✔ FRESH / RECIENTE"))))))</f>
        <v/>
      </c>
      <c r="S590" s="53" t="n">
        <f aca="false">IF(C590="",0,IF(OR(J590="",J590="In Stock / En Inventario",J590="Listed / Publicado"),1,0))</f>
        <v>0</v>
      </c>
      <c r="T590" s="53" t="n">
        <f aca="false">IF(C590="",0,IF(J590="Sold / Vendido",1,0))</f>
        <v>0</v>
      </c>
      <c r="U590" s="53" t="n">
        <f aca="true">IF(S590=1,IF(ISNUMBER(F590),TODAY()-F590,-1),-1)</f>
        <v>-1</v>
      </c>
      <c r="V590" s="53" t="n">
        <f aca="false">IF(U590&lt;0,IF(S590=1,5,0),IF(U590&lt;=30,1,IF(U590&lt;=60,2,IF(U590&lt;=90,3,4))))</f>
        <v>0</v>
      </c>
      <c r="W590" s="53" t="n">
        <f aca="false">IF(U590&lt;0,-1000000000000000,U590+ROW()/1000000)</f>
        <v>-1000000000000000</v>
      </c>
      <c r="X590" s="53" t="n">
        <f aca="false">IF(T590=1,IF(AND(ISNUMBER(F590),ISNUMBER(K590)),K590-F590,0),0)</f>
        <v>0</v>
      </c>
      <c r="Y590" s="53" t="n">
        <f aca="false">IF(T590=1,IF(AND(ISNUMBER(F590),ISNUMBER(K590)),1,0),0)</f>
        <v>0</v>
      </c>
      <c r="Z590" s="53" t="n">
        <f aca="false">IF(U590&gt;=Settings!$C$8,1,0)</f>
        <v>0</v>
      </c>
      <c r="AA590" s="53" t="n">
        <f aca="false">IF(S590=1,IF(J590="Listed / Publicado",0,1),0)</f>
        <v>0</v>
      </c>
      <c r="AB590" s="53" t="n">
        <f aca="false">IF(T590=1,IF(ISNUMBER(L590),L590-G590,0),0)</f>
        <v>0</v>
      </c>
      <c r="AC590" s="53" t="n">
        <f aca="false">IF(S590=1,IF(ISNUMBER(I590),I590-G590,0),0)</f>
        <v>0</v>
      </c>
    </row>
    <row r="591" customFormat="false" ht="15" hidden="false" customHeight="false" outlineLevel="0" collapsed="false">
      <c r="B591" s="54"/>
      <c r="C591" s="55"/>
      <c r="D591" s="55"/>
      <c r="E591" s="55"/>
      <c r="F591" s="56"/>
      <c r="G591" s="57"/>
      <c r="H591" s="55"/>
      <c r="I591" s="57"/>
      <c r="J591" s="54"/>
      <c r="K591" s="56"/>
      <c r="L591" s="57"/>
      <c r="M591" s="54"/>
      <c r="N591" s="58" t="str">
        <f aca="false">IF(S591=1,IF(U591&lt;0,"",U591),IF(Y591=1,X591,""))</f>
        <v/>
      </c>
      <c r="O591" s="59" t="str">
        <f aca="false">IF(S591=1,IF(ISNUMBER(I591),I591-G591,""),"")</f>
        <v/>
      </c>
      <c r="P591" s="59" t="str">
        <f aca="false">IF(T591=1,IF(ISNUMBER(L591),L591-G591,""),"")</f>
        <v/>
      </c>
      <c r="Q591" s="60" t="str">
        <f aca="false">IF(C591="","",IF(T591=1,"✔ SOLD / VENDIDO",IF(S591=0,"— CLOSED / CERRADO",IF(U591&lt;0,"⚠ ADD DATE / AGREGA FECHA",IF(U591&gt;=Settings!$C$8,"⚠ STALE – REPRICE / ESTANCADO",IF(U591&gt;=Settings!$C$7,"● WATCH / VIGILAR","✔ FRESH / RECIENTE"))))))</f>
        <v/>
      </c>
      <c r="S591" s="53" t="n">
        <f aca="false">IF(C591="",0,IF(OR(J591="",J591="In Stock / En Inventario",J591="Listed / Publicado"),1,0))</f>
        <v>0</v>
      </c>
      <c r="T591" s="53" t="n">
        <f aca="false">IF(C591="",0,IF(J591="Sold / Vendido",1,0))</f>
        <v>0</v>
      </c>
      <c r="U591" s="53" t="n">
        <f aca="true">IF(S591=1,IF(ISNUMBER(F591),TODAY()-F591,-1),-1)</f>
        <v>-1</v>
      </c>
      <c r="V591" s="53" t="n">
        <f aca="false">IF(U591&lt;0,IF(S591=1,5,0),IF(U591&lt;=30,1,IF(U591&lt;=60,2,IF(U591&lt;=90,3,4))))</f>
        <v>0</v>
      </c>
      <c r="W591" s="53" t="n">
        <f aca="false">IF(U591&lt;0,-1000000000000000,U591+ROW()/1000000)</f>
        <v>-1000000000000000</v>
      </c>
      <c r="X591" s="53" t="n">
        <f aca="false">IF(T591=1,IF(AND(ISNUMBER(F591),ISNUMBER(K591)),K591-F591,0),0)</f>
        <v>0</v>
      </c>
      <c r="Y591" s="53" t="n">
        <f aca="false">IF(T591=1,IF(AND(ISNUMBER(F591),ISNUMBER(K591)),1,0),0)</f>
        <v>0</v>
      </c>
      <c r="Z591" s="53" t="n">
        <f aca="false">IF(U591&gt;=Settings!$C$8,1,0)</f>
        <v>0</v>
      </c>
      <c r="AA591" s="53" t="n">
        <f aca="false">IF(S591=1,IF(J591="Listed / Publicado",0,1),0)</f>
        <v>0</v>
      </c>
      <c r="AB591" s="53" t="n">
        <f aca="false">IF(T591=1,IF(ISNUMBER(L591),L591-G591,0),0)</f>
        <v>0</v>
      </c>
      <c r="AC591" s="53" t="n">
        <f aca="false">IF(S591=1,IF(ISNUMBER(I591),I591-G591,0),0)</f>
        <v>0</v>
      </c>
    </row>
    <row r="592" customFormat="false" ht="15" hidden="false" customHeight="false" outlineLevel="0" collapsed="false">
      <c r="B592" s="54"/>
      <c r="C592" s="55"/>
      <c r="D592" s="55"/>
      <c r="E592" s="55"/>
      <c r="F592" s="56"/>
      <c r="G592" s="57"/>
      <c r="H592" s="55"/>
      <c r="I592" s="57"/>
      <c r="J592" s="54"/>
      <c r="K592" s="56"/>
      <c r="L592" s="57"/>
      <c r="M592" s="54"/>
      <c r="N592" s="58" t="str">
        <f aca="false">IF(S592=1,IF(U592&lt;0,"",U592),IF(Y592=1,X592,""))</f>
        <v/>
      </c>
      <c r="O592" s="59" t="str">
        <f aca="false">IF(S592=1,IF(ISNUMBER(I592),I592-G592,""),"")</f>
        <v/>
      </c>
      <c r="P592" s="59" t="str">
        <f aca="false">IF(T592=1,IF(ISNUMBER(L592),L592-G592,""),"")</f>
        <v/>
      </c>
      <c r="Q592" s="60" t="str">
        <f aca="false">IF(C592="","",IF(T592=1,"✔ SOLD / VENDIDO",IF(S592=0,"— CLOSED / CERRADO",IF(U592&lt;0,"⚠ ADD DATE / AGREGA FECHA",IF(U592&gt;=Settings!$C$8,"⚠ STALE – REPRICE / ESTANCADO",IF(U592&gt;=Settings!$C$7,"● WATCH / VIGILAR","✔ FRESH / RECIENTE"))))))</f>
        <v/>
      </c>
      <c r="S592" s="53" t="n">
        <f aca="false">IF(C592="",0,IF(OR(J592="",J592="In Stock / En Inventario",J592="Listed / Publicado"),1,0))</f>
        <v>0</v>
      </c>
      <c r="T592" s="53" t="n">
        <f aca="false">IF(C592="",0,IF(J592="Sold / Vendido",1,0))</f>
        <v>0</v>
      </c>
      <c r="U592" s="53" t="n">
        <f aca="true">IF(S592=1,IF(ISNUMBER(F592),TODAY()-F592,-1),-1)</f>
        <v>-1</v>
      </c>
      <c r="V592" s="53" t="n">
        <f aca="false">IF(U592&lt;0,IF(S592=1,5,0),IF(U592&lt;=30,1,IF(U592&lt;=60,2,IF(U592&lt;=90,3,4))))</f>
        <v>0</v>
      </c>
      <c r="W592" s="53" t="n">
        <f aca="false">IF(U592&lt;0,-1000000000000000,U592+ROW()/1000000)</f>
        <v>-1000000000000000</v>
      </c>
      <c r="X592" s="53" t="n">
        <f aca="false">IF(T592=1,IF(AND(ISNUMBER(F592),ISNUMBER(K592)),K592-F592,0),0)</f>
        <v>0</v>
      </c>
      <c r="Y592" s="53" t="n">
        <f aca="false">IF(T592=1,IF(AND(ISNUMBER(F592),ISNUMBER(K592)),1,0),0)</f>
        <v>0</v>
      </c>
      <c r="Z592" s="53" t="n">
        <f aca="false">IF(U592&gt;=Settings!$C$8,1,0)</f>
        <v>0</v>
      </c>
      <c r="AA592" s="53" t="n">
        <f aca="false">IF(S592=1,IF(J592="Listed / Publicado",0,1),0)</f>
        <v>0</v>
      </c>
      <c r="AB592" s="53" t="n">
        <f aca="false">IF(T592=1,IF(ISNUMBER(L592),L592-G592,0),0)</f>
        <v>0</v>
      </c>
      <c r="AC592" s="53" t="n">
        <f aca="false">IF(S592=1,IF(ISNUMBER(I592),I592-G592,0),0)</f>
        <v>0</v>
      </c>
    </row>
    <row r="593" customFormat="false" ht="15" hidden="false" customHeight="false" outlineLevel="0" collapsed="false">
      <c r="B593" s="54"/>
      <c r="C593" s="55"/>
      <c r="D593" s="55"/>
      <c r="E593" s="55"/>
      <c r="F593" s="56"/>
      <c r="G593" s="57"/>
      <c r="H593" s="55"/>
      <c r="I593" s="57"/>
      <c r="J593" s="54"/>
      <c r="K593" s="56"/>
      <c r="L593" s="57"/>
      <c r="M593" s="54"/>
      <c r="N593" s="58" t="str">
        <f aca="false">IF(S593=1,IF(U593&lt;0,"",U593),IF(Y593=1,X593,""))</f>
        <v/>
      </c>
      <c r="O593" s="59" t="str">
        <f aca="false">IF(S593=1,IF(ISNUMBER(I593),I593-G593,""),"")</f>
        <v/>
      </c>
      <c r="P593" s="59" t="str">
        <f aca="false">IF(T593=1,IF(ISNUMBER(L593),L593-G593,""),"")</f>
        <v/>
      </c>
      <c r="Q593" s="60" t="str">
        <f aca="false">IF(C593="","",IF(T593=1,"✔ SOLD / VENDIDO",IF(S593=0,"— CLOSED / CERRADO",IF(U593&lt;0,"⚠ ADD DATE / AGREGA FECHA",IF(U593&gt;=Settings!$C$8,"⚠ STALE – REPRICE / ESTANCADO",IF(U593&gt;=Settings!$C$7,"● WATCH / VIGILAR","✔ FRESH / RECIENTE"))))))</f>
        <v/>
      </c>
      <c r="S593" s="53" t="n">
        <f aca="false">IF(C593="",0,IF(OR(J593="",J593="In Stock / En Inventario",J593="Listed / Publicado"),1,0))</f>
        <v>0</v>
      </c>
      <c r="T593" s="53" t="n">
        <f aca="false">IF(C593="",0,IF(J593="Sold / Vendido",1,0))</f>
        <v>0</v>
      </c>
      <c r="U593" s="53" t="n">
        <f aca="true">IF(S593=1,IF(ISNUMBER(F593),TODAY()-F593,-1),-1)</f>
        <v>-1</v>
      </c>
      <c r="V593" s="53" t="n">
        <f aca="false">IF(U593&lt;0,IF(S593=1,5,0),IF(U593&lt;=30,1,IF(U593&lt;=60,2,IF(U593&lt;=90,3,4))))</f>
        <v>0</v>
      </c>
      <c r="W593" s="53" t="n">
        <f aca="false">IF(U593&lt;0,-1000000000000000,U593+ROW()/1000000)</f>
        <v>-1000000000000000</v>
      </c>
      <c r="X593" s="53" t="n">
        <f aca="false">IF(T593=1,IF(AND(ISNUMBER(F593),ISNUMBER(K593)),K593-F593,0),0)</f>
        <v>0</v>
      </c>
      <c r="Y593" s="53" t="n">
        <f aca="false">IF(T593=1,IF(AND(ISNUMBER(F593),ISNUMBER(K593)),1,0),0)</f>
        <v>0</v>
      </c>
      <c r="Z593" s="53" t="n">
        <f aca="false">IF(U593&gt;=Settings!$C$8,1,0)</f>
        <v>0</v>
      </c>
      <c r="AA593" s="53" t="n">
        <f aca="false">IF(S593=1,IF(J593="Listed / Publicado",0,1),0)</f>
        <v>0</v>
      </c>
      <c r="AB593" s="53" t="n">
        <f aca="false">IF(T593=1,IF(ISNUMBER(L593),L593-G593,0),0)</f>
        <v>0</v>
      </c>
      <c r="AC593" s="53" t="n">
        <f aca="false">IF(S593=1,IF(ISNUMBER(I593),I593-G593,0),0)</f>
        <v>0</v>
      </c>
    </row>
    <row r="594" customFormat="false" ht="15" hidden="false" customHeight="false" outlineLevel="0" collapsed="false">
      <c r="B594" s="54"/>
      <c r="C594" s="55"/>
      <c r="D594" s="55"/>
      <c r="E594" s="55"/>
      <c r="F594" s="56"/>
      <c r="G594" s="57"/>
      <c r="H594" s="55"/>
      <c r="I594" s="57"/>
      <c r="J594" s="54"/>
      <c r="K594" s="56"/>
      <c r="L594" s="57"/>
      <c r="M594" s="54"/>
      <c r="N594" s="58" t="str">
        <f aca="false">IF(S594=1,IF(U594&lt;0,"",U594),IF(Y594=1,X594,""))</f>
        <v/>
      </c>
      <c r="O594" s="59" t="str">
        <f aca="false">IF(S594=1,IF(ISNUMBER(I594),I594-G594,""),"")</f>
        <v/>
      </c>
      <c r="P594" s="59" t="str">
        <f aca="false">IF(T594=1,IF(ISNUMBER(L594),L594-G594,""),"")</f>
        <v/>
      </c>
      <c r="Q594" s="60" t="str">
        <f aca="false">IF(C594="","",IF(T594=1,"✔ SOLD / VENDIDO",IF(S594=0,"— CLOSED / CERRADO",IF(U594&lt;0,"⚠ ADD DATE / AGREGA FECHA",IF(U594&gt;=Settings!$C$8,"⚠ STALE – REPRICE / ESTANCADO",IF(U594&gt;=Settings!$C$7,"● WATCH / VIGILAR","✔ FRESH / RECIENTE"))))))</f>
        <v/>
      </c>
      <c r="S594" s="53" t="n">
        <f aca="false">IF(C594="",0,IF(OR(J594="",J594="In Stock / En Inventario",J594="Listed / Publicado"),1,0))</f>
        <v>0</v>
      </c>
      <c r="T594" s="53" t="n">
        <f aca="false">IF(C594="",0,IF(J594="Sold / Vendido",1,0))</f>
        <v>0</v>
      </c>
      <c r="U594" s="53" t="n">
        <f aca="true">IF(S594=1,IF(ISNUMBER(F594),TODAY()-F594,-1),-1)</f>
        <v>-1</v>
      </c>
      <c r="V594" s="53" t="n">
        <f aca="false">IF(U594&lt;0,IF(S594=1,5,0),IF(U594&lt;=30,1,IF(U594&lt;=60,2,IF(U594&lt;=90,3,4))))</f>
        <v>0</v>
      </c>
      <c r="W594" s="53" t="n">
        <f aca="false">IF(U594&lt;0,-1000000000000000,U594+ROW()/1000000)</f>
        <v>-1000000000000000</v>
      </c>
      <c r="X594" s="53" t="n">
        <f aca="false">IF(T594=1,IF(AND(ISNUMBER(F594),ISNUMBER(K594)),K594-F594,0),0)</f>
        <v>0</v>
      </c>
      <c r="Y594" s="53" t="n">
        <f aca="false">IF(T594=1,IF(AND(ISNUMBER(F594),ISNUMBER(K594)),1,0),0)</f>
        <v>0</v>
      </c>
      <c r="Z594" s="53" t="n">
        <f aca="false">IF(U594&gt;=Settings!$C$8,1,0)</f>
        <v>0</v>
      </c>
      <c r="AA594" s="53" t="n">
        <f aca="false">IF(S594=1,IF(J594="Listed / Publicado",0,1),0)</f>
        <v>0</v>
      </c>
      <c r="AB594" s="53" t="n">
        <f aca="false">IF(T594=1,IF(ISNUMBER(L594),L594-G594,0),0)</f>
        <v>0</v>
      </c>
      <c r="AC594" s="53" t="n">
        <f aca="false">IF(S594=1,IF(ISNUMBER(I594),I594-G594,0),0)</f>
        <v>0</v>
      </c>
    </row>
    <row r="595" customFormat="false" ht="15" hidden="false" customHeight="false" outlineLevel="0" collapsed="false">
      <c r="B595" s="54"/>
      <c r="C595" s="55"/>
      <c r="D595" s="55"/>
      <c r="E595" s="55"/>
      <c r="F595" s="56"/>
      <c r="G595" s="57"/>
      <c r="H595" s="55"/>
      <c r="I595" s="57"/>
      <c r="J595" s="54"/>
      <c r="K595" s="56"/>
      <c r="L595" s="57"/>
      <c r="M595" s="54"/>
      <c r="N595" s="58" t="str">
        <f aca="false">IF(S595=1,IF(U595&lt;0,"",U595),IF(Y595=1,X595,""))</f>
        <v/>
      </c>
      <c r="O595" s="59" t="str">
        <f aca="false">IF(S595=1,IF(ISNUMBER(I595),I595-G595,""),"")</f>
        <v/>
      </c>
      <c r="P595" s="59" t="str">
        <f aca="false">IF(T595=1,IF(ISNUMBER(L595),L595-G595,""),"")</f>
        <v/>
      </c>
      <c r="Q595" s="60" t="str">
        <f aca="false">IF(C595="","",IF(T595=1,"✔ SOLD / VENDIDO",IF(S595=0,"— CLOSED / CERRADO",IF(U595&lt;0,"⚠ ADD DATE / AGREGA FECHA",IF(U595&gt;=Settings!$C$8,"⚠ STALE – REPRICE / ESTANCADO",IF(U595&gt;=Settings!$C$7,"● WATCH / VIGILAR","✔ FRESH / RECIENTE"))))))</f>
        <v/>
      </c>
      <c r="S595" s="53" t="n">
        <f aca="false">IF(C595="",0,IF(OR(J595="",J595="In Stock / En Inventario",J595="Listed / Publicado"),1,0))</f>
        <v>0</v>
      </c>
      <c r="T595" s="53" t="n">
        <f aca="false">IF(C595="",0,IF(J595="Sold / Vendido",1,0))</f>
        <v>0</v>
      </c>
      <c r="U595" s="53" t="n">
        <f aca="true">IF(S595=1,IF(ISNUMBER(F595),TODAY()-F595,-1),-1)</f>
        <v>-1</v>
      </c>
      <c r="V595" s="53" t="n">
        <f aca="false">IF(U595&lt;0,IF(S595=1,5,0),IF(U595&lt;=30,1,IF(U595&lt;=60,2,IF(U595&lt;=90,3,4))))</f>
        <v>0</v>
      </c>
      <c r="W595" s="53" t="n">
        <f aca="false">IF(U595&lt;0,-1000000000000000,U595+ROW()/1000000)</f>
        <v>-1000000000000000</v>
      </c>
      <c r="X595" s="53" t="n">
        <f aca="false">IF(T595=1,IF(AND(ISNUMBER(F595),ISNUMBER(K595)),K595-F595,0),0)</f>
        <v>0</v>
      </c>
      <c r="Y595" s="53" t="n">
        <f aca="false">IF(T595=1,IF(AND(ISNUMBER(F595),ISNUMBER(K595)),1,0),0)</f>
        <v>0</v>
      </c>
      <c r="Z595" s="53" t="n">
        <f aca="false">IF(U595&gt;=Settings!$C$8,1,0)</f>
        <v>0</v>
      </c>
      <c r="AA595" s="53" t="n">
        <f aca="false">IF(S595=1,IF(J595="Listed / Publicado",0,1),0)</f>
        <v>0</v>
      </c>
      <c r="AB595" s="53" t="n">
        <f aca="false">IF(T595=1,IF(ISNUMBER(L595),L595-G595,0),0)</f>
        <v>0</v>
      </c>
      <c r="AC595" s="53" t="n">
        <f aca="false">IF(S595=1,IF(ISNUMBER(I595),I595-G595,0),0)</f>
        <v>0</v>
      </c>
    </row>
    <row r="596" customFormat="false" ht="15" hidden="false" customHeight="false" outlineLevel="0" collapsed="false">
      <c r="B596" s="54"/>
      <c r="C596" s="55"/>
      <c r="D596" s="55"/>
      <c r="E596" s="55"/>
      <c r="F596" s="56"/>
      <c r="G596" s="57"/>
      <c r="H596" s="55"/>
      <c r="I596" s="57"/>
      <c r="J596" s="54"/>
      <c r="K596" s="56"/>
      <c r="L596" s="57"/>
      <c r="M596" s="54"/>
      <c r="N596" s="58" t="str">
        <f aca="false">IF(S596=1,IF(U596&lt;0,"",U596),IF(Y596=1,X596,""))</f>
        <v/>
      </c>
      <c r="O596" s="59" t="str">
        <f aca="false">IF(S596=1,IF(ISNUMBER(I596),I596-G596,""),"")</f>
        <v/>
      </c>
      <c r="P596" s="59" t="str">
        <f aca="false">IF(T596=1,IF(ISNUMBER(L596),L596-G596,""),"")</f>
        <v/>
      </c>
      <c r="Q596" s="60" t="str">
        <f aca="false">IF(C596="","",IF(T596=1,"✔ SOLD / VENDIDO",IF(S596=0,"— CLOSED / CERRADO",IF(U596&lt;0,"⚠ ADD DATE / AGREGA FECHA",IF(U596&gt;=Settings!$C$8,"⚠ STALE – REPRICE / ESTANCADO",IF(U596&gt;=Settings!$C$7,"● WATCH / VIGILAR","✔ FRESH / RECIENTE"))))))</f>
        <v/>
      </c>
      <c r="S596" s="53" t="n">
        <f aca="false">IF(C596="",0,IF(OR(J596="",J596="In Stock / En Inventario",J596="Listed / Publicado"),1,0))</f>
        <v>0</v>
      </c>
      <c r="T596" s="53" t="n">
        <f aca="false">IF(C596="",0,IF(J596="Sold / Vendido",1,0))</f>
        <v>0</v>
      </c>
      <c r="U596" s="53" t="n">
        <f aca="true">IF(S596=1,IF(ISNUMBER(F596),TODAY()-F596,-1),-1)</f>
        <v>-1</v>
      </c>
      <c r="V596" s="53" t="n">
        <f aca="false">IF(U596&lt;0,IF(S596=1,5,0),IF(U596&lt;=30,1,IF(U596&lt;=60,2,IF(U596&lt;=90,3,4))))</f>
        <v>0</v>
      </c>
      <c r="W596" s="53" t="n">
        <f aca="false">IF(U596&lt;0,-1000000000000000,U596+ROW()/1000000)</f>
        <v>-1000000000000000</v>
      </c>
      <c r="X596" s="53" t="n">
        <f aca="false">IF(T596=1,IF(AND(ISNUMBER(F596),ISNUMBER(K596)),K596-F596,0),0)</f>
        <v>0</v>
      </c>
      <c r="Y596" s="53" t="n">
        <f aca="false">IF(T596=1,IF(AND(ISNUMBER(F596),ISNUMBER(K596)),1,0),0)</f>
        <v>0</v>
      </c>
      <c r="Z596" s="53" t="n">
        <f aca="false">IF(U596&gt;=Settings!$C$8,1,0)</f>
        <v>0</v>
      </c>
      <c r="AA596" s="53" t="n">
        <f aca="false">IF(S596=1,IF(J596="Listed / Publicado",0,1),0)</f>
        <v>0</v>
      </c>
      <c r="AB596" s="53" t="n">
        <f aca="false">IF(T596=1,IF(ISNUMBER(L596),L596-G596,0),0)</f>
        <v>0</v>
      </c>
      <c r="AC596" s="53" t="n">
        <f aca="false">IF(S596=1,IF(ISNUMBER(I596),I596-G596,0),0)</f>
        <v>0</v>
      </c>
    </row>
    <row r="597" customFormat="false" ht="15" hidden="false" customHeight="false" outlineLevel="0" collapsed="false">
      <c r="B597" s="54"/>
      <c r="C597" s="55"/>
      <c r="D597" s="55"/>
      <c r="E597" s="55"/>
      <c r="F597" s="56"/>
      <c r="G597" s="57"/>
      <c r="H597" s="55"/>
      <c r="I597" s="57"/>
      <c r="J597" s="54"/>
      <c r="K597" s="56"/>
      <c r="L597" s="57"/>
      <c r="M597" s="54"/>
      <c r="N597" s="58" t="str">
        <f aca="false">IF(S597=1,IF(U597&lt;0,"",U597),IF(Y597=1,X597,""))</f>
        <v/>
      </c>
      <c r="O597" s="59" t="str">
        <f aca="false">IF(S597=1,IF(ISNUMBER(I597),I597-G597,""),"")</f>
        <v/>
      </c>
      <c r="P597" s="59" t="str">
        <f aca="false">IF(T597=1,IF(ISNUMBER(L597),L597-G597,""),"")</f>
        <v/>
      </c>
      <c r="Q597" s="60" t="str">
        <f aca="false">IF(C597="","",IF(T597=1,"✔ SOLD / VENDIDO",IF(S597=0,"— CLOSED / CERRADO",IF(U597&lt;0,"⚠ ADD DATE / AGREGA FECHA",IF(U597&gt;=Settings!$C$8,"⚠ STALE – REPRICE / ESTANCADO",IF(U597&gt;=Settings!$C$7,"● WATCH / VIGILAR","✔ FRESH / RECIENTE"))))))</f>
        <v/>
      </c>
      <c r="S597" s="53" t="n">
        <f aca="false">IF(C597="",0,IF(OR(J597="",J597="In Stock / En Inventario",J597="Listed / Publicado"),1,0))</f>
        <v>0</v>
      </c>
      <c r="T597" s="53" t="n">
        <f aca="false">IF(C597="",0,IF(J597="Sold / Vendido",1,0))</f>
        <v>0</v>
      </c>
      <c r="U597" s="53" t="n">
        <f aca="true">IF(S597=1,IF(ISNUMBER(F597),TODAY()-F597,-1),-1)</f>
        <v>-1</v>
      </c>
      <c r="V597" s="53" t="n">
        <f aca="false">IF(U597&lt;0,IF(S597=1,5,0),IF(U597&lt;=30,1,IF(U597&lt;=60,2,IF(U597&lt;=90,3,4))))</f>
        <v>0</v>
      </c>
      <c r="W597" s="53" t="n">
        <f aca="false">IF(U597&lt;0,-1000000000000000,U597+ROW()/1000000)</f>
        <v>-1000000000000000</v>
      </c>
      <c r="X597" s="53" t="n">
        <f aca="false">IF(T597=1,IF(AND(ISNUMBER(F597),ISNUMBER(K597)),K597-F597,0),0)</f>
        <v>0</v>
      </c>
      <c r="Y597" s="53" t="n">
        <f aca="false">IF(T597=1,IF(AND(ISNUMBER(F597),ISNUMBER(K597)),1,0),0)</f>
        <v>0</v>
      </c>
      <c r="Z597" s="53" t="n">
        <f aca="false">IF(U597&gt;=Settings!$C$8,1,0)</f>
        <v>0</v>
      </c>
      <c r="AA597" s="53" t="n">
        <f aca="false">IF(S597=1,IF(J597="Listed / Publicado",0,1),0)</f>
        <v>0</v>
      </c>
      <c r="AB597" s="53" t="n">
        <f aca="false">IF(T597=1,IF(ISNUMBER(L597),L597-G597,0),0)</f>
        <v>0</v>
      </c>
      <c r="AC597" s="53" t="n">
        <f aca="false">IF(S597=1,IF(ISNUMBER(I597),I597-G597,0),0)</f>
        <v>0</v>
      </c>
    </row>
    <row r="598" customFormat="false" ht="15" hidden="false" customHeight="false" outlineLevel="0" collapsed="false">
      <c r="B598" s="54"/>
      <c r="C598" s="55"/>
      <c r="D598" s="55"/>
      <c r="E598" s="55"/>
      <c r="F598" s="56"/>
      <c r="G598" s="57"/>
      <c r="H598" s="55"/>
      <c r="I598" s="57"/>
      <c r="J598" s="54"/>
      <c r="K598" s="56"/>
      <c r="L598" s="57"/>
      <c r="M598" s="54"/>
      <c r="N598" s="58" t="str">
        <f aca="false">IF(S598=1,IF(U598&lt;0,"",U598),IF(Y598=1,X598,""))</f>
        <v/>
      </c>
      <c r="O598" s="59" t="str">
        <f aca="false">IF(S598=1,IF(ISNUMBER(I598),I598-G598,""),"")</f>
        <v/>
      </c>
      <c r="P598" s="59" t="str">
        <f aca="false">IF(T598=1,IF(ISNUMBER(L598),L598-G598,""),"")</f>
        <v/>
      </c>
      <c r="Q598" s="60" t="str">
        <f aca="false">IF(C598="","",IF(T598=1,"✔ SOLD / VENDIDO",IF(S598=0,"— CLOSED / CERRADO",IF(U598&lt;0,"⚠ ADD DATE / AGREGA FECHA",IF(U598&gt;=Settings!$C$8,"⚠ STALE – REPRICE / ESTANCADO",IF(U598&gt;=Settings!$C$7,"● WATCH / VIGILAR","✔ FRESH / RECIENTE"))))))</f>
        <v/>
      </c>
      <c r="S598" s="53" t="n">
        <f aca="false">IF(C598="",0,IF(OR(J598="",J598="In Stock / En Inventario",J598="Listed / Publicado"),1,0))</f>
        <v>0</v>
      </c>
      <c r="T598" s="53" t="n">
        <f aca="false">IF(C598="",0,IF(J598="Sold / Vendido",1,0))</f>
        <v>0</v>
      </c>
      <c r="U598" s="53" t="n">
        <f aca="true">IF(S598=1,IF(ISNUMBER(F598),TODAY()-F598,-1),-1)</f>
        <v>-1</v>
      </c>
      <c r="V598" s="53" t="n">
        <f aca="false">IF(U598&lt;0,IF(S598=1,5,0),IF(U598&lt;=30,1,IF(U598&lt;=60,2,IF(U598&lt;=90,3,4))))</f>
        <v>0</v>
      </c>
      <c r="W598" s="53" t="n">
        <f aca="false">IF(U598&lt;0,-1000000000000000,U598+ROW()/1000000)</f>
        <v>-1000000000000000</v>
      </c>
      <c r="X598" s="53" t="n">
        <f aca="false">IF(T598=1,IF(AND(ISNUMBER(F598),ISNUMBER(K598)),K598-F598,0),0)</f>
        <v>0</v>
      </c>
      <c r="Y598" s="53" t="n">
        <f aca="false">IF(T598=1,IF(AND(ISNUMBER(F598),ISNUMBER(K598)),1,0),0)</f>
        <v>0</v>
      </c>
      <c r="Z598" s="53" t="n">
        <f aca="false">IF(U598&gt;=Settings!$C$8,1,0)</f>
        <v>0</v>
      </c>
      <c r="AA598" s="53" t="n">
        <f aca="false">IF(S598=1,IF(J598="Listed / Publicado",0,1),0)</f>
        <v>0</v>
      </c>
      <c r="AB598" s="53" t="n">
        <f aca="false">IF(T598=1,IF(ISNUMBER(L598),L598-G598,0),0)</f>
        <v>0</v>
      </c>
      <c r="AC598" s="53" t="n">
        <f aca="false">IF(S598=1,IF(ISNUMBER(I598),I598-G598,0),0)</f>
        <v>0</v>
      </c>
    </row>
    <row r="599" customFormat="false" ht="15" hidden="false" customHeight="false" outlineLevel="0" collapsed="false">
      <c r="B599" s="54"/>
      <c r="C599" s="55"/>
      <c r="D599" s="55"/>
      <c r="E599" s="55"/>
      <c r="F599" s="56"/>
      <c r="G599" s="57"/>
      <c r="H599" s="55"/>
      <c r="I599" s="57"/>
      <c r="J599" s="54"/>
      <c r="K599" s="56"/>
      <c r="L599" s="57"/>
      <c r="M599" s="54"/>
      <c r="N599" s="58" t="str">
        <f aca="false">IF(S599=1,IF(U599&lt;0,"",U599),IF(Y599=1,X599,""))</f>
        <v/>
      </c>
      <c r="O599" s="59" t="str">
        <f aca="false">IF(S599=1,IF(ISNUMBER(I599),I599-G599,""),"")</f>
        <v/>
      </c>
      <c r="P599" s="59" t="str">
        <f aca="false">IF(T599=1,IF(ISNUMBER(L599),L599-G599,""),"")</f>
        <v/>
      </c>
      <c r="Q599" s="60" t="str">
        <f aca="false">IF(C599="","",IF(T599=1,"✔ SOLD / VENDIDO",IF(S599=0,"— CLOSED / CERRADO",IF(U599&lt;0,"⚠ ADD DATE / AGREGA FECHA",IF(U599&gt;=Settings!$C$8,"⚠ STALE – REPRICE / ESTANCADO",IF(U599&gt;=Settings!$C$7,"● WATCH / VIGILAR","✔ FRESH / RECIENTE"))))))</f>
        <v/>
      </c>
      <c r="S599" s="53" t="n">
        <f aca="false">IF(C599="",0,IF(OR(J599="",J599="In Stock / En Inventario",J599="Listed / Publicado"),1,0))</f>
        <v>0</v>
      </c>
      <c r="T599" s="53" t="n">
        <f aca="false">IF(C599="",0,IF(J599="Sold / Vendido",1,0))</f>
        <v>0</v>
      </c>
      <c r="U599" s="53" t="n">
        <f aca="true">IF(S599=1,IF(ISNUMBER(F599),TODAY()-F599,-1),-1)</f>
        <v>-1</v>
      </c>
      <c r="V599" s="53" t="n">
        <f aca="false">IF(U599&lt;0,IF(S599=1,5,0),IF(U599&lt;=30,1,IF(U599&lt;=60,2,IF(U599&lt;=90,3,4))))</f>
        <v>0</v>
      </c>
      <c r="W599" s="53" t="n">
        <f aca="false">IF(U599&lt;0,-1000000000000000,U599+ROW()/1000000)</f>
        <v>-1000000000000000</v>
      </c>
      <c r="X599" s="53" t="n">
        <f aca="false">IF(T599=1,IF(AND(ISNUMBER(F599),ISNUMBER(K599)),K599-F599,0),0)</f>
        <v>0</v>
      </c>
      <c r="Y599" s="53" t="n">
        <f aca="false">IF(T599=1,IF(AND(ISNUMBER(F599),ISNUMBER(K599)),1,0),0)</f>
        <v>0</v>
      </c>
      <c r="Z599" s="53" t="n">
        <f aca="false">IF(U599&gt;=Settings!$C$8,1,0)</f>
        <v>0</v>
      </c>
      <c r="AA599" s="53" t="n">
        <f aca="false">IF(S599=1,IF(J599="Listed / Publicado",0,1),0)</f>
        <v>0</v>
      </c>
      <c r="AB599" s="53" t="n">
        <f aca="false">IF(T599=1,IF(ISNUMBER(L599),L599-G599,0),0)</f>
        <v>0</v>
      </c>
      <c r="AC599" s="53" t="n">
        <f aca="false">IF(S599=1,IF(ISNUMBER(I599),I599-G599,0),0)</f>
        <v>0</v>
      </c>
    </row>
    <row r="600" customFormat="false" ht="15" hidden="false" customHeight="false" outlineLevel="0" collapsed="false">
      <c r="B600" s="54"/>
      <c r="C600" s="55"/>
      <c r="D600" s="55"/>
      <c r="E600" s="55"/>
      <c r="F600" s="56"/>
      <c r="G600" s="57"/>
      <c r="H600" s="55"/>
      <c r="I600" s="57"/>
      <c r="J600" s="54"/>
      <c r="K600" s="56"/>
      <c r="L600" s="57"/>
      <c r="M600" s="54"/>
      <c r="N600" s="58" t="str">
        <f aca="false">IF(S600=1,IF(U600&lt;0,"",U600),IF(Y600=1,X600,""))</f>
        <v/>
      </c>
      <c r="O600" s="59" t="str">
        <f aca="false">IF(S600=1,IF(ISNUMBER(I600),I600-G600,""),"")</f>
        <v/>
      </c>
      <c r="P600" s="59" t="str">
        <f aca="false">IF(T600=1,IF(ISNUMBER(L600),L600-G600,""),"")</f>
        <v/>
      </c>
      <c r="Q600" s="60" t="str">
        <f aca="false">IF(C600="","",IF(T600=1,"✔ SOLD / VENDIDO",IF(S600=0,"— CLOSED / CERRADO",IF(U600&lt;0,"⚠ ADD DATE / AGREGA FECHA",IF(U600&gt;=Settings!$C$8,"⚠ STALE – REPRICE / ESTANCADO",IF(U600&gt;=Settings!$C$7,"● WATCH / VIGILAR","✔ FRESH / RECIENTE"))))))</f>
        <v/>
      </c>
      <c r="S600" s="53" t="n">
        <f aca="false">IF(C600="",0,IF(OR(J600="",J600="In Stock / En Inventario",J600="Listed / Publicado"),1,0))</f>
        <v>0</v>
      </c>
      <c r="T600" s="53" t="n">
        <f aca="false">IF(C600="",0,IF(J600="Sold / Vendido",1,0))</f>
        <v>0</v>
      </c>
      <c r="U600" s="53" t="n">
        <f aca="true">IF(S600=1,IF(ISNUMBER(F600),TODAY()-F600,-1),-1)</f>
        <v>-1</v>
      </c>
      <c r="V600" s="53" t="n">
        <f aca="false">IF(U600&lt;0,IF(S600=1,5,0),IF(U600&lt;=30,1,IF(U600&lt;=60,2,IF(U600&lt;=90,3,4))))</f>
        <v>0</v>
      </c>
      <c r="W600" s="53" t="n">
        <f aca="false">IF(U600&lt;0,-1000000000000000,U600+ROW()/1000000)</f>
        <v>-1000000000000000</v>
      </c>
      <c r="X600" s="53" t="n">
        <f aca="false">IF(T600=1,IF(AND(ISNUMBER(F600),ISNUMBER(K600)),K600-F600,0),0)</f>
        <v>0</v>
      </c>
      <c r="Y600" s="53" t="n">
        <f aca="false">IF(T600=1,IF(AND(ISNUMBER(F600),ISNUMBER(K600)),1,0),0)</f>
        <v>0</v>
      </c>
      <c r="Z600" s="53" t="n">
        <f aca="false">IF(U600&gt;=Settings!$C$8,1,0)</f>
        <v>0</v>
      </c>
      <c r="AA600" s="53" t="n">
        <f aca="false">IF(S600=1,IF(J600="Listed / Publicado",0,1),0)</f>
        <v>0</v>
      </c>
      <c r="AB600" s="53" t="n">
        <f aca="false">IF(T600=1,IF(ISNUMBER(L600),L600-G600,0),0)</f>
        <v>0</v>
      </c>
      <c r="AC600" s="53" t="n">
        <f aca="false">IF(S600=1,IF(ISNUMBER(I600),I600-G600,0),0)</f>
        <v>0</v>
      </c>
    </row>
    <row r="601" customFormat="false" ht="15" hidden="false" customHeight="false" outlineLevel="0" collapsed="false">
      <c r="B601" s="54"/>
      <c r="C601" s="55"/>
      <c r="D601" s="55"/>
      <c r="E601" s="55"/>
      <c r="F601" s="56"/>
      <c r="G601" s="57"/>
      <c r="H601" s="55"/>
      <c r="I601" s="57"/>
      <c r="J601" s="54"/>
      <c r="K601" s="56"/>
      <c r="L601" s="57"/>
      <c r="M601" s="54"/>
      <c r="N601" s="58" t="str">
        <f aca="false">IF(S601=1,IF(U601&lt;0,"",U601),IF(Y601=1,X601,""))</f>
        <v/>
      </c>
      <c r="O601" s="59" t="str">
        <f aca="false">IF(S601=1,IF(ISNUMBER(I601),I601-G601,""),"")</f>
        <v/>
      </c>
      <c r="P601" s="59" t="str">
        <f aca="false">IF(T601=1,IF(ISNUMBER(L601),L601-G601,""),"")</f>
        <v/>
      </c>
      <c r="Q601" s="60" t="str">
        <f aca="false">IF(C601="","",IF(T601=1,"✔ SOLD / VENDIDO",IF(S601=0,"— CLOSED / CERRADO",IF(U601&lt;0,"⚠ ADD DATE / AGREGA FECHA",IF(U601&gt;=Settings!$C$8,"⚠ STALE – REPRICE / ESTANCADO",IF(U601&gt;=Settings!$C$7,"● WATCH / VIGILAR","✔ FRESH / RECIENTE"))))))</f>
        <v/>
      </c>
      <c r="S601" s="53" t="n">
        <f aca="false">IF(C601="",0,IF(OR(J601="",J601="In Stock / En Inventario",J601="Listed / Publicado"),1,0))</f>
        <v>0</v>
      </c>
      <c r="T601" s="53" t="n">
        <f aca="false">IF(C601="",0,IF(J601="Sold / Vendido",1,0))</f>
        <v>0</v>
      </c>
      <c r="U601" s="53" t="n">
        <f aca="true">IF(S601=1,IF(ISNUMBER(F601),TODAY()-F601,-1),-1)</f>
        <v>-1</v>
      </c>
      <c r="V601" s="53" t="n">
        <f aca="false">IF(U601&lt;0,IF(S601=1,5,0),IF(U601&lt;=30,1,IF(U601&lt;=60,2,IF(U601&lt;=90,3,4))))</f>
        <v>0</v>
      </c>
      <c r="W601" s="53" t="n">
        <f aca="false">IF(U601&lt;0,-1000000000000000,U601+ROW()/1000000)</f>
        <v>-1000000000000000</v>
      </c>
      <c r="X601" s="53" t="n">
        <f aca="false">IF(T601=1,IF(AND(ISNUMBER(F601),ISNUMBER(K601)),K601-F601,0),0)</f>
        <v>0</v>
      </c>
      <c r="Y601" s="53" t="n">
        <f aca="false">IF(T601=1,IF(AND(ISNUMBER(F601),ISNUMBER(K601)),1,0),0)</f>
        <v>0</v>
      </c>
      <c r="Z601" s="53" t="n">
        <f aca="false">IF(U601&gt;=Settings!$C$8,1,0)</f>
        <v>0</v>
      </c>
      <c r="AA601" s="53" t="n">
        <f aca="false">IF(S601=1,IF(J601="Listed / Publicado",0,1),0)</f>
        <v>0</v>
      </c>
      <c r="AB601" s="53" t="n">
        <f aca="false">IF(T601=1,IF(ISNUMBER(L601),L601-G601,0),0)</f>
        <v>0</v>
      </c>
      <c r="AC601" s="53" t="n">
        <f aca="false">IF(S601=1,IF(ISNUMBER(I601),I601-G601,0),0)</f>
        <v>0</v>
      </c>
    </row>
    <row r="602" customFormat="false" ht="15" hidden="false" customHeight="false" outlineLevel="0" collapsed="false">
      <c r="B602" s="54"/>
      <c r="C602" s="55"/>
      <c r="D602" s="55"/>
      <c r="E602" s="55"/>
      <c r="F602" s="56"/>
      <c r="G602" s="57"/>
      <c r="H602" s="55"/>
      <c r="I602" s="57"/>
      <c r="J602" s="54"/>
      <c r="K602" s="56"/>
      <c r="L602" s="57"/>
      <c r="M602" s="54"/>
      <c r="N602" s="58" t="str">
        <f aca="false">IF(S602=1,IF(U602&lt;0,"",U602),IF(Y602=1,X602,""))</f>
        <v/>
      </c>
      <c r="O602" s="59" t="str">
        <f aca="false">IF(S602=1,IF(ISNUMBER(I602),I602-G602,""),"")</f>
        <v/>
      </c>
      <c r="P602" s="59" t="str">
        <f aca="false">IF(T602=1,IF(ISNUMBER(L602),L602-G602,""),"")</f>
        <v/>
      </c>
      <c r="Q602" s="60" t="str">
        <f aca="false">IF(C602="","",IF(T602=1,"✔ SOLD / VENDIDO",IF(S602=0,"— CLOSED / CERRADO",IF(U602&lt;0,"⚠ ADD DATE / AGREGA FECHA",IF(U602&gt;=Settings!$C$8,"⚠ STALE – REPRICE / ESTANCADO",IF(U602&gt;=Settings!$C$7,"● WATCH / VIGILAR","✔ FRESH / RECIENTE"))))))</f>
        <v/>
      </c>
      <c r="S602" s="53" t="n">
        <f aca="false">IF(C602="",0,IF(OR(J602="",J602="In Stock / En Inventario",J602="Listed / Publicado"),1,0))</f>
        <v>0</v>
      </c>
      <c r="T602" s="53" t="n">
        <f aca="false">IF(C602="",0,IF(J602="Sold / Vendido",1,0))</f>
        <v>0</v>
      </c>
      <c r="U602" s="53" t="n">
        <f aca="true">IF(S602=1,IF(ISNUMBER(F602),TODAY()-F602,-1),-1)</f>
        <v>-1</v>
      </c>
      <c r="V602" s="53" t="n">
        <f aca="false">IF(U602&lt;0,IF(S602=1,5,0),IF(U602&lt;=30,1,IF(U602&lt;=60,2,IF(U602&lt;=90,3,4))))</f>
        <v>0</v>
      </c>
      <c r="W602" s="53" t="n">
        <f aca="false">IF(U602&lt;0,-1000000000000000,U602+ROW()/1000000)</f>
        <v>-1000000000000000</v>
      </c>
      <c r="X602" s="53" t="n">
        <f aca="false">IF(T602=1,IF(AND(ISNUMBER(F602),ISNUMBER(K602)),K602-F602,0),0)</f>
        <v>0</v>
      </c>
      <c r="Y602" s="53" t="n">
        <f aca="false">IF(T602=1,IF(AND(ISNUMBER(F602),ISNUMBER(K602)),1,0),0)</f>
        <v>0</v>
      </c>
      <c r="Z602" s="53" t="n">
        <f aca="false">IF(U602&gt;=Settings!$C$8,1,0)</f>
        <v>0</v>
      </c>
      <c r="AA602" s="53" t="n">
        <f aca="false">IF(S602=1,IF(J602="Listed / Publicado",0,1),0)</f>
        <v>0</v>
      </c>
      <c r="AB602" s="53" t="n">
        <f aca="false">IF(T602=1,IF(ISNUMBER(L602),L602-G602,0),0)</f>
        <v>0</v>
      </c>
      <c r="AC602" s="53" t="n">
        <f aca="false">IF(S602=1,IF(ISNUMBER(I602),I602-G602,0),0)</f>
        <v>0</v>
      </c>
    </row>
    <row r="603" customFormat="false" ht="15" hidden="false" customHeight="false" outlineLevel="0" collapsed="false">
      <c r="B603" s="54"/>
      <c r="C603" s="55"/>
      <c r="D603" s="55"/>
      <c r="E603" s="55"/>
      <c r="F603" s="56"/>
      <c r="G603" s="57"/>
      <c r="H603" s="55"/>
      <c r="I603" s="57"/>
      <c r="J603" s="54"/>
      <c r="K603" s="56"/>
      <c r="L603" s="57"/>
      <c r="M603" s="54"/>
      <c r="N603" s="58" t="str">
        <f aca="false">IF(S603=1,IF(U603&lt;0,"",U603),IF(Y603=1,X603,""))</f>
        <v/>
      </c>
      <c r="O603" s="59" t="str">
        <f aca="false">IF(S603=1,IF(ISNUMBER(I603),I603-G603,""),"")</f>
        <v/>
      </c>
      <c r="P603" s="59" t="str">
        <f aca="false">IF(T603=1,IF(ISNUMBER(L603),L603-G603,""),"")</f>
        <v/>
      </c>
      <c r="Q603" s="60" t="str">
        <f aca="false">IF(C603="","",IF(T603=1,"✔ SOLD / VENDIDO",IF(S603=0,"— CLOSED / CERRADO",IF(U603&lt;0,"⚠ ADD DATE / AGREGA FECHA",IF(U603&gt;=Settings!$C$8,"⚠ STALE – REPRICE / ESTANCADO",IF(U603&gt;=Settings!$C$7,"● WATCH / VIGILAR","✔ FRESH / RECIENTE"))))))</f>
        <v/>
      </c>
      <c r="S603" s="53" t="n">
        <f aca="false">IF(C603="",0,IF(OR(J603="",J603="In Stock / En Inventario",J603="Listed / Publicado"),1,0))</f>
        <v>0</v>
      </c>
      <c r="T603" s="53" t="n">
        <f aca="false">IF(C603="",0,IF(J603="Sold / Vendido",1,0))</f>
        <v>0</v>
      </c>
      <c r="U603" s="53" t="n">
        <f aca="true">IF(S603=1,IF(ISNUMBER(F603),TODAY()-F603,-1),-1)</f>
        <v>-1</v>
      </c>
      <c r="V603" s="53" t="n">
        <f aca="false">IF(U603&lt;0,IF(S603=1,5,0),IF(U603&lt;=30,1,IF(U603&lt;=60,2,IF(U603&lt;=90,3,4))))</f>
        <v>0</v>
      </c>
      <c r="W603" s="53" t="n">
        <f aca="false">IF(U603&lt;0,-1000000000000000,U603+ROW()/1000000)</f>
        <v>-1000000000000000</v>
      </c>
      <c r="X603" s="53" t="n">
        <f aca="false">IF(T603=1,IF(AND(ISNUMBER(F603),ISNUMBER(K603)),K603-F603,0),0)</f>
        <v>0</v>
      </c>
      <c r="Y603" s="53" t="n">
        <f aca="false">IF(T603=1,IF(AND(ISNUMBER(F603),ISNUMBER(K603)),1,0),0)</f>
        <v>0</v>
      </c>
      <c r="Z603" s="53" t="n">
        <f aca="false">IF(U603&gt;=Settings!$C$8,1,0)</f>
        <v>0</v>
      </c>
      <c r="AA603" s="53" t="n">
        <f aca="false">IF(S603=1,IF(J603="Listed / Publicado",0,1),0)</f>
        <v>0</v>
      </c>
      <c r="AB603" s="53" t="n">
        <f aca="false">IF(T603=1,IF(ISNUMBER(L603),L603-G603,0),0)</f>
        <v>0</v>
      </c>
      <c r="AC603" s="53" t="n">
        <f aca="false">IF(S603=1,IF(ISNUMBER(I603),I603-G603,0),0)</f>
        <v>0</v>
      </c>
    </row>
    <row r="604" customFormat="false" ht="15" hidden="false" customHeight="false" outlineLevel="0" collapsed="false">
      <c r="B604" s="54"/>
      <c r="C604" s="55"/>
      <c r="D604" s="55"/>
      <c r="E604" s="55"/>
      <c r="F604" s="56"/>
      <c r="G604" s="57"/>
      <c r="H604" s="55"/>
      <c r="I604" s="57"/>
      <c r="J604" s="54"/>
      <c r="K604" s="56"/>
      <c r="L604" s="57"/>
      <c r="M604" s="54"/>
      <c r="N604" s="58" t="str">
        <f aca="false">IF(S604=1,IF(U604&lt;0,"",U604),IF(Y604=1,X604,""))</f>
        <v/>
      </c>
      <c r="O604" s="59" t="str">
        <f aca="false">IF(S604=1,IF(ISNUMBER(I604),I604-G604,""),"")</f>
        <v/>
      </c>
      <c r="P604" s="59" t="str">
        <f aca="false">IF(T604=1,IF(ISNUMBER(L604),L604-G604,""),"")</f>
        <v/>
      </c>
      <c r="Q604" s="60" t="str">
        <f aca="false">IF(C604="","",IF(T604=1,"✔ SOLD / VENDIDO",IF(S604=0,"— CLOSED / CERRADO",IF(U604&lt;0,"⚠ ADD DATE / AGREGA FECHA",IF(U604&gt;=Settings!$C$8,"⚠ STALE – REPRICE / ESTANCADO",IF(U604&gt;=Settings!$C$7,"● WATCH / VIGILAR","✔ FRESH / RECIENTE"))))))</f>
        <v/>
      </c>
      <c r="S604" s="53" t="n">
        <f aca="false">IF(C604="",0,IF(OR(J604="",J604="In Stock / En Inventario",J604="Listed / Publicado"),1,0))</f>
        <v>0</v>
      </c>
      <c r="T604" s="53" t="n">
        <f aca="false">IF(C604="",0,IF(J604="Sold / Vendido",1,0))</f>
        <v>0</v>
      </c>
      <c r="U604" s="53" t="n">
        <f aca="true">IF(S604=1,IF(ISNUMBER(F604),TODAY()-F604,-1),-1)</f>
        <v>-1</v>
      </c>
      <c r="V604" s="53" t="n">
        <f aca="false">IF(U604&lt;0,IF(S604=1,5,0),IF(U604&lt;=30,1,IF(U604&lt;=60,2,IF(U604&lt;=90,3,4))))</f>
        <v>0</v>
      </c>
      <c r="W604" s="53" t="n">
        <f aca="false">IF(U604&lt;0,-1000000000000000,U604+ROW()/1000000)</f>
        <v>-1000000000000000</v>
      </c>
      <c r="X604" s="53" t="n">
        <f aca="false">IF(T604=1,IF(AND(ISNUMBER(F604),ISNUMBER(K604)),K604-F604,0),0)</f>
        <v>0</v>
      </c>
      <c r="Y604" s="53" t="n">
        <f aca="false">IF(T604=1,IF(AND(ISNUMBER(F604),ISNUMBER(K604)),1,0),0)</f>
        <v>0</v>
      </c>
      <c r="Z604" s="53" t="n">
        <f aca="false">IF(U604&gt;=Settings!$C$8,1,0)</f>
        <v>0</v>
      </c>
      <c r="AA604" s="53" t="n">
        <f aca="false">IF(S604=1,IF(J604="Listed / Publicado",0,1),0)</f>
        <v>0</v>
      </c>
      <c r="AB604" s="53" t="n">
        <f aca="false">IF(T604=1,IF(ISNUMBER(L604),L604-G604,0),0)</f>
        <v>0</v>
      </c>
      <c r="AC604" s="53" t="n">
        <f aca="false">IF(S604=1,IF(ISNUMBER(I604),I604-G604,0),0)</f>
        <v>0</v>
      </c>
    </row>
    <row r="605" customFormat="false" ht="15" hidden="false" customHeight="false" outlineLevel="0" collapsed="false">
      <c r="B605" s="54"/>
      <c r="C605" s="55"/>
      <c r="D605" s="55"/>
      <c r="E605" s="55"/>
      <c r="F605" s="56"/>
      <c r="G605" s="57"/>
      <c r="H605" s="55"/>
      <c r="I605" s="57"/>
      <c r="J605" s="54"/>
      <c r="K605" s="56"/>
      <c r="L605" s="57"/>
      <c r="M605" s="54"/>
      <c r="N605" s="58" t="str">
        <f aca="false">IF(S605=1,IF(U605&lt;0,"",U605),IF(Y605=1,X605,""))</f>
        <v/>
      </c>
      <c r="O605" s="59" t="str">
        <f aca="false">IF(S605=1,IF(ISNUMBER(I605),I605-G605,""),"")</f>
        <v/>
      </c>
      <c r="P605" s="59" t="str">
        <f aca="false">IF(T605=1,IF(ISNUMBER(L605),L605-G605,""),"")</f>
        <v/>
      </c>
      <c r="Q605" s="60" t="str">
        <f aca="false">IF(C605="","",IF(T605=1,"✔ SOLD / VENDIDO",IF(S605=0,"— CLOSED / CERRADO",IF(U605&lt;0,"⚠ ADD DATE / AGREGA FECHA",IF(U605&gt;=Settings!$C$8,"⚠ STALE – REPRICE / ESTANCADO",IF(U605&gt;=Settings!$C$7,"● WATCH / VIGILAR","✔ FRESH / RECIENTE"))))))</f>
        <v/>
      </c>
      <c r="S605" s="53" t="n">
        <f aca="false">IF(C605="",0,IF(OR(J605="",J605="In Stock / En Inventario",J605="Listed / Publicado"),1,0))</f>
        <v>0</v>
      </c>
      <c r="T605" s="53" t="n">
        <f aca="false">IF(C605="",0,IF(J605="Sold / Vendido",1,0))</f>
        <v>0</v>
      </c>
      <c r="U605" s="53" t="n">
        <f aca="true">IF(S605=1,IF(ISNUMBER(F605),TODAY()-F605,-1),-1)</f>
        <v>-1</v>
      </c>
      <c r="V605" s="53" t="n">
        <f aca="false">IF(U605&lt;0,IF(S605=1,5,0),IF(U605&lt;=30,1,IF(U605&lt;=60,2,IF(U605&lt;=90,3,4))))</f>
        <v>0</v>
      </c>
      <c r="W605" s="53" t="n">
        <f aca="false">IF(U605&lt;0,-1000000000000000,U605+ROW()/1000000)</f>
        <v>-1000000000000000</v>
      </c>
      <c r="X605" s="53" t="n">
        <f aca="false">IF(T605=1,IF(AND(ISNUMBER(F605),ISNUMBER(K605)),K605-F605,0),0)</f>
        <v>0</v>
      </c>
      <c r="Y605" s="53" t="n">
        <f aca="false">IF(T605=1,IF(AND(ISNUMBER(F605),ISNUMBER(K605)),1,0),0)</f>
        <v>0</v>
      </c>
      <c r="Z605" s="53" t="n">
        <f aca="false">IF(U605&gt;=Settings!$C$8,1,0)</f>
        <v>0</v>
      </c>
      <c r="AA605" s="53" t="n">
        <f aca="false">IF(S605=1,IF(J605="Listed / Publicado",0,1),0)</f>
        <v>0</v>
      </c>
      <c r="AB605" s="53" t="n">
        <f aca="false">IF(T605=1,IF(ISNUMBER(L605),L605-G605,0),0)</f>
        <v>0</v>
      </c>
      <c r="AC605" s="53" t="n">
        <f aca="false">IF(S605=1,IF(ISNUMBER(I605),I605-G605,0),0)</f>
        <v>0</v>
      </c>
    </row>
    <row r="606" customFormat="false" ht="15" hidden="false" customHeight="false" outlineLevel="0" collapsed="false">
      <c r="B606" s="54"/>
      <c r="C606" s="55"/>
      <c r="D606" s="55"/>
      <c r="E606" s="55"/>
      <c r="F606" s="56"/>
      <c r="G606" s="57"/>
      <c r="H606" s="55"/>
      <c r="I606" s="57"/>
      <c r="J606" s="54"/>
      <c r="K606" s="56"/>
      <c r="L606" s="57"/>
      <c r="M606" s="54"/>
      <c r="N606" s="58" t="str">
        <f aca="false">IF(S606=1,IF(U606&lt;0,"",U606),IF(Y606=1,X606,""))</f>
        <v/>
      </c>
      <c r="O606" s="59" t="str">
        <f aca="false">IF(S606=1,IF(ISNUMBER(I606),I606-G606,""),"")</f>
        <v/>
      </c>
      <c r="P606" s="59" t="str">
        <f aca="false">IF(T606=1,IF(ISNUMBER(L606),L606-G606,""),"")</f>
        <v/>
      </c>
      <c r="Q606" s="60" t="str">
        <f aca="false">IF(C606="","",IF(T606=1,"✔ SOLD / VENDIDO",IF(S606=0,"— CLOSED / CERRADO",IF(U606&lt;0,"⚠ ADD DATE / AGREGA FECHA",IF(U606&gt;=Settings!$C$8,"⚠ STALE – REPRICE / ESTANCADO",IF(U606&gt;=Settings!$C$7,"● WATCH / VIGILAR","✔ FRESH / RECIENTE"))))))</f>
        <v/>
      </c>
      <c r="S606" s="53" t="n">
        <f aca="false">IF(C606="",0,IF(OR(J606="",J606="In Stock / En Inventario",J606="Listed / Publicado"),1,0))</f>
        <v>0</v>
      </c>
      <c r="T606" s="53" t="n">
        <f aca="false">IF(C606="",0,IF(J606="Sold / Vendido",1,0))</f>
        <v>0</v>
      </c>
      <c r="U606" s="53" t="n">
        <f aca="true">IF(S606=1,IF(ISNUMBER(F606),TODAY()-F606,-1),-1)</f>
        <v>-1</v>
      </c>
      <c r="V606" s="53" t="n">
        <f aca="false">IF(U606&lt;0,IF(S606=1,5,0),IF(U606&lt;=30,1,IF(U606&lt;=60,2,IF(U606&lt;=90,3,4))))</f>
        <v>0</v>
      </c>
      <c r="W606" s="53" t="n">
        <f aca="false">IF(U606&lt;0,-1000000000000000,U606+ROW()/1000000)</f>
        <v>-1000000000000000</v>
      </c>
      <c r="X606" s="53" t="n">
        <f aca="false">IF(T606=1,IF(AND(ISNUMBER(F606),ISNUMBER(K606)),K606-F606,0),0)</f>
        <v>0</v>
      </c>
      <c r="Y606" s="53" t="n">
        <f aca="false">IF(T606=1,IF(AND(ISNUMBER(F606),ISNUMBER(K606)),1,0),0)</f>
        <v>0</v>
      </c>
      <c r="Z606" s="53" t="n">
        <f aca="false">IF(U606&gt;=Settings!$C$8,1,0)</f>
        <v>0</v>
      </c>
      <c r="AA606" s="53" t="n">
        <f aca="false">IF(S606=1,IF(J606="Listed / Publicado",0,1),0)</f>
        <v>0</v>
      </c>
      <c r="AB606" s="53" t="n">
        <f aca="false">IF(T606=1,IF(ISNUMBER(L606),L606-G606,0),0)</f>
        <v>0</v>
      </c>
      <c r="AC606" s="53" t="n">
        <f aca="false">IF(S606=1,IF(ISNUMBER(I606),I606-G606,0),0)</f>
        <v>0</v>
      </c>
    </row>
    <row r="607" customFormat="false" ht="15" hidden="false" customHeight="false" outlineLevel="0" collapsed="false">
      <c r="B607" s="54"/>
      <c r="C607" s="55"/>
      <c r="D607" s="55"/>
      <c r="E607" s="55"/>
      <c r="F607" s="56"/>
      <c r="G607" s="57"/>
      <c r="H607" s="55"/>
      <c r="I607" s="57"/>
      <c r="J607" s="54"/>
      <c r="K607" s="56"/>
      <c r="L607" s="57"/>
      <c r="M607" s="54"/>
      <c r="N607" s="58" t="str">
        <f aca="false">IF(S607=1,IF(U607&lt;0,"",U607),IF(Y607=1,X607,""))</f>
        <v/>
      </c>
      <c r="O607" s="59" t="str">
        <f aca="false">IF(S607=1,IF(ISNUMBER(I607),I607-G607,""),"")</f>
        <v/>
      </c>
      <c r="P607" s="59" t="str">
        <f aca="false">IF(T607=1,IF(ISNUMBER(L607),L607-G607,""),"")</f>
        <v/>
      </c>
      <c r="Q607" s="60" t="str">
        <f aca="false">IF(C607="","",IF(T607=1,"✔ SOLD / VENDIDO",IF(S607=0,"— CLOSED / CERRADO",IF(U607&lt;0,"⚠ ADD DATE / AGREGA FECHA",IF(U607&gt;=Settings!$C$8,"⚠ STALE – REPRICE / ESTANCADO",IF(U607&gt;=Settings!$C$7,"● WATCH / VIGILAR","✔ FRESH / RECIENTE"))))))</f>
        <v/>
      </c>
      <c r="S607" s="53" t="n">
        <f aca="false">IF(C607="",0,IF(OR(J607="",J607="In Stock / En Inventario",J607="Listed / Publicado"),1,0))</f>
        <v>0</v>
      </c>
      <c r="T607" s="53" t="n">
        <f aca="false">IF(C607="",0,IF(J607="Sold / Vendido",1,0))</f>
        <v>0</v>
      </c>
      <c r="U607" s="53" t="n">
        <f aca="true">IF(S607=1,IF(ISNUMBER(F607),TODAY()-F607,-1),-1)</f>
        <v>-1</v>
      </c>
      <c r="V607" s="53" t="n">
        <f aca="false">IF(U607&lt;0,IF(S607=1,5,0),IF(U607&lt;=30,1,IF(U607&lt;=60,2,IF(U607&lt;=90,3,4))))</f>
        <v>0</v>
      </c>
      <c r="W607" s="53" t="n">
        <f aca="false">IF(U607&lt;0,-1000000000000000,U607+ROW()/1000000)</f>
        <v>-1000000000000000</v>
      </c>
      <c r="X607" s="53" t="n">
        <f aca="false">IF(T607=1,IF(AND(ISNUMBER(F607),ISNUMBER(K607)),K607-F607,0),0)</f>
        <v>0</v>
      </c>
      <c r="Y607" s="53" t="n">
        <f aca="false">IF(T607=1,IF(AND(ISNUMBER(F607),ISNUMBER(K607)),1,0),0)</f>
        <v>0</v>
      </c>
      <c r="Z607" s="53" t="n">
        <f aca="false">IF(U607&gt;=Settings!$C$8,1,0)</f>
        <v>0</v>
      </c>
      <c r="AA607" s="53" t="n">
        <f aca="false">IF(S607=1,IF(J607="Listed / Publicado",0,1),0)</f>
        <v>0</v>
      </c>
      <c r="AB607" s="53" t="n">
        <f aca="false">IF(T607=1,IF(ISNUMBER(L607),L607-G607,0),0)</f>
        <v>0</v>
      </c>
      <c r="AC607" s="53" t="n">
        <f aca="false">IF(S607=1,IF(ISNUMBER(I607),I607-G607,0),0)</f>
        <v>0</v>
      </c>
    </row>
    <row r="608" customFormat="false" ht="15" hidden="false" customHeight="false" outlineLevel="0" collapsed="false">
      <c r="B608" s="54"/>
      <c r="C608" s="55"/>
      <c r="D608" s="55"/>
      <c r="E608" s="55"/>
      <c r="F608" s="56"/>
      <c r="G608" s="57"/>
      <c r="H608" s="55"/>
      <c r="I608" s="57"/>
      <c r="J608" s="54"/>
      <c r="K608" s="56"/>
      <c r="L608" s="57"/>
      <c r="M608" s="54"/>
      <c r="N608" s="58" t="str">
        <f aca="false">IF(S608=1,IF(U608&lt;0,"",U608),IF(Y608=1,X608,""))</f>
        <v/>
      </c>
      <c r="O608" s="59" t="str">
        <f aca="false">IF(S608=1,IF(ISNUMBER(I608),I608-G608,""),"")</f>
        <v/>
      </c>
      <c r="P608" s="59" t="str">
        <f aca="false">IF(T608=1,IF(ISNUMBER(L608),L608-G608,""),"")</f>
        <v/>
      </c>
      <c r="Q608" s="60" t="str">
        <f aca="false">IF(C608="","",IF(T608=1,"✔ SOLD / VENDIDO",IF(S608=0,"— CLOSED / CERRADO",IF(U608&lt;0,"⚠ ADD DATE / AGREGA FECHA",IF(U608&gt;=Settings!$C$8,"⚠ STALE – REPRICE / ESTANCADO",IF(U608&gt;=Settings!$C$7,"● WATCH / VIGILAR","✔ FRESH / RECIENTE"))))))</f>
        <v/>
      </c>
      <c r="S608" s="53" t="n">
        <f aca="false">IF(C608="",0,IF(OR(J608="",J608="In Stock / En Inventario",J608="Listed / Publicado"),1,0))</f>
        <v>0</v>
      </c>
      <c r="T608" s="53" t="n">
        <f aca="false">IF(C608="",0,IF(J608="Sold / Vendido",1,0))</f>
        <v>0</v>
      </c>
      <c r="U608" s="53" t="n">
        <f aca="true">IF(S608=1,IF(ISNUMBER(F608),TODAY()-F608,-1),-1)</f>
        <v>-1</v>
      </c>
      <c r="V608" s="53" t="n">
        <f aca="false">IF(U608&lt;0,IF(S608=1,5,0),IF(U608&lt;=30,1,IF(U608&lt;=60,2,IF(U608&lt;=90,3,4))))</f>
        <v>0</v>
      </c>
      <c r="W608" s="53" t="n">
        <f aca="false">IF(U608&lt;0,-1000000000000000,U608+ROW()/1000000)</f>
        <v>-1000000000000000</v>
      </c>
      <c r="X608" s="53" t="n">
        <f aca="false">IF(T608=1,IF(AND(ISNUMBER(F608),ISNUMBER(K608)),K608-F608,0),0)</f>
        <v>0</v>
      </c>
      <c r="Y608" s="53" t="n">
        <f aca="false">IF(T608=1,IF(AND(ISNUMBER(F608),ISNUMBER(K608)),1,0),0)</f>
        <v>0</v>
      </c>
      <c r="Z608" s="53" t="n">
        <f aca="false">IF(U608&gt;=Settings!$C$8,1,0)</f>
        <v>0</v>
      </c>
      <c r="AA608" s="53" t="n">
        <f aca="false">IF(S608=1,IF(J608="Listed / Publicado",0,1),0)</f>
        <v>0</v>
      </c>
      <c r="AB608" s="53" t="n">
        <f aca="false">IF(T608=1,IF(ISNUMBER(L608),L608-G608,0),0)</f>
        <v>0</v>
      </c>
      <c r="AC608" s="53" t="n">
        <f aca="false">IF(S608=1,IF(ISNUMBER(I608),I608-G608,0),0)</f>
        <v>0</v>
      </c>
    </row>
    <row r="609" customFormat="false" ht="15" hidden="false" customHeight="false" outlineLevel="0" collapsed="false">
      <c r="B609" s="54"/>
      <c r="C609" s="55"/>
      <c r="D609" s="55"/>
      <c r="E609" s="55"/>
      <c r="F609" s="56"/>
      <c r="G609" s="57"/>
      <c r="H609" s="55"/>
      <c r="I609" s="57"/>
      <c r="J609" s="54"/>
      <c r="K609" s="56"/>
      <c r="L609" s="57"/>
      <c r="M609" s="54"/>
      <c r="N609" s="58" t="str">
        <f aca="false">IF(S609=1,IF(U609&lt;0,"",U609),IF(Y609=1,X609,""))</f>
        <v/>
      </c>
      <c r="O609" s="59" t="str">
        <f aca="false">IF(S609=1,IF(ISNUMBER(I609),I609-G609,""),"")</f>
        <v/>
      </c>
      <c r="P609" s="59" t="str">
        <f aca="false">IF(T609=1,IF(ISNUMBER(L609),L609-G609,""),"")</f>
        <v/>
      </c>
      <c r="Q609" s="60" t="str">
        <f aca="false">IF(C609="","",IF(T609=1,"✔ SOLD / VENDIDO",IF(S609=0,"— CLOSED / CERRADO",IF(U609&lt;0,"⚠ ADD DATE / AGREGA FECHA",IF(U609&gt;=Settings!$C$8,"⚠ STALE – REPRICE / ESTANCADO",IF(U609&gt;=Settings!$C$7,"● WATCH / VIGILAR","✔ FRESH / RECIENTE"))))))</f>
        <v/>
      </c>
      <c r="S609" s="53" t="n">
        <f aca="false">IF(C609="",0,IF(OR(J609="",J609="In Stock / En Inventario",J609="Listed / Publicado"),1,0))</f>
        <v>0</v>
      </c>
      <c r="T609" s="53" t="n">
        <f aca="false">IF(C609="",0,IF(J609="Sold / Vendido",1,0))</f>
        <v>0</v>
      </c>
      <c r="U609" s="53" t="n">
        <f aca="true">IF(S609=1,IF(ISNUMBER(F609),TODAY()-F609,-1),-1)</f>
        <v>-1</v>
      </c>
      <c r="V609" s="53" t="n">
        <f aca="false">IF(U609&lt;0,IF(S609=1,5,0),IF(U609&lt;=30,1,IF(U609&lt;=60,2,IF(U609&lt;=90,3,4))))</f>
        <v>0</v>
      </c>
      <c r="W609" s="53" t="n">
        <f aca="false">IF(U609&lt;0,-1000000000000000,U609+ROW()/1000000)</f>
        <v>-1000000000000000</v>
      </c>
      <c r="X609" s="53" t="n">
        <f aca="false">IF(T609=1,IF(AND(ISNUMBER(F609),ISNUMBER(K609)),K609-F609,0),0)</f>
        <v>0</v>
      </c>
      <c r="Y609" s="53" t="n">
        <f aca="false">IF(T609=1,IF(AND(ISNUMBER(F609),ISNUMBER(K609)),1,0),0)</f>
        <v>0</v>
      </c>
      <c r="Z609" s="53" t="n">
        <f aca="false">IF(U609&gt;=Settings!$C$8,1,0)</f>
        <v>0</v>
      </c>
      <c r="AA609" s="53" t="n">
        <f aca="false">IF(S609=1,IF(J609="Listed / Publicado",0,1),0)</f>
        <v>0</v>
      </c>
      <c r="AB609" s="53" t="n">
        <f aca="false">IF(T609=1,IF(ISNUMBER(L609),L609-G609,0),0)</f>
        <v>0</v>
      </c>
      <c r="AC609" s="53" t="n">
        <f aca="false">IF(S609=1,IF(ISNUMBER(I609),I609-G609,0),0)</f>
        <v>0</v>
      </c>
    </row>
    <row r="610" customFormat="false" ht="15" hidden="false" customHeight="false" outlineLevel="0" collapsed="false">
      <c r="B610" s="54"/>
      <c r="C610" s="55"/>
      <c r="D610" s="55"/>
      <c r="E610" s="55"/>
      <c r="F610" s="56"/>
      <c r="G610" s="57"/>
      <c r="H610" s="55"/>
      <c r="I610" s="57"/>
      <c r="J610" s="54"/>
      <c r="K610" s="56"/>
      <c r="L610" s="57"/>
      <c r="M610" s="54"/>
      <c r="N610" s="58" t="str">
        <f aca="false">IF(S610=1,IF(U610&lt;0,"",U610),IF(Y610=1,X610,""))</f>
        <v/>
      </c>
      <c r="O610" s="59" t="str">
        <f aca="false">IF(S610=1,IF(ISNUMBER(I610),I610-G610,""),"")</f>
        <v/>
      </c>
      <c r="P610" s="59" t="str">
        <f aca="false">IF(T610=1,IF(ISNUMBER(L610),L610-G610,""),"")</f>
        <v/>
      </c>
      <c r="Q610" s="60" t="str">
        <f aca="false">IF(C610="","",IF(T610=1,"✔ SOLD / VENDIDO",IF(S610=0,"— CLOSED / CERRADO",IF(U610&lt;0,"⚠ ADD DATE / AGREGA FECHA",IF(U610&gt;=Settings!$C$8,"⚠ STALE – REPRICE / ESTANCADO",IF(U610&gt;=Settings!$C$7,"● WATCH / VIGILAR","✔ FRESH / RECIENTE"))))))</f>
        <v/>
      </c>
      <c r="S610" s="53" t="n">
        <f aca="false">IF(C610="",0,IF(OR(J610="",J610="In Stock / En Inventario",J610="Listed / Publicado"),1,0))</f>
        <v>0</v>
      </c>
      <c r="T610" s="53" t="n">
        <f aca="false">IF(C610="",0,IF(J610="Sold / Vendido",1,0))</f>
        <v>0</v>
      </c>
      <c r="U610" s="53" t="n">
        <f aca="true">IF(S610=1,IF(ISNUMBER(F610),TODAY()-F610,-1),-1)</f>
        <v>-1</v>
      </c>
      <c r="V610" s="53" t="n">
        <f aca="false">IF(U610&lt;0,IF(S610=1,5,0),IF(U610&lt;=30,1,IF(U610&lt;=60,2,IF(U610&lt;=90,3,4))))</f>
        <v>0</v>
      </c>
      <c r="W610" s="53" t="n">
        <f aca="false">IF(U610&lt;0,-1000000000000000,U610+ROW()/1000000)</f>
        <v>-1000000000000000</v>
      </c>
      <c r="X610" s="53" t="n">
        <f aca="false">IF(T610=1,IF(AND(ISNUMBER(F610),ISNUMBER(K610)),K610-F610,0),0)</f>
        <v>0</v>
      </c>
      <c r="Y610" s="53" t="n">
        <f aca="false">IF(T610=1,IF(AND(ISNUMBER(F610),ISNUMBER(K610)),1,0),0)</f>
        <v>0</v>
      </c>
      <c r="Z610" s="53" t="n">
        <f aca="false">IF(U610&gt;=Settings!$C$8,1,0)</f>
        <v>0</v>
      </c>
      <c r="AA610" s="53" t="n">
        <f aca="false">IF(S610=1,IF(J610="Listed / Publicado",0,1),0)</f>
        <v>0</v>
      </c>
      <c r="AB610" s="53" t="n">
        <f aca="false">IF(T610=1,IF(ISNUMBER(L610),L610-G610,0),0)</f>
        <v>0</v>
      </c>
      <c r="AC610" s="53" t="n">
        <f aca="false">IF(S610=1,IF(ISNUMBER(I610),I610-G610,0),0)</f>
        <v>0</v>
      </c>
    </row>
    <row r="611" customFormat="false" ht="15" hidden="false" customHeight="false" outlineLevel="0" collapsed="false">
      <c r="B611" s="54"/>
      <c r="C611" s="55"/>
      <c r="D611" s="55"/>
      <c r="E611" s="55"/>
      <c r="F611" s="56"/>
      <c r="G611" s="57"/>
      <c r="H611" s="55"/>
      <c r="I611" s="57"/>
      <c r="J611" s="54"/>
      <c r="K611" s="56"/>
      <c r="L611" s="57"/>
      <c r="M611" s="54"/>
      <c r="N611" s="58" t="str">
        <f aca="false">IF(S611=1,IF(U611&lt;0,"",U611),IF(Y611=1,X611,""))</f>
        <v/>
      </c>
      <c r="O611" s="59" t="str">
        <f aca="false">IF(S611=1,IF(ISNUMBER(I611),I611-G611,""),"")</f>
        <v/>
      </c>
      <c r="P611" s="59" t="str">
        <f aca="false">IF(T611=1,IF(ISNUMBER(L611),L611-G611,""),"")</f>
        <v/>
      </c>
      <c r="Q611" s="60" t="str">
        <f aca="false">IF(C611="","",IF(T611=1,"✔ SOLD / VENDIDO",IF(S611=0,"— CLOSED / CERRADO",IF(U611&lt;0,"⚠ ADD DATE / AGREGA FECHA",IF(U611&gt;=Settings!$C$8,"⚠ STALE – REPRICE / ESTANCADO",IF(U611&gt;=Settings!$C$7,"● WATCH / VIGILAR","✔ FRESH / RECIENTE"))))))</f>
        <v/>
      </c>
      <c r="S611" s="53" t="n">
        <f aca="false">IF(C611="",0,IF(OR(J611="",J611="In Stock / En Inventario",J611="Listed / Publicado"),1,0))</f>
        <v>0</v>
      </c>
      <c r="T611" s="53" t="n">
        <f aca="false">IF(C611="",0,IF(J611="Sold / Vendido",1,0))</f>
        <v>0</v>
      </c>
      <c r="U611" s="53" t="n">
        <f aca="true">IF(S611=1,IF(ISNUMBER(F611),TODAY()-F611,-1),-1)</f>
        <v>-1</v>
      </c>
      <c r="V611" s="53" t="n">
        <f aca="false">IF(U611&lt;0,IF(S611=1,5,0),IF(U611&lt;=30,1,IF(U611&lt;=60,2,IF(U611&lt;=90,3,4))))</f>
        <v>0</v>
      </c>
      <c r="W611" s="53" t="n">
        <f aca="false">IF(U611&lt;0,-1000000000000000,U611+ROW()/1000000)</f>
        <v>-1000000000000000</v>
      </c>
      <c r="X611" s="53" t="n">
        <f aca="false">IF(T611=1,IF(AND(ISNUMBER(F611),ISNUMBER(K611)),K611-F611,0),0)</f>
        <v>0</v>
      </c>
      <c r="Y611" s="53" t="n">
        <f aca="false">IF(T611=1,IF(AND(ISNUMBER(F611),ISNUMBER(K611)),1,0),0)</f>
        <v>0</v>
      </c>
      <c r="Z611" s="53" t="n">
        <f aca="false">IF(U611&gt;=Settings!$C$8,1,0)</f>
        <v>0</v>
      </c>
      <c r="AA611" s="53" t="n">
        <f aca="false">IF(S611=1,IF(J611="Listed / Publicado",0,1),0)</f>
        <v>0</v>
      </c>
      <c r="AB611" s="53" t="n">
        <f aca="false">IF(T611=1,IF(ISNUMBER(L611),L611-G611,0),0)</f>
        <v>0</v>
      </c>
      <c r="AC611" s="53" t="n">
        <f aca="false">IF(S611=1,IF(ISNUMBER(I611),I611-G611,0),0)</f>
        <v>0</v>
      </c>
    </row>
    <row r="612" customFormat="false" ht="15" hidden="false" customHeight="false" outlineLevel="0" collapsed="false">
      <c r="B612" s="54"/>
      <c r="C612" s="55"/>
      <c r="D612" s="55"/>
      <c r="E612" s="55"/>
      <c r="F612" s="56"/>
      <c r="G612" s="57"/>
      <c r="H612" s="55"/>
      <c r="I612" s="57"/>
      <c r="J612" s="54"/>
      <c r="K612" s="56"/>
      <c r="L612" s="57"/>
      <c r="M612" s="54"/>
      <c r="N612" s="58" t="str">
        <f aca="false">IF(S612=1,IF(U612&lt;0,"",U612),IF(Y612=1,X612,""))</f>
        <v/>
      </c>
      <c r="O612" s="59" t="str">
        <f aca="false">IF(S612=1,IF(ISNUMBER(I612),I612-G612,""),"")</f>
        <v/>
      </c>
      <c r="P612" s="59" t="str">
        <f aca="false">IF(T612=1,IF(ISNUMBER(L612),L612-G612,""),"")</f>
        <v/>
      </c>
      <c r="Q612" s="60" t="str">
        <f aca="false">IF(C612="","",IF(T612=1,"✔ SOLD / VENDIDO",IF(S612=0,"— CLOSED / CERRADO",IF(U612&lt;0,"⚠ ADD DATE / AGREGA FECHA",IF(U612&gt;=Settings!$C$8,"⚠ STALE – REPRICE / ESTANCADO",IF(U612&gt;=Settings!$C$7,"● WATCH / VIGILAR","✔ FRESH / RECIENTE"))))))</f>
        <v/>
      </c>
      <c r="S612" s="53" t="n">
        <f aca="false">IF(C612="",0,IF(OR(J612="",J612="In Stock / En Inventario",J612="Listed / Publicado"),1,0))</f>
        <v>0</v>
      </c>
      <c r="T612" s="53" t="n">
        <f aca="false">IF(C612="",0,IF(J612="Sold / Vendido",1,0))</f>
        <v>0</v>
      </c>
      <c r="U612" s="53" t="n">
        <f aca="true">IF(S612=1,IF(ISNUMBER(F612),TODAY()-F612,-1),-1)</f>
        <v>-1</v>
      </c>
      <c r="V612" s="53" t="n">
        <f aca="false">IF(U612&lt;0,IF(S612=1,5,0),IF(U612&lt;=30,1,IF(U612&lt;=60,2,IF(U612&lt;=90,3,4))))</f>
        <v>0</v>
      </c>
      <c r="W612" s="53" t="n">
        <f aca="false">IF(U612&lt;0,-1000000000000000,U612+ROW()/1000000)</f>
        <v>-1000000000000000</v>
      </c>
      <c r="X612" s="53" t="n">
        <f aca="false">IF(T612=1,IF(AND(ISNUMBER(F612),ISNUMBER(K612)),K612-F612,0),0)</f>
        <v>0</v>
      </c>
      <c r="Y612" s="53" t="n">
        <f aca="false">IF(T612=1,IF(AND(ISNUMBER(F612),ISNUMBER(K612)),1,0),0)</f>
        <v>0</v>
      </c>
      <c r="Z612" s="53" t="n">
        <f aca="false">IF(U612&gt;=Settings!$C$8,1,0)</f>
        <v>0</v>
      </c>
      <c r="AA612" s="53" t="n">
        <f aca="false">IF(S612=1,IF(J612="Listed / Publicado",0,1),0)</f>
        <v>0</v>
      </c>
      <c r="AB612" s="53" t="n">
        <f aca="false">IF(T612=1,IF(ISNUMBER(L612),L612-G612,0),0)</f>
        <v>0</v>
      </c>
      <c r="AC612" s="53" t="n">
        <f aca="false">IF(S612=1,IF(ISNUMBER(I612),I612-G612,0),0)</f>
        <v>0</v>
      </c>
    </row>
    <row r="613" customFormat="false" ht="15" hidden="false" customHeight="false" outlineLevel="0" collapsed="false">
      <c r="B613" s="54"/>
      <c r="C613" s="55"/>
      <c r="D613" s="55"/>
      <c r="E613" s="55"/>
      <c r="F613" s="56"/>
      <c r="G613" s="57"/>
      <c r="H613" s="55"/>
      <c r="I613" s="57"/>
      <c r="J613" s="54"/>
      <c r="K613" s="56"/>
      <c r="L613" s="57"/>
      <c r="M613" s="54"/>
      <c r="N613" s="58" t="str">
        <f aca="false">IF(S613=1,IF(U613&lt;0,"",U613),IF(Y613=1,X613,""))</f>
        <v/>
      </c>
      <c r="O613" s="59" t="str">
        <f aca="false">IF(S613=1,IF(ISNUMBER(I613),I613-G613,""),"")</f>
        <v/>
      </c>
      <c r="P613" s="59" t="str">
        <f aca="false">IF(T613=1,IF(ISNUMBER(L613),L613-G613,""),"")</f>
        <v/>
      </c>
      <c r="Q613" s="60" t="str">
        <f aca="false">IF(C613="","",IF(T613=1,"✔ SOLD / VENDIDO",IF(S613=0,"— CLOSED / CERRADO",IF(U613&lt;0,"⚠ ADD DATE / AGREGA FECHA",IF(U613&gt;=Settings!$C$8,"⚠ STALE – REPRICE / ESTANCADO",IF(U613&gt;=Settings!$C$7,"● WATCH / VIGILAR","✔ FRESH / RECIENTE"))))))</f>
        <v/>
      </c>
      <c r="S613" s="53" t="n">
        <f aca="false">IF(C613="",0,IF(OR(J613="",J613="In Stock / En Inventario",J613="Listed / Publicado"),1,0))</f>
        <v>0</v>
      </c>
      <c r="T613" s="53" t="n">
        <f aca="false">IF(C613="",0,IF(J613="Sold / Vendido",1,0))</f>
        <v>0</v>
      </c>
      <c r="U613" s="53" t="n">
        <f aca="true">IF(S613=1,IF(ISNUMBER(F613),TODAY()-F613,-1),-1)</f>
        <v>-1</v>
      </c>
      <c r="V613" s="53" t="n">
        <f aca="false">IF(U613&lt;0,IF(S613=1,5,0),IF(U613&lt;=30,1,IF(U613&lt;=60,2,IF(U613&lt;=90,3,4))))</f>
        <v>0</v>
      </c>
      <c r="W613" s="53" t="n">
        <f aca="false">IF(U613&lt;0,-1000000000000000,U613+ROW()/1000000)</f>
        <v>-1000000000000000</v>
      </c>
      <c r="X613" s="53" t="n">
        <f aca="false">IF(T613=1,IF(AND(ISNUMBER(F613),ISNUMBER(K613)),K613-F613,0),0)</f>
        <v>0</v>
      </c>
      <c r="Y613" s="53" t="n">
        <f aca="false">IF(T613=1,IF(AND(ISNUMBER(F613),ISNUMBER(K613)),1,0),0)</f>
        <v>0</v>
      </c>
      <c r="Z613" s="53" t="n">
        <f aca="false">IF(U613&gt;=Settings!$C$8,1,0)</f>
        <v>0</v>
      </c>
      <c r="AA613" s="53" t="n">
        <f aca="false">IF(S613=1,IF(J613="Listed / Publicado",0,1),0)</f>
        <v>0</v>
      </c>
      <c r="AB613" s="53" t="n">
        <f aca="false">IF(T613=1,IF(ISNUMBER(L613),L613-G613,0),0)</f>
        <v>0</v>
      </c>
      <c r="AC613" s="53" t="n">
        <f aca="false">IF(S613=1,IF(ISNUMBER(I613),I613-G613,0),0)</f>
        <v>0</v>
      </c>
    </row>
    <row r="614" customFormat="false" ht="15" hidden="false" customHeight="false" outlineLevel="0" collapsed="false">
      <c r="B614" s="54"/>
      <c r="C614" s="55"/>
      <c r="D614" s="55"/>
      <c r="E614" s="55"/>
      <c r="F614" s="56"/>
      <c r="G614" s="57"/>
      <c r="H614" s="55"/>
      <c r="I614" s="57"/>
      <c r="J614" s="54"/>
      <c r="K614" s="56"/>
      <c r="L614" s="57"/>
      <c r="M614" s="54"/>
      <c r="N614" s="58" t="str">
        <f aca="false">IF(S614=1,IF(U614&lt;0,"",U614),IF(Y614=1,X614,""))</f>
        <v/>
      </c>
      <c r="O614" s="59" t="str">
        <f aca="false">IF(S614=1,IF(ISNUMBER(I614),I614-G614,""),"")</f>
        <v/>
      </c>
      <c r="P614" s="59" t="str">
        <f aca="false">IF(T614=1,IF(ISNUMBER(L614),L614-G614,""),"")</f>
        <v/>
      </c>
      <c r="Q614" s="60" t="str">
        <f aca="false">IF(C614="","",IF(T614=1,"✔ SOLD / VENDIDO",IF(S614=0,"— CLOSED / CERRADO",IF(U614&lt;0,"⚠ ADD DATE / AGREGA FECHA",IF(U614&gt;=Settings!$C$8,"⚠ STALE – REPRICE / ESTANCADO",IF(U614&gt;=Settings!$C$7,"● WATCH / VIGILAR","✔ FRESH / RECIENTE"))))))</f>
        <v/>
      </c>
      <c r="S614" s="53" t="n">
        <f aca="false">IF(C614="",0,IF(OR(J614="",J614="In Stock / En Inventario",J614="Listed / Publicado"),1,0))</f>
        <v>0</v>
      </c>
      <c r="T614" s="53" t="n">
        <f aca="false">IF(C614="",0,IF(J614="Sold / Vendido",1,0))</f>
        <v>0</v>
      </c>
      <c r="U614" s="53" t="n">
        <f aca="true">IF(S614=1,IF(ISNUMBER(F614),TODAY()-F614,-1),-1)</f>
        <v>-1</v>
      </c>
      <c r="V614" s="53" t="n">
        <f aca="false">IF(U614&lt;0,IF(S614=1,5,0),IF(U614&lt;=30,1,IF(U614&lt;=60,2,IF(U614&lt;=90,3,4))))</f>
        <v>0</v>
      </c>
      <c r="W614" s="53" t="n">
        <f aca="false">IF(U614&lt;0,-1000000000000000,U614+ROW()/1000000)</f>
        <v>-1000000000000000</v>
      </c>
      <c r="X614" s="53" t="n">
        <f aca="false">IF(T614=1,IF(AND(ISNUMBER(F614),ISNUMBER(K614)),K614-F614,0),0)</f>
        <v>0</v>
      </c>
      <c r="Y614" s="53" t="n">
        <f aca="false">IF(T614=1,IF(AND(ISNUMBER(F614),ISNUMBER(K614)),1,0),0)</f>
        <v>0</v>
      </c>
      <c r="Z614" s="53" t="n">
        <f aca="false">IF(U614&gt;=Settings!$C$8,1,0)</f>
        <v>0</v>
      </c>
      <c r="AA614" s="53" t="n">
        <f aca="false">IF(S614=1,IF(J614="Listed / Publicado",0,1),0)</f>
        <v>0</v>
      </c>
      <c r="AB614" s="53" t="n">
        <f aca="false">IF(T614=1,IF(ISNUMBER(L614),L614-G614,0),0)</f>
        <v>0</v>
      </c>
      <c r="AC614" s="53" t="n">
        <f aca="false">IF(S614=1,IF(ISNUMBER(I614),I614-G614,0),0)</f>
        <v>0</v>
      </c>
    </row>
    <row r="615" customFormat="false" ht="15" hidden="false" customHeight="false" outlineLevel="0" collapsed="false">
      <c r="B615" s="54"/>
      <c r="C615" s="55"/>
      <c r="D615" s="55"/>
      <c r="E615" s="55"/>
      <c r="F615" s="56"/>
      <c r="G615" s="57"/>
      <c r="H615" s="55"/>
      <c r="I615" s="57"/>
      <c r="J615" s="54"/>
      <c r="K615" s="56"/>
      <c r="L615" s="57"/>
      <c r="M615" s="54"/>
      <c r="N615" s="58" t="str">
        <f aca="false">IF(S615=1,IF(U615&lt;0,"",U615),IF(Y615=1,X615,""))</f>
        <v/>
      </c>
      <c r="O615" s="59" t="str">
        <f aca="false">IF(S615=1,IF(ISNUMBER(I615),I615-G615,""),"")</f>
        <v/>
      </c>
      <c r="P615" s="59" t="str">
        <f aca="false">IF(T615=1,IF(ISNUMBER(L615),L615-G615,""),"")</f>
        <v/>
      </c>
      <c r="Q615" s="60" t="str">
        <f aca="false">IF(C615="","",IF(T615=1,"✔ SOLD / VENDIDO",IF(S615=0,"— CLOSED / CERRADO",IF(U615&lt;0,"⚠ ADD DATE / AGREGA FECHA",IF(U615&gt;=Settings!$C$8,"⚠ STALE – REPRICE / ESTANCADO",IF(U615&gt;=Settings!$C$7,"● WATCH / VIGILAR","✔ FRESH / RECIENTE"))))))</f>
        <v/>
      </c>
      <c r="S615" s="53" t="n">
        <f aca="false">IF(C615="",0,IF(OR(J615="",J615="In Stock / En Inventario",J615="Listed / Publicado"),1,0))</f>
        <v>0</v>
      </c>
      <c r="T615" s="53" t="n">
        <f aca="false">IF(C615="",0,IF(J615="Sold / Vendido",1,0))</f>
        <v>0</v>
      </c>
      <c r="U615" s="53" t="n">
        <f aca="true">IF(S615=1,IF(ISNUMBER(F615),TODAY()-F615,-1),-1)</f>
        <v>-1</v>
      </c>
      <c r="V615" s="53" t="n">
        <f aca="false">IF(U615&lt;0,IF(S615=1,5,0),IF(U615&lt;=30,1,IF(U615&lt;=60,2,IF(U615&lt;=90,3,4))))</f>
        <v>0</v>
      </c>
      <c r="W615" s="53" t="n">
        <f aca="false">IF(U615&lt;0,-1000000000000000,U615+ROW()/1000000)</f>
        <v>-1000000000000000</v>
      </c>
      <c r="X615" s="53" t="n">
        <f aca="false">IF(T615=1,IF(AND(ISNUMBER(F615),ISNUMBER(K615)),K615-F615,0),0)</f>
        <v>0</v>
      </c>
      <c r="Y615" s="53" t="n">
        <f aca="false">IF(T615=1,IF(AND(ISNUMBER(F615),ISNUMBER(K615)),1,0),0)</f>
        <v>0</v>
      </c>
      <c r="Z615" s="53" t="n">
        <f aca="false">IF(U615&gt;=Settings!$C$8,1,0)</f>
        <v>0</v>
      </c>
      <c r="AA615" s="53" t="n">
        <f aca="false">IF(S615=1,IF(J615="Listed / Publicado",0,1),0)</f>
        <v>0</v>
      </c>
      <c r="AB615" s="53" t="n">
        <f aca="false">IF(T615=1,IF(ISNUMBER(L615),L615-G615,0),0)</f>
        <v>0</v>
      </c>
      <c r="AC615" s="53" t="n">
        <f aca="false">IF(S615=1,IF(ISNUMBER(I615),I615-G615,0),0)</f>
        <v>0</v>
      </c>
    </row>
    <row r="616" customFormat="false" ht="15" hidden="false" customHeight="false" outlineLevel="0" collapsed="false">
      <c r="B616" s="54"/>
      <c r="C616" s="55"/>
      <c r="D616" s="55"/>
      <c r="E616" s="55"/>
      <c r="F616" s="56"/>
      <c r="G616" s="57"/>
      <c r="H616" s="55"/>
      <c r="I616" s="57"/>
      <c r="J616" s="54"/>
      <c r="K616" s="56"/>
      <c r="L616" s="57"/>
      <c r="M616" s="54"/>
      <c r="N616" s="58" t="str">
        <f aca="false">IF(S616=1,IF(U616&lt;0,"",U616),IF(Y616=1,X616,""))</f>
        <v/>
      </c>
      <c r="O616" s="59" t="str">
        <f aca="false">IF(S616=1,IF(ISNUMBER(I616),I616-G616,""),"")</f>
        <v/>
      </c>
      <c r="P616" s="59" t="str">
        <f aca="false">IF(T616=1,IF(ISNUMBER(L616),L616-G616,""),"")</f>
        <v/>
      </c>
      <c r="Q616" s="60" t="str">
        <f aca="false">IF(C616="","",IF(T616=1,"✔ SOLD / VENDIDO",IF(S616=0,"— CLOSED / CERRADO",IF(U616&lt;0,"⚠ ADD DATE / AGREGA FECHA",IF(U616&gt;=Settings!$C$8,"⚠ STALE – REPRICE / ESTANCADO",IF(U616&gt;=Settings!$C$7,"● WATCH / VIGILAR","✔ FRESH / RECIENTE"))))))</f>
        <v/>
      </c>
      <c r="S616" s="53" t="n">
        <f aca="false">IF(C616="",0,IF(OR(J616="",J616="In Stock / En Inventario",J616="Listed / Publicado"),1,0))</f>
        <v>0</v>
      </c>
      <c r="T616" s="53" t="n">
        <f aca="false">IF(C616="",0,IF(J616="Sold / Vendido",1,0))</f>
        <v>0</v>
      </c>
      <c r="U616" s="53" t="n">
        <f aca="true">IF(S616=1,IF(ISNUMBER(F616),TODAY()-F616,-1),-1)</f>
        <v>-1</v>
      </c>
      <c r="V616" s="53" t="n">
        <f aca="false">IF(U616&lt;0,IF(S616=1,5,0),IF(U616&lt;=30,1,IF(U616&lt;=60,2,IF(U616&lt;=90,3,4))))</f>
        <v>0</v>
      </c>
      <c r="W616" s="53" t="n">
        <f aca="false">IF(U616&lt;0,-1000000000000000,U616+ROW()/1000000)</f>
        <v>-1000000000000000</v>
      </c>
      <c r="X616" s="53" t="n">
        <f aca="false">IF(T616=1,IF(AND(ISNUMBER(F616),ISNUMBER(K616)),K616-F616,0),0)</f>
        <v>0</v>
      </c>
      <c r="Y616" s="53" t="n">
        <f aca="false">IF(T616=1,IF(AND(ISNUMBER(F616),ISNUMBER(K616)),1,0),0)</f>
        <v>0</v>
      </c>
      <c r="Z616" s="53" t="n">
        <f aca="false">IF(U616&gt;=Settings!$C$8,1,0)</f>
        <v>0</v>
      </c>
      <c r="AA616" s="53" t="n">
        <f aca="false">IF(S616=1,IF(J616="Listed / Publicado",0,1),0)</f>
        <v>0</v>
      </c>
      <c r="AB616" s="53" t="n">
        <f aca="false">IF(T616=1,IF(ISNUMBER(L616),L616-G616,0),0)</f>
        <v>0</v>
      </c>
      <c r="AC616" s="53" t="n">
        <f aca="false">IF(S616=1,IF(ISNUMBER(I616),I616-G616,0),0)</f>
        <v>0</v>
      </c>
    </row>
    <row r="617" customFormat="false" ht="15" hidden="false" customHeight="false" outlineLevel="0" collapsed="false">
      <c r="B617" s="54"/>
      <c r="C617" s="55"/>
      <c r="D617" s="55"/>
      <c r="E617" s="55"/>
      <c r="F617" s="56"/>
      <c r="G617" s="57"/>
      <c r="H617" s="55"/>
      <c r="I617" s="57"/>
      <c r="J617" s="54"/>
      <c r="K617" s="56"/>
      <c r="L617" s="57"/>
      <c r="M617" s="54"/>
      <c r="N617" s="58" t="str">
        <f aca="false">IF(S617=1,IF(U617&lt;0,"",U617),IF(Y617=1,X617,""))</f>
        <v/>
      </c>
      <c r="O617" s="59" t="str">
        <f aca="false">IF(S617=1,IF(ISNUMBER(I617),I617-G617,""),"")</f>
        <v/>
      </c>
      <c r="P617" s="59" t="str">
        <f aca="false">IF(T617=1,IF(ISNUMBER(L617),L617-G617,""),"")</f>
        <v/>
      </c>
      <c r="Q617" s="60" t="str">
        <f aca="false">IF(C617="","",IF(T617=1,"✔ SOLD / VENDIDO",IF(S617=0,"— CLOSED / CERRADO",IF(U617&lt;0,"⚠ ADD DATE / AGREGA FECHA",IF(U617&gt;=Settings!$C$8,"⚠ STALE – REPRICE / ESTANCADO",IF(U617&gt;=Settings!$C$7,"● WATCH / VIGILAR","✔ FRESH / RECIENTE"))))))</f>
        <v/>
      </c>
      <c r="S617" s="53" t="n">
        <f aca="false">IF(C617="",0,IF(OR(J617="",J617="In Stock / En Inventario",J617="Listed / Publicado"),1,0))</f>
        <v>0</v>
      </c>
      <c r="T617" s="53" t="n">
        <f aca="false">IF(C617="",0,IF(J617="Sold / Vendido",1,0))</f>
        <v>0</v>
      </c>
      <c r="U617" s="53" t="n">
        <f aca="true">IF(S617=1,IF(ISNUMBER(F617),TODAY()-F617,-1),-1)</f>
        <v>-1</v>
      </c>
      <c r="V617" s="53" t="n">
        <f aca="false">IF(U617&lt;0,IF(S617=1,5,0),IF(U617&lt;=30,1,IF(U617&lt;=60,2,IF(U617&lt;=90,3,4))))</f>
        <v>0</v>
      </c>
      <c r="W617" s="53" t="n">
        <f aca="false">IF(U617&lt;0,-1000000000000000,U617+ROW()/1000000)</f>
        <v>-1000000000000000</v>
      </c>
      <c r="X617" s="53" t="n">
        <f aca="false">IF(T617=1,IF(AND(ISNUMBER(F617),ISNUMBER(K617)),K617-F617,0),0)</f>
        <v>0</v>
      </c>
      <c r="Y617" s="53" t="n">
        <f aca="false">IF(T617=1,IF(AND(ISNUMBER(F617),ISNUMBER(K617)),1,0),0)</f>
        <v>0</v>
      </c>
      <c r="Z617" s="53" t="n">
        <f aca="false">IF(U617&gt;=Settings!$C$8,1,0)</f>
        <v>0</v>
      </c>
      <c r="AA617" s="53" t="n">
        <f aca="false">IF(S617=1,IF(J617="Listed / Publicado",0,1),0)</f>
        <v>0</v>
      </c>
      <c r="AB617" s="53" t="n">
        <f aca="false">IF(T617=1,IF(ISNUMBER(L617),L617-G617,0),0)</f>
        <v>0</v>
      </c>
      <c r="AC617" s="53" t="n">
        <f aca="false">IF(S617=1,IF(ISNUMBER(I617),I617-G617,0),0)</f>
        <v>0</v>
      </c>
    </row>
    <row r="618" customFormat="false" ht="15" hidden="false" customHeight="false" outlineLevel="0" collapsed="false">
      <c r="B618" s="54"/>
      <c r="C618" s="55"/>
      <c r="D618" s="55"/>
      <c r="E618" s="55"/>
      <c r="F618" s="56"/>
      <c r="G618" s="57"/>
      <c r="H618" s="55"/>
      <c r="I618" s="57"/>
      <c r="J618" s="54"/>
      <c r="K618" s="56"/>
      <c r="L618" s="57"/>
      <c r="M618" s="54"/>
      <c r="N618" s="58" t="str">
        <f aca="false">IF(S618=1,IF(U618&lt;0,"",U618),IF(Y618=1,X618,""))</f>
        <v/>
      </c>
      <c r="O618" s="59" t="str">
        <f aca="false">IF(S618=1,IF(ISNUMBER(I618),I618-G618,""),"")</f>
        <v/>
      </c>
      <c r="P618" s="59" t="str">
        <f aca="false">IF(T618=1,IF(ISNUMBER(L618),L618-G618,""),"")</f>
        <v/>
      </c>
      <c r="Q618" s="60" t="str">
        <f aca="false">IF(C618="","",IF(T618=1,"✔ SOLD / VENDIDO",IF(S618=0,"— CLOSED / CERRADO",IF(U618&lt;0,"⚠ ADD DATE / AGREGA FECHA",IF(U618&gt;=Settings!$C$8,"⚠ STALE – REPRICE / ESTANCADO",IF(U618&gt;=Settings!$C$7,"● WATCH / VIGILAR","✔ FRESH / RECIENTE"))))))</f>
        <v/>
      </c>
      <c r="S618" s="53" t="n">
        <f aca="false">IF(C618="",0,IF(OR(J618="",J618="In Stock / En Inventario",J618="Listed / Publicado"),1,0))</f>
        <v>0</v>
      </c>
      <c r="T618" s="53" t="n">
        <f aca="false">IF(C618="",0,IF(J618="Sold / Vendido",1,0))</f>
        <v>0</v>
      </c>
      <c r="U618" s="53" t="n">
        <f aca="true">IF(S618=1,IF(ISNUMBER(F618),TODAY()-F618,-1),-1)</f>
        <v>-1</v>
      </c>
      <c r="V618" s="53" t="n">
        <f aca="false">IF(U618&lt;0,IF(S618=1,5,0),IF(U618&lt;=30,1,IF(U618&lt;=60,2,IF(U618&lt;=90,3,4))))</f>
        <v>0</v>
      </c>
      <c r="W618" s="53" t="n">
        <f aca="false">IF(U618&lt;0,-1000000000000000,U618+ROW()/1000000)</f>
        <v>-1000000000000000</v>
      </c>
      <c r="X618" s="53" t="n">
        <f aca="false">IF(T618=1,IF(AND(ISNUMBER(F618),ISNUMBER(K618)),K618-F618,0),0)</f>
        <v>0</v>
      </c>
      <c r="Y618" s="53" t="n">
        <f aca="false">IF(T618=1,IF(AND(ISNUMBER(F618),ISNUMBER(K618)),1,0),0)</f>
        <v>0</v>
      </c>
      <c r="Z618" s="53" t="n">
        <f aca="false">IF(U618&gt;=Settings!$C$8,1,0)</f>
        <v>0</v>
      </c>
      <c r="AA618" s="53" t="n">
        <f aca="false">IF(S618=1,IF(J618="Listed / Publicado",0,1),0)</f>
        <v>0</v>
      </c>
      <c r="AB618" s="53" t="n">
        <f aca="false">IF(T618=1,IF(ISNUMBER(L618),L618-G618,0),0)</f>
        <v>0</v>
      </c>
      <c r="AC618" s="53" t="n">
        <f aca="false">IF(S618=1,IF(ISNUMBER(I618),I618-G618,0),0)</f>
        <v>0</v>
      </c>
    </row>
    <row r="619" customFormat="false" ht="15" hidden="false" customHeight="false" outlineLevel="0" collapsed="false">
      <c r="B619" s="54"/>
      <c r="C619" s="55"/>
      <c r="D619" s="55"/>
      <c r="E619" s="55"/>
      <c r="F619" s="56"/>
      <c r="G619" s="57"/>
      <c r="H619" s="55"/>
      <c r="I619" s="57"/>
      <c r="J619" s="54"/>
      <c r="K619" s="56"/>
      <c r="L619" s="57"/>
      <c r="M619" s="54"/>
      <c r="N619" s="58" t="str">
        <f aca="false">IF(S619=1,IF(U619&lt;0,"",U619),IF(Y619=1,X619,""))</f>
        <v/>
      </c>
      <c r="O619" s="59" t="str">
        <f aca="false">IF(S619=1,IF(ISNUMBER(I619),I619-G619,""),"")</f>
        <v/>
      </c>
      <c r="P619" s="59" t="str">
        <f aca="false">IF(T619=1,IF(ISNUMBER(L619),L619-G619,""),"")</f>
        <v/>
      </c>
      <c r="Q619" s="60" t="str">
        <f aca="false">IF(C619="","",IF(T619=1,"✔ SOLD / VENDIDO",IF(S619=0,"— CLOSED / CERRADO",IF(U619&lt;0,"⚠ ADD DATE / AGREGA FECHA",IF(U619&gt;=Settings!$C$8,"⚠ STALE – REPRICE / ESTANCADO",IF(U619&gt;=Settings!$C$7,"● WATCH / VIGILAR","✔ FRESH / RECIENTE"))))))</f>
        <v/>
      </c>
      <c r="S619" s="53" t="n">
        <f aca="false">IF(C619="",0,IF(OR(J619="",J619="In Stock / En Inventario",J619="Listed / Publicado"),1,0))</f>
        <v>0</v>
      </c>
      <c r="T619" s="53" t="n">
        <f aca="false">IF(C619="",0,IF(J619="Sold / Vendido",1,0))</f>
        <v>0</v>
      </c>
      <c r="U619" s="53" t="n">
        <f aca="true">IF(S619=1,IF(ISNUMBER(F619),TODAY()-F619,-1),-1)</f>
        <v>-1</v>
      </c>
      <c r="V619" s="53" t="n">
        <f aca="false">IF(U619&lt;0,IF(S619=1,5,0),IF(U619&lt;=30,1,IF(U619&lt;=60,2,IF(U619&lt;=90,3,4))))</f>
        <v>0</v>
      </c>
      <c r="W619" s="53" t="n">
        <f aca="false">IF(U619&lt;0,-1000000000000000,U619+ROW()/1000000)</f>
        <v>-1000000000000000</v>
      </c>
      <c r="X619" s="53" t="n">
        <f aca="false">IF(T619=1,IF(AND(ISNUMBER(F619),ISNUMBER(K619)),K619-F619,0),0)</f>
        <v>0</v>
      </c>
      <c r="Y619" s="53" t="n">
        <f aca="false">IF(T619=1,IF(AND(ISNUMBER(F619),ISNUMBER(K619)),1,0),0)</f>
        <v>0</v>
      </c>
      <c r="Z619" s="53" t="n">
        <f aca="false">IF(U619&gt;=Settings!$C$8,1,0)</f>
        <v>0</v>
      </c>
      <c r="AA619" s="53" t="n">
        <f aca="false">IF(S619=1,IF(J619="Listed / Publicado",0,1),0)</f>
        <v>0</v>
      </c>
      <c r="AB619" s="53" t="n">
        <f aca="false">IF(T619=1,IF(ISNUMBER(L619),L619-G619,0),0)</f>
        <v>0</v>
      </c>
      <c r="AC619" s="53" t="n">
        <f aca="false">IF(S619=1,IF(ISNUMBER(I619),I619-G619,0),0)</f>
        <v>0</v>
      </c>
    </row>
    <row r="620" customFormat="false" ht="15" hidden="false" customHeight="false" outlineLevel="0" collapsed="false">
      <c r="B620" s="54"/>
      <c r="C620" s="55"/>
      <c r="D620" s="55"/>
      <c r="E620" s="55"/>
      <c r="F620" s="56"/>
      <c r="G620" s="57"/>
      <c r="H620" s="55"/>
      <c r="I620" s="57"/>
      <c r="J620" s="54"/>
      <c r="K620" s="56"/>
      <c r="L620" s="57"/>
      <c r="M620" s="54"/>
      <c r="N620" s="58" t="str">
        <f aca="false">IF(S620=1,IF(U620&lt;0,"",U620),IF(Y620=1,X620,""))</f>
        <v/>
      </c>
      <c r="O620" s="59" t="str">
        <f aca="false">IF(S620=1,IF(ISNUMBER(I620),I620-G620,""),"")</f>
        <v/>
      </c>
      <c r="P620" s="59" t="str">
        <f aca="false">IF(T620=1,IF(ISNUMBER(L620),L620-G620,""),"")</f>
        <v/>
      </c>
      <c r="Q620" s="60" t="str">
        <f aca="false">IF(C620="","",IF(T620=1,"✔ SOLD / VENDIDO",IF(S620=0,"— CLOSED / CERRADO",IF(U620&lt;0,"⚠ ADD DATE / AGREGA FECHA",IF(U620&gt;=Settings!$C$8,"⚠ STALE – REPRICE / ESTANCADO",IF(U620&gt;=Settings!$C$7,"● WATCH / VIGILAR","✔ FRESH / RECIENTE"))))))</f>
        <v/>
      </c>
      <c r="S620" s="53" t="n">
        <f aca="false">IF(C620="",0,IF(OR(J620="",J620="In Stock / En Inventario",J620="Listed / Publicado"),1,0))</f>
        <v>0</v>
      </c>
      <c r="T620" s="53" t="n">
        <f aca="false">IF(C620="",0,IF(J620="Sold / Vendido",1,0))</f>
        <v>0</v>
      </c>
      <c r="U620" s="53" t="n">
        <f aca="true">IF(S620=1,IF(ISNUMBER(F620),TODAY()-F620,-1),-1)</f>
        <v>-1</v>
      </c>
      <c r="V620" s="53" t="n">
        <f aca="false">IF(U620&lt;0,IF(S620=1,5,0),IF(U620&lt;=30,1,IF(U620&lt;=60,2,IF(U620&lt;=90,3,4))))</f>
        <v>0</v>
      </c>
      <c r="W620" s="53" t="n">
        <f aca="false">IF(U620&lt;0,-1000000000000000,U620+ROW()/1000000)</f>
        <v>-1000000000000000</v>
      </c>
      <c r="X620" s="53" t="n">
        <f aca="false">IF(T620=1,IF(AND(ISNUMBER(F620),ISNUMBER(K620)),K620-F620,0),0)</f>
        <v>0</v>
      </c>
      <c r="Y620" s="53" t="n">
        <f aca="false">IF(T620=1,IF(AND(ISNUMBER(F620),ISNUMBER(K620)),1,0),0)</f>
        <v>0</v>
      </c>
      <c r="Z620" s="53" t="n">
        <f aca="false">IF(U620&gt;=Settings!$C$8,1,0)</f>
        <v>0</v>
      </c>
      <c r="AA620" s="53" t="n">
        <f aca="false">IF(S620=1,IF(J620="Listed / Publicado",0,1),0)</f>
        <v>0</v>
      </c>
      <c r="AB620" s="53" t="n">
        <f aca="false">IF(T620=1,IF(ISNUMBER(L620),L620-G620,0),0)</f>
        <v>0</v>
      </c>
      <c r="AC620" s="53" t="n">
        <f aca="false">IF(S620=1,IF(ISNUMBER(I620),I620-G620,0),0)</f>
        <v>0</v>
      </c>
    </row>
    <row r="621" customFormat="false" ht="15" hidden="false" customHeight="false" outlineLevel="0" collapsed="false">
      <c r="B621" s="54"/>
      <c r="C621" s="55"/>
      <c r="D621" s="55"/>
      <c r="E621" s="55"/>
      <c r="F621" s="56"/>
      <c r="G621" s="57"/>
      <c r="H621" s="55"/>
      <c r="I621" s="57"/>
      <c r="J621" s="54"/>
      <c r="K621" s="56"/>
      <c r="L621" s="57"/>
      <c r="M621" s="54"/>
      <c r="N621" s="58" t="str">
        <f aca="false">IF(S621=1,IF(U621&lt;0,"",U621),IF(Y621=1,X621,""))</f>
        <v/>
      </c>
      <c r="O621" s="59" t="str">
        <f aca="false">IF(S621=1,IF(ISNUMBER(I621),I621-G621,""),"")</f>
        <v/>
      </c>
      <c r="P621" s="59" t="str">
        <f aca="false">IF(T621=1,IF(ISNUMBER(L621),L621-G621,""),"")</f>
        <v/>
      </c>
      <c r="Q621" s="60" t="str">
        <f aca="false">IF(C621="","",IF(T621=1,"✔ SOLD / VENDIDO",IF(S621=0,"— CLOSED / CERRADO",IF(U621&lt;0,"⚠ ADD DATE / AGREGA FECHA",IF(U621&gt;=Settings!$C$8,"⚠ STALE – REPRICE / ESTANCADO",IF(U621&gt;=Settings!$C$7,"● WATCH / VIGILAR","✔ FRESH / RECIENTE"))))))</f>
        <v/>
      </c>
      <c r="S621" s="53" t="n">
        <f aca="false">IF(C621="",0,IF(OR(J621="",J621="In Stock / En Inventario",J621="Listed / Publicado"),1,0))</f>
        <v>0</v>
      </c>
      <c r="T621" s="53" t="n">
        <f aca="false">IF(C621="",0,IF(J621="Sold / Vendido",1,0))</f>
        <v>0</v>
      </c>
      <c r="U621" s="53" t="n">
        <f aca="true">IF(S621=1,IF(ISNUMBER(F621),TODAY()-F621,-1),-1)</f>
        <v>-1</v>
      </c>
      <c r="V621" s="53" t="n">
        <f aca="false">IF(U621&lt;0,IF(S621=1,5,0),IF(U621&lt;=30,1,IF(U621&lt;=60,2,IF(U621&lt;=90,3,4))))</f>
        <v>0</v>
      </c>
      <c r="W621" s="53" t="n">
        <f aca="false">IF(U621&lt;0,-1000000000000000,U621+ROW()/1000000)</f>
        <v>-1000000000000000</v>
      </c>
      <c r="X621" s="53" t="n">
        <f aca="false">IF(T621=1,IF(AND(ISNUMBER(F621),ISNUMBER(K621)),K621-F621,0),0)</f>
        <v>0</v>
      </c>
      <c r="Y621" s="53" t="n">
        <f aca="false">IF(T621=1,IF(AND(ISNUMBER(F621),ISNUMBER(K621)),1,0),0)</f>
        <v>0</v>
      </c>
      <c r="Z621" s="53" t="n">
        <f aca="false">IF(U621&gt;=Settings!$C$8,1,0)</f>
        <v>0</v>
      </c>
      <c r="AA621" s="53" t="n">
        <f aca="false">IF(S621=1,IF(J621="Listed / Publicado",0,1),0)</f>
        <v>0</v>
      </c>
      <c r="AB621" s="53" t="n">
        <f aca="false">IF(T621=1,IF(ISNUMBER(L621),L621-G621,0),0)</f>
        <v>0</v>
      </c>
      <c r="AC621" s="53" t="n">
        <f aca="false">IF(S621=1,IF(ISNUMBER(I621),I621-G621,0),0)</f>
        <v>0</v>
      </c>
    </row>
    <row r="622" customFormat="false" ht="15" hidden="false" customHeight="false" outlineLevel="0" collapsed="false">
      <c r="B622" s="54"/>
      <c r="C622" s="55"/>
      <c r="D622" s="55"/>
      <c r="E622" s="55"/>
      <c r="F622" s="56"/>
      <c r="G622" s="57"/>
      <c r="H622" s="55"/>
      <c r="I622" s="57"/>
      <c r="J622" s="54"/>
      <c r="K622" s="56"/>
      <c r="L622" s="57"/>
      <c r="M622" s="54"/>
      <c r="N622" s="58" t="str">
        <f aca="false">IF(S622=1,IF(U622&lt;0,"",U622),IF(Y622=1,X622,""))</f>
        <v/>
      </c>
      <c r="O622" s="59" t="str">
        <f aca="false">IF(S622=1,IF(ISNUMBER(I622),I622-G622,""),"")</f>
        <v/>
      </c>
      <c r="P622" s="59" t="str">
        <f aca="false">IF(T622=1,IF(ISNUMBER(L622),L622-G622,""),"")</f>
        <v/>
      </c>
      <c r="Q622" s="60" t="str">
        <f aca="false">IF(C622="","",IF(T622=1,"✔ SOLD / VENDIDO",IF(S622=0,"— CLOSED / CERRADO",IF(U622&lt;0,"⚠ ADD DATE / AGREGA FECHA",IF(U622&gt;=Settings!$C$8,"⚠ STALE – REPRICE / ESTANCADO",IF(U622&gt;=Settings!$C$7,"● WATCH / VIGILAR","✔ FRESH / RECIENTE"))))))</f>
        <v/>
      </c>
      <c r="S622" s="53" t="n">
        <f aca="false">IF(C622="",0,IF(OR(J622="",J622="In Stock / En Inventario",J622="Listed / Publicado"),1,0))</f>
        <v>0</v>
      </c>
      <c r="T622" s="53" t="n">
        <f aca="false">IF(C622="",0,IF(J622="Sold / Vendido",1,0))</f>
        <v>0</v>
      </c>
      <c r="U622" s="53" t="n">
        <f aca="true">IF(S622=1,IF(ISNUMBER(F622),TODAY()-F622,-1),-1)</f>
        <v>-1</v>
      </c>
      <c r="V622" s="53" t="n">
        <f aca="false">IF(U622&lt;0,IF(S622=1,5,0),IF(U622&lt;=30,1,IF(U622&lt;=60,2,IF(U622&lt;=90,3,4))))</f>
        <v>0</v>
      </c>
      <c r="W622" s="53" t="n">
        <f aca="false">IF(U622&lt;0,-1000000000000000,U622+ROW()/1000000)</f>
        <v>-1000000000000000</v>
      </c>
      <c r="X622" s="53" t="n">
        <f aca="false">IF(T622=1,IF(AND(ISNUMBER(F622),ISNUMBER(K622)),K622-F622,0),0)</f>
        <v>0</v>
      </c>
      <c r="Y622" s="53" t="n">
        <f aca="false">IF(T622=1,IF(AND(ISNUMBER(F622),ISNUMBER(K622)),1,0),0)</f>
        <v>0</v>
      </c>
      <c r="Z622" s="53" t="n">
        <f aca="false">IF(U622&gt;=Settings!$C$8,1,0)</f>
        <v>0</v>
      </c>
      <c r="AA622" s="53" t="n">
        <f aca="false">IF(S622=1,IF(J622="Listed / Publicado",0,1),0)</f>
        <v>0</v>
      </c>
      <c r="AB622" s="53" t="n">
        <f aca="false">IF(T622=1,IF(ISNUMBER(L622),L622-G622,0),0)</f>
        <v>0</v>
      </c>
      <c r="AC622" s="53" t="n">
        <f aca="false">IF(S622=1,IF(ISNUMBER(I622),I622-G622,0),0)</f>
        <v>0</v>
      </c>
    </row>
    <row r="623" customFormat="false" ht="15" hidden="false" customHeight="false" outlineLevel="0" collapsed="false">
      <c r="B623" s="54"/>
      <c r="C623" s="55"/>
      <c r="D623" s="55"/>
      <c r="E623" s="55"/>
      <c r="F623" s="56"/>
      <c r="G623" s="57"/>
      <c r="H623" s="55"/>
      <c r="I623" s="57"/>
      <c r="J623" s="54"/>
      <c r="K623" s="56"/>
      <c r="L623" s="57"/>
      <c r="M623" s="54"/>
      <c r="N623" s="58" t="str">
        <f aca="false">IF(S623=1,IF(U623&lt;0,"",U623),IF(Y623=1,X623,""))</f>
        <v/>
      </c>
      <c r="O623" s="59" t="str">
        <f aca="false">IF(S623=1,IF(ISNUMBER(I623),I623-G623,""),"")</f>
        <v/>
      </c>
      <c r="P623" s="59" t="str">
        <f aca="false">IF(T623=1,IF(ISNUMBER(L623),L623-G623,""),"")</f>
        <v/>
      </c>
      <c r="Q623" s="60" t="str">
        <f aca="false">IF(C623="","",IF(T623=1,"✔ SOLD / VENDIDO",IF(S623=0,"— CLOSED / CERRADO",IF(U623&lt;0,"⚠ ADD DATE / AGREGA FECHA",IF(U623&gt;=Settings!$C$8,"⚠ STALE – REPRICE / ESTANCADO",IF(U623&gt;=Settings!$C$7,"● WATCH / VIGILAR","✔ FRESH / RECIENTE"))))))</f>
        <v/>
      </c>
      <c r="S623" s="53" t="n">
        <f aca="false">IF(C623="",0,IF(OR(J623="",J623="In Stock / En Inventario",J623="Listed / Publicado"),1,0))</f>
        <v>0</v>
      </c>
      <c r="T623" s="53" t="n">
        <f aca="false">IF(C623="",0,IF(J623="Sold / Vendido",1,0))</f>
        <v>0</v>
      </c>
      <c r="U623" s="53" t="n">
        <f aca="true">IF(S623=1,IF(ISNUMBER(F623),TODAY()-F623,-1),-1)</f>
        <v>-1</v>
      </c>
      <c r="V623" s="53" t="n">
        <f aca="false">IF(U623&lt;0,IF(S623=1,5,0),IF(U623&lt;=30,1,IF(U623&lt;=60,2,IF(U623&lt;=90,3,4))))</f>
        <v>0</v>
      </c>
      <c r="W623" s="53" t="n">
        <f aca="false">IF(U623&lt;0,-1000000000000000,U623+ROW()/1000000)</f>
        <v>-1000000000000000</v>
      </c>
      <c r="X623" s="53" t="n">
        <f aca="false">IF(T623=1,IF(AND(ISNUMBER(F623),ISNUMBER(K623)),K623-F623,0),0)</f>
        <v>0</v>
      </c>
      <c r="Y623" s="53" t="n">
        <f aca="false">IF(T623=1,IF(AND(ISNUMBER(F623),ISNUMBER(K623)),1,0),0)</f>
        <v>0</v>
      </c>
      <c r="Z623" s="53" t="n">
        <f aca="false">IF(U623&gt;=Settings!$C$8,1,0)</f>
        <v>0</v>
      </c>
      <c r="AA623" s="53" t="n">
        <f aca="false">IF(S623=1,IF(J623="Listed / Publicado",0,1),0)</f>
        <v>0</v>
      </c>
      <c r="AB623" s="53" t="n">
        <f aca="false">IF(T623=1,IF(ISNUMBER(L623),L623-G623,0),0)</f>
        <v>0</v>
      </c>
      <c r="AC623" s="53" t="n">
        <f aca="false">IF(S623=1,IF(ISNUMBER(I623),I623-G623,0),0)</f>
        <v>0</v>
      </c>
    </row>
    <row r="624" customFormat="false" ht="15" hidden="false" customHeight="false" outlineLevel="0" collapsed="false">
      <c r="B624" s="54"/>
      <c r="C624" s="55"/>
      <c r="D624" s="55"/>
      <c r="E624" s="55"/>
      <c r="F624" s="56"/>
      <c r="G624" s="57"/>
      <c r="H624" s="55"/>
      <c r="I624" s="57"/>
      <c r="J624" s="54"/>
      <c r="K624" s="56"/>
      <c r="L624" s="57"/>
      <c r="M624" s="54"/>
      <c r="N624" s="58" t="str">
        <f aca="false">IF(S624=1,IF(U624&lt;0,"",U624),IF(Y624=1,X624,""))</f>
        <v/>
      </c>
      <c r="O624" s="59" t="str">
        <f aca="false">IF(S624=1,IF(ISNUMBER(I624),I624-G624,""),"")</f>
        <v/>
      </c>
      <c r="P624" s="59" t="str">
        <f aca="false">IF(T624=1,IF(ISNUMBER(L624),L624-G624,""),"")</f>
        <v/>
      </c>
      <c r="Q624" s="60" t="str">
        <f aca="false">IF(C624="","",IF(T624=1,"✔ SOLD / VENDIDO",IF(S624=0,"— CLOSED / CERRADO",IF(U624&lt;0,"⚠ ADD DATE / AGREGA FECHA",IF(U624&gt;=Settings!$C$8,"⚠ STALE – REPRICE / ESTANCADO",IF(U624&gt;=Settings!$C$7,"● WATCH / VIGILAR","✔ FRESH / RECIENTE"))))))</f>
        <v/>
      </c>
      <c r="S624" s="53" t="n">
        <f aca="false">IF(C624="",0,IF(OR(J624="",J624="In Stock / En Inventario",J624="Listed / Publicado"),1,0))</f>
        <v>0</v>
      </c>
      <c r="T624" s="53" t="n">
        <f aca="false">IF(C624="",0,IF(J624="Sold / Vendido",1,0))</f>
        <v>0</v>
      </c>
      <c r="U624" s="53" t="n">
        <f aca="true">IF(S624=1,IF(ISNUMBER(F624),TODAY()-F624,-1),-1)</f>
        <v>-1</v>
      </c>
      <c r="V624" s="53" t="n">
        <f aca="false">IF(U624&lt;0,IF(S624=1,5,0),IF(U624&lt;=30,1,IF(U624&lt;=60,2,IF(U624&lt;=90,3,4))))</f>
        <v>0</v>
      </c>
      <c r="W624" s="53" t="n">
        <f aca="false">IF(U624&lt;0,-1000000000000000,U624+ROW()/1000000)</f>
        <v>-1000000000000000</v>
      </c>
      <c r="X624" s="53" t="n">
        <f aca="false">IF(T624=1,IF(AND(ISNUMBER(F624),ISNUMBER(K624)),K624-F624,0),0)</f>
        <v>0</v>
      </c>
      <c r="Y624" s="53" t="n">
        <f aca="false">IF(T624=1,IF(AND(ISNUMBER(F624),ISNUMBER(K624)),1,0),0)</f>
        <v>0</v>
      </c>
      <c r="Z624" s="53" t="n">
        <f aca="false">IF(U624&gt;=Settings!$C$8,1,0)</f>
        <v>0</v>
      </c>
      <c r="AA624" s="53" t="n">
        <f aca="false">IF(S624=1,IF(J624="Listed / Publicado",0,1),0)</f>
        <v>0</v>
      </c>
      <c r="AB624" s="53" t="n">
        <f aca="false">IF(T624=1,IF(ISNUMBER(L624),L624-G624,0),0)</f>
        <v>0</v>
      </c>
      <c r="AC624" s="53" t="n">
        <f aca="false">IF(S624=1,IF(ISNUMBER(I624),I624-G624,0),0)</f>
        <v>0</v>
      </c>
    </row>
    <row r="625" customFormat="false" ht="15" hidden="false" customHeight="false" outlineLevel="0" collapsed="false">
      <c r="B625" s="54"/>
      <c r="C625" s="55"/>
      <c r="D625" s="55"/>
      <c r="E625" s="55"/>
      <c r="F625" s="56"/>
      <c r="G625" s="57"/>
      <c r="H625" s="55"/>
      <c r="I625" s="57"/>
      <c r="J625" s="54"/>
      <c r="K625" s="56"/>
      <c r="L625" s="57"/>
      <c r="M625" s="54"/>
      <c r="N625" s="58" t="str">
        <f aca="false">IF(S625=1,IF(U625&lt;0,"",U625),IF(Y625=1,X625,""))</f>
        <v/>
      </c>
      <c r="O625" s="59" t="str">
        <f aca="false">IF(S625=1,IF(ISNUMBER(I625),I625-G625,""),"")</f>
        <v/>
      </c>
      <c r="P625" s="59" t="str">
        <f aca="false">IF(T625=1,IF(ISNUMBER(L625),L625-G625,""),"")</f>
        <v/>
      </c>
      <c r="Q625" s="60" t="str">
        <f aca="false">IF(C625="","",IF(T625=1,"✔ SOLD / VENDIDO",IF(S625=0,"— CLOSED / CERRADO",IF(U625&lt;0,"⚠ ADD DATE / AGREGA FECHA",IF(U625&gt;=Settings!$C$8,"⚠ STALE – REPRICE / ESTANCADO",IF(U625&gt;=Settings!$C$7,"● WATCH / VIGILAR","✔ FRESH / RECIENTE"))))))</f>
        <v/>
      </c>
      <c r="S625" s="53" t="n">
        <f aca="false">IF(C625="",0,IF(OR(J625="",J625="In Stock / En Inventario",J625="Listed / Publicado"),1,0))</f>
        <v>0</v>
      </c>
      <c r="T625" s="53" t="n">
        <f aca="false">IF(C625="",0,IF(J625="Sold / Vendido",1,0))</f>
        <v>0</v>
      </c>
      <c r="U625" s="53" t="n">
        <f aca="true">IF(S625=1,IF(ISNUMBER(F625),TODAY()-F625,-1),-1)</f>
        <v>-1</v>
      </c>
      <c r="V625" s="53" t="n">
        <f aca="false">IF(U625&lt;0,IF(S625=1,5,0),IF(U625&lt;=30,1,IF(U625&lt;=60,2,IF(U625&lt;=90,3,4))))</f>
        <v>0</v>
      </c>
      <c r="W625" s="53" t="n">
        <f aca="false">IF(U625&lt;0,-1000000000000000,U625+ROW()/1000000)</f>
        <v>-1000000000000000</v>
      </c>
      <c r="X625" s="53" t="n">
        <f aca="false">IF(T625=1,IF(AND(ISNUMBER(F625),ISNUMBER(K625)),K625-F625,0),0)</f>
        <v>0</v>
      </c>
      <c r="Y625" s="53" t="n">
        <f aca="false">IF(T625=1,IF(AND(ISNUMBER(F625),ISNUMBER(K625)),1,0),0)</f>
        <v>0</v>
      </c>
      <c r="Z625" s="53" t="n">
        <f aca="false">IF(U625&gt;=Settings!$C$8,1,0)</f>
        <v>0</v>
      </c>
      <c r="AA625" s="53" t="n">
        <f aca="false">IF(S625=1,IF(J625="Listed / Publicado",0,1),0)</f>
        <v>0</v>
      </c>
      <c r="AB625" s="53" t="n">
        <f aca="false">IF(T625=1,IF(ISNUMBER(L625),L625-G625,0),0)</f>
        <v>0</v>
      </c>
      <c r="AC625" s="53" t="n">
        <f aca="false">IF(S625=1,IF(ISNUMBER(I625),I625-G625,0),0)</f>
        <v>0</v>
      </c>
    </row>
    <row r="626" customFormat="false" ht="15" hidden="false" customHeight="false" outlineLevel="0" collapsed="false">
      <c r="B626" s="54"/>
      <c r="C626" s="55"/>
      <c r="D626" s="55"/>
      <c r="E626" s="55"/>
      <c r="F626" s="56"/>
      <c r="G626" s="57"/>
      <c r="H626" s="55"/>
      <c r="I626" s="57"/>
      <c r="J626" s="54"/>
      <c r="K626" s="56"/>
      <c r="L626" s="57"/>
      <c r="M626" s="54"/>
      <c r="N626" s="58" t="str">
        <f aca="false">IF(S626=1,IF(U626&lt;0,"",U626),IF(Y626=1,X626,""))</f>
        <v/>
      </c>
      <c r="O626" s="59" t="str">
        <f aca="false">IF(S626=1,IF(ISNUMBER(I626),I626-G626,""),"")</f>
        <v/>
      </c>
      <c r="P626" s="59" t="str">
        <f aca="false">IF(T626=1,IF(ISNUMBER(L626),L626-G626,""),"")</f>
        <v/>
      </c>
      <c r="Q626" s="60" t="str">
        <f aca="false">IF(C626="","",IF(T626=1,"✔ SOLD / VENDIDO",IF(S626=0,"— CLOSED / CERRADO",IF(U626&lt;0,"⚠ ADD DATE / AGREGA FECHA",IF(U626&gt;=Settings!$C$8,"⚠ STALE – REPRICE / ESTANCADO",IF(U626&gt;=Settings!$C$7,"● WATCH / VIGILAR","✔ FRESH / RECIENTE"))))))</f>
        <v/>
      </c>
      <c r="S626" s="53" t="n">
        <f aca="false">IF(C626="",0,IF(OR(J626="",J626="In Stock / En Inventario",J626="Listed / Publicado"),1,0))</f>
        <v>0</v>
      </c>
      <c r="T626" s="53" t="n">
        <f aca="false">IF(C626="",0,IF(J626="Sold / Vendido",1,0))</f>
        <v>0</v>
      </c>
      <c r="U626" s="53" t="n">
        <f aca="true">IF(S626=1,IF(ISNUMBER(F626),TODAY()-F626,-1),-1)</f>
        <v>-1</v>
      </c>
      <c r="V626" s="53" t="n">
        <f aca="false">IF(U626&lt;0,IF(S626=1,5,0),IF(U626&lt;=30,1,IF(U626&lt;=60,2,IF(U626&lt;=90,3,4))))</f>
        <v>0</v>
      </c>
      <c r="W626" s="53" t="n">
        <f aca="false">IF(U626&lt;0,-1000000000000000,U626+ROW()/1000000)</f>
        <v>-1000000000000000</v>
      </c>
      <c r="X626" s="53" t="n">
        <f aca="false">IF(T626=1,IF(AND(ISNUMBER(F626),ISNUMBER(K626)),K626-F626,0),0)</f>
        <v>0</v>
      </c>
      <c r="Y626" s="53" t="n">
        <f aca="false">IF(T626=1,IF(AND(ISNUMBER(F626),ISNUMBER(K626)),1,0),0)</f>
        <v>0</v>
      </c>
      <c r="Z626" s="53" t="n">
        <f aca="false">IF(U626&gt;=Settings!$C$8,1,0)</f>
        <v>0</v>
      </c>
      <c r="AA626" s="53" t="n">
        <f aca="false">IF(S626=1,IF(J626="Listed / Publicado",0,1),0)</f>
        <v>0</v>
      </c>
      <c r="AB626" s="53" t="n">
        <f aca="false">IF(T626=1,IF(ISNUMBER(L626),L626-G626,0),0)</f>
        <v>0</v>
      </c>
      <c r="AC626" s="53" t="n">
        <f aca="false">IF(S626=1,IF(ISNUMBER(I626),I626-G626,0),0)</f>
        <v>0</v>
      </c>
    </row>
    <row r="627" customFormat="false" ht="15" hidden="false" customHeight="false" outlineLevel="0" collapsed="false">
      <c r="B627" s="54"/>
      <c r="C627" s="55"/>
      <c r="D627" s="55"/>
      <c r="E627" s="55"/>
      <c r="F627" s="56"/>
      <c r="G627" s="57"/>
      <c r="H627" s="55"/>
      <c r="I627" s="57"/>
      <c r="J627" s="54"/>
      <c r="K627" s="56"/>
      <c r="L627" s="57"/>
      <c r="M627" s="54"/>
      <c r="N627" s="58" t="str">
        <f aca="false">IF(S627=1,IF(U627&lt;0,"",U627),IF(Y627=1,X627,""))</f>
        <v/>
      </c>
      <c r="O627" s="59" t="str">
        <f aca="false">IF(S627=1,IF(ISNUMBER(I627),I627-G627,""),"")</f>
        <v/>
      </c>
      <c r="P627" s="59" t="str">
        <f aca="false">IF(T627=1,IF(ISNUMBER(L627),L627-G627,""),"")</f>
        <v/>
      </c>
      <c r="Q627" s="60" t="str">
        <f aca="false">IF(C627="","",IF(T627=1,"✔ SOLD / VENDIDO",IF(S627=0,"— CLOSED / CERRADO",IF(U627&lt;0,"⚠ ADD DATE / AGREGA FECHA",IF(U627&gt;=Settings!$C$8,"⚠ STALE – REPRICE / ESTANCADO",IF(U627&gt;=Settings!$C$7,"● WATCH / VIGILAR","✔ FRESH / RECIENTE"))))))</f>
        <v/>
      </c>
      <c r="S627" s="53" t="n">
        <f aca="false">IF(C627="",0,IF(OR(J627="",J627="In Stock / En Inventario",J627="Listed / Publicado"),1,0))</f>
        <v>0</v>
      </c>
      <c r="T627" s="53" t="n">
        <f aca="false">IF(C627="",0,IF(J627="Sold / Vendido",1,0))</f>
        <v>0</v>
      </c>
      <c r="U627" s="53" t="n">
        <f aca="true">IF(S627=1,IF(ISNUMBER(F627),TODAY()-F627,-1),-1)</f>
        <v>-1</v>
      </c>
      <c r="V627" s="53" t="n">
        <f aca="false">IF(U627&lt;0,IF(S627=1,5,0),IF(U627&lt;=30,1,IF(U627&lt;=60,2,IF(U627&lt;=90,3,4))))</f>
        <v>0</v>
      </c>
      <c r="W627" s="53" t="n">
        <f aca="false">IF(U627&lt;0,-1000000000000000,U627+ROW()/1000000)</f>
        <v>-1000000000000000</v>
      </c>
      <c r="X627" s="53" t="n">
        <f aca="false">IF(T627=1,IF(AND(ISNUMBER(F627),ISNUMBER(K627)),K627-F627,0),0)</f>
        <v>0</v>
      </c>
      <c r="Y627" s="53" t="n">
        <f aca="false">IF(T627=1,IF(AND(ISNUMBER(F627),ISNUMBER(K627)),1,0),0)</f>
        <v>0</v>
      </c>
      <c r="Z627" s="53" t="n">
        <f aca="false">IF(U627&gt;=Settings!$C$8,1,0)</f>
        <v>0</v>
      </c>
      <c r="AA627" s="53" t="n">
        <f aca="false">IF(S627=1,IF(J627="Listed / Publicado",0,1),0)</f>
        <v>0</v>
      </c>
      <c r="AB627" s="53" t="n">
        <f aca="false">IF(T627=1,IF(ISNUMBER(L627),L627-G627,0),0)</f>
        <v>0</v>
      </c>
      <c r="AC627" s="53" t="n">
        <f aca="false">IF(S627=1,IF(ISNUMBER(I627),I627-G627,0),0)</f>
        <v>0</v>
      </c>
    </row>
    <row r="628" customFormat="false" ht="15" hidden="false" customHeight="false" outlineLevel="0" collapsed="false">
      <c r="B628" s="54"/>
      <c r="C628" s="55"/>
      <c r="D628" s="55"/>
      <c r="E628" s="55"/>
      <c r="F628" s="56"/>
      <c r="G628" s="57"/>
      <c r="H628" s="55"/>
      <c r="I628" s="57"/>
      <c r="J628" s="54"/>
      <c r="K628" s="56"/>
      <c r="L628" s="57"/>
      <c r="M628" s="54"/>
      <c r="N628" s="58" t="str">
        <f aca="false">IF(S628=1,IF(U628&lt;0,"",U628),IF(Y628=1,X628,""))</f>
        <v/>
      </c>
      <c r="O628" s="59" t="str">
        <f aca="false">IF(S628=1,IF(ISNUMBER(I628),I628-G628,""),"")</f>
        <v/>
      </c>
      <c r="P628" s="59" t="str">
        <f aca="false">IF(T628=1,IF(ISNUMBER(L628),L628-G628,""),"")</f>
        <v/>
      </c>
      <c r="Q628" s="60" t="str">
        <f aca="false">IF(C628="","",IF(T628=1,"✔ SOLD / VENDIDO",IF(S628=0,"— CLOSED / CERRADO",IF(U628&lt;0,"⚠ ADD DATE / AGREGA FECHA",IF(U628&gt;=Settings!$C$8,"⚠ STALE – REPRICE / ESTANCADO",IF(U628&gt;=Settings!$C$7,"● WATCH / VIGILAR","✔ FRESH / RECIENTE"))))))</f>
        <v/>
      </c>
      <c r="S628" s="53" t="n">
        <f aca="false">IF(C628="",0,IF(OR(J628="",J628="In Stock / En Inventario",J628="Listed / Publicado"),1,0))</f>
        <v>0</v>
      </c>
      <c r="T628" s="53" t="n">
        <f aca="false">IF(C628="",0,IF(J628="Sold / Vendido",1,0))</f>
        <v>0</v>
      </c>
      <c r="U628" s="53" t="n">
        <f aca="true">IF(S628=1,IF(ISNUMBER(F628),TODAY()-F628,-1),-1)</f>
        <v>-1</v>
      </c>
      <c r="V628" s="53" t="n">
        <f aca="false">IF(U628&lt;0,IF(S628=1,5,0),IF(U628&lt;=30,1,IF(U628&lt;=60,2,IF(U628&lt;=90,3,4))))</f>
        <v>0</v>
      </c>
      <c r="W628" s="53" t="n">
        <f aca="false">IF(U628&lt;0,-1000000000000000,U628+ROW()/1000000)</f>
        <v>-1000000000000000</v>
      </c>
      <c r="X628" s="53" t="n">
        <f aca="false">IF(T628=1,IF(AND(ISNUMBER(F628),ISNUMBER(K628)),K628-F628,0),0)</f>
        <v>0</v>
      </c>
      <c r="Y628" s="53" t="n">
        <f aca="false">IF(T628=1,IF(AND(ISNUMBER(F628),ISNUMBER(K628)),1,0),0)</f>
        <v>0</v>
      </c>
      <c r="Z628" s="53" t="n">
        <f aca="false">IF(U628&gt;=Settings!$C$8,1,0)</f>
        <v>0</v>
      </c>
      <c r="AA628" s="53" t="n">
        <f aca="false">IF(S628=1,IF(J628="Listed / Publicado",0,1),0)</f>
        <v>0</v>
      </c>
      <c r="AB628" s="53" t="n">
        <f aca="false">IF(T628=1,IF(ISNUMBER(L628),L628-G628,0),0)</f>
        <v>0</v>
      </c>
      <c r="AC628" s="53" t="n">
        <f aca="false">IF(S628=1,IF(ISNUMBER(I628),I628-G628,0),0)</f>
        <v>0</v>
      </c>
    </row>
    <row r="629" customFormat="false" ht="15" hidden="false" customHeight="false" outlineLevel="0" collapsed="false">
      <c r="B629" s="54"/>
      <c r="C629" s="55"/>
      <c r="D629" s="55"/>
      <c r="E629" s="55"/>
      <c r="F629" s="56"/>
      <c r="G629" s="57"/>
      <c r="H629" s="55"/>
      <c r="I629" s="57"/>
      <c r="J629" s="54"/>
      <c r="K629" s="56"/>
      <c r="L629" s="57"/>
      <c r="M629" s="54"/>
      <c r="N629" s="58" t="str">
        <f aca="false">IF(S629=1,IF(U629&lt;0,"",U629),IF(Y629=1,X629,""))</f>
        <v/>
      </c>
      <c r="O629" s="59" t="str">
        <f aca="false">IF(S629=1,IF(ISNUMBER(I629),I629-G629,""),"")</f>
        <v/>
      </c>
      <c r="P629" s="59" t="str">
        <f aca="false">IF(T629=1,IF(ISNUMBER(L629),L629-G629,""),"")</f>
        <v/>
      </c>
      <c r="Q629" s="60" t="str">
        <f aca="false">IF(C629="","",IF(T629=1,"✔ SOLD / VENDIDO",IF(S629=0,"— CLOSED / CERRADO",IF(U629&lt;0,"⚠ ADD DATE / AGREGA FECHA",IF(U629&gt;=Settings!$C$8,"⚠ STALE – REPRICE / ESTANCADO",IF(U629&gt;=Settings!$C$7,"● WATCH / VIGILAR","✔ FRESH / RECIENTE"))))))</f>
        <v/>
      </c>
      <c r="S629" s="53" t="n">
        <f aca="false">IF(C629="",0,IF(OR(J629="",J629="In Stock / En Inventario",J629="Listed / Publicado"),1,0))</f>
        <v>0</v>
      </c>
      <c r="T629" s="53" t="n">
        <f aca="false">IF(C629="",0,IF(J629="Sold / Vendido",1,0))</f>
        <v>0</v>
      </c>
      <c r="U629" s="53" t="n">
        <f aca="true">IF(S629=1,IF(ISNUMBER(F629),TODAY()-F629,-1),-1)</f>
        <v>-1</v>
      </c>
      <c r="V629" s="53" t="n">
        <f aca="false">IF(U629&lt;0,IF(S629=1,5,0),IF(U629&lt;=30,1,IF(U629&lt;=60,2,IF(U629&lt;=90,3,4))))</f>
        <v>0</v>
      </c>
      <c r="W629" s="53" t="n">
        <f aca="false">IF(U629&lt;0,-1000000000000000,U629+ROW()/1000000)</f>
        <v>-1000000000000000</v>
      </c>
      <c r="X629" s="53" t="n">
        <f aca="false">IF(T629=1,IF(AND(ISNUMBER(F629),ISNUMBER(K629)),K629-F629,0),0)</f>
        <v>0</v>
      </c>
      <c r="Y629" s="53" t="n">
        <f aca="false">IF(T629=1,IF(AND(ISNUMBER(F629),ISNUMBER(K629)),1,0),0)</f>
        <v>0</v>
      </c>
      <c r="Z629" s="53" t="n">
        <f aca="false">IF(U629&gt;=Settings!$C$8,1,0)</f>
        <v>0</v>
      </c>
      <c r="AA629" s="53" t="n">
        <f aca="false">IF(S629=1,IF(J629="Listed / Publicado",0,1),0)</f>
        <v>0</v>
      </c>
      <c r="AB629" s="53" t="n">
        <f aca="false">IF(T629=1,IF(ISNUMBER(L629),L629-G629,0),0)</f>
        <v>0</v>
      </c>
      <c r="AC629" s="53" t="n">
        <f aca="false">IF(S629=1,IF(ISNUMBER(I629),I629-G629,0),0)</f>
        <v>0</v>
      </c>
    </row>
    <row r="630" customFormat="false" ht="15" hidden="false" customHeight="false" outlineLevel="0" collapsed="false">
      <c r="B630" s="54"/>
      <c r="C630" s="55"/>
      <c r="D630" s="55"/>
      <c r="E630" s="55"/>
      <c r="F630" s="56"/>
      <c r="G630" s="57"/>
      <c r="H630" s="55"/>
      <c r="I630" s="57"/>
      <c r="J630" s="54"/>
      <c r="K630" s="56"/>
      <c r="L630" s="57"/>
      <c r="M630" s="54"/>
      <c r="N630" s="58" t="str">
        <f aca="false">IF(S630=1,IF(U630&lt;0,"",U630),IF(Y630=1,X630,""))</f>
        <v/>
      </c>
      <c r="O630" s="59" t="str">
        <f aca="false">IF(S630=1,IF(ISNUMBER(I630),I630-G630,""),"")</f>
        <v/>
      </c>
      <c r="P630" s="59" t="str">
        <f aca="false">IF(T630=1,IF(ISNUMBER(L630),L630-G630,""),"")</f>
        <v/>
      </c>
      <c r="Q630" s="60" t="str">
        <f aca="false">IF(C630="","",IF(T630=1,"✔ SOLD / VENDIDO",IF(S630=0,"— CLOSED / CERRADO",IF(U630&lt;0,"⚠ ADD DATE / AGREGA FECHA",IF(U630&gt;=Settings!$C$8,"⚠ STALE – REPRICE / ESTANCADO",IF(U630&gt;=Settings!$C$7,"● WATCH / VIGILAR","✔ FRESH / RECIENTE"))))))</f>
        <v/>
      </c>
      <c r="S630" s="53" t="n">
        <f aca="false">IF(C630="",0,IF(OR(J630="",J630="In Stock / En Inventario",J630="Listed / Publicado"),1,0))</f>
        <v>0</v>
      </c>
      <c r="T630" s="53" t="n">
        <f aca="false">IF(C630="",0,IF(J630="Sold / Vendido",1,0))</f>
        <v>0</v>
      </c>
      <c r="U630" s="53" t="n">
        <f aca="true">IF(S630=1,IF(ISNUMBER(F630),TODAY()-F630,-1),-1)</f>
        <v>-1</v>
      </c>
      <c r="V630" s="53" t="n">
        <f aca="false">IF(U630&lt;0,IF(S630=1,5,0),IF(U630&lt;=30,1,IF(U630&lt;=60,2,IF(U630&lt;=90,3,4))))</f>
        <v>0</v>
      </c>
      <c r="W630" s="53" t="n">
        <f aca="false">IF(U630&lt;0,-1000000000000000,U630+ROW()/1000000)</f>
        <v>-1000000000000000</v>
      </c>
      <c r="X630" s="53" t="n">
        <f aca="false">IF(T630=1,IF(AND(ISNUMBER(F630),ISNUMBER(K630)),K630-F630,0),0)</f>
        <v>0</v>
      </c>
      <c r="Y630" s="53" t="n">
        <f aca="false">IF(T630=1,IF(AND(ISNUMBER(F630),ISNUMBER(K630)),1,0),0)</f>
        <v>0</v>
      </c>
      <c r="Z630" s="53" t="n">
        <f aca="false">IF(U630&gt;=Settings!$C$8,1,0)</f>
        <v>0</v>
      </c>
      <c r="AA630" s="53" t="n">
        <f aca="false">IF(S630=1,IF(J630="Listed / Publicado",0,1),0)</f>
        <v>0</v>
      </c>
      <c r="AB630" s="53" t="n">
        <f aca="false">IF(T630=1,IF(ISNUMBER(L630),L630-G630,0),0)</f>
        <v>0</v>
      </c>
      <c r="AC630" s="53" t="n">
        <f aca="false">IF(S630=1,IF(ISNUMBER(I630),I630-G630,0),0)</f>
        <v>0</v>
      </c>
    </row>
    <row r="631" customFormat="false" ht="15" hidden="false" customHeight="false" outlineLevel="0" collapsed="false">
      <c r="B631" s="54"/>
      <c r="C631" s="55"/>
      <c r="D631" s="55"/>
      <c r="E631" s="55"/>
      <c r="F631" s="56"/>
      <c r="G631" s="57"/>
      <c r="H631" s="55"/>
      <c r="I631" s="57"/>
      <c r="J631" s="54"/>
      <c r="K631" s="56"/>
      <c r="L631" s="57"/>
      <c r="M631" s="54"/>
      <c r="N631" s="58" t="str">
        <f aca="false">IF(S631=1,IF(U631&lt;0,"",U631),IF(Y631=1,X631,""))</f>
        <v/>
      </c>
      <c r="O631" s="59" t="str">
        <f aca="false">IF(S631=1,IF(ISNUMBER(I631),I631-G631,""),"")</f>
        <v/>
      </c>
      <c r="P631" s="59" t="str">
        <f aca="false">IF(T631=1,IF(ISNUMBER(L631),L631-G631,""),"")</f>
        <v/>
      </c>
      <c r="Q631" s="60" t="str">
        <f aca="false">IF(C631="","",IF(T631=1,"✔ SOLD / VENDIDO",IF(S631=0,"— CLOSED / CERRADO",IF(U631&lt;0,"⚠ ADD DATE / AGREGA FECHA",IF(U631&gt;=Settings!$C$8,"⚠ STALE – REPRICE / ESTANCADO",IF(U631&gt;=Settings!$C$7,"● WATCH / VIGILAR","✔ FRESH / RECIENTE"))))))</f>
        <v/>
      </c>
      <c r="S631" s="53" t="n">
        <f aca="false">IF(C631="",0,IF(OR(J631="",J631="In Stock / En Inventario",J631="Listed / Publicado"),1,0))</f>
        <v>0</v>
      </c>
      <c r="T631" s="53" t="n">
        <f aca="false">IF(C631="",0,IF(J631="Sold / Vendido",1,0))</f>
        <v>0</v>
      </c>
      <c r="U631" s="53" t="n">
        <f aca="true">IF(S631=1,IF(ISNUMBER(F631),TODAY()-F631,-1),-1)</f>
        <v>-1</v>
      </c>
      <c r="V631" s="53" t="n">
        <f aca="false">IF(U631&lt;0,IF(S631=1,5,0),IF(U631&lt;=30,1,IF(U631&lt;=60,2,IF(U631&lt;=90,3,4))))</f>
        <v>0</v>
      </c>
      <c r="W631" s="53" t="n">
        <f aca="false">IF(U631&lt;0,-1000000000000000,U631+ROW()/1000000)</f>
        <v>-1000000000000000</v>
      </c>
      <c r="X631" s="53" t="n">
        <f aca="false">IF(T631=1,IF(AND(ISNUMBER(F631),ISNUMBER(K631)),K631-F631,0),0)</f>
        <v>0</v>
      </c>
      <c r="Y631" s="53" t="n">
        <f aca="false">IF(T631=1,IF(AND(ISNUMBER(F631),ISNUMBER(K631)),1,0),0)</f>
        <v>0</v>
      </c>
      <c r="Z631" s="53" t="n">
        <f aca="false">IF(U631&gt;=Settings!$C$8,1,0)</f>
        <v>0</v>
      </c>
      <c r="AA631" s="53" t="n">
        <f aca="false">IF(S631=1,IF(J631="Listed / Publicado",0,1),0)</f>
        <v>0</v>
      </c>
      <c r="AB631" s="53" t="n">
        <f aca="false">IF(T631=1,IF(ISNUMBER(L631),L631-G631,0),0)</f>
        <v>0</v>
      </c>
      <c r="AC631" s="53" t="n">
        <f aca="false">IF(S631=1,IF(ISNUMBER(I631),I631-G631,0),0)</f>
        <v>0</v>
      </c>
    </row>
    <row r="632" customFormat="false" ht="15" hidden="false" customHeight="false" outlineLevel="0" collapsed="false">
      <c r="B632" s="54"/>
      <c r="C632" s="55"/>
      <c r="D632" s="55"/>
      <c r="E632" s="55"/>
      <c r="F632" s="56"/>
      <c r="G632" s="57"/>
      <c r="H632" s="55"/>
      <c r="I632" s="57"/>
      <c r="J632" s="54"/>
      <c r="K632" s="56"/>
      <c r="L632" s="57"/>
      <c r="M632" s="54"/>
      <c r="N632" s="58" t="str">
        <f aca="false">IF(S632=1,IF(U632&lt;0,"",U632),IF(Y632=1,X632,""))</f>
        <v/>
      </c>
      <c r="O632" s="59" t="str">
        <f aca="false">IF(S632=1,IF(ISNUMBER(I632),I632-G632,""),"")</f>
        <v/>
      </c>
      <c r="P632" s="59" t="str">
        <f aca="false">IF(T632=1,IF(ISNUMBER(L632),L632-G632,""),"")</f>
        <v/>
      </c>
      <c r="Q632" s="60" t="str">
        <f aca="false">IF(C632="","",IF(T632=1,"✔ SOLD / VENDIDO",IF(S632=0,"— CLOSED / CERRADO",IF(U632&lt;0,"⚠ ADD DATE / AGREGA FECHA",IF(U632&gt;=Settings!$C$8,"⚠ STALE – REPRICE / ESTANCADO",IF(U632&gt;=Settings!$C$7,"● WATCH / VIGILAR","✔ FRESH / RECIENTE"))))))</f>
        <v/>
      </c>
      <c r="S632" s="53" t="n">
        <f aca="false">IF(C632="",0,IF(OR(J632="",J632="In Stock / En Inventario",J632="Listed / Publicado"),1,0))</f>
        <v>0</v>
      </c>
      <c r="T632" s="53" t="n">
        <f aca="false">IF(C632="",0,IF(J632="Sold / Vendido",1,0))</f>
        <v>0</v>
      </c>
      <c r="U632" s="53" t="n">
        <f aca="true">IF(S632=1,IF(ISNUMBER(F632),TODAY()-F632,-1),-1)</f>
        <v>-1</v>
      </c>
      <c r="V632" s="53" t="n">
        <f aca="false">IF(U632&lt;0,IF(S632=1,5,0),IF(U632&lt;=30,1,IF(U632&lt;=60,2,IF(U632&lt;=90,3,4))))</f>
        <v>0</v>
      </c>
      <c r="W632" s="53" t="n">
        <f aca="false">IF(U632&lt;0,-1000000000000000,U632+ROW()/1000000)</f>
        <v>-1000000000000000</v>
      </c>
      <c r="X632" s="53" t="n">
        <f aca="false">IF(T632=1,IF(AND(ISNUMBER(F632),ISNUMBER(K632)),K632-F632,0),0)</f>
        <v>0</v>
      </c>
      <c r="Y632" s="53" t="n">
        <f aca="false">IF(T632=1,IF(AND(ISNUMBER(F632),ISNUMBER(K632)),1,0),0)</f>
        <v>0</v>
      </c>
      <c r="Z632" s="53" t="n">
        <f aca="false">IF(U632&gt;=Settings!$C$8,1,0)</f>
        <v>0</v>
      </c>
      <c r="AA632" s="53" t="n">
        <f aca="false">IF(S632=1,IF(J632="Listed / Publicado",0,1),0)</f>
        <v>0</v>
      </c>
      <c r="AB632" s="53" t="n">
        <f aca="false">IF(T632=1,IF(ISNUMBER(L632),L632-G632,0),0)</f>
        <v>0</v>
      </c>
      <c r="AC632" s="53" t="n">
        <f aca="false">IF(S632=1,IF(ISNUMBER(I632),I632-G632,0),0)</f>
        <v>0</v>
      </c>
    </row>
    <row r="633" customFormat="false" ht="15" hidden="false" customHeight="false" outlineLevel="0" collapsed="false">
      <c r="B633" s="54"/>
      <c r="C633" s="55"/>
      <c r="D633" s="55"/>
      <c r="E633" s="55"/>
      <c r="F633" s="56"/>
      <c r="G633" s="57"/>
      <c r="H633" s="55"/>
      <c r="I633" s="57"/>
      <c r="J633" s="54"/>
      <c r="K633" s="56"/>
      <c r="L633" s="57"/>
      <c r="M633" s="54"/>
      <c r="N633" s="58" t="str">
        <f aca="false">IF(S633=1,IF(U633&lt;0,"",U633),IF(Y633=1,X633,""))</f>
        <v/>
      </c>
      <c r="O633" s="59" t="str">
        <f aca="false">IF(S633=1,IF(ISNUMBER(I633),I633-G633,""),"")</f>
        <v/>
      </c>
      <c r="P633" s="59" t="str">
        <f aca="false">IF(T633=1,IF(ISNUMBER(L633),L633-G633,""),"")</f>
        <v/>
      </c>
      <c r="Q633" s="60" t="str">
        <f aca="false">IF(C633="","",IF(T633=1,"✔ SOLD / VENDIDO",IF(S633=0,"— CLOSED / CERRADO",IF(U633&lt;0,"⚠ ADD DATE / AGREGA FECHA",IF(U633&gt;=Settings!$C$8,"⚠ STALE – REPRICE / ESTANCADO",IF(U633&gt;=Settings!$C$7,"● WATCH / VIGILAR","✔ FRESH / RECIENTE"))))))</f>
        <v/>
      </c>
      <c r="S633" s="53" t="n">
        <f aca="false">IF(C633="",0,IF(OR(J633="",J633="In Stock / En Inventario",J633="Listed / Publicado"),1,0))</f>
        <v>0</v>
      </c>
      <c r="T633" s="53" t="n">
        <f aca="false">IF(C633="",0,IF(J633="Sold / Vendido",1,0))</f>
        <v>0</v>
      </c>
      <c r="U633" s="53" t="n">
        <f aca="true">IF(S633=1,IF(ISNUMBER(F633),TODAY()-F633,-1),-1)</f>
        <v>-1</v>
      </c>
      <c r="V633" s="53" t="n">
        <f aca="false">IF(U633&lt;0,IF(S633=1,5,0),IF(U633&lt;=30,1,IF(U633&lt;=60,2,IF(U633&lt;=90,3,4))))</f>
        <v>0</v>
      </c>
      <c r="W633" s="53" t="n">
        <f aca="false">IF(U633&lt;0,-1000000000000000,U633+ROW()/1000000)</f>
        <v>-1000000000000000</v>
      </c>
      <c r="X633" s="53" t="n">
        <f aca="false">IF(T633=1,IF(AND(ISNUMBER(F633),ISNUMBER(K633)),K633-F633,0),0)</f>
        <v>0</v>
      </c>
      <c r="Y633" s="53" t="n">
        <f aca="false">IF(T633=1,IF(AND(ISNUMBER(F633),ISNUMBER(K633)),1,0),0)</f>
        <v>0</v>
      </c>
      <c r="Z633" s="53" t="n">
        <f aca="false">IF(U633&gt;=Settings!$C$8,1,0)</f>
        <v>0</v>
      </c>
      <c r="AA633" s="53" t="n">
        <f aca="false">IF(S633=1,IF(J633="Listed / Publicado",0,1),0)</f>
        <v>0</v>
      </c>
      <c r="AB633" s="53" t="n">
        <f aca="false">IF(T633=1,IF(ISNUMBER(L633),L633-G633,0),0)</f>
        <v>0</v>
      </c>
      <c r="AC633" s="53" t="n">
        <f aca="false">IF(S633=1,IF(ISNUMBER(I633),I633-G633,0),0)</f>
        <v>0</v>
      </c>
    </row>
    <row r="634" customFormat="false" ht="15" hidden="false" customHeight="false" outlineLevel="0" collapsed="false">
      <c r="B634" s="54"/>
      <c r="C634" s="55"/>
      <c r="D634" s="55"/>
      <c r="E634" s="55"/>
      <c r="F634" s="56"/>
      <c r="G634" s="57"/>
      <c r="H634" s="55"/>
      <c r="I634" s="57"/>
      <c r="J634" s="54"/>
      <c r="K634" s="56"/>
      <c r="L634" s="57"/>
      <c r="M634" s="54"/>
      <c r="N634" s="58" t="str">
        <f aca="false">IF(S634=1,IF(U634&lt;0,"",U634),IF(Y634=1,X634,""))</f>
        <v/>
      </c>
      <c r="O634" s="59" t="str">
        <f aca="false">IF(S634=1,IF(ISNUMBER(I634),I634-G634,""),"")</f>
        <v/>
      </c>
      <c r="P634" s="59" t="str">
        <f aca="false">IF(T634=1,IF(ISNUMBER(L634),L634-G634,""),"")</f>
        <v/>
      </c>
      <c r="Q634" s="60" t="str">
        <f aca="false">IF(C634="","",IF(T634=1,"✔ SOLD / VENDIDO",IF(S634=0,"— CLOSED / CERRADO",IF(U634&lt;0,"⚠ ADD DATE / AGREGA FECHA",IF(U634&gt;=Settings!$C$8,"⚠ STALE – REPRICE / ESTANCADO",IF(U634&gt;=Settings!$C$7,"● WATCH / VIGILAR","✔ FRESH / RECIENTE"))))))</f>
        <v/>
      </c>
      <c r="S634" s="53" t="n">
        <f aca="false">IF(C634="",0,IF(OR(J634="",J634="In Stock / En Inventario",J634="Listed / Publicado"),1,0))</f>
        <v>0</v>
      </c>
      <c r="T634" s="53" t="n">
        <f aca="false">IF(C634="",0,IF(J634="Sold / Vendido",1,0))</f>
        <v>0</v>
      </c>
      <c r="U634" s="53" t="n">
        <f aca="true">IF(S634=1,IF(ISNUMBER(F634),TODAY()-F634,-1),-1)</f>
        <v>-1</v>
      </c>
      <c r="V634" s="53" t="n">
        <f aca="false">IF(U634&lt;0,IF(S634=1,5,0),IF(U634&lt;=30,1,IF(U634&lt;=60,2,IF(U634&lt;=90,3,4))))</f>
        <v>0</v>
      </c>
      <c r="W634" s="53" t="n">
        <f aca="false">IF(U634&lt;0,-1000000000000000,U634+ROW()/1000000)</f>
        <v>-1000000000000000</v>
      </c>
      <c r="X634" s="53" t="n">
        <f aca="false">IF(T634=1,IF(AND(ISNUMBER(F634),ISNUMBER(K634)),K634-F634,0),0)</f>
        <v>0</v>
      </c>
      <c r="Y634" s="53" t="n">
        <f aca="false">IF(T634=1,IF(AND(ISNUMBER(F634),ISNUMBER(K634)),1,0),0)</f>
        <v>0</v>
      </c>
      <c r="Z634" s="53" t="n">
        <f aca="false">IF(U634&gt;=Settings!$C$8,1,0)</f>
        <v>0</v>
      </c>
      <c r="AA634" s="53" t="n">
        <f aca="false">IF(S634=1,IF(J634="Listed / Publicado",0,1),0)</f>
        <v>0</v>
      </c>
      <c r="AB634" s="53" t="n">
        <f aca="false">IF(T634=1,IF(ISNUMBER(L634),L634-G634,0),0)</f>
        <v>0</v>
      </c>
      <c r="AC634" s="53" t="n">
        <f aca="false">IF(S634=1,IF(ISNUMBER(I634),I634-G634,0),0)</f>
        <v>0</v>
      </c>
    </row>
    <row r="635" customFormat="false" ht="15" hidden="false" customHeight="false" outlineLevel="0" collapsed="false">
      <c r="B635" s="54"/>
      <c r="C635" s="55"/>
      <c r="D635" s="55"/>
      <c r="E635" s="55"/>
      <c r="F635" s="56"/>
      <c r="G635" s="57"/>
      <c r="H635" s="55"/>
      <c r="I635" s="57"/>
      <c r="J635" s="54"/>
      <c r="K635" s="56"/>
      <c r="L635" s="57"/>
      <c r="M635" s="54"/>
      <c r="N635" s="58" t="str">
        <f aca="false">IF(S635=1,IF(U635&lt;0,"",U635),IF(Y635=1,X635,""))</f>
        <v/>
      </c>
      <c r="O635" s="59" t="str">
        <f aca="false">IF(S635=1,IF(ISNUMBER(I635),I635-G635,""),"")</f>
        <v/>
      </c>
      <c r="P635" s="59" t="str">
        <f aca="false">IF(T635=1,IF(ISNUMBER(L635),L635-G635,""),"")</f>
        <v/>
      </c>
      <c r="Q635" s="60" t="str">
        <f aca="false">IF(C635="","",IF(T635=1,"✔ SOLD / VENDIDO",IF(S635=0,"— CLOSED / CERRADO",IF(U635&lt;0,"⚠ ADD DATE / AGREGA FECHA",IF(U635&gt;=Settings!$C$8,"⚠ STALE – REPRICE / ESTANCADO",IF(U635&gt;=Settings!$C$7,"● WATCH / VIGILAR","✔ FRESH / RECIENTE"))))))</f>
        <v/>
      </c>
      <c r="S635" s="53" t="n">
        <f aca="false">IF(C635="",0,IF(OR(J635="",J635="In Stock / En Inventario",J635="Listed / Publicado"),1,0))</f>
        <v>0</v>
      </c>
      <c r="T635" s="53" t="n">
        <f aca="false">IF(C635="",0,IF(J635="Sold / Vendido",1,0))</f>
        <v>0</v>
      </c>
      <c r="U635" s="53" t="n">
        <f aca="true">IF(S635=1,IF(ISNUMBER(F635),TODAY()-F635,-1),-1)</f>
        <v>-1</v>
      </c>
      <c r="V635" s="53" t="n">
        <f aca="false">IF(U635&lt;0,IF(S635=1,5,0),IF(U635&lt;=30,1,IF(U635&lt;=60,2,IF(U635&lt;=90,3,4))))</f>
        <v>0</v>
      </c>
      <c r="W635" s="53" t="n">
        <f aca="false">IF(U635&lt;0,-1000000000000000,U635+ROW()/1000000)</f>
        <v>-1000000000000000</v>
      </c>
      <c r="X635" s="53" t="n">
        <f aca="false">IF(T635=1,IF(AND(ISNUMBER(F635),ISNUMBER(K635)),K635-F635,0),0)</f>
        <v>0</v>
      </c>
      <c r="Y635" s="53" t="n">
        <f aca="false">IF(T635=1,IF(AND(ISNUMBER(F635),ISNUMBER(K635)),1,0),0)</f>
        <v>0</v>
      </c>
      <c r="Z635" s="53" t="n">
        <f aca="false">IF(U635&gt;=Settings!$C$8,1,0)</f>
        <v>0</v>
      </c>
      <c r="AA635" s="53" t="n">
        <f aca="false">IF(S635=1,IF(J635="Listed / Publicado",0,1),0)</f>
        <v>0</v>
      </c>
      <c r="AB635" s="53" t="n">
        <f aca="false">IF(T635=1,IF(ISNUMBER(L635),L635-G635,0),0)</f>
        <v>0</v>
      </c>
      <c r="AC635" s="53" t="n">
        <f aca="false">IF(S635=1,IF(ISNUMBER(I635),I635-G635,0),0)</f>
        <v>0</v>
      </c>
    </row>
    <row r="636" customFormat="false" ht="15" hidden="false" customHeight="false" outlineLevel="0" collapsed="false">
      <c r="B636" s="54"/>
      <c r="C636" s="55"/>
      <c r="D636" s="55"/>
      <c r="E636" s="55"/>
      <c r="F636" s="56"/>
      <c r="G636" s="57"/>
      <c r="H636" s="55"/>
      <c r="I636" s="57"/>
      <c r="J636" s="54"/>
      <c r="K636" s="56"/>
      <c r="L636" s="57"/>
      <c r="M636" s="54"/>
      <c r="N636" s="58" t="str">
        <f aca="false">IF(S636=1,IF(U636&lt;0,"",U636),IF(Y636=1,X636,""))</f>
        <v/>
      </c>
      <c r="O636" s="59" t="str">
        <f aca="false">IF(S636=1,IF(ISNUMBER(I636),I636-G636,""),"")</f>
        <v/>
      </c>
      <c r="P636" s="59" t="str">
        <f aca="false">IF(T636=1,IF(ISNUMBER(L636),L636-G636,""),"")</f>
        <v/>
      </c>
      <c r="Q636" s="60" t="str">
        <f aca="false">IF(C636="","",IF(T636=1,"✔ SOLD / VENDIDO",IF(S636=0,"— CLOSED / CERRADO",IF(U636&lt;0,"⚠ ADD DATE / AGREGA FECHA",IF(U636&gt;=Settings!$C$8,"⚠ STALE – REPRICE / ESTANCADO",IF(U636&gt;=Settings!$C$7,"● WATCH / VIGILAR","✔ FRESH / RECIENTE"))))))</f>
        <v/>
      </c>
      <c r="S636" s="53" t="n">
        <f aca="false">IF(C636="",0,IF(OR(J636="",J636="In Stock / En Inventario",J636="Listed / Publicado"),1,0))</f>
        <v>0</v>
      </c>
      <c r="T636" s="53" t="n">
        <f aca="false">IF(C636="",0,IF(J636="Sold / Vendido",1,0))</f>
        <v>0</v>
      </c>
      <c r="U636" s="53" t="n">
        <f aca="true">IF(S636=1,IF(ISNUMBER(F636),TODAY()-F636,-1),-1)</f>
        <v>-1</v>
      </c>
      <c r="V636" s="53" t="n">
        <f aca="false">IF(U636&lt;0,IF(S636=1,5,0),IF(U636&lt;=30,1,IF(U636&lt;=60,2,IF(U636&lt;=90,3,4))))</f>
        <v>0</v>
      </c>
      <c r="W636" s="53" t="n">
        <f aca="false">IF(U636&lt;0,-1000000000000000,U636+ROW()/1000000)</f>
        <v>-1000000000000000</v>
      </c>
      <c r="X636" s="53" t="n">
        <f aca="false">IF(T636=1,IF(AND(ISNUMBER(F636),ISNUMBER(K636)),K636-F636,0),0)</f>
        <v>0</v>
      </c>
      <c r="Y636" s="53" t="n">
        <f aca="false">IF(T636=1,IF(AND(ISNUMBER(F636),ISNUMBER(K636)),1,0),0)</f>
        <v>0</v>
      </c>
      <c r="Z636" s="53" t="n">
        <f aca="false">IF(U636&gt;=Settings!$C$8,1,0)</f>
        <v>0</v>
      </c>
      <c r="AA636" s="53" t="n">
        <f aca="false">IF(S636=1,IF(J636="Listed / Publicado",0,1),0)</f>
        <v>0</v>
      </c>
      <c r="AB636" s="53" t="n">
        <f aca="false">IF(T636=1,IF(ISNUMBER(L636),L636-G636,0),0)</f>
        <v>0</v>
      </c>
      <c r="AC636" s="53" t="n">
        <f aca="false">IF(S636=1,IF(ISNUMBER(I636),I636-G636,0),0)</f>
        <v>0</v>
      </c>
    </row>
    <row r="637" customFormat="false" ht="15" hidden="false" customHeight="false" outlineLevel="0" collapsed="false">
      <c r="B637" s="54"/>
      <c r="C637" s="55"/>
      <c r="D637" s="55"/>
      <c r="E637" s="55"/>
      <c r="F637" s="56"/>
      <c r="G637" s="57"/>
      <c r="H637" s="55"/>
      <c r="I637" s="57"/>
      <c r="J637" s="54"/>
      <c r="K637" s="56"/>
      <c r="L637" s="57"/>
      <c r="M637" s="54"/>
      <c r="N637" s="58" t="str">
        <f aca="false">IF(S637=1,IF(U637&lt;0,"",U637),IF(Y637=1,X637,""))</f>
        <v/>
      </c>
      <c r="O637" s="59" t="str">
        <f aca="false">IF(S637=1,IF(ISNUMBER(I637),I637-G637,""),"")</f>
        <v/>
      </c>
      <c r="P637" s="59" t="str">
        <f aca="false">IF(T637=1,IF(ISNUMBER(L637),L637-G637,""),"")</f>
        <v/>
      </c>
      <c r="Q637" s="60" t="str">
        <f aca="false">IF(C637="","",IF(T637=1,"✔ SOLD / VENDIDO",IF(S637=0,"— CLOSED / CERRADO",IF(U637&lt;0,"⚠ ADD DATE / AGREGA FECHA",IF(U637&gt;=Settings!$C$8,"⚠ STALE – REPRICE / ESTANCADO",IF(U637&gt;=Settings!$C$7,"● WATCH / VIGILAR","✔ FRESH / RECIENTE"))))))</f>
        <v/>
      </c>
      <c r="S637" s="53" t="n">
        <f aca="false">IF(C637="",0,IF(OR(J637="",J637="In Stock / En Inventario",J637="Listed / Publicado"),1,0))</f>
        <v>0</v>
      </c>
      <c r="T637" s="53" t="n">
        <f aca="false">IF(C637="",0,IF(J637="Sold / Vendido",1,0))</f>
        <v>0</v>
      </c>
      <c r="U637" s="53" t="n">
        <f aca="true">IF(S637=1,IF(ISNUMBER(F637),TODAY()-F637,-1),-1)</f>
        <v>-1</v>
      </c>
      <c r="V637" s="53" t="n">
        <f aca="false">IF(U637&lt;0,IF(S637=1,5,0),IF(U637&lt;=30,1,IF(U637&lt;=60,2,IF(U637&lt;=90,3,4))))</f>
        <v>0</v>
      </c>
      <c r="W637" s="53" t="n">
        <f aca="false">IF(U637&lt;0,-1000000000000000,U637+ROW()/1000000)</f>
        <v>-1000000000000000</v>
      </c>
      <c r="X637" s="53" t="n">
        <f aca="false">IF(T637=1,IF(AND(ISNUMBER(F637),ISNUMBER(K637)),K637-F637,0),0)</f>
        <v>0</v>
      </c>
      <c r="Y637" s="53" t="n">
        <f aca="false">IF(T637=1,IF(AND(ISNUMBER(F637),ISNUMBER(K637)),1,0),0)</f>
        <v>0</v>
      </c>
      <c r="Z637" s="53" t="n">
        <f aca="false">IF(U637&gt;=Settings!$C$8,1,0)</f>
        <v>0</v>
      </c>
      <c r="AA637" s="53" t="n">
        <f aca="false">IF(S637=1,IF(J637="Listed / Publicado",0,1),0)</f>
        <v>0</v>
      </c>
      <c r="AB637" s="53" t="n">
        <f aca="false">IF(T637=1,IF(ISNUMBER(L637),L637-G637,0),0)</f>
        <v>0</v>
      </c>
      <c r="AC637" s="53" t="n">
        <f aca="false">IF(S637=1,IF(ISNUMBER(I637),I637-G637,0),0)</f>
        <v>0</v>
      </c>
    </row>
    <row r="638" customFormat="false" ht="15" hidden="false" customHeight="false" outlineLevel="0" collapsed="false">
      <c r="B638" s="54"/>
      <c r="C638" s="55"/>
      <c r="D638" s="55"/>
      <c r="E638" s="55"/>
      <c r="F638" s="56"/>
      <c r="G638" s="57"/>
      <c r="H638" s="55"/>
      <c r="I638" s="57"/>
      <c r="J638" s="54"/>
      <c r="K638" s="56"/>
      <c r="L638" s="57"/>
      <c r="M638" s="54"/>
      <c r="N638" s="58" t="str">
        <f aca="false">IF(S638=1,IF(U638&lt;0,"",U638),IF(Y638=1,X638,""))</f>
        <v/>
      </c>
      <c r="O638" s="59" t="str">
        <f aca="false">IF(S638=1,IF(ISNUMBER(I638),I638-G638,""),"")</f>
        <v/>
      </c>
      <c r="P638" s="59" t="str">
        <f aca="false">IF(T638=1,IF(ISNUMBER(L638),L638-G638,""),"")</f>
        <v/>
      </c>
      <c r="Q638" s="60" t="str">
        <f aca="false">IF(C638="","",IF(T638=1,"✔ SOLD / VENDIDO",IF(S638=0,"— CLOSED / CERRADO",IF(U638&lt;0,"⚠ ADD DATE / AGREGA FECHA",IF(U638&gt;=Settings!$C$8,"⚠ STALE – REPRICE / ESTANCADO",IF(U638&gt;=Settings!$C$7,"● WATCH / VIGILAR","✔ FRESH / RECIENTE"))))))</f>
        <v/>
      </c>
      <c r="S638" s="53" t="n">
        <f aca="false">IF(C638="",0,IF(OR(J638="",J638="In Stock / En Inventario",J638="Listed / Publicado"),1,0))</f>
        <v>0</v>
      </c>
      <c r="T638" s="53" t="n">
        <f aca="false">IF(C638="",0,IF(J638="Sold / Vendido",1,0))</f>
        <v>0</v>
      </c>
      <c r="U638" s="53" t="n">
        <f aca="true">IF(S638=1,IF(ISNUMBER(F638),TODAY()-F638,-1),-1)</f>
        <v>-1</v>
      </c>
      <c r="V638" s="53" t="n">
        <f aca="false">IF(U638&lt;0,IF(S638=1,5,0),IF(U638&lt;=30,1,IF(U638&lt;=60,2,IF(U638&lt;=90,3,4))))</f>
        <v>0</v>
      </c>
      <c r="W638" s="53" t="n">
        <f aca="false">IF(U638&lt;0,-1000000000000000,U638+ROW()/1000000)</f>
        <v>-1000000000000000</v>
      </c>
      <c r="X638" s="53" t="n">
        <f aca="false">IF(T638=1,IF(AND(ISNUMBER(F638),ISNUMBER(K638)),K638-F638,0),0)</f>
        <v>0</v>
      </c>
      <c r="Y638" s="53" t="n">
        <f aca="false">IF(T638=1,IF(AND(ISNUMBER(F638),ISNUMBER(K638)),1,0),0)</f>
        <v>0</v>
      </c>
      <c r="Z638" s="53" t="n">
        <f aca="false">IF(U638&gt;=Settings!$C$8,1,0)</f>
        <v>0</v>
      </c>
      <c r="AA638" s="53" t="n">
        <f aca="false">IF(S638=1,IF(J638="Listed / Publicado",0,1),0)</f>
        <v>0</v>
      </c>
      <c r="AB638" s="53" t="n">
        <f aca="false">IF(T638=1,IF(ISNUMBER(L638),L638-G638,0),0)</f>
        <v>0</v>
      </c>
      <c r="AC638" s="53" t="n">
        <f aca="false">IF(S638=1,IF(ISNUMBER(I638),I638-G638,0),0)</f>
        <v>0</v>
      </c>
    </row>
    <row r="639" customFormat="false" ht="15" hidden="false" customHeight="false" outlineLevel="0" collapsed="false">
      <c r="B639" s="54"/>
      <c r="C639" s="55"/>
      <c r="D639" s="55"/>
      <c r="E639" s="55"/>
      <c r="F639" s="56"/>
      <c r="G639" s="57"/>
      <c r="H639" s="55"/>
      <c r="I639" s="57"/>
      <c r="J639" s="54"/>
      <c r="K639" s="56"/>
      <c r="L639" s="57"/>
      <c r="M639" s="54"/>
      <c r="N639" s="58" t="str">
        <f aca="false">IF(S639=1,IF(U639&lt;0,"",U639),IF(Y639=1,X639,""))</f>
        <v/>
      </c>
      <c r="O639" s="59" t="str">
        <f aca="false">IF(S639=1,IF(ISNUMBER(I639),I639-G639,""),"")</f>
        <v/>
      </c>
      <c r="P639" s="59" t="str">
        <f aca="false">IF(T639=1,IF(ISNUMBER(L639),L639-G639,""),"")</f>
        <v/>
      </c>
      <c r="Q639" s="60" t="str">
        <f aca="false">IF(C639="","",IF(T639=1,"✔ SOLD / VENDIDO",IF(S639=0,"— CLOSED / CERRADO",IF(U639&lt;0,"⚠ ADD DATE / AGREGA FECHA",IF(U639&gt;=Settings!$C$8,"⚠ STALE – REPRICE / ESTANCADO",IF(U639&gt;=Settings!$C$7,"● WATCH / VIGILAR","✔ FRESH / RECIENTE"))))))</f>
        <v/>
      </c>
      <c r="S639" s="53" t="n">
        <f aca="false">IF(C639="",0,IF(OR(J639="",J639="In Stock / En Inventario",J639="Listed / Publicado"),1,0))</f>
        <v>0</v>
      </c>
      <c r="T639" s="53" t="n">
        <f aca="false">IF(C639="",0,IF(J639="Sold / Vendido",1,0))</f>
        <v>0</v>
      </c>
      <c r="U639" s="53" t="n">
        <f aca="true">IF(S639=1,IF(ISNUMBER(F639),TODAY()-F639,-1),-1)</f>
        <v>-1</v>
      </c>
      <c r="V639" s="53" t="n">
        <f aca="false">IF(U639&lt;0,IF(S639=1,5,0),IF(U639&lt;=30,1,IF(U639&lt;=60,2,IF(U639&lt;=90,3,4))))</f>
        <v>0</v>
      </c>
      <c r="W639" s="53" t="n">
        <f aca="false">IF(U639&lt;0,-1000000000000000,U639+ROW()/1000000)</f>
        <v>-1000000000000000</v>
      </c>
      <c r="X639" s="53" t="n">
        <f aca="false">IF(T639=1,IF(AND(ISNUMBER(F639),ISNUMBER(K639)),K639-F639,0),0)</f>
        <v>0</v>
      </c>
      <c r="Y639" s="53" t="n">
        <f aca="false">IF(T639=1,IF(AND(ISNUMBER(F639),ISNUMBER(K639)),1,0),0)</f>
        <v>0</v>
      </c>
      <c r="Z639" s="53" t="n">
        <f aca="false">IF(U639&gt;=Settings!$C$8,1,0)</f>
        <v>0</v>
      </c>
      <c r="AA639" s="53" t="n">
        <f aca="false">IF(S639=1,IF(J639="Listed / Publicado",0,1),0)</f>
        <v>0</v>
      </c>
      <c r="AB639" s="53" t="n">
        <f aca="false">IF(T639=1,IF(ISNUMBER(L639),L639-G639,0),0)</f>
        <v>0</v>
      </c>
      <c r="AC639" s="53" t="n">
        <f aca="false">IF(S639=1,IF(ISNUMBER(I639),I639-G639,0),0)</f>
        <v>0</v>
      </c>
    </row>
    <row r="640" customFormat="false" ht="15" hidden="false" customHeight="false" outlineLevel="0" collapsed="false">
      <c r="B640" s="54"/>
      <c r="C640" s="55"/>
      <c r="D640" s="55"/>
      <c r="E640" s="55"/>
      <c r="F640" s="56"/>
      <c r="G640" s="57"/>
      <c r="H640" s="55"/>
      <c r="I640" s="57"/>
      <c r="J640" s="54"/>
      <c r="K640" s="56"/>
      <c r="L640" s="57"/>
      <c r="M640" s="54"/>
      <c r="N640" s="58" t="str">
        <f aca="false">IF(S640=1,IF(U640&lt;0,"",U640),IF(Y640=1,X640,""))</f>
        <v/>
      </c>
      <c r="O640" s="59" t="str">
        <f aca="false">IF(S640=1,IF(ISNUMBER(I640),I640-G640,""),"")</f>
        <v/>
      </c>
      <c r="P640" s="59" t="str">
        <f aca="false">IF(T640=1,IF(ISNUMBER(L640),L640-G640,""),"")</f>
        <v/>
      </c>
      <c r="Q640" s="60" t="str">
        <f aca="false">IF(C640="","",IF(T640=1,"✔ SOLD / VENDIDO",IF(S640=0,"— CLOSED / CERRADO",IF(U640&lt;0,"⚠ ADD DATE / AGREGA FECHA",IF(U640&gt;=Settings!$C$8,"⚠ STALE – REPRICE / ESTANCADO",IF(U640&gt;=Settings!$C$7,"● WATCH / VIGILAR","✔ FRESH / RECIENTE"))))))</f>
        <v/>
      </c>
      <c r="S640" s="53" t="n">
        <f aca="false">IF(C640="",0,IF(OR(J640="",J640="In Stock / En Inventario",J640="Listed / Publicado"),1,0))</f>
        <v>0</v>
      </c>
      <c r="T640" s="53" t="n">
        <f aca="false">IF(C640="",0,IF(J640="Sold / Vendido",1,0))</f>
        <v>0</v>
      </c>
      <c r="U640" s="53" t="n">
        <f aca="true">IF(S640=1,IF(ISNUMBER(F640),TODAY()-F640,-1),-1)</f>
        <v>-1</v>
      </c>
      <c r="V640" s="53" t="n">
        <f aca="false">IF(U640&lt;0,IF(S640=1,5,0),IF(U640&lt;=30,1,IF(U640&lt;=60,2,IF(U640&lt;=90,3,4))))</f>
        <v>0</v>
      </c>
      <c r="W640" s="53" t="n">
        <f aca="false">IF(U640&lt;0,-1000000000000000,U640+ROW()/1000000)</f>
        <v>-1000000000000000</v>
      </c>
      <c r="X640" s="53" t="n">
        <f aca="false">IF(T640=1,IF(AND(ISNUMBER(F640),ISNUMBER(K640)),K640-F640,0),0)</f>
        <v>0</v>
      </c>
      <c r="Y640" s="53" t="n">
        <f aca="false">IF(T640=1,IF(AND(ISNUMBER(F640),ISNUMBER(K640)),1,0),0)</f>
        <v>0</v>
      </c>
      <c r="Z640" s="53" t="n">
        <f aca="false">IF(U640&gt;=Settings!$C$8,1,0)</f>
        <v>0</v>
      </c>
      <c r="AA640" s="53" t="n">
        <f aca="false">IF(S640=1,IF(J640="Listed / Publicado",0,1),0)</f>
        <v>0</v>
      </c>
      <c r="AB640" s="53" t="n">
        <f aca="false">IF(T640=1,IF(ISNUMBER(L640),L640-G640,0),0)</f>
        <v>0</v>
      </c>
      <c r="AC640" s="53" t="n">
        <f aca="false">IF(S640=1,IF(ISNUMBER(I640),I640-G640,0),0)</f>
        <v>0</v>
      </c>
    </row>
    <row r="641" customFormat="false" ht="15" hidden="false" customHeight="false" outlineLevel="0" collapsed="false">
      <c r="B641" s="54"/>
      <c r="C641" s="55"/>
      <c r="D641" s="55"/>
      <c r="E641" s="55"/>
      <c r="F641" s="56"/>
      <c r="G641" s="57"/>
      <c r="H641" s="55"/>
      <c r="I641" s="57"/>
      <c r="J641" s="54"/>
      <c r="K641" s="56"/>
      <c r="L641" s="57"/>
      <c r="M641" s="54"/>
      <c r="N641" s="58" t="str">
        <f aca="false">IF(S641=1,IF(U641&lt;0,"",U641),IF(Y641=1,X641,""))</f>
        <v/>
      </c>
      <c r="O641" s="59" t="str">
        <f aca="false">IF(S641=1,IF(ISNUMBER(I641),I641-G641,""),"")</f>
        <v/>
      </c>
      <c r="P641" s="59" t="str">
        <f aca="false">IF(T641=1,IF(ISNUMBER(L641),L641-G641,""),"")</f>
        <v/>
      </c>
      <c r="Q641" s="60" t="str">
        <f aca="false">IF(C641="","",IF(T641=1,"✔ SOLD / VENDIDO",IF(S641=0,"— CLOSED / CERRADO",IF(U641&lt;0,"⚠ ADD DATE / AGREGA FECHA",IF(U641&gt;=Settings!$C$8,"⚠ STALE – REPRICE / ESTANCADO",IF(U641&gt;=Settings!$C$7,"● WATCH / VIGILAR","✔ FRESH / RECIENTE"))))))</f>
        <v/>
      </c>
      <c r="S641" s="53" t="n">
        <f aca="false">IF(C641="",0,IF(OR(J641="",J641="In Stock / En Inventario",J641="Listed / Publicado"),1,0))</f>
        <v>0</v>
      </c>
      <c r="T641" s="53" t="n">
        <f aca="false">IF(C641="",0,IF(J641="Sold / Vendido",1,0))</f>
        <v>0</v>
      </c>
      <c r="U641" s="53" t="n">
        <f aca="true">IF(S641=1,IF(ISNUMBER(F641),TODAY()-F641,-1),-1)</f>
        <v>-1</v>
      </c>
      <c r="V641" s="53" t="n">
        <f aca="false">IF(U641&lt;0,IF(S641=1,5,0),IF(U641&lt;=30,1,IF(U641&lt;=60,2,IF(U641&lt;=90,3,4))))</f>
        <v>0</v>
      </c>
      <c r="W641" s="53" t="n">
        <f aca="false">IF(U641&lt;0,-1000000000000000,U641+ROW()/1000000)</f>
        <v>-1000000000000000</v>
      </c>
      <c r="X641" s="53" t="n">
        <f aca="false">IF(T641=1,IF(AND(ISNUMBER(F641),ISNUMBER(K641)),K641-F641,0),0)</f>
        <v>0</v>
      </c>
      <c r="Y641" s="53" t="n">
        <f aca="false">IF(T641=1,IF(AND(ISNUMBER(F641),ISNUMBER(K641)),1,0),0)</f>
        <v>0</v>
      </c>
      <c r="Z641" s="53" t="n">
        <f aca="false">IF(U641&gt;=Settings!$C$8,1,0)</f>
        <v>0</v>
      </c>
      <c r="AA641" s="53" t="n">
        <f aca="false">IF(S641=1,IF(J641="Listed / Publicado",0,1),0)</f>
        <v>0</v>
      </c>
      <c r="AB641" s="53" t="n">
        <f aca="false">IF(T641=1,IF(ISNUMBER(L641),L641-G641,0),0)</f>
        <v>0</v>
      </c>
      <c r="AC641" s="53" t="n">
        <f aca="false">IF(S641=1,IF(ISNUMBER(I641),I641-G641,0),0)</f>
        <v>0</v>
      </c>
    </row>
    <row r="642" customFormat="false" ht="15" hidden="false" customHeight="false" outlineLevel="0" collapsed="false">
      <c r="B642" s="54"/>
      <c r="C642" s="55"/>
      <c r="D642" s="55"/>
      <c r="E642" s="55"/>
      <c r="F642" s="56"/>
      <c r="G642" s="57"/>
      <c r="H642" s="55"/>
      <c r="I642" s="57"/>
      <c r="J642" s="54"/>
      <c r="K642" s="56"/>
      <c r="L642" s="57"/>
      <c r="M642" s="54"/>
      <c r="N642" s="58" t="str">
        <f aca="false">IF(S642=1,IF(U642&lt;0,"",U642),IF(Y642=1,X642,""))</f>
        <v/>
      </c>
      <c r="O642" s="59" t="str">
        <f aca="false">IF(S642=1,IF(ISNUMBER(I642),I642-G642,""),"")</f>
        <v/>
      </c>
      <c r="P642" s="59" t="str">
        <f aca="false">IF(T642=1,IF(ISNUMBER(L642),L642-G642,""),"")</f>
        <v/>
      </c>
      <c r="Q642" s="60" t="str">
        <f aca="false">IF(C642="","",IF(T642=1,"✔ SOLD / VENDIDO",IF(S642=0,"— CLOSED / CERRADO",IF(U642&lt;0,"⚠ ADD DATE / AGREGA FECHA",IF(U642&gt;=Settings!$C$8,"⚠ STALE – REPRICE / ESTANCADO",IF(U642&gt;=Settings!$C$7,"● WATCH / VIGILAR","✔ FRESH / RECIENTE"))))))</f>
        <v/>
      </c>
      <c r="S642" s="53" t="n">
        <f aca="false">IF(C642="",0,IF(OR(J642="",J642="In Stock / En Inventario",J642="Listed / Publicado"),1,0))</f>
        <v>0</v>
      </c>
      <c r="T642" s="53" t="n">
        <f aca="false">IF(C642="",0,IF(J642="Sold / Vendido",1,0))</f>
        <v>0</v>
      </c>
      <c r="U642" s="53" t="n">
        <f aca="true">IF(S642=1,IF(ISNUMBER(F642),TODAY()-F642,-1),-1)</f>
        <v>-1</v>
      </c>
      <c r="V642" s="53" t="n">
        <f aca="false">IF(U642&lt;0,IF(S642=1,5,0),IF(U642&lt;=30,1,IF(U642&lt;=60,2,IF(U642&lt;=90,3,4))))</f>
        <v>0</v>
      </c>
      <c r="W642" s="53" t="n">
        <f aca="false">IF(U642&lt;0,-1000000000000000,U642+ROW()/1000000)</f>
        <v>-1000000000000000</v>
      </c>
      <c r="X642" s="53" t="n">
        <f aca="false">IF(T642=1,IF(AND(ISNUMBER(F642),ISNUMBER(K642)),K642-F642,0),0)</f>
        <v>0</v>
      </c>
      <c r="Y642" s="53" t="n">
        <f aca="false">IF(T642=1,IF(AND(ISNUMBER(F642),ISNUMBER(K642)),1,0),0)</f>
        <v>0</v>
      </c>
      <c r="Z642" s="53" t="n">
        <f aca="false">IF(U642&gt;=Settings!$C$8,1,0)</f>
        <v>0</v>
      </c>
      <c r="AA642" s="53" t="n">
        <f aca="false">IF(S642=1,IF(J642="Listed / Publicado",0,1),0)</f>
        <v>0</v>
      </c>
      <c r="AB642" s="53" t="n">
        <f aca="false">IF(T642=1,IF(ISNUMBER(L642),L642-G642,0),0)</f>
        <v>0</v>
      </c>
      <c r="AC642" s="53" t="n">
        <f aca="false">IF(S642=1,IF(ISNUMBER(I642),I642-G642,0),0)</f>
        <v>0</v>
      </c>
    </row>
    <row r="643" customFormat="false" ht="15" hidden="false" customHeight="false" outlineLevel="0" collapsed="false">
      <c r="B643" s="54"/>
      <c r="C643" s="55"/>
      <c r="D643" s="55"/>
      <c r="E643" s="55"/>
      <c r="F643" s="56"/>
      <c r="G643" s="57"/>
      <c r="H643" s="55"/>
      <c r="I643" s="57"/>
      <c r="J643" s="54"/>
      <c r="K643" s="56"/>
      <c r="L643" s="57"/>
      <c r="M643" s="54"/>
      <c r="N643" s="58" t="str">
        <f aca="false">IF(S643=1,IF(U643&lt;0,"",U643),IF(Y643=1,X643,""))</f>
        <v/>
      </c>
      <c r="O643" s="59" t="str">
        <f aca="false">IF(S643=1,IF(ISNUMBER(I643),I643-G643,""),"")</f>
        <v/>
      </c>
      <c r="P643" s="59" t="str">
        <f aca="false">IF(T643=1,IF(ISNUMBER(L643),L643-G643,""),"")</f>
        <v/>
      </c>
      <c r="Q643" s="60" t="str">
        <f aca="false">IF(C643="","",IF(T643=1,"✔ SOLD / VENDIDO",IF(S643=0,"— CLOSED / CERRADO",IF(U643&lt;0,"⚠ ADD DATE / AGREGA FECHA",IF(U643&gt;=Settings!$C$8,"⚠ STALE – REPRICE / ESTANCADO",IF(U643&gt;=Settings!$C$7,"● WATCH / VIGILAR","✔ FRESH / RECIENTE"))))))</f>
        <v/>
      </c>
      <c r="S643" s="53" t="n">
        <f aca="false">IF(C643="",0,IF(OR(J643="",J643="In Stock / En Inventario",J643="Listed / Publicado"),1,0))</f>
        <v>0</v>
      </c>
      <c r="T643" s="53" t="n">
        <f aca="false">IF(C643="",0,IF(J643="Sold / Vendido",1,0))</f>
        <v>0</v>
      </c>
      <c r="U643" s="53" t="n">
        <f aca="true">IF(S643=1,IF(ISNUMBER(F643),TODAY()-F643,-1),-1)</f>
        <v>-1</v>
      </c>
      <c r="V643" s="53" t="n">
        <f aca="false">IF(U643&lt;0,IF(S643=1,5,0),IF(U643&lt;=30,1,IF(U643&lt;=60,2,IF(U643&lt;=90,3,4))))</f>
        <v>0</v>
      </c>
      <c r="W643" s="53" t="n">
        <f aca="false">IF(U643&lt;0,-1000000000000000,U643+ROW()/1000000)</f>
        <v>-1000000000000000</v>
      </c>
      <c r="X643" s="53" t="n">
        <f aca="false">IF(T643=1,IF(AND(ISNUMBER(F643),ISNUMBER(K643)),K643-F643,0),0)</f>
        <v>0</v>
      </c>
      <c r="Y643" s="53" t="n">
        <f aca="false">IF(T643=1,IF(AND(ISNUMBER(F643),ISNUMBER(K643)),1,0),0)</f>
        <v>0</v>
      </c>
      <c r="Z643" s="53" t="n">
        <f aca="false">IF(U643&gt;=Settings!$C$8,1,0)</f>
        <v>0</v>
      </c>
      <c r="AA643" s="53" t="n">
        <f aca="false">IF(S643=1,IF(J643="Listed / Publicado",0,1),0)</f>
        <v>0</v>
      </c>
      <c r="AB643" s="53" t="n">
        <f aca="false">IF(T643=1,IF(ISNUMBER(L643),L643-G643,0),0)</f>
        <v>0</v>
      </c>
      <c r="AC643" s="53" t="n">
        <f aca="false">IF(S643=1,IF(ISNUMBER(I643),I643-G643,0),0)</f>
        <v>0</v>
      </c>
    </row>
    <row r="644" customFormat="false" ht="15" hidden="false" customHeight="false" outlineLevel="0" collapsed="false">
      <c r="B644" s="54"/>
      <c r="C644" s="55"/>
      <c r="D644" s="55"/>
      <c r="E644" s="55"/>
      <c r="F644" s="56"/>
      <c r="G644" s="57"/>
      <c r="H644" s="55"/>
      <c r="I644" s="57"/>
      <c r="J644" s="54"/>
      <c r="K644" s="56"/>
      <c r="L644" s="57"/>
      <c r="M644" s="54"/>
      <c r="N644" s="58" t="str">
        <f aca="false">IF(S644=1,IF(U644&lt;0,"",U644),IF(Y644=1,X644,""))</f>
        <v/>
      </c>
      <c r="O644" s="59" t="str">
        <f aca="false">IF(S644=1,IF(ISNUMBER(I644),I644-G644,""),"")</f>
        <v/>
      </c>
      <c r="P644" s="59" t="str">
        <f aca="false">IF(T644=1,IF(ISNUMBER(L644),L644-G644,""),"")</f>
        <v/>
      </c>
      <c r="Q644" s="60" t="str">
        <f aca="false">IF(C644="","",IF(T644=1,"✔ SOLD / VENDIDO",IF(S644=0,"— CLOSED / CERRADO",IF(U644&lt;0,"⚠ ADD DATE / AGREGA FECHA",IF(U644&gt;=Settings!$C$8,"⚠ STALE – REPRICE / ESTANCADO",IF(U644&gt;=Settings!$C$7,"● WATCH / VIGILAR","✔ FRESH / RECIENTE"))))))</f>
        <v/>
      </c>
      <c r="S644" s="53" t="n">
        <f aca="false">IF(C644="",0,IF(OR(J644="",J644="In Stock / En Inventario",J644="Listed / Publicado"),1,0))</f>
        <v>0</v>
      </c>
      <c r="T644" s="53" t="n">
        <f aca="false">IF(C644="",0,IF(J644="Sold / Vendido",1,0))</f>
        <v>0</v>
      </c>
      <c r="U644" s="53" t="n">
        <f aca="true">IF(S644=1,IF(ISNUMBER(F644),TODAY()-F644,-1),-1)</f>
        <v>-1</v>
      </c>
      <c r="V644" s="53" t="n">
        <f aca="false">IF(U644&lt;0,IF(S644=1,5,0),IF(U644&lt;=30,1,IF(U644&lt;=60,2,IF(U644&lt;=90,3,4))))</f>
        <v>0</v>
      </c>
      <c r="W644" s="53" t="n">
        <f aca="false">IF(U644&lt;0,-1000000000000000,U644+ROW()/1000000)</f>
        <v>-1000000000000000</v>
      </c>
      <c r="X644" s="53" t="n">
        <f aca="false">IF(T644=1,IF(AND(ISNUMBER(F644),ISNUMBER(K644)),K644-F644,0),0)</f>
        <v>0</v>
      </c>
      <c r="Y644" s="53" t="n">
        <f aca="false">IF(T644=1,IF(AND(ISNUMBER(F644),ISNUMBER(K644)),1,0),0)</f>
        <v>0</v>
      </c>
      <c r="Z644" s="53" t="n">
        <f aca="false">IF(U644&gt;=Settings!$C$8,1,0)</f>
        <v>0</v>
      </c>
      <c r="AA644" s="53" t="n">
        <f aca="false">IF(S644=1,IF(J644="Listed / Publicado",0,1),0)</f>
        <v>0</v>
      </c>
      <c r="AB644" s="53" t="n">
        <f aca="false">IF(T644=1,IF(ISNUMBER(L644),L644-G644,0),0)</f>
        <v>0</v>
      </c>
      <c r="AC644" s="53" t="n">
        <f aca="false">IF(S644=1,IF(ISNUMBER(I644),I644-G644,0),0)</f>
        <v>0</v>
      </c>
    </row>
    <row r="645" customFormat="false" ht="15" hidden="false" customHeight="false" outlineLevel="0" collapsed="false">
      <c r="B645" s="54"/>
      <c r="C645" s="55"/>
      <c r="D645" s="55"/>
      <c r="E645" s="55"/>
      <c r="F645" s="56"/>
      <c r="G645" s="57"/>
      <c r="H645" s="55"/>
      <c r="I645" s="57"/>
      <c r="J645" s="54"/>
      <c r="K645" s="56"/>
      <c r="L645" s="57"/>
      <c r="M645" s="54"/>
      <c r="N645" s="58" t="str">
        <f aca="false">IF(S645=1,IF(U645&lt;0,"",U645),IF(Y645=1,X645,""))</f>
        <v/>
      </c>
      <c r="O645" s="59" t="str">
        <f aca="false">IF(S645=1,IF(ISNUMBER(I645),I645-G645,""),"")</f>
        <v/>
      </c>
      <c r="P645" s="59" t="str">
        <f aca="false">IF(T645=1,IF(ISNUMBER(L645),L645-G645,""),"")</f>
        <v/>
      </c>
      <c r="Q645" s="60" t="str">
        <f aca="false">IF(C645="","",IF(T645=1,"✔ SOLD / VENDIDO",IF(S645=0,"— CLOSED / CERRADO",IF(U645&lt;0,"⚠ ADD DATE / AGREGA FECHA",IF(U645&gt;=Settings!$C$8,"⚠ STALE – REPRICE / ESTANCADO",IF(U645&gt;=Settings!$C$7,"● WATCH / VIGILAR","✔ FRESH / RECIENTE"))))))</f>
        <v/>
      </c>
      <c r="S645" s="53" t="n">
        <f aca="false">IF(C645="",0,IF(OR(J645="",J645="In Stock / En Inventario",J645="Listed / Publicado"),1,0))</f>
        <v>0</v>
      </c>
      <c r="T645" s="53" t="n">
        <f aca="false">IF(C645="",0,IF(J645="Sold / Vendido",1,0))</f>
        <v>0</v>
      </c>
      <c r="U645" s="53" t="n">
        <f aca="true">IF(S645=1,IF(ISNUMBER(F645),TODAY()-F645,-1),-1)</f>
        <v>-1</v>
      </c>
      <c r="V645" s="53" t="n">
        <f aca="false">IF(U645&lt;0,IF(S645=1,5,0),IF(U645&lt;=30,1,IF(U645&lt;=60,2,IF(U645&lt;=90,3,4))))</f>
        <v>0</v>
      </c>
      <c r="W645" s="53" t="n">
        <f aca="false">IF(U645&lt;0,-1000000000000000,U645+ROW()/1000000)</f>
        <v>-1000000000000000</v>
      </c>
      <c r="X645" s="53" t="n">
        <f aca="false">IF(T645=1,IF(AND(ISNUMBER(F645),ISNUMBER(K645)),K645-F645,0),0)</f>
        <v>0</v>
      </c>
      <c r="Y645" s="53" t="n">
        <f aca="false">IF(T645=1,IF(AND(ISNUMBER(F645),ISNUMBER(K645)),1,0),0)</f>
        <v>0</v>
      </c>
      <c r="Z645" s="53" t="n">
        <f aca="false">IF(U645&gt;=Settings!$C$8,1,0)</f>
        <v>0</v>
      </c>
      <c r="AA645" s="53" t="n">
        <f aca="false">IF(S645=1,IF(J645="Listed / Publicado",0,1),0)</f>
        <v>0</v>
      </c>
      <c r="AB645" s="53" t="n">
        <f aca="false">IF(T645=1,IF(ISNUMBER(L645),L645-G645,0),0)</f>
        <v>0</v>
      </c>
      <c r="AC645" s="53" t="n">
        <f aca="false">IF(S645=1,IF(ISNUMBER(I645),I645-G645,0),0)</f>
        <v>0</v>
      </c>
    </row>
    <row r="646" customFormat="false" ht="15" hidden="false" customHeight="false" outlineLevel="0" collapsed="false">
      <c r="B646" s="54"/>
      <c r="C646" s="55"/>
      <c r="D646" s="55"/>
      <c r="E646" s="55"/>
      <c r="F646" s="56"/>
      <c r="G646" s="57"/>
      <c r="H646" s="55"/>
      <c r="I646" s="57"/>
      <c r="J646" s="54"/>
      <c r="K646" s="56"/>
      <c r="L646" s="57"/>
      <c r="M646" s="54"/>
      <c r="N646" s="58" t="str">
        <f aca="false">IF(S646=1,IF(U646&lt;0,"",U646),IF(Y646=1,X646,""))</f>
        <v/>
      </c>
      <c r="O646" s="59" t="str">
        <f aca="false">IF(S646=1,IF(ISNUMBER(I646),I646-G646,""),"")</f>
        <v/>
      </c>
      <c r="P646" s="59" t="str">
        <f aca="false">IF(T646=1,IF(ISNUMBER(L646),L646-G646,""),"")</f>
        <v/>
      </c>
      <c r="Q646" s="60" t="str">
        <f aca="false">IF(C646="","",IF(T646=1,"✔ SOLD / VENDIDO",IF(S646=0,"— CLOSED / CERRADO",IF(U646&lt;0,"⚠ ADD DATE / AGREGA FECHA",IF(U646&gt;=Settings!$C$8,"⚠ STALE – REPRICE / ESTANCADO",IF(U646&gt;=Settings!$C$7,"● WATCH / VIGILAR","✔ FRESH / RECIENTE"))))))</f>
        <v/>
      </c>
      <c r="S646" s="53" t="n">
        <f aca="false">IF(C646="",0,IF(OR(J646="",J646="In Stock / En Inventario",J646="Listed / Publicado"),1,0))</f>
        <v>0</v>
      </c>
      <c r="T646" s="53" t="n">
        <f aca="false">IF(C646="",0,IF(J646="Sold / Vendido",1,0))</f>
        <v>0</v>
      </c>
      <c r="U646" s="53" t="n">
        <f aca="true">IF(S646=1,IF(ISNUMBER(F646),TODAY()-F646,-1),-1)</f>
        <v>-1</v>
      </c>
      <c r="V646" s="53" t="n">
        <f aca="false">IF(U646&lt;0,IF(S646=1,5,0),IF(U646&lt;=30,1,IF(U646&lt;=60,2,IF(U646&lt;=90,3,4))))</f>
        <v>0</v>
      </c>
      <c r="W646" s="53" t="n">
        <f aca="false">IF(U646&lt;0,-1000000000000000,U646+ROW()/1000000)</f>
        <v>-1000000000000000</v>
      </c>
      <c r="X646" s="53" t="n">
        <f aca="false">IF(T646=1,IF(AND(ISNUMBER(F646),ISNUMBER(K646)),K646-F646,0),0)</f>
        <v>0</v>
      </c>
      <c r="Y646" s="53" t="n">
        <f aca="false">IF(T646=1,IF(AND(ISNUMBER(F646),ISNUMBER(K646)),1,0),0)</f>
        <v>0</v>
      </c>
      <c r="Z646" s="53" t="n">
        <f aca="false">IF(U646&gt;=Settings!$C$8,1,0)</f>
        <v>0</v>
      </c>
      <c r="AA646" s="53" t="n">
        <f aca="false">IF(S646=1,IF(J646="Listed / Publicado",0,1),0)</f>
        <v>0</v>
      </c>
      <c r="AB646" s="53" t="n">
        <f aca="false">IF(T646=1,IF(ISNUMBER(L646),L646-G646,0),0)</f>
        <v>0</v>
      </c>
      <c r="AC646" s="53" t="n">
        <f aca="false">IF(S646=1,IF(ISNUMBER(I646),I646-G646,0),0)</f>
        <v>0</v>
      </c>
    </row>
    <row r="647" customFormat="false" ht="15" hidden="false" customHeight="false" outlineLevel="0" collapsed="false">
      <c r="B647" s="54"/>
      <c r="C647" s="55"/>
      <c r="D647" s="55"/>
      <c r="E647" s="55"/>
      <c r="F647" s="56"/>
      <c r="G647" s="57"/>
      <c r="H647" s="55"/>
      <c r="I647" s="57"/>
      <c r="J647" s="54"/>
      <c r="K647" s="56"/>
      <c r="L647" s="57"/>
      <c r="M647" s="54"/>
      <c r="N647" s="58" t="str">
        <f aca="false">IF(S647=1,IF(U647&lt;0,"",U647),IF(Y647=1,X647,""))</f>
        <v/>
      </c>
      <c r="O647" s="59" t="str">
        <f aca="false">IF(S647=1,IF(ISNUMBER(I647),I647-G647,""),"")</f>
        <v/>
      </c>
      <c r="P647" s="59" t="str">
        <f aca="false">IF(T647=1,IF(ISNUMBER(L647),L647-G647,""),"")</f>
        <v/>
      </c>
      <c r="Q647" s="60" t="str">
        <f aca="false">IF(C647="","",IF(T647=1,"✔ SOLD / VENDIDO",IF(S647=0,"— CLOSED / CERRADO",IF(U647&lt;0,"⚠ ADD DATE / AGREGA FECHA",IF(U647&gt;=Settings!$C$8,"⚠ STALE – REPRICE / ESTANCADO",IF(U647&gt;=Settings!$C$7,"● WATCH / VIGILAR","✔ FRESH / RECIENTE"))))))</f>
        <v/>
      </c>
      <c r="S647" s="53" t="n">
        <f aca="false">IF(C647="",0,IF(OR(J647="",J647="In Stock / En Inventario",J647="Listed / Publicado"),1,0))</f>
        <v>0</v>
      </c>
      <c r="T647" s="53" t="n">
        <f aca="false">IF(C647="",0,IF(J647="Sold / Vendido",1,0))</f>
        <v>0</v>
      </c>
      <c r="U647" s="53" t="n">
        <f aca="true">IF(S647=1,IF(ISNUMBER(F647),TODAY()-F647,-1),-1)</f>
        <v>-1</v>
      </c>
      <c r="V647" s="53" t="n">
        <f aca="false">IF(U647&lt;0,IF(S647=1,5,0),IF(U647&lt;=30,1,IF(U647&lt;=60,2,IF(U647&lt;=90,3,4))))</f>
        <v>0</v>
      </c>
      <c r="W647" s="53" t="n">
        <f aca="false">IF(U647&lt;0,-1000000000000000,U647+ROW()/1000000)</f>
        <v>-1000000000000000</v>
      </c>
      <c r="X647" s="53" t="n">
        <f aca="false">IF(T647=1,IF(AND(ISNUMBER(F647),ISNUMBER(K647)),K647-F647,0),0)</f>
        <v>0</v>
      </c>
      <c r="Y647" s="53" t="n">
        <f aca="false">IF(T647=1,IF(AND(ISNUMBER(F647),ISNUMBER(K647)),1,0),0)</f>
        <v>0</v>
      </c>
      <c r="Z647" s="53" t="n">
        <f aca="false">IF(U647&gt;=Settings!$C$8,1,0)</f>
        <v>0</v>
      </c>
      <c r="AA647" s="53" t="n">
        <f aca="false">IF(S647=1,IF(J647="Listed / Publicado",0,1),0)</f>
        <v>0</v>
      </c>
      <c r="AB647" s="53" t="n">
        <f aca="false">IF(T647=1,IF(ISNUMBER(L647),L647-G647,0),0)</f>
        <v>0</v>
      </c>
      <c r="AC647" s="53" t="n">
        <f aca="false">IF(S647=1,IF(ISNUMBER(I647),I647-G647,0),0)</f>
        <v>0</v>
      </c>
    </row>
    <row r="648" customFormat="false" ht="15" hidden="false" customHeight="false" outlineLevel="0" collapsed="false">
      <c r="B648" s="54"/>
      <c r="C648" s="55"/>
      <c r="D648" s="55"/>
      <c r="E648" s="55"/>
      <c r="F648" s="56"/>
      <c r="G648" s="57"/>
      <c r="H648" s="55"/>
      <c r="I648" s="57"/>
      <c r="J648" s="54"/>
      <c r="K648" s="56"/>
      <c r="L648" s="57"/>
      <c r="M648" s="54"/>
      <c r="N648" s="58" t="str">
        <f aca="false">IF(S648=1,IF(U648&lt;0,"",U648),IF(Y648=1,X648,""))</f>
        <v/>
      </c>
      <c r="O648" s="59" t="str">
        <f aca="false">IF(S648=1,IF(ISNUMBER(I648),I648-G648,""),"")</f>
        <v/>
      </c>
      <c r="P648" s="59" t="str">
        <f aca="false">IF(T648=1,IF(ISNUMBER(L648),L648-G648,""),"")</f>
        <v/>
      </c>
      <c r="Q648" s="60" t="str">
        <f aca="false">IF(C648="","",IF(T648=1,"✔ SOLD / VENDIDO",IF(S648=0,"— CLOSED / CERRADO",IF(U648&lt;0,"⚠ ADD DATE / AGREGA FECHA",IF(U648&gt;=Settings!$C$8,"⚠ STALE – REPRICE / ESTANCADO",IF(U648&gt;=Settings!$C$7,"● WATCH / VIGILAR","✔ FRESH / RECIENTE"))))))</f>
        <v/>
      </c>
      <c r="S648" s="53" t="n">
        <f aca="false">IF(C648="",0,IF(OR(J648="",J648="In Stock / En Inventario",J648="Listed / Publicado"),1,0))</f>
        <v>0</v>
      </c>
      <c r="T648" s="53" t="n">
        <f aca="false">IF(C648="",0,IF(J648="Sold / Vendido",1,0))</f>
        <v>0</v>
      </c>
      <c r="U648" s="53" t="n">
        <f aca="true">IF(S648=1,IF(ISNUMBER(F648),TODAY()-F648,-1),-1)</f>
        <v>-1</v>
      </c>
      <c r="V648" s="53" t="n">
        <f aca="false">IF(U648&lt;0,IF(S648=1,5,0),IF(U648&lt;=30,1,IF(U648&lt;=60,2,IF(U648&lt;=90,3,4))))</f>
        <v>0</v>
      </c>
      <c r="W648" s="53" t="n">
        <f aca="false">IF(U648&lt;0,-1000000000000000,U648+ROW()/1000000)</f>
        <v>-1000000000000000</v>
      </c>
      <c r="X648" s="53" t="n">
        <f aca="false">IF(T648=1,IF(AND(ISNUMBER(F648),ISNUMBER(K648)),K648-F648,0),0)</f>
        <v>0</v>
      </c>
      <c r="Y648" s="53" t="n">
        <f aca="false">IF(T648=1,IF(AND(ISNUMBER(F648),ISNUMBER(K648)),1,0),0)</f>
        <v>0</v>
      </c>
      <c r="Z648" s="53" t="n">
        <f aca="false">IF(U648&gt;=Settings!$C$8,1,0)</f>
        <v>0</v>
      </c>
      <c r="AA648" s="53" t="n">
        <f aca="false">IF(S648=1,IF(J648="Listed / Publicado",0,1),0)</f>
        <v>0</v>
      </c>
      <c r="AB648" s="53" t="n">
        <f aca="false">IF(T648=1,IF(ISNUMBER(L648),L648-G648,0),0)</f>
        <v>0</v>
      </c>
      <c r="AC648" s="53" t="n">
        <f aca="false">IF(S648=1,IF(ISNUMBER(I648),I648-G648,0),0)</f>
        <v>0</v>
      </c>
    </row>
    <row r="649" customFormat="false" ht="15" hidden="false" customHeight="false" outlineLevel="0" collapsed="false">
      <c r="B649" s="54"/>
      <c r="C649" s="55"/>
      <c r="D649" s="55"/>
      <c r="E649" s="55"/>
      <c r="F649" s="56"/>
      <c r="G649" s="57"/>
      <c r="H649" s="55"/>
      <c r="I649" s="57"/>
      <c r="J649" s="54"/>
      <c r="K649" s="56"/>
      <c r="L649" s="57"/>
      <c r="M649" s="54"/>
      <c r="N649" s="58" t="str">
        <f aca="false">IF(S649=1,IF(U649&lt;0,"",U649),IF(Y649=1,X649,""))</f>
        <v/>
      </c>
      <c r="O649" s="59" t="str">
        <f aca="false">IF(S649=1,IF(ISNUMBER(I649),I649-G649,""),"")</f>
        <v/>
      </c>
      <c r="P649" s="59" t="str">
        <f aca="false">IF(T649=1,IF(ISNUMBER(L649),L649-G649,""),"")</f>
        <v/>
      </c>
      <c r="Q649" s="60" t="str">
        <f aca="false">IF(C649="","",IF(T649=1,"✔ SOLD / VENDIDO",IF(S649=0,"— CLOSED / CERRADO",IF(U649&lt;0,"⚠ ADD DATE / AGREGA FECHA",IF(U649&gt;=Settings!$C$8,"⚠ STALE – REPRICE / ESTANCADO",IF(U649&gt;=Settings!$C$7,"● WATCH / VIGILAR","✔ FRESH / RECIENTE"))))))</f>
        <v/>
      </c>
      <c r="S649" s="53" t="n">
        <f aca="false">IF(C649="",0,IF(OR(J649="",J649="In Stock / En Inventario",J649="Listed / Publicado"),1,0))</f>
        <v>0</v>
      </c>
      <c r="T649" s="53" t="n">
        <f aca="false">IF(C649="",0,IF(J649="Sold / Vendido",1,0))</f>
        <v>0</v>
      </c>
      <c r="U649" s="53" t="n">
        <f aca="true">IF(S649=1,IF(ISNUMBER(F649),TODAY()-F649,-1),-1)</f>
        <v>-1</v>
      </c>
      <c r="V649" s="53" t="n">
        <f aca="false">IF(U649&lt;0,IF(S649=1,5,0),IF(U649&lt;=30,1,IF(U649&lt;=60,2,IF(U649&lt;=90,3,4))))</f>
        <v>0</v>
      </c>
      <c r="W649" s="53" t="n">
        <f aca="false">IF(U649&lt;0,-1000000000000000,U649+ROW()/1000000)</f>
        <v>-1000000000000000</v>
      </c>
      <c r="X649" s="53" t="n">
        <f aca="false">IF(T649=1,IF(AND(ISNUMBER(F649),ISNUMBER(K649)),K649-F649,0),0)</f>
        <v>0</v>
      </c>
      <c r="Y649" s="53" t="n">
        <f aca="false">IF(T649=1,IF(AND(ISNUMBER(F649),ISNUMBER(K649)),1,0),0)</f>
        <v>0</v>
      </c>
      <c r="Z649" s="53" t="n">
        <f aca="false">IF(U649&gt;=Settings!$C$8,1,0)</f>
        <v>0</v>
      </c>
      <c r="AA649" s="53" t="n">
        <f aca="false">IF(S649=1,IF(J649="Listed / Publicado",0,1),0)</f>
        <v>0</v>
      </c>
      <c r="AB649" s="53" t="n">
        <f aca="false">IF(T649=1,IF(ISNUMBER(L649),L649-G649,0),0)</f>
        <v>0</v>
      </c>
      <c r="AC649" s="53" t="n">
        <f aca="false">IF(S649=1,IF(ISNUMBER(I649),I649-G649,0),0)</f>
        <v>0</v>
      </c>
    </row>
    <row r="650" customFormat="false" ht="15" hidden="false" customHeight="false" outlineLevel="0" collapsed="false">
      <c r="B650" s="54"/>
      <c r="C650" s="55"/>
      <c r="D650" s="55"/>
      <c r="E650" s="55"/>
      <c r="F650" s="56"/>
      <c r="G650" s="57"/>
      <c r="H650" s="55"/>
      <c r="I650" s="57"/>
      <c r="J650" s="54"/>
      <c r="K650" s="56"/>
      <c r="L650" s="57"/>
      <c r="M650" s="54"/>
      <c r="N650" s="58" t="str">
        <f aca="false">IF(S650=1,IF(U650&lt;0,"",U650),IF(Y650=1,X650,""))</f>
        <v/>
      </c>
      <c r="O650" s="59" t="str">
        <f aca="false">IF(S650=1,IF(ISNUMBER(I650),I650-G650,""),"")</f>
        <v/>
      </c>
      <c r="P650" s="59" t="str">
        <f aca="false">IF(T650=1,IF(ISNUMBER(L650),L650-G650,""),"")</f>
        <v/>
      </c>
      <c r="Q650" s="60" t="str">
        <f aca="false">IF(C650="","",IF(T650=1,"✔ SOLD / VENDIDO",IF(S650=0,"— CLOSED / CERRADO",IF(U650&lt;0,"⚠ ADD DATE / AGREGA FECHA",IF(U650&gt;=Settings!$C$8,"⚠ STALE – REPRICE / ESTANCADO",IF(U650&gt;=Settings!$C$7,"● WATCH / VIGILAR","✔ FRESH / RECIENTE"))))))</f>
        <v/>
      </c>
      <c r="S650" s="53" t="n">
        <f aca="false">IF(C650="",0,IF(OR(J650="",J650="In Stock / En Inventario",J650="Listed / Publicado"),1,0))</f>
        <v>0</v>
      </c>
      <c r="T650" s="53" t="n">
        <f aca="false">IF(C650="",0,IF(J650="Sold / Vendido",1,0))</f>
        <v>0</v>
      </c>
      <c r="U650" s="53" t="n">
        <f aca="true">IF(S650=1,IF(ISNUMBER(F650),TODAY()-F650,-1),-1)</f>
        <v>-1</v>
      </c>
      <c r="V650" s="53" t="n">
        <f aca="false">IF(U650&lt;0,IF(S650=1,5,0),IF(U650&lt;=30,1,IF(U650&lt;=60,2,IF(U650&lt;=90,3,4))))</f>
        <v>0</v>
      </c>
      <c r="W650" s="53" t="n">
        <f aca="false">IF(U650&lt;0,-1000000000000000,U650+ROW()/1000000)</f>
        <v>-1000000000000000</v>
      </c>
      <c r="X650" s="53" t="n">
        <f aca="false">IF(T650=1,IF(AND(ISNUMBER(F650),ISNUMBER(K650)),K650-F650,0),0)</f>
        <v>0</v>
      </c>
      <c r="Y650" s="53" t="n">
        <f aca="false">IF(T650=1,IF(AND(ISNUMBER(F650),ISNUMBER(K650)),1,0),0)</f>
        <v>0</v>
      </c>
      <c r="Z650" s="53" t="n">
        <f aca="false">IF(U650&gt;=Settings!$C$8,1,0)</f>
        <v>0</v>
      </c>
      <c r="AA650" s="53" t="n">
        <f aca="false">IF(S650=1,IF(J650="Listed / Publicado",0,1),0)</f>
        <v>0</v>
      </c>
      <c r="AB650" s="53" t="n">
        <f aca="false">IF(T650=1,IF(ISNUMBER(L650),L650-G650,0),0)</f>
        <v>0</v>
      </c>
      <c r="AC650" s="53" t="n">
        <f aca="false">IF(S650=1,IF(ISNUMBER(I650),I650-G650,0),0)</f>
        <v>0</v>
      </c>
    </row>
    <row r="651" customFormat="false" ht="15" hidden="false" customHeight="false" outlineLevel="0" collapsed="false">
      <c r="B651" s="54"/>
      <c r="C651" s="55"/>
      <c r="D651" s="55"/>
      <c r="E651" s="55"/>
      <c r="F651" s="56"/>
      <c r="G651" s="57"/>
      <c r="H651" s="55"/>
      <c r="I651" s="57"/>
      <c r="J651" s="54"/>
      <c r="K651" s="56"/>
      <c r="L651" s="57"/>
      <c r="M651" s="54"/>
      <c r="N651" s="58" t="str">
        <f aca="false">IF(S651=1,IF(U651&lt;0,"",U651),IF(Y651=1,X651,""))</f>
        <v/>
      </c>
      <c r="O651" s="59" t="str">
        <f aca="false">IF(S651=1,IF(ISNUMBER(I651),I651-G651,""),"")</f>
        <v/>
      </c>
      <c r="P651" s="59" t="str">
        <f aca="false">IF(T651=1,IF(ISNUMBER(L651),L651-G651,""),"")</f>
        <v/>
      </c>
      <c r="Q651" s="60" t="str">
        <f aca="false">IF(C651="","",IF(T651=1,"✔ SOLD / VENDIDO",IF(S651=0,"— CLOSED / CERRADO",IF(U651&lt;0,"⚠ ADD DATE / AGREGA FECHA",IF(U651&gt;=Settings!$C$8,"⚠ STALE – REPRICE / ESTANCADO",IF(U651&gt;=Settings!$C$7,"● WATCH / VIGILAR","✔ FRESH / RECIENTE"))))))</f>
        <v/>
      </c>
      <c r="S651" s="53" t="n">
        <f aca="false">IF(C651="",0,IF(OR(J651="",J651="In Stock / En Inventario",J651="Listed / Publicado"),1,0))</f>
        <v>0</v>
      </c>
      <c r="T651" s="53" t="n">
        <f aca="false">IF(C651="",0,IF(J651="Sold / Vendido",1,0))</f>
        <v>0</v>
      </c>
      <c r="U651" s="53" t="n">
        <f aca="true">IF(S651=1,IF(ISNUMBER(F651),TODAY()-F651,-1),-1)</f>
        <v>-1</v>
      </c>
      <c r="V651" s="53" t="n">
        <f aca="false">IF(U651&lt;0,IF(S651=1,5,0),IF(U651&lt;=30,1,IF(U651&lt;=60,2,IF(U651&lt;=90,3,4))))</f>
        <v>0</v>
      </c>
      <c r="W651" s="53" t="n">
        <f aca="false">IF(U651&lt;0,-1000000000000000,U651+ROW()/1000000)</f>
        <v>-1000000000000000</v>
      </c>
      <c r="X651" s="53" t="n">
        <f aca="false">IF(T651=1,IF(AND(ISNUMBER(F651),ISNUMBER(K651)),K651-F651,0),0)</f>
        <v>0</v>
      </c>
      <c r="Y651" s="53" t="n">
        <f aca="false">IF(T651=1,IF(AND(ISNUMBER(F651),ISNUMBER(K651)),1,0),0)</f>
        <v>0</v>
      </c>
      <c r="Z651" s="53" t="n">
        <f aca="false">IF(U651&gt;=Settings!$C$8,1,0)</f>
        <v>0</v>
      </c>
      <c r="AA651" s="53" t="n">
        <f aca="false">IF(S651=1,IF(J651="Listed / Publicado",0,1),0)</f>
        <v>0</v>
      </c>
      <c r="AB651" s="53" t="n">
        <f aca="false">IF(T651=1,IF(ISNUMBER(L651),L651-G651,0),0)</f>
        <v>0</v>
      </c>
      <c r="AC651" s="53" t="n">
        <f aca="false">IF(S651=1,IF(ISNUMBER(I651),I651-G651,0),0)</f>
        <v>0</v>
      </c>
    </row>
    <row r="652" customFormat="false" ht="15" hidden="false" customHeight="false" outlineLevel="0" collapsed="false">
      <c r="B652" s="54"/>
      <c r="C652" s="55"/>
      <c r="D652" s="55"/>
      <c r="E652" s="55"/>
      <c r="F652" s="56"/>
      <c r="G652" s="57"/>
      <c r="H652" s="55"/>
      <c r="I652" s="57"/>
      <c r="J652" s="54"/>
      <c r="K652" s="56"/>
      <c r="L652" s="57"/>
      <c r="M652" s="54"/>
      <c r="N652" s="58" t="str">
        <f aca="false">IF(S652=1,IF(U652&lt;0,"",U652),IF(Y652=1,X652,""))</f>
        <v/>
      </c>
      <c r="O652" s="59" t="str">
        <f aca="false">IF(S652=1,IF(ISNUMBER(I652),I652-G652,""),"")</f>
        <v/>
      </c>
      <c r="P652" s="59" t="str">
        <f aca="false">IF(T652=1,IF(ISNUMBER(L652),L652-G652,""),"")</f>
        <v/>
      </c>
      <c r="Q652" s="60" t="str">
        <f aca="false">IF(C652="","",IF(T652=1,"✔ SOLD / VENDIDO",IF(S652=0,"— CLOSED / CERRADO",IF(U652&lt;0,"⚠ ADD DATE / AGREGA FECHA",IF(U652&gt;=Settings!$C$8,"⚠ STALE – REPRICE / ESTANCADO",IF(U652&gt;=Settings!$C$7,"● WATCH / VIGILAR","✔ FRESH / RECIENTE"))))))</f>
        <v/>
      </c>
      <c r="S652" s="53" t="n">
        <f aca="false">IF(C652="",0,IF(OR(J652="",J652="In Stock / En Inventario",J652="Listed / Publicado"),1,0))</f>
        <v>0</v>
      </c>
      <c r="T652" s="53" t="n">
        <f aca="false">IF(C652="",0,IF(J652="Sold / Vendido",1,0))</f>
        <v>0</v>
      </c>
      <c r="U652" s="53" t="n">
        <f aca="true">IF(S652=1,IF(ISNUMBER(F652),TODAY()-F652,-1),-1)</f>
        <v>-1</v>
      </c>
      <c r="V652" s="53" t="n">
        <f aca="false">IF(U652&lt;0,IF(S652=1,5,0),IF(U652&lt;=30,1,IF(U652&lt;=60,2,IF(U652&lt;=90,3,4))))</f>
        <v>0</v>
      </c>
      <c r="W652" s="53" t="n">
        <f aca="false">IF(U652&lt;0,-1000000000000000,U652+ROW()/1000000)</f>
        <v>-1000000000000000</v>
      </c>
      <c r="X652" s="53" t="n">
        <f aca="false">IF(T652=1,IF(AND(ISNUMBER(F652),ISNUMBER(K652)),K652-F652,0),0)</f>
        <v>0</v>
      </c>
      <c r="Y652" s="53" t="n">
        <f aca="false">IF(T652=1,IF(AND(ISNUMBER(F652),ISNUMBER(K652)),1,0),0)</f>
        <v>0</v>
      </c>
      <c r="Z652" s="53" t="n">
        <f aca="false">IF(U652&gt;=Settings!$C$8,1,0)</f>
        <v>0</v>
      </c>
      <c r="AA652" s="53" t="n">
        <f aca="false">IF(S652=1,IF(J652="Listed / Publicado",0,1),0)</f>
        <v>0</v>
      </c>
      <c r="AB652" s="53" t="n">
        <f aca="false">IF(T652=1,IF(ISNUMBER(L652),L652-G652,0),0)</f>
        <v>0</v>
      </c>
      <c r="AC652" s="53" t="n">
        <f aca="false">IF(S652=1,IF(ISNUMBER(I652),I652-G652,0),0)</f>
        <v>0</v>
      </c>
    </row>
    <row r="653" customFormat="false" ht="15" hidden="false" customHeight="false" outlineLevel="0" collapsed="false">
      <c r="B653" s="54"/>
      <c r="C653" s="55"/>
      <c r="D653" s="55"/>
      <c r="E653" s="55"/>
      <c r="F653" s="56"/>
      <c r="G653" s="57"/>
      <c r="H653" s="55"/>
      <c r="I653" s="57"/>
      <c r="J653" s="54"/>
      <c r="K653" s="56"/>
      <c r="L653" s="57"/>
      <c r="M653" s="54"/>
      <c r="N653" s="58" t="str">
        <f aca="false">IF(S653=1,IF(U653&lt;0,"",U653),IF(Y653=1,X653,""))</f>
        <v/>
      </c>
      <c r="O653" s="59" t="str">
        <f aca="false">IF(S653=1,IF(ISNUMBER(I653),I653-G653,""),"")</f>
        <v/>
      </c>
      <c r="P653" s="59" t="str">
        <f aca="false">IF(T653=1,IF(ISNUMBER(L653),L653-G653,""),"")</f>
        <v/>
      </c>
      <c r="Q653" s="60" t="str">
        <f aca="false">IF(C653="","",IF(T653=1,"✔ SOLD / VENDIDO",IF(S653=0,"— CLOSED / CERRADO",IF(U653&lt;0,"⚠ ADD DATE / AGREGA FECHA",IF(U653&gt;=Settings!$C$8,"⚠ STALE – REPRICE / ESTANCADO",IF(U653&gt;=Settings!$C$7,"● WATCH / VIGILAR","✔ FRESH / RECIENTE"))))))</f>
        <v/>
      </c>
      <c r="S653" s="53" t="n">
        <f aca="false">IF(C653="",0,IF(OR(J653="",J653="In Stock / En Inventario",J653="Listed / Publicado"),1,0))</f>
        <v>0</v>
      </c>
      <c r="T653" s="53" t="n">
        <f aca="false">IF(C653="",0,IF(J653="Sold / Vendido",1,0))</f>
        <v>0</v>
      </c>
      <c r="U653" s="53" t="n">
        <f aca="true">IF(S653=1,IF(ISNUMBER(F653),TODAY()-F653,-1),-1)</f>
        <v>-1</v>
      </c>
      <c r="V653" s="53" t="n">
        <f aca="false">IF(U653&lt;0,IF(S653=1,5,0),IF(U653&lt;=30,1,IF(U653&lt;=60,2,IF(U653&lt;=90,3,4))))</f>
        <v>0</v>
      </c>
      <c r="W653" s="53" t="n">
        <f aca="false">IF(U653&lt;0,-1000000000000000,U653+ROW()/1000000)</f>
        <v>-1000000000000000</v>
      </c>
      <c r="X653" s="53" t="n">
        <f aca="false">IF(T653=1,IF(AND(ISNUMBER(F653),ISNUMBER(K653)),K653-F653,0),0)</f>
        <v>0</v>
      </c>
      <c r="Y653" s="53" t="n">
        <f aca="false">IF(T653=1,IF(AND(ISNUMBER(F653),ISNUMBER(K653)),1,0),0)</f>
        <v>0</v>
      </c>
      <c r="Z653" s="53" t="n">
        <f aca="false">IF(U653&gt;=Settings!$C$8,1,0)</f>
        <v>0</v>
      </c>
      <c r="AA653" s="53" t="n">
        <f aca="false">IF(S653=1,IF(J653="Listed / Publicado",0,1),0)</f>
        <v>0</v>
      </c>
      <c r="AB653" s="53" t="n">
        <f aca="false">IF(T653=1,IF(ISNUMBER(L653),L653-G653,0),0)</f>
        <v>0</v>
      </c>
      <c r="AC653" s="53" t="n">
        <f aca="false">IF(S653=1,IF(ISNUMBER(I653),I653-G653,0),0)</f>
        <v>0</v>
      </c>
    </row>
    <row r="654" customFormat="false" ht="15" hidden="false" customHeight="false" outlineLevel="0" collapsed="false">
      <c r="B654" s="54"/>
      <c r="C654" s="55"/>
      <c r="D654" s="55"/>
      <c r="E654" s="55"/>
      <c r="F654" s="56"/>
      <c r="G654" s="57"/>
      <c r="H654" s="55"/>
      <c r="I654" s="57"/>
      <c r="J654" s="54"/>
      <c r="K654" s="56"/>
      <c r="L654" s="57"/>
      <c r="M654" s="54"/>
      <c r="N654" s="58" t="str">
        <f aca="false">IF(S654=1,IF(U654&lt;0,"",U654),IF(Y654=1,X654,""))</f>
        <v/>
      </c>
      <c r="O654" s="59" t="str">
        <f aca="false">IF(S654=1,IF(ISNUMBER(I654),I654-G654,""),"")</f>
        <v/>
      </c>
      <c r="P654" s="59" t="str">
        <f aca="false">IF(T654=1,IF(ISNUMBER(L654),L654-G654,""),"")</f>
        <v/>
      </c>
      <c r="Q654" s="60" t="str">
        <f aca="false">IF(C654="","",IF(T654=1,"✔ SOLD / VENDIDO",IF(S654=0,"— CLOSED / CERRADO",IF(U654&lt;0,"⚠ ADD DATE / AGREGA FECHA",IF(U654&gt;=Settings!$C$8,"⚠ STALE – REPRICE / ESTANCADO",IF(U654&gt;=Settings!$C$7,"● WATCH / VIGILAR","✔ FRESH / RECIENTE"))))))</f>
        <v/>
      </c>
      <c r="S654" s="53" t="n">
        <f aca="false">IF(C654="",0,IF(OR(J654="",J654="In Stock / En Inventario",J654="Listed / Publicado"),1,0))</f>
        <v>0</v>
      </c>
      <c r="T654" s="53" t="n">
        <f aca="false">IF(C654="",0,IF(J654="Sold / Vendido",1,0))</f>
        <v>0</v>
      </c>
      <c r="U654" s="53" t="n">
        <f aca="true">IF(S654=1,IF(ISNUMBER(F654),TODAY()-F654,-1),-1)</f>
        <v>-1</v>
      </c>
      <c r="V654" s="53" t="n">
        <f aca="false">IF(U654&lt;0,IF(S654=1,5,0),IF(U654&lt;=30,1,IF(U654&lt;=60,2,IF(U654&lt;=90,3,4))))</f>
        <v>0</v>
      </c>
      <c r="W654" s="53" t="n">
        <f aca="false">IF(U654&lt;0,-1000000000000000,U654+ROW()/1000000)</f>
        <v>-1000000000000000</v>
      </c>
      <c r="X654" s="53" t="n">
        <f aca="false">IF(T654=1,IF(AND(ISNUMBER(F654),ISNUMBER(K654)),K654-F654,0),0)</f>
        <v>0</v>
      </c>
      <c r="Y654" s="53" t="n">
        <f aca="false">IF(T654=1,IF(AND(ISNUMBER(F654),ISNUMBER(K654)),1,0),0)</f>
        <v>0</v>
      </c>
      <c r="Z654" s="53" t="n">
        <f aca="false">IF(U654&gt;=Settings!$C$8,1,0)</f>
        <v>0</v>
      </c>
      <c r="AA654" s="53" t="n">
        <f aca="false">IF(S654=1,IF(J654="Listed / Publicado",0,1),0)</f>
        <v>0</v>
      </c>
      <c r="AB654" s="53" t="n">
        <f aca="false">IF(T654=1,IF(ISNUMBER(L654),L654-G654,0),0)</f>
        <v>0</v>
      </c>
      <c r="AC654" s="53" t="n">
        <f aca="false">IF(S654=1,IF(ISNUMBER(I654),I654-G654,0),0)</f>
        <v>0</v>
      </c>
    </row>
    <row r="655" customFormat="false" ht="15" hidden="false" customHeight="false" outlineLevel="0" collapsed="false">
      <c r="B655" s="54"/>
      <c r="C655" s="55"/>
      <c r="D655" s="55"/>
      <c r="E655" s="55"/>
      <c r="F655" s="56"/>
      <c r="G655" s="57"/>
      <c r="H655" s="55"/>
      <c r="I655" s="57"/>
      <c r="J655" s="54"/>
      <c r="K655" s="56"/>
      <c r="L655" s="57"/>
      <c r="M655" s="54"/>
      <c r="N655" s="58" t="str">
        <f aca="false">IF(S655=1,IF(U655&lt;0,"",U655),IF(Y655=1,X655,""))</f>
        <v/>
      </c>
      <c r="O655" s="59" t="str">
        <f aca="false">IF(S655=1,IF(ISNUMBER(I655),I655-G655,""),"")</f>
        <v/>
      </c>
      <c r="P655" s="59" t="str">
        <f aca="false">IF(T655=1,IF(ISNUMBER(L655),L655-G655,""),"")</f>
        <v/>
      </c>
      <c r="Q655" s="60" t="str">
        <f aca="false">IF(C655="","",IF(T655=1,"✔ SOLD / VENDIDO",IF(S655=0,"— CLOSED / CERRADO",IF(U655&lt;0,"⚠ ADD DATE / AGREGA FECHA",IF(U655&gt;=Settings!$C$8,"⚠ STALE – REPRICE / ESTANCADO",IF(U655&gt;=Settings!$C$7,"● WATCH / VIGILAR","✔ FRESH / RECIENTE"))))))</f>
        <v/>
      </c>
      <c r="S655" s="53" t="n">
        <f aca="false">IF(C655="",0,IF(OR(J655="",J655="In Stock / En Inventario",J655="Listed / Publicado"),1,0))</f>
        <v>0</v>
      </c>
      <c r="T655" s="53" t="n">
        <f aca="false">IF(C655="",0,IF(J655="Sold / Vendido",1,0))</f>
        <v>0</v>
      </c>
      <c r="U655" s="53" t="n">
        <f aca="true">IF(S655=1,IF(ISNUMBER(F655),TODAY()-F655,-1),-1)</f>
        <v>-1</v>
      </c>
      <c r="V655" s="53" t="n">
        <f aca="false">IF(U655&lt;0,IF(S655=1,5,0),IF(U655&lt;=30,1,IF(U655&lt;=60,2,IF(U655&lt;=90,3,4))))</f>
        <v>0</v>
      </c>
      <c r="W655" s="53" t="n">
        <f aca="false">IF(U655&lt;0,-1000000000000000,U655+ROW()/1000000)</f>
        <v>-1000000000000000</v>
      </c>
      <c r="X655" s="53" t="n">
        <f aca="false">IF(T655=1,IF(AND(ISNUMBER(F655),ISNUMBER(K655)),K655-F655,0),0)</f>
        <v>0</v>
      </c>
      <c r="Y655" s="53" t="n">
        <f aca="false">IF(T655=1,IF(AND(ISNUMBER(F655),ISNUMBER(K655)),1,0),0)</f>
        <v>0</v>
      </c>
      <c r="Z655" s="53" t="n">
        <f aca="false">IF(U655&gt;=Settings!$C$8,1,0)</f>
        <v>0</v>
      </c>
      <c r="AA655" s="53" t="n">
        <f aca="false">IF(S655=1,IF(J655="Listed / Publicado",0,1),0)</f>
        <v>0</v>
      </c>
      <c r="AB655" s="53" t="n">
        <f aca="false">IF(T655=1,IF(ISNUMBER(L655),L655-G655,0),0)</f>
        <v>0</v>
      </c>
      <c r="AC655" s="53" t="n">
        <f aca="false">IF(S655=1,IF(ISNUMBER(I655),I655-G655,0),0)</f>
        <v>0</v>
      </c>
    </row>
    <row r="656" customFormat="false" ht="15" hidden="false" customHeight="false" outlineLevel="0" collapsed="false">
      <c r="B656" s="54"/>
      <c r="C656" s="55"/>
      <c r="D656" s="55"/>
      <c r="E656" s="55"/>
      <c r="F656" s="56"/>
      <c r="G656" s="57"/>
      <c r="H656" s="55"/>
      <c r="I656" s="57"/>
      <c r="J656" s="54"/>
      <c r="K656" s="56"/>
      <c r="L656" s="57"/>
      <c r="M656" s="54"/>
      <c r="N656" s="58" t="str">
        <f aca="false">IF(S656=1,IF(U656&lt;0,"",U656),IF(Y656=1,X656,""))</f>
        <v/>
      </c>
      <c r="O656" s="59" t="str">
        <f aca="false">IF(S656=1,IF(ISNUMBER(I656),I656-G656,""),"")</f>
        <v/>
      </c>
      <c r="P656" s="59" t="str">
        <f aca="false">IF(T656=1,IF(ISNUMBER(L656),L656-G656,""),"")</f>
        <v/>
      </c>
      <c r="Q656" s="60" t="str">
        <f aca="false">IF(C656="","",IF(T656=1,"✔ SOLD / VENDIDO",IF(S656=0,"— CLOSED / CERRADO",IF(U656&lt;0,"⚠ ADD DATE / AGREGA FECHA",IF(U656&gt;=Settings!$C$8,"⚠ STALE – REPRICE / ESTANCADO",IF(U656&gt;=Settings!$C$7,"● WATCH / VIGILAR","✔ FRESH / RECIENTE"))))))</f>
        <v/>
      </c>
      <c r="S656" s="53" t="n">
        <f aca="false">IF(C656="",0,IF(OR(J656="",J656="In Stock / En Inventario",J656="Listed / Publicado"),1,0))</f>
        <v>0</v>
      </c>
      <c r="T656" s="53" t="n">
        <f aca="false">IF(C656="",0,IF(J656="Sold / Vendido",1,0))</f>
        <v>0</v>
      </c>
      <c r="U656" s="53" t="n">
        <f aca="true">IF(S656=1,IF(ISNUMBER(F656),TODAY()-F656,-1),-1)</f>
        <v>-1</v>
      </c>
      <c r="V656" s="53" t="n">
        <f aca="false">IF(U656&lt;0,IF(S656=1,5,0),IF(U656&lt;=30,1,IF(U656&lt;=60,2,IF(U656&lt;=90,3,4))))</f>
        <v>0</v>
      </c>
      <c r="W656" s="53" t="n">
        <f aca="false">IF(U656&lt;0,-1000000000000000,U656+ROW()/1000000)</f>
        <v>-1000000000000000</v>
      </c>
      <c r="X656" s="53" t="n">
        <f aca="false">IF(T656=1,IF(AND(ISNUMBER(F656),ISNUMBER(K656)),K656-F656,0),0)</f>
        <v>0</v>
      </c>
      <c r="Y656" s="53" t="n">
        <f aca="false">IF(T656=1,IF(AND(ISNUMBER(F656),ISNUMBER(K656)),1,0),0)</f>
        <v>0</v>
      </c>
      <c r="Z656" s="53" t="n">
        <f aca="false">IF(U656&gt;=Settings!$C$8,1,0)</f>
        <v>0</v>
      </c>
      <c r="AA656" s="53" t="n">
        <f aca="false">IF(S656=1,IF(J656="Listed / Publicado",0,1),0)</f>
        <v>0</v>
      </c>
      <c r="AB656" s="53" t="n">
        <f aca="false">IF(T656=1,IF(ISNUMBER(L656),L656-G656,0),0)</f>
        <v>0</v>
      </c>
      <c r="AC656" s="53" t="n">
        <f aca="false">IF(S656=1,IF(ISNUMBER(I656),I656-G656,0),0)</f>
        <v>0</v>
      </c>
    </row>
    <row r="657" customFormat="false" ht="15" hidden="false" customHeight="false" outlineLevel="0" collapsed="false">
      <c r="B657" s="54"/>
      <c r="C657" s="55"/>
      <c r="D657" s="55"/>
      <c r="E657" s="55"/>
      <c r="F657" s="56"/>
      <c r="G657" s="57"/>
      <c r="H657" s="55"/>
      <c r="I657" s="57"/>
      <c r="J657" s="54"/>
      <c r="K657" s="56"/>
      <c r="L657" s="57"/>
      <c r="M657" s="54"/>
      <c r="N657" s="58" t="str">
        <f aca="false">IF(S657=1,IF(U657&lt;0,"",U657),IF(Y657=1,X657,""))</f>
        <v/>
      </c>
      <c r="O657" s="59" t="str">
        <f aca="false">IF(S657=1,IF(ISNUMBER(I657),I657-G657,""),"")</f>
        <v/>
      </c>
      <c r="P657" s="59" t="str">
        <f aca="false">IF(T657=1,IF(ISNUMBER(L657),L657-G657,""),"")</f>
        <v/>
      </c>
      <c r="Q657" s="60" t="str">
        <f aca="false">IF(C657="","",IF(T657=1,"✔ SOLD / VENDIDO",IF(S657=0,"— CLOSED / CERRADO",IF(U657&lt;0,"⚠ ADD DATE / AGREGA FECHA",IF(U657&gt;=Settings!$C$8,"⚠ STALE – REPRICE / ESTANCADO",IF(U657&gt;=Settings!$C$7,"● WATCH / VIGILAR","✔ FRESH / RECIENTE"))))))</f>
        <v/>
      </c>
      <c r="S657" s="53" t="n">
        <f aca="false">IF(C657="",0,IF(OR(J657="",J657="In Stock / En Inventario",J657="Listed / Publicado"),1,0))</f>
        <v>0</v>
      </c>
      <c r="T657" s="53" t="n">
        <f aca="false">IF(C657="",0,IF(J657="Sold / Vendido",1,0))</f>
        <v>0</v>
      </c>
      <c r="U657" s="53" t="n">
        <f aca="true">IF(S657=1,IF(ISNUMBER(F657),TODAY()-F657,-1),-1)</f>
        <v>-1</v>
      </c>
      <c r="V657" s="53" t="n">
        <f aca="false">IF(U657&lt;0,IF(S657=1,5,0),IF(U657&lt;=30,1,IF(U657&lt;=60,2,IF(U657&lt;=90,3,4))))</f>
        <v>0</v>
      </c>
      <c r="W657" s="53" t="n">
        <f aca="false">IF(U657&lt;0,-1000000000000000,U657+ROW()/1000000)</f>
        <v>-1000000000000000</v>
      </c>
      <c r="X657" s="53" t="n">
        <f aca="false">IF(T657=1,IF(AND(ISNUMBER(F657),ISNUMBER(K657)),K657-F657,0),0)</f>
        <v>0</v>
      </c>
      <c r="Y657" s="53" t="n">
        <f aca="false">IF(T657=1,IF(AND(ISNUMBER(F657),ISNUMBER(K657)),1,0),0)</f>
        <v>0</v>
      </c>
      <c r="Z657" s="53" t="n">
        <f aca="false">IF(U657&gt;=Settings!$C$8,1,0)</f>
        <v>0</v>
      </c>
      <c r="AA657" s="53" t="n">
        <f aca="false">IF(S657=1,IF(J657="Listed / Publicado",0,1),0)</f>
        <v>0</v>
      </c>
      <c r="AB657" s="53" t="n">
        <f aca="false">IF(T657=1,IF(ISNUMBER(L657),L657-G657,0),0)</f>
        <v>0</v>
      </c>
      <c r="AC657" s="53" t="n">
        <f aca="false">IF(S657=1,IF(ISNUMBER(I657),I657-G657,0),0)</f>
        <v>0</v>
      </c>
    </row>
    <row r="658" customFormat="false" ht="15" hidden="false" customHeight="false" outlineLevel="0" collapsed="false">
      <c r="B658" s="54"/>
      <c r="C658" s="55"/>
      <c r="D658" s="55"/>
      <c r="E658" s="55"/>
      <c r="F658" s="56"/>
      <c r="G658" s="57"/>
      <c r="H658" s="55"/>
      <c r="I658" s="57"/>
      <c r="J658" s="54"/>
      <c r="K658" s="56"/>
      <c r="L658" s="57"/>
      <c r="M658" s="54"/>
      <c r="N658" s="58" t="str">
        <f aca="false">IF(S658=1,IF(U658&lt;0,"",U658),IF(Y658=1,X658,""))</f>
        <v/>
      </c>
      <c r="O658" s="59" t="str">
        <f aca="false">IF(S658=1,IF(ISNUMBER(I658),I658-G658,""),"")</f>
        <v/>
      </c>
      <c r="P658" s="59" t="str">
        <f aca="false">IF(T658=1,IF(ISNUMBER(L658),L658-G658,""),"")</f>
        <v/>
      </c>
      <c r="Q658" s="60" t="str">
        <f aca="false">IF(C658="","",IF(T658=1,"✔ SOLD / VENDIDO",IF(S658=0,"— CLOSED / CERRADO",IF(U658&lt;0,"⚠ ADD DATE / AGREGA FECHA",IF(U658&gt;=Settings!$C$8,"⚠ STALE – REPRICE / ESTANCADO",IF(U658&gt;=Settings!$C$7,"● WATCH / VIGILAR","✔ FRESH / RECIENTE"))))))</f>
        <v/>
      </c>
      <c r="S658" s="53" t="n">
        <f aca="false">IF(C658="",0,IF(OR(J658="",J658="In Stock / En Inventario",J658="Listed / Publicado"),1,0))</f>
        <v>0</v>
      </c>
      <c r="T658" s="53" t="n">
        <f aca="false">IF(C658="",0,IF(J658="Sold / Vendido",1,0))</f>
        <v>0</v>
      </c>
      <c r="U658" s="53" t="n">
        <f aca="true">IF(S658=1,IF(ISNUMBER(F658),TODAY()-F658,-1),-1)</f>
        <v>-1</v>
      </c>
      <c r="V658" s="53" t="n">
        <f aca="false">IF(U658&lt;0,IF(S658=1,5,0),IF(U658&lt;=30,1,IF(U658&lt;=60,2,IF(U658&lt;=90,3,4))))</f>
        <v>0</v>
      </c>
      <c r="W658" s="53" t="n">
        <f aca="false">IF(U658&lt;0,-1000000000000000,U658+ROW()/1000000)</f>
        <v>-1000000000000000</v>
      </c>
      <c r="X658" s="53" t="n">
        <f aca="false">IF(T658=1,IF(AND(ISNUMBER(F658),ISNUMBER(K658)),K658-F658,0),0)</f>
        <v>0</v>
      </c>
      <c r="Y658" s="53" t="n">
        <f aca="false">IF(T658=1,IF(AND(ISNUMBER(F658),ISNUMBER(K658)),1,0),0)</f>
        <v>0</v>
      </c>
      <c r="Z658" s="53" t="n">
        <f aca="false">IF(U658&gt;=Settings!$C$8,1,0)</f>
        <v>0</v>
      </c>
      <c r="AA658" s="53" t="n">
        <f aca="false">IF(S658=1,IF(J658="Listed / Publicado",0,1),0)</f>
        <v>0</v>
      </c>
      <c r="AB658" s="53" t="n">
        <f aca="false">IF(T658=1,IF(ISNUMBER(L658),L658-G658,0),0)</f>
        <v>0</v>
      </c>
      <c r="AC658" s="53" t="n">
        <f aca="false">IF(S658=1,IF(ISNUMBER(I658),I658-G658,0),0)</f>
        <v>0</v>
      </c>
    </row>
    <row r="659" customFormat="false" ht="15" hidden="false" customHeight="false" outlineLevel="0" collapsed="false">
      <c r="B659" s="54"/>
      <c r="C659" s="55"/>
      <c r="D659" s="55"/>
      <c r="E659" s="55"/>
      <c r="F659" s="56"/>
      <c r="G659" s="57"/>
      <c r="H659" s="55"/>
      <c r="I659" s="57"/>
      <c r="J659" s="54"/>
      <c r="K659" s="56"/>
      <c r="L659" s="57"/>
      <c r="M659" s="54"/>
      <c r="N659" s="58" t="str">
        <f aca="false">IF(S659=1,IF(U659&lt;0,"",U659),IF(Y659=1,X659,""))</f>
        <v/>
      </c>
      <c r="O659" s="59" t="str">
        <f aca="false">IF(S659=1,IF(ISNUMBER(I659),I659-G659,""),"")</f>
        <v/>
      </c>
      <c r="P659" s="59" t="str">
        <f aca="false">IF(T659=1,IF(ISNUMBER(L659),L659-G659,""),"")</f>
        <v/>
      </c>
      <c r="Q659" s="60" t="str">
        <f aca="false">IF(C659="","",IF(T659=1,"✔ SOLD / VENDIDO",IF(S659=0,"— CLOSED / CERRADO",IF(U659&lt;0,"⚠ ADD DATE / AGREGA FECHA",IF(U659&gt;=Settings!$C$8,"⚠ STALE – REPRICE / ESTANCADO",IF(U659&gt;=Settings!$C$7,"● WATCH / VIGILAR","✔ FRESH / RECIENTE"))))))</f>
        <v/>
      </c>
      <c r="S659" s="53" t="n">
        <f aca="false">IF(C659="",0,IF(OR(J659="",J659="In Stock / En Inventario",J659="Listed / Publicado"),1,0))</f>
        <v>0</v>
      </c>
      <c r="T659" s="53" t="n">
        <f aca="false">IF(C659="",0,IF(J659="Sold / Vendido",1,0))</f>
        <v>0</v>
      </c>
      <c r="U659" s="53" t="n">
        <f aca="true">IF(S659=1,IF(ISNUMBER(F659),TODAY()-F659,-1),-1)</f>
        <v>-1</v>
      </c>
      <c r="V659" s="53" t="n">
        <f aca="false">IF(U659&lt;0,IF(S659=1,5,0),IF(U659&lt;=30,1,IF(U659&lt;=60,2,IF(U659&lt;=90,3,4))))</f>
        <v>0</v>
      </c>
      <c r="W659" s="53" t="n">
        <f aca="false">IF(U659&lt;0,-1000000000000000,U659+ROW()/1000000)</f>
        <v>-1000000000000000</v>
      </c>
      <c r="X659" s="53" t="n">
        <f aca="false">IF(T659=1,IF(AND(ISNUMBER(F659),ISNUMBER(K659)),K659-F659,0),0)</f>
        <v>0</v>
      </c>
      <c r="Y659" s="53" t="n">
        <f aca="false">IF(T659=1,IF(AND(ISNUMBER(F659),ISNUMBER(K659)),1,0),0)</f>
        <v>0</v>
      </c>
      <c r="Z659" s="53" t="n">
        <f aca="false">IF(U659&gt;=Settings!$C$8,1,0)</f>
        <v>0</v>
      </c>
      <c r="AA659" s="53" t="n">
        <f aca="false">IF(S659=1,IF(J659="Listed / Publicado",0,1),0)</f>
        <v>0</v>
      </c>
      <c r="AB659" s="53" t="n">
        <f aca="false">IF(T659=1,IF(ISNUMBER(L659),L659-G659,0),0)</f>
        <v>0</v>
      </c>
      <c r="AC659" s="53" t="n">
        <f aca="false">IF(S659=1,IF(ISNUMBER(I659),I659-G659,0),0)</f>
        <v>0</v>
      </c>
    </row>
    <row r="660" customFormat="false" ht="15" hidden="false" customHeight="false" outlineLevel="0" collapsed="false">
      <c r="B660" s="54"/>
      <c r="C660" s="55"/>
      <c r="D660" s="55"/>
      <c r="E660" s="55"/>
      <c r="F660" s="56"/>
      <c r="G660" s="57"/>
      <c r="H660" s="55"/>
      <c r="I660" s="57"/>
      <c r="J660" s="54"/>
      <c r="K660" s="56"/>
      <c r="L660" s="57"/>
      <c r="M660" s="54"/>
      <c r="N660" s="58" t="str">
        <f aca="false">IF(S660=1,IF(U660&lt;0,"",U660),IF(Y660=1,X660,""))</f>
        <v/>
      </c>
      <c r="O660" s="59" t="str">
        <f aca="false">IF(S660=1,IF(ISNUMBER(I660),I660-G660,""),"")</f>
        <v/>
      </c>
      <c r="P660" s="59" t="str">
        <f aca="false">IF(T660=1,IF(ISNUMBER(L660),L660-G660,""),"")</f>
        <v/>
      </c>
      <c r="Q660" s="60" t="str">
        <f aca="false">IF(C660="","",IF(T660=1,"✔ SOLD / VENDIDO",IF(S660=0,"— CLOSED / CERRADO",IF(U660&lt;0,"⚠ ADD DATE / AGREGA FECHA",IF(U660&gt;=Settings!$C$8,"⚠ STALE – REPRICE / ESTANCADO",IF(U660&gt;=Settings!$C$7,"● WATCH / VIGILAR","✔ FRESH / RECIENTE"))))))</f>
        <v/>
      </c>
      <c r="S660" s="53" t="n">
        <f aca="false">IF(C660="",0,IF(OR(J660="",J660="In Stock / En Inventario",J660="Listed / Publicado"),1,0))</f>
        <v>0</v>
      </c>
      <c r="T660" s="53" t="n">
        <f aca="false">IF(C660="",0,IF(J660="Sold / Vendido",1,0))</f>
        <v>0</v>
      </c>
      <c r="U660" s="53" t="n">
        <f aca="true">IF(S660=1,IF(ISNUMBER(F660),TODAY()-F660,-1),-1)</f>
        <v>-1</v>
      </c>
      <c r="V660" s="53" t="n">
        <f aca="false">IF(U660&lt;0,IF(S660=1,5,0),IF(U660&lt;=30,1,IF(U660&lt;=60,2,IF(U660&lt;=90,3,4))))</f>
        <v>0</v>
      </c>
      <c r="W660" s="53" t="n">
        <f aca="false">IF(U660&lt;0,-1000000000000000,U660+ROW()/1000000)</f>
        <v>-1000000000000000</v>
      </c>
      <c r="X660" s="53" t="n">
        <f aca="false">IF(T660=1,IF(AND(ISNUMBER(F660),ISNUMBER(K660)),K660-F660,0),0)</f>
        <v>0</v>
      </c>
      <c r="Y660" s="53" t="n">
        <f aca="false">IF(T660=1,IF(AND(ISNUMBER(F660),ISNUMBER(K660)),1,0),0)</f>
        <v>0</v>
      </c>
      <c r="Z660" s="53" t="n">
        <f aca="false">IF(U660&gt;=Settings!$C$8,1,0)</f>
        <v>0</v>
      </c>
      <c r="AA660" s="53" t="n">
        <f aca="false">IF(S660=1,IF(J660="Listed / Publicado",0,1),0)</f>
        <v>0</v>
      </c>
      <c r="AB660" s="53" t="n">
        <f aca="false">IF(T660=1,IF(ISNUMBER(L660),L660-G660,0),0)</f>
        <v>0</v>
      </c>
      <c r="AC660" s="53" t="n">
        <f aca="false">IF(S660=1,IF(ISNUMBER(I660),I660-G660,0),0)</f>
        <v>0</v>
      </c>
    </row>
    <row r="661" customFormat="false" ht="15" hidden="false" customHeight="false" outlineLevel="0" collapsed="false">
      <c r="B661" s="54"/>
      <c r="C661" s="55"/>
      <c r="D661" s="55"/>
      <c r="E661" s="55"/>
      <c r="F661" s="56"/>
      <c r="G661" s="57"/>
      <c r="H661" s="55"/>
      <c r="I661" s="57"/>
      <c r="J661" s="54"/>
      <c r="K661" s="56"/>
      <c r="L661" s="57"/>
      <c r="M661" s="54"/>
      <c r="N661" s="58" t="str">
        <f aca="false">IF(S661=1,IF(U661&lt;0,"",U661),IF(Y661=1,X661,""))</f>
        <v/>
      </c>
      <c r="O661" s="59" t="str">
        <f aca="false">IF(S661=1,IF(ISNUMBER(I661),I661-G661,""),"")</f>
        <v/>
      </c>
      <c r="P661" s="59" t="str">
        <f aca="false">IF(T661=1,IF(ISNUMBER(L661),L661-G661,""),"")</f>
        <v/>
      </c>
      <c r="Q661" s="60" t="str">
        <f aca="false">IF(C661="","",IF(T661=1,"✔ SOLD / VENDIDO",IF(S661=0,"— CLOSED / CERRADO",IF(U661&lt;0,"⚠ ADD DATE / AGREGA FECHA",IF(U661&gt;=Settings!$C$8,"⚠ STALE – REPRICE / ESTANCADO",IF(U661&gt;=Settings!$C$7,"● WATCH / VIGILAR","✔ FRESH / RECIENTE"))))))</f>
        <v/>
      </c>
      <c r="S661" s="53" t="n">
        <f aca="false">IF(C661="",0,IF(OR(J661="",J661="In Stock / En Inventario",J661="Listed / Publicado"),1,0))</f>
        <v>0</v>
      </c>
      <c r="T661" s="53" t="n">
        <f aca="false">IF(C661="",0,IF(J661="Sold / Vendido",1,0))</f>
        <v>0</v>
      </c>
      <c r="U661" s="53" t="n">
        <f aca="true">IF(S661=1,IF(ISNUMBER(F661),TODAY()-F661,-1),-1)</f>
        <v>-1</v>
      </c>
      <c r="V661" s="53" t="n">
        <f aca="false">IF(U661&lt;0,IF(S661=1,5,0),IF(U661&lt;=30,1,IF(U661&lt;=60,2,IF(U661&lt;=90,3,4))))</f>
        <v>0</v>
      </c>
      <c r="W661" s="53" t="n">
        <f aca="false">IF(U661&lt;0,-1000000000000000,U661+ROW()/1000000)</f>
        <v>-1000000000000000</v>
      </c>
      <c r="X661" s="53" t="n">
        <f aca="false">IF(T661=1,IF(AND(ISNUMBER(F661),ISNUMBER(K661)),K661-F661,0),0)</f>
        <v>0</v>
      </c>
      <c r="Y661" s="53" t="n">
        <f aca="false">IF(T661=1,IF(AND(ISNUMBER(F661),ISNUMBER(K661)),1,0),0)</f>
        <v>0</v>
      </c>
      <c r="Z661" s="53" t="n">
        <f aca="false">IF(U661&gt;=Settings!$C$8,1,0)</f>
        <v>0</v>
      </c>
      <c r="AA661" s="53" t="n">
        <f aca="false">IF(S661=1,IF(J661="Listed / Publicado",0,1),0)</f>
        <v>0</v>
      </c>
      <c r="AB661" s="53" t="n">
        <f aca="false">IF(T661=1,IF(ISNUMBER(L661),L661-G661,0),0)</f>
        <v>0</v>
      </c>
      <c r="AC661" s="53" t="n">
        <f aca="false">IF(S661=1,IF(ISNUMBER(I661),I661-G661,0),0)</f>
        <v>0</v>
      </c>
    </row>
    <row r="662" customFormat="false" ht="15" hidden="false" customHeight="false" outlineLevel="0" collapsed="false">
      <c r="B662" s="54"/>
      <c r="C662" s="55"/>
      <c r="D662" s="55"/>
      <c r="E662" s="55"/>
      <c r="F662" s="56"/>
      <c r="G662" s="57"/>
      <c r="H662" s="55"/>
      <c r="I662" s="57"/>
      <c r="J662" s="54"/>
      <c r="K662" s="56"/>
      <c r="L662" s="57"/>
      <c r="M662" s="54"/>
      <c r="N662" s="58" t="str">
        <f aca="false">IF(S662=1,IF(U662&lt;0,"",U662),IF(Y662=1,X662,""))</f>
        <v/>
      </c>
      <c r="O662" s="59" t="str">
        <f aca="false">IF(S662=1,IF(ISNUMBER(I662),I662-G662,""),"")</f>
        <v/>
      </c>
      <c r="P662" s="59" t="str">
        <f aca="false">IF(T662=1,IF(ISNUMBER(L662),L662-G662,""),"")</f>
        <v/>
      </c>
      <c r="Q662" s="60" t="str">
        <f aca="false">IF(C662="","",IF(T662=1,"✔ SOLD / VENDIDO",IF(S662=0,"— CLOSED / CERRADO",IF(U662&lt;0,"⚠ ADD DATE / AGREGA FECHA",IF(U662&gt;=Settings!$C$8,"⚠ STALE – REPRICE / ESTANCADO",IF(U662&gt;=Settings!$C$7,"● WATCH / VIGILAR","✔ FRESH / RECIENTE"))))))</f>
        <v/>
      </c>
      <c r="S662" s="53" t="n">
        <f aca="false">IF(C662="",0,IF(OR(J662="",J662="In Stock / En Inventario",J662="Listed / Publicado"),1,0))</f>
        <v>0</v>
      </c>
      <c r="T662" s="53" t="n">
        <f aca="false">IF(C662="",0,IF(J662="Sold / Vendido",1,0))</f>
        <v>0</v>
      </c>
      <c r="U662" s="53" t="n">
        <f aca="true">IF(S662=1,IF(ISNUMBER(F662),TODAY()-F662,-1),-1)</f>
        <v>-1</v>
      </c>
      <c r="V662" s="53" t="n">
        <f aca="false">IF(U662&lt;0,IF(S662=1,5,0),IF(U662&lt;=30,1,IF(U662&lt;=60,2,IF(U662&lt;=90,3,4))))</f>
        <v>0</v>
      </c>
      <c r="W662" s="53" t="n">
        <f aca="false">IF(U662&lt;0,-1000000000000000,U662+ROW()/1000000)</f>
        <v>-1000000000000000</v>
      </c>
      <c r="X662" s="53" t="n">
        <f aca="false">IF(T662=1,IF(AND(ISNUMBER(F662),ISNUMBER(K662)),K662-F662,0),0)</f>
        <v>0</v>
      </c>
      <c r="Y662" s="53" t="n">
        <f aca="false">IF(T662=1,IF(AND(ISNUMBER(F662),ISNUMBER(K662)),1,0),0)</f>
        <v>0</v>
      </c>
      <c r="Z662" s="53" t="n">
        <f aca="false">IF(U662&gt;=Settings!$C$8,1,0)</f>
        <v>0</v>
      </c>
      <c r="AA662" s="53" t="n">
        <f aca="false">IF(S662=1,IF(J662="Listed / Publicado",0,1),0)</f>
        <v>0</v>
      </c>
      <c r="AB662" s="53" t="n">
        <f aca="false">IF(T662=1,IF(ISNUMBER(L662),L662-G662,0),0)</f>
        <v>0</v>
      </c>
      <c r="AC662" s="53" t="n">
        <f aca="false">IF(S662=1,IF(ISNUMBER(I662),I662-G662,0),0)</f>
        <v>0</v>
      </c>
    </row>
    <row r="663" customFormat="false" ht="15" hidden="false" customHeight="false" outlineLevel="0" collapsed="false">
      <c r="B663" s="54"/>
      <c r="C663" s="55"/>
      <c r="D663" s="55"/>
      <c r="E663" s="55"/>
      <c r="F663" s="56"/>
      <c r="G663" s="57"/>
      <c r="H663" s="55"/>
      <c r="I663" s="57"/>
      <c r="J663" s="54"/>
      <c r="K663" s="56"/>
      <c r="L663" s="57"/>
      <c r="M663" s="54"/>
      <c r="N663" s="58" t="str">
        <f aca="false">IF(S663=1,IF(U663&lt;0,"",U663),IF(Y663=1,X663,""))</f>
        <v/>
      </c>
      <c r="O663" s="59" t="str">
        <f aca="false">IF(S663=1,IF(ISNUMBER(I663),I663-G663,""),"")</f>
        <v/>
      </c>
      <c r="P663" s="59" t="str">
        <f aca="false">IF(T663=1,IF(ISNUMBER(L663),L663-G663,""),"")</f>
        <v/>
      </c>
      <c r="Q663" s="60" t="str">
        <f aca="false">IF(C663="","",IF(T663=1,"✔ SOLD / VENDIDO",IF(S663=0,"— CLOSED / CERRADO",IF(U663&lt;0,"⚠ ADD DATE / AGREGA FECHA",IF(U663&gt;=Settings!$C$8,"⚠ STALE – REPRICE / ESTANCADO",IF(U663&gt;=Settings!$C$7,"● WATCH / VIGILAR","✔ FRESH / RECIENTE"))))))</f>
        <v/>
      </c>
      <c r="S663" s="53" t="n">
        <f aca="false">IF(C663="",0,IF(OR(J663="",J663="In Stock / En Inventario",J663="Listed / Publicado"),1,0))</f>
        <v>0</v>
      </c>
      <c r="T663" s="53" t="n">
        <f aca="false">IF(C663="",0,IF(J663="Sold / Vendido",1,0))</f>
        <v>0</v>
      </c>
      <c r="U663" s="53" t="n">
        <f aca="true">IF(S663=1,IF(ISNUMBER(F663),TODAY()-F663,-1),-1)</f>
        <v>-1</v>
      </c>
      <c r="V663" s="53" t="n">
        <f aca="false">IF(U663&lt;0,IF(S663=1,5,0),IF(U663&lt;=30,1,IF(U663&lt;=60,2,IF(U663&lt;=90,3,4))))</f>
        <v>0</v>
      </c>
      <c r="W663" s="53" t="n">
        <f aca="false">IF(U663&lt;0,-1000000000000000,U663+ROW()/1000000)</f>
        <v>-1000000000000000</v>
      </c>
      <c r="X663" s="53" t="n">
        <f aca="false">IF(T663=1,IF(AND(ISNUMBER(F663),ISNUMBER(K663)),K663-F663,0),0)</f>
        <v>0</v>
      </c>
      <c r="Y663" s="53" t="n">
        <f aca="false">IF(T663=1,IF(AND(ISNUMBER(F663),ISNUMBER(K663)),1,0),0)</f>
        <v>0</v>
      </c>
      <c r="Z663" s="53" t="n">
        <f aca="false">IF(U663&gt;=Settings!$C$8,1,0)</f>
        <v>0</v>
      </c>
      <c r="AA663" s="53" t="n">
        <f aca="false">IF(S663=1,IF(J663="Listed / Publicado",0,1),0)</f>
        <v>0</v>
      </c>
      <c r="AB663" s="53" t="n">
        <f aca="false">IF(T663=1,IF(ISNUMBER(L663),L663-G663,0),0)</f>
        <v>0</v>
      </c>
      <c r="AC663" s="53" t="n">
        <f aca="false">IF(S663=1,IF(ISNUMBER(I663),I663-G663,0),0)</f>
        <v>0</v>
      </c>
    </row>
    <row r="664" customFormat="false" ht="15" hidden="false" customHeight="false" outlineLevel="0" collapsed="false">
      <c r="B664" s="54"/>
      <c r="C664" s="55"/>
      <c r="D664" s="55"/>
      <c r="E664" s="55"/>
      <c r="F664" s="56"/>
      <c r="G664" s="57"/>
      <c r="H664" s="55"/>
      <c r="I664" s="57"/>
      <c r="J664" s="54"/>
      <c r="K664" s="56"/>
      <c r="L664" s="57"/>
      <c r="M664" s="54"/>
      <c r="N664" s="58" t="str">
        <f aca="false">IF(S664=1,IF(U664&lt;0,"",U664),IF(Y664=1,X664,""))</f>
        <v/>
      </c>
      <c r="O664" s="59" t="str">
        <f aca="false">IF(S664=1,IF(ISNUMBER(I664),I664-G664,""),"")</f>
        <v/>
      </c>
      <c r="P664" s="59" t="str">
        <f aca="false">IF(T664=1,IF(ISNUMBER(L664),L664-G664,""),"")</f>
        <v/>
      </c>
      <c r="Q664" s="60" t="str">
        <f aca="false">IF(C664="","",IF(T664=1,"✔ SOLD / VENDIDO",IF(S664=0,"— CLOSED / CERRADO",IF(U664&lt;0,"⚠ ADD DATE / AGREGA FECHA",IF(U664&gt;=Settings!$C$8,"⚠ STALE – REPRICE / ESTANCADO",IF(U664&gt;=Settings!$C$7,"● WATCH / VIGILAR","✔ FRESH / RECIENTE"))))))</f>
        <v/>
      </c>
      <c r="S664" s="53" t="n">
        <f aca="false">IF(C664="",0,IF(OR(J664="",J664="In Stock / En Inventario",J664="Listed / Publicado"),1,0))</f>
        <v>0</v>
      </c>
      <c r="T664" s="53" t="n">
        <f aca="false">IF(C664="",0,IF(J664="Sold / Vendido",1,0))</f>
        <v>0</v>
      </c>
      <c r="U664" s="53" t="n">
        <f aca="true">IF(S664=1,IF(ISNUMBER(F664),TODAY()-F664,-1),-1)</f>
        <v>-1</v>
      </c>
      <c r="V664" s="53" t="n">
        <f aca="false">IF(U664&lt;0,IF(S664=1,5,0),IF(U664&lt;=30,1,IF(U664&lt;=60,2,IF(U664&lt;=90,3,4))))</f>
        <v>0</v>
      </c>
      <c r="W664" s="53" t="n">
        <f aca="false">IF(U664&lt;0,-1000000000000000,U664+ROW()/1000000)</f>
        <v>-1000000000000000</v>
      </c>
      <c r="X664" s="53" t="n">
        <f aca="false">IF(T664=1,IF(AND(ISNUMBER(F664),ISNUMBER(K664)),K664-F664,0),0)</f>
        <v>0</v>
      </c>
      <c r="Y664" s="53" t="n">
        <f aca="false">IF(T664=1,IF(AND(ISNUMBER(F664),ISNUMBER(K664)),1,0),0)</f>
        <v>0</v>
      </c>
      <c r="Z664" s="53" t="n">
        <f aca="false">IF(U664&gt;=Settings!$C$8,1,0)</f>
        <v>0</v>
      </c>
      <c r="AA664" s="53" t="n">
        <f aca="false">IF(S664=1,IF(J664="Listed / Publicado",0,1),0)</f>
        <v>0</v>
      </c>
      <c r="AB664" s="53" t="n">
        <f aca="false">IF(T664=1,IF(ISNUMBER(L664),L664-G664,0),0)</f>
        <v>0</v>
      </c>
      <c r="AC664" s="53" t="n">
        <f aca="false">IF(S664=1,IF(ISNUMBER(I664),I664-G664,0),0)</f>
        <v>0</v>
      </c>
    </row>
    <row r="665" customFormat="false" ht="15" hidden="false" customHeight="false" outlineLevel="0" collapsed="false">
      <c r="B665" s="54"/>
      <c r="C665" s="55"/>
      <c r="D665" s="55"/>
      <c r="E665" s="55"/>
      <c r="F665" s="56"/>
      <c r="G665" s="57"/>
      <c r="H665" s="55"/>
      <c r="I665" s="57"/>
      <c r="J665" s="54"/>
      <c r="K665" s="56"/>
      <c r="L665" s="57"/>
      <c r="M665" s="54"/>
      <c r="N665" s="58" t="str">
        <f aca="false">IF(S665=1,IF(U665&lt;0,"",U665),IF(Y665=1,X665,""))</f>
        <v/>
      </c>
      <c r="O665" s="59" t="str">
        <f aca="false">IF(S665=1,IF(ISNUMBER(I665),I665-G665,""),"")</f>
        <v/>
      </c>
      <c r="P665" s="59" t="str">
        <f aca="false">IF(T665=1,IF(ISNUMBER(L665),L665-G665,""),"")</f>
        <v/>
      </c>
      <c r="Q665" s="60" t="str">
        <f aca="false">IF(C665="","",IF(T665=1,"✔ SOLD / VENDIDO",IF(S665=0,"— CLOSED / CERRADO",IF(U665&lt;0,"⚠ ADD DATE / AGREGA FECHA",IF(U665&gt;=Settings!$C$8,"⚠ STALE – REPRICE / ESTANCADO",IF(U665&gt;=Settings!$C$7,"● WATCH / VIGILAR","✔ FRESH / RECIENTE"))))))</f>
        <v/>
      </c>
      <c r="S665" s="53" t="n">
        <f aca="false">IF(C665="",0,IF(OR(J665="",J665="In Stock / En Inventario",J665="Listed / Publicado"),1,0))</f>
        <v>0</v>
      </c>
      <c r="T665" s="53" t="n">
        <f aca="false">IF(C665="",0,IF(J665="Sold / Vendido",1,0))</f>
        <v>0</v>
      </c>
      <c r="U665" s="53" t="n">
        <f aca="true">IF(S665=1,IF(ISNUMBER(F665),TODAY()-F665,-1),-1)</f>
        <v>-1</v>
      </c>
      <c r="V665" s="53" t="n">
        <f aca="false">IF(U665&lt;0,IF(S665=1,5,0),IF(U665&lt;=30,1,IF(U665&lt;=60,2,IF(U665&lt;=90,3,4))))</f>
        <v>0</v>
      </c>
      <c r="W665" s="53" t="n">
        <f aca="false">IF(U665&lt;0,-1000000000000000,U665+ROW()/1000000)</f>
        <v>-1000000000000000</v>
      </c>
      <c r="X665" s="53" t="n">
        <f aca="false">IF(T665=1,IF(AND(ISNUMBER(F665),ISNUMBER(K665)),K665-F665,0),0)</f>
        <v>0</v>
      </c>
      <c r="Y665" s="53" t="n">
        <f aca="false">IF(T665=1,IF(AND(ISNUMBER(F665),ISNUMBER(K665)),1,0),0)</f>
        <v>0</v>
      </c>
      <c r="Z665" s="53" t="n">
        <f aca="false">IF(U665&gt;=Settings!$C$8,1,0)</f>
        <v>0</v>
      </c>
      <c r="AA665" s="53" t="n">
        <f aca="false">IF(S665=1,IF(J665="Listed / Publicado",0,1),0)</f>
        <v>0</v>
      </c>
      <c r="AB665" s="53" t="n">
        <f aca="false">IF(T665=1,IF(ISNUMBER(L665),L665-G665,0),0)</f>
        <v>0</v>
      </c>
      <c r="AC665" s="53" t="n">
        <f aca="false">IF(S665=1,IF(ISNUMBER(I665),I665-G665,0),0)</f>
        <v>0</v>
      </c>
    </row>
    <row r="666" customFormat="false" ht="15" hidden="false" customHeight="false" outlineLevel="0" collapsed="false">
      <c r="B666" s="54"/>
      <c r="C666" s="55"/>
      <c r="D666" s="55"/>
      <c r="E666" s="55"/>
      <c r="F666" s="56"/>
      <c r="G666" s="57"/>
      <c r="H666" s="55"/>
      <c r="I666" s="57"/>
      <c r="J666" s="54"/>
      <c r="K666" s="56"/>
      <c r="L666" s="57"/>
      <c r="M666" s="54"/>
      <c r="N666" s="58" t="str">
        <f aca="false">IF(S666=1,IF(U666&lt;0,"",U666),IF(Y666=1,X666,""))</f>
        <v/>
      </c>
      <c r="O666" s="59" t="str">
        <f aca="false">IF(S666=1,IF(ISNUMBER(I666),I666-G666,""),"")</f>
        <v/>
      </c>
      <c r="P666" s="59" t="str">
        <f aca="false">IF(T666=1,IF(ISNUMBER(L666),L666-G666,""),"")</f>
        <v/>
      </c>
      <c r="Q666" s="60" t="str">
        <f aca="false">IF(C666="","",IF(T666=1,"✔ SOLD / VENDIDO",IF(S666=0,"— CLOSED / CERRADO",IF(U666&lt;0,"⚠ ADD DATE / AGREGA FECHA",IF(U666&gt;=Settings!$C$8,"⚠ STALE – REPRICE / ESTANCADO",IF(U666&gt;=Settings!$C$7,"● WATCH / VIGILAR","✔ FRESH / RECIENTE"))))))</f>
        <v/>
      </c>
      <c r="S666" s="53" t="n">
        <f aca="false">IF(C666="",0,IF(OR(J666="",J666="In Stock / En Inventario",J666="Listed / Publicado"),1,0))</f>
        <v>0</v>
      </c>
      <c r="T666" s="53" t="n">
        <f aca="false">IF(C666="",0,IF(J666="Sold / Vendido",1,0))</f>
        <v>0</v>
      </c>
      <c r="U666" s="53" t="n">
        <f aca="true">IF(S666=1,IF(ISNUMBER(F666),TODAY()-F666,-1),-1)</f>
        <v>-1</v>
      </c>
      <c r="V666" s="53" t="n">
        <f aca="false">IF(U666&lt;0,IF(S666=1,5,0),IF(U666&lt;=30,1,IF(U666&lt;=60,2,IF(U666&lt;=90,3,4))))</f>
        <v>0</v>
      </c>
      <c r="W666" s="53" t="n">
        <f aca="false">IF(U666&lt;0,-1000000000000000,U666+ROW()/1000000)</f>
        <v>-1000000000000000</v>
      </c>
      <c r="X666" s="53" t="n">
        <f aca="false">IF(T666=1,IF(AND(ISNUMBER(F666),ISNUMBER(K666)),K666-F666,0),0)</f>
        <v>0</v>
      </c>
      <c r="Y666" s="53" t="n">
        <f aca="false">IF(T666=1,IF(AND(ISNUMBER(F666),ISNUMBER(K666)),1,0),0)</f>
        <v>0</v>
      </c>
      <c r="Z666" s="53" t="n">
        <f aca="false">IF(U666&gt;=Settings!$C$8,1,0)</f>
        <v>0</v>
      </c>
      <c r="AA666" s="53" t="n">
        <f aca="false">IF(S666=1,IF(J666="Listed / Publicado",0,1),0)</f>
        <v>0</v>
      </c>
      <c r="AB666" s="53" t="n">
        <f aca="false">IF(T666=1,IF(ISNUMBER(L666),L666-G666,0),0)</f>
        <v>0</v>
      </c>
      <c r="AC666" s="53" t="n">
        <f aca="false">IF(S666=1,IF(ISNUMBER(I666),I666-G666,0),0)</f>
        <v>0</v>
      </c>
    </row>
    <row r="667" customFormat="false" ht="15" hidden="false" customHeight="false" outlineLevel="0" collapsed="false">
      <c r="B667" s="54"/>
      <c r="C667" s="55"/>
      <c r="D667" s="55"/>
      <c r="E667" s="55"/>
      <c r="F667" s="56"/>
      <c r="G667" s="57"/>
      <c r="H667" s="55"/>
      <c r="I667" s="57"/>
      <c r="J667" s="54"/>
      <c r="K667" s="56"/>
      <c r="L667" s="57"/>
      <c r="M667" s="54"/>
      <c r="N667" s="58" t="str">
        <f aca="false">IF(S667=1,IF(U667&lt;0,"",U667),IF(Y667=1,X667,""))</f>
        <v/>
      </c>
      <c r="O667" s="59" t="str">
        <f aca="false">IF(S667=1,IF(ISNUMBER(I667),I667-G667,""),"")</f>
        <v/>
      </c>
      <c r="P667" s="59" t="str">
        <f aca="false">IF(T667=1,IF(ISNUMBER(L667),L667-G667,""),"")</f>
        <v/>
      </c>
      <c r="Q667" s="60" t="str">
        <f aca="false">IF(C667="","",IF(T667=1,"✔ SOLD / VENDIDO",IF(S667=0,"— CLOSED / CERRADO",IF(U667&lt;0,"⚠ ADD DATE / AGREGA FECHA",IF(U667&gt;=Settings!$C$8,"⚠ STALE – REPRICE / ESTANCADO",IF(U667&gt;=Settings!$C$7,"● WATCH / VIGILAR","✔ FRESH / RECIENTE"))))))</f>
        <v/>
      </c>
      <c r="S667" s="53" t="n">
        <f aca="false">IF(C667="",0,IF(OR(J667="",J667="In Stock / En Inventario",J667="Listed / Publicado"),1,0))</f>
        <v>0</v>
      </c>
      <c r="T667" s="53" t="n">
        <f aca="false">IF(C667="",0,IF(J667="Sold / Vendido",1,0))</f>
        <v>0</v>
      </c>
      <c r="U667" s="53" t="n">
        <f aca="true">IF(S667=1,IF(ISNUMBER(F667),TODAY()-F667,-1),-1)</f>
        <v>-1</v>
      </c>
      <c r="V667" s="53" t="n">
        <f aca="false">IF(U667&lt;0,IF(S667=1,5,0),IF(U667&lt;=30,1,IF(U667&lt;=60,2,IF(U667&lt;=90,3,4))))</f>
        <v>0</v>
      </c>
      <c r="W667" s="53" t="n">
        <f aca="false">IF(U667&lt;0,-1000000000000000,U667+ROW()/1000000)</f>
        <v>-1000000000000000</v>
      </c>
      <c r="X667" s="53" t="n">
        <f aca="false">IF(T667=1,IF(AND(ISNUMBER(F667),ISNUMBER(K667)),K667-F667,0),0)</f>
        <v>0</v>
      </c>
      <c r="Y667" s="53" t="n">
        <f aca="false">IF(T667=1,IF(AND(ISNUMBER(F667),ISNUMBER(K667)),1,0),0)</f>
        <v>0</v>
      </c>
      <c r="Z667" s="53" t="n">
        <f aca="false">IF(U667&gt;=Settings!$C$8,1,0)</f>
        <v>0</v>
      </c>
      <c r="AA667" s="53" t="n">
        <f aca="false">IF(S667=1,IF(J667="Listed / Publicado",0,1),0)</f>
        <v>0</v>
      </c>
      <c r="AB667" s="53" t="n">
        <f aca="false">IF(T667=1,IF(ISNUMBER(L667),L667-G667,0),0)</f>
        <v>0</v>
      </c>
      <c r="AC667" s="53" t="n">
        <f aca="false">IF(S667=1,IF(ISNUMBER(I667),I667-G667,0),0)</f>
        <v>0</v>
      </c>
    </row>
    <row r="668" customFormat="false" ht="15" hidden="false" customHeight="false" outlineLevel="0" collapsed="false">
      <c r="B668" s="54"/>
      <c r="C668" s="55"/>
      <c r="D668" s="55"/>
      <c r="E668" s="55"/>
      <c r="F668" s="56"/>
      <c r="G668" s="57"/>
      <c r="H668" s="55"/>
      <c r="I668" s="57"/>
      <c r="J668" s="54"/>
      <c r="K668" s="56"/>
      <c r="L668" s="57"/>
      <c r="M668" s="54"/>
      <c r="N668" s="58" t="str">
        <f aca="false">IF(S668=1,IF(U668&lt;0,"",U668),IF(Y668=1,X668,""))</f>
        <v/>
      </c>
      <c r="O668" s="59" t="str">
        <f aca="false">IF(S668=1,IF(ISNUMBER(I668),I668-G668,""),"")</f>
        <v/>
      </c>
      <c r="P668" s="59" t="str">
        <f aca="false">IF(T668=1,IF(ISNUMBER(L668),L668-G668,""),"")</f>
        <v/>
      </c>
      <c r="Q668" s="60" t="str">
        <f aca="false">IF(C668="","",IF(T668=1,"✔ SOLD / VENDIDO",IF(S668=0,"— CLOSED / CERRADO",IF(U668&lt;0,"⚠ ADD DATE / AGREGA FECHA",IF(U668&gt;=Settings!$C$8,"⚠ STALE – REPRICE / ESTANCADO",IF(U668&gt;=Settings!$C$7,"● WATCH / VIGILAR","✔ FRESH / RECIENTE"))))))</f>
        <v/>
      </c>
      <c r="S668" s="53" t="n">
        <f aca="false">IF(C668="",0,IF(OR(J668="",J668="In Stock / En Inventario",J668="Listed / Publicado"),1,0))</f>
        <v>0</v>
      </c>
      <c r="T668" s="53" t="n">
        <f aca="false">IF(C668="",0,IF(J668="Sold / Vendido",1,0))</f>
        <v>0</v>
      </c>
      <c r="U668" s="53" t="n">
        <f aca="true">IF(S668=1,IF(ISNUMBER(F668),TODAY()-F668,-1),-1)</f>
        <v>-1</v>
      </c>
      <c r="V668" s="53" t="n">
        <f aca="false">IF(U668&lt;0,IF(S668=1,5,0),IF(U668&lt;=30,1,IF(U668&lt;=60,2,IF(U668&lt;=90,3,4))))</f>
        <v>0</v>
      </c>
      <c r="W668" s="53" t="n">
        <f aca="false">IF(U668&lt;0,-1000000000000000,U668+ROW()/1000000)</f>
        <v>-1000000000000000</v>
      </c>
      <c r="X668" s="53" t="n">
        <f aca="false">IF(T668=1,IF(AND(ISNUMBER(F668),ISNUMBER(K668)),K668-F668,0),0)</f>
        <v>0</v>
      </c>
      <c r="Y668" s="53" t="n">
        <f aca="false">IF(T668=1,IF(AND(ISNUMBER(F668),ISNUMBER(K668)),1,0),0)</f>
        <v>0</v>
      </c>
      <c r="Z668" s="53" t="n">
        <f aca="false">IF(U668&gt;=Settings!$C$8,1,0)</f>
        <v>0</v>
      </c>
      <c r="AA668" s="53" t="n">
        <f aca="false">IF(S668=1,IF(J668="Listed / Publicado",0,1),0)</f>
        <v>0</v>
      </c>
      <c r="AB668" s="53" t="n">
        <f aca="false">IF(T668=1,IF(ISNUMBER(L668),L668-G668,0),0)</f>
        <v>0</v>
      </c>
      <c r="AC668" s="53" t="n">
        <f aca="false">IF(S668=1,IF(ISNUMBER(I668),I668-G668,0),0)</f>
        <v>0</v>
      </c>
    </row>
    <row r="669" customFormat="false" ht="15" hidden="false" customHeight="false" outlineLevel="0" collapsed="false">
      <c r="B669" s="54"/>
      <c r="C669" s="55"/>
      <c r="D669" s="55"/>
      <c r="E669" s="55"/>
      <c r="F669" s="56"/>
      <c r="G669" s="57"/>
      <c r="H669" s="55"/>
      <c r="I669" s="57"/>
      <c r="J669" s="54"/>
      <c r="K669" s="56"/>
      <c r="L669" s="57"/>
      <c r="M669" s="54"/>
      <c r="N669" s="58" t="str">
        <f aca="false">IF(S669=1,IF(U669&lt;0,"",U669),IF(Y669=1,X669,""))</f>
        <v/>
      </c>
      <c r="O669" s="59" t="str">
        <f aca="false">IF(S669=1,IF(ISNUMBER(I669),I669-G669,""),"")</f>
        <v/>
      </c>
      <c r="P669" s="59" t="str">
        <f aca="false">IF(T669=1,IF(ISNUMBER(L669),L669-G669,""),"")</f>
        <v/>
      </c>
      <c r="Q669" s="60" t="str">
        <f aca="false">IF(C669="","",IF(T669=1,"✔ SOLD / VENDIDO",IF(S669=0,"— CLOSED / CERRADO",IF(U669&lt;0,"⚠ ADD DATE / AGREGA FECHA",IF(U669&gt;=Settings!$C$8,"⚠ STALE – REPRICE / ESTANCADO",IF(U669&gt;=Settings!$C$7,"● WATCH / VIGILAR","✔ FRESH / RECIENTE"))))))</f>
        <v/>
      </c>
      <c r="S669" s="53" t="n">
        <f aca="false">IF(C669="",0,IF(OR(J669="",J669="In Stock / En Inventario",J669="Listed / Publicado"),1,0))</f>
        <v>0</v>
      </c>
      <c r="T669" s="53" t="n">
        <f aca="false">IF(C669="",0,IF(J669="Sold / Vendido",1,0))</f>
        <v>0</v>
      </c>
      <c r="U669" s="53" t="n">
        <f aca="true">IF(S669=1,IF(ISNUMBER(F669),TODAY()-F669,-1),-1)</f>
        <v>-1</v>
      </c>
      <c r="V669" s="53" t="n">
        <f aca="false">IF(U669&lt;0,IF(S669=1,5,0),IF(U669&lt;=30,1,IF(U669&lt;=60,2,IF(U669&lt;=90,3,4))))</f>
        <v>0</v>
      </c>
      <c r="W669" s="53" t="n">
        <f aca="false">IF(U669&lt;0,-1000000000000000,U669+ROW()/1000000)</f>
        <v>-1000000000000000</v>
      </c>
      <c r="X669" s="53" t="n">
        <f aca="false">IF(T669=1,IF(AND(ISNUMBER(F669),ISNUMBER(K669)),K669-F669,0),0)</f>
        <v>0</v>
      </c>
      <c r="Y669" s="53" t="n">
        <f aca="false">IF(T669=1,IF(AND(ISNUMBER(F669),ISNUMBER(K669)),1,0),0)</f>
        <v>0</v>
      </c>
      <c r="Z669" s="53" t="n">
        <f aca="false">IF(U669&gt;=Settings!$C$8,1,0)</f>
        <v>0</v>
      </c>
      <c r="AA669" s="53" t="n">
        <f aca="false">IF(S669=1,IF(J669="Listed / Publicado",0,1),0)</f>
        <v>0</v>
      </c>
      <c r="AB669" s="53" t="n">
        <f aca="false">IF(T669=1,IF(ISNUMBER(L669),L669-G669,0),0)</f>
        <v>0</v>
      </c>
      <c r="AC669" s="53" t="n">
        <f aca="false">IF(S669=1,IF(ISNUMBER(I669),I669-G669,0),0)</f>
        <v>0</v>
      </c>
    </row>
    <row r="670" customFormat="false" ht="15" hidden="false" customHeight="false" outlineLevel="0" collapsed="false">
      <c r="B670" s="54"/>
      <c r="C670" s="55"/>
      <c r="D670" s="55"/>
      <c r="E670" s="55"/>
      <c r="F670" s="56"/>
      <c r="G670" s="57"/>
      <c r="H670" s="55"/>
      <c r="I670" s="57"/>
      <c r="J670" s="54"/>
      <c r="K670" s="56"/>
      <c r="L670" s="57"/>
      <c r="M670" s="54"/>
      <c r="N670" s="58" t="str">
        <f aca="false">IF(S670=1,IF(U670&lt;0,"",U670),IF(Y670=1,X670,""))</f>
        <v/>
      </c>
      <c r="O670" s="59" t="str">
        <f aca="false">IF(S670=1,IF(ISNUMBER(I670),I670-G670,""),"")</f>
        <v/>
      </c>
      <c r="P670" s="59" t="str">
        <f aca="false">IF(T670=1,IF(ISNUMBER(L670),L670-G670,""),"")</f>
        <v/>
      </c>
      <c r="Q670" s="60" t="str">
        <f aca="false">IF(C670="","",IF(T670=1,"✔ SOLD / VENDIDO",IF(S670=0,"— CLOSED / CERRADO",IF(U670&lt;0,"⚠ ADD DATE / AGREGA FECHA",IF(U670&gt;=Settings!$C$8,"⚠ STALE – REPRICE / ESTANCADO",IF(U670&gt;=Settings!$C$7,"● WATCH / VIGILAR","✔ FRESH / RECIENTE"))))))</f>
        <v/>
      </c>
      <c r="S670" s="53" t="n">
        <f aca="false">IF(C670="",0,IF(OR(J670="",J670="In Stock / En Inventario",J670="Listed / Publicado"),1,0))</f>
        <v>0</v>
      </c>
      <c r="T670" s="53" t="n">
        <f aca="false">IF(C670="",0,IF(J670="Sold / Vendido",1,0))</f>
        <v>0</v>
      </c>
      <c r="U670" s="53" t="n">
        <f aca="true">IF(S670=1,IF(ISNUMBER(F670),TODAY()-F670,-1),-1)</f>
        <v>-1</v>
      </c>
      <c r="V670" s="53" t="n">
        <f aca="false">IF(U670&lt;0,IF(S670=1,5,0),IF(U670&lt;=30,1,IF(U670&lt;=60,2,IF(U670&lt;=90,3,4))))</f>
        <v>0</v>
      </c>
      <c r="W670" s="53" t="n">
        <f aca="false">IF(U670&lt;0,-1000000000000000,U670+ROW()/1000000)</f>
        <v>-1000000000000000</v>
      </c>
      <c r="X670" s="53" t="n">
        <f aca="false">IF(T670=1,IF(AND(ISNUMBER(F670),ISNUMBER(K670)),K670-F670,0),0)</f>
        <v>0</v>
      </c>
      <c r="Y670" s="53" t="n">
        <f aca="false">IF(T670=1,IF(AND(ISNUMBER(F670),ISNUMBER(K670)),1,0),0)</f>
        <v>0</v>
      </c>
      <c r="Z670" s="53" t="n">
        <f aca="false">IF(U670&gt;=Settings!$C$8,1,0)</f>
        <v>0</v>
      </c>
      <c r="AA670" s="53" t="n">
        <f aca="false">IF(S670=1,IF(J670="Listed / Publicado",0,1),0)</f>
        <v>0</v>
      </c>
      <c r="AB670" s="53" t="n">
        <f aca="false">IF(T670=1,IF(ISNUMBER(L670),L670-G670,0),0)</f>
        <v>0</v>
      </c>
      <c r="AC670" s="53" t="n">
        <f aca="false">IF(S670=1,IF(ISNUMBER(I670),I670-G670,0),0)</f>
        <v>0</v>
      </c>
    </row>
    <row r="671" customFormat="false" ht="15" hidden="false" customHeight="false" outlineLevel="0" collapsed="false">
      <c r="B671" s="54"/>
      <c r="C671" s="55"/>
      <c r="D671" s="55"/>
      <c r="E671" s="55"/>
      <c r="F671" s="56"/>
      <c r="G671" s="57"/>
      <c r="H671" s="55"/>
      <c r="I671" s="57"/>
      <c r="J671" s="54"/>
      <c r="K671" s="56"/>
      <c r="L671" s="57"/>
      <c r="M671" s="54"/>
      <c r="N671" s="58" t="str">
        <f aca="false">IF(S671=1,IF(U671&lt;0,"",U671),IF(Y671=1,X671,""))</f>
        <v/>
      </c>
      <c r="O671" s="59" t="str">
        <f aca="false">IF(S671=1,IF(ISNUMBER(I671),I671-G671,""),"")</f>
        <v/>
      </c>
      <c r="P671" s="59" t="str">
        <f aca="false">IF(T671=1,IF(ISNUMBER(L671),L671-G671,""),"")</f>
        <v/>
      </c>
      <c r="Q671" s="60" t="str">
        <f aca="false">IF(C671="","",IF(T671=1,"✔ SOLD / VENDIDO",IF(S671=0,"— CLOSED / CERRADO",IF(U671&lt;0,"⚠ ADD DATE / AGREGA FECHA",IF(U671&gt;=Settings!$C$8,"⚠ STALE – REPRICE / ESTANCADO",IF(U671&gt;=Settings!$C$7,"● WATCH / VIGILAR","✔ FRESH / RECIENTE"))))))</f>
        <v/>
      </c>
      <c r="S671" s="53" t="n">
        <f aca="false">IF(C671="",0,IF(OR(J671="",J671="In Stock / En Inventario",J671="Listed / Publicado"),1,0))</f>
        <v>0</v>
      </c>
      <c r="T671" s="53" t="n">
        <f aca="false">IF(C671="",0,IF(J671="Sold / Vendido",1,0))</f>
        <v>0</v>
      </c>
      <c r="U671" s="53" t="n">
        <f aca="true">IF(S671=1,IF(ISNUMBER(F671),TODAY()-F671,-1),-1)</f>
        <v>-1</v>
      </c>
      <c r="V671" s="53" t="n">
        <f aca="false">IF(U671&lt;0,IF(S671=1,5,0),IF(U671&lt;=30,1,IF(U671&lt;=60,2,IF(U671&lt;=90,3,4))))</f>
        <v>0</v>
      </c>
      <c r="W671" s="53" t="n">
        <f aca="false">IF(U671&lt;0,-1000000000000000,U671+ROW()/1000000)</f>
        <v>-1000000000000000</v>
      </c>
      <c r="X671" s="53" t="n">
        <f aca="false">IF(T671=1,IF(AND(ISNUMBER(F671),ISNUMBER(K671)),K671-F671,0),0)</f>
        <v>0</v>
      </c>
      <c r="Y671" s="53" t="n">
        <f aca="false">IF(T671=1,IF(AND(ISNUMBER(F671),ISNUMBER(K671)),1,0),0)</f>
        <v>0</v>
      </c>
      <c r="Z671" s="53" t="n">
        <f aca="false">IF(U671&gt;=Settings!$C$8,1,0)</f>
        <v>0</v>
      </c>
      <c r="AA671" s="53" t="n">
        <f aca="false">IF(S671=1,IF(J671="Listed / Publicado",0,1),0)</f>
        <v>0</v>
      </c>
      <c r="AB671" s="53" t="n">
        <f aca="false">IF(T671=1,IF(ISNUMBER(L671),L671-G671,0),0)</f>
        <v>0</v>
      </c>
      <c r="AC671" s="53" t="n">
        <f aca="false">IF(S671=1,IF(ISNUMBER(I671),I671-G671,0),0)</f>
        <v>0</v>
      </c>
    </row>
    <row r="672" customFormat="false" ht="15" hidden="false" customHeight="false" outlineLevel="0" collapsed="false">
      <c r="B672" s="54"/>
      <c r="C672" s="55"/>
      <c r="D672" s="55"/>
      <c r="E672" s="55"/>
      <c r="F672" s="56"/>
      <c r="G672" s="57"/>
      <c r="H672" s="55"/>
      <c r="I672" s="57"/>
      <c r="J672" s="54"/>
      <c r="K672" s="56"/>
      <c r="L672" s="57"/>
      <c r="M672" s="54"/>
      <c r="N672" s="58" t="str">
        <f aca="false">IF(S672=1,IF(U672&lt;0,"",U672),IF(Y672=1,X672,""))</f>
        <v/>
      </c>
      <c r="O672" s="59" t="str">
        <f aca="false">IF(S672=1,IF(ISNUMBER(I672),I672-G672,""),"")</f>
        <v/>
      </c>
      <c r="P672" s="59" t="str">
        <f aca="false">IF(T672=1,IF(ISNUMBER(L672),L672-G672,""),"")</f>
        <v/>
      </c>
      <c r="Q672" s="60" t="str">
        <f aca="false">IF(C672="","",IF(T672=1,"✔ SOLD / VENDIDO",IF(S672=0,"— CLOSED / CERRADO",IF(U672&lt;0,"⚠ ADD DATE / AGREGA FECHA",IF(U672&gt;=Settings!$C$8,"⚠ STALE – REPRICE / ESTANCADO",IF(U672&gt;=Settings!$C$7,"● WATCH / VIGILAR","✔ FRESH / RECIENTE"))))))</f>
        <v/>
      </c>
      <c r="S672" s="53" t="n">
        <f aca="false">IF(C672="",0,IF(OR(J672="",J672="In Stock / En Inventario",J672="Listed / Publicado"),1,0))</f>
        <v>0</v>
      </c>
      <c r="T672" s="53" t="n">
        <f aca="false">IF(C672="",0,IF(J672="Sold / Vendido",1,0))</f>
        <v>0</v>
      </c>
      <c r="U672" s="53" t="n">
        <f aca="true">IF(S672=1,IF(ISNUMBER(F672),TODAY()-F672,-1),-1)</f>
        <v>-1</v>
      </c>
      <c r="V672" s="53" t="n">
        <f aca="false">IF(U672&lt;0,IF(S672=1,5,0),IF(U672&lt;=30,1,IF(U672&lt;=60,2,IF(U672&lt;=90,3,4))))</f>
        <v>0</v>
      </c>
      <c r="W672" s="53" t="n">
        <f aca="false">IF(U672&lt;0,-1000000000000000,U672+ROW()/1000000)</f>
        <v>-1000000000000000</v>
      </c>
      <c r="X672" s="53" t="n">
        <f aca="false">IF(T672=1,IF(AND(ISNUMBER(F672),ISNUMBER(K672)),K672-F672,0),0)</f>
        <v>0</v>
      </c>
      <c r="Y672" s="53" t="n">
        <f aca="false">IF(T672=1,IF(AND(ISNUMBER(F672),ISNUMBER(K672)),1,0),0)</f>
        <v>0</v>
      </c>
      <c r="Z672" s="53" t="n">
        <f aca="false">IF(U672&gt;=Settings!$C$8,1,0)</f>
        <v>0</v>
      </c>
      <c r="AA672" s="53" t="n">
        <f aca="false">IF(S672=1,IF(J672="Listed / Publicado",0,1),0)</f>
        <v>0</v>
      </c>
      <c r="AB672" s="53" t="n">
        <f aca="false">IF(T672=1,IF(ISNUMBER(L672),L672-G672,0),0)</f>
        <v>0</v>
      </c>
      <c r="AC672" s="53" t="n">
        <f aca="false">IF(S672=1,IF(ISNUMBER(I672),I672-G672,0),0)</f>
        <v>0</v>
      </c>
    </row>
    <row r="673" customFormat="false" ht="15" hidden="false" customHeight="false" outlineLevel="0" collapsed="false">
      <c r="B673" s="54"/>
      <c r="C673" s="55"/>
      <c r="D673" s="55"/>
      <c r="E673" s="55"/>
      <c r="F673" s="56"/>
      <c r="G673" s="57"/>
      <c r="H673" s="55"/>
      <c r="I673" s="57"/>
      <c r="J673" s="54"/>
      <c r="K673" s="56"/>
      <c r="L673" s="57"/>
      <c r="M673" s="54"/>
      <c r="N673" s="58" t="str">
        <f aca="false">IF(S673=1,IF(U673&lt;0,"",U673),IF(Y673=1,X673,""))</f>
        <v/>
      </c>
      <c r="O673" s="59" t="str">
        <f aca="false">IF(S673=1,IF(ISNUMBER(I673),I673-G673,""),"")</f>
        <v/>
      </c>
      <c r="P673" s="59" t="str">
        <f aca="false">IF(T673=1,IF(ISNUMBER(L673),L673-G673,""),"")</f>
        <v/>
      </c>
      <c r="Q673" s="60" t="str">
        <f aca="false">IF(C673="","",IF(T673=1,"✔ SOLD / VENDIDO",IF(S673=0,"— CLOSED / CERRADO",IF(U673&lt;0,"⚠ ADD DATE / AGREGA FECHA",IF(U673&gt;=Settings!$C$8,"⚠ STALE – REPRICE / ESTANCADO",IF(U673&gt;=Settings!$C$7,"● WATCH / VIGILAR","✔ FRESH / RECIENTE"))))))</f>
        <v/>
      </c>
      <c r="S673" s="53" t="n">
        <f aca="false">IF(C673="",0,IF(OR(J673="",J673="In Stock / En Inventario",J673="Listed / Publicado"),1,0))</f>
        <v>0</v>
      </c>
      <c r="T673" s="53" t="n">
        <f aca="false">IF(C673="",0,IF(J673="Sold / Vendido",1,0))</f>
        <v>0</v>
      </c>
      <c r="U673" s="53" t="n">
        <f aca="true">IF(S673=1,IF(ISNUMBER(F673),TODAY()-F673,-1),-1)</f>
        <v>-1</v>
      </c>
      <c r="V673" s="53" t="n">
        <f aca="false">IF(U673&lt;0,IF(S673=1,5,0),IF(U673&lt;=30,1,IF(U673&lt;=60,2,IF(U673&lt;=90,3,4))))</f>
        <v>0</v>
      </c>
      <c r="W673" s="53" t="n">
        <f aca="false">IF(U673&lt;0,-1000000000000000,U673+ROW()/1000000)</f>
        <v>-1000000000000000</v>
      </c>
      <c r="X673" s="53" t="n">
        <f aca="false">IF(T673=1,IF(AND(ISNUMBER(F673),ISNUMBER(K673)),K673-F673,0),0)</f>
        <v>0</v>
      </c>
      <c r="Y673" s="53" t="n">
        <f aca="false">IF(T673=1,IF(AND(ISNUMBER(F673),ISNUMBER(K673)),1,0),0)</f>
        <v>0</v>
      </c>
      <c r="Z673" s="53" t="n">
        <f aca="false">IF(U673&gt;=Settings!$C$8,1,0)</f>
        <v>0</v>
      </c>
      <c r="AA673" s="53" t="n">
        <f aca="false">IF(S673=1,IF(J673="Listed / Publicado",0,1),0)</f>
        <v>0</v>
      </c>
      <c r="AB673" s="53" t="n">
        <f aca="false">IF(T673=1,IF(ISNUMBER(L673),L673-G673,0),0)</f>
        <v>0</v>
      </c>
      <c r="AC673" s="53" t="n">
        <f aca="false">IF(S673=1,IF(ISNUMBER(I673),I673-G673,0),0)</f>
        <v>0</v>
      </c>
    </row>
    <row r="674" customFormat="false" ht="15" hidden="false" customHeight="false" outlineLevel="0" collapsed="false">
      <c r="B674" s="54"/>
      <c r="C674" s="55"/>
      <c r="D674" s="55"/>
      <c r="E674" s="55"/>
      <c r="F674" s="56"/>
      <c r="G674" s="57"/>
      <c r="H674" s="55"/>
      <c r="I674" s="57"/>
      <c r="J674" s="54"/>
      <c r="K674" s="56"/>
      <c r="L674" s="57"/>
      <c r="M674" s="54"/>
      <c r="N674" s="58" t="str">
        <f aca="false">IF(S674=1,IF(U674&lt;0,"",U674),IF(Y674=1,X674,""))</f>
        <v/>
      </c>
      <c r="O674" s="59" t="str">
        <f aca="false">IF(S674=1,IF(ISNUMBER(I674),I674-G674,""),"")</f>
        <v/>
      </c>
      <c r="P674" s="59" t="str">
        <f aca="false">IF(T674=1,IF(ISNUMBER(L674),L674-G674,""),"")</f>
        <v/>
      </c>
      <c r="Q674" s="60" t="str">
        <f aca="false">IF(C674="","",IF(T674=1,"✔ SOLD / VENDIDO",IF(S674=0,"— CLOSED / CERRADO",IF(U674&lt;0,"⚠ ADD DATE / AGREGA FECHA",IF(U674&gt;=Settings!$C$8,"⚠ STALE – REPRICE / ESTANCADO",IF(U674&gt;=Settings!$C$7,"● WATCH / VIGILAR","✔ FRESH / RECIENTE"))))))</f>
        <v/>
      </c>
      <c r="S674" s="53" t="n">
        <f aca="false">IF(C674="",0,IF(OR(J674="",J674="In Stock / En Inventario",J674="Listed / Publicado"),1,0))</f>
        <v>0</v>
      </c>
      <c r="T674" s="53" t="n">
        <f aca="false">IF(C674="",0,IF(J674="Sold / Vendido",1,0))</f>
        <v>0</v>
      </c>
      <c r="U674" s="53" t="n">
        <f aca="true">IF(S674=1,IF(ISNUMBER(F674),TODAY()-F674,-1),-1)</f>
        <v>-1</v>
      </c>
      <c r="V674" s="53" t="n">
        <f aca="false">IF(U674&lt;0,IF(S674=1,5,0),IF(U674&lt;=30,1,IF(U674&lt;=60,2,IF(U674&lt;=90,3,4))))</f>
        <v>0</v>
      </c>
      <c r="W674" s="53" t="n">
        <f aca="false">IF(U674&lt;0,-1000000000000000,U674+ROW()/1000000)</f>
        <v>-1000000000000000</v>
      </c>
      <c r="X674" s="53" t="n">
        <f aca="false">IF(T674=1,IF(AND(ISNUMBER(F674),ISNUMBER(K674)),K674-F674,0),0)</f>
        <v>0</v>
      </c>
      <c r="Y674" s="53" t="n">
        <f aca="false">IF(T674=1,IF(AND(ISNUMBER(F674),ISNUMBER(K674)),1,0),0)</f>
        <v>0</v>
      </c>
      <c r="Z674" s="53" t="n">
        <f aca="false">IF(U674&gt;=Settings!$C$8,1,0)</f>
        <v>0</v>
      </c>
      <c r="AA674" s="53" t="n">
        <f aca="false">IF(S674=1,IF(J674="Listed / Publicado",0,1),0)</f>
        <v>0</v>
      </c>
      <c r="AB674" s="53" t="n">
        <f aca="false">IF(T674=1,IF(ISNUMBER(L674),L674-G674,0),0)</f>
        <v>0</v>
      </c>
      <c r="AC674" s="53" t="n">
        <f aca="false">IF(S674=1,IF(ISNUMBER(I674),I674-G674,0),0)</f>
        <v>0</v>
      </c>
    </row>
    <row r="675" customFormat="false" ht="15" hidden="false" customHeight="false" outlineLevel="0" collapsed="false">
      <c r="B675" s="54"/>
      <c r="C675" s="55"/>
      <c r="D675" s="55"/>
      <c r="E675" s="55"/>
      <c r="F675" s="56"/>
      <c r="G675" s="57"/>
      <c r="H675" s="55"/>
      <c r="I675" s="57"/>
      <c r="J675" s="54"/>
      <c r="K675" s="56"/>
      <c r="L675" s="57"/>
      <c r="M675" s="54"/>
      <c r="N675" s="58" t="str">
        <f aca="false">IF(S675=1,IF(U675&lt;0,"",U675),IF(Y675=1,X675,""))</f>
        <v/>
      </c>
      <c r="O675" s="59" t="str">
        <f aca="false">IF(S675=1,IF(ISNUMBER(I675),I675-G675,""),"")</f>
        <v/>
      </c>
      <c r="P675" s="59" t="str">
        <f aca="false">IF(T675=1,IF(ISNUMBER(L675),L675-G675,""),"")</f>
        <v/>
      </c>
      <c r="Q675" s="60" t="str">
        <f aca="false">IF(C675="","",IF(T675=1,"✔ SOLD / VENDIDO",IF(S675=0,"— CLOSED / CERRADO",IF(U675&lt;0,"⚠ ADD DATE / AGREGA FECHA",IF(U675&gt;=Settings!$C$8,"⚠ STALE – REPRICE / ESTANCADO",IF(U675&gt;=Settings!$C$7,"● WATCH / VIGILAR","✔ FRESH / RECIENTE"))))))</f>
        <v/>
      </c>
      <c r="S675" s="53" t="n">
        <f aca="false">IF(C675="",0,IF(OR(J675="",J675="In Stock / En Inventario",J675="Listed / Publicado"),1,0))</f>
        <v>0</v>
      </c>
      <c r="T675" s="53" t="n">
        <f aca="false">IF(C675="",0,IF(J675="Sold / Vendido",1,0))</f>
        <v>0</v>
      </c>
      <c r="U675" s="53" t="n">
        <f aca="true">IF(S675=1,IF(ISNUMBER(F675),TODAY()-F675,-1),-1)</f>
        <v>-1</v>
      </c>
      <c r="V675" s="53" t="n">
        <f aca="false">IF(U675&lt;0,IF(S675=1,5,0),IF(U675&lt;=30,1,IF(U675&lt;=60,2,IF(U675&lt;=90,3,4))))</f>
        <v>0</v>
      </c>
      <c r="W675" s="53" t="n">
        <f aca="false">IF(U675&lt;0,-1000000000000000,U675+ROW()/1000000)</f>
        <v>-1000000000000000</v>
      </c>
      <c r="X675" s="53" t="n">
        <f aca="false">IF(T675=1,IF(AND(ISNUMBER(F675),ISNUMBER(K675)),K675-F675,0),0)</f>
        <v>0</v>
      </c>
      <c r="Y675" s="53" t="n">
        <f aca="false">IF(T675=1,IF(AND(ISNUMBER(F675),ISNUMBER(K675)),1,0),0)</f>
        <v>0</v>
      </c>
      <c r="Z675" s="53" t="n">
        <f aca="false">IF(U675&gt;=Settings!$C$8,1,0)</f>
        <v>0</v>
      </c>
      <c r="AA675" s="53" t="n">
        <f aca="false">IF(S675=1,IF(J675="Listed / Publicado",0,1),0)</f>
        <v>0</v>
      </c>
      <c r="AB675" s="53" t="n">
        <f aca="false">IF(T675=1,IF(ISNUMBER(L675),L675-G675,0),0)</f>
        <v>0</v>
      </c>
      <c r="AC675" s="53" t="n">
        <f aca="false">IF(S675=1,IF(ISNUMBER(I675),I675-G675,0),0)</f>
        <v>0</v>
      </c>
    </row>
    <row r="676" customFormat="false" ht="15" hidden="false" customHeight="false" outlineLevel="0" collapsed="false">
      <c r="B676" s="54"/>
      <c r="C676" s="55"/>
      <c r="D676" s="55"/>
      <c r="E676" s="55"/>
      <c r="F676" s="56"/>
      <c r="G676" s="57"/>
      <c r="H676" s="55"/>
      <c r="I676" s="57"/>
      <c r="J676" s="54"/>
      <c r="K676" s="56"/>
      <c r="L676" s="57"/>
      <c r="M676" s="54"/>
      <c r="N676" s="58" t="str">
        <f aca="false">IF(S676=1,IF(U676&lt;0,"",U676),IF(Y676=1,X676,""))</f>
        <v/>
      </c>
      <c r="O676" s="59" t="str">
        <f aca="false">IF(S676=1,IF(ISNUMBER(I676),I676-G676,""),"")</f>
        <v/>
      </c>
      <c r="P676" s="59" t="str">
        <f aca="false">IF(T676=1,IF(ISNUMBER(L676),L676-G676,""),"")</f>
        <v/>
      </c>
      <c r="Q676" s="60" t="str">
        <f aca="false">IF(C676="","",IF(T676=1,"✔ SOLD / VENDIDO",IF(S676=0,"— CLOSED / CERRADO",IF(U676&lt;0,"⚠ ADD DATE / AGREGA FECHA",IF(U676&gt;=Settings!$C$8,"⚠ STALE – REPRICE / ESTANCADO",IF(U676&gt;=Settings!$C$7,"● WATCH / VIGILAR","✔ FRESH / RECIENTE"))))))</f>
        <v/>
      </c>
      <c r="S676" s="53" t="n">
        <f aca="false">IF(C676="",0,IF(OR(J676="",J676="In Stock / En Inventario",J676="Listed / Publicado"),1,0))</f>
        <v>0</v>
      </c>
      <c r="T676" s="53" t="n">
        <f aca="false">IF(C676="",0,IF(J676="Sold / Vendido",1,0))</f>
        <v>0</v>
      </c>
      <c r="U676" s="53" t="n">
        <f aca="true">IF(S676=1,IF(ISNUMBER(F676),TODAY()-F676,-1),-1)</f>
        <v>-1</v>
      </c>
      <c r="V676" s="53" t="n">
        <f aca="false">IF(U676&lt;0,IF(S676=1,5,0),IF(U676&lt;=30,1,IF(U676&lt;=60,2,IF(U676&lt;=90,3,4))))</f>
        <v>0</v>
      </c>
      <c r="W676" s="53" t="n">
        <f aca="false">IF(U676&lt;0,-1000000000000000,U676+ROW()/1000000)</f>
        <v>-1000000000000000</v>
      </c>
      <c r="X676" s="53" t="n">
        <f aca="false">IF(T676=1,IF(AND(ISNUMBER(F676),ISNUMBER(K676)),K676-F676,0),0)</f>
        <v>0</v>
      </c>
      <c r="Y676" s="53" t="n">
        <f aca="false">IF(T676=1,IF(AND(ISNUMBER(F676),ISNUMBER(K676)),1,0),0)</f>
        <v>0</v>
      </c>
      <c r="Z676" s="53" t="n">
        <f aca="false">IF(U676&gt;=Settings!$C$8,1,0)</f>
        <v>0</v>
      </c>
      <c r="AA676" s="53" t="n">
        <f aca="false">IF(S676=1,IF(J676="Listed / Publicado",0,1),0)</f>
        <v>0</v>
      </c>
      <c r="AB676" s="53" t="n">
        <f aca="false">IF(T676=1,IF(ISNUMBER(L676),L676-G676,0),0)</f>
        <v>0</v>
      </c>
      <c r="AC676" s="53" t="n">
        <f aca="false">IF(S676=1,IF(ISNUMBER(I676),I676-G676,0),0)</f>
        <v>0</v>
      </c>
    </row>
    <row r="677" customFormat="false" ht="15" hidden="false" customHeight="false" outlineLevel="0" collapsed="false">
      <c r="B677" s="54"/>
      <c r="C677" s="55"/>
      <c r="D677" s="55"/>
      <c r="E677" s="55"/>
      <c r="F677" s="56"/>
      <c r="G677" s="57"/>
      <c r="H677" s="55"/>
      <c r="I677" s="57"/>
      <c r="J677" s="54"/>
      <c r="K677" s="56"/>
      <c r="L677" s="57"/>
      <c r="M677" s="54"/>
      <c r="N677" s="58" t="str">
        <f aca="false">IF(S677=1,IF(U677&lt;0,"",U677),IF(Y677=1,X677,""))</f>
        <v/>
      </c>
      <c r="O677" s="59" t="str">
        <f aca="false">IF(S677=1,IF(ISNUMBER(I677),I677-G677,""),"")</f>
        <v/>
      </c>
      <c r="P677" s="59" t="str">
        <f aca="false">IF(T677=1,IF(ISNUMBER(L677),L677-G677,""),"")</f>
        <v/>
      </c>
      <c r="Q677" s="60" t="str">
        <f aca="false">IF(C677="","",IF(T677=1,"✔ SOLD / VENDIDO",IF(S677=0,"— CLOSED / CERRADO",IF(U677&lt;0,"⚠ ADD DATE / AGREGA FECHA",IF(U677&gt;=Settings!$C$8,"⚠ STALE – REPRICE / ESTANCADO",IF(U677&gt;=Settings!$C$7,"● WATCH / VIGILAR","✔ FRESH / RECIENTE"))))))</f>
        <v/>
      </c>
      <c r="S677" s="53" t="n">
        <f aca="false">IF(C677="",0,IF(OR(J677="",J677="In Stock / En Inventario",J677="Listed / Publicado"),1,0))</f>
        <v>0</v>
      </c>
      <c r="T677" s="53" t="n">
        <f aca="false">IF(C677="",0,IF(J677="Sold / Vendido",1,0))</f>
        <v>0</v>
      </c>
      <c r="U677" s="53" t="n">
        <f aca="true">IF(S677=1,IF(ISNUMBER(F677),TODAY()-F677,-1),-1)</f>
        <v>-1</v>
      </c>
      <c r="V677" s="53" t="n">
        <f aca="false">IF(U677&lt;0,IF(S677=1,5,0),IF(U677&lt;=30,1,IF(U677&lt;=60,2,IF(U677&lt;=90,3,4))))</f>
        <v>0</v>
      </c>
      <c r="W677" s="53" t="n">
        <f aca="false">IF(U677&lt;0,-1000000000000000,U677+ROW()/1000000)</f>
        <v>-1000000000000000</v>
      </c>
      <c r="X677" s="53" t="n">
        <f aca="false">IF(T677=1,IF(AND(ISNUMBER(F677),ISNUMBER(K677)),K677-F677,0),0)</f>
        <v>0</v>
      </c>
      <c r="Y677" s="53" t="n">
        <f aca="false">IF(T677=1,IF(AND(ISNUMBER(F677),ISNUMBER(K677)),1,0),0)</f>
        <v>0</v>
      </c>
      <c r="Z677" s="53" t="n">
        <f aca="false">IF(U677&gt;=Settings!$C$8,1,0)</f>
        <v>0</v>
      </c>
      <c r="AA677" s="53" t="n">
        <f aca="false">IF(S677=1,IF(J677="Listed / Publicado",0,1),0)</f>
        <v>0</v>
      </c>
      <c r="AB677" s="53" t="n">
        <f aca="false">IF(T677=1,IF(ISNUMBER(L677),L677-G677,0),0)</f>
        <v>0</v>
      </c>
      <c r="AC677" s="53" t="n">
        <f aca="false">IF(S677=1,IF(ISNUMBER(I677),I677-G677,0),0)</f>
        <v>0</v>
      </c>
    </row>
    <row r="678" customFormat="false" ht="15" hidden="false" customHeight="false" outlineLevel="0" collapsed="false">
      <c r="B678" s="54"/>
      <c r="C678" s="55"/>
      <c r="D678" s="55"/>
      <c r="E678" s="55"/>
      <c r="F678" s="56"/>
      <c r="G678" s="57"/>
      <c r="H678" s="55"/>
      <c r="I678" s="57"/>
      <c r="J678" s="54"/>
      <c r="K678" s="56"/>
      <c r="L678" s="57"/>
      <c r="M678" s="54"/>
      <c r="N678" s="58" t="str">
        <f aca="false">IF(S678=1,IF(U678&lt;0,"",U678),IF(Y678=1,X678,""))</f>
        <v/>
      </c>
      <c r="O678" s="59" t="str">
        <f aca="false">IF(S678=1,IF(ISNUMBER(I678),I678-G678,""),"")</f>
        <v/>
      </c>
      <c r="P678" s="59" t="str">
        <f aca="false">IF(T678=1,IF(ISNUMBER(L678),L678-G678,""),"")</f>
        <v/>
      </c>
      <c r="Q678" s="60" t="str">
        <f aca="false">IF(C678="","",IF(T678=1,"✔ SOLD / VENDIDO",IF(S678=0,"— CLOSED / CERRADO",IF(U678&lt;0,"⚠ ADD DATE / AGREGA FECHA",IF(U678&gt;=Settings!$C$8,"⚠ STALE – REPRICE / ESTANCADO",IF(U678&gt;=Settings!$C$7,"● WATCH / VIGILAR","✔ FRESH / RECIENTE"))))))</f>
        <v/>
      </c>
      <c r="S678" s="53" t="n">
        <f aca="false">IF(C678="",0,IF(OR(J678="",J678="In Stock / En Inventario",J678="Listed / Publicado"),1,0))</f>
        <v>0</v>
      </c>
      <c r="T678" s="53" t="n">
        <f aca="false">IF(C678="",0,IF(J678="Sold / Vendido",1,0))</f>
        <v>0</v>
      </c>
      <c r="U678" s="53" t="n">
        <f aca="true">IF(S678=1,IF(ISNUMBER(F678),TODAY()-F678,-1),-1)</f>
        <v>-1</v>
      </c>
      <c r="V678" s="53" t="n">
        <f aca="false">IF(U678&lt;0,IF(S678=1,5,0),IF(U678&lt;=30,1,IF(U678&lt;=60,2,IF(U678&lt;=90,3,4))))</f>
        <v>0</v>
      </c>
      <c r="W678" s="53" t="n">
        <f aca="false">IF(U678&lt;0,-1000000000000000,U678+ROW()/1000000)</f>
        <v>-1000000000000000</v>
      </c>
      <c r="X678" s="53" t="n">
        <f aca="false">IF(T678=1,IF(AND(ISNUMBER(F678),ISNUMBER(K678)),K678-F678,0),0)</f>
        <v>0</v>
      </c>
      <c r="Y678" s="53" t="n">
        <f aca="false">IF(T678=1,IF(AND(ISNUMBER(F678),ISNUMBER(K678)),1,0),0)</f>
        <v>0</v>
      </c>
      <c r="Z678" s="53" t="n">
        <f aca="false">IF(U678&gt;=Settings!$C$8,1,0)</f>
        <v>0</v>
      </c>
      <c r="AA678" s="53" t="n">
        <f aca="false">IF(S678=1,IF(J678="Listed / Publicado",0,1),0)</f>
        <v>0</v>
      </c>
      <c r="AB678" s="53" t="n">
        <f aca="false">IF(T678=1,IF(ISNUMBER(L678),L678-G678,0),0)</f>
        <v>0</v>
      </c>
      <c r="AC678" s="53" t="n">
        <f aca="false">IF(S678=1,IF(ISNUMBER(I678),I678-G678,0),0)</f>
        <v>0</v>
      </c>
    </row>
    <row r="679" customFormat="false" ht="15" hidden="false" customHeight="false" outlineLevel="0" collapsed="false">
      <c r="B679" s="54"/>
      <c r="C679" s="55"/>
      <c r="D679" s="55"/>
      <c r="E679" s="55"/>
      <c r="F679" s="56"/>
      <c r="G679" s="57"/>
      <c r="H679" s="55"/>
      <c r="I679" s="57"/>
      <c r="J679" s="54"/>
      <c r="K679" s="56"/>
      <c r="L679" s="57"/>
      <c r="M679" s="54"/>
      <c r="N679" s="58" t="str">
        <f aca="false">IF(S679=1,IF(U679&lt;0,"",U679),IF(Y679=1,X679,""))</f>
        <v/>
      </c>
      <c r="O679" s="59" t="str">
        <f aca="false">IF(S679=1,IF(ISNUMBER(I679),I679-G679,""),"")</f>
        <v/>
      </c>
      <c r="P679" s="59" t="str">
        <f aca="false">IF(T679=1,IF(ISNUMBER(L679),L679-G679,""),"")</f>
        <v/>
      </c>
      <c r="Q679" s="60" t="str">
        <f aca="false">IF(C679="","",IF(T679=1,"✔ SOLD / VENDIDO",IF(S679=0,"— CLOSED / CERRADO",IF(U679&lt;0,"⚠ ADD DATE / AGREGA FECHA",IF(U679&gt;=Settings!$C$8,"⚠ STALE – REPRICE / ESTANCADO",IF(U679&gt;=Settings!$C$7,"● WATCH / VIGILAR","✔ FRESH / RECIENTE"))))))</f>
        <v/>
      </c>
      <c r="S679" s="53" t="n">
        <f aca="false">IF(C679="",0,IF(OR(J679="",J679="In Stock / En Inventario",J679="Listed / Publicado"),1,0))</f>
        <v>0</v>
      </c>
      <c r="T679" s="53" t="n">
        <f aca="false">IF(C679="",0,IF(J679="Sold / Vendido",1,0))</f>
        <v>0</v>
      </c>
      <c r="U679" s="53" t="n">
        <f aca="true">IF(S679=1,IF(ISNUMBER(F679),TODAY()-F679,-1),-1)</f>
        <v>-1</v>
      </c>
      <c r="V679" s="53" t="n">
        <f aca="false">IF(U679&lt;0,IF(S679=1,5,0),IF(U679&lt;=30,1,IF(U679&lt;=60,2,IF(U679&lt;=90,3,4))))</f>
        <v>0</v>
      </c>
      <c r="W679" s="53" t="n">
        <f aca="false">IF(U679&lt;0,-1000000000000000,U679+ROW()/1000000)</f>
        <v>-1000000000000000</v>
      </c>
      <c r="X679" s="53" t="n">
        <f aca="false">IF(T679=1,IF(AND(ISNUMBER(F679),ISNUMBER(K679)),K679-F679,0),0)</f>
        <v>0</v>
      </c>
      <c r="Y679" s="53" t="n">
        <f aca="false">IF(T679=1,IF(AND(ISNUMBER(F679),ISNUMBER(K679)),1,0),0)</f>
        <v>0</v>
      </c>
      <c r="Z679" s="53" t="n">
        <f aca="false">IF(U679&gt;=Settings!$C$8,1,0)</f>
        <v>0</v>
      </c>
      <c r="AA679" s="53" t="n">
        <f aca="false">IF(S679=1,IF(J679="Listed / Publicado",0,1),0)</f>
        <v>0</v>
      </c>
      <c r="AB679" s="53" t="n">
        <f aca="false">IF(T679=1,IF(ISNUMBER(L679),L679-G679,0),0)</f>
        <v>0</v>
      </c>
      <c r="AC679" s="53" t="n">
        <f aca="false">IF(S679=1,IF(ISNUMBER(I679),I679-G679,0),0)</f>
        <v>0</v>
      </c>
    </row>
    <row r="680" customFormat="false" ht="15" hidden="false" customHeight="false" outlineLevel="0" collapsed="false">
      <c r="B680" s="54"/>
      <c r="C680" s="55"/>
      <c r="D680" s="55"/>
      <c r="E680" s="55"/>
      <c r="F680" s="56"/>
      <c r="G680" s="57"/>
      <c r="H680" s="55"/>
      <c r="I680" s="57"/>
      <c r="J680" s="54"/>
      <c r="K680" s="56"/>
      <c r="L680" s="57"/>
      <c r="M680" s="54"/>
      <c r="N680" s="58" t="str">
        <f aca="false">IF(S680=1,IF(U680&lt;0,"",U680),IF(Y680=1,X680,""))</f>
        <v/>
      </c>
      <c r="O680" s="59" t="str">
        <f aca="false">IF(S680=1,IF(ISNUMBER(I680),I680-G680,""),"")</f>
        <v/>
      </c>
      <c r="P680" s="59" t="str">
        <f aca="false">IF(T680=1,IF(ISNUMBER(L680),L680-G680,""),"")</f>
        <v/>
      </c>
      <c r="Q680" s="60" t="str">
        <f aca="false">IF(C680="","",IF(T680=1,"✔ SOLD / VENDIDO",IF(S680=0,"— CLOSED / CERRADO",IF(U680&lt;0,"⚠ ADD DATE / AGREGA FECHA",IF(U680&gt;=Settings!$C$8,"⚠ STALE – REPRICE / ESTANCADO",IF(U680&gt;=Settings!$C$7,"● WATCH / VIGILAR","✔ FRESH / RECIENTE"))))))</f>
        <v/>
      </c>
      <c r="S680" s="53" t="n">
        <f aca="false">IF(C680="",0,IF(OR(J680="",J680="In Stock / En Inventario",J680="Listed / Publicado"),1,0))</f>
        <v>0</v>
      </c>
      <c r="T680" s="53" t="n">
        <f aca="false">IF(C680="",0,IF(J680="Sold / Vendido",1,0))</f>
        <v>0</v>
      </c>
      <c r="U680" s="53" t="n">
        <f aca="true">IF(S680=1,IF(ISNUMBER(F680),TODAY()-F680,-1),-1)</f>
        <v>-1</v>
      </c>
      <c r="V680" s="53" t="n">
        <f aca="false">IF(U680&lt;0,IF(S680=1,5,0),IF(U680&lt;=30,1,IF(U680&lt;=60,2,IF(U680&lt;=90,3,4))))</f>
        <v>0</v>
      </c>
      <c r="W680" s="53" t="n">
        <f aca="false">IF(U680&lt;0,-1000000000000000,U680+ROW()/1000000)</f>
        <v>-1000000000000000</v>
      </c>
      <c r="X680" s="53" t="n">
        <f aca="false">IF(T680=1,IF(AND(ISNUMBER(F680),ISNUMBER(K680)),K680-F680,0),0)</f>
        <v>0</v>
      </c>
      <c r="Y680" s="53" t="n">
        <f aca="false">IF(T680=1,IF(AND(ISNUMBER(F680),ISNUMBER(K680)),1,0),0)</f>
        <v>0</v>
      </c>
      <c r="Z680" s="53" t="n">
        <f aca="false">IF(U680&gt;=Settings!$C$8,1,0)</f>
        <v>0</v>
      </c>
      <c r="AA680" s="53" t="n">
        <f aca="false">IF(S680=1,IF(J680="Listed / Publicado",0,1),0)</f>
        <v>0</v>
      </c>
      <c r="AB680" s="53" t="n">
        <f aca="false">IF(T680=1,IF(ISNUMBER(L680),L680-G680,0),0)</f>
        <v>0</v>
      </c>
      <c r="AC680" s="53" t="n">
        <f aca="false">IF(S680=1,IF(ISNUMBER(I680),I680-G680,0),0)</f>
        <v>0</v>
      </c>
    </row>
    <row r="681" customFormat="false" ht="15" hidden="false" customHeight="false" outlineLevel="0" collapsed="false">
      <c r="B681" s="54"/>
      <c r="C681" s="55"/>
      <c r="D681" s="55"/>
      <c r="E681" s="55"/>
      <c r="F681" s="56"/>
      <c r="G681" s="57"/>
      <c r="H681" s="55"/>
      <c r="I681" s="57"/>
      <c r="J681" s="54"/>
      <c r="K681" s="56"/>
      <c r="L681" s="57"/>
      <c r="M681" s="54"/>
      <c r="N681" s="58" t="str">
        <f aca="false">IF(S681=1,IF(U681&lt;0,"",U681),IF(Y681=1,X681,""))</f>
        <v/>
      </c>
      <c r="O681" s="59" t="str">
        <f aca="false">IF(S681=1,IF(ISNUMBER(I681),I681-G681,""),"")</f>
        <v/>
      </c>
      <c r="P681" s="59" t="str">
        <f aca="false">IF(T681=1,IF(ISNUMBER(L681),L681-G681,""),"")</f>
        <v/>
      </c>
      <c r="Q681" s="60" t="str">
        <f aca="false">IF(C681="","",IF(T681=1,"✔ SOLD / VENDIDO",IF(S681=0,"— CLOSED / CERRADO",IF(U681&lt;0,"⚠ ADD DATE / AGREGA FECHA",IF(U681&gt;=Settings!$C$8,"⚠ STALE – REPRICE / ESTANCADO",IF(U681&gt;=Settings!$C$7,"● WATCH / VIGILAR","✔ FRESH / RECIENTE"))))))</f>
        <v/>
      </c>
      <c r="S681" s="53" t="n">
        <f aca="false">IF(C681="",0,IF(OR(J681="",J681="In Stock / En Inventario",J681="Listed / Publicado"),1,0))</f>
        <v>0</v>
      </c>
      <c r="T681" s="53" t="n">
        <f aca="false">IF(C681="",0,IF(J681="Sold / Vendido",1,0))</f>
        <v>0</v>
      </c>
      <c r="U681" s="53" t="n">
        <f aca="true">IF(S681=1,IF(ISNUMBER(F681),TODAY()-F681,-1),-1)</f>
        <v>-1</v>
      </c>
      <c r="V681" s="53" t="n">
        <f aca="false">IF(U681&lt;0,IF(S681=1,5,0),IF(U681&lt;=30,1,IF(U681&lt;=60,2,IF(U681&lt;=90,3,4))))</f>
        <v>0</v>
      </c>
      <c r="W681" s="53" t="n">
        <f aca="false">IF(U681&lt;0,-1000000000000000,U681+ROW()/1000000)</f>
        <v>-1000000000000000</v>
      </c>
      <c r="X681" s="53" t="n">
        <f aca="false">IF(T681=1,IF(AND(ISNUMBER(F681),ISNUMBER(K681)),K681-F681,0),0)</f>
        <v>0</v>
      </c>
      <c r="Y681" s="53" t="n">
        <f aca="false">IF(T681=1,IF(AND(ISNUMBER(F681),ISNUMBER(K681)),1,0),0)</f>
        <v>0</v>
      </c>
      <c r="Z681" s="53" t="n">
        <f aca="false">IF(U681&gt;=Settings!$C$8,1,0)</f>
        <v>0</v>
      </c>
      <c r="AA681" s="53" t="n">
        <f aca="false">IF(S681=1,IF(J681="Listed / Publicado",0,1),0)</f>
        <v>0</v>
      </c>
      <c r="AB681" s="53" t="n">
        <f aca="false">IF(T681=1,IF(ISNUMBER(L681),L681-G681,0),0)</f>
        <v>0</v>
      </c>
      <c r="AC681" s="53" t="n">
        <f aca="false">IF(S681=1,IF(ISNUMBER(I681),I681-G681,0),0)</f>
        <v>0</v>
      </c>
    </row>
    <row r="682" customFormat="false" ht="15" hidden="false" customHeight="false" outlineLevel="0" collapsed="false">
      <c r="B682" s="54"/>
      <c r="C682" s="55"/>
      <c r="D682" s="55"/>
      <c r="E682" s="55"/>
      <c r="F682" s="56"/>
      <c r="G682" s="57"/>
      <c r="H682" s="55"/>
      <c r="I682" s="57"/>
      <c r="J682" s="54"/>
      <c r="K682" s="56"/>
      <c r="L682" s="57"/>
      <c r="M682" s="54"/>
      <c r="N682" s="58" t="str">
        <f aca="false">IF(S682=1,IF(U682&lt;0,"",U682),IF(Y682=1,X682,""))</f>
        <v/>
      </c>
      <c r="O682" s="59" t="str">
        <f aca="false">IF(S682=1,IF(ISNUMBER(I682),I682-G682,""),"")</f>
        <v/>
      </c>
      <c r="P682" s="59" t="str">
        <f aca="false">IF(T682=1,IF(ISNUMBER(L682),L682-G682,""),"")</f>
        <v/>
      </c>
      <c r="Q682" s="60" t="str">
        <f aca="false">IF(C682="","",IF(T682=1,"✔ SOLD / VENDIDO",IF(S682=0,"— CLOSED / CERRADO",IF(U682&lt;0,"⚠ ADD DATE / AGREGA FECHA",IF(U682&gt;=Settings!$C$8,"⚠ STALE – REPRICE / ESTANCADO",IF(U682&gt;=Settings!$C$7,"● WATCH / VIGILAR","✔ FRESH / RECIENTE"))))))</f>
        <v/>
      </c>
      <c r="S682" s="53" t="n">
        <f aca="false">IF(C682="",0,IF(OR(J682="",J682="In Stock / En Inventario",J682="Listed / Publicado"),1,0))</f>
        <v>0</v>
      </c>
      <c r="T682" s="53" t="n">
        <f aca="false">IF(C682="",0,IF(J682="Sold / Vendido",1,0))</f>
        <v>0</v>
      </c>
      <c r="U682" s="53" t="n">
        <f aca="true">IF(S682=1,IF(ISNUMBER(F682),TODAY()-F682,-1),-1)</f>
        <v>-1</v>
      </c>
      <c r="V682" s="53" t="n">
        <f aca="false">IF(U682&lt;0,IF(S682=1,5,0),IF(U682&lt;=30,1,IF(U682&lt;=60,2,IF(U682&lt;=90,3,4))))</f>
        <v>0</v>
      </c>
      <c r="W682" s="53" t="n">
        <f aca="false">IF(U682&lt;0,-1000000000000000,U682+ROW()/1000000)</f>
        <v>-1000000000000000</v>
      </c>
      <c r="X682" s="53" t="n">
        <f aca="false">IF(T682=1,IF(AND(ISNUMBER(F682),ISNUMBER(K682)),K682-F682,0),0)</f>
        <v>0</v>
      </c>
      <c r="Y682" s="53" t="n">
        <f aca="false">IF(T682=1,IF(AND(ISNUMBER(F682),ISNUMBER(K682)),1,0),0)</f>
        <v>0</v>
      </c>
      <c r="Z682" s="53" t="n">
        <f aca="false">IF(U682&gt;=Settings!$C$8,1,0)</f>
        <v>0</v>
      </c>
      <c r="AA682" s="53" t="n">
        <f aca="false">IF(S682=1,IF(J682="Listed / Publicado",0,1),0)</f>
        <v>0</v>
      </c>
      <c r="AB682" s="53" t="n">
        <f aca="false">IF(T682=1,IF(ISNUMBER(L682),L682-G682,0),0)</f>
        <v>0</v>
      </c>
      <c r="AC682" s="53" t="n">
        <f aca="false">IF(S682=1,IF(ISNUMBER(I682),I682-G682,0),0)</f>
        <v>0</v>
      </c>
    </row>
    <row r="683" customFormat="false" ht="15" hidden="false" customHeight="false" outlineLevel="0" collapsed="false">
      <c r="B683" s="54"/>
      <c r="C683" s="55"/>
      <c r="D683" s="55"/>
      <c r="E683" s="55"/>
      <c r="F683" s="56"/>
      <c r="G683" s="57"/>
      <c r="H683" s="55"/>
      <c r="I683" s="57"/>
      <c r="J683" s="54"/>
      <c r="K683" s="56"/>
      <c r="L683" s="57"/>
      <c r="M683" s="54"/>
      <c r="N683" s="58" t="str">
        <f aca="false">IF(S683=1,IF(U683&lt;0,"",U683),IF(Y683=1,X683,""))</f>
        <v/>
      </c>
      <c r="O683" s="59" t="str">
        <f aca="false">IF(S683=1,IF(ISNUMBER(I683),I683-G683,""),"")</f>
        <v/>
      </c>
      <c r="P683" s="59" t="str">
        <f aca="false">IF(T683=1,IF(ISNUMBER(L683),L683-G683,""),"")</f>
        <v/>
      </c>
      <c r="Q683" s="60" t="str">
        <f aca="false">IF(C683="","",IF(T683=1,"✔ SOLD / VENDIDO",IF(S683=0,"— CLOSED / CERRADO",IF(U683&lt;0,"⚠ ADD DATE / AGREGA FECHA",IF(U683&gt;=Settings!$C$8,"⚠ STALE – REPRICE / ESTANCADO",IF(U683&gt;=Settings!$C$7,"● WATCH / VIGILAR","✔ FRESH / RECIENTE"))))))</f>
        <v/>
      </c>
      <c r="S683" s="53" t="n">
        <f aca="false">IF(C683="",0,IF(OR(J683="",J683="In Stock / En Inventario",J683="Listed / Publicado"),1,0))</f>
        <v>0</v>
      </c>
      <c r="T683" s="53" t="n">
        <f aca="false">IF(C683="",0,IF(J683="Sold / Vendido",1,0))</f>
        <v>0</v>
      </c>
      <c r="U683" s="53" t="n">
        <f aca="true">IF(S683=1,IF(ISNUMBER(F683),TODAY()-F683,-1),-1)</f>
        <v>-1</v>
      </c>
      <c r="V683" s="53" t="n">
        <f aca="false">IF(U683&lt;0,IF(S683=1,5,0),IF(U683&lt;=30,1,IF(U683&lt;=60,2,IF(U683&lt;=90,3,4))))</f>
        <v>0</v>
      </c>
      <c r="W683" s="53" t="n">
        <f aca="false">IF(U683&lt;0,-1000000000000000,U683+ROW()/1000000)</f>
        <v>-1000000000000000</v>
      </c>
      <c r="X683" s="53" t="n">
        <f aca="false">IF(T683=1,IF(AND(ISNUMBER(F683),ISNUMBER(K683)),K683-F683,0),0)</f>
        <v>0</v>
      </c>
      <c r="Y683" s="53" t="n">
        <f aca="false">IF(T683=1,IF(AND(ISNUMBER(F683),ISNUMBER(K683)),1,0),0)</f>
        <v>0</v>
      </c>
      <c r="Z683" s="53" t="n">
        <f aca="false">IF(U683&gt;=Settings!$C$8,1,0)</f>
        <v>0</v>
      </c>
      <c r="AA683" s="53" t="n">
        <f aca="false">IF(S683=1,IF(J683="Listed / Publicado",0,1),0)</f>
        <v>0</v>
      </c>
      <c r="AB683" s="53" t="n">
        <f aca="false">IF(T683=1,IF(ISNUMBER(L683),L683-G683,0),0)</f>
        <v>0</v>
      </c>
      <c r="AC683" s="53" t="n">
        <f aca="false">IF(S683=1,IF(ISNUMBER(I683),I683-G683,0),0)</f>
        <v>0</v>
      </c>
    </row>
    <row r="684" customFormat="false" ht="15" hidden="false" customHeight="false" outlineLevel="0" collapsed="false">
      <c r="B684" s="54"/>
      <c r="C684" s="55"/>
      <c r="D684" s="55"/>
      <c r="E684" s="55"/>
      <c r="F684" s="56"/>
      <c r="G684" s="57"/>
      <c r="H684" s="55"/>
      <c r="I684" s="57"/>
      <c r="J684" s="54"/>
      <c r="K684" s="56"/>
      <c r="L684" s="57"/>
      <c r="M684" s="54"/>
      <c r="N684" s="58" t="str">
        <f aca="false">IF(S684=1,IF(U684&lt;0,"",U684),IF(Y684=1,X684,""))</f>
        <v/>
      </c>
      <c r="O684" s="59" t="str">
        <f aca="false">IF(S684=1,IF(ISNUMBER(I684),I684-G684,""),"")</f>
        <v/>
      </c>
      <c r="P684" s="59" t="str">
        <f aca="false">IF(T684=1,IF(ISNUMBER(L684),L684-G684,""),"")</f>
        <v/>
      </c>
      <c r="Q684" s="60" t="str">
        <f aca="false">IF(C684="","",IF(T684=1,"✔ SOLD / VENDIDO",IF(S684=0,"— CLOSED / CERRADO",IF(U684&lt;0,"⚠ ADD DATE / AGREGA FECHA",IF(U684&gt;=Settings!$C$8,"⚠ STALE – REPRICE / ESTANCADO",IF(U684&gt;=Settings!$C$7,"● WATCH / VIGILAR","✔ FRESH / RECIENTE"))))))</f>
        <v/>
      </c>
      <c r="S684" s="53" t="n">
        <f aca="false">IF(C684="",0,IF(OR(J684="",J684="In Stock / En Inventario",J684="Listed / Publicado"),1,0))</f>
        <v>0</v>
      </c>
      <c r="T684" s="53" t="n">
        <f aca="false">IF(C684="",0,IF(J684="Sold / Vendido",1,0))</f>
        <v>0</v>
      </c>
      <c r="U684" s="53" t="n">
        <f aca="true">IF(S684=1,IF(ISNUMBER(F684),TODAY()-F684,-1),-1)</f>
        <v>-1</v>
      </c>
      <c r="V684" s="53" t="n">
        <f aca="false">IF(U684&lt;0,IF(S684=1,5,0),IF(U684&lt;=30,1,IF(U684&lt;=60,2,IF(U684&lt;=90,3,4))))</f>
        <v>0</v>
      </c>
      <c r="W684" s="53" t="n">
        <f aca="false">IF(U684&lt;0,-1000000000000000,U684+ROW()/1000000)</f>
        <v>-1000000000000000</v>
      </c>
      <c r="X684" s="53" t="n">
        <f aca="false">IF(T684=1,IF(AND(ISNUMBER(F684),ISNUMBER(K684)),K684-F684,0),0)</f>
        <v>0</v>
      </c>
      <c r="Y684" s="53" t="n">
        <f aca="false">IF(T684=1,IF(AND(ISNUMBER(F684),ISNUMBER(K684)),1,0),0)</f>
        <v>0</v>
      </c>
      <c r="Z684" s="53" t="n">
        <f aca="false">IF(U684&gt;=Settings!$C$8,1,0)</f>
        <v>0</v>
      </c>
      <c r="AA684" s="53" t="n">
        <f aca="false">IF(S684=1,IF(J684="Listed / Publicado",0,1),0)</f>
        <v>0</v>
      </c>
      <c r="AB684" s="53" t="n">
        <f aca="false">IF(T684=1,IF(ISNUMBER(L684),L684-G684,0),0)</f>
        <v>0</v>
      </c>
      <c r="AC684" s="53" t="n">
        <f aca="false">IF(S684=1,IF(ISNUMBER(I684),I684-G684,0),0)</f>
        <v>0</v>
      </c>
    </row>
    <row r="685" customFormat="false" ht="15" hidden="false" customHeight="false" outlineLevel="0" collapsed="false">
      <c r="B685" s="54"/>
      <c r="C685" s="55"/>
      <c r="D685" s="55"/>
      <c r="E685" s="55"/>
      <c r="F685" s="56"/>
      <c r="G685" s="57"/>
      <c r="H685" s="55"/>
      <c r="I685" s="57"/>
      <c r="J685" s="54"/>
      <c r="K685" s="56"/>
      <c r="L685" s="57"/>
      <c r="M685" s="54"/>
      <c r="N685" s="58" t="str">
        <f aca="false">IF(S685=1,IF(U685&lt;0,"",U685),IF(Y685=1,X685,""))</f>
        <v/>
      </c>
      <c r="O685" s="59" t="str">
        <f aca="false">IF(S685=1,IF(ISNUMBER(I685),I685-G685,""),"")</f>
        <v/>
      </c>
      <c r="P685" s="59" t="str">
        <f aca="false">IF(T685=1,IF(ISNUMBER(L685),L685-G685,""),"")</f>
        <v/>
      </c>
      <c r="Q685" s="60" t="str">
        <f aca="false">IF(C685="","",IF(T685=1,"✔ SOLD / VENDIDO",IF(S685=0,"— CLOSED / CERRADO",IF(U685&lt;0,"⚠ ADD DATE / AGREGA FECHA",IF(U685&gt;=Settings!$C$8,"⚠ STALE – REPRICE / ESTANCADO",IF(U685&gt;=Settings!$C$7,"● WATCH / VIGILAR","✔ FRESH / RECIENTE"))))))</f>
        <v/>
      </c>
      <c r="S685" s="53" t="n">
        <f aca="false">IF(C685="",0,IF(OR(J685="",J685="In Stock / En Inventario",J685="Listed / Publicado"),1,0))</f>
        <v>0</v>
      </c>
      <c r="T685" s="53" t="n">
        <f aca="false">IF(C685="",0,IF(J685="Sold / Vendido",1,0))</f>
        <v>0</v>
      </c>
      <c r="U685" s="53" t="n">
        <f aca="true">IF(S685=1,IF(ISNUMBER(F685),TODAY()-F685,-1),-1)</f>
        <v>-1</v>
      </c>
      <c r="V685" s="53" t="n">
        <f aca="false">IF(U685&lt;0,IF(S685=1,5,0),IF(U685&lt;=30,1,IF(U685&lt;=60,2,IF(U685&lt;=90,3,4))))</f>
        <v>0</v>
      </c>
      <c r="W685" s="53" t="n">
        <f aca="false">IF(U685&lt;0,-1000000000000000,U685+ROW()/1000000)</f>
        <v>-1000000000000000</v>
      </c>
      <c r="X685" s="53" t="n">
        <f aca="false">IF(T685=1,IF(AND(ISNUMBER(F685),ISNUMBER(K685)),K685-F685,0),0)</f>
        <v>0</v>
      </c>
      <c r="Y685" s="53" t="n">
        <f aca="false">IF(T685=1,IF(AND(ISNUMBER(F685),ISNUMBER(K685)),1,0),0)</f>
        <v>0</v>
      </c>
      <c r="Z685" s="53" t="n">
        <f aca="false">IF(U685&gt;=Settings!$C$8,1,0)</f>
        <v>0</v>
      </c>
      <c r="AA685" s="53" t="n">
        <f aca="false">IF(S685=1,IF(J685="Listed / Publicado",0,1),0)</f>
        <v>0</v>
      </c>
      <c r="AB685" s="53" t="n">
        <f aca="false">IF(T685=1,IF(ISNUMBER(L685),L685-G685,0),0)</f>
        <v>0</v>
      </c>
      <c r="AC685" s="53" t="n">
        <f aca="false">IF(S685=1,IF(ISNUMBER(I685),I685-G685,0),0)</f>
        <v>0</v>
      </c>
    </row>
    <row r="686" customFormat="false" ht="15" hidden="false" customHeight="false" outlineLevel="0" collapsed="false">
      <c r="B686" s="54"/>
      <c r="C686" s="55"/>
      <c r="D686" s="55"/>
      <c r="E686" s="55"/>
      <c r="F686" s="56"/>
      <c r="G686" s="57"/>
      <c r="H686" s="55"/>
      <c r="I686" s="57"/>
      <c r="J686" s="54"/>
      <c r="K686" s="56"/>
      <c r="L686" s="57"/>
      <c r="M686" s="54"/>
      <c r="N686" s="58" t="str">
        <f aca="false">IF(S686=1,IF(U686&lt;0,"",U686),IF(Y686=1,X686,""))</f>
        <v/>
      </c>
      <c r="O686" s="59" t="str">
        <f aca="false">IF(S686=1,IF(ISNUMBER(I686),I686-G686,""),"")</f>
        <v/>
      </c>
      <c r="P686" s="59" t="str">
        <f aca="false">IF(T686=1,IF(ISNUMBER(L686),L686-G686,""),"")</f>
        <v/>
      </c>
      <c r="Q686" s="60" t="str">
        <f aca="false">IF(C686="","",IF(T686=1,"✔ SOLD / VENDIDO",IF(S686=0,"— CLOSED / CERRADO",IF(U686&lt;0,"⚠ ADD DATE / AGREGA FECHA",IF(U686&gt;=Settings!$C$8,"⚠ STALE – REPRICE / ESTANCADO",IF(U686&gt;=Settings!$C$7,"● WATCH / VIGILAR","✔ FRESH / RECIENTE"))))))</f>
        <v/>
      </c>
      <c r="S686" s="53" t="n">
        <f aca="false">IF(C686="",0,IF(OR(J686="",J686="In Stock / En Inventario",J686="Listed / Publicado"),1,0))</f>
        <v>0</v>
      </c>
      <c r="T686" s="53" t="n">
        <f aca="false">IF(C686="",0,IF(J686="Sold / Vendido",1,0))</f>
        <v>0</v>
      </c>
      <c r="U686" s="53" t="n">
        <f aca="true">IF(S686=1,IF(ISNUMBER(F686),TODAY()-F686,-1),-1)</f>
        <v>-1</v>
      </c>
      <c r="V686" s="53" t="n">
        <f aca="false">IF(U686&lt;0,IF(S686=1,5,0),IF(U686&lt;=30,1,IF(U686&lt;=60,2,IF(U686&lt;=90,3,4))))</f>
        <v>0</v>
      </c>
      <c r="W686" s="53" t="n">
        <f aca="false">IF(U686&lt;0,-1000000000000000,U686+ROW()/1000000)</f>
        <v>-1000000000000000</v>
      </c>
      <c r="X686" s="53" t="n">
        <f aca="false">IF(T686=1,IF(AND(ISNUMBER(F686),ISNUMBER(K686)),K686-F686,0),0)</f>
        <v>0</v>
      </c>
      <c r="Y686" s="53" t="n">
        <f aca="false">IF(T686=1,IF(AND(ISNUMBER(F686),ISNUMBER(K686)),1,0),0)</f>
        <v>0</v>
      </c>
      <c r="Z686" s="53" t="n">
        <f aca="false">IF(U686&gt;=Settings!$C$8,1,0)</f>
        <v>0</v>
      </c>
      <c r="AA686" s="53" t="n">
        <f aca="false">IF(S686=1,IF(J686="Listed / Publicado",0,1),0)</f>
        <v>0</v>
      </c>
      <c r="AB686" s="53" t="n">
        <f aca="false">IF(T686=1,IF(ISNUMBER(L686),L686-G686,0),0)</f>
        <v>0</v>
      </c>
      <c r="AC686" s="53" t="n">
        <f aca="false">IF(S686=1,IF(ISNUMBER(I686),I686-G686,0),0)</f>
        <v>0</v>
      </c>
    </row>
    <row r="687" customFormat="false" ht="15" hidden="false" customHeight="false" outlineLevel="0" collapsed="false">
      <c r="B687" s="54"/>
      <c r="C687" s="55"/>
      <c r="D687" s="55"/>
      <c r="E687" s="55"/>
      <c r="F687" s="56"/>
      <c r="G687" s="57"/>
      <c r="H687" s="55"/>
      <c r="I687" s="57"/>
      <c r="J687" s="54"/>
      <c r="K687" s="56"/>
      <c r="L687" s="57"/>
      <c r="M687" s="54"/>
      <c r="N687" s="58" t="str">
        <f aca="false">IF(S687=1,IF(U687&lt;0,"",U687),IF(Y687=1,X687,""))</f>
        <v/>
      </c>
      <c r="O687" s="59" t="str">
        <f aca="false">IF(S687=1,IF(ISNUMBER(I687),I687-G687,""),"")</f>
        <v/>
      </c>
      <c r="P687" s="59" t="str">
        <f aca="false">IF(T687=1,IF(ISNUMBER(L687),L687-G687,""),"")</f>
        <v/>
      </c>
      <c r="Q687" s="60" t="str">
        <f aca="false">IF(C687="","",IF(T687=1,"✔ SOLD / VENDIDO",IF(S687=0,"— CLOSED / CERRADO",IF(U687&lt;0,"⚠ ADD DATE / AGREGA FECHA",IF(U687&gt;=Settings!$C$8,"⚠ STALE – REPRICE / ESTANCADO",IF(U687&gt;=Settings!$C$7,"● WATCH / VIGILAR","✔ FRESH / RECIENTE"))))))</f>
        <v/>
      </c>
      <c r="S687" s="53" t="n">
        <f aca="false">IF(C687="",0,IF(OR(J687="",J687="In Stock / En Inventario",J687="Listed / Publicado"),1,0))</f>
        <v>0</v>
      </c>
      <c r="T687" s="53" t="n">
        <f aca="false">IF(C687="",0,IF(J687="Sold / Vendido",1,0))</f>
        <v>0</v>
      </c>
      <c r="U687" s="53" t="n">
        <f aca="true">IF(S687=1,IF(ISNUMBER(F687),TODAY()-F687,-1),-1)</f>
        <v>-1</v>
      </c>
      <c r="V687" s="53" t="n">
        <f aca="false">IF(U687&lt;0,IF(S687=1,5,0),IF(U687&lt;=30,1,IF(U687&lt;=60,2,IF(U687&lt;=90,3,4))))</f>
        <v>0</v>
      </c>
      <c r="W687" s="53" t="n">
        <f aca="false">IF(U687&lt;0,-1000000000000000,U687+ROW()/1000000)</f>
        <v>-1000000000000000</v>
      </c>
      <c r="X687" s="53" t="n">
        <f aca="false">IF(T687=1,IF(AND(ISNUMBER(F687),ISNUMBER(K687)),K687-F687,0),0)</f>
        <v>0</v>
      </c>
      <c r="Y687" s="53" t="n">
        <f aca="false">IF(T687=1,IF(AND(ISNUMBER(F687),ISNUMBER(K687)),1,0),0)</f>
        <v>0</v>
      </c>
      <c r="Z687" s="53" t="n">
        <f aca="false">IF(U687&gt;=Settings!$C$8,1,0)</f>
        <v>0</v>
      </c>
      <c r="AA687" s="53" t="n">
        <f aca="false">IF(S687=1,IF(J687="Listed / Publicado",0,1),0)</f>
        <v>0</v>
      </c>
      <c r="AB687" s="53" t="n">
        <f aca="false">IF(T687=1,IF(ISNUMBER(L687),L687-G687,0),0)</f>
        <v>0</v>
      </c>
      <c r="AC687" s="53" t="n">
        <f aca="false">IF(S687=1,IF(ISNUMBER(I687),I687-G687,0),0)</f>
        <v>0</v>
      </c>
    </row>
    <row r="688" customFormat="false" ht="15" hidden="false" customHeight="false" outlineLevel="0" collapsed="false">
      <c r="B688" s="54"/>
      <c r="C688" s="55"/>
      <c r="D688" s="55"/>
      <c r="E688" s="55"/>
      <c r="F688" s="56"/>
      <c r="G688" s="57"/>
      <c r="H688" s="55"/>
      <c r="I688" s="57"/>
      <c r="J688" s="54"/>
      <c r="K688" s="56"/>
      <c r="L688" s="57"/>
      <c r="M688" s="54"/>
      <c r="N688" s="58" t="str">
        <f aca="false">IF(S688=1,IF(U688&lt;0,"",U688),IF(Y688=1,X688,""))</f>
        <v/>
      </c>
      <c r="O688" s="59" t="str">
        <f aca="false">IF(S688=1,IF(ISNUMBER(I688),I688-G688,""),"")</f>
        <v/>
      </c>
      <c r="P688" s="59" t="str">
        <f aca="false">IF(T688=1,IF(ISNUMBER(L688),L688-G688,""),"")</f>
        <v/>
      </c>
      <c r="Q688" s="60" t="str">
        <f aca="false">IF(C688="","",IF(T688=1,"✔ SOLD / VENDIDO",IF(S688=0,"— CLOSED / CERRADO",IF(U688&lt;0,"⚠ ADD DATE / AGREGA FECHA",IF(U688&gt;=Settings!$C$8,"⚠ STALE – REPRICE / ESTANCADO",IF(U688&gt;=Settings!$C$7,"● WATCH / VIGILAR","✔ FRESH / RECIENTE"))))))</f>
        <v/>
      </c>
      <c r="S688" s="53" t="n">
        <f aca="false">IF(C688="",0,IF(OR(J688="",J688="In Stock / En Inventario",J688="Listed / Publicado"),1,0))</f>
        <v>0</v>
      </c>
      <c r="T688" s="53" t="n">
        <f aca="false">IF(C688="",0,IF(J688="Sold / Vendido",1,0))</f>
        <v>0</v>
      </c>
      <c r="U688" s="53" t="n">
        <f aca="true">IF(S688=1,IF(ISNUMBER(F688),TODAY()-F688,-1),-1)</f>
        <v>-1</v>
      </c>
      <c r="V688" s="53" t="n">
        <f aca="false">IF(U688&lt;0,IF(S688=1,5,0),IF(U688&lt;=30,1,IF(U688&lt;=60,2,IF(U688&lt;=90,3,4))))</f>
        <v>0</v>
      </c>
      <c r="W688" s="53" t="n">
        <f aca="false">IF(U688&lt;0,-1000000000000000,U688+ROW()/1000000)</f>
        <v>-1000000000000000</v>
      </c>
      <c r="X688" s="53" t="n">
        <f aca="false">IF(T688=1,IF(AND(ISNUMBER(F688),ISNUMBER(K688)),K688-F688,0),0)</f>
        <v>0</v>
      </c>
      <c r="Y688" s="53" t="n">
        <f aca="false">IF(T688=1,IF(AND(ISNUMBER(F688),ISNUMBER(K688)),1,0),0)</f>
        <v>0</v>
      </c>
      <c r="Z688" s="53" t="n">
        <f aca="false">IF(U688&gt;=Settings!$C$8,1,0)</f>
        <v>0</v>
      </c>
      <c r="AA688" s="53" t="n">
        <f aca="false">IF(S688=1,IF(J688="Listed / Publicado",0,1),0)</f>
        <v>0</v>
      </c>
      <c r="AB688" s="53" t="n">
        <f aca="false">IF(T688=1,IF(ISNUMBER(L688),L688-G688,0),0)</f>
        <v>0</v>
      </c>
      <c r="AC688" s="53" t="n">
        <f aca="false">IF(S688=1,IF(ISNUMBER(I688),I688-G688,0),0)</f>
        <v>0</v>
      </c>
    </row>
    <row r="689" customFormat="false" ht="15" hidden="false" customHeight="false" outlineLevel="0" collapsed="false">
      <c r="B689" s="54"/>
      <c r="C689" s="55"/>
      <c r="D689" s="55"/>
      <c r="E689" s="55"/>
      <c r="F689" s="56"/>
      <c r="G689" s="57"/>
      <c r="H689" s="55"/>
      <c r="I689" s="57"/>
      <c r="J689" s="54"/>
      <c r="K689" s="56"/>
      <c r="L689" s="57"/>
      <c r="M689" s="54"/>
      <c r="N689" s="58" t="str">
        <f aca="false">IF(S689=1,IF(U689&lt;0,"",U689),IF(Y689=1,X689,""))</f>
        <v/>
      </c>
      <c r="O689" s="59" t="str">
        <f aca="false">IF(S689=1,IF(ISNUMBER(I689),I689-G689,""),"")</f>
        <v/>
      </c>
      <c r="P689" s="59" t="str">
        <f aca="false">IF(T689=1,IF(ISNUMBER(L689),L689-G689,""),"")</f>
        <v/>
      </c>
      <c r="Q689" s="60" t="str">
        <f aca="false">IF(C689="","",IF(T689=1,"✔ SOLD / VENDIDO",IF(S689=0,"— CLOSED / CERRADO",IF(U689&lt;0,"⚠ ADD DATE / AGREGA FECHA",IF(U689&gt;=Settings!$C$8,"⚠ STALE – REPRICE / ESTANCADO",IF(U689&gt;=Settings!$C$7,"● WATCH / VIGILAR","✔ FRESH / RECIENTE"))))))</f>
        <v/>
      </c>
      <c r="S689" s="53" t="n">
        <f aca="false">IF(C689="",0,IF(OR(J689="",J689="In Stock / En Inventario",J689="Listed / Publicado"),1,0))</f>
        <v>0</v>
      </c>
      <c r="T689" s="53" t="n">
        <f aca="false">IF(C689="",0,IF(J689="Sold / Vendido",1,0))</f>
        <v>0</v>
      </c>
      <c r="U689" s="53" t="n">
        <f aca="true">IF(S689=1,IF(ISNUMBER(F689),TODAY()-F689,-1),-1)</f>
        <v>-1</v>
      </c>
      <c r="V689" s="53" t="n">
        <f aca="false">IF(U689&lt;0,IF(S689=1,5,0),IF(U689&lt;=30,1,IF(U689&lt;=60,2,IF(U689&lt;=90,3,4))))</f>
        <v>0</v>
      </c>
      <c r="W689" s="53" t="n">
        <f aca="false">IF(U689&lt;0,-1000000000000000,U689+ROW()/1000000)</f>
        <v>-1000000000000000</v>
      </c>
      <c r="X689" s="53" t="n">
        <f aca="false">IF(T689=1,IF(AND(ISNUMBER(F689),ISNUMBER(K689)),K689-F689,0),0)</f>
        <v>0</v>
      </c>
      <c r="Y689" s="53" t="n">
        <f aca="false">IF(T689=1,IF(AND(ISNUMBER(F689),ISNUMBER(K689)),1,0),0)</f>
        <v>0</v>
      </c>
      <c r="Z689" s="53" t="n">
        <f aca="false">IF(U689&gt;=Settings!$C$8,1,0)</f>
        <v>0</v>
      </c>
      <c r="AA689" s="53" t="n">
        <f aca="false">IF(S689=1,IF(J689="Listed / Publicado",0,1),0)</f>
        <v>0</v>
      </c>
      <c r="AB689" s="53" t="n">
        <f aca="false">IF(T689=1,IF(ISNUMBER(L689),L689-G689,0),0)</f>
        <v>0</v>
      </c>
      <c r="AC689" s="53" t="n">
        <f aca="false">IF(S689=1,IF(ISNUMBER(I689),I689-G689,0),0)</f>
        <v>0</v>
      </c>
    </row>
    <row r="690" customFormat="false" ht="15" hidden="false" customHeight="false" outlineLevel="0" collapsed="false">
      <c r="B690" s="54"/>
      <c r="C690" s="55"/>
      <c r="D690" s="55"/>
      <c r="E690" s="55"/>
      <c r="F690" s="56"/>
      <c r="G690" s="57"/>
      <c r="H690" s="55"/>
      <c r="I690" s="57"/>
      <c r="J690" s="54"/>
      <c r="K690" s="56"/>
      <c r="L690" s="57"/>
      <c r="M690" s="54"/>
      <c r="N690" s="58" t="str">
        <f aca="false">IF(S690=1,IF(U690&lt;0,"",U690),IF(Y690=1,X690,""))</f>
        <v/>
      </c>
      <c r="O690" s="59" t="str">
        <f aca="false">IF(S690=1,IF(ISNUMBER(I690),I690-G690,""),"")</f>
        <v/>
      </c>
      <c r="P690" s="59" t="str">
        <f aca="false">IF(T690=1,IF(ISNUMBER(L690),L690-G690,""),"")</f>
        <v/>
      </c>
      <c r="Q690" s="60" t="str">
        <f aca="false">IF(C690="","",IF(T690=1,"✔ SOLD / VENDIDO",IF(S690=0,"— CLOSED / CERRADO",IF(U690&lt;0,"⚠ ADD DATE / AGREGA FECHA",IF(U690&gt;=Settings!$C$8,"⚠ STALE – REPRICE / ESTANCADO",IF(U690&gt;=Settings!$C$7,"● WATCH / VIGILAR","✔ FRESH / RECIENTE"))))))</f>
        <v/>
      </c>
      <c r="S690" s="53" t="n">
        <f aca="false">IF(C690="",0,IF(OR(J690="",J690="In Stock / En Inventario",J690="Listed / Publicado"),1,0))</f>
        <v>0</v>
      </c>
      <c r="T690" s="53" t="n">
        <f aca="false">IF(C690="",0,IF(J690="Sold / Vendido",1,0))</f>
        <v>0</v>
      </c>
      <c r="U690" s="53" t="n">
        <f aca="true">IF(S690=1,IF(ISNUMBER(F690),TODAY()-F690,-1),-1)</f>
        <v>-1</v>
      </c>
      <c r="V690" s="53" t="n">
        <f aca="false">IF(U690&lt;0,IF(S690=1,5,0),IF(U690&lt;=30,1,IF(U690&lt;=60,2,IF(U690&lt;=90,3,4))))</f>
        <v>0</v>
      </c>
      <c r="W690" s="53" t="n">
        <f aca="false">IF(U690&lt;0,-1000000000000000,U690+ROW()/1000000)</f>
        <v>-1000000000000000</v>
      </c>
      <c r="X690" s="53" t="n">
        <f aca="false">IF(T690=1,IF(AND(ISNUMBER(F690),ISNUMBER(K690)),K690-F690,0),0)</f>
        <v>0</v>
      </c>
      <c r="Y690" s="53" t="n">
        <f aca="false">IF(T690=1,IF(AND(ISNUMBER(F690),ISNUMBER(K690)),1,0),0)</f>
        <v>0</v>
      </c>
      <c r="Z690" s="53" t="n">
        <f aca="false">IF(U690&gt;=Settings!$C$8,1,0)</f>
        <v>0</v>
      </c>
      <c r="AA690" s="53" t="n">
        <f aca="false">IF(S690=1,IF(J690="Listed / Publicado",0,1),0)</f>
        <v>0</v>
      </c>
      <c r="AB690" s="53" t="n">
        <f aca="false">IF(T690=1,IF(ISNUMBER(L690),L690-G690,0),0)</f>
        <v>0</v>
      </c>
      <c r="AC690" s="53" t="n">
        <f aca="false">IF(S690=1,IF(ISNUMBER(I690),I690-G690,0),0)</f>
        <v>0</v>
      </c>
    </row>
    <row r="691" customFormat="false" ht="15" hidden="false" customHeight="false" outlineLevel="0" collapsed="false">
      <c r="B691" s="54"/>
      <c r="C691" s="55"/>
      <c r="D691" s="55"/>
      <c r="E691" s="55"/>
      <c r="F691" s="56"/>
      <c r="G691" s="57"/>
      <c r="H691" s="55"/>
      <c r="I691" s="57"/>
      <c r="J691" s="54"/>
      <c r="K691" s="56"/>
      <c r="L691" s="57"/>
      <c r="M691" s="54"/>
      <c r="N691" s="58" t="str">
        <f aca="false">IF(S691=1,IF(U691&lt;0,"",U691),IF(Y691=1,X691,""))</f>
        <v/>
      </c>
      <c r="O691" s="59" t="str">
        <f aca="false">IF(S691=1,IF(ISNUMBER(I691),I691-G691,""),"")</f>
        <v/>
      </c>
      <c r="P691" s="59" t="str">
        <f aca="false">IF(T691=1,IF(ISNUMBER(L691),L691-G691,""),"")</f>
        <v/>
      </c>
      <c r="Q691" s="60" t="str">
        <f aca="false">IF(C691="","",IF(T691=1,"✔ SOLD / VENDIDO",IF(S691=0,"— CLOSED / CERRADO",IF(U691&lt;0,"⚠ ADD DATE / AGREGA FECHA",IF(U691&gt;=Settings!$C$8,"⚠ STALE – REPRICE / ESTANCADO",IF(U691&gt;=Settings!$C$7,"● WATCH / VIGILAR","✔ FRESH / RECIENTE"))))))</f>
        <v/>
      </c>
      <c r="S691" s="53" t="n">
        <f aca="false">IF(C691="",0,IF(OR(J691="",J691="In Stock / En Inventario",J691="Listed / Publicado"),1,0))</f>
        <v>0</v>
      </c>
      <c r="T691" s="53" t="n">
        <f aca="false">IF(C691="",0,IF(J691="Sold / Vendido",1,0))</f>
        <v>0</v>
      </c>
      <c r="U691" s="53" t="n">
        <f aca="true">IF(S691=1,IF(ISNUMBER(F691),TODAY()-F691,-1),-1)</f>
        <v>-1</v>
      </c>
      <c r="V691" s="53" t="n">
        <f aca="false">IF(U691&lt;0,IF(S691=1,5,0),IF(U691&lt;=30,1,IF(U691&lt;=60,2,IF(U691&lt;=90,3,4))))</f>
        <v>0</v>
      </c>
      <c r="W691" s="53" t="n">
        <f aca="false">IF(U691&lt;0,-1000000000000000,U691+ROW()/1000000)</f>
        <v>-1000000000000000</v>
      </c>
      <c r="X691" s="53" t="n">
        <f aca="false">IF(T691=1,IF(AND(ISNUMBER(F691),ISNUMBER(K691)),K691-F691,0),0)</f>
        <v>0</v>
      </c>
      <c r="Y691" s="53" t="n">
        <f aca="false">IF(T691=1,IF(AND(ISNUMBER(F691),ISNUMBER(K691)),1,0),0)</f>
        <v>0</v>
      </c>
      <c r="Z691" s="53" t="n">
        <f aca="false">IF(U691&gt;=Settings!$C$8,1,0)</f>
        <v>0</v>
      </c>
      <c r="AA691" s="53" t="n">
        <f aca="false">IF(S691=1,IF(J691="Listed / Publicado",0,1),0)</f>
        <v>0</v>
      </c>
      <c r="AB691" s="53" t="n">
        <f aca="false">IF(T691=1,IF(ISNUMBER(L691),L691-G691,0),0)</f>
        <v>0</v>
      </c>
      <c r="AC691" s="53" t="n">
        <f aca="false">IF(S691=1,IF(ISNUMBER(I691),I691-G691,0),0)</f>
        <v>0</v>
      </c>
    </row>
    <row r="692" customFormat="false" ht="15" hidden="false" customHeight="false" outlineLevel="0" collapsed="false">
      <c r="B692" s="54"/>
      <c r="C692" s="55"/>
      <c r="D692" s="55"/>
      <c r="E692" s="55"/>
      <c r="F692" s="56"/>
      <c r="G692" s="57"/>
      <c r="H692" s="55"/>
      <c r="I692" s="57"/>
      <c r="J692" s="54"/>
      <c r="K692" s="56"/>
      <c r="L692" s="57"/>
      <c r="M692" s="54"/>
      <c r="N692" s="58" t="str">
        <f aca="false">IF(S692=1,IF(U692&lt;0,"",U692),IF(Y692=1,X692,""))</f>
        <v/>
      </c>
      <c r="O692" s="59" t="str">
        <f aca="false">IF(S692=1,IF(ISNUMBER(I692),I692-G692,""),"")</f>
        <v/>
      </c>
      <c r="P692" s="59" t="str">
        <f aca="false">IF(T692=1,IF(ISNUMBER(L692),L692-G692,""),"")</f>
        <v/>
      </c>
      <c r="Q692" s="60" t="str">
        <f aca="false">IF(C692="","",IF(T692=1,"✔ SOLD / VENDIDO",IF(S692=0,"— CLOSED / CERRADO",IF(U692&lt;0,"⚠ ADD DATE / AGREGA FECHA",IF(U692&gt;=Settings!$C$8,"⚠ STALE – REPRICE / ESTANCADO",IF(U692&gt;=Settings!$C$7,"● WATCH / VIGILAR","✔ FRESH / RECIENTE"))))))</f>
        <v/>
      </c>
      <c r="S692" s="53" t="n">
        <f aca="false">IF(C692="",0,IF(OR(J692="",J692="In Stock / En Inventario",J692="Listed / Publicado"),1,0))</f>
        <v>0</v>
      </c>
      <c r="T692" s="53" t="n">
        <f aca="false">IF(C692="",0,IF(J692="Sold / Vendido",1,0))</f>
        <v>0</v>
      </c>
      <c r="U692" s="53" t="n">
        <f aca="true">IF(S692=1,IF(ISNUMBER(F692),TODAY()-F692,-1),-1)</f>
        <v>-1</v>
      </c>
      <c r="V692" s="53" t="n">
        <f aca="false">IF(U692&lt;0,IF(S692=1,5,0),IF(U692&lt;=30,1,IF(U692&lt;=60,2,IF(U692&lt;=90,3,4))))</f>
        <v>0</v>
      </c>
      <c r="W692" s="53" t="n">
        <f aca="false">IF(U692&lt;0,-1000000000000000,U692+ROW()/1000000)</f>
        <v>-1000000000000000</v>
      </c>
      <c r="X692" s="53" t="n">
        <f aca="false">IF(T692=1,IF(AND(ISNUMBER(F692),ISNUMBER(K692)),K692-F692,0),0)</f>
        <v>0</v>
      </c>
      <c r="Y692" s="53" t="n">
        <f aca="false">IF(T692=1,IF(AND(ISNUMBER(F692),ISNUMBER(K692)),1,0),0)</f>
        <v>0</v>
      </c>
      <c r="Z692" s="53" t="n">
        <f aca="false">IF(U692&gt;=Settings!$C$8,1,0)</f>
        <v>0</v>
      </c>
      <c r="AA692" s="53" t="n">
        <f aca="false">IF(S692=1,IF(J692="Listed / Publicado",0,1),0)</f>
        <v>0</v>
      </c>
      <c r="AB692" s="53" t="n">
        <f aca="false">IF(T692=1,IF(ISNUMBER(L692),L692-G692,0),0)</f>
        <v>0</v>
      </c>
      <c r="AC692" s="53" t="n">
        <f aca="false">IF(S692=1,IF(ISNUMBER(I692),I692-G692,0),0)</f>
        <v>0</v>
      </c>
    </row>
    <row r="693" customFormat="false" ht="15" hidden="false" customHeight="false" outlineLevel="0" collapsed="false">
      <c r="B693" s="54"/>
      <c r="C693" s="55"/>
      <c r="D693" s="55"/>
      <c r="E693" s="55"/>
      <c r="F693" s="56"/>
      <c r="G693" s="57"/>
      <c r="H693" s="55"/>
      <c r="I693" s="57"/>
      <c r="J693" s="54"/>
      <c r="K693" s="56"/>
      <c r="L693" s="57"/>
      <c r="M693" s="54"/>
      <c r="N693" s="58" t="str">
        <f aca="false">IF(S693=1,IF(U693&lt;0,"",U693),IF(Y693=1,X693,""))</f>
        <v/>
      </c>
      <c r="O693" s="59" t="str">
        <f aca="false">IF(S693=1,IF(ISNUMBER(I693),I693-G693,""),"")</f>
        <v/>
      </c>
      <c r="P693" s="59" t="str">
        <f aca="false">IF(T693=1,IF(ISNUMBER(L693),L693-G693,""),"")</f>
        <v/>
      </c>
      <c r="Q693" s="60" t="str">
        <f aca="false">IF(C693="","",IF(T693=1,"✔ SOLD / VENDIDO",IF(S693=0,"— CLOSED / CERRADO",IF(U693&lt;0,"⚠ ADD DATE / AGREGA FECHA",IF(U693&gt;=Settings!$C$8,"⚠ STALE – REPRICE / ESTANCADO",IF(U693&gt;=Settings!$C$7,"● WATCH / VIGILAR","✔ FRESH / RECIENTE"))))))</f>
        <v/>
      </c>
      <c r="S693" s="53" t="n">
        <f aca="false">IF(C693="",0,IF(OR(J693="",J693="In Stock / En Inventario",J693="Listed / Publicado"),1,0))</f>
        <v>0</v>
      </c>
      <c r="T693" s="53" t="n">
        <f aca="false">IF(C693="",0,IF(J693="Sold / Vendido",1,0))</f>
        <v>0</v>
      </c>
      <c r="U693" s="53" t="n">
        <f aca="true">IF(S693=1,IF(ISNUMBER(F693),TODAY()-F693,-1),-1)</f>
        <v>-1</v>
      </c>
      <c r="V693" s="53" t="n">
        <f aca="false">IF(U693&lt;0,IF(S693=1,5,0),IF(U693&lt;=30,1,IF(U693&lt;=60,2,IF(U693&lt;=90,3,4))))</f>
        <v>0</v>
      </c>
      <c r="W693" s="53" t="n">
        <f aca="false">IF(U693&lt;0,-1000000000000000,U693+ROW()/1000000)</f>
        <v>-1000000000000000</v>
      </c>
      <c r="X693" s="53" t="n">
        <f aca="false">IF(T693=1,IF(AND(ISNUMBER(F693),ISNUMBER(K693)),K693-F693,0),0)</f>
        <v>0</v>
      </c>
      <c r="Y693" s="53" t="n">
        <f aca="false">IF(T693=1,IF(AND(ISNUMBER(F693),ISNUMBER(K693)),1,0),0)</f>
        <v>0</v>
      </c>
      <c r="Z693" s="53" t="n">
        <f aca="false">IF(U693&gt;=Settings!$C$8,1,0)</f>
        <v>0</v>
      </c>
      <c r="AA693" s="53" t="n">
        <f aca="false">IF(S693=1,IF(J693="Listed / Publicado",0,1),0)</f>
        <v>0</v>
      </c>
      <c r="AB693" s="53" t="n">
        <f aca="false">IF(T693=1,IF(ISNUMBER(L693),L693-G693,0),0)</f>
        <v>0</v>
      </c>
      <c r="AC693" s="53" t="n">
        <f aca="false">IF(S693=1,IF(ISNUMBER(I693),I693-G693,0),0)</f>
        <v>0</v>
      </c>
    </row>
    <row r="694" customFormat="false" ht="15" hidden="false" customHeight="false" outlineLevel="0" collapsed="false">
      <c r="B694" s="54"/>
      <c r="C694" s="55"/>
      <c r="D694" s="55"/>
      <c r="E694" s="55"/>
      <c r="F694" s="56"/>
      <c r="G694" s="57"/>
      <c r="H694" s="55"/>
      <c r="I694" s="57"/>
      <c r="J694" s="54"/>
      <c r="K694" s="56"/>
      <c r="L694" s="57"/>
      <c r="M694" s="54"/>
      <c r="N694" s="58" t="str">
        <f aca="false">IF(S694=1,IF(U694&lt;0,"",U694),IF(Y694=1,X694,""))</f>
        <v/>
      </c>
      <c r="O694" s="59" t="str">
        <f aca="false">IF(S694=1,IF(ISNUMBER(I694),I694-G694,""),"")</f>
        <v/>
      </c>
      <c r="P694" s="59" t="str">
        <f aca="false">IF(T694=1,IF(ISNUMBER(L694),L694-G694,""),"")</f>
        <v/>
      </c>
      <c r="Q694" s="60" t="str">
        <f aca="false">IF(C694="","",IF(T694=1,"✔ SOLD / VENDIDO",IF(S694=0,"— CLOSED / CERRADO",IF(U694&lt;0,"⚠ ADD DATE / AGREGA FECHA",IF(U694&gt;=Settings!$C$8,"⚠ STALE – REPRICE / ESTANCADO",IF(U694&gt;=Settings!$C$7,"● WATCH / VIGILAR","✔ FRESH / RECIENTE"))))))</f>
        <v/>
      </c>
      <c r="S694" s="53" t="n">
        <f aca="false">IF(C694="",0,IF(OR(J694="",J694="In Stock / En Inventario",J694="Listed / Publicado"),1,0))</f>
        <v>0</v>
      </c>
      <c r="T694" s="53" t="n">
        <f aca="false">IF(C694="",0,IF(J694="Sold / Vendido",1,0))</f>
        <v>0</v>
      </c>
      <c r="U694" s="53" t="n">
        <f aca="true">IF(S694=1,IF(ISNUMBER(F694),TODAY()-F694,-1),-1)</f>
        <v>-1</v>
      </c>
      <c r="V694" s="53" t="n">
        <f aca="false">IF(U694&lt;0,IF(S694=1,5,0),IF(U694&lt;=30,1,IF(U694&lt;=60,2,IF(U694&lt;=90,3,4))))</f>
        <v>0</v>
      </c>
      <c r="W694" s="53" t="n">
        <f aca="false">IF(U694&lt;0,-1000000000000000,U694+ROW()/1000000)</f>
        <v>-1000000000000000</v>
      </c>
      <c r="X694" s="53" t="n">
        <f aca="false">IF(T694=1,IF(AND(ISNUMBER(F694),ISNUMBER(K694)),K694-F694,0),0)</f>
        <v>0</v>
      </c>
      <c r="Y694" s="53" t="n">
        <f aca="false">IF(T694=1,IF(AND(ISNUMBER(F694),ISNUMBER(K694)),1,0),0)</f>
        <v>0</v>
      </c>
      <c r="Z694" s="53" t="n">
        <f aca="false">IF(U694&gt;=Settings!$C$8,1,0)</f>
        <v>0</v>
      </c>
      <c r="AA694" s="53" t="n">
        <f aca="false">IF(S694=1,IF(J694="Listed / Publicado",0,1),0)</f>
        <v>0</v>
      </c>
      <c r="AB694" s="53" t="n">
        <f aca="false">IF(T694=1,IF(ISNUMBER(L694),L694-G694,0),0)</f>
        <v>0</v>
      </c>
      <c r="AC694" s="53" t="n">
        <f aca="false">IF(S694=1,IF(ISNUMBER(I694),I694-G694,0),0)</f>
        <v>0</v>
      </c>
    </row>
    <row r="695" customFormat="false" ht="15" hidden="false" customHeight="false" outlineLevel="0" collapsed="false">
      <c r="B695" s="54"/>
      <c r="C695" s="55"/>
      <c r="D695" s="55"/>
      <c r="E695" s="55"/>
      <c r="F695" s="56"/>
      <c r="G695" s="57"/>
      <c r="H695" s="55"/>
      <c r="I695" s="57"/>
      <c r="J695" s="54"/>
      <c r="K695" s="56"/>
      <c r="L695" s="57"/>
      <c r="M695" s="54"/>
      <c r="N695" s="58" t="str">
        <f aca="false">IF(S695=1,IF(U695&lt;0,"",U695),IF(Y695=1,X695,""))</f>
        <v/>
      </c>
      <c r="O695" s="59" t="str">
        <f aca="false">IF(S695=1,IF(ISNUMBER(I695),I695-G695,""),"")</f>
        <v/>
      </c>
      <c r="P695" s="59" t="str">
        <f aca="false">IF(T695=1,IF(ISNUMBER(L695),L695-G695,""),"")</f>
        <v/>
      </c>
      <c r="Q695" s="60" t="str">
        <f aca="false">IF(C695="","",IF(T695=1,"✔ SOLD / VENDIDO",IF(S695=0,"— CLOSED / CERRADO",IF(U695&lt;0,"⚠ ADD DATE / AGREGA FECHA",IF(U695&gt;=Settings!$C$8,"⚠ STALE – REPRICE / ESTANCADO",IF(U695&gt;=Settings!$C$7,"● WATCH / VIGILAR","✔ FRESH / RECIENTE"))))))</f>
        <v/>
      </c>
      <c r="S695" s="53" t="n">
        <f aca="false">IF(C695="",0,IF(OR(J695="",J695="In Stock / En Inventario",J695="Listed / Publicado"),1,0))</f>
        <v>0</v>
      </c>
      <c r="T695" s="53" t="n">
        <f aca="false">IF(C695="",0,IF(J695="Sold / Vendido",1,0))</f>
        <v>0</v>
      </c>
      <c r="U695" s="53" t="n">
        <f aca="true">IF(S695=1,IF(ISNUMBER(F695),TODAY()-F695,-1),-1)</f>
        <v>-1</v>
      </c>
      <c r="V695" s="53" t="n">
        <f aca="false">IF(U695&lt;0,IF(S695=1,5,0),IF(U695&lt;=30,1,IF(U695&lt;=60,2,IF(U695&lt;=90,3,4))))</f>
        <v>0</v>
      </c>
      <c r="W695" s="53" t="n">
        <f aca="false">IF(U695&lt;0,-1000000000000000,U695+ROW()/1000000)</f>
        <v>-1000000000000000</v>
      </c>
      <c r="X695" s="53" t="n">
        <f aca="false">IF(T695=1,IF(AND(ISNUMBER(F695),ISNUMBER(K695)),K695-F695,0),0)</f>
        <v>0</v>
      </c>
      <c r="Y695" s="53" t="n">
        <f aca="false">IF(T695=1,IF(AND(ISNUMBER(F695),ISNUMBER(K695)),1,0),0)</f>
        <v>0</v>
      </c>
      <c r="Z695" s="53" t="n">
        <f aca="false">IF(U695&gt;=Settings!$C$8,1,0)</f>
        <v>0</v>
      </c>
      <c r="AA695" s="53" t="n">
        <f aca="false">IF(S695=1,IF(J695="Listed / Publicado",0,1),0)</f>
        <v>0</v>
      </c>
      <c r="AB695" s="53" t="n">
        <f aca="false">IF(T695=1,IF(ISNUMBER(L695),L695-G695,0),0)</f>
        <v>0</v>
      </c>
      <c r="AC695" s="53" t="n">
        <f aca="false">IF(S695=1,IF(ISNUMBER(I695),I695-G695,0),0)</f>
        <v>0</v>
      </c>
    </row>
    <row r="696" customFormat="false" ht="15" hidden="false" customHeight="false" outlineLevel="0" collapsed="false">
      <c r="B696" s="54"/>
      <c r="C696" s="55"/>
      <c r="D696" s="55"/>
      <c r="E696" s="55"/>
      <c r="F696" s="56"/>
      <c r="G696" s="57"/>
      <c r="H696" s="55"/>
      <c r="I696" s="57"/>
      <c r="J696" s="54"/>
      <c r="K696" s="56"/>
      <c r="L696" s="57"/>
      <c r="M696" s="54"/>
      <c r="N696" s="58" t="str">
        <f aca="false">IF(S696=1,IF(U696&lt;0,"",U696),IF(Y696=1,X696,""))</f>
        <v/>
      </c>
      <c r="O696" s="59" t="str">
        <f aca="false">IF(S696=1,IF(ISNUMBER(I696),I696-G696,""),"")</f>
        <v/>
      </c>
      <c r="P696" s="59" t="str">
        <f aca="false">IF(T696=1,IF(ISNUMBER(L696),L696-G696,""),"")</f>
        <v/>
      </c>
      <c r="Q696" s="60" t="str">
        <f aca="false">IF(C696="","",IF(T696=1,"✔ SOLD / VENDIDO",IF(S696=0,"— CLOSED / CERRADO",IF(U696&lt;0,"⚠ ADD DATE / AGREGA FECHA",IF(U696&gt;=Settings!$C$8,"⚠ STALE – REPRICE / ESTANCADO",IF(U696&gt;=Settings!$C$7,"● WATCH / VIGILAR","✔ FRESH / RECIENTE"))))))</f>
        <v/>
      </c>
      <c r="S696" s="53" t="n">
        <f aca="false">IF(C696="",0,IF(OR(J696="",J696="In Stock / En Inventario",J696="Listed / Publicado"),1,0))</f>
        <v>0</v>
      </c>
      <c r="T696" s="53" t="n">
        <f aca="false">IF(C696="",0,IF(J696="Sold / Vendido",1,0))</f>
        <v>0</v>
      </c>
      <c r="U696" s="53" t="n">
        <f aca="true">IF(S696=1,IF(ISNUMBER(F696),TODAY()-F696,-1),-1)</f>
        <v>-1</v>
      </c>
      <c r="V696" s="53" t="n">
        <f aca="false">IF(U696&lt;0,IF(S696=1,5,0),IF(U696&lt;=30,1,IF(U696&lt;=60,2,IF(U696&lt;=90,3,4))))</f>
        <v>0</v>
      </c>
      <c r="W696" s="53" t="n">
        <f aca="false">IF(U696&lt;0,-1000000000000000,U696+ROW()/1000000)</f>
        <v>-1000000000000000</v>
      </c>
      <c r="X696" s="53" t="n">
        <f aca="false">IF(T696=1,IF(AND(ISNUMBER(F696),ISNUMBER(K696)),K696-F696,0),0)</f>
        <v>0</v>
      </c>
      <c r="Y696" s="53" t="n">
        <f aca="false">IF(T696=1,IF(AND(ISNUMBER(F696),ISNUMBER(K696)),1,0),0)</f>
        <v>0</v>
      </c>
      <c r="Z696" s="53" t="n">
        <f aca="false">IF(U696&gt;=Settings!$C$8,1,0)</f>
        <v>0</v>
      </c>
      <c r="AA696" s="53" t="n">
        <f aca="false">IF(S696=1,IF(J696="Listed / Publicado",0,1),0)</f>
        <v>0</v>
      </c>
      <c r="AB696" s="53" t="n">
        <f aca="false">IF(T696=1,IF(ISNUMBER(L696),L696-G696,0),0)</f>
        <v>0</v>
      </c>
      <c r="AC696" s="53" t="n">
        <f aca="false">IF(S696=1,IF(ISNUMBER(I696),I696-G696,0),0)</f>
        <v>0</v>
      </c>
    </row>
    <row r="697" customFormat="false" ht="15" hidden="false" customHeight="false" outlineLevel="0" collapsed="false">
      <c r="B697" s="54"/>
      <c r="C697" s="55"/>
      <c r="D697" s="55"/>
      <c r="E697" s="55"/>
      <c r="F697" s="56"/>
      <c r="G697" s="57"/>
      <c r="H697" s="55"/>
      <c r="I697" s="57"/>
      <c r="J697" s="54"/>
      <c r="K697" s="56"/>
      <c r="L697" s="57"/>
      <c r="M697" s="54"/>
      <c r="N697" s="58" t="str">
        <f aca="false">IF(S697=1,IF(U697&lt;0,"",U697),IF(Y697=1,X697,""))</f>
        <v/>
      </c>
      <c r="O697" s="59" t="str">
        <f aca="false">IF(S697=1,IF(ISNUMBER(I697),I697-G697,""),"")</f>
        <v/>
      </c>
      <c r="P697" s="59" t="str">
        <f aca="false">IF(T697=1,IF(ISNUMBER(L697),L697-G697,""),"")</f>
        <v/>
      </c>
      <c r="Q697" s="60" t="str">
        <f aca="false">IF(C697="","",IF(T697=1,"✔ SOLD / VENDIDO",IF(S697=0,"— CLOSED / CERRADO",IF(U697&lt;0,"⚠ ADD DATE / AGREGA FECHA",IF(U697&gt;=Settings!$C$8,"⚠ STALE – REPRICE / ESTANCADO",IF(U697&gt;=Settings!$C$7,"● WATCH / VIGILAR","✔ FRESH / RECIENTE"))))))</f>
        <v/>
      </c>
      <c r="S697" s="53" t="n">
        <f aca="false">IF(C697="",0,IF(OR(J697="",J697="In Stock / En Inventario",J697="Listed / Publicado"),1,0))</f>
        <v>0</v>
      </c>
      <c r="T697" s="53" t="n">
        <f aca="false">IF(C697="",0,IF(J697="Sold / Vendido",1,0))</f>
        <v>0</v>
      </c>
      <c r="U697" s="53" t="n">
        <f aca="true">IF(S697=1,IF(ISNUMBER(F697),TODAY()-F697,-1),-1)</f>
        <v>-1</v>
      </c>
      <c r="V697" s="53" t="n">
        <f aca="false">IF(U697&lt;0,IF(S697=1,5,0),IF(U697&lt;=30,1,IF(U697&lt;=60,2,IF(U697&lt;=90,3,4))))</f>
        <v>0</v>
      </c>
      <c r="W697" s="53" t="n">
        <f aca="false">IF(U697&lt;0,-1000000000000000,U697+ROW()/1000000)</f>
        <v>-1000000000000000</v>
      </c>
      <c r="X697" s="53" t="n">
        <f aca="false">IF(T697=1,IF(AND(ISNUMBER(F697),ISNUMBER(K697)),K697-F697,0),0)</f>
        <v>0</v>
      </c>
      <c r="Y697" s="53" t="n">
        <f aca="false">IF(T697=1,IF(AND(ISNUMBER(F697),ISNUMBER(K697)),1,0),0)</f>
        <v>0</v>
      </c>
      <c r="Z697" s="53" t="n">
        <f aca="false">IF(U697&gt;=Settings!$C$8,1,0)</f>
        <v>0</v>
      </c>
      <c r="AA697" s="53" t="n">
        <f aca="false">IF(S697=1,IF(J697="Listed / Publicado",0,1),0)</f>
        <v>0</v>
      </c>
      <c r="AB697" s="53" t="n">
        <f aca="false">IF(T697=1,IF(ISNUMBER(L697),L697-G697,0),0)</f>
        <v>0</v>
      </c>
      <c r="AC697" s="53" t="n">
        <f aca="false">IF(S697=1,IF(ISNUMBER(I697),I697-G697,0),0)</f>
        <v>0</v>
      </c>
    </row>
    <row r="698" customFormat="false" ht="15" hidden="false" customHeight="false" outlineLevel="0" collapsed="false">
      <c r="B698" s="54"/>
      <c r="C698" s="55"/>
      <c r="D698" s="55"/>
      <c r="E698" s="55"/>
      <c r="F698" s="56"/>
      <c r="G698" s="57"/>
      <c r="H698" s="55"/>
      <c r="I698" s="57"/>
      <c r="J698" s="54"/>
      <c r="K698" s="56"/>
      <c r="L698" s="57"/>
      <c r="M698" s="54"/>
      <c r="N698" s="58" t="str">
        <f aca="false">IF(S698=1,IF(U698&lt;0,"",U698),IF(Y698=1,X698,""))</f>
        <v/>
      </c>
      <c r="O698" s="59" t="str">
        <f aca="false">IF(S698=1,IF(ISNUMBER(I698),I698-G698,""),"")</f>
        <v/>
      </c>
      <c r="P698" s="59" t="str">
        <f aca="false">IF(T698=1,IF(ISNUMBER(L698),L698-G698,""),"")</f>
        <v/>
      </c>
      <c r="Q698" s="60" t="str">
        <f aca="false">IF(C698="","",IF(T698=1,"✔ SOLD / VENDIDO",IF(S698=0,"— CLOSED / CERRADO",IF(U698&lt;0,"⚠ ADD DATE / AGREGA FECHA",IF(U698&gt;=Settings!$C$8,"⚠ STALE – REPRICE / ESTANCADO",IF(U698&gt;=Settings!$C$7,"● WATCH / VIGILAR","✔ FRESH / RECIENTE"))))))</f>
        <v/>
      </c>
      <c r="S698" s="53" t="n">
        <f aca="false">IF(C698="",0,IF(OR(J698="",J698="In Stock / En Inventario",J698="Listed / Publicado"),1,0))</f>
        <v>0</v>
      </c>
      <c r="T698" s="53" t="n">
        <f aca="false">IF(C698="",0,IF(J698="Sold / Vendido",1,0))</f>
        <v>0</v>
      </c>
      <c r="U698" s="53" t="n">
        <f aca="true">IF(S698=1,IF(ISNUMBER(F698),TODAY()-F698,-1),-1)</f>
        <v>-1</v>
      </c>
      <c r="V698" s="53" t="n">
        <f aca="false">IF(U698&lt;0,IF(S698=1,5,0),IF(U698&lt;=30,1,IF(U698&lt;=60,2,IF(U698&lt;=90,3,4))))</f>
        <v>0</v>
      </c>
      <c r="W698" s="53" t="n">
        <f aca="false">IF(U698&lt;0,-1000000000000000,U698+ROW()/1000000)</f>
        <v>-1000000000000000</v>
      </c>
      <c r="X698" s="53" t="n">
        <f aca="false">IF(T698=1,IF(AND(ISNUMBER(F698),ISNUMBER(K698)),K698-F698,0),0)</f>
        <v>0</v>
      </c>
      <c r="Y698" s="53" t="n">
        <f aca="false">IF(T698=1,IF(AND(ISNUMBER(F698),ISNUMBER(K698)),1,0),0)</f>
        <v>0</v>
      </c>
      <c r="Z698" s="53" t="n">
        <f aca="false">IF(U698&gt;=Settings!$C$8,1,0)</f>
        <v>0</v>
      </c>
      <c r="AA698" s="53" t="n">
        <f aca="false">IF(S698=1,IF(J698="Listed / Publicado",0,1),0)</f>
        <v>0</v>
      </c>
      <c r="AB698" s="53" t="n">
        <f aca="false">IF(T698=1,IF(ISNUMBER(L698),L698-G698,0),0)</f>
        <v>0</v>
      </c>
      <c r="AC698" s="53" t="n">
        <f aca="false">IF(S698=1,IF(ISNUMBER(I698),I698-G698,0),0)</f>
        <v>0</v>
      </c>
    </row>
    <row r="699" customFormat="false" ht="15" hidden="false" customHeight="false" outlineLevel="0" collapsed="false">
      <c r="B699" s="54"/>
      <c r="C699" s="55"/>
      <c r="D699" s="55"/>
      <c r="E699" s="55"/>
      <c r="F699" s="56"/>
      <c r="G699" s="57"/>
      <c r="H699" s="55"/>
      <c r="I699" s="57"/>
      <c r="J699" s="54"/>
      <c r="K699" s="56"/>
      <c r="L699" s="57"/>
      <c r="M699" s="54"/>
      <c r="N699" s="58" t="str">
        <f aca="false">IF(S699=1,IF(U699&lt;0,"",U699),IF(Y699=1,X699,""))</f>
        <v/>
      </c>
      <c r="O699" s="59" t="str">
        <f aca="false">IF(S699=1,IF(ISNUMBER(I699),I699-G699,""),"")</f>
        <v/>
      </c>
      <c r="P699" s="59" t="str">
        <f aca="false">IF(T699=1,IF(ISNUMBER(L699),L699-G699,""),"")</f>
        <v/>
      </c>
      <c r="Q699" s="60" t="str">
        <f aca="false">IF(C699="","",IF(T699=1,"✔ SOLD / VENDIDO",IF(S699=0,"— CLOSED / CERRADO",IF(U699&lt;0,"⚠ ADD DATE / AGREGA FECHA",IF(U699&gt;=Settings!$C$8,"⚠ STALE – REPRICE / ESTANCADO",IF(U699&gt;=Settings!$C$7,"● WATCH / VIGILAR","✔ FRESH / RECIENTE"))))))</f>
        <v/>
      </c>
      <c r="S699" s="53" t="n">
        <f aca="false">IF(C699="",0,IF(OR(J699="",J699="In Stock / En Inventario",J699="Listed / Publicado"),1,0))</f>
        <v>0</v>
      </c>
      <c r="T699" s="53" t="n">
        <f aca="false">IF(C699="",0,IF(J699="Sold / Vendido",1,0))</f>
        <v>0</v>
      </c>
      <c r="U699" s="53" t="n">
        <f aca="true">IF(S699=1,IF(ISNUMBER(F699),TODAY()-F699,-1),-1)</f>
        <v>-1</v>
      </c>
      <c r="V699" s="53" t="n">
        <f aca="false">IF(U699&lt;0,IF(S699=1,5,0),IF(U699&lt;=30,1,IF(U699&lt;=60,2,IF(U699&lt;=90,3,4))))</f>
        <v>0</v>
      </c>
      <c r="W699" s="53" t="n">
        <f aca="false">IF(U699&lt;0,-1000000000000000,U699+ROW()/1000000)</f>
        <v>-1000000000000000</v>
      </c>
      <c r="X699" s="53" t="n">
        <f aca="false">IF(T699=1,IF(AND(ISNUMBER(F699),ISNUMBER(K699)),K699-F699,0),0)</f>
        <v>0</v>
      </c>
      <c r="Y699" s="53" t="n">
        <f aca="false">IF(T699=1,IF(AND(ISNUMBER(F699),ISNUMBER(K699)),1,0),0)</f>
        <v>0</v>
      </c>
      <c r="Z699" s="53" t="n">
        <f aca="false">IF(U699&gt;=Settings!$C$8,1,0)</f>
        <v>0</v>
      </c>
      <c r="AA699" s="53" t="n">
        <f aca="false">IF(S699=1,IF(J699="Listed / Publicado",0,1),0)</f>
        <v>0</v>
      </c>
      <c r="AB699" s="53" t="n">
        <f aca="false">IF(T699=1,IF(ISNUMBER(L699),L699-G699,0),0)</f>
        <v>0</v>
      </c>
      <c r="AC699" s="53" t="n">
        <f aca="false">IF(S699=1,IF(ISNUMBER(I699),I699-G699,0),0)</f>
        <v>0</v>
      </c>
    </row>
    <row r="700" customFormat="false" ht="15" hidden="false" customHeight="false" outlineLevel="0" collapsed="false">
      <c r="B700" s="54"/>
      <c r="C700" s="55"/>
      <c r="D700" s="55"/>
      <c r="E700" s="55"/>
      <c r="F700" s="56"/>
      <c r="G700" s="57"/>
      <c r="H700" s="55"/>
      <c r="I700" s="57"/>
      <c r="J700" s="54"/>
      <c r="K700" s="56"/>
      <c r="L700" s="57"/>
      <c r="M700" s="54"/>
      <c r="N700" s="58" t="str">
        <f aca="false">IF(S700=1,IF(U700&lt;0,"",U700),IF(Y700=1,X700,""))</f>
        <v/>
      </c>
      <c r="O700" s="59" t="str">
        <f aca="false">IF(S700=1,IF(ISNUMBER(I700),I700-G700,""),"")</f>
        <v/>
      </c>
      <c r="P700" s="59" t="str">
        <f aca="false">IF(T700=1,IF(ISNUMBER(L700),L700-G700,""),"")</f>
        <v/>
      </c>
      <c r="Q700" s="60" t="str">
        <f aca="false">IF(C700="","",IF(T700=1,"✔ SOLD / VENDIDO",IF(S700=0,"— CLOSED / CERRADO",IF(U700&lt;0,"⚠ ADD DATE / AGREGA FECHA",IF(U700&gt;=Settings!$C$8,"⚠ STALE – REPRICE / ESTANCADO",IF(U700&gt;=Settings!$C$7,"● WATCH / VIGILAR","✔ FRESH / RECIENTE"))))))</f>
        <v/>
      </c>
      <c r="S700" s="53" t="n">
        <f aca="false">IF(C700="",0,IF(OR(J700="",J700="In Stock / En Inventario",J700="Listed / Publicado"),1,0))</f>
        <v>0</v>
      </c>
      <c r="T700" s="53" t="n">
        <f aca="false">IF(C700="",0,IF(J700="Sold / Vendido",1,0))</f>
        <v>0</v>
      </c>
      <c r="U700" s="53" t="n">
        <f aca="true">IF(S700=1,IF(ISNUMBER(F700),TODAY()-F700,-1),-1)</f>
        <v>-1</v>
      </c>
      <c r="V700" s="53" t="n">
        <f aca="false">IF(U700&lt;0,IF(S700=1,5,0),IF(U700&lt;=30,1,IF(U700&lt;=60,2,IF(U700&lt;=90,3,4))))</f>
        <v>0</v>
      </c>
      <c r="W700" s="53" t="n">
        <f aca="false">IF(U700&lt;0,-1000000000000000,U700+ROW()/1000000)</f>
        <v>-1000000000000000</v>
      </c>
      <c r="X700" s="53" t="n">
        <f aca="false">IF(T700=1,IF(AND(ISNUMBER(F700),ISNUMBER(K700)),K700-F700,0),0)</f>
        <v>0</v>
      </c>
      <c r="Y700" s="53" t="n">
        <f aca="false">IF(T700=1,IF(AND(ISNUMBER(F700),ISNUMBER(K700)),1,0),0)</f>
        <v>0</v>
      </c>
      <c r="Z700" s="53" t="n">
        <f aca="false">IF(U700&gt;=Settings!$C$8,1,0)</f>
        <v>0</v>
      </c>
      <c r="AA700" s="53" t="n">
        <f aca="false">IF(S700=1,IF(J700="Listed / Publicado",0,1),0)</f>
        <v>0</v>
      </c>
      <c r="AB700" s="53" t="n">
        <f aca="false">IF(T700=1,IF(ISNUMBER(L700),L700-G700,0),0)</f>
        <v>0</v>
      </c>
      <c r="AC700" s="53" t="n">
        <f aca="false">IF(S700=1,IF(ISNUMBER(I700),I700-G700,0),0)</f>
        <v>0</v>
      </c>
    </row>
    <row r="701" customFormat="false" ht="15" hidden="false" customHeight="false" outlineLevel="0" collapsed="false">
      <c r="B701" s="54"/>
      <c r="C701" s="55"/>
      <c r="D701" s="55"/>
      <c r="E701" s="55"/>
      <c r="F701" s="56"/>
      <c r="G701" s="57"/>
      <c r="H701" s="55"/>
      <c r="I701" s="57"/>
      <c r="J701" s="54"/>
      <c r="K701" s="56"/>
      <c r="L701" s="57"/>
      <c r="M701" s="54"/>
      <c r="N701" s="58" t="str">
        <f aca="false">IF(S701=1,IF(U701&lt;0,"",U701),IF(Y701=1,X701,""))</f>
        <v/>
      </c>
      <c r="O701" s="59" t="str">
        <f aca="false">IF(S701=1,IF(ISNUMBER(I701),I701-G701,""),"")</f>
        <v/>
      </c>
      <c r="P701" s="59" t="str">
        <f aca="false">IF(T701=1,IF(ISNUMBER(L701),L701-G701,""),"")</f>
        <v/>
      </c>
      <c r="Q701" s="60" t="str">
        <f aca="false">IF(C701="","",IF(T701=1,"✔ SOLD / VENDIDO",IF(S701=0,"— CLOSED / CERRADO",IF(U701&lt;0,"⚠ ADD DATE / AGREGA FECHA",IF(U701&gt;=Settings!$C$8,"⚠ STALE – REPRICE / ESTANCADO",IF(U701&gt;=Settings!$C$7,"● WATCH / VIGILAR","✔ FRESH / RECIENTE"))))))</f>
        <v/>
      </c>
      <c r="S701" s="53" t="n">
        <f aca="false">IF(C701="",0,IF(OR(J701="",J701="In Stock / En Inventario",J701="Listed / Publicado"),1,0))</f>
        <v>0</v>
      </c>
      <c r="T701" s="53" t="n">
        <f aca="false">IF(C701="",0,IF(J701="Sold / Vendido",1,0))</f>
        <v>0</v>
      </c>
      <c r="U701" s="53" t="n">
        <f aca="true">IF(S701=1,IF(ISNUMBER(F701),TODAY()-F701,-1),-1)</f>
        <v>-1</v>
      </c>
      <c r="V701" s="53" t="n">
        <f aca="false">IF(U701&lt;0,IF(S701=1,5,0),IF(U701&lt;=30,1,IF(U701&lt;=60,2,IF(U701&lt;=90,3,4))))</f>
        <v>0</v>
      </c>
      <c r="W701" s="53" t="n">
        <f aca="false">IF(U701&lt;0,-1000000000000000,U701+ROW()/1000000)</f>
        <v>-1000000000000000</v>
      </c>
      <c r="X701" s="53" t="n">
        <f aca="false">IF(T701=1,IF(AND(ISNUMBER(F701),ISNUMBER(K701)),K701-F701,0),0)</f>
        <v>0</v>
      </c>
      <c r="Y701" s="53" t="n">
        <f aca="false">IF(T701=1,IF(AND(ISNUMBER(F701),ISNUMBER(K701)),1,0),0)</f>
        <v>0</v>
      </c>
      <c r="Z701" s="53" t="n">
        <f aca="false">IF(U701&gt;=Settings!$C$8,1,0)</f>
        <v>0</v>
      </c>
      <c r="AA701" s="53" t="n">
        <f aca="false">IF(S701=1,IF(J701="Listed / Publicado",0,1),0)</f>
        <v>0</v>
      </c>
      <c r="AB701" s="53" t="n">
        <f aca="false">IF(T701=1,IF(ISNUMBER(L701),L701-G701,0),0)</f>
        <v>0</v>
      </c>
      <c r="AC701" s="53" t="n">
        <f aca="false">IF(S701=1,IF(ISNUMBER(I701),I701-G701,0),0)</f>
        <v>0</v>
      </c>
    </row>
    <row r="702" customFormat="false" ht="15" hidden="false" customHeight="false" outlineLevel="0" collapsed="false">
      <c r="B702" s="54"/>
      <c r="C702" s="55"/>
      <c r="D702" s="55"/>
      <c r="E702" s="55"/>
      <c r="F702" s="56"/>
      <c r="G702" s="57"/>
      <c r="H702" s="55"/>
      <c r="I702" s="57"/>
      <c r="J702" s="54"/>
      <c r="K702" s="56"/>
      <c r="L702" s="57"/>
      <c r="M702" s="54"/>
      <c r="N702" s="58" t="str">
        <f aca="false">IF(S702=1,IF(U702&lt;0,"",U702),IF(Y702=1,X702,""))</f>
        <v/>
      </c>
      <c r="O702" s="59" t="str">
        <f aca="false">IF(S702=1,IF(ISNUMBER(I702),I702-G702,""),"")</f>
        <v/>
      </c>
      <c r="P702" s="59" t="str">
        <f aca="false">IF(T702=1,IF(ISNUMBER(L702),L702-G702,""),"")</f>
        <v/>
      </c>
      <c r="Q702" s="60" t="str">
        <f aca="false">IF(C702="","",IF(T702=1,"✔ SOLD / VENDIDO",IF(S702=0,"— CLOSED / CERRADO",IF(U702&lt;0,"⚠ ADD DATE / AGREGA FECHA",IF(U702&gt;=Settings!$C$8,"⚠ STALE – REPRICE / ESTANCADO",IF(U702&gt;=Settings!$C$7,"● WATCH / VIGILAR","✔ FRESH / RECIENTE"))))))</f>
        <v/>
      </c>
      <c r="S702" s="53" t="n">
        <f aca="false">IF(C702="",0,IF(OR(J702="",J702="In Stock / En Inventario",J702="Listed / Publicado"),1,0))</f>
        <v>0</v>
      </c>
      <c r="T702" s="53" t="n">
        <f aca="false">IF(C702="",0,IF(J702="Sold / Vendido",1,0))</f>
        <v>0</v>
      </c>
      <c r="U702" s="53" t="n">
        <f aca="true">IF(S702=1,IF(ISNUMBER(F702),TODAY()-F702,-1),-1)</f>
        <v>-1</v>
      </c>
      <c r="V702" s="53" t="n">
        <f aca="false">IF(U702&lt;0,IF(S702=1,5,0),IF(U702&lt;=30,1,IF(U702&lt;=60,2,IF(U702&lt;=90,3,4))))</f>
        <v>0</v>
      </c>
      <c r="W702" s="53" t="n">
        <f aca="false">IF(U702&lt;0,-1000000000000000,U702+ROW()/1000000)</f>
        <v>-1000000000000000</v>
      </c>
      <c r="X702" s="53" t="n">
        <f aca="false">IF(T702=1,IF(AND(ISNUMBER(F702),ISNUMBER(K702)),K702-F702,0),0)</f>
        <v>0</v>
      </c>
      <c r="Y702" s="53" t="n">
        <f aca="false">IF(T702=1,IF(AND(ISNUMBER(F702),ISNUMBER(K702)),1,0),0)</f>
        <v>0</v>
      </c>
      <c r="Z702" s="53" t="n">
        <f aca="false">IF(U702&gt;=Settings!$C$8,1,0)</f>
        <v>0</v>
      </c>
      <c r="AA702" s="53" t="n">
        <f aca="false">IF(S702=1,IF(J702="Listed / Publicado",0,1),0)</f>
        <v>0</v>
      </c>
      <c r="AB702" s="53" t="n">
        <f aca="false">IF(T702=1,IF(ISNUMBER(L702),L702-G702,0),0)</f>
        <v>0</v>
      </c>
      <c r="AC702" s="53" t="n">
        <f aca="false">IF(S702=1,IF(ISNUMBER(I702),I702-G702,0),0)</f>
        <v>0</v>
      </c>
    </row>
    <row r="703" customFormat="false" ht="15" hidden="false" customHeight="false" outlineLevel="0" collapsed="false">
      <c r="B703" s="54"/>
      <c r="C703" s="55"/>
      <c r="D703" s="55"/>
      <c r="E703" s="55"/>
      <c r="F703" s="56"/>
      <c r="G703" s="57"/>
      <c r="H703" s="55"/>
      <c r="I703" s="57"/>
      <c r="J703" s="54"/>
      <c r="K703" s="56"/>
      <c r="L703" s="57"/>
      <c r="M703" s="54"/>
      <c r="N703" s="58" t="str">
        <f aca="false">IF(S703=1,IF(U703&lt;0,"",U703),IF(Y703=1,X703,""))</f>
        <v/>
      </c>
      <c r="O703" s="59" t="str">
        <f aca="false">IF(S703=1,IF(ISNUMBER(I703),I703-G703,""),"")</f>
        <v/>
      </c>
      <c r="P703" s="59" t="str">
        <f aca="false">IF(T703=1,IF(ISNUMBER(L703),L703-G703,""),"")</f>
        <v/>
      </c>
      <c r="Q703" s="60" t="str">
        <f aca="false">IF(C703="","",IF(T703=1,"✔ SOLD / VENDIDO",IF(S703=0,"— CLOSED / CERRADO",IF(U703&lt;0,"⚠ ADD DATE / AGREGA FECHA",IF(U703&gt;=Settings!$C$8,"⚠ STALE – REPRICE / ESTANCADO",IF(U703&gt;=Settings!$C$7,"● WATCH / VIGILAR","✔ FRESH / RECIENTE"))))))</f>
        <v/>
      </c>
      <c r="S703" s="53" t="n">
        <f aca="false">IF(C703="",0,IF(OR(J703="",J703="In Stock / En Inventario",J703="Listed / Publicado"),1,0))</f>
        <v>0</v>
      </c>
      <c r="T703" s="53" t="n">
        <f aca="false">IF(C703="",0,IF(J703="Sold / Vendido",1,0))</f>
        <v>0</v>
      </c>
      <c r="U703" s="53" t="n">
        <f aca="true">IF(S703=1,IF(ISNUMBER(F703),TODAY()-F703,-1),-1)</f>
        <v>-1</v>
      </c>
      <c r="V703" s="53" t="n">
        <f aca="false">IF(U703&lt;0,IF(S703=1,5,0),IF(U703&lt;=30,1,IF(U703&lt;=60,2,IF(U703&lt;=90,3,4))))</f>
        <v>0</v>
      </c>
      <c r="W703" s="53" t="n">
        <f aca="false">IF(U703&lt;0,-1000000000000000,U703+ROW()/1000000)</f>
        <v>-1000000000000000</v>
      </c>
      <c r="X703" s="53" t="n">
        <f aca="false">IF(T703=1,IF(AND(ISNUMBER(F703),ISNUMBER(K703)),K703-F703,0),0)</f>
        <v>0</v>
      </c>
      <c r="Y703" s="53" t="n">
        <f aca="false">IF(T703=1,IF(AND(ISNUMBER(F703),ISNUMBER(K703)),1,0),0)</f>
        <v>0</v>
      </c>
      <c r="Z703" s="53" t="n">
        <f aca="false">IF(U703&gt;=Settings!$C$8,1,0)</f>
        <v>0</v>
      </c>
      <c r="AA703" s="53" t="n">
        <f aca="false">IF(S703=1,IF(J703="Listed / Publicado",0,1),0)</f>
        <v>0</v>
      </c>
      <c r="AB703" s="53" t="n">
        <f aca="false">IF(T703=1,IF(ISNUMBER(L703),L703-G703,0),0)</f>
        <v>0</v>
      </c>
      <c r="AC703" s="53" t="n">
        <f aca="false">IF(S703=1,IF(ISNUMBER(I703),I703-G703,0),0)</f>
        <v>0</v>
      </c>
    </row>
    <row r="704" customFormat="false" ht="15" hidden="false" customHeight="false" outlineLevel="0" collapsed="false">
      <c r="B704" s="54"/>
      <c r="C704" s="55"/>
      <c r="D704" s="55"/>
      <c r="E704" s="55"/>
      <c r="F704" s="56"/>
      <c r="G704" s="57"/>
      <c r="H704" s="55"/>
      <c r="I704" s="57"/>
      <c r="J704" s="54"/>
      <c r="K704" s="56"/>
      <c r="L704" s="57"/>
      <c r="M704" s="54"/>
      <c r="N704" s="58" t="str">
        <f aca="false">IF(S704=1,IF(U704&lt;0,"",U704),IF(Y704=1,X704,""))</f>
        <v/>
      </c>
      <c r="O704" s="59" t="str">
        <f aca="false">IF(S704=1,IF(ISNUMBER(I704),I704-G704,""),"")</f>
        <v/>
      </c>
      <c r="P704" s="59" t="str">
        <f aca="false">IF(T704=1,IF(ISNUMBER(L704),L704-G704,""),"")</f>
        <v/>
      </c>
      <c r="Q704" s="60" t="str">
        <f aca="false">IF(C704="","",IF(T704=1,"✔ SOLD / VENDIDO",IF(S704=0,"— CLOSED / CERRADO",IF(U704&lt;0,"⚠ ADD DATE / AGREGA FECHA",IF(U704&gt;=Settings!$C$8,"⚠ STALE – REPRICE / ESTANCADO",IF(U704&gt;=Settings!$C$7,"● WATCH / VIGILAR","✔ FRESH / RECIENTE"))))))</f>
        <v/>
      </c>
      <c r="S704" s="53" t="n">
        <f aca="false">IF(C704="",0,IF(OR(J704="",J704="In Stock / En Inventario",J704="Listed / Publicado"),1,0))</f>
        <v>0</v>
      </c>
      <c r="T704" s="53" t="n">
        <f aca="false">IF(C704="",0,IF(J704="Sold / Vendido",1,0))</f>
        <v>0</v>
      </c>
      <c r="U704" s="53" t="n">
        <f aca="true">IF(S704=1,IF(ISNUMBER(F704),TODAY()-F704,-1),-1)</f>
        <v>-1</v>
      </c>
      <c r="V704" s="53" t="n">
        <f aca="false">IF(U704&lt;0,IF(S704=1,5,0),IF(U704&lt;=30,1,IF(U704&lt;=60,2,IF(U704&lt;=90,3,4))))</f>
        <v>0</v>
      </c>
      <c r="W704" s="53" t="n">
        <f aca="false">IF(U704&lt;0,-1000000000000000,U704+ROW()/1000000)</f>
        <v>-1000000000000000</v>
      </c>
      <c r="X704" s="53" t="n">
        <f aca="false">IF(T704=1,IF(AND(ISNUMBER(F704),ISNUMBER(K704)),K704-F704,0),0)</f>
        <v>0</v>
      </c>
      <c r="Y704" s="53" t="n">
        <f aca="false">IF(T704=1,IF(AND(ISNUMBER(F704),ISNUMBER(K704)),1,0),0)</f>
        <v>0</v>
      </c>
      <c r="Z704" s="53" t="n">
        <f aca="false">IF(U704&gt;=Settings!$C$8,1,0)</f>
        <v>0</v>
      </c>
      <c r="AA704" s="53" t="n">
        <f aca="false">IF(S704=1,IF(J704="Listed / Publicado",0,1),0)</f>
        <v>0</v>
      </c>
      <c r="AB704" s="53" t="n">
        <f aca="false">IF(T704=1,IF(ISNUMBER(L704),L704-G704,0),0)</f>
        <v>0</v>
      </c>
      <c r="AC704" s="53" t="n">
        <f aca="false">IF(S704=1,IF(ISNUMBER(I704),I704-G704,0),0)</f>
        <v>0</v>
      </c>
    </row>
    <row r="705" customFormat="false" ht="15" hidden="false" customHeight="false" outlineLevel="0" collapsed="false">
      <c r="B705" s="54"/>
      <c r="C705" s="55"/>
      <c r="D705" s="55"/>
      <c r="E705" s="55"/>
      <c r="F705" s="56"/>
      <c r="G705" s="57"/>
      <c r="H705" s="55"/>
      <c r="I705" s="57"/>
      <c r="J705" s="54"/>
      <c r="K705" s="56"/>
      <c r="L705" s="57"/>
      <c r="M705" s="54"/>
      <c r="N705" s="58" t="str">
        <f aca="false">IF(S705=1,IF(U705&lt;0,"",U705),IF(Y705=1,X705,""))</f>
        <v/>
      </c>
      <c r="O705" s="59" t="str">
        <f aca="false">IF(S705=1,IF(ISNUMBER(I705),I705-G705,""),"")</f>
        <v/>
      </c>
      <c r="P705" s="59" t="str">
        <f aca="false">IF(T705=1,IF(ISNUMBER(L705),L705-G705,""),"")</f>
        <v/>
      </c>
      <c r="Q705" s="60" t="str">
        <f aca="false">IF(C705="","",IF(T705=1,"✔ SOLD / VENDIDO",IF(S705=0,"— CLOSED / CERRADO",IF(U705&lt;0,"⚠ ADD DATE / AGREGA FECHA",IF(U705&gt;=Settings!$C$8,"⚠ STALE – REPRICE / ESTANCADO",IF(U705&gt;=Settings!$C$7,"● WATCH / VIGILAR","✔ FRESH / RECIENTE"))))))</f>
        <v/>
      </c>
      <c r="S705" s="53" t="n">
        <f aca="false">IF(C705="",0,IF(OR(J705="",J705="In Stock / En Inventario",J705="Listed / Publicado"),1,0))</f>
        <v>0</v>
      </c>
      <c r="T705" s="53" t="n">
        <f aca="false">IF(C705="",0,IF(J705="Sold / Vendido",1,0))</f>
        <v>0</v>
      </c>
      <c r="U705" s="53" t="n">
        <f aca="true">IF(S705=1,IF(ISNUMBER(F705),TODAY()-F705,-1),-1)</f>
        <v>-1</v>
      </c>
      <c r="V705" s="53" t="n">
        <f aca="false">IF(U705&lt;0,IF(S705=1,5,0),IF(U705&lt;=30,1,IF(U705&lt;=60,2,IF(U705&lt;=90,3,4))))</f>
        <v>0</v>
      </c>
      <c r="W705" s="53" t="n">
        <f aca="false">IF(U705&lt;0,-1000000000000000,U705+ROW()/1000000)</f>
        <v>-1000000000000000</v>
      </c>
      <c r="X705" s="53" t="n">
        <f aca="false">IF(T705=1,IF(AND(ISNUMBER(F705),ISNUMBER(K705)),K705-F705,0),0)</f>
        <v>0</v>
      </c>
      <c r="Y705" s="53" t="n">
        <f aca="false">IF(T705=1,IF(AND(ISNUMBER(F705),ISNUMBER(K705)),1,0),0)</f>
        <v>0</v>
      </c>
      <c r="Z705" s="53" t="n">
        <f aca="false">IF(U705&gt;=Settings!$C$8,1,0)</f>
        <v>0</v>
      </c>
      <c r="AA705" s="53" t="n">
        <f aca="false">IF(S705=1,IF(J705="Listed / Publicado",0,1),0)</f>
        <v>0</v>
      </c>
      <c r="AB705" s="53" t="n">
        <f aca="false">IF(T705=1,IF(ISNUMBER(L705),L705-G705,0),0)</f>
        <v>0</v>
      </c>
      <c r="AC705" s="53" t="n">
        <f aca="false">IF(S705=1,IF(ISNUMBER(I705),I705-G705,0),0)</f>
        <v>0</v>
      </c>
    </row>
    <row r="706" customFormat="false" ht="15" hidden="false" customHeight="false" outlineLevel="0" collapsed="false">
      <c r="B706" s="54"/>
      <c r="C706" s="55"/>
      <c r="D706" s="55"/>
      <c r="E706" s="55"/>
      <c r="F706" s="56"/>
      <c r="G706" s="57"/>
      <c r="H706" s="55"/>
      <c r="I706" s="57"/>
      <c r="J706" s="54"/>
      <c r="K706" s="56"/>
      <c r="L706" s="57"/>
      <c r="M706" s="54"/>
      <c r="N706" s="58" t="str">
        <f aca="false">IF(S706=1,IF(U706&lt;0,"",U706),IF(Y706=1,X706,""))</f>
        <v/>
      </c>
      <c r="O706" s="59" t="str">
        <f aca="false">IF(S706=1,IF(ISNUMBER(I706),I706-G706,""),"")</f>
        <v/>
      </c>
      <c r="P706" s="59" t="str">
        <f aca="false">IF(T706=1,IF(ISNUMBER(L706),L706-G706,""),"")</f>
        <v/>
      </c>
      <c r="Q706" s="60" t="str">
        <f aca="false">IF(C706="","",IF(T706=1,"✔ SOLD / VENDIDO",IF(S706=0,"— CLOSED / CERRADO",IF(U706&lt;0,"⚠ ADD DATE / AGREGA FECHA",IF(U706&gt;=Settings!$C$8,"⚠ STALE – REPRICE / ESTANCADO",IF(U706&gt;=Settings!$C$7,"● WATCH / VIGILAR","✔ FRESH / RECIENTE"))))))</f>
        <v/>
      </c>
      <c r="S706" s="53" t="n">
        <f aca="false">IF(C706="",0,IF(OR(J706="",J706="In Stock / En Inventario",J706="Listed / Publicado"),1,0))</f>
        <v>0</v>
      </c>
      <c r="T706" s="53" t="n">
        <f aca="false">IF(C706="",0,IF(J706="Sold / Vendido",1,0))</f>
        <v>0</v>
      </c>
      <c r="U706" s="53" t="n">
        <f aca="true">IF(S706=1,IF(ISNUMBER(F706),TODAY()-F706,-1),-1)</f>
        <v>-1</v>
      </c>
      <c r="V706" s="53" t="n">
        <f aca="false">IF(U706&lt;0,IF(S706=1,5,0),IF(U706&lt;=30,1,IF(U706&lt;=60,2,IF(U706&lt;=90,3,4))))</f>
        <v>0</v>
      </c>
      <c r="W706" s="53" t="n">
        <f aca="false">IF(U706&lt;0,-1000000000000000,U706+ROW()/1000000)</f>
        <v>-1000000000000000</v>
      </c>
      <c r="X706" s="53" t="n">
        <f aca="false">IF(T706=1,IF(AND(ISNUMBER(F706),ISNUMBER(K706)),K706-F706,0),0)</f>
        <v>0</v>
      </c>
      <c r="Y706" s="53" t="n">
        <f aca="false">IF(T706=1,IF(AND(ISNUMBER(F706),ISNUMBER(K706)),1,0),0)</f>
        <v>0</v>
      </c>
      <c r="Z706" s="53" t="n">
        <f aca="false">IF(U706&gt;=Settings!$C$8,1,0)</f>
        <v>0</v>
      </c>
      <c r="AA706" s="53" t="n">
        <f aca="false">IF(S706=1,IF(J706="Listed / Publicado",0,1),0)</f>
        <v>0</v>
      </c>
      <c r="AB706" s="53" t="n">
        <f aca="false">IF(T706=1,IF(ISNUMBER(L706),L706-G706,0),0)</f>
        <v>0</v>
      </c>
      <c r="AC706" s="53" t="n">
        <f aca="false">IF(S706=1,IF(ISNUMBER(I706),I706-G706,0),0)</f>
        <v>0</v>
      </c>
    </row>
    <row r="707" customFormat="false" ht="15" hidden="false" customHeight="false" outlineLevel="0" collapsed="false">
      <c r="B707" s="54"/>
      <c r="C707" s="55"/>
      <c r="D707" s="55"/>
      <c r="E707" s="55"/>
      <c r="F707" s="56"/>
      <c r="G707" s="57"/>
      <c r="H707" s="55"/>
      <c r="I707" s="57"/>
      <c r="J707" s="54"/>
      <c r="K707" s="56"/>
      <c r="L707" s="57"/>
      <c r="M707" s="54"/>
      <c r="N707" s="58" t="str">
        <f aca="false">IF(S707=1,IF(U707&lt;0,"",U707),IF(Y707=1,X707,""))</f>
        <v/>
      </c>
      <c r="O707" s="59" t="str">
        <f aca="false">IF(S707=1,IF(ISNUMBER(I707),I707-G707,""),"")</f>
        <v/>
      </c>
      <c r="P707" s="59" t="str">
        <f aca="false">IF(T707=1,IF(ISNUMBER(L707),L707-G707,""),"")</f>
        <v/>
      </c>
      <c r="Q707" s="60" t="str">
        <f aca="false">IF(C707="","",IF(T707=1,"✔ SOLD / VENDIDO",IF(S707=0,"— CLOSED / CERRADO",IF(U707&lt;0,"⚠ ADD DATE / AGREGA FECHA",IF(U707&gt;=Settings!$C$8,"⚠ STALE – REPRICE / ESTANCADO",IF(U707&gt;=Settings!$C$7,"● WATCH / VIGILAR","✔ FRESH / RECIENTE"))))))</f>
        <v/>
      </c>
      <c r="S707" s="53" t="n">
        <f aca="false">IF(C707="",0,IF(OR(J707="",J707="In Stock / En Inventario",J707="Listed / Publicado"),1,0))</f>
        <v>0</v>
      </c>
      <c r="T707" s="53" t="n">
        <f aca="false">IF(C707="",0,IF(J707="Sold / Vendido",1,0))</f>
        <v>0</v>
      </c>
      <c r="U707" s="53" t="n">
        <f aca="true">IF(S707=1,IF(ISNUMBER(F707),TODAY()-F707,-1),-1)</f>
        <v>-1</v>
      </c>
      <c r="V707" s="53" t="n">
        <f aca="false">IF(U707&lt;0,IF(S707=1,5,0),IF(U707&lt;=30,1,IF(U707&lt;=60,2,IF(U707&lt;=90,3,4))))</f>
        <v>0</v>
      </c>
      <c r="W707" s="53" t="n">
        <f aca="false">IF(U707&lt;0,-1000000000000000,U707+ROW()/1000000)</f>
        <v>-1000000000000000</v>
      </c>
      <c r="X707" s="53" t="n">
        <f aca="false">IF(T707=1,IF(AND(ISNUMBER(F707),ISNUMBER(K707)),K707-F707,0),0)</f>
        <v>0</v>
      </c>
      <c r="Y707" s="53" t="n">
        <f aca="false">IF(T707=1,IF(AND(ISNUMBER(F707),ISNUMBER(K707)),1,0),0)</f>
        <v>0</v>
      </c>
      <c r="Z707" s="53" t="n">
        <f aca="false">IF(U707&gt;=Settings!$C$8,1,0)</f>
        <v>0</v>
      </c>
      <c r="AA707" s="53" t="n">
        <f aca="false">IF(S707=1,IF(J707="Listed / Publicado",0,1),0)</f>
        <v>0</v>
      </c>
      <c r="AB707" s="53" t="n">
        <f aca="false">IF(T707=1,IF(ISNUMBER(L707),L707-G707,0),0)</f>
        <v>0</v>
      </c>
      <c r="AC707" s="53" t="n">
        <f aca="false">IF(S707=1,IF(ISNUMBER(I707),I707-G707,0),0)</f>
        <v>0</v>
      </c>
    </row>
    <row r="708" customFormat="false" ht="15" hidden="false" customHeight="false" outlineLevel="0" collapsed="false">
      <c r="B708" s="54"/>
      <c r="C708" s="55"/>
      <c r="D708" s="55"/>
      <c r="E708" s="55"/>
      <c r="F708" s="56"/>
      <c r="G708" s="57"/>
      <c r="H708" s="55"/>
      <c r="I708" s="57"/>
      <c r="J708" s="54"/>
      <c r="K708" s="56"/>
      <c r="L708" s="57"/>
      <c r="M708" s="54"/>
      <c r="N708" s="58" t="str">
        <f aca="false">IF(S708=1,IF(U708&lt;0,"",U708),IF(Y708=1,X708,""))</f>
        <v/>
      </c>
      <c r="O708" s="59" t="str">
        <f aca="false">IF(S708=1,IF(ISNUMBER(I708),I708-G708,""),"")</f>
        <v/>
      </c>
      <c r="P708" s="59" t="str">
        <f aca="false">IF(T708=1,IF(ISNUMBER(L708),L708-G708,""),"")</f>
        <v/>
      </c>
      <c r="Q708" s="60" t="str">
        <f aca="false">IF(C708="","",IF(T708=1,"✔ SOLD / VENDIDO",IF(S708=0,"— CLOSED / CERRADO",IF(U708&lt;0,"⚠ ADD DATE / AGREGA FECHA",IF(U708&gt;=Settings!$C$8,"⚠ STALE – REPRICE / ESTANCADO",IF(U708&gt;=Settings!$C$7,"● WATCH / VIGILAR","✔ FRESH / RECIENTE"))))))</f>
        <v/>
      </c>
      <c r="S708" s="53" t="n">
        <f aca="false">IF(C708="",0,IF(OR(J708="",J708="In Stock / En Inventario",J708="Listed / Publicado"),1,0))</f>
        <v>0</v>
      </c>
      <c r="T708" s="53" t="n">
        <f aca="false">IF(C708="",0,IF(J708="Sold / Vendido",1,0))</f>
        <v>0</v>
      </c>
      <c r="U708" s="53" t="n">
        <f aca="true">IF(S708=1,IF(ISNUMBER(F708),TODAY()-F708,-1),-1)</f>
        <v>-1</v>
      </c>
      <c r="V708" s="53" t="n">
        <f aca="false">IF(U708&lt;0,IF(S708=1,5,0),IF(U708&lt;=30,1,IF(U708&lt;=60,2,IF(U708&lt;=90,3,4))))</f>
        <v>0</v>
      </c>
      <c r="W708" s="53" t="n">
        <f aca="false">IF(U708&lt;0,-1000000000000000,U708+ROW()/1000000)</f>
        <v>-1000000000000000</v>
      </c>
      <c r="X708" s="53" t="n">
        <f aca="false">IF(T708=1,IF(AND(ISNUMBER(F708),ISNUMBER(K708)),K708-F708,0),0)</f>
        <v>0</v>
      </c>
      <c r="Y708" s="53" t="n">
        <f aca="false">IF(T708=1,IF(AND(ISNUMBER(F708),ISNUMBER(K708)),1,0),0)</f>
        <v>0</v>
      </c>
      <c r="Z708" s="53" t="n">
        <f aca="false">IF(U708&gt;=Settings!$C$8,1,0)</f>
        <v>0</v>
      </c>
      <c r="AA708" s="53" t="n">
        <f aca="false">IF(S708=1,IF(J708="Listed / Publicado",0,1),0)</f>
        <v>0</v>
      </c>
      <c r="AB708" s="53" t="n">
        <f aca="false">IF(T708=1,IF(ISNUMBER(L708),L708-G708,0),0)</f>
        <v>0</v>
      </c>
      <c r="AC708" s="53" t="n">
        <f aca="false">IF(S708=1,IF(ISNUMBER(I708),I708-G708,0),0)</f>
        <v>0</v>
      </c>
    </row>
    <row r="709" customFormat="false" ht="15" hidden="false" customHeight="false" outlineLevel="0" collapsed="false">
      <c r="B709" s="54"/>
      <c r="C709" s="55"/>
      <c r="D709" s="55"/>
      <c r="E709" s="55"/>
      <c r="F709" s="56"/>
      <c r="G709" s="57"/>
      <c r="H709" s="55"/>
      <c r="I709" s="57"/>
      <c r="J709" s="54"/>
      <c r="K709" s="56"/>
      <c r="L709" s="57"/>
      <c r="M709" s="54"/>
      <c r="N709" s="58" t="str">
        <f aca="false">IF(S709=1,IF(U709&lt;0,"",U709),IF(Y709=1,X709,""))</f>
        <v/>
      </c>
      <c r="O709" s="59" t="str">
        <f aca="false">IF(S709=1,IF(ISNUMBER(I709),I709-G709,""),"")</f>
        <v/>
      </c>
      <c r="P709" s="59" t="str">
        <f aca="false">IF(T709=1,IF(ISNUMBER(L709),L709-G709,""),"")</f>
        <v/>
      </c>
      <c r="Q709" s="60" t="str">
        <f aca="false">IF(C709="","",IF(T709=1,"✔ SOLD / VENDIDO",IF(S709=0,"— CLOSED / CERRADO",IF(U709&lt;0,"⚠ ADD DATE / AGREGA FECHA",IF(U709&gt;=Settings!$C$8,"⚠ STALE – REPRICE / ESTANCADO",IF(U709&gt;=Settings!$C$7,"● WATCH / VIGILAR","✔ FRESH / RECIENTE"))))))</f>
        <v/>
      </c>
      <c r="S709" s="53" t="n">
        <f aca="false">IF(C709="",0,IF(OR(J709="",J709="In Stock / En Inventario",J709="Listed / Publicado"),1,0))</f>
        <v>0</v>
      </c>
      <c r="T709" s="53" t="n">
        <f aca="false">IF(C709="",0,IF(J709="Sold / Vendido",1,0))</f>
        <v>0</v>
      </c>
      <c r="U709" s="53" t="n">
        <f aca="true">IF(S709=1,IF(ISNUMBER(F709),TODAY()-F709,-1),-1)</f>
        <v>-1</v>
      </c>
      <c r="V709" s="53" t="n">
        <f aca="false">IF(U709&lt;0,IF(S709=1,5,0),IF(U709&lt;=30,1,IF(U709&lt;=60,2,IF(U709&lt;=90,3,4))))</f>
        <v>0</v>
      </c>
      <c r="W709" s="53" t="n">
        <f aca="false">IF(U709&lt;0,-1000000000000000,U709+ROW()/1000000)</f>
        <v>-1000000000000000</v>
      </c>
      <c r="X709" s="53" t="n">
        <f aca="false">IF(T709=1,IF(AND(ISNUMBER(F709),ISNUMBER(K709)),K709-F709,0),0)</f>
        <v>0</v>
      </c>
      <c r="Y709" s="53" t="n">
        <f aca="false">IF(T709=1,IF(AND(ISNUMBER(F709),ISNUMBER(K709)),1,0),0)</f>
        <v>0</v>
      </c>
      <c r="Z709" s="53" t="n">
        <f aca="false">IF(U709&gt;=Settings!$C$8,1,0)</f>
        <v>0</v>
      </c>
      <c r="AA709" s="53" t="n">
        <f aca="false">IF(S709=1,IF(J709="Listed / Publicado",0,1),0)</f>
        <v>0</v>
      </c>
      <c r="AB709" s="53" t="n">
        <f aca="false">IF(T709=1,IF(ISNUMBER(L709),L709-G709,0),0)</f>
        <v>0</v>
      </c>
      <c r="AC709" s="53" t="n">
        <f aca="false">IF(S709=1,IF(ISNUMBER(I709),I709-G709,0),0)</f>
        <v>0</v>
      </c>
    </row>
    <row r="710" customFormat="false" ht="15" hidden="false" customHeight="false" outlineLevel="0" collapsed="false">
      <c r="B710" s="54"/>
      <c r="C710" s="55"/>
      <c r="D710" s="55"/>
      <c r="E710" s="55"/>
      <c r="F710" s="56"/>
      <c r="G710" s="57"/>
      <c r="H710" s="55"/>
      <c r="I710" s="57"/>
      <c r="J710" s="54"/>
      <c r="K710" s="56"/>
      <c r="L710" s="57"/>
      <c r="M710" s="54"/>
      <c r="N710" s="58" t="str">
        <f aca="false">IF(S710=1,IF(U710&lt;0,"",U710),IF(Y710=1,X710,""))</f>
        <v/>
      </c>
      <c r="O710" s="59" t="str">
        <f aca="false">IF(S710=1,IF(ISNUMBER(I710),I710-G710,""),"")</f>
        <v/>
      </c>
      <c r="P710" s="59" t="str">
        <f aca="false">IF(T710=1,IF(ISNUMBER(L710),L710-G710,""),"")</f>
        <v/>
      </c>
      <c r="Q710" s="60" t="str">
        <f aca="false">IF(C710="","",IF(T710=1,"✔ SOLD / VENDIDO",IF(S710=0,"— CLOSED / CERRADO",IF(U710&lt;0,"⚠ ADD DATE / AGREGA FECHA",IF(U710&gt;=Settings!$C$8,"⚠ STALE – REPRICE / ESTANCADO",IF(U710&gt;=Settings!$C$7,"● WATCH / VIGILAR","✔ FRESH / RECIENTE"))))))</f>
        <v/>
      </c>
      <c r="S710" s="53" t="n">
        <f aca="false">IF(C710="",0,IF(OR(J710="",J710="In Stock / En Inventario",J710="Listed / Publicado"),1,0))</f>
        <v>0</v>
      </c>
      <c r="T710" s="53" t="n">
        <f aca="false">IF(C710="",0,IF(J710="Sold / Vendido",1,0))</f>
        <v>0</v>
      </c>
      <c r="U710" s="53" t="n">
        <f aca="true">IF(S710=1,IF(ISNUMBER(F710),TODAY()-F710,-1),-1)</f>
        <v>-1</v>
      </c>
      <c r="V710" s="53" t="n">
        <f aca="false">IF(U710&lt;0,IF(S710=1,5,0),IF(U710&lt;=30,1,IF(U710&lt;=60,2,IF(U710&lt;=90,3,4))))</f>
        <v>0</v>
      </c>
      <c r="W710" s="53" t="n">
        <f aca="false">IF(U710&lt;0,-1000000000000000,U710+ROW()/1000000)</f>
        <v>-1000000000000000</v>
      </c>
      <c r="X710" s="53" t="n">
        <f aca="false">IF(T710=1,IF(AND(ISNUMBER(F710),ISNUMBER(K710)),K710-F710,0),0)</f>
        <v>0</v>
      </c>
      <c r="Y710" s="53" t="n">
        <f aca="false">IF(T710=1,IF(AND(ISNUMBER(F710),ISNUMBER(K710)),1,0),0)</f>
        <v>0</v>
      </c>
      <c r="Z710" s="53" t="n">
        <f aca="false">IF(U710&gt;=Settings!$C$8,1,0)</f>
        <v>0</v>
      </c>
      <c r="AA710" s="53" t="n">
        <f aca="false">IF(S710=1,IF(J710="Listed / Publicado",0,1),0)</f>
        <v>0</v>
      </c>
      <c r="AB710" s="53" t="n">
        <f aca="false">IF(T710=1,IF(ISNUMBER(L710),L710-G710,0),0)</f>
        <v>0</v>
      </c>
      <c r="AC710" s="53" t="n">
        <f aca="false">IF(S710=1,IF(ISNUMBER(I710),I710-G710,0),0)</f>
        <v>0</v>
      </c>
    </row>
    <row r="711" customFormat="false" ht="15" hidden="false" customHeight="false" outlineLevel="0" collapsed="false">
      <c r="B711" s="54"/>
      <c r="C711" s="55"/>
      <c r="D711" s="55"/>
      <c r="E711" s="55"/>
      <c r="F711" s="56"/>
      <c r="G711" s="57"/>
      <c r="H711" s="55"/>
      <c r="I711" s="57"/>
      <c r="J711" s="54"/>
      <c r="K711" s="56"/>
      <c r="L711" s="57"/>
      <c r="M711" s="54"/>
      <c r="N711" s="58" t="str">
        <f aca="false">IF(S711=1,IF(U711&lt;0,"",U711),IF(Y711=1,X711,""))</f>
        <v/>
      </c>
      <c r="O711" s="59" t="str">
        <f aca="false">IF(S711=1,IF(ISNUMBER(I711),I711-G711,""),"")</f>
        <v/>
      </c>
      <c r="P711" s="59" t="str">
        <f aca="false">IF(T711=1,IF(ISNUMBER(L711),L711-G711,""),"")</f>
        <v/>
      </c>
      <c r="Q711" s="60" t="str">
        <f aca="false">IF(C711="","",IF(T711=1,"✔ SOLD / VENDIDO",IF(S711=0,"— CLOSED / CERRADO",IF(U711&lt;0,"⚠ ADD DATE / AGREGA FECHA",IF(U711&gt;=Settings!$C$8,"⚠ STALE – REPRICE / ESTANCADO",IF(U711&gt;=Settings!$C$7,"● WATCH / VIGILAR","✔ FRESH / RECIENTE"))))))</f>
        <v/>
      </c>
      <c r="S711" s="53" t="n">
        <f aca="false">IF(C711="",0,IF(OR(J711="",J711="In Stock / En Inventario",J711="Listed / Publicado"),1,0))</f>
        <v>0</v>
      </c>
      <c r="T711" s="53" t="n">
        <f aca="false">IF(C711="",0,IF(J711="Sold / Vendido",1,0))</f>
        <v>0</v>
      </c>
      <c r="U711" s="53" t="n">
        <f aca="true">IF(S711=1,IF(ISNUMBER(F711),TODAY()-F711,-1),-1)</f>
        <v>-1</v>
      </c>
      <c r="V711" s="53" t="n">
        <f aca="false">IF(U711&lt;0,IF(S711=1,5,0),IF(U711&lt;=30,1,IF(U711&lt;=60,2,IF(U711&lt;=90,3,4))))</f>
        <v>0</v>
      </c>
      <c r="W711" s="53" t="n">
        <f aca="false">IF(U711&lt;0,-1000000000000000,U711+ROW()/1000000)</f>
        <v>-1000000000000000</v>
      </c>
      <c r="X711" s="53" t="n">
        <f aca="false">IF(T711=1,IF(AND(ISNUMBER(F711),ISNUMBER(K711)),K711-F711,0),0)</f>
        <v>0</v>
      </c>
      <c r="Y711" s="53" t="n">
        <f aca="false">IF(T711=1,IF(AND(ISNUMBER(F711),ISNUMBER(K711)),1,0),0)</f>
        <v>0</v>
      </c>
      <c r="Z711" s="53" t="n">
        <f aca="false">IF(U711&gt;=Settings!$C$8,1,0)</f>
        <v>0</v>
      </c>
      <c r="AA711" s="53" t="n">
        <f aca="false">IF(S711=1,IF(J711="Listed / Publicado",0,1),0)</f>
        <v>0</v>
      </c>
      <c r="AB711" s="53" t="n">
        <f aca="false">IF(T711=1,IF(ISNUMBER(L711),L711-G711,0),0)</f>
        <v>0</v>
      </c>
      <c r="AC711" s="53" t="n">
        <f aca="false">IF(S711=1,IF(ISNUMBER(I711),I711-G711,0),0)</f>
        <v>0</v>
      </c>
    </row>
    <row r="712" customFormat="false" ht="15" hidden="false" customHeight="false" outlineLevel="0" collapsed="false">
      <c r="B712" s="54"/>
      <c r="C712" s="55"/>
      <c r="D712" s="55"/>
      <c r="E712" s="55"/>
      <c r="F712" s="56"/>
      <c r="G712" s="57"/>
      <c r="H712" s="55"/>
      <c r="I712" s="57"/>
      <c r="J712" s="54"/>
      <c r="K712" s="56"/>
      <c r="L712" s="57"/>
      <c r="M712" s="54"/>
      <c r="N712" s="58" t="str">
        <f aca="false">IF(S712=1,IF(U712&lt;0,"",U712),IF(Y712=1,X712,""))</f>
        <v/>
      </c>
      <c r="O712" s="59" t="str">
        <f aca="false">IF(S712=1,IF(ISNUMBER(I712),I712-G712,""),"")</f>
        <v/>
      </c>
      <c r="P712" s="59" t="str">
        <f aca="false">IF(T712=1,IF(ISNUMBER(L712),L712-G712,""),"")</f>
        <v/>
      </c>
      <c r="Q712" s="60" t="str">
        <f aca="false">IF(C712="","",IF(T712=1,"✔ SOLD / VENDIDO",IF(S712=0,"— CLOSED / CERRADO",IF(U712&lt;0,"⚠ ADD DATE / AGREGA FECHA",IF(U712&gt;=Settings!$C$8,"⚠ STALE – REPRICE / ESTANCADO",IF(U712&gt;=Settings!$C$7,"● WATCH / VIGILAR","✔ FRESH / RECIENTE"))))))</f>
        <v/>
      </c>
      <c r="S712" s="53" t="n">
        <f aca="false">IF(C712="",0,IF(OR(J712="",J712="In Stock / En Inventario",J712="Listed / Publicado"),1,0))</f>
        <v>0</v>
      </c>
      <c r="T712" s="53" t="n">
        <f aca="false">IF(C712="",0,IF(J712="Sold / Vendido",1,0))</f>
        <v>0</v>
      </c>
      <c r="U712" s="53" t="n">
        <f aca="true">IF(S712=1,IF(ISNUMBER(F712),TODAY()-F712,-1),-1)</f>
        <v>-1</v>
      </c>
      <c r="V712" s="53" t="n">
        <f aca="false">IF(U712&lt;0,IF(S712=1,5,0),IF(U712&lt;=30,1,IF(U712&lt;=60,2,IF(U712&lt;=90,3,4))))</f>
        <v>0</v>
      </c>
      <c r="W712" s="53" t="n">
        <f aca="false">IF(U712&lt;0,-1000000000000000,U712+ROW()/1000000)</f>
        <v>-1000000000000000</v>
      </c>
      <c r="X712" s="53" t="n">
        <f aca="false">IF(T712=1,IF(AND(ISNUMBER(F712),ISNUMBER(K712)),K712-F712,0),0)</f>
        <v>0</v>
      </c>
      <c r="Y712" s="53" t="n">
        <f aca="false">IF(T712=1,IF(AND(ISNUMBER(F712),ISNUMBER(K712)),1,0),0)</f>
        <v>0</v>
      </c>
      <c r="Z712" s="53" t="n">
        <f aca="false">IF(U712&gt;=Settings!$C$8,1,0)</f>
        <v>0</v>
      </c>
      <c r="AA712" s="53" t="n">
        <f aca="false">IF(S712=1,IF(J712="Listed / Publicado",0,1),0)</f>
        <v>0</v>
      </c>
      <c r="AB712" s="53" t="n">
        <f aca="false">IF(T712=1,IF(ISNUMBER(L712),L712-G712,0),0)</f>
        <v>0</v>
      </c>
      <c r="AC712" s="53" t="n">
        <f aca="false">IF(S712=1,IF(ISNUMBER(I712),I712-G712,0),0)</f>
        <v>0</v>
      </c>
    </row>
    <row r="713" customFormat="false" ht="15" hidden="false" customHeight="false" outlineLevel="0" collapsed="false">
      <c r="B713" s="54"/>
      <c r="C713" s="55"/>
      <c r="D713" s="55"/>
      <c r="E713" s="55"/>
      <c r="F713" s="56"/>
      <c r="G713" s="57"/>
      <c r="H713" s="55"/>
      <c r="I713" s="57"/>
      <c r="J713" s="54"/>
      <c r="K713" s="56"/>
      <c r="L713" s="57"/>
      <c r="M713" s="54"/>
      <c r="N713" s="58" t="str">
        <f aca="false">IF(S713=1,IF(U713&lt;0,"",U713),IF(Y713=1,X713,""))</f>
        <v/>
      </c>
      <c r="O713" s="59" t="str">
        <f aca="false">IF(S713=1,IF(ISNUMBER(I713),I713-G713,""),"")</f>
        <v/>
      </c>
      <c r="P713" s="59" t="str">
        <f aca="false">IF(T713=1,IF(ISNUMBER(L713),L713-G713,""),"")</f>
        <v/>
      </c>
      <c r="Q713" s="60" t="str">
        <f aca="false">IF(C713="","",IF(T713=1,"✔ SOLD / VENDIDO",IF(S713=0,"— CLOSED / CERRADO",IF(U713&lt;0,"⚠ ADD DATE / AGREGA FECHA",IF(U713&gt;=Settings!$C$8,"⚠ STALE – REPRICE / ESTANCADO",IF(U713&gt;=Settings!$C$7,"● WATCH / VIGILAR","✔ FRESH / RECIENTE"))))))</f>
        <v/>
      </c>
      <c r="S713" s="53" t="n">
        <f aca="false">IF(C713="",0,IF(OR(J713="",J713="In Stock / En Inventario",J713="Listed / Publicado"),1,0))</f>
        <v>0</v>
      </c>
      <c r="T713" s="53" t="n">
        <f aca="false">IF(C713="",0,IF(J713="Sold / Vendido",1,0))</f>
        <v>0</v>
      </c>
      <c r="U713" s="53" t="n">
        <f aca="true">IF(S713=1,IF(ISNUMBER(F713),TODAY()-F713,-1),-1)</f>
        <v>-1</v>
      </c>
      <c r="V713" s="53" t="n">
        <f aca="false">IF(U713&lt;0,IF(S713=1,5,0),IF(U713&lt;=30,1,IF(U713&lt;=60,2,IF(U713&lt;=90,3,4))))</f>
        <v>0</v>
      </c>
      <c r="W713" s="53" t="n">
        <f aca="false">IF(U713&lt;0,-1000000000000000,U713+ROW()/1000000)</f>
        <v>-1000000000000000</v>
      </c>
      <c r="X713" s="53" t="n">
        <f aca="false">IF(T713=1,IF(AND(ISNUMBER(F713),ISNUMBER(K713)),K713-F713,0),0)</f>
        <v>0</v>
      </c>
      <c r="Y713" s="53" t="n">
        <f aca="false">IF(T713=1,IF(AND(ISNUMBER(F713),ISNUMBER(K713)),1,0),0)</f>
        <v>0</v>
      </c>
      <c r="Z713" s="53" t="n">
        <f aca="false">IF(U713&gt;=Settings!$C$8,1,0)</f>
        <v>0</v>
      </c>
      <c r="AA713" s="53" t="n">
        <f aca="false">IF(S713=1,IF(J713="Listed / Publicado",0,1),0)</f>
        <v>0</v>
      </c>
      <c r="AB713" s="53" t="n">
        <f aca="false">IF(T713=1,IF(ISNUMBER(L713),L713-G713,0),0)</f>
        <v>0</v>
      </c>
      <c r="AC713" s="53" t="n">
        <f aca="false">IF(S713=1,IF(ISNUMBER(I713),I713-G713,0),0)</f>
        <v>0</v>
      </c>
    </row>
    <row r="714" customFormat="false" ht="15" hidden="false" customHeight="false" outlineLevel="0" collapsed="false">
      <c r="B714" s="54"/>
      <c r="C714" s="55"/>
      <c r="D714" s="55"/>
      <c r="E714" s="55"/>
      <c r="F714" s="56"/>
      <c r="G714" s="57"/>
      <c r="H714" s="55"/>
      <c r="I714" s="57"/>
      <c r="J714" s="54"/>
      <c r="K714" s="56"/>
      <c r="L714" s="57"/>
      <c r="M714" s="54"/>
      <c r="N714" s="58" t="str">
        <f aca="false">IF(S714=1,IF(U714&lt;0,"",U714),IF(Y714=1,X714,""))</f>
        <v/>
      </c>
      <c r="O714" s="59" t="str">
        <f aca="false">IF(S714=1,IF(ISNUMBER(I714),I714-G714,""),"")</f>
        <v/>
      </c>
      <c r="P714" s="59" t="str">
        <f aca="false">IF(T714=1,IF(ISNUMBER(L714),L714-G714,""),"")</f>
        <v/>
      </c>
      <c r="Q714" s="60" t="str">
        <f aca="false">IF(C714="","",IF(T714=1,"✔ SOLD / VENDIDO",IF(S714=0,"— CLOSED / CERRADO",IF(U714&lt;0,"⚠ ADD DATE / AGREGA FECHA",IF(U714&gt;=Settings!$C$8,"⚠ STALE – REPRICE / ESTANCADO",IF(U714&gt;=Settings!$C$7,"● WATCH / VIGILAR","✔ FRESH / RECIENTE"))))))</f>
        <v/>
      </c>
      <c r="S714" s="53" t="n">
        <f aca="false">IF(C714="",0,IF(OR(J714="",J714="In Stock / En Inventario",J714="Listed / Publicado"),1,0))</f>
        <v>0</v>
      </c>
      <c r="T714" s="53" t="n">
        <f aca="false">IF(C714="",0,IF(J714="Sold / Vendido",1,0))</f>
        <v>0</v>
      </c>
      <c r="U714" s="53" t="n">
        <f aca="true">IF(S714=1,IF(ISNUMBER(F714),TODAY()-F714,-1),-1)</f>
        <v>-1</v>
      </c>
      <c r="V714" s="53" t="n">
        <f aca="false">IF(U714&lt;0,IF(S714=1,5,0),IF(U714&lt;=30,1,IF(U714&lt;=60,2,IF(U714&lt;=90,3,4))))</f>
        <v>0</v>
      </c>
      <c r="W714" s="53" t="n">
        <f aca="false">IF(U714&lt;0,-1000000000000000,U714+ROW()/1000000)</f>
        <v>-1000000000000000</v>
      </c>
      <c r="X714" s="53" t="n">
        <f aca="false">IF(T714=1,IF(AND(ISNUMBER(F714),ISNUMBER(K714)),K714-F714,0),0)</f>
        <v>0</v>
      </c>
      <c r="Y714" s="53" t="n">
        <f aca="false">IF(T714=1,IF(AND(ISNUMBER(F714),ISNUMBER(K714)),1,0),0)</f>
        <v>0</v>
      </c>
      <c r="Z714" s="53" t="n">
        <f aca="false">IF(U714&gt;=Settings!$C$8,1,0)</f>
        <v>0</v>
      </c>
      <c r="AA714" s="53" t="n">
        <f aca="false">IF(S714=1,IF(J714="Listed / Publicado",0,1),0)</f>
        <v>0</v>
      </c>
      <c r="AB714" s="53" t="n">
        <f aca="false">IF(T714=1,IF(ISNUMBER(L714),L714-G714,0),0)</f>
        <v>0</v>
      </c>
      <c r="AC714" s="53" t="n">
        <f aca="false">IF(S714=1,IF(ISNUMBER(I714),I714-G714,0),0)</f>
        <v>0</v>
      </c>
    </row>
    <row r="715" customFormat="false" ht="15" hidden="false" customHeight="false" outlineLevel="0" collapsed="false">
      <c r="B715" s="54"/>
      <c r="C715" s="55"/>
      <c r="D715" s="55"/>
      <c r="E715" s="55"/>
      <c r="F715" s="56"/>
      <c r="G715" s="57"/>
      <c r="H715" s="55"/>
      <c r="I715" s="57"/>
      <c r="J715" s="54"/>
      <c r="K715" s="56"/>
      <c r="L715" s="57"/>
      <c r="M715" s="54"/>
      <c r="N715" s="58" t="str">
        <f aca="false">IF(S715=1,IF(U715&lt;0,"",U715),IF(Y715=1,X715,""))</f>
        <v/>
      </c>
      <c r="O715" s="59" t="str">
        <f aca="false">IF(S715=1,IF(ISNUMBER(I715),I715-G715,""),"")</f>
        <v/>
      </c>
      <c r="P715" s="59" t="str">
        <f aca="false">IF(T715=1,IF(ISNUMBER(L715),L715-G715,""),"")</f>
        <v/>
      </c>
      <c r="Q715" s="60" t="str">
        <f aca="false">IF(C715="","",IF(T715=1,"✔ SOLD / VENDIDO",IF(S715=0,"— CLOSED / CERRADO",IF(U715&lt;0,"⚠ ADD DATE / AGREGA FECHA",IF(U715&gt;=Settings!$C$8,"⚠ STALE – REPRICE / ESTANCADO",IF(U715&gt;=Settings!$C$7,"● WATCH / VIGILAR","✔ FRESH / RECIENTE"))))))</f>
        <v/>
      </c>
      <c r="S715" s="53" t="n">
        <f aca="false">IF(C715="",0,IF(OR(J715="",J715="In Stock / En Inventario",J715="Listed / Publicado"),1,0))</f>
        <v>0</v>
      </c>
      <c r="T715" s="53" t="n">
        <f aca="false">IF(C715="",0,IF(J715="Sold / Vendido",1,0))</f>
        <v>0</v>
      </c>
      <c r="U715" s="53" t="n">
        <f aca="true">IF(S715=1,IF(ISNUMBER(F715),TODAY()-F715,-1),-1)</f>
        <v>-1</v>
      </c>
      <c r="V715" s="53" t="n">
        <f aca="false">IF(U715&lt;0,IF(S715=1,5,0),IF(U715&lt;=30,1,IF(U715&lt;=60,2,IF(U715&lt;=90,3,4))))</f>
        <v>0</v>
      </c>
      <c r="W715" s="53" t="n">
        <f aca="false">IF(U715&lt;0,-1000000000000000,U715+ROW()/1000000)</f>
        <v>-1000000000000000</v>
      </c>
      <c r="X715" s="53" t="n">
        <f aca="false">IF(T715=1,IF(AND(ISNUMBER(F715),ISNUMBER(K715)),K715-F715,0),0)</f>
        <v>0</v>
      </c>
      <c r="Y715" s="53" t="n">
        <f aca="false">IF(T715=1,IF(AND(ISNUMBER(F715),ISNUMBER(K715)),1,0),0)</f>
        <v>0</v>
      </c>
      <c r="Z715" s="53" t="n">
        <f aca="false">IF(U715&gt;=Settings!$C$8,1,0)</f>
        <v>0</v>
      </c>
      <c r="AA715" s="53" t="n">
        <f aca="false">IF(S715=1,IF(J715="Listed / Publicado",0,1),0)</f>
        <v>0</v>
      </c>
      <c r="AB715" s="53" t="n">
        <f aca="false">IF(T715=1,IF(ISNUMBER(L715),L715-G715,0),0)</f>
        <v>0</v>
      </c>
      <c r="AC715" s="53" t="n">
        <f aca="false">IF(S715=1,IF(ISNUMBER(I715),I715-G715,0),0)</f>
        <v>0</v>
      </c>
    </row>
    <row r="716" customFormat="false" ht="15" hidden="false" customHeight="false" outlineLevel="0" collapsed="false">
      <c r="B716" s="54"/>
      <c r="C716" s="55"/>
      <c r="D716" s="55"/>
      <c r="E716" s="55"/>
      <c r="F716" s="56"/>
      <c r="G716" s="57"/>
      <c r="H716" s="55"/>
      <c r="I716" s="57"/>
      <c r="J716" s="54"/>
      <c r="K716" s="56"/>
      <c r="L716" s="57"/>
      <c r="M716" s="54"/>
      <c r="N716" s="58" t="str">
        <f aca="false">IF(S716=1,IF(U716&lt;0,"",U716),IF(Y716=1,X716,""))</f>
        <v/>
      </c>
      <c r="O716" s="59" t="str">
        <f aca="false">IF(S716=1,IF(ISNUMBER(I716),I716-G716,""),"")</f>
        <v/>
      </c>
      <c r="P716" s="59" t="str">
        <f aca="false">IF(T716=1,IF(ISNUMBER(L716),L716-G716,""),"")</f>
        <v/>
      </c>
      <c r="Q716" s="60" t="str">
        <f aca="false">IF(C716="","",IF(T716=1,"✔ SOLD / VENDIDO",IF(S716=0,"— CLOSED / CERRADO",IF(U716&lt;0,"⚠ ADD DATE / AGREGA FECHA",IF(U716&gt;=Settings!$C$8,"⚠ STALE – REPRICE / ESTANCADO",IF(U716&gt;=Settings!$C$7,"● WATCH / VIGILAR","✔ FRESH / RECIENTE"))))))</f>
        <v/>
      </c>
      <c r="S716" s="53" t="n">
        <f aca="false">IF(C716="",0,IF(OR(J716="",J716="In Stock / En Inventario",J716="Listed / Publicado"),1,0))</f>
        <v>0</v>
      </c>
      <c r="T716" s="53" t="n">
        <f aca="false">IF(C716="",0,IF(J716="Sold / Vendido",1,0))</f>
        <v>0</v>
      </c>
      <c r="U716" s="53" t="n">
        <f aca="true">IF(S716=1,IF(ISNUMBER(F716),TODAY()-F716,-1),-1)</f>
        <v>-1</v>
      </c>
      <c r="V716" s="53" t="n">
        <f aca="false">IF(U716&lt;0,IF(S716=1,5,0),IF(U716&lt;=30,1,IF(U716&lt;=60,2,IF(U716&lt;=90,3,4))))</f>
        <v>0</v>
      </c>
      <c r="W716" s="53" t="n">
        <f aca="false">IF(U716&lt;0,-1000000000000000,U716+ROW()/1000000)</f>
        <v>-1000000000000000</v>
      </c>
      <c r="X716" s="53" t="n">
        <f aca="false">IF(T716=1,IF(AND(ISNUMBER(F716),ISNUMBER(K716)),K716-F716,0),0)</f>
        <v>0</v>
      </c>
      <c r="Y716" s="53" t="n">
        <f aca="false">IF(T716=1,IF(AND(ISNUMBER(F716),ISNUMBER(K716)),1,0),0)</f>
        <v>0</v>
      </c>
      <c r="Z716" s="53" t="n">
        <f aca="false">IF(U716&gt;=Settings!$C$8,1,0)</f>
        <v>0</v>
      </c>
      <c r="AA716" s="53" t="n">
        <f aca="false">IF(S716=1,IF(J716="Listed / Publicado",0,1),0)</f>
        <v>0</v>
      </c>
      <c r="AB716" s="53" t="n">
        <f aca="false">IF(T716=1,IF(ISNUMBER(L716),L716-G716,0),0)</f>
        <v>0</v>
      </c>
      <c r="AC716" s="53" t="n">
        <f aca="false">IF(S716=1,IF(ISNUMBER(I716),I716-G716,0),0)</f>
        <v>0</v>
      </c>
    </row>
    <row r="717" customFormat="false" ht="15" hidden="false" customHeight="false" outlineLevel="0" collapsed="false">
      <c r="B717" s="54"/>
      <c r="C717" s="55"/>
      <c r="D717" s="55"/>
      <c r="E717" s="55"/>
      <c r="F717" s="56"/>
      <c r="G717" s="57"/>
      <c r="H717" s="55"/>
      <c r="I717" s="57"/>
      <c r="J717" s="54"/>
      <c r="K717" s="56"/>
      <c r="L717" s="57"/>
      <c r="M717" s="54"/>
      <c r="N717" s="58" t="str">
        <f aca="false">IF(S717=1,IF(U717&lt;0,"",U717),IF(Y717=1,X717,""))</f>
        <v/>
      </c>
      <c r="O717" s="59" t="str">
        <f aca="false">IF(S717=1,IF(ISNUMBER(I717),I717-G717,""),"")</f>
        <v/>
      </c>
      <c r="P717" s="59" t="str">
        <f aca="false">IF(T717=1,IF(ISNUMBER(L717),L717-G717,""),"")</f>
        <v/>
      </c>
      <c r="Q717" s="60" t="str">
        <f aca="false">IF(C717="","",IF(T717=1,"✔ SOLD / VENDIDO",IF(S717=0,"— CLOSED / CERRADO",IF(U717&lt;0,"⚠ ADD DATE / AGREGA FECHA",IF(U717&gt;=Settings!$C$8,"⚠ STALE – REPRICE / ESTANCADO",IF(U717&gt;=Settings!$C$7,"● WATCH / VIGILAR","✔ FRESH / RECIENTE"))))))</f>
        <v/>
      </c>
      <c r="S717" s="53" t="n">
        <f aca="false">IF(C717="",0,IF(OR(J717="",J717="In Stock / En Inventario",J717="Listed / Publicado"),1,0))</f>
        <v>0</v>
      </c>
      <c r="T717" s="53" t="n">
        <f aca="false">IF(C717="",0,IF(J717="Sold / Vendido",1,0))</f>
        <v>0</v>
      </c>
      <c r="U717" s="53" t="n">
        <f aca="true">IF(S717=1,IF(ISNUMBER(F717),TODAY()-F717,-1),-1)</f>
        <v>-1</v>
      </c>
      <c r="V717" s="53" t="n">
        <f aca="false">IF(U717&lt;0,IF(S717=1,5,0),IF(U717&lt;=30,1,IF(U717&lt;=60,2,IF(U717&lt;=90,3,4))))</f>
        <v>0</v>
      </c>
      <c r="W717" s="53" t="n">
        <f aca="false">IF(U717&lt;0,-1000000000000000,U717+ROW()/1000000)</f>
        <v>-1000000000000000</v>
      </c>
      <c r="X717" s="53" t="n">
        <f aca="false">IF(T717=1,IF(AND(ISNUMBER(F717),ISNUMBER(K717)),K717-F717,0),0)</f>
        <v>0</v>
      </c>
      <c r="Y717" s="53" t="n">
        <f aca="false">IF(T717=1,IF(AND(ISNUMBER(F717),ISNUMBER(K717)),1,0),0)</f>
        <v>0</v>
      </c>
      <c r="Z717" s="53" t="n">
        <f aca="false">IF(U717&gt;=Settings!$C$8,1,0)</f>
        <v>0</v>
      </c>
      <c r="AA717" s="53" t="n">
        <f aca="false">IF(S717=1,IF(J717="Listed / Publicado",0,1),0)</f>
        <v>0</v>
      </c>
      <c r="AB717" s="53" t="n">
        <f aca="false">IF(T717=1,IF(ISNUMBER(L717),L717-G717,0),0)</f>
        <v>0</v>
      </c>
      <c r="AC717" s="53" t="n">
        <f aca="false">IF(S717=1,IF(ISNUMBER(I717),I717-G717,0),0)</f>
        <v>0</v>
      </c>
    </row>
    <row r="718" customFormat="false" ht="15" hidden="false" customHeight="false" outlineLevel="0" collapsed="false">
      <c r="B718" s="54"/>
      <c r="C718" s="55"/>
      <c r="D718" s="55"/>
      <c r="E718" s="55"/>
      <c r="F718" s="56"/>
      <c r="G718" s="57"/>
      <c r="H718" s="55"/>
      <c r="I718" s="57"/>
      <c r="J718" s="54"/>
      <c r="K718" s="56"/>
      <c r="L718" s="57"/>
      <c r="M718" s="54"/>
      <c r="N718" s="58" t="str">
        <f aca="false">IF(S718=1,IF(U718&lt;0,"",U718),IF(Y718=1,X718,""))</f>
        <v/>
      </c>
      <c r="O718" s="59" t="str">
        <f aca="false">IF(S718=1,IF(ISNUMBER(I718),I718-G718,""),"")</f>
        <v/>
      </c>
      <c r="P718" s="59" t="str">
        <f aca="false">IF(T718=1,IF(ISNUMBER(L718),L718-G718,""),"")</f>
        <v/>
      </c>
      <c r="Q718" s="60" t="str">
        <f aca="false">IF(C718="","",IF(T718=1,"✔ SOLD / VENDIDO",IF(S718=0,"— CLOSED / CERRADO",IF(U718&lt;0,"⚠ ADD DATE / AGREGA FECHA",IF(U718&gt;=Settings!$C$8,"⚠ STALE – REPRICE / ESTANCADO",IF(U718&gt;=Settings!$C$7,"● WATCH / VIGILAR","✔ FRESH / RECIENTE"))))))</f>
        <v/>
      </c>
      <c r="S718" s="53" t="n">
        <f aca="false">IF(C718="",0,IF(OR(J718="",J718="In Stock / En Inventario",J718="Listed / Publicado"),1,0))</f>
        <v>0</v>
      </c>
      <c r="T718" s="53" t="n">
        <f aca="false">IF(C718="",0,IF(J718="Sold / Vendido",1,0))</f>
        <v>0</v>
      </c>
      <c r="U718" s="53" t="n">
        <f aca="true">IF(S718=1,IF(ISNUMBER(F718),TODAY()-F718,-1),-1)</f>
        <v>-1</v>
      </c>
      <c r="V718" s="53" t="n">
        <f aca="false">IF(U718&lt;0,IF(S718=1,5,0),IF(U718&lt;=30,1,IF(U718&lt;=60,2,IF(U718&lt;=90,3,4))))</f>
        <v>0</v>
      </c>
      <c r="W718" s="53" t="n">
        <f aca="false">IF(U718&lt;0,-1000000000000000,U718+ROW()/1000000)</f>
        <v>-1000000000000000</v>
      </c>
      <c r="X718" s="53" t="n">
        <f aca="false">IF(T718=1,IF(AND(ISNUMBER(F718),ISNUMBER(K718)),K718-F718,0),0)</f>
        <v>0</v>
      </c>
      <c r="Y718" s="53" t="n">
        <f aca="false">IF(T718=1,IF(AND(ISNUMBER(F718),ISNUMBER(K718)),1,0),0)</f>
        <v>0</v>
      </c>
      <c r="Z718" s="53" t="n">
        <f aca="false">IF(U718&gt;=Settings!$C$8,1,0)</f>
        <v>0</v>
      </c>
      <c r="AA718" s="53" t="n">
        <f aca="false">IF(S718=1,IF(J718="Listed / Publicado",0,1),0)</f>
        <v>0</v>
      </c>
      <c r="AB718" s="53" t="n">
        <f aca="false">IF(T718=1,IF(ISNUMBER(L718),L718-G718,0),0)</f>
        <v>0</v>
      </c>
      <c r="AC718" s="53" t="n">
        <f aca="false">IF(S718=1,IF(ISNUMBER(I718),I718-G718,0),0)</f>
        <v>0</v>
      </c>
    </row>
    <row r="719" customFormat="false" ht="15" hidden="false" customHeight="false" outlineLevel="0" collapsed="false">
      <c r="B719" s="54"/>
      <c r="C719" s="55"/>
      <c r="D719" s="55"/>
      <c r="E719" s="55"/>
      <c r="F719" s="56"/>
      <c r="G719" s="57"/>
      <c r="H719" s="55"/>
      <c r="I719" s="57"/>
      <c r="J719" s="54"/>
      <c r="K719" s="56"/>
      <c r="L719" s="57"/>
      <c r="M719" s="54"/>
      <c r="N719" s="58" t="str">
        <f aca="false">IF(S719=1,IF(U719&lt;0,"",U719),IF(Y719=1,X719,""))</f>
        <v/>
      </c>
      <c r="O719" s="59" t="str">
        <f aca="false">IF(S719=1,IF(ISNUMBER(I719),I719-G719,""),"")</f>
        <v/>
      </c>
      <c r="P719" s="59" t="str">
        <f aca="false">IF(T719=1,IF(ISNUMBER(L719),L719-G719,""),"")</f>
        <v/>
      </c>
      <c r="Q719" s="60" t="str">
        <f aca="false">IF(C719="","",IF(T719=1,"✔ SOLD / VENDIDO",IF(S719=0,"— CLOSED / CERRADO",IF(U719&lt;0,"⚠ ADD DATE / AGREGA FECHA",IF(U719&gt;=Settings!$C$8,"⚠ STALE – REPRICE / ESTANCADO",IF(U719&gt;=Settings!$C$7,"● WATCH / VIGILAR","✔ FRESH / RECIENTE"))))))</f>
        <v/>
      </c>
      <c r="S719" s="53" t="n">
        <f aca="false">IF(C719="",0,IF(OR(J719="",J719="In Stock / En Inventario",J719="Listed / Publicado"),1,0))</f>
        <v>0</v>
      </c>
      <c r="T719" s="53" t="n">
        <f aca="false">IF(C719="",0,IF(J719="Sold / Vendido",1,0))</f>
        <v>0</v>
      </c>
      <c r="U719" s="53" t="n">
        <f aca="true">IF(S719=1,IF(ISNUMBER(F719),TODAY()-F719,-1),-1)</f>
        <v>-1</v>
      </c>
      <c r="V719" s="53" t="n">
        <f aca="false">IF(U719&lt;0,IF(S719=1,5,0),IF(U719&lt;=30,1,IF(U719&lt;=60,2,IF(U719&lt;=90,3,4))))</f>
        <v>0</v>
      </c>
      <c r="W719" s="53" t="n">
        <f aca="false">IF(U719&lt;0,-1000000000000000,U719+ROW()/1000000)</f>
        <v>-1000000000000000</v>
      </c>
      <c r="X719" s="53" t="n">
        <f aca="false">IF(T719=1,IF(AND(ISNUMBER(F719),ISNUMBER(K719)),K719-F719,0),0)</f>
        <v>0</v>
      </c>
      <c r="Y719" s="53" t="n">
        <f aca="false">IF(T719=1,IF(AND(ISNUMBER(F719),ISNUMBER(K719)),1,0),0)</f>
        <v>0</v>
      </c>
      <c r="Z719" s="53" t="n">
        <f aca="false">IF(U719&gt;=Settings!$C$8,1,0)</f>
        <v>0</v>
      </c>
      <c r="AA719" s="53" t="n">
        <f aca="false">IF(S719=1,IF(J719="Listed / Publicado",0,1),0)</f>
        <v>0</v>
      </c>
      <c r="AB719" s="53" t="n">
        <f aca="false">IF(T719=1,IF(ISNUMBER(L719),L719-G719,0),0)</f>
        <v>0</v>
      </c>
      <c r="AC719" s="53" t="n">
        <f aca="false">IF(S719=1,IF(ISNUMBER(I719),I719-G719,0),0)</f>
        <v>0</v>
      </c>
    </row>
    <row r="720" customFormat="false" ht="15" hidden="false" customHeight="false" outlineLevel="0" collapsed="false">
      <c r="B720" s="54"/>
      <c r="C720" s="55"/>
      <c r="D720" s="55"/>
      <c r="E720" s="55"/>
      <c r="F720" s="56"/>
      <c r="G720" s="57"/>
      <c r="H720" s="55"/>
      <c r="I720" s="57"/>
      <c r="J720" s="54"/>
      <c r="K720" s="56"/>
      <c r="L720" s="57"/>
      <c r="M720" s="54"/>
      <c r="N720" s="58" t="str">
        <f aca="false">IF(S720=1,IF(U720&lt;0,"",U720),IF(Y720=1,X720,""))</f>
        <v/>
      </c>
      <c r="O720" s="59" t="str">
        <f aca="false">IF(S720=1,IF(ISNUMBER(I720),I720-G720,""),"")</f>
        <v/>
      </c>
      <c r="P720" s="59" t="str">
        <f aca="false">IF(T720=1,IF(ISNUMBER(L720),L720-G720,""),"")</f>
        <v/>
      </c>
      <c r="Q720" s="60" t="str">
        <f aca="false">IF(C720="","",IF(T720=1,"✔ SOLD / VENDIDO",IF(S720=0,"— CLOSED / CERRADO",IF(U720&lt;0,"⚠ ADD DATE / AGREGA FECHA",IF(U720&gt;=Settings!$C$8,"⚠ STALE – REPRICE / ESTANCADO",IF(U720&gt;=Settings!$C$7,"● WATCH / VIGILAR","✔ FRESH / RECIENTE"))))))</f>
        <v/>
      </c>
      <c r="S720" s="53" t="n">
        <f aca="false">IF(C720="",0,IF(OR(J720="",J720="In Stock / En Inventario",J720="Listed / Publicado"),1,0))</f>
        <v>0</v>
      </c>
      <c r="T720" s="53" t="n">
        <f aca="false">IF(C720="",0,IF(J720="Sold / Vendido",1,0))</f>
        <v>0</v>
      </c>
      <c r="U720" s="53" t="n">
        <f aca="true">IF(S720=1,IF(ISNUMBER(F720),TODAY()-F720,-1),-1)</f>
        <v>-1</v>
      </c>
      <c r="V720" s="53" t="n">
        <f aca="false">IF(U720&lt;0,IF(S720=1,5,0),IF(U720&lt;=30,1,IF(U720&lt;=60,2,IF(U720&lt;=90,3,4))))</f>
        <v>0</v>
      </c>
      <c r="W720" s="53" t="n">
        <f aca="false">IF(U720&lt;0,-1000000000000000,U720+ROW()/1000000)</f>
        <v>-1000000000000000</v>
      </c>
      <c r="X720" s="53" t="n">
        <f aca="false">IF(T720=1,IF(AND(ISNUMBER(F720),ISNUMBER(K720)),K720-F720,0),0)</f>
        <v>0</v>
      </c>
      <c r="Y720" s="53" t="n">
        <f aca="false">IF(T720=1,IF(AND(ISNUMBER(F720),ISNUMBER(K720)),1,0),0)</f>
        <v>0</v>
      </c>
      <c r="Z720" s="53" t="n">
        <f aca="false">IF(U720&gt;=Settings!$C$8,1,0)</f>
        <v>0</v>
      </c>
      <c r="AA720" s="53" t="n">
        <f aca="false">IF(S720=1,IF(J720="Listed / Publicado",0,1),0)</f>
        <v>0</v>
      </c>
      <c r="AB720" s="53" t="n">
        <f aca="false">IF(T720=1,IF(ISNUMBER(L720),L720-G720,0),0)</f>
        <v>0</v>
      </c>
      <c r="AC720" s="53" t="n">
        <f aca="false">IF(S720=1,IF(ISNUMBER(I720),I720-G720,0),0)</f>
        <v>0</v>
      </c>
    </row>
    <row r="721" customFormat="false" ht="15" hidden="false" customHeight="false" outlineLevel="0" collapsed="false">
      <c r="B721" s="54"/>
      <c r="C721" s="55"/>
      <c r="D721" s="55"/>
      <c r="E721" s="55"/>
      <c r="F721" s="56"/>
      <c r="G721" s="57"/>
      <c r="H721" s="55"/>
      <c r="I721" s="57"/>
      <c r="J721" s="54"/>
      <c r="K721" s="56"/>
      <c r="L721" s="57"/>
      <c r="M721" s="54"/>
      <c r="N721" s="58" t="str">
        <f aca="false">IF(S721=1,IF(U721&lt;0,"",U721),IF(Y721=1,X721,""))</f>
        <v/>
      </c>
      <c r="O721" s="59" t="str">
        <f aca="false">IF(S721=1,IF(ISNUMBER(I721),I721-G721,""),"")</f>
        <v/>
      </c>
      <c r="P721" s="59" t="str">
        <f aca="false">IF(T721=1,IF(ISNUMBER(L721),L721-G721,""),"")</f>
        <v/>
      </c>
      <c r="Q721" s="60" t="str">
        <f aca="false">IF(C721="","",IF(T721=1,"✔ SOLD / VENDIDO",IF(S721=0,"— CLOSED / CERRADO",IF(U721&lt;0,"⚠ ADD DATE / AGREGA FECHA",IF(U721&gt;=Settings!$C$8,"⚠ STALE – REPRICE / ESTANCADO",IF(U721&gt;=Settings!$C$7,"● WATCH / VIGILAR","✔ FRESH / RECIENTE"))))))</f>
        <v/>
      </c>
      <c r="S721" s="53" t="n">
        <f aca="false">IF(C721="",0,IF(OR(J721="",J721="In Stock / En Inventario",J721="Listed / Publicado"),1,0))</f>
        <v>0</v>
      </c>
      <c r="T721" s="53" t="n">
        <f aca="false">IF(C721="",0,IF(J721="Sold / Vendido",1,0))</f>
        <v>0</v>
      </c>
      <c r="U721" s="53" t="n">
        <f aca="true">IF(S721=1,IF(ISNUMBER(F721),TODAY()-F721,-1),-1)</f>
        <v>-1</v>
      </c>
      <c r="V721" s="53" t="n">
        <f aca="false">IF(U721&lt;0,IF(S721=1,5,0),IF(U721&lt;=30,1,IF(U721&lt;=60,2,IF(U721&lt;=90,3,4))))</f>
        <v>0</v>
      </c>
      <c r="W721" s="53" t="n">
        <f aca="false">IF(U721&lt;0,-1000000000000000,U721+ROW()/1000000)</f>
        <v>-1000000000000000</v>
      </c>
      <c r="X721" s="53" t="n">
        <f aca="false">IF(T721=1,IF(AND(ISNUMBER(F721),ISNUMBER(K721)),K721-F721,0),0)</f>
        <v>0</v>
      </c>
      <c r="Y721" s="53" t="n">
        <f aca="false">IF(T721=1,IF(AND(ISNUMBER(F721),ISNUMBER(K721)),1,0),0)</f>
        <v>0</v>
      </c>
      <c r="Z721" s="53" t="n">
        <f aca="false">IF(U721&gt;=Settings!$C$8,1,0)</f>
        <v>0</v>
      </c>
      <c r="AA721" s="53" t="n">
        <f aca="false">IF(S721=1,IF(J721="Listed / Publicado",0,1),0)</f>
        <v>0</v>
      </c>
      <c r="AB721" s="53" t="n">
        <f aca="false">IF(T721=1,IF(ISNUMBER(L721),L721-G721,0),0)</f>
        <v>0</v>
      </c>
      <c r="AC721" s="53" t="n">
        <f aca="false">IF(S721=1,IF(ISNUMBER(I721),I721-G721,0),0)</f>
        <v>0</v>
      </c>
    </row>
    <row r="722" customFormat="false" ht="15" hidden="false" customHeight="false" outlineLevel="0" collapsed="false">
      <c r="B722" s="54"/>
      <c r="C722" s="55"/>
      <c r="D722" s="55"/>
      <c r="E722" s="55"/>
      <c r="F722" s="56"/>
      <c r="G722" s="57"/>
      <c r="H722" s="55"/>
      <c r="I722" s="57"/>
      <c r="J722" s="54"/>
      <c r="K722" s="56"/>
      <c r="L722" s="57"/>
      <c r="M722" s="54"/>
      <c r="N722" s="58" t="str">
        <f aca="false">IF(S722=1,IF(U722&lt;0,"",U722),IF(Y722=1,X722,""))</f>
        <v/>
      </c>
      <c r="O722" s="59" t="str">
        <f aca="false">IF(S722=1,IF(ISNUMBER(I722),I722-G722,""),"")</f>
        <v/>
      </c>
      <c r="P722" s="59" t="str">
        <f aca="false">IF(T722=1,IF(ISNUMBER(L722),L722-G722,""),"")</f>
        <v/>
      </c>
      <c r="Q722" s="60" t="str">
        <f aca="false">IF(C722="","",IF(T722=1,"✔ SOLD / VENDIDO",IF(S722=0,"— CLOSED / CERRADO",IF(U722&lt;0,"⚠ ADD DATE / AGREGA FECHA",IF(U722&gt;=Settings!$C$8,"⚠ STALE – REPRICE / ESTANCADO",IF(U722&gt;=Settings!$C$7,"● WATCH / VIGILAR","✔ FRESH / RECIENTE"))))))</f>
        <v/>
      </c>
      <c r="S722" s="53" t="n">
        <f aca="false">IF(C722="",0,IF(OR(J722="",J722="In Stock / En Inventario",J722="Listed / Publicado"),1,0))</f>
        <v>0</v>
      </c>
      <c r="T722" s="53" t="n">
        <f aca="false">IF(C722="",0,IF(J722="Sold / Vendido",1,0))</f>
        <v>0</v>
      </c>
      <c r="U722" s="53" t="n">
        <f aca="true">IF(S722=1,IF(ISNUMBER(F722),TODAY()-F722,-1),-1)</f>
        <v>-1</v>
      </c>
      <c r="V722" s="53" t="n">
        <f aca="false">IF(U722&lt;0,IF(S722=1,5,0),IF(U722&lt;=30,1,IF(U722&lt;=60,2,IF(U722&lt;=90,3,4))))</f>
        <v>0</v>
      </c>
      <c r="W722" s="53" t="n">
        <f aca="false">IF(U722&lt;0,-1000000000000000,U722+ROW()/1000000)</f>
        <v>-1000000000000000</v>
      </c>
      <c r="X722" s="53" t="n">
        <f aca="false">IF(T722=1,IF(AND(ISNUMBER(F722),ISNUMBER(K722)),K722-F722,0),0)</f>
        <v>0</v>
      </c>
      <c r="Y722" s="53" t="n">
        <f aca="false">IF(T722=1,IF(AND(ISNUMBER(F722),ISNUMBER(K722)),1,0),0)</f>
        <v>0</v>
      </c>
      <c r="Z722" s="53" t="n">
        <f aca="false">IF(U722&gt;=Settings!$C$8,1,0)</f>
        <v>0</v>
      </c>
      <c r="AA722" s="53" t="n">
        <f aca="false">IF(S722=1,IF(J722="Listed / Publicado",0,1),0)</f>
        <v>0</v>
      </c>
      <c r="AB722" s="53" t="n">
        <f aca="false">IF(T722=1,IF(ISNUMBER(L722),L722-G722,0),0)</f>
        <v>0</v>
      </c>
      <c r="AC722" s="53" t="n">
        <f aca="false">IF(S722=1,IF(ISNUMBER(I722),I722-G722,0),0)</f>
        <v>0</v>
      </c>
    </row>
    <row r="723" customFormat="false" ht="15" hidden="false" customHeight="false" outlineLevel="0" collapsed="false">
      <c r="B723" s="54"/>
      <c r="C723" s="55"/>
      <c r="D723" s="55"/>
      <c r="E723" s="55"/>
      <c r="F723" s="56"/>
      <c r="G723" s="57"/>
      <c r="H723" s="55"/>
      <c r="I723" s="57"/>
      <c r="J723" s="54"/>
      <c r="K723" s="56"/>
      <c r="L723" s="57"/>
      <c r="M723" s="54"/>
      <c r="N723" s="58" t="str">
        <f aca="false">IF(S723=1,IF(U723&lt;0,"",U723),IF(Y723=1,X723,""))</f>
        <v/>
      </c>
      <c r="O723" s="59" t="str">
        <f aca="false">IF(S723=1,IF(ISNUMBER(I723),I723-G723,""),"")</f>
        <v/>
      </c>
      <c r="P723" s="59" t="str">
        <f aca="false">IF(T723=1,IF(ISNUMBER(L723),L723-G723,""),"")</f>
        <v/>
      </c>
      <c r="Q723" s="60" t="str">
        <f aca="false">IF(C723="","",IF(T723=1,"✔ SOLD / VENDIDO",IF(S723=0,"— CLOSED / CERRADO",IF(U723&lt;0,"⚠ ADD DATE / AGREGA FECHA",IF(U723&gt;=Settings!$C$8,"⚠ STALE – REPRICE / ESTANCADO",IF(U723&gt;=Settings!$C$7,"● WATCH / VIGILAR","✔ FRESH / RECIENTE"))))))</f>
        <v/>
      </c>
      <c r="S723" s="53" t="n">
        <f aca="false">IF(C723="",0,IF(OR(J723="",J723="In Stock / En Inventario",J723="Listed / Publicado"),1,0))</f>
        <v>0</v>
      </c>
      <c r="T723" s="53" t="n">
        <f aca="false">IF(C723="",0,IF(J723="Sold / Vendido",1,0))</f>
        <v>0</v>
      </c>
      <c r="U723" s="53" t="n">
        <f aca="true">IF(S723=1,IF(ISNUMBER(F723),TODAY()-F723,-1),-1)</f>
        <v>-1</v>
      </c>
      <c r="V723" s="53" t="n">
        <f aca="false">IF(U723&lt;0,IF(S723=1,5,0),IF(U723&lt;=30,1,IF(U723&lt;=60,2,IF(U723&lt;=90,3,4))))</f>
        <v>0</v>
      </c>
      <c r="W723" s="53" t="n">
        <f aca="false">IF(U723&lt;0,-1000000000000000,U723+ROW()/1000000)</f>
        <v>-1000000000000000</v>
      </c>
      <c r="X723" s="53" t="n">
        <f aca="false">IF(T723=1,IF(AND(ISNUMBER(F723),ISNUMBER(K723)),K723-F723,0),0)</f>
        <v>0</v>
      </c>
      <c r="Y723" s="53" t="n">
        <f aca="false">IF(T723=1,IF(AND(ISNUMBER(F723),ISNUMBER(K723)),1,0),0)</f>
        <v>0</v>
      </c>
      <c r="Z723" s="53" t="n">
        <f aca="false">IF(U723&gt;=Settings!$C$8,1,0)</f>
        <v>0</v>
      </c>
      <c r="AA723" s="53" t="n">
        <f aca="false">IF(S723=1,IF(J723="Listed / Publicado",0,1),0)</f>
        <v>0</v>
      </c>
      <c r="AB723" s="53" t="n">
        <f aca="false">IF(T723=1,IF(ISNUMBER(L723),L723-G723,0),0)</f>
        <v>0</v>
      </c>
      <c r="AC723" s="53" t="n">
        <f aca="false">IF(S723=1,IF(ISNUMBER(I723),I723-G723,0),0)</f>
        <v>0</v>
      </c>
    </row>
    <row r="724" customFormat="false" ht="15" hidden="false" customHeight="false" outlineLevel="0" collapsed="false">
      <c r="B724" s="54"/>
      <c r="C724" s="55"/>
      <c r="D724" s="55"/>
      <c r="E724" s="55"/>
      <c r="F724" s="56"/>
      <c r="G724" s="57"/>
      <c r="H724" s="55"/>
      <c r="I724" s="57"/>
      <c r="J724" s="54"/>
      <c r="K724" s="56"/>
      <c r="L724" s="57"/>
      <c r="M724" s="54"/>
      <c r="N724" s="58" t="str">
        <f aca="false">IF(S724=1,IF(U724&lt;0,"",U724),IF(Y724=1,X724,""))</f>
        <v/>
      </c>
      <c r="O724" s="59" t="str">
        <f aca="false">IF(S724=1,IF(ISNUMBER(I724),I724-G724,""),"")</f>
        <v/>
      </c>
      <c r="P724" s="59" t="str">
        <f aca="false">IF(T724=1,IF(ISNUMBER(L724),L724-G724,""),"")</f>
        <v/>
      </c>
      <c r="Q724" s="60" t="str">
        <f aca="false">IF(C724="","",IF(T724=1,"✔ SOLD / VENDIDO",IF(S724=0,"— CLOSED / CERRADO",IF(U724&lt;0,"⚠ ADD DATE / AGREGA FECHA",IF(U724&gt;=Settings!$C$8,"⚠ STALE – REPRICE / ESTANCADO",IF(U724&gt;=Settings!$C$7,"● WATCH / VIGILAR","✔ FRESH / RECIENTE"))))))</f>
        <v/>
      </c>
      <c r="S724" s="53" t="n">
        <f aca="false">IF(C724="",0,IF(OR(J724="",J724="In Stock / En Inventario",J724="Listed / Publicado"),1,0))</f>
        <v>0</v>
      </c>
      <c r="T724" s="53" t="n">
        <f aca="false">IF(C724="",0,IF(J724="Sold / Vendido",1,0))</f>
        <v>0</v>
      </c>
      <c r="U724" s="53" t="n">
        <f aca="true">IF(S724=1,IF(ISNUMBER(F724),TODAY()-F724,-1),-1)</f>
        <v>-1</v>
      </c>
      <c r="V724" s="53" t="n">
        <f aca="false">IF(U724&lt;0,IF(S724=1,5,0),IF(U724&lt;=30,1,IF(U724&lt;=60,2,IF(U724&lt;=90,3,4))))</f>
        <v>0</v>
      </c>
      <c r="W724" s="53" t="n">
        <f aca="false">IF(U724&lt;0,-1000000000000000,U724+ROW()/1000000)</f>
        <v>-1000000000000000</v>
      </c>
      <c r="X724" s="53" t="n">
        <f aca="false">IF(T724=1,IF(AND(ISNUMBER(F724),ISNUMBER(K724)),K724-F724,0),0)</f>
        <v>0</v>
      </c>
      <c r="Y724" s="53" t="n">
        <f aca="false">IF(T724=1,IF(AND(ISNUMBER(F724),ISNUMBER(K724)),1,0),0)</f>
        <v>0</v>
      </c>
      <c r="Z724" s="53" t="n">
        <f aca="false">IF(U724&gt;=Settings!$C$8,1,0)</f>
        <v>0</v>
      </c>
      <c r="AA724" s="53" t="n">
        <f aca="false">IF(S724=1,IF(J724="Listed / Publicado",0,1),0)</f>
        <v>0</v>
      </c>
      <c r="AB724" s="53" t="n">
        <f aca="false">IF(T724=1,IF(ISNUMBER(L724),L724-G724,0),0)</f>
        <v>0</v>
      </c>
      <c r="AC724" s="53" t="n">
        <f aca="false">IF(S724=1,IF(ISNUMBER(I724),I724-G724,0),0)</f>
        <v>0</v>
      </c>
    </row>
    <row r="725" customFormat="false" ht="15" hidden="false" customHeight="false" outlineLevel="0" collapsed="false">
      <c r="B725" s="54"/>
      <c r="C725" s="55"/>
      <c r="D725" s="55"/>
      <c r="E725" s="55"/>
      <c r="F725" s="56"/>
      <c r="G725" s="57"/>
      <c r="H725" s="55"/>
      <c r="I725" s="57"/>
      <c r="J725" s="54"/>
      <c r="K725" s="56"/>
      <c r="L725" s="57"/>
      <c r="M725" s="54"/>
      <c r="N725" s="58" t="str">
        <f aca="false">IF(S725=1,IF(U725&lt;0,"",U725),IF(Y725=1,X725,""))</f>
        <v/>
      </c>
      <c r="O725" s="59" t="str">
        <f aca="false">IF(S725=1,IF(ISNUMBER(I725),I725-G725,""),"")</f>
        <v/>
      </c>
      <c r="P725" s="59" t="str">
        <f aca="false">IF(T725=1,IF(ISNUMBER(L725),L725-G725,""),"")</f>
        <v/>
      </c>
      <c r="Q725" s="60" t="str">
        <f aca="false">IF(C725="","",IF(T725=1,"✔ SOLD / VENDIDO",IF(S725=0,"— CLOSED / CERRADO",IF(U725&lt;0,"⚠ ADD DATE / AGREGA FECHA",IF(U725&gt;=Settings!$C$8,"⚠ STALE – REPRICE / ESTANCADO",IF(U725&gt;=Settings!$C$7,"● WATCH / VIGILAR","✔ FRESH / RECIENTE"))))))</f>
        <v/>
      </c>
      <c r="S725" s="53" t="n">
        <f aca="false">IF(C725="",0,IF(OR(J725="",J725="In Stock / En Inventario",J725="Listed / Publicado"),1,0))</f>
        <v>0</v>
      </c>
      <c r="T725" s="53" t="n">
        <f aca="false">IF(C725="",0,IF(J725="Sold / Vendido",1,0))</f>
        <v>0</v>
      </c>
      <c r="U725" s="53" t="n">
        <f aca="true">IF(S725=1,IF(ISNUMBER(F725),TODAY()-F725,-1),-1)</f>
        <v>-1</v>
      </c>
      <c r="V725" s="53" t="n">
        <f aca="false">IF(U725&lt;0,IF(S725=1,5,0),IF(U725&lt;=30,1,IF(U725&lt;=60,2,IF(U725&lt;=90,3,4))))</f>
        <v>0</v>
      </c>
      <c r="W725" s="53" t="n">
        <f aca="false">IF(U725&lt;0,-1000000000000000,U725+ROW()/1000000)</f>
        <v>-1000000000000000</v>
      </c>
      <c r="X725" s="53" t="n">
        <f aca="false">IF(T725=1,IF(AND(ISNUMBER(F725),ISNUMBER(K725)),K725-F725,0),0)</f>
        <v>0</v>
      </c>
      <c r="Y725" s="53" t="n">
        <f aca="false">IF(T725=1,IF(AND(ISNUMBER(F725),ISNUMBER(K725)),1,0),0)</f>
        <v>0</v>
      </c>
      <c r="Z725" s="53" t="n">
        <f aca="false">IF(U725&gt;=Settings!$C$8,1,0)</f>
        <v>0</v>
      </c>
      <c r="AA725" s="53" t="n">
        <f aca="false">IF(S725=1,IF(J725="Listed / Publicado",0,1),0)</f>
        <v>0</v>
      </c>
      <c r="AB725" s="53" t="n">
        <f aca="false">IF(T725=1,IF(ISNUMBER(L725),L725-G725,0),0)</f>
        <v>0</v>
      </c>
      <c r="AC725" s="53" t="n">
        <f aca="false">IF(S725=1,IF(ISNUMBER(I725),I725-G725,0),0)</f>
        <v>0</v>
      </c>
    </row>
    <row r="726" customFormat="false" ht="15" hidden="false" customHeight="false" outlineLevel="0" collapsed="false">
      <c r="B726" s="54"/>
      <c r="C726" s="55"/>
      <c r="D726" s="55"/>
      <c r="E726" s="55"/>
      <c r="F726" s="56"/>
      <c r="G726" s="57"/>
      <c r="H726" s="55"/>
      <c r="I726" s="57"/>
      <c r="J726" s="54"/>
      <c r="K726" s="56"/>
      <c r="L726" s="57"/>
      <c r="M726" s="54"/>
      <c r="N726" s="58" t="str">
        <f aca="false">IF(S726=1,IF(U726&lt;0,"",U726),IF(Y726=1,X726,""))</f>
        <v/>
      </c>
      <c r="O726" s="59" t="str">
        <f aca="false">IF(S726=1,IF(ISNUMBER(I726),I726-G726,""),"")</f>
        <v/>
      </c>
      <c r="P726" s="59" t="str">
        <f aca="false">IF(T726=1,IF(ISNUMBER(L726),L726-G726,""),"")</f>
        <v/>
      </c>
      <c r="Q726" s="60" t="str">
        <f aca="false">IF(C726="","",IF(T726=1,"✔ SOLD / VENDIDO",IF(S726=0,"— CLOSED / CERRADO",IF(U726&lt;0,"⚠ ADD DATE / AGREGA FECHA",IF(U726&gt;=Settings!$C$8,"⚠ STALE – REPRICE / ESTANCADO",IF(U726&gt;=Settings!$C$7,"● WATCH / VIGILAR","✔ FRESH / RECIENTE"))))))</f>
        <v/>
      </c>
      <c r="S726" s="53" t="n">
        <f aca="false">IF(C726="",0,IF(OR(J726="",J726="In Stock / En Inventario",J726="Listed / Publicado"),1,0))</f>
        <v>0</v>
      </c>
      <c r="T726" s="53" t="n">
        <f aca="false">IF(C726="",0,IF(J726="Sold / Vendido",1,0))</f>
        <v>0</v>
      </c>
      <c r="U726" s="53" t="n">
        <f aca="true">IF(S726=1,IF(ISNUMBER(F726),TODAY()-F726,-1),-1)</f>
        <v>-1</v>
      </c>
      <c r="V726" s="53" t="n">
        <f aca="false">IF(U726&lt;0,IF(S726=1,5,0),IF(U726&lt;=30,1,IF(U726&lt;=60,2,IF(U726&lt;=90,3,4))))</f>
        <v>0</v>
      </c>
      <c r="W726" s="53" t="n">
        <f aca="false">IF(U726&lt;0,-1000000000000000,U726+ROW()/1000000)</f>
        <v>-1000000000000000</v>
      </c>
      <c r="X726" s="53" t="n">
        <f aca="false">IF(T726=1,IF(AND(ISNUMBER(F726),ISNUMBER(K726)),K726-F726,0),0)</f>
        <v>0</v>
      </c>
      <c r="Y726" s="53" t="n">
        <f aca="false">IF(T726=1,IF(AND(ISNUMBER(F726),ISNUMBER(K726)),1,0),0)</f>
        <v>0</v>
      </c>
      <c r="Z726" s="53" t="n">
        <f aca="false">IF(U726&gt;=Settings!$C$8,1,0)</f>
        <v>0</v>
      </c>
      <c r="AA726" s="53" t="n">
        <f aca="false">IF(S726=1,IF(J726="Listed / Publicado",0,1),0)</f>
        <v>0</v>
      </c>
      <c r="AB726" s="53" t="n">
        <f aca="false">IF(T726=1,IF(ISNUMBER(L726),L726-G726,0),0)</f>
        <v>0</v>
      </c>
      <c r="AC726" s="53" t="n">
        <f aca="false">IF(S726=1,IF(ISNUMBER(I726),I726-G726,0),0)</f>
        <v>0</v>
      </c>
    </row>
    <row r="727" customFormat="false" ht="15" hidden="false" customHeight="false" outlineLevel="0" collapsed="false">
      <c r="B727" s="54"/>
      <c r="C727" s="55"/>
      <c r="D727" s="55"/>
      <c r="E727" s="55"/>
      <c r="F727" s="56"/>
      <c r="G727" s="57"/>
      <c r="H727" s="55"/>
      <c r="I727" s="57"/>
      <c r="J727" s="54"/>
      <c r="K727" s="56"/>
      <c r="L727" s="57"/>
      <c r="M727" s="54"/>
      <c r="N727" s="58" t="str">
        <f aca="false">IF(S727=1,IF(U727&lt;0,"",U727),IF(Y727=1,X727,""))</f>
        <v/>
      </c>
      <c r="O727" s="59" t="str">
        <f aca="false">IF(S727=1,IF(ISNUMBER(I727),I727-G727,""),"")</f>
        <v/>
      </c>
      <c r="P727" s="59" t="str">
        <f aca="false">IF(T727=1,IF(ISNUMBER(L727),L727-G727,""),"")</f>
        <v/>
      </c>
      <c r="Q727" s="60" t="str">
        <f aca="false">IF(C727="","",IF(T727=1,"✔ SOLD / VENDIDO",IF(S727=0,"— CLOSED / CERRADO",IF(U727&lt;0,"⚠ ADD DATE / AGREGA FECHA",IF(U727&gt;=Settings!$C$8,"⚠ STALE – REPRICE / ESTANCADO",IF(U727&gt;=Settings!$C$7,"● WATCH / VIGILAR","✔ FRESH / RECIENTE"))))))</f>
        <v/>
      </c>
      <c r="S727" s="53" t="n">
        <f aca="false">IF(C727="",0,IF(OR(J727="",J727="In Stock / En Inventario",J727="Listed / Publicado"),1,0))</f>
        <v>0</v>
      </c>
      <c r="T727" s="53" t="n">
        <f aca="false">IF(C727="",0,IF(J727="Sold / Vendido",1,0))</f>
        <v>0</v>
      </c>
      <c r="U727" s="53" t="n">
        <f aca="true">IF(S727=1,IF(ISNUMBER(F727),TODAY()-F727,-1),-1)</f>
        <v>-1</v>
      </c>
      <c r="V727" s="53" t="n">
        <f aca="false">IF(U727&lt;0,IF(S727=1,5,0),IF(U727&lt;=30,1,IF(U727&lt;=60,2,IF(U727&lt;=90,3,4))))</f>
        <v>0</v>
      </c>
      <c r="W727" s="53" t="n">
        <f aca="false">IF(U727&lt;0,-1000000000000000,U727+ROW()/1000000)</f>
        <v>-1000000000000000</v>
      </c>
      <c r="X727" s="53" t="n">
        <f aca="false">IF(T727=1,IF(AND(ISNUMBER(F727),ISNUMBER(K727)),K727-F727,0),0)</f>
        <v>0</v>
      </c>
      <c r="Y727" s="53" t="n">
        <f aca="false">IF(T727=1,IF(AND(ISNUMBER(F727),ISNUMBER(K727)),1,0),0)</f>
        <v>0</v>
      </c>
      <c r="Z727" s="53" t="n">
        <f aca="false">IF(U727&gt;=Settings!$C$8,1,0)</f>
        <v>0</v>
      </c>
      <c r="AA727" s="53" t="n">
        <f aca="false">IF(S727=1,IF(J727="Listed / Publicado",0,1),0)</f>
        <v>0</v>
      </c>
      <c r="AB727" s="53" t="n">
        <f aca="false">IF(T727=1,IF(ISNUMBER(L727),L727-G727,0),0)</f>
        <v>0</v>
      </c>
      <c r="AC727" s="53" t="n">
        <f aca="false">IF(S727=1,IF(ISNUMBER(I727),I727-G727,0),0)</f>
        <v>0</v>
      </c>
    </row>
    <row r="728" customFormat="false" ht="15" hidden="false" customHeight="false" outlineLevel="0" collapsed="false">
      <c r="B728" s="54"/>
      <c r="C728" s="55"/>
      <c r="D728" s="55"/>
      <c r="E728" s="55"/>
      <c r="F728" s="56"/>
      <c r="G728" s="57"/>
      <c r="H728" s="55"/>
      <c r="I728" s="57"/>
      <c r="J728" s="54"/>
      <c r="K728" s="56"/>
      <c r="L728" s="57"/>
      <c r="M728" s="54"/>
      <c r="N728" s="58" t="str">
        <f aca="false">IF(S728=1,IF(U728&lt;0,"",U728),IF(Y728=1,X728,""))</f>
        <v/>
      </c>
      <c r="O728" s="59" t="str">
        <f aca="false">IF(S728=1,IF(ISNUMBER(I728),I728-G728,""),"")</f>
        <v/>
      </c>
      <c r="P728" s="59" t="str">
        <f aca="false">IF(T728=1,IF(ISNUMBER(L728),L728-G728,""),"")</f>
        <v/>
      </c>
      <c r="Q728" s="60" t="str">
        <f aca="false">IF(C728="","",IF(T728=1,"✔ SOLD / VENDIDO",IF(S728=0,"— CLOSED / CERRADO",IF(U728&lt;0,"⚠ ADD DATE / AGREGA FECHA",IF(U728&gt;=Settings!$C$8,"⚠ STALE – REPRICE / ESTANCADO",IF(U728&gt;=Settings!$C$7,"● WATCH / VIGILAR","✔ FRESH / RECIENTE"))))))</f>
        <v/>
      </c>
      <c r="S728" s="53" t="n">
        <f aca="false">IF(C728="",0,IF(OR(J728="",J728="In Stock / En Inventario",J728="Listed / Publicado"),1,0))</f>
        <v>0</v>
      </c>
      <c r="T728" s="53" t="n">
        <f aca="false">IF(C728="",0,IF(J728="Sold / Vendido",1,0))</f>
        <v>0</v>
      </c>
      <c r="U728" s="53" t="n">
        <f aca="true">IF(S728=1,IF(ISNUMBER(F728),TODAY()-F728,-1),-1)</f>
        <v>-1</v>
      </c>
      <c r="V728" s="53" t="n">
        <f aca="false">IF(U728&lt;0,IF(S728=1,5,0),IF(U728&lt;=30,1,IF(U728&lt;=60,2,IF(U728&lt;=90,3,4))))</f>
        <v>0</v>
      </c>
      <c r="W728" s="53" t="n">
        <f aca="false">IF(U728&lt;0,-1000000000000000,U728+ROW()/1000000)</f>
        <v>-1000000000000000</v>
      </c>
      <c r="X728" s="53" t="n">
        <f aca="false">IF(T728=1,IF(AND(ISNUMBER(F728),ISNUMBER(K728)),K728-F728,0),0)</f>
        <v>0</v>
      </c>
      <c r="Y728" s="53" t="n">
        <f aca="false">IF(T728=1,IF(AND(ISNUMBER(F728),ISNUMBER(K728)),1,0),0)</f>
        <v>0</v>
      </c>
      <c r="Z728" s="53" t="n">
        <f aca="false">IF(U728&gt;=Settings!$C$8,1,0)</f>
        <v>0</v>
      </c>
      <c r="AA728" s="53" t="n">
        <f aca="false">IF(S728=1,IF(J728="Listed / Publicado",0,1),0)</f>
        <v>0</v>
      </c>
      <c r="AB728" s="53" t="n">
        <f aca="false">IF(T728=1,IF(ISNUMBER(L728),L728-G728,0),0)</f>
        <v>0</v>
      </c>
      <c r="AC728" s="53" t="n">
        <f aca="false">IF(S728=1,IF(ISNUMBER(I728),I728-G728,0),0)</f>
        <v>0</v>
      </c>
    </row>
    <row r="729" customFormat="false" ht="15" hidden="false" customHeight="false" outlineLevel="0" collapsed="false">
      <c r="B729" s="54"/>
      <c r="C729" s="55"/>
      <c r="D729" s="55"/>
      <c r="E729" s="55"/>
      <c r="F729" s="56"/>
      <c r="G729" s="57"/>
      <c r="H729" s="55"/>
      <c r="I729" s="57"/>
      <c r="J729" s="54"/>
      <c r="K729" s="56"/>
      <c r="L729" s="57"/>
      <c r="M729" s="54"/>
      <c r="N729" s="58" t="str">
        <f aca="false">IF(S729=1,IF(U729&lt;0,"",U729),IF(Y729=1,X729,""))</f>
        <v/>
      </c>
      <c r="O729" s="59" t="str">
        <f aca="false">IF(S729=1,IF(ISNUMBER(I729),I729-G729,""),"")</f>
        <v/>
      </c>
      <c r="P729" s="59" t="str">
        <f aca="false">IF(T729=1,IF(ISNUMBER(L729),L729-G729,""),"")</f>
        <v/>
      </c>
      <c r="Q729" s="60" t="str">
        <f aca="false">IF(C729="","",IF(T729=1,"✔ SOLD / VENDIDO",IF(S729=0,"— CLOSED / CERRADO",IF(U729&lt;0,"⚠ ADD DATE / AGREGA FECHA",IF(U729&gt;=Settings!$C$8,"⚠ STALE – REPRICE / ESTANCADO",IF(U729&gt;=Settings!$C$7,"● WATCH / VIGILAR","✔ FRESH / RECIENTE"))))))</f>
        <v/>
      </c>
      <c r="S729" s="53" t="n">
        <f aca="false">IF(C729="",0,IF(OR(J729="",J729="In Stock / En Inventario",J729="Listed / Publicado"),1,0))</f>
        <v>0</v>
      </c>
      <c r="T729" s="53" t="n">
        <f aca="false">IF(C729="",0,IF(J729="Sold / Vendido",1,0))</f>
        <v>0</v>
      </c>
      <c r="U729" s="53" t="n">
        <f aca="true">IF(S729=1,IF(ISNUMBER(F729),TODAY()-F729,-1),-1)</f>
        <v>-1</v>
      </c>
      <c r="V729" s="53" t="n">
        <f aca="false">IF(U729&lt;0,IF(S729=1,5,0),IF(U729&lt;=30,1,IF(U729&lt;=60,2,IF(U729&lt;=90,3,4))))</f>
        <v>0</v>
      </c>
      <c r="W729" s="53" t="n">
        <f aca="false">IF(U729&lt;0,-1000000000000000,U729+ROW()/1000000)</f>
        <v>-1000000000000000</v>
      </c>
      <c r="X729" s="53" t="n">
        <f aca="false">IF(T729=1,IF(AND(ISNUMBER(F729),ISNUMBER(K729)),K729-F729,0),0)</f>
        <v>0</v>
      </c>
      <c r="Y729" s="53" t="n">
        <f aca="false">IF(T729=1,IF(AND(ISNUMBER(F729),ISNUMBER(K729)),1,0),0)</f>
        <v>0</v>
      </c>
      <c r="Z729" s="53" t="n">
        <f aca="false">IF(U729&gt;=Settings!$C$8,1,0)</f>
        <v>0</v>
      </c>
      <c r="AA729" s="53" t="n">
        <f aca="false">IF(S729=1,IF(J729="Listed / Publicado",0,1),0)</f>
        <v>0</v>
      </c>
      <c r="AB729" s="53" t="n">
        <f aca="false">IF(T729=1,IF(ISNUMBER(L729),L729-G729,0),0)</f>
        <v>0</v>
      </c>
      <c r="AC729" s="53" t="n">
        <f aca="false">IF(S729=1,IF(ISNUMBER(I729),I729-G729,0),0)</f>
        <v>0</v>
      </c>
    </row>
    <row r="730" customFormat="false" ht="15" hidden="false" customHeight="false" outlineLevel="0" collapsed="false">
      <c r="B730" s="54"/>
      <c r="C730" s="55"/>
      <c r="D730" s="55"/>
      <c r="E730" s="55"/>
      <c r="F730" s="56"/>
      <c r="G730" s="57"/>
      <c r="H730" s="55"/>
      <c r="I730" s="57"/>
      <c r="J730" s="54"/>
      <c r="K730" s="56"/>
      <c r="L730" s="57"/>
      <c r="M730" s="54"/>
      <c r="N730" s="58" t="str">
        <f aca="false">IF(S730=1,IF(U730&lt;0,"",U730),IF(Y730=1,X730,""))</f>
        <v/>
      </c>
      <c r="O730" s="59" t="str">
        <f aca="false">IF(S730=1,IF(ISNUMBER(I730),I730-G730,""),"")</f>
        <v/>
      </c>
      <c r="P730" s="59" t="str">
        <f aca="false">IF(T730=1,IF(ISNUMBER(L730),L730-G730,""),"")</f>
        <v/>
      </c>
      <c r="Q730" s="60" t="str">
        <f aca="false">IF(C730="","",IF(T730=1,"✔ SOLD / VENDIDO",IF(S730=0,"— CLOSED / CERRADO",IF(U730&lt;0,"⚠ ADD DATE / AGREGA FECHA",IF(U730&gt;=Settings!$C$8,"⚠ STALE – REPRICE / ESTANCADO",IF(U730&gt;=Settings!$C$7,"● WATCH / VIGILAR","✔ FRESH / RECIENTE"))))))</f>
        <v/>
      </c>
      <c r="S730" s="53" t="n">
        <f aca="false">IF(C730="",0,IF(OR(J730="",J730="In Stock / En Inventario",J730="Listed / Publicado"),1,0))</f>
        <v>0</v>
      </c>
      <c r="T730" s="53" t="n">
        <f aca="false">IF(C730="",0,IF(J730="Sold / Vendido",1,0))</f>
        <v>0</v>
      </c>
      <c r="U730" s="53" t="n">
        <f aca="true">IF(S730=1,IF(ISNUMBER(F730),TODAY()-F730,-1),-1)</f>
        <v>-1</v>
      </c>
      <c r="V730" s="53" t="n">
        <f aca="false">IF(U730&lt;0,IF(S730=1,5,0),IF(U730&lt;=30,1,IF(U730&lt;=60,2,IF(U730&lt;=90,3,4))))</f>
        <v>0</v>
      </c>
      <c r="W730" s="53" t="n">
        <f aca="false">IF(U730&lt;0,-1000000000000000,U730+ROW()/1000000)</f>
        <v>-1000000000000000</v>
      </c>
      <c r="X730" s="53" t="n">
        <f aca="false">IF(T730=1,IF(AND(ISNUMBER(F730),ISNUMBER(K730)),K730-F730,0),0)</f>
        <v>0</v>
      </c>
      <c r="Y730" s="53" t="n">
        <f aca="false">IF(T730=1,IF(AND(ISNUMBER(F730),ISNUMBER(K730)),1,0),0)</f>
        <v>0</v>
      </c>
      <c r="Z730" s="53" t="n">
        <f aca="false">IF(U730&gt;=Settings!$C$8,1,0)</f>
        <v>0</v>
      </c>
      <c r="AA730" s="53" t="n">
        <f aca="false">IF(S730=1,IF(J730="Listed / Publicado",0,1),0)</f>
        <v>0</v>
      </c>
      <c r="AB730" s="53" t="n">
        <f aca="false">IF(T730=1,IF(ISNUMBER(L730),L730-G730,0),0)</f>
        <v>0</v>
      </c>
      <c r="AC730" s="53" t="n">
        <f aca="false">IF(S730=1,IF(ISNUMBER(I730),I730-G730,0),0)</f>
        <v>0</v>
      </c>
    </row>
    <row r="731" customFormat="false" ht="15" hidden="false" customHeight="false" outlineLevel="0" collapsed="false">
      <c r="B731" s="54"/>
      <c r="C731" s="55"/>
      <c r="D731" s="55"/>
      <c r="E731" s="55"/>
      <c r="F731" s="56"/>
      <c r="G731" s="57"/>
      <c r="H731" s="55"/>
      <c r="I731" s="57"/>
      <c r="J731" s="54"/>
      <c r="K731" s="56"/>
      <c r="L731" s="57"/>
      <c r="M731" s="54"/>
      <c r="N731" s="58" t="str">
        <f aca="false">IF(S731=1,IF(U731&lt;0,"",U731),IF(Y731=1,X731,""))</f>
        <v/>
      </c>
      <c r="O731" s="59" t="str">
        <f aca="false">IF(S731=1,IF(ISNUMBER(I731),I731-G731,""),"")</f>
        <v/>
      </c>
      <c r="P731" s="59" t="str">
        <f aca="false">IF(T731=1,IF(ISNUMBER(L731),L731-G731,""),"")</f>
        <v/>
      </c>
      <c r="Q731" s="60" t="str">
        <f aca="false">IF(C731="","",IF(T731=1,"✔ SOLD / VENDIDO",IF(S731=0,"— CLOSED / CERRADO",IF(U731&lt;0,"⚠ ADD DATE / AGREGA FECHA",IF(U731&gt;=Settings!$C$8,"⚠ STALE – REPRICE / ESTANCADO",IF(U731&gt;=Settings!$C$7,"● WATCH / VIGILAR","✔ FRESH / RECIENTE"))))))</f>
        <v/>
      </c>
      <c r="S731" s="53" t="n">
        <f aca="false">IF(C731="",0,IF(OR(J731="",J731="In Stock / En Inventario",J731="Listed / Publicado"),1,0))</f>
        <v>0</v>
      </c>
      <c r="T731" s="53" t="n">
        <f aca="false">IF(C731="",0,IF(J731="Sold / Vendido",1,0))</f>
        <v>0</v>
      </c>
      <c r="U731" s="53" t="n">
        <f aca="true">IF(S731=1,IF(ISNUMBER(F731),TODAY()-F731,-1),-1)</f>
        <v>-1</v>
      </c>
      <c r="V731" s="53" t="n">
        <f aca="false">IF(U731&lt;0,IF(S731=1,5,0),IF(U731&lt;=30,1,IF(U731&lt;=60,2,IF(U731&lt;=90,3,4))))</f>
        <v>0</v>
      </c>
      <c r="W731" s="53" t="n">
        <f aca="false">IF(U731&lt;0,-1000000000000000,U731+ROW()/1000000)</f>
        <v>-1000000000000000</v>
      </c>
      <c r="X731" s="53" t="n">
        <f aca="false">IF(T731=1,IF(AND(ISNUMBER(F731),ISNUMBER(K731)),K731-F731,0),0)</f>
        <v>0</v>
      </c>
      <c r="Y731" s="53" t="n">
        <f aca="false">IF(T731=1,IF(AND(ISNUMBER(F731),ISNUMBER(K731)),1,0),0)</f>
        <v>0</v>
      </c>
      <c r="Z731" s="53" t="n">
        <f aca="false">IF(U731&gt;=Settings!$C$8,1,0)</f>
        <v>0</v>
      </c>
      <c r="AA731" s="53" t="n">
        <f aca="false">IF(S731=1,IF(J731="Listed / Publicado",0,1),0)</f>
        <v>0</v>
      </c>
      <c r="AB731" s="53" t="n">
        <f aca="false">IF(T731=1,IF(ISNUMBER(L731),L731-G731,0),0)</f>
        <v>0</v>
      </c>
      <c r="AC731" s="53" t="n">
        <f aca="false">IF(S731=1,IF(ISNUMBER(I731),I731-G731,0),0)</f>
        <v>0</v>
      </c>
    </row>
    <row r="732" customFormat="false" ht="15" hidden="false" customHeight="false" outlineLevel="0" collapsed="false">
      <c r="B732" s="54"/>
      <c r="C732" s="55"/>
      <c r="D732" s="55"/>
      <c r="E732" s="55"/>
      <c r="F732" s="56"/>
      <c r="G732" s="57"/>
      <c r="H732" s="55"/>
      <c r="I732" s="57"/>
      <c r="J732" s="54"/>
      <c r="K732" s="56"/>
      <c r="L732" s="57"/>
      <c r="M732" s="54"/>
      <c r="N732" s="58" t="str">
        <f aca="false">IF(S732=1,IF(U732&lt;0,"",U732),IF(Y732=1,X732,""))</f>
        <v/>
      </c>
      <c r="O732" s="59" t="str">
        <f aca="false">IF(S732=1,IF(ISNUMBER(I732),I732-G732,""),"")</f>
        <v/>
      </c>
      <c r="P732" s="59" t="str">
        <f aca="false">IF(T732=1,IF(ISNUMBER(L732),L732-G732,""),"")</f>
        <v/>
      </c>
      <c r="Q732" s="60" t="str">
        <f aca="false">IF(C732="","",IF(T732=1,"✔ SOLD / VENDIDO",IF(S732=0,"— CLOSED / CERRADO",IF(U732&lt;0,"⚠ ADD DATE / AGREGA FECHA",IF(U732&gt;=Settings!$C$8,"⚠ STALE – REPRICE / ESTANCADO",IF(U732&gt;=Settings!$C$7,"● WATCH / VIGILAR","✔ FRESH / RECIENTE"))))))</f>
        <v/>
      </c>
      <c r="S732" s="53" t="n">
        <f aca="false">IF(C732="",0,IF(OR(J732="",J732="In Stock / En Inventario",J732="Listed / Publicado"),1,0))</f>
        <v>0</v>
      </c>
      <c r="T732" s="53" t="n">
        <f aca="false">IF(C732="",0,IF(J732="Sold / Vendido",1,0))</f>
        <v>0</v>
      </c>
      <c r="U732" s="53" t="n">
        <f aca="true">IF(S732=1,IF(ISNUMBER(F732),TODAY()-F732,-1),-1)</f>
        <v>-1</v>
      </c>
      <c r="V732" s="53" t="n">
        <f aca="false">IF(U732&lt;0,IF(S732=1,5,0),IF(U732&lt;=30,1,IF(U732&lt;=60,2,IF(U732&lt;=90,3,4))))</f>
        <v>0</v>
      </c>
      <c r="W732" s="53" t="n">
        <f aca="false">IF(U732&lt;0,-1000000000000000,U732+ROW()/1000000)</f>
        <v>-1000000000000000</v>
      </c>
      <c r="X732" s="53" t="n">
        <f aca="false">IF(T732=1,IF(AND(ISNUMBER(F732),ISNUMBER(K732)),K732-F732,0),0)</f>
        <v>0</v>
      </c>
      <c r="Y732" s="53" t="n">
        <f aca="false">IF(T732=1,IF(AND(ISNUMBER(F732),ISNUMBER(K732)),1,0),0)</f>
        <v>0</v>
      </c>
      <c r="Z732" s="53" t="n">
        <f aca="false">IF(U732&gt;=Settings!$C$8,1,0)</f>
        <v>0</v>
      </c>
      <c r="AA732" s="53" t="n">
        <f aca="false">IF(S732=1,IF(J732="Listed / Publicado",0,1),0)</f>
        <v>0</v>
      </c>
      <c r="AB732" s="53" t="n">
        <f aca="false">IF(T732=1,IF(ISNUMBER(L732),L732-G732,0),0)</f>
        <v>0</v>
      </c>
      <c r="AC732" s="53" t="n">
        <f aca="false">IF(S732=1,IF(ISNUMBER(I732),I732-G732,0),0)</f>
        <v>0</v>
      </c>
    </row>
    <row r="733" customFormat="false" ht="15" hidden="false" customHeight="false" outlineLevel="0" collapsed="false">
      <c r="B733" s="54"/>
      <c r="C733" s="55"/>
      <c r="D733" s="55"/>
      <c r="E733" s="55"/>
      <c r="F733" s="56"/>
      <c r="G733" s="57"/>
      <c r="H733" s="55"/>
      <c r="I733" s="57"/>
      <c r="J733" s="54"/>
      <c r="K733" s="56"/>
      <c r="L733" s="57"/>
      <c r="M733" s="54"/>
      <c r="N733" s="58" t="str">
        <f aca="false">IF(S733=1,IF(U733&lt;0,"",U733),IF(Y733=1,X733,""))</f>
        <v/>
      </c>
      <c r="O733" s="59" t="str">
        <f aca="false">IF(S733=1,IF(ISNUMBER(I733),I733-G733,""),"")</f>
        <v/>
      </c>
      <c r="P733" s="59" t="str">
        <f aca="false">IF(T733=1,IF(ISNUMBER(L733),L733-G733,""),"")</f>
        <v/>
      </c>
      <c r="Q733" s="60" t="str">
        <f aca="false">IF(C733="","",IF(T733=1,"✔ SOLD / VENDIDO",IF(S733=0,"— CLOSED / CERRADO",IF(U733&lt;0,"⚠ ADD DATE / AGREGA FECHA",IF(U733&gt;=Settings!$C$8,"⚠ STALE – REPRICE / ESTANCADO",IF(U733&gt;=Settings!$C$7,"● WATCH / VIGILAR","✔ FRESH / RECIENTE"))))))</f>
        <v/>
      </c>
      <c r="S733" s="53" t="n">
        <f aca="false">IF(C733="",0,IF(OR(J733="",J733="In Stock / En Inventario",J733="Listed / Publicado"),1,0))</f>
        <v>0</v>
      </c>
      <c r="T733" s="53" t="n">
        <f aca="false">IF(C733="",0,IF(J733="Sold / Vendido",1,0))</f>
        <v>0</v>
      </c>
      <c r="U733" s="53" t="n">
        <f aca="true">IF(S733=1,IF(ISNUMBER(F733),TODAY()-F733,-1),-1)</f>
        <v>-1</v>
      </c>
      <c r="V733" s="53" t="n">
        <f aca="false">IF(U733&lt;0,IF(S733=1,5,0),IF(U733&lt;=30,1,IF(U733&lt;=60,2,IF(U733&lt;=90,3,4))))</f>
        <v>0</v>
      </c>
      <c r="W733" s="53" t="n">
        <f aca="false">IF(U733&lt;0,-1000000000000000,U733+ROW()/1000000)</f>
        <v>-1000000000000000</v>
      </c>
      <c r="X733" s="53" t="n">
        <f aca="false">IF(T733=1,IF(AND(ISNUMBER(F733),ISNUMBER(K733)),K733-F733,0),0)</f>
        <v>0</v>
      </c>
      <c r="Y733" s="53" t="n">
        <f aca="false">IF(T733=1,IF(AND(ISNUMBER(F733),ISNUMBER(K733)),1,0),0)</f>
        <v>0</v>
      </c>
      <c r="Z733" s="53" t="n">
        <f aca="false">IF(U733&gt;=Settings!$C$8,1,0)</f>
        <v>0</v>
      </c>
      <c r="AA733" s="53" t="n">
        <f aca="false">IF(S733=1,IF(J733="Listed / Publicado",0,1),0)</f>
        <v>0</v>
      </c>
      <c r="AB733" s="53" t="n">
        <f aca="false">IF(T733=1,IF(ISNUMBER(L733),L733-G733,0),0)</f>
        <v>0</v>
      </c>
      <c r="AC733" s="53" t="n">
        <f aca="false">IF(S733=1,IF(ISNUMBER(I733),I733-G733,0),0)</f>
        <v>0</v>
      </c>
    </row>
    <row r="734" customFormat="false" ht="15" hidden="false" customHeight="false" outlineLevel="0" collapsed="false">
      <c r="B734" s="54"/>
      <c r="C734" s="55"/>
      <c r="D734" s="55"/>
      <c r="E734" s="55"/>
      <c r="F734" s="56"/>
      <c r="G734" s="57"/>
      <c r="H734" s="55"/>
      <c r="I734" s="57"/>
      <c r="J734" s="54"/>
      <c r="K734" s="56"/>
      <c r="L734" s="57"/>
      <c r="M734" s="54"/>
      <c r="N734" s="58" t="str">
        <f aca="false">IF(S734=1,IF(U734&lt;0,"",U734),IF(Y734=1,X734,""))</f>
        <v/>
      </c>
      <c r="O734" s="59" t="str">
        <f aca="false">IF(S734=1,IF(ISNUMBER(I734),I734-G734,""),"")</f>
        <v/>
      </c>
      <c r="P734" s="59" t="str">
        <f aca="false">IF(T734=1,IF(ISNUMBER(L734),L734-G734,""),"")</f>
        <v/>
      </c>
      <c r="Q734" s="60" t="str">
        <f aca="false">IF(C734="","",IF(T734=1,"✔ SOLD / VENDIDO",IF(S734=0,"— CLOSED / CERRADO",IF(U734&lt;0,"⚠ ADD DATE / AGREGA FECHA",IF(U734&gt;=Settings!$C$8,"⚠ STALE – REPRICE / ESTANCADO",IF(U734&gt;=Settings!$C$7,"● WATCH / VIGILAR","✔ FRESH / RECIENTE"))))))</f>
        <v/>
      </c>
      <c r="S734" s="53" t="n">
        <f aca="false">IF(C734="",0,IF(OR(J734="",J734="In Stock / En Inventario",J734="Listed / Publicado"),1,0))</f>
        <v>0</v>
      </c>
      <c r="T734" s="53" t="n">
        <f aca="false">IF(C734="",0,IF(J734="Sold / Vendido",1,0))</f>
        <v>0</v>
      </c>
      <c r="U734" s="53" t="n">
        <f aca="true">IF(S734=1,IF(ISNUMBER(F734),TODAY()-F734,-1),-1)</f>
        <v>-1</v>
      </c>
      <c r="V734" s="53" t="n">
        <f aca="false">IF(U734&lt;0,IF(S734=1,5,0),IF(U734&lt;=30,1,IF(U734&lt;=60,2,IF(U734&lt;=90,3,4))))</f>
        <v>0</v>
      </c>
      <c r="W734" s="53" t="n">
        <f aca="false">IF(U734&lt;0,-1000000000000000,U734+ROW()/1000000)</f>
        <v>-1000000000000000</v>
      </c>
      <c r="X734" s="53" t="n">
        <f aca="false">IF(T734=1,IF(AND(ISNUMBER(F734),ISNUMBER(K734)),K734-F734,0),0)</f>
        <v>0</v>
      </c>
      <c r="Y734" s="53" t="n">
        <f aca="false">IF(T734=1,IF(AND(ISNUMBER(F734),ISNUMBER(K734)),1,0),0)</f>
        <v>0</v>
      </c>
      <c r="Z734" s="53" t="n">
        <f aca="false">IF(U734&gt;=Settings!$C$8,1,0)</f>
        <v>0</v>
      </c>
      <c r="AA734" s="53" t="n">
        <f aca="false">IF(S734=1,IF(J734="Listed / Publicado",0,1),0)</f>
        <v>0</v>
      </c>
      <c r="AB734" s="53" t="n">
        <f aca="false">IF(T734=1,IF(ISNUMBER(L734),L734-G734,0),0)</f>
        <v>0</v>
      </c>
      <c r="AC734" s="53" t="n">
        <f aca="false">IF(S734=1,IF(ISNUMBER(I734),I734-G734,0),0)</f>
        <v>0</v>
      </c>
    </row>
    <row r="735" customFormat="false" ht="15" hidden="false" customHeight="false" outlineLevel="0" collapsed="false">
      <c r="B735" s="54"/>
      <c r="C735" s="55"/>
      <c r="D735" s="55"/>
      <c r="E735" s="55"/>
      <c r="F735" s="56"/>
      <c r="G735" s="57"/>
      <c r="H735" s="55"/>
      <c r="I735" s="57"/>
      <c r="J735" s="54"/>
      <c r="K735" s="56"/>
      <c r="L735" s="57"/>
      <c r="M735" s="54"/>
      <c r="N735" s="58" t="str">
        <f aca="false">IF(S735=1,IF(U735&lt;0,"",U735),IF(Y735=1,X735,""))</f>
        <v/>
      </c>
      <c r="O735" s="59" t="str">
        <f aca="false">IF(S735=1,IF(ISNUMBER(I735),I735-G735,""),"")</f>
        <v/>
      </c>
      <c r="P735" s="59" t="str">
        <f aca="false">IF(T735=1,IF(ISNUMBER(L735),L735-G735,""),"")</f>
        <v/>
      </c>
      <c r="Q735" s="60" t="str">
        <f aca="false">IF(C735="","",IF(T735=1,"✔ SOLD / VENDIDO",IF(S735=0,"— CLOSED / CERRADO",IF(U735&lt;0,"⚠ ADD DATE / AGREGA FECHA",IF(U735&gt;=Settings!$C$8,"⚠ STALE – REPRICE / ESTANCADO",IF(U735&gt;=Settings!$C$7,"● WATCH / VIGILAR","✔ FRESH / RECIENTE"))))))</f>
        <v/>
      </c>
      <c r="S735" s="53" t="n">
        <f aca="false">IF(C735="",0,IF(OR(J735="",J735="In Stock / En Inventario",J735="Listed / Publicado"),1,0))</f>
        <v>0</v>
      </c>
      <c r="T735" s="53" t="n">
        <f aca="false">IF(C735="",0,IF(J735="Sold / Vendido",1,0))</f>
        <v>0</v>
      </c>
      <c r="U735" s="53" t="n">
        <f aca="true">IF(S735=1,IF(ISNUMBER(F735),TODAY()-F735,-1),-1)</f>
        <v>-1</v>
      </c>
      <c r="V735" s="53" t="n">
        <f aca="false">IF(U735&lt;0,IF(S735=1,5,0),IF(U735&lt;=30,1,IF(U735&lt;=60,2,IF(U735&lt;=90,3,4))))</f>
        <v>0</v>
      </c>
      <c r="W735" s="53" t="n">
        <f aca="false">IF(U735&lt;0,-1000000000000000,U735+ROW()/1000000)</f>
        <v>-1000000000000000</v>
      </c>
      <c r="X735" s="53" t="n">
        <f aca="false">IF(T735=1,IF(AND(ISNUMBER(F735),ISNUMBER(K735)),K735-F735,0),0)</f>
        <v>0</v>
      </c>
      <c r="Y735" s="53" t="n">
        <f aca="false">IF(T735=1,IF(AND(ISNUMBER(F735),ISNUMBER(K735)),1,0),0)</f>
        <v>0</v>
      </c>
      <c r="Z735" s="53" t="n">
        <f aca="false">IF(U735&gt;=Settings!$C$8,1,0)</f>
        <v>0</v>
      </c>
      <c r="AA735" s="53" t="n">
        <f aca="false">IF(S735=1,IF(J735="Listed / Publicado",0,1),0)</f>
        <v>0</v>
      </c>
      <c r="AB735" s="53" t="n">
        <f aca="false">IF(T735=1,IF(ISNUMBER(L735),L735-G735,0),0)</f>
        <v>0</v>
      </c>
      <c r="AC735" s="53" t="n">
        <f aca="false">IF(S735=1,IF(ISNUMBER(I735),I735-G735,0),0)</f>
        <v>0</v>
      </c>
    </row>
    <row r="736" customFormat="false" ht="15" hidden="false" customHeight="false" outlineLevel="0" collapsed="false">
      <c r="B736" s="54"/>
      <c r="C736" s="55"/>
      <c r="D736" s="55"/>
      <c r="E736" s="55"/>
      <c r="F736" s="56"/>
      <c r="G736" s="57"/>
      <c r="H736" s="55"/>
      <c r="I736" s="57"/>
      <c r="J736" s="54"/>
      <c r="K736" s="56"/>
      <c r="L736" s="57"/>
      <c r="M736" s="54"/>
      <c r="N736" s="58" t="str">
        <f aca="false">IF(S736=1,IF(U736&lt;0,"",U736),IF(Y736=1,X736,""))</f>
        <v/>
      </c>
      <c r="O736" s="59" t="str">
        <f aca="false">IF(S736=1,IF(ISNUMBER(I736),I736-G736,""),"")</f>
        <v/>
      </c>
      <c r="P736" s="59" t="str">
        <f aca="false">IF(T736=1,IF(ISNUMBER(L736),L736-G736,""),"")</f>
        <v/>
      </c>
      <c r="Q736" s="60" t="str">
        <f aca="false">IF(C736="","",IF(T736=1,"✔ SOLD / VENDIDO",IF(S736=0,"— CLOSED / CERRADO",IF(U736&lt;0,"⚠ ADD DATE / AGREGA FECHA",IF(U736&gt;=Settings!$C$8,"⚠ STALE – REPRICE / ESTANCADO",IF(U736&gt;=Settings!$C$7,"● WATCH / VIGILAR","✔ FRESH / RECIENTE"))))))</f>
        <v/>
      </c>
      <c r="S736" s="53" t="n">
        <f aca="false">IF(C736="",0,IF(OR(J736="",J736="In Stock / En Inventario",J736="Listed / Publicado"),1,0))</f>
        <v>0</v>
      </c>
      <c r="T736" s="53" t="n">
        <f aca="false">IF(C736="",0,IF(J736="Sold / Vendido",1,0))</f>
        <v>0</v>
      </c>
      <c r="U736" s="53" t="n">
        <f aca="true">IF(S736=1,IF(ISNUMBER(F736),TODAY()-F736,-1),-1)</f>
        <v>-1</v>
      </c>
      <c r="V736" s="53" t="n">
        <f aca="false">IF(U736&lt;0,IF(S736=1,5,0),IF(U736&lt;=30,1,IF(U736&lt;=60,2,IF(U736&lt;=90,3,4))))</f>
        <v>0</v>
      </c>
      <c r="W736" s="53" t="n">
        <f aca="false">IF(U736&lt;0,-1000000000000000,U736+ROW()/1000000)</f>
        <v>-1000000000000000</v>
      </c>
      <c r="X736" s="53" t="n">
        <f aca="false">IF(T736=1,IF(AND(ISNUMBER(F736),ISNUMBER(K736)),K736-F736,0),0)</f>
        <v>0</v>
      </c>
      <c r="Y736" s="53" t="n">
        <f aca="false">IF(T736=1,IF(AND(ISNUMBER(F736),ISNUMBER(K736)),1,0),0)</f>
        <v>0</v>
      </c>
      <c r="Z736" s="53" t="n">
        <f aca="false">IF(U736&gt;=Settings!$C$8,1,0)</f>
        <v>0</v>
      </c>
      <c r="AA736" s="53" t="n">
        <f aca="false">IF(S736=1,IF(J736="Listed / Publicado",0,1),0)</f>
        <v>0</v>
      </c>
      <c r="AB736" s="53" t="n">
        <f aca="false">IF(T736=1,IF(ISNUMBER(L736),L736-G736,0),0)</f>
        <v>0</v>
      </c>
      <c r="AC736" s="53" t="n">
        <f aca="false">IF(S736=1,IF(ISNUMBER(I736),I736-G736,0),0)</f>
        <v>0</v>
      </c>
    </row>
    <row r="737" customFormat="false" ht="15" hidden="false" customHeight="false" outlineLevel="0" collapsed="false">
      <c r="B737" s="54"/>
      <c r="C737" s="55"/>
      <c r="D737" s="55"/>
      <c r="E737" s="55"/>
      <c r="F737" s="56"/>
      <c r="G737" s="57"/>
      <c r="H737" s="55"/>
      <c r="I737" s="57"/>
      <c r="J737" s="54"/>
      <c r="K737" s="56"/>
      <c r="L737" s="57"/>
      <c r="M737" s="54"/>
      <c r="N737" s="58" t="str">
        <f aca="false">IF(S737=1,IF(U737&lt;0,"",U737),IF(Y737=1,X737,""))</f>
        <v/>
      </c>
      <c r="O737" s="59" t="str">
        <f aca="false">IF(S737=1,IF(ISNUMBER(I737),I737-G737,""),"")</f>
        <v/>
      </c>
      <c r="P737" s="59" t="str">
        <f aca="false">IF(T737=1,IF(ISNUMBER(L737),L737-G737,""),"")</f>
        <v/>
      </c>
      <c r="Q737" s="60" t="str">
        <f aca="false">IF(C737="","",IF(T737=1,"✔ SOLD / VENDIDO",IF(S737=0,"— CLOSED / CERRADO",IF(U737&lt;0,"⚠ ADD DATE / AGREGA FECHA",IF(U737&gt;=Settings!$C$8,"⚠ STALE – REPRICE / ESTANCADO",IF(U737&gt;=Settings!$C$7,"● WATCH / VIGILAR","✔ FRESH / RECIENTE"))))))</f>
        <v/>
      </c>
      <c r="S737" s="53" t="n">
        <f aca="false">IF(C737="",0,IF(OR(J737="",J737="In Stock / En Inventario",J737="Listed / Publicado"),1,0))</f>
        <v>0</v>
      </c>
      <c r="T737" s="53" t="n">
        <f aca="false">IF(C737="",0,IF(J737="Sold / Vendido",1,0))</f>
        <v>0</v>
      </c>
      <c r="U737" s="53" t="n">
        <f aca="true">IF(S737=1,IF(ISNUMBER(F737),TODAY()-F737,-1),-1)</f>
        <v>-1</v>
      </c>
      <c r="V737" s="53" t="n">
        <f aca="false">IF(U737&lt;0,IF(S737=1,5,0),IF(U737&lt;=30,1,IF(U737&lt;=60,2,IF(U737&lt;=90,3,4))))</f>
        <v>0</v>
      </c>
      <c r="W737" s="53" t="n">
        <f aca="false">IF(U737&lt;0,-1000000000000000,U737+ROW()/1000000)</f>
        <v>-1000000000000000</v>
      </c>
      <c r="X737" s="53" t="n">
        <f aca="false">IF(T737=1,IF(AND(ISNUMBER(F737),ISNUMBER(K737)),K737-F737,0),0)</f>
        <v>0</v>
      </c>
      <c r="Y737" s="53" t="n">
        <f aca="false">IF(T737=1,IF(AND(ISNUMBER(F737),ISNUMBER(K737)),1,0),0)</f>
        <v>0</v>
      </c>
      <c r="Z737" s="53" t="n">
        <f aca="false">IF(U737&gt;=Settings!$C$8,1,0)</f>
        <v>0</v>
      </c>
      <c r="AA737" s="53" t="n">
        <f aca="false">IF(S737=1,IF(J737="Listed / Publicado",0,1),0)</f>
        <v>0</v>
      </c>
      <c r="AB737" s="53" t="n">
        <f aca="false">IF(T737=1,IF(ISNUMBER(L737),L737-G737,0),0)</f>
        <v>0</v>
      </c>
      <c r="AC737" s="53" t="n">
        <f aca="false">IF(S737=1,IF(ISNUMBER(I737),I737-G737,0),0)</f>
        <v>0</v>
      </c>
    </row>
    <row r="738" customFormat="false" ht="15" hidden="false" customHeight="false" outlineLevel="0" collapsed="false">
      <c r="B738" s="54"/>
      <c r="C738" s="55"/>
      <c r="D738" s="55"/>
      <c r="E738" s="55"/>
      <c r="F738" s="56"/>
      <c r="G738" s="57"/>
      <c r="H738" s="55"/>
      <c r="I738" s="57"/>
      <c r="J738" s="54"/>
      <c r="K738" s="56"/>
      <c r="L738" s="57"/>
      <c r="M738" s="54"/>
      <c r="N738" s="58" t="str">
        <f aca="false">IF(S738=1,IF(U738&lt;0,"",U738),IF(Y738=1,X738,""))</f>
        <v/>
      </c>
      <c r="O738" s="59" t="str">
        <f aca="false">IF(S738=1,IF(ISNUMBER(I738),I738-G738,""),"")</f>
        <v/>
      </c>
      <c r="P738" s="59" t="str">
        <f aca="false">IF(T738=1,IF(ISNUMBER(L738),L738-G738,""),"")</f>
        <v/>
      </c>
      <c r="Q738" s="60" t="str">
        <f aca="false">IF(C738="","",IF(T738=1,"✔ SOLD / VENDIDO",IF(S738=0,"— CLOSED / CERRADO",IF(U738&lt;0,"⚠ ADD DATE / AGREGA FECHA",IF(U738&gt;=Settings!$C$8,"⚠ STALE – REPRICE / ESTANCADO",IF(U738&gt;=Settings!$C$7,"● WATCH / VIGILAR","✔ FRESH / RECIENTE"))))))</f>
        <v/>
      </c>
      <c r="S738" s="53" t="n">
        <f aca="false">IF(C738="",0,IF(OR(J738="",J738="In Stock / En Inventario",J738="Listed / Publicado"),1,0))</f>
        <v>0</v>
      </c>
      <c r="T738" s="53" t="n">
        <f aca="false">IF(C738="",0,IF(J738="Sold / Vendido",1,0))</f>
        <v>0</v>
      </c>
      <c r="U738" s="53" t="n">
        <f aca="true">IF(S738=1,IF(ISNUMBER(F738),TODAY()-F738,-1),-1)</f>
        <v>-1</v>
      </c>
      <c r="V738" s="53" t="n">
        <f aca="false">IF(U738&lt;0,IF(S738=1,5,0),IF(U738&lt;=30,1,IF(U738&lt;=60,2,IF(U738&lt;=90,3,4))))</f>
        <v>0</v>
      </c>
      <c r="W738" s="53" t="n">
        <f aca="false">IF(U738&lt;0,-1000000000000000,U738+ROW()/1000000)</f>
        <v>-1000000000000000</v>
      </c>
      <c r="X738" s="53" t="n">
        <f aca="false">IF(T738=1,IF(AND(ISNUMBER(F738),ISNUMBER(K738)),K738-F738,0),0)</f>
        <v>0</v>
      </c>
      <c r="Y738" s="53" t="n">
        <f aca="false">IF(T738=1,IF(AND(ISNUMBER(F738),ISNUMBER(K738)),1,0),0)</f>
        <v>0</v>
      </c>
      <c r="Z738" s="53" t="n">
        <f aca="false">IF(U738&gt;=Settings!$C$8,1,0)</f>
        <v>0</v>
      </c>
      <c r="AA738" s="53" t="n">
        <f aca="false">IF(S738=1,IF(J738="Listed / Publicado",0,1),0)</f>
        <v>0</v>
      </c>
      <c r="AB738" s="53" t="n">
        <f aca="false">IF(T738=1,IF(ISNUMBER(L738),L738-G738,0),0)</f>
        <v>0</v>
      </c>
      <c r="AC738" s="53" t="n">
        <f aca="false">IF(S738=1,IF(ISNUMBER(I738),I738-G738,0),0)</f>
        <v>0</v>
      </c>
    </row>
    <row r="739" customFormat="false" ht="15" hidden="false" customHeight="false" outlineLevel="0" collapsed="false">
      <c r="B739" s="54"/>
      <c r="C739" s="55"/>
      <c r="D739" s="55"/>
      <c r="E739" s="55"/>
      <c r="F739" s="56"/>
      <c r="G739" s="57"/>
      <c r="H739" s="55"/>
      <c r="I739" s="57"/>
      <c r="J739" s="54"/>
      <c r="K739" s="56"/>
      <c r="L739" s="57"/>
      <c r="M739" s="54"/>
      <c r="N739" s="58" t="str">
        <f aca="false">IF(S739=1,IF(U739&lt;0,"",U739),IF(Y739=1,X739,""))</f>
        <v/>
      </c>
      <c r="O739" s="59" t="str">
        <f aca="false">IF(S739=1,IF(ISNUMBER(I739),I739-G739,""),"")</f>
        <v/>
      </c>
      <c r="P739" s="59" t="str">
        <f aca="false">IF(T739=1,IF(ISNUMBER(L739),L739-G739,""),"")</f>
        <v/>
      </c>
      <c r="Q739" s="60" t="str">
        <f aca="false">IF(C739="","",IF(T739=1,"✔ SOLD / VENDIDO",IF(S739=0,"— CLOSED / CERRADO",IF(U739&lt;0,"⚠ ADD DATE / AGREGA FECHA",IF(U739&gt;=Settings!$C$8,"⚠ STALE – REPRICE / ESTANCADO",IF(U739&gt;=Settings!$C$7,"● WATCH / VIGILAR","✔ FRESH / RECIENTE"))))))</f>
        <v/>
      </c>
      <c r="S739" s="53" t="n">
        <f aca="false">IF(C739="",0,IF(OR(J739="",J739="In Stock / En Inventario",J739="Listed / Publicado"),1,0))</f>
        <v>0</v>
      </c>
      <c r="T739" s="53" t="n">
        <f aca="false">IF(C739="",0,IF(J739="Sold / Vendido",1,0))</f>
        <v>0</v>
      </c>
      <c r="U739" s="53" t="n">
        <f aca="true">IF(S739=1,IF(ISNUMBER(F739),TODAY()-F739,-1),-1)</f>
        <v>-1</v>
      </c>
      <c r="V739" s="53" t="n">
        <f aca="false">IF(U739&lt;0,IF(S739=1,5,0),IF(U739&lt;=30,1,IF(U739&lt;=60,2,IF(U739&lt;=90,3,4))))</f>
        <v>0</v>
      </c>
      <c r="W739" s="53" t="n">
        <f aca="false">IF(U739&lt;0,-1000000000000000,U739+ROW()/1000000)</f>
        <v>-1000000000000000</v>
      </c>
      <c r="X739" s="53" t="n">
        <f aca="false">IF(T739=1,IF(AND(ISNUMBER(F739),ISNUMBER(K739)),K739-F739,0),0)</f>
        <v>0</v>
      </c>
      <c r="Y739" s="53" t="n">
        <f aca="false">IF(T739=1,IF(AND(ISNUMBER(F739),ISNUMBER(K739)),1,0),0)</f>
        <v>0</v>
      </c>
      <c r="Z739" s="53" t="n">
        <f aca="false">IF(U739&gt;=Settings!$C$8,1,0)</f>
        <v>0</v>
      </c>
      <c r="AA739" s="53" t="n">
        <f aca="false">IF(S739=1,IF(J739="Listed / Publicado",0,1),0)</f>
        <v>0</v>
      </c>
      <c r="AB739" s="53" t="n">
        <f aca="false">IF(T739=1,IF(ISNUMBER(L739),L739-G739,0),0)</f>
        <v>0</v>
      </c>
      <c r="AC739" s="53" t="n">
        <f aca="false">IF(S739=1,IF(ISNUMBER(I739),I739-G739,0),0)</f>
        <v>0</v>
      </c>
    </row>
    <row r="740" customFormat="false" ht="15" hidden="false" customHeight="false" outlineLevel="0" collapsed="false">
      <c r="B740" s="54"/>
      <c r="C740" s="55"/>
      <c r="D740" s="55"/>
      <c r="E740" s="55"/>
      <c r="F740" s="56"/>
      <c r="G740" s="57"/>
      <c r="H740" s="55"/>
      <c r="I740" s="57"/>
      <c r="J740" s="54"/>
      <c r="K740" s="56"/>
      <c r="L740" s="57"/>
      <c r="M740" s="54"/>
      <c r="N740" s="58" t="str">
        <f aca="false">IF(S740=1,IF(U740&lt;0,"",U740),IF(Y740=1,X740,""))</f>
        <v/>
      </c>
      <c r="O740" s="59" t="str">
        <f aca="false">IF(S740=1,IF(ISNUMBER(I740),I740-G740,""),"")</f>
        <v/>
      </c>
      <c r="P740" s="59" t="str">
        <f aca="false">IF(T740=1,IF(ISNUMBER(L740),L740-G740,""),"")</f>
        <v/>
      </c>
      <c r="Q740" s="60" t="str">
        <f aca="false">IF(C740="","",IF(T740=1,"✔ SOLD / VENDIDO",IF(S740=0,"— CLOSED / CERRADO",IF(U740&lt;0,"⚠ ADD DATE / AGREGA FECHA",IF(U740&gt;=Settings!$C$8,"⚠ STALE – REPRICE / ESTANCADO",IF(U740&gt;=Settings!$C$7,"● WATCH / VIGILAR","✔ FRESH / RECIENTE"))))))</f>
        <v/>
      </c>
      <c r="S740" s="53" t="n">
        <f aca="false">IF(C740="",0,IF(OR(J740="",J740="In Stock / En Inventario",J740="Listed / Publicado"),1,0))</f>
        <v>0</v>
      </c>
      <c r="T740" s="53" t="n">
        <f aca="false">IF(C740="",0,IF(J740="Sold / Vendido",1,0))</f>
        <v>0</v>
      </c>
      <c r="U740" s="53" t="n">
        <f aca="true">IF(S740=1,IF(ISNUMBER(F740),TODAY()-F740,-1),-1)</f>
        <v>-1</v>
      </c>
      <c r="V740" s="53" t="n">
        <f aca="false">IF(U740&lt;0,IF(S740=1,5,0),IF(U740&lt;=30,1,IF(U740&lt;=60,2,IF(U740&lt;=90,3,4))))</f>
        <v>0</v>
      </c>
      <c r="W740" s="53" t="n">
        <f aca="false">IF(U740&lt;0,-1000000000000000,U740+ROW()/1000000)</f>
        <v>-1000000000000000</v>
      </c>
      <c r="X740" s="53" t="n">
        <f aca="false">IF(T740=1,IF(AND(ISNUMBER(F740),ISNUMBER(K740)),K740-F740,0),0)</f>
        <v>0</v>
      </c>
      <c r="Y740" s="53" t="n">
        <f aca="false">IF(T740=1,IF(AND(ISNUMBER(F740),ISNUMBER(K740)),1,0),0)</f>
        <v>0</v>
      </c>
      <c r="Z740" s="53" t="n">
        <f aca="false">IF(U740&gt;=Settings!$C$8,1,0)</f>
        <v>0</v>
      </c>
      <c r="AA740" s="53" t="n">
        <f aca="false">IF(S740=1,IF(J740="Listed / Publicado",0,1),0)</f>
        <v>0</v>
      </c>
      <c r="AB740" s="53" t="n">
        <f aca="false">IF(T740=1,IF(ISNUMBER(L740),L740-G740,0),0)</f>
        <v>0</v>
      </c>
      <c r="AC740" s="53" t="n">
        <f aca="false">IF(S740=1,IF(ISNUMBER(I740),I740-G740,0),0)</f>
        <v>0</v>
      </c>
    </row>
    <row r="741" customFormat="false" ht="15" hidden="false" customHeight="false" outlineLevel="0" collapsed="false">
      <c r="B741" s="54"/>
      <c r="C741" s="55"/>
      <c r="D741" s="55"/>
      <c r="E741" s="55"/>
      <c r="F741" s="56"/>
      <c r="G741" s="57"/>
      <c r="H741" s="55"/>
      <c r="I741" s="57"/>
      <c r="J741" s="54"/>
      <c r="K741" s="56"/>
      <c r="L741" s="57"/>
      <c r="M741" s="54"/>
      <c r="N741" s="58" t="str">
        <f aca="false">IF(S741=1,IF(U741&lt;0,"",U741),IF(Y741=1,X741,""))</f>
        <v/>
      </c>
      <c r="O741" s="59" t="str">
        <f aca="false">IF(S741=1,IF(ISNUMBER(I741),I741-G741,""),"")</f>
        <v/>
      </c>
      <c r="P741" s="59" t="str">
        <f aca="false">IF(T741=1,IF(ISNUMBER(L741),L741-G741,""),"")</f>
        <v/>
      </c>
      <c r="Q741" s="60" t="str">
        <f aca="false">IF(C741="","",IF(T741=1,"✔ SOLD / VENDIDO",IF(S741=0,"— CLOSED / CERRADO",IF(U741&lt;0,"⚠ ADD DATE / AGREGA FECHA",IF(U741&gt;=Settings!$C$8,"⚠ STALE – REPRICE / ESTANCADO",IF(U741&gt;=Settings!$C$7,"● WATCH / VIGILAR","✔ FRESH / RECIENTE"))))))</f>
        <v/>
      </c>
      <c r="S741" s="53" t="n">
        <f aca="false">IF(C741="",0,IF(OR(J741="",J741="In Stock / En Inventario",J741="Listed / Publicado"),1,0))</f>
        <v>0</v>
      </c>
      <c r="T741" s="53" t="n">
        <f aca="false">IF(C741="",0,IF(J741="Sold / Vendido",1,0))</f>
        <v>0</v>
      </c>
      <c r="U741" s="53" t="n">
        <f aca="true">IF(S741=1,IF(ISNUMBER(F741),TODAY()-F741,-1),-1)</f>
        <v>-1</v>
      </c>
      <c r="V741" s="53" t="n">
        <f aca="false">IF(U741&lt;0,IF(S741=1,5,0),IF(U741&lt;=30,1,IF(U741&lt;=60,2,IF(U741&lt;=90,3,4))))</f>
        <v>0</v>
      </c>
      <c r="W741" s="53" t="n">
        <f aca="false">IF(U741&lt;0,-1000000000000000,U741+ROW()/1000000)</f>
        <v>-1000000000000000</v>
      </c>
      <c r="X741" s="53" t="n">
        <f aca="false">IF(T741=1,IF(AND(ISNUMBER(F741),ISNUMBER(K741)),K741-F741,0),0)</f>
        <v>0</v>
      </c>
      <c r="Y741" s="53" t="n">
        <f aca="false">IF(T741=1,IF(AND(ISNUMBER(F741),ISNUMBER(K741)),1,0),0)</f>
        <v>0</v>
      </c>
      <c r="Z741" s="53" t="n">
        <f aca="false">IF(U741&gt;=Settings!$C$8,1,0)</f>
        <v>0</v>
      </c>
      <c r="AA741" s="53" t="n">
        <f aca="false">IF(S741=1,IF(J741="Listed / Publicado",0,1),0)</f>
        <v>0</v>
      </c>
      <c r="AB741" s="53" t="n">
        <f aca="false">IF(T741=1,IF(ISNUMBER(L741),L741-G741,0),0)</f>
        <v>0</v>
      </c>
      <c r="AC741" s="53" t="n">
        <f aca="false">IF(S741=1,IF(ISNUMBER(I741),I741-G741,0),0)</f>
        <v>0</v>
      </c>
    </row>
    <row r="742" customFormat="false" ht="15" hidden="false" customHeight="false" outlineLevel="0" collapsed="false">
      <c r="B742" s="54"/>
      <c r="C742" s="55"/>
      <c r="D742" s="55"/>
      <c r="E742" s="55"/>
      <c r="F742" s="56"/>
      <c r="G742" s="57"/>
      <c r="H742" s="55"/>
      <c r="I742" s="57"/>
      <c r="J742" s="54"/>
      <c r="K742" s="56"/>
      <c r="L742" s="57"/>
      <c r="M742" s="54"/>
      <c r="N742" s="58" t="str">
        <f aca="false">IF(S742=1,IF(U742&lt;0,"",U742),IF(Y742=1,X742,""))</f>
        <v/>
      </c>
      <c r="O742" s="59" t="str">
        <f aca="false">IF(S742=1,IF(ISNUMBER(I742),I742-G742,""),"")</f>
        <v/>
      </c>
      <c r="P742" s="59" t="str">
        <f aca="false">IF(T742=1,IF(ISNUMBER(L742),L742-G742,""),"")</f>
        <v/>
      </c>
      <c r="Q742" s="60" t="str">
        <f aca="false">IF(C742="","",IF(T742=1,"✔ SOLD / VENDIDO",IF(S742=0,"— CLOSED / CERRADO",IF(U742&lt;0,"⚠ ADD DATE / AGREGA FECHA",IF(U742&gt;=Settings!$C$8,"⚠ STALE – REPRICE / ESTANCADO",IF(U742&gt;=Settings!$C$7,"● WATCH / VIGILAR","✔ FRESH / RECIENTE"))))))</f>
        <v/>
      </c>
      <c r="S742" s="53" t="n">
        <f aca="false">IF(C742="",0,IF(OR(J742="",J742="In Stock / En Inventario",J742="Listed / Publicado"),1,0))</f>
        <v>0</v>
      </c>
      <c r="T742" s="53" t="n">
        <f aca="false">IF(C742="",0,IF(J742="Sold / Vendido",1,0))</f>
        <v>0</v>
      </c>
      <c r="U742" s="53" t="n">
        <f aca="true">IF(S742=1,IF(ISNUMBER(F742),TODAY()-F742,-1),-1)</f>
        <v>-1</v>
      </c>
      <c r="V742" s="53" t="n">
        <f aca="false">IF(U742&lt;0,IF(S742=1,5,0),IF(U742&lt;=30,1,IF(U742&lt;=60,2,IF(U742&lt;=90,3,4))))</f>
        <v>0</v>
      </c>
      <c r="W742" s="53" t="n">
        <f aca="false">IF(U742&lt;0,-1000000000000000,U742+ROW()/1000000)</f>
        <v>-1000000000000000</v>
      </c>
      <c r="X742" s="53" t="n">
        <f aca="false">IF(T742=1,IF(AND(ISNUMBER(F742),ISNUMBER(K742)),K742-F742,0),0)</f>
        <v>0</v>
      </c>
      <c r="Y742" s="53" t="n">
        <f aca="false">IF(T742=1,IF(AND(ISNUMBER(F742),ISNUMBER(K742)),1,0),0)</f>
        <v>0</v>
      </c>
      <c r="Z742" s="53" t="n">
        <f aca="false">IF(U742&gt;=Settings!$C$8,1,0)</f>
        <v>0</v>
      </c>
      <c r="AA742" s="53" t="n">
        <f aca="false">IF(S742=1,IF(J742="Listed / Publicado",0,1),0)</f>
        <v>0</v>
      </c>
      <c r="AB742" s="53" t="n">
        <f aca="false">IF(T742=1,IF(ISNUMBER(L742),L742-G742,0),0)</f>
        <v>0</v>
      </c>
      <c r="AC742" s="53" t="n">
        <f aca="false">IF(S742=1,IF(ISNUMBER(I742),I742-G742,0),0)</f>
        <v>0</v>
      </c>
    </row>
    <row r="743" customFormat="false" ht="15" hidden="false" customHeight="false" outlineLevel="0" collapsed="false">
      <c r="B743" s="54"/>
      <c r="C743" s="55"/>
      <c r="D743" s="55"/>
      <c r="E743" s="55"/>
      <c r="F743" s="56"/>
      <c r="G743" s="57"/>
      <c r="H743" s="55"/>
      <c r="I743" s="57"/>
      <c r="J743" s="54"/>
      <c r="K743" s="56"/>
      <c r="L743" s="57"/>
      <c r="M743" s="54"/>
      <c r="N743" s="58" t="str">
        <f aca="false">IF(S743=1,IF(U743&lt;0,"",U743),IF(Y743=1,X743,""))</f>
        <v/>
      </c>
      <c r="O743" s="59" t="str">
        <f aca="false">IF(S743=1,IF(ISNUMBER(I743),I743-G743,""),"")</f>
        <v/>
      </c>
      <c r="P743" s="59" t="str">
        <f aca="false">IF(T743=1,IF(ISNUMBER(L743),L743-G743,""),"")</f>
        <v/>
      </c>
      <c r="Q743" s="60" t="str">
        <f aca="false">IF(C743="","",IF(T743=1,"✔ SOLD / VENDIDO",IF(S743=0,"— CLOSED / CERRADO",IF(U743&lt;0,"⚠ ADD DATE / AGREGA FECHA",IF(U743&gt;=Settings!$C$8,"⚠ STALE – REPRICE / ESTANCADO",IF(U743&gt;=Settings!$C$7,"● WATCH / VIGILAR","✔ FRESH / RECIENTE"))))))</f>
        <v/>
      </c>
      <c r="S743" s="53" t="n">
        <f aca="false">IF(C743="",0,IF(OR(J743="",J743="In Stock / En Inventario",J743="Listed / Publicado"),1,0))</f>
        <v>0</v>
      </c>
      <c r="T743" s="53" t="n">
        <f aca="false">IF(C743="",0,IF(J743="Sold / Vendido",1,0))</f>
        <v>0</v>
      </c>
      <c r="U743" s="53" t="n">
        <f aca="true">IF(S743=1,IF(ISNUMBER(F743),TODAY()-F743,-1),-1)</f>
        <v>-1</v>
      </c>
      <c r="V743" s="53" t="n">
        <f aca="false">IF(U743&lt;0,IF(S743=1,5,0),IF(U743&lt;=30,1,IF(U743&lt;=60,2,IF(U743&lt;=90,3,4))))</f>
        <v>0</v>
      </c>
      <c r="W743" s="53" t="n">
        <f aca="false">IF(U743&lt;0,-1000000000000000,U743+ROW()/1000000)</f>
        <v>-1000000000000000</v>
      </c>
      <c r="X743" s="53" t="n">
        <f aca="false">IF(T743=1,IF(AND(ISNUMBER(F743),ISNUMBER(K743)),K743-F743,0),0)</f>
        <v>0</v>
      </c>
      <c r="Y743" s="53" t="n">
        <f aca="false">IF(T743=1,IF(AND(ISNUMBER(F743),ISNUMBER(K743)),1,0),0)</f>
        <v>0</v>
      </c>
      <c r="Z743" s="53" t="n">
        <f aca="false">IF(U743&gt;=Settings!$C$8,1,0)</f>
        <v>0</v>
      </c>
      <c r="AA743" s="53" t="n">
        <f aca="false">IF(S743=1,IF(J743="Listed / Publicado",0,1),0)</f>
        <v>0</v>
      </c>
      <c r="AB743" s="53" t="n">
        <f aca="false">IF(T743=1,IF(ISNUMBER(L743),L743-G743,0),0)</f>
        <v>0</v>
      </c>
      <c r="AC743" s="53" t="n">
        <f aca="false">IF(S743=1,IF(ISNUMBER(I743),I743-G743,0),0)</f>
        <v>0</v>
      </c>
    </row>
    <row r="744" customFormat="false" ht="15" hidden="false" customHeight="false" outlineLevel="0" collapsed="false">
      <c r="B744" s="54"/>
      <c r="C744" s="55"/>
      <c r="D744" s="55"/>
      <c r="E744" s="55"/>
      <c r="F744" s="56"/>
      <c r="G744" s="57"/>
      <c r="H744" s="55"/>
      <c r="I744" s="57"/>
      <c r="J744" s="54"/>
      <c r="K744" s="56"/>
      <c r="L744" s="57"/>
      <c r="M744" s="54"/>
      <c r="N744" s="58" t="str">
        <f aca="false">IF(S744=1,IF(U744&lt;0,"",U744),IF(Y744=1,X744,""))</f>
        <v/>
      </c>
      <c r="O744" s="59" t="str">
        <f aca="false">IF(S744=1,IF(ISNUMBER(I744),I744-G744,""),"")</f>
        <v/>
      </c>
      <c r="P744" s="59" t="str">
        <f aca="false">IF(T744=1,IF(ISNUMBER(L744),L744-G744,""),"")</f>
        <v/>
      </c>
      <c r="Q744" s="60" t="str">
        <f aca="false">IF(C744="","",IF(T744=1,"✔ SOLD / VENDIDO",IF(S744=0,"— CLOSED / CERRADO",IF(U744&lt;0,"⚠ ADD DATE / AGREGA FECHA",IF(U744&gt;=Settings!$C$8,"⚠ STALE – REPRICE / ESTANCADO",IF(U744&gt;=Settings!$C$7,"● WATCH / VIGILAR","✔ FRESH / RECIENTE"))))))</f>
        <v/>
      </c>
      <c r="S744" s="53" t="n">
        <f aca="false">IF(C744="",0,IF(OR(J744="",J744="In Stock / En Inventario",J744="Listed / Publicado"),1,0))</f>
        <v>0</v>
      </c>
      <c r="T744" s="53" t="n">
        <f aca="false">IF(C744="",0,IF(J744="Sold / Vendido",1,0))</f>
        <v>0</v>
      </c>
      <c r="U744" s="53" t="n">
        <f aca="true">IF(S744=1,IF(ISNUMBER(F744),TODAY()-F744,-1),-1)</f>
        <v>-1</v>
      </c>
      <c r="V744" s="53" t="n">
        <f aca="false">IF(U744&lt;0,IF(S744=1,5,0),IF(U744&lt;=30,1,IF(U744&lt;=60,2,IF(U744&lt;=90,3,4))))</f>
        <v>0</v>
      </c>
      <c r="W744" s="53" t="n">
        <f aca="false">IF(U744&lt;0,-1000000000000000,U744+ROW()/1000000)</f>
        <v>-1000000000000000</v>
      </c>
      <c r="X744" s="53" t="n">
        <f aca="false">IF(T744=1,IF(AND(ISNUMBER(F744),ISNUMBER(K744)),K744-F744,0),0)</f>
        <v>0</v>
      </c>
      <c r="Y744" s="53" t="n">
        <f aca="false">IF(T744=1,IF(AND(ISNUMBER(F744),ISNUMBER(K744)),1,0),0)</f>
        <v>0</v>
      </c>
      <c r="Z744" s="53" t="n">
        <f aca="false">IF(U744&gt;=Settings!$C$8,1,0)</f>
        <v>0</v>
      </c>
      <c r="AA744" s="53" t="n">
        <f aca="false">IF(S744=1,IF(J744="Listed / Publicado",0,1),0)</f>
        <v>0</v>
      </c>
      <c r="AB744" s="53" t="n">
        <f aca="false">IF(T744=1,IF(ISNUMBER(L744),L744-G744,0),0)</f>
        <v>0</v>
      </c>
      <c r="AC744" s="53" t="n">
        <f aca="false">IF(S744=1,IF(ISNUMBER(I744),I744-G744,0),0)</f>
        <v>0</v>
      </c>
    </row>
    <row r="745" customFormat="false" ht="15" hidden="false" customHeight="false" outlineLevel="0" collapsed="false">
      <c r="B745" s="54"/>
      <c r="C745" s="55"/>
      <c r="D745" s="55"/>
      <c r="E745" s="55"/>
      <c r="F745" s="56"/>
      <c r="G745" s="57"/>
      <c r="H745" s="55"/>
      <c r="I745" s="57"/>
      <c r="J745" s="54"/>
      <c r="K745" s="56"/>
      <c r="L745" s="57"/>
      <c r="M745" s="54"/>
      <c r="N745" s="58" t="str">
        <f aca="false">IF(S745=1,IF(U745&lt;0,"",U745),IF(Y745=1,X745,""))</f>
        <v/>
      </c>
      <c r="O745" s="59" t="str">
        <f aca="false">IF(S745=1,IF(ISNUMBER(I745),I745-G745,""),"")</f>
        <v/>
      </c>
      <c r="P745" s="59" t="str">
        <f aca="false">IF(T745=1,IF(ISNUMBER(L745),L745-G745,""),"")</f>
        <v/>
      </c>
      <c r="Q745" s="60" t="str">
        <f aca="false">IF(C745="","",IF(T745=1,"✔ SOLD / VENDIDO",IF(S745=0,"— CLOSED / CERRADO",IF(U745&lt;0,"⚠ ADD DATE / AGREGA FECHA",IF(U745&gt;=Settings!$C$8,"⚠ STALE – REPRICE / ESTANCADO",IF(U745&gt;=Settings!$C$7,"● WATCH / VIGILAR","✔ FRESH / RECIENTE"))))))</f>
        <v/>
      </c>
      <c r="S745" s="53" t="n">
        <f aca="false">IF(C745="",0,IF(OR(J745="",J745="In Stock / En Inventario",J745="Listed / Publicado"),1,0))</f>
        <v>0</v>
      </c>
      <c r="T745" s="53" t="n">
        <f aca="false">IF(C745="",0,IF(J745="Sold / Vendido",1,0))</f>
        <v>0</v>
      </c>
      <c r="U745" s="53" t="n">
        <f aca="true">IF(S745=1,IF(ISNUMBER(F745),TODAY()-F745,-1),-1)</f>
        <v>-1</v>
      </c>
      <c r="V745" s="53" t="n">
        <f aca="false">IF(U745&lt;0,IF(S745=1,5,0),IF(U745&lt;=30,1,IF(U745&lt;=60,2,IF(U745&lt;=90,3,4))))</f>
        <v>0</v>
      </c>
      <c r="W745" s="53" t="n">
        <f aca="false">IF(U745&lt;0,-1000000000000000,U745+ROW()/1000000)</f>
        <v>-1000000000000000</v>
      </c>
      <c r="X745" s="53" t="n">
        <f aca="false">IF(T745=1,IF(AND(ISNUMBER(F745),ISNUMBER(K745)),K745-F745,0),0)</f>
        <v>0</v>
      </c>
      <c r="Y745" s="53" t="n">
        <f aca="false">IF(T745=1,IF(AND(ISNUMBER(F745),ISNUMBER(K745)),1,0),0)</f>
        <v>0</v>
      </c>
      <c r="Z745" s="53" t="n">
        <f aca="false">IF(U745&gt;=Settings!$C$8,1,0)</f>
        <v>0</v>
      </c>
      <c r="AA745" s="53" t="n">
        <f aca="false">IF(S745=1,IF(J745="Listed / Publicado",0,1),0)</f>
        <v>0</v>
      </c>
      <c r="AB745" s="53" t="n">
        <f aca="false">IF(T745=1,IF(ISNUMBER(L745),L745-G745,0),0)</f>
        <v>0</v>
      </c>
      <c r="AC745" s="53" t="n">
        <f aca="false">IF(S745=1,IF(ISNUMBER(I745),I745-G745,0),0)</f>
        <v>0</v>
      </c>
    </row>
    <row r="746" customFormat="false" ht="15" hidden="false" customHeight="false" outlineLevel="0" collapsed="false">
      <c r="B746" s="54"/>
      <c r="C746" s="55"/>
      <c r="D746" s="55"/>
      <c r="E746" s="55"/>
      <c r="F746" s="56"/>
      <c r="G746" s="57"/>
      <c r="H746" s="55"/>
      <c r="I746" s="57"/>
      <c r="J746" s="54"/>
      <c r="K746" s="56"/>
      <c r="L746" s="57"/>
      <c r="M746" s="54"/>
      <c r="N746" s="58" t="str">
        <f aca="false">IF(S746=1,IF(U746&lt;0,"",U746),IF(Y746=1,X746,""))</f>
        <v/>
      </c>
      <c r="O746" s="59" t="str">
        <f aca="false">IF(S746=1,IF(ISNUMBER(I746),I746-G746,""),"")</f>
        <v/>
      </c>
      <c r="P746" s="59" t="str">
        <f aca="false">IF(T746=1,IF(ISNUMBER(L746),L746-G746,""),"")</f>
        <v/>
      </c>
      <c r="Q746" s="60" t="str">
        <f aca="false">IF(C746="","",IF(T746=1,"✔ SOLD / VENDIDO",IF(S746=0,"— CLOSED / CERRADO",IF(U746&lt;0,"⚠ ADD DATE / AGREGA FECHA",IF(U746&gt;=Settings!$C$8,"⚠ STALE – REPRICE / ESTANCADO",IF(U746&gt;=Settings!$C$7,"● WATCH / VIGILAR","✔ FRESH / RECIENTE"))))))</f>
        <v/>
      </c>
      <c r="S746" s="53" t="n">
        <f aca="false">IF(C746="",0,IF(OR(J746="",J746="In Stock / En Inventario",J746="Listed / Publicado"),1,0))</f>
        <v>0</v>
      </c>
      <c r="T746" s="53" t="n">
        <f aca="false">IF(C746="",0,IF(J746="Sold / Vendido",1,0))</f>
        <v>0</v>
      </c>
      <c r="U746" s="53" t="n">
        <f aca="true">IF(S746=1,IF(ISNUMBER(F746),TODAY()-F746,-1),-1)</f>
        <v>-1</v>
      </c>
      <c r="V746" s="53" t="n">
        <f aca="false">IF(U746&lt;0,IF(S746=1,5,0),IF(U746&lt;=30,1,IF(U746&lt;=60,2,IF(U746&lt;=90,3,4))))</f>
        <v>0</v>
      </c>
      <c r="W746" s="53" t="n">
        <f aca="false">IF(U746&lt;0,-1000000000000000,U746+ROW()/1000000)</f>
        <v>-1000000000000000</v>
      </c>
      <c r="X746" s="53" t="n">
        <f aca="false">IF(T746=1,IF(AND(ISNUMBER(F746),ISNUMBER(K746)),K746-F746,0),0)</f>
        <v>0</v>
      </c>
      <c r="Y746" s="53" t="n">
        <f aca="false">IF(T746=1,IF(AND(ISNUMBER(F746),ISNUMBER(K746)),1,0),0)</f>
        <v>0</v>
      </c>
      <c r="Z746" s="53" t="n">
        <f aca="false">IF(U746&gt;=Settings!$C$8,1,0)</f>
        <v>0</v>
      </c>
      <c r="AA746" s="53" t="n">
        <f aca="false">IF(S746=1,IF(J746="Listed / Publicado",0,1),0)</f>
        <v>0</v>
      </c>
      <c r="AB746" s="53" t="n">
        <f aca="false">IF(T746=1,IF(ISNUMBER(L746),L746-G746,0),0)</f>
        <v>0</v>
      </c>
      <c r="AC746" s="53" t="n">
        <f aca="false">IF(S746=1,IF(ISNUMBER(I746),I746-G746,0),0)</f>
        <v>0</v>
      </c>
    </row>
    <row r="747" customFormat="false" ht="15" hidden="false" customHeight="false" outlineLevel="0" collapsed="false">
      <c r="B747" s="54"/>
      <c r="C747" s="55"/>
      <c r="D747" s="55"/>
      <c r="E747" s="55"/>
      <c r="F747" s="56"/>
      <c r="G747" s="57"/>
      <c r="H747" s="55"/>
      <c r="I747" s="57"/>
      <c r="J747" s="54"/>
      <c r="K747" s="56"/>
      <c r="L747" s="57"/>
      <c r="M747" s="54"/>
      <c r="N747" s="58" t="str">
        <f aca="false">IF(S747=1,IF(U747&lt;0,"",U747),IF(Y747=1,X747,""))</f>
        <v/>
      </c>
      <c r="O747" s="59" t="str">
        <f aca="false">IF(S747=1,IF(ISNUMBER(I747),I747-G747,""),"")</f>
        <v/>
      </c>
      <c r="P747" s="59" t="str">
        <f aca="false">IF(T747=1,IF(ISNUMBER(L747),L747-G747,""),"")</f>
        <v/>
      </c>
      <c r="Q747" s="60" t="str">
        <f aca="false">IF(C747="","",IF(T747=1,"✔ SOLD / VENDIDO",IF(S747=0,"— CLOSED / CERRADO",IF(U747&lt;0,"⚠ ADD DATE / AGREGA FECHA",IF(U747&gt;=Settings!$C$8,"⚠ STALE – REPRICE / ESTANCADO",IF(U747&gt;=Settings!$C$7,"● WATCH / VIGILAR","✔ FRESH / RECIENTE"))))))</f>
        <v/>
      </c>
      <c r="S747" s="53" t="n">
        <f aca="false">IF(C747="",0,IF(OR(J747="",J747="In Stock / En Inventario",J747="Listed / Publicado"),1,0))</f>
        <v>0</v>
      </c>
      <c r="T747" s="53" t="n">
        <f aca="false">IF(C747="",0,IF(J747="Sold / Vendido",1,0))</f>
        <v>0</v>
      </c>
      <c r="U747" s="53" t="n">
        <f aca="true">IF(S747=1,IF(ISNUMBER(F747),TODAY()-F747,-1),-1)</f>
        <v>-1</v>
      </c>
      <c r="V747" s="53" t="n">
        <f aca="false">IF(U747&lt;0,IF(S747=1,5,0),IF(U747&lt;=30,1,IF(U747&lt;=60,2,IF(U747&lt;=90,3,4))))</f>
        <v>0</v>
      </c>
      <c r="W747" s="53" t="n">
        <f aca="false">IF(U747&lt;0,-1000000000000000,U747+ROW()/1000000)</f>
        <v>-1000000000000000</v>
      </c>
      <c r="X747" s="53" t="n">
        <f aca="false">IF(T747=1,IF(AND(ISNUMBER(F747),ISNUMBER(K747)),K747-F747,0),0)</f>
        <v>0</v>
      </c>
      <c r="Y747" s="53" t="n">
        <f aca="false">IF(T747=1,IF(AND(ISNUMBER(F747),ISNUMBER(K747)),1,0),0)</f>
        <v>0</v>
      </c>
      <c r="Z747" s="53" t="n">
        <f aca="false">IF(U747&gt;=Settings!$C$8,1,0)</f>
        <v>0</v>
      </c>
      <c r="AA747" s="53" t="n">
        <f aca="false">IF(S747=1,IF(J747="Listed / Publicado",0,1),0)</f>
        <v>0</v>
      </c>
      <c r="AB747" s="53" t="n">
        <f aca="false">IF(T747=1,IF(ISNUMBER(L747),L747-G747,0),0)</f>
        <v>0</v>
      </c>
      <c r="AC747" s="53" t="n">
        <f aca="false">IF(S747=1,IF(ISNUMBER(I747),I747-G747,0),0)</f>
        <v>0</v>
      </c>
    </row>
    <row r="748" customFormat="false" ht="15" hidden="false" customHeight="false" outlineLevel="0" collapsed="false">
      <c r="B748" s="54"/>
      <c r="C748" s="55"/>
      <c r="D748" s="55"/>
      <c r="E748" s="55"/>
      <c r="F748" s="56"/>
      <c r="G748" s="57"/>
      <c r="H748" s="55"/>
      <c r="I748" s="57"/>
      <c r="J748" s="54"/>
      <c r="K748" s="56"/>
      <c r="L748" s="57"/>
      <c r="M748" s="54"/>
      <c r="N748" s="58" t="str">
        <f aca="false">IF(S748=1,IF(U748&lt;0,"",U748),IF(Y748=1,X748,""))</f>
        <v/>
      </c>
      <c r="O748" s="59" t="str">
        <f aca="false">IF(S748=1,IF(ISNUMBER(I748),I748-G748,""),"")</f>
        <v/>
      </c>
      <c r="P748" s="59" t="str">
        <f aca="false">IF(T748=1,IF(ISNUMBER(L748),L748-G748,""),"")</f>
        <v/>
      </c>
      <c r="Q748" s="60" t="str">
        <f aca="false">IF(C748="","",IF(T748=1,"✔ SOLD / VENDIDO",IF(S748=0,"— CLOSED / CERRADO",IF(U748&lt;0,"⚠ ADD DATE / AGREGA FECHA",IF(U748&gt;=Settings!$C$8,"⚠ STALE – REPRICE / ESTANCADO",IF(U748&gt;=Settings!$C$7,"● WATCH / VIGILAR","✔ FRESH / RECIENTE"))))))</f>
        <v/>
      </c>
      <c r="S748" s="53" t="n">
        <f aca="false">IF(C748="",0,IF(OR(J748="",J748="In Stock / En Inventario",J748="Listed / Publicado"),1,0))</f>
        <v>0</v>
      </c>
      <c r="T748" s="53" t="n">
        <f aca="false">IF(C748="",0,IF(J748="Sold / Vendido",1,0))</f>
        <v>0</v>
      </c>
      <c r="U748" s="53" t="n">
        <f aca="true">IF(S748=1,IF(ISNUMBER(F748),TODAY()-F748,-1),-1)</f>
        <v>-1</v>
      </c>
      <c r="V748" s="53" t="n">
        <f aca="false">IF(U748&lt;0,IF(S748=1,5,0),IF(U748&lt;=30,1,IF(U748&lt;=60,2,IF(U748&lt;=90,3,4))))</f>
        <v>0</v>
      </c>
      <c r="W748" s="53" t="n">
        <f aca="false">IF(U748&lt;0,-1000000000000000,U748+ROW()/1000000)</f>
        <v>-1000000000000000</v>
      </c>
      <c r="X748" s="53" t="n">
        <f aca="false">IF(T748=1,IF(AND(ISNUMBER(F748),ISNUMBER(K748)),K748-F748,0),0)</f>
        <v>0</v>
      </c>
      <c r="Y748" s="53" t="n">
        <f aca="false">IF(T748=1,IF(AND(ISNUMBER(F748),ISNUMBER(K748)),1,0),0)</f>
        <v>0</v>
      </c>
      <c r="Z748" s="53" t="n">
        <f aca="false">IF(U748&gt;=Settings!$C$8,1,0)</f>
        <v>0</v>
      </c>
      <c r="AA748" s="53" t="n">
        <f aca="false">IF(S748=1,IF(J748="Listed / Publicado",0,1),0)</f>
        <v>0</v>
      </c>
      <c r="AB748" s="53" t="n">
        <f aca="false">IF(T748=1,IF(ISNUMBER(L748),L748-G748,0),0)</f>
        <v>0</v>
      </c>
      <c r="AC748" s="53" t="n">
        <f aca="false">IF(S748=1,IF(ISNUMBER(I748),I748-G748,0),0)</f>
        <v>0</v>
      </c>
    </row>
    <row r="749" customFormat="false" ht="15" hidden="false" customHeight="false" outlineLevel="0" collapsed="false">
      <c r="B749" s="54"/>
      <c r="C749" s="55"/>
      <c r="D749" s="55"/>
      <c r="E749" s="55"/>
      <c r="F749" s="56"/>
      <c r="G749" s="57"/>
      <c r="H749" s="55"/>
      <c r="I749" s="57"/>
      <c r="J749" s="54"/>
      <c r="K749" s="56"/>
      <c r="L749" s="57"/>
      <c r="M749" s="54"/>
      <c r="N749" s="58" t="str">
        <f aca="false">IF(S749=1,IF(U749&lt;0,"",U749),IF(Y749=1,X749,""))</f>
        <v/>
      </c>
      <c r="O749" s="59" t="str">
        <f aca="false">IF(S749=1,IF(ISNUMBER(I749),I749-G749,""),"")</f>
        <v/>
      </c>
      <c r="P749" s="59" t="str">
        <f aca="false">IF(T749=1,IF(ISNUMBER(L749),L749-G749,""),"")</f>
        <v/>
      </c>
      <c r="Q749" s="60" t="str">
        <f aca="false">IF(C749="","",IF(T749=1,"✔ SOLD / VENDIDO",IF(S749=0,"— CLOSED / CERRADO",IF(U749&lt;0,"⚠ ADD DATE / AGREGA FECHA",IF(U749&gt;=Settings!$C$8,"⚠ STALE – REPRICE / ESTANCADO",IF(U749&gt;=Settings!$C$7,"● WATCH / VIGILAR","✔ FRESH / RECIENTE"))))))</f>
        <v/>
      </c>
      <c r="S749" s="53" t="n">
        <f aca="false">IF(C749="",0,IF(OR(J749="",J749="In Stock / En Inventario",J749="Listed / Publicado"),1,0))</f>
        <v>0</v>
      </c>
      <c r="T749" s="53" t="n">
        <f aca="false">IF(C749="",0,IF(J749="Sold / Vendido",1,0))</f>
        <v>0</v>
      </c>
      <c r="U749" s="53" t="n">
        <f aca="true">IF(S749=1,IF(ISNUMBER(F749),TODAY()-F749,-1),-1)</f>
        <v>-1</v>
      </c>
      <c r="V749" s="53" t="n">
        <f aca="false">IF(U749&lt;0,IF(S749=1,5,0),IF(U749&lt;=30,1,IF(U749&lt;=60,2,IF(U749&lt;=90,3,4))))</f>
        <v>0</v>
      </c>
      <c r="W749" s="53" t="n">
        <f aca="false">IF(U749&lt;0,-1000000000000000,U749+ROW()/1000000)</f>
        <v>-1000000000000000</v>
      </c>
      <c r="X749" s="53" t="n">
        <f aca="false">IF(T749=1,IF(AND(ISNUMBER(F749),ISNUMBER(K749)),K749-F749,0),0)</f>
        <v>0</v>
      </c>
      <c r="Y749" s="53" t="n">
        <f aca="false">IF(T749=1,IF(AND(ISNUMBER(F749),ISNUMBER(K749)),1,0),0)</f>
        <v>0</v>
      </c>
      <c r="Z749" s="53" t="n">
        <f aca="false">IF(U749&gt;=Settings!$C$8,1,0)</f>
        <v>0</v>
      </c>
      <c r="AA749" s="53" t="n">
        <f aca="false">IF(S749=1,IF(J749="Listed / Publicado",0,1),0)</f>
        <v>0</v>
      </c>
      <c r="AB749" s="53" t="n">
        <f aca="false">IF(T749=1,IF(ISNUMBER(L749),L749-G749,0),0)</f>
        <v>0</v>
      </c>
      <c r="AC749" s="53" t="n">
        <f aca="false">IF(S749=1,IF(ISNUMBER(I749),I749-G749,0),0)</f>
        <v>0</v>
      </c>
    </row>
    <row r="750" customFormat="false" ht="15" hidden="false" customHeight="false" outlineLevel="0" collapsed="false">
      <c r="B750" s="54"/>
      <c r="C750" s="55"/>
      <c r="D750" s="55"/>
      <c r="E750" s="55"/>
      <c r="F750" s="56"/>
      <c r="G750" s="57"/>
      <c r="H750" s="55"/>
      <c r="I750" s="57"/>
      <c r="J750" s="54"/>
      <c r="K750" s="56"/>
      <c r="L750" s="57"/>
      <c r="M750" s="54"/>
      <c r="N750" s="58" t="str">
        <f aca="false">IF(S750=1,IF(U750&lt;0,"",U750),IF(Y750=1,X750,""))</f>
        <v/>
      </c>
      <c r="O750" s="59" t="str">
        <f aca="false">IF(S750=1,IF(ISNUMBER(I750),I750-G750,""),"")</f>
        <v/>
      </c>
      <c r="P750" s="59" t="str">
        <f aca="false">IF(T750=1,IF(ISNUMBER(L750),L750-G750,""),"")</f>
        <v/>
      </c>
      <c r="Q750" s="60" t="str">
        <f aca="false">IF(C750="","",IF(T750=1,"✔ SOLD / VENDIDO",IF(S750=0,"— CLOSED / CERRADO",IF(U750&lt;0,"⚠ ADD DATE / AGREGA FECHA",IF(U750&gt;=Settings!$C$8,"⚠ STALE – REPRICE / ESTANCADO",IF(U750&gt;=Settings!$C$7,"● WATCH / VIGILAR","✔ FRESH / RECIENTE"))))))</f>
        <v/>
      </c>
      <c r="S750" s="53" t="n">
        <f aca="false">IF(C750="",0,IF(OR(J750="",J750="In Stock / En Inventario",J750="Listed / Publicado"),1,0))</f>
        <v>0</v>
      </c>
      <c r="T750" s="53" t="n">
        <f aca="false">IF(C750="",0,IF(J750="Sold / Vendido",1,0))</f>
        <v>0</v>
      </c>
      <c r="U750" s="53" t="n">
        <f aca="true">IF(S750=1,IF(ISNUMBER(F750),TODAY()-F750,-1),-1)</f>
        <v>-1</v>
      </c>
      <c r="V750" s="53" t="n">
        <f aca="false">IF(U750&lt;0,IF(S750=1,5,0),IF(U750&lt;=30,1,IF(U750&lt;=60,2,IF(U750&lt;=90,3,4))))</f>
        <v>0</v>
      </c>
      <c r="W750" s="53" t="n">
        <f aca="false">IF(U750&lt;0,-1000000000000000,U750+ROW()/1000000)</f>
        <v>-1000000000000000</v>
      </c>
      <c r="X750" s="53" t="n">
        <f aca="false">IF(T750=1,IF(AND(ISNUMBER(F750),ISNUMBER(K750)),K750-F750,0),0)</f>
        <v>0</v>
      </c>
      <c r="Y750" s="53" t="n">
        <f aca="false">IF(T750=1,IF(AND(ISNUMBER(F750),ISNUMBER(K750)),1,0),0)</f>
        <v>0</v>
      </c>
      <c r="Z750" s="53" t="n">
        <f aca="false">IF(U750&gt;=Settings!$C$8,1,0)</f>
        <v>0</v>
      </c>
      <c r="AA750" s="53" t="n">
        <f aca="false">IF(S750=1,IF(J750="Listed / Publicado",0,1),0)</f>
        <v>0</v>
      </c>
      <c r="AB750" s="53" t="n">
        <f aca="false">IF(T750=1,IF(ISNUMBER(L750),L750-G750,0),0)</f>
        <v>0</v>
      </c>
      <c r="AC750" s="53" t="n">
        <f aca="false">IF(S750=1,IF(ISNUMBER(I750),I750-G750,0),0)</f>
        <v>0</v>
      </c>
    </row>
    <row r="751" customFormat="false" ht="15" hidden="false" customHeight="false" outlineLevel="0" collapsed="false">
      <c r="B751" s="54"/>
      <c r="C751" s="55"/>
      <c r="D751" s="55"/>
      <c r="E751" s="55"/>
      <c r="F751" s="56"/>
      <c r="G751" s="57"/>
      <c r="H751" s="55"/>
      <c r="I751" s="57"/>
      <c r="J751" s="54"/>
      <c r="K751" s="56"/>
      <c r="L751" s="57"/>
      <c r="M751" s="54"/>
      <c r="N751" s="58" t="str">
        <f aca="false">IF(S751=1,IF(U751&lt;0,"",U751),IF(Y751=1,X751,""))</f>
        <v/>
      </c>
      <c r="O751" s="59" t="str">
        <f aca="false">IF(S751=1,IF(ISNUMBER(I751),I751-G751,""),"")</f>
        <v/>
      </c>
      <c r="P751" s="59" t="str">
        <f aca="false">IF(T751=1,IF(ISNUMBER(L751),L751-G751,""),"")</f>
        <v/>
      </c>
      <c r="Q751" s="60" t="str">
        <f aca="false">IF(C751="","",IF(T751=1,"✔ SOLD / VENDIDO",IF(S751=0,"— CLOSED / CERRADO",IF(U751&lt;0,"⚠ ADD DATE / AGREGA FECHA",IF(U751&gt;=Settings!$C$8,"⚠ STALE – REPRICE / ESTANCADO",IF(U751&gt;=Settings!$C$7,"● WATCH / VIGILAR","✔ FRESH / RECIENTE"))))))</f>
        <v/>
      </c>
      <c r="S751" s="53" t="n">
        <f aca="false">IF(C751="",0,IF(OR(J751="",J751="In Stock / En Inventario",J751="Listed / Publicado"),1,0))</f>
        <v>0</v>
      </c>
      <c r="T751" s="53" t="n">
        <f aca="false">IF(C751="",0,IF(J751="Sold / Vendido",1,0))</f>
        <v>0</v>
      </c>
      <c r="U751" s="53" t="n">
        <f aca="true">IF(S751=1,IF(ISNUMBER(F751),TODAY()-F751,-1),-1)</f>
        <v>-1</v>
      </c>
      <c r="V751" s="53" t="n">
        <f aca="false">IF(U751&lt;0,IF(S751=1,5,0),IF(U751&lt;=30,1,IF(U751&lt;=60,2,IF(U751&lt;=90,3,4))))</f>
        <v>0</v>
      </c>
      <c r="W751" s="53" t="n">
        <f aca="false">IF(U751&lt;0,-1000000000000000,U751+ROW()/1000000)</f>
        <v>-1000000000000000</v>
      </c>
      <c r="X751" s="53" t="n">
        <f aca="false">IF(T751=1,IF(AND(ISNUMBER(F751),ISNUMBER(K751)),K751-F751,0),0)</f>
        <v>0</v>
      </c>
      <c r="Y751" s="53" t="n">
        <f aca="false">IF(T751=1,IF(AND(ISNUMBER(F751),ISNUMBER(K751)),1,0),0)</f>
        <v>0</v>
      </c>
      <c r="Z751" s="53" t="n">
        <f aca="false">IF(U751&gt;=Settings!$C$8,1,0)</f>
        <v>0</v>
      </c>
      <c r="AA751" s="53" t="n">
        <f aca="false">IF(S751=1,IF(J751="Listed / Publicado",0,1),0)</f>
        <v>0</v>
      </c>
      <c r="AB751" s="53" t="n">
        <f aca="false">IF(T751=1,IF(ISNUMBER(L751),L751-G751,0),0)</f>
        <v>0</v>
      </c>
      <c r="AC751" s="53" t="n">
        <f aca="false">IF(S751=1,IF(ISNUMBER(I751),I751-G751,0),0)</f>
        <v>0</v>
      </c>
    </row>
    <row r="752" customFormat="false" ht="15" hidden="false" customHeight="false" outlineLevel="0" collapsed="false">
      <c r="B752" s="54"/>
      <c r="C752" s="55"/>
      <c r="D752" s="55"/>
      <c r="E752" s="55"/>
      <c r="F752" s="56"/>
      <c r="G752" s="57"/>
      <c r="H752" s="55"/>
      <c r="I752" s="57"/>
      <c r="J752" s="54"/>
      <c r="K752" s="56"/>
      <c r="L752" s="57"/>
      <c r="M752" s="54"/>
      <c r="N752" s="58" t="str">
        <f aca="false">IF(S752=1,IF(U752&lt;0,"",U752),IF(Y752=1,X752,""))</f>
        <v/>
      </c>
      <c r="O752" s="59" t="str">
        <f aca="false">IF(S752=1,IF(ISNUMBER(I752),I752-G752,""),"")</f>
        <v/>
      </c>
      <c r="P752" s="59" t="str">
        <f aca="false">IF(T752=1,IF(ISNUMBER(L752),L752-G752,""),"")</f>
        <v/>
      </c>
      <c r="Q752" s="60" t="str">
        <f aca="false">IF(C752="","",IF(T752=1,"✔ SOLD / VENDIDO",IF(S752=0,"— CLOSED / CERRADO",IF(U752&lt;0,"⚠ ADD DATE / AGREGA FECHA",IF(U752&gt;=Settings!$C$8,"⚠ STALE – REPRICE / ESTANCADO",IF(U752&gt;=Settings!$C$7,"● WATCH / VIGILAR","✔ FRESH / RECIENTE"))))))</f>
        <v/>
      </c>
      <c r="S752" s="53" t="n">
        <f aca="false">IF(C752="",0,IF(OR(J752="",J752="In Stock / En Inventario",J752="Listed / Publicado"),1,0))</f>
        <v>0</v>
      </c>
      <c r="T752" s="53" t="n">
        <f aca="false">IF(C752="",0,IF(J752="Sold / Vendido",1,0))</f>
        <v>0</v>
      </c>
      <c r="U752" s="53" t="n">
        <f aca="true">IF(S752=1,IF(ISNUMBER(F752),TODAY()-F752,-1),-1)</f>
        <v>-1</v>
      </c>
      <c r="V752" s="53" t="n">
        <f aca="false">IF(U752&lt;0,IF(S752=1,5,0),IF(U752&lt;=30,1,IF(U752&lt;=60,2,IF(U752&lt;=90,3,4))))</f>
        <v>0</v>
      </c>
      <c r="W752" s="53" t="n">
        <f aca="false">IF(U752&lt;0,-1000000000000000,U752+ROW()/1000000)</f>
        <v>-1000000000000000</v>
      </c>
      <c r="X752" s="53" t="n">
        <f aca="false">IF(T752=1,IF(AND(ISNUMBER(F752),ISNUMBER(K752)),K752-F752,0),0)</f>
        <v>0</v>
      </c>
      <c r="Y752" s="53" t="n">
        <f aca="false">IF(T752=1,IF(AND(ISNUMBER(F752),ISNUMBER(K752)),1,0),0)</f>
        <v>0</v>
      </c>
      <c r="Z752" s="53" t="n">
        <f aca="false">IF(U752&gt;=Settings!$C$8,1,0)</f>
        <v>0</v>
      </c>
      <c r="AA752" s="53" t="n">
        <f aca="false">IF(S752=1,IF(J752="Listed / Publicado",0,1),0)</f>
        <v>0</v>
      </c>
      <c r="AB752" s="53" t="n">
        <f aca="false">IF(T752=1,IF(ISNUMBER(L752),L752-G752,0),0)</f>
        <v>0</v>
      </c>
      <c r="AC752" s="53" t="n">
        <f aca="false">IF(S752=1,IF(ISNUMBER(I752),I752-G752,0),0)</f>
        <v>0</v>
      </c>
    </row>
    <row r="753" customFormat="false" ht="15" hidden="false" customHeight="false" outlineLevel="0" collapsed="false">
      <c r="B753" s="54"/>
      <c r="C753" s="55"/>
      <c r="D753" s="55"/>
      <c r="E753" s="55"/>
      <c r="F753" s="56"/>
      <c r="G753" s="57"/>
      <c r="H753" s="55"/>
      <c r="I753" s="57"/>
      <c r="J753" s="54"/>
      <c r="K753" s="56"/>
      <c r="L753" s="57"/>
      <c r="M753" s="54"/>
      <c r="N753" s="58" t="str">
        <f aca="false">IF(S753=1,IF(U753&lt;0,"",U753),IF(Y753=1,X753,""))</f>
        <v/>
      </c>
      <c r="O753" s="59" t="str">
        <f aca="false">IF(S753=1,IF(ISNUMBER(I753),I753-G753,""),"")</f>
        <v/>
      </c>
      <c r="P753" s="59" t="str">
        <f aca="false">IF(T753=1,IF(ISNUMBER(L753),L753-G753,""),"")</f>
        <v/>
      </c>
      <c r="Q753" s="60" t="str">
        <f aca="false">IF(C753="","",IF(T753=1,"✔ SOLD / VENDIDO",IF(S753=0,"— CLOSED / CERRADO",IF(U753&lt;0,"⚠ ADD DATE / AGREGA FECHA",IF(U753&gt;=Settings!$C$8,"⚠ STALE – REPRICE / ESTANCADO",IF(U753&gt;=Settings!$C$7,"● WATCH / VIGILAR","✔ FRESH / RECIENTE"))))))</f>
        <v/>
      </c>
      <c r="S753" s="53" t="n">
        <f aca="false">IF(C753="",0,IF(OR(J753="",J753="In Stock / En Inventario",J753="Listed / Publicado"),1,0))</f>
        <v>0</v>
      </c>
      <c r="T753" s="53" t="n">
        <f aca="false">IF(C753="",0,IF(J753="Sold / Vendido",1,0))</f>
        <v>0</v>
      </c>
      <c r="U753" s="53" t="n">
        <f aca="true">IF(S753=1,IF(ISNUMBER(F753),TODAY()-F753,-1),-1)</f>
        <v>-1</v>
      </c>
      <c r="V753" s="53" t="n">
        <f aca="false">IF(U753&lt;0,IF(S753=1,5,0),IF(U753&lt;=30,1,IF(U753&lt;=60,2,IF(U753&lt;=90,3,4))))</f>
        <v>0</v>
      </c>
      <c r="W753" s="53" t="n">
        <f aca="false">IF(U753&lt;0,-1000000000000000,U753+ROW()/1000000)</f>
        <v>-1000000000000000</v>
      </c>
      <c r="X753" s="53" t="n">
        <f aca="false">IF(T753=1,IF(AND(ISNUMBER(F753),ISNUMBER(K753)),K753-F753,0),0)</f>
        <v>0</v>
      </c>
      <c r="Y753" s="53" t="n">
        <f aca="false">IF(T753=1,IF(AND(ISNUMBER(F753),ISNUMBER(K753)),1,0),0)</f>
        <v>0</v>
      </c>
      <c r="Z753" s="53" t="n">
        <f aca="false">IF(U753&gt;=Settings!$C$8,1,0)</f>
        <v>0</v>
      </c>
      <c r="AA753" s="53" t="n">
        <f aca="false">IF(S753=1,IF(J753="Listed / Publicado",0,1),0)</f>
        <v>0</v>
      </c>
      <c r="AB753" s="53" t="n">
        <f aca="false">IF(T753=1,IF(ISNUMBER(L753),L753-G753,0),0)</f>
        <v>0</v>
      </c>
      <c r="AC753" s="53" t="n">
        <f aca="false">IF(S753=1,IF(ISNUMBER(I753),I753-G753,0),0)</f>
        <v>0</v>
      </c>
    </row>
    <row r="754" customFormat="false" ht="15" hidden="false" customHeight="false" outlineLevel="0" collapsed="false">
      <c r="B754" s="54"/>
      <c r="C754" s="55"/>
      <c r="D754" s="55"/>
      <c r="E754" s="55"/>
      <c r="F754" s="56"/>
      <c r="G754" s="57"/>
      <c r="H754" s="55"/>
      <c r="I754" s="57"/>
      <c r="J754" s="54"/>
      <c r="K754" s="56"/>
      <c r="L754" s="57"/>
      <c r="M754" s="54"/>
      <c r="N754" s="58" t="str">
        <f aca="false">IF(S754=1,IF(U754&lt;0,"",U754),IF(Y754=1,X754,""))</f>
        <v/>
      </c>
      <c r="O754" s="59" t="str">
        <f aca="false">IF(S754=1,IF(ISNUMBER(I754),I754-G754,""),"")</f>
        <v/>
      </c>
      <c r="P754" s="59" t="str">
        <f aca="false">IF(T754=1,IF(ISNUMBER(L754),L754-G754,""),"")</f>
        <v/>
      </c>
      <c r="Q754" s="60" t="str">
        <f aca="false">IF(C754="","",IF(T754=1,"✔ SOLD / VENDIDO",IF(S754=0,"— CLOSED / CERRADO",IF(U754&lt;0,"⚠ ADD DATE / AGREGA FECHA",IF(U754&gt;=Settings!$C$8,"⚠ STALE – REPRICE / ESTANCADO",IF(U754&gt;=Settings!$C$7,"● WATCH / VIGILAR","✔ FRESH / RECIENTE"))))))</f>
        <v/>
      </c>
      <c r="S754" s="53" t="n">
        <f aca="false">IF(C754="",0,IF(OR(J754="",J754="In Stock / En Inventario",J754="Listed / Publicado"),1,0))</f>
        <v>0</v>
      </c>
      <c r="T754" s="53" t="n">
        <f aca="false">IF(C754="",0,IF(J754="Sold / Vendido",1,0))</f>
        <v>0</v>
      </c>
      <c r="U754" s="53" t="n">
        <f aca="true">IF(S754=1,IF(ISNUMBER(F754),TODAY()-F754,-1),-1)</f>
        <v>-1</v>
      </c>
      <c r="V754" s="53" t="n">
        <f aca="false">IF(U754&lt;0,IF(S754=1,5,0),IF(U754&lt;=30,1,IF(U754&lt;=60,2,IF(U754&lt;=90,3,4))))</f>
        <v>0</v>
      </c>
      <c r="W754" s="53" t="n">
        <f aca="false">IF(U754&lt;0,-1000000000000000,U754+ROW()/1000000)</f>
        <v>-1000000000000000</v>
      </c>
      <c r="X754" s="53" t="n">
        <f aca="false">IF(T754=1,IF(AND(ISNUMBER(F754),ISNUMBER(K754)),K754-F754,0),0)</f>
        <v>0</v>
      </c>
      <c r="Y754" s="53" t="n">
        <f aca="false">IF(T754=1,IF(AND(ISNUMBER(F754),ISNUMBER(K754)),1,0),0)</f>
        <v>0</v>
      </c>
      <c r="Z754" s="53" t="n">
        <f aca="false">IF(U754&gt;=Settings!$C$8,1,0)</f>
        <v>0</v>
      </c>
      <c r="AA754" s="53" t="n">
        <f aca="false">IF(S754=1,IF(J754="Listed / Publicado",0,1),0)</f>
        <v>0</v>
      </c>
      <c r="AB754" s="53" t="n">
        <f aca="false">IF(T754=1,IF(ISNUMBER(L754),L754-G754,0),0)</f>
        <v>0</v>
      </c>
      <c r="AC754" s="53" t="n">
        <f aca="false">IF(S754=1,IF(ISNUMBER(I754),I754-G754,0),0)</f>
        <v>0</v>
      </c>
    </row>
    <row r="755" customFormat="false" ht="15" hidden="false" customHeight="false" outlineLevel="0" collapsed="false">
      <c r="B755" s="54"/>
      <c r="C755" s="55"/>
      <c r="D755" s="55"/>
      <c r="E755" s="55"/>
      <c r="F755" s="56"/>
      <c r="G755" s="57"/>
      <c r="H755" s="55"/>
      <c r="I755" s="57"/>
      <c r="J755" s="54"/>
      <c r="K755" s="56"/>
      <c r="L755" s="57"/>
      <c r="M755" s="54"/>
      <c r="N755" s="58" t="str">
        <f aca="false">IF(S755=1,IF(U755&lt;0,"",U755),IF(Y755=1,X755,""))</f>
        <v/>
      </c>
      <c r="O755" s="59" t="str">
        <f aca="false">IF(S755=1,IF(ISNUMBER(I755),I755-G755,""),"")</f>
        <v/>
      </c>
      <c r="P755" s="59" t="str">
        <f aca="false">IF(T755=1,IF(ISNUMBER(L755),L755-G755,""),"")</f>
        <v/>
      </c>
      <c r="Q755" s="60" t="str">
        <f aca="false">IF(C755="","",IF(T755=1,"✔ SOLD / VENDIDO",IF(S755=0,"— CLOSED / CERRADO",IF(U755&lt;0,"⚠ ADD DATE / AGREGA FECHA",IF(U755&gt;=Settings!$C$8,"⚠ STALE – REPRICE / ESTANCADO",IF(U755&gt;=Settings!$C$7,"● WATCH / VIGILAR","✔ FRESH / RECIENTE"))))))</f>
        <v/>
      </c>
      <c r="S755" s="53" t="n">
        <f aca="false">IF(C755="",0,IF(OR(J755="",J755="In Stock / En Inventario",J755="Listed / Publicado"),1,0))</f>
        <v>0</v>
      </c>
      <c r="T755" s="53" t="n">
        <f aca="false">IF(C755="",0,IF(J755="Sold / Vendido",1,0))</f>
        <v>0</v>
      </c>
      <c r="U755" s="53" t="n">
        <f aca="true">IF(S755=1,IF(ISNUMBER(F755),TODAY()-F755,-1),-1)</f>
        <v>-1</v>
      </c>
      <c r="V755" s="53" t="n">
        <f aca="false">IF(U755&lt;0,IF(S755=1,5,0),IF(U755&lt;=30,1,IF(U755&lt;=60,2,IF(U755&lt;=90,3,4))))</f>
        <v>0</v>
      </c>
      <c r="W755" s="53" t="n">
        <f aca="false">IF(U755&lt;0,-1000000000000000,U755+ROW()/1000000)</f>
        <v>-1000000000000000</v>
      </c>
      <c r="X755" s="53" t="n">
        <f aca="false">IF(T755=1,IF(AND(ISNUMBER(F755),ISNUMBER(K755)),K755-F755,0),0)</f>
        <v>0</v>
      </c>
      <c r="Y755" s="53" t="n">
        <f aca="false">IF(T755=1,IF(AND(ISNUMBER(F755),ISNUMBER(K755)),1,0),0)</f>
        <v>0</v>
      </c>
      <c r="Z755" s="53" t="n">
        <f aca="false">IF(U755&gt;=Settings!$C$8,1,0)</f>
        <v>0</v>
      </c>
      <c r="AA755" s="53" t="n">
        <f aca="false">IF(S755=1,IF(J755="Listed / Publicado",0,1),0)</f>
        <v>0</v>
      </c>
      <c r="AB755" s="53" t="n">
        <f aca="false">IF(T755=1,IF(ISNUMBER(L755),L755-G755,0),0)</f>
        <v>0</v>
      </c>
      <c r="AC755" s="53" t="n">
        <f aca="false">IF(S755=1,IF(ISNUMBER(I755),I755-G755,0),0)</f>
        <v>0</v>
      </c>
    </row>
    <row r="756" customFormat="false" ht="15" hidden="false" customHeight="false" outlineLevel="0" collapsed="false">
      <c r="B756" s="54"/>
      <c r="C756" s="55"/>
      <c r="D756" s="55"/>
      <c r="E756" s="55"/>
      <c r="F756" s="56"/>
      <c r="G756" s="57"/>
      <c r="H756" s="55"/>
      <c r="I756" s="57"/>
      <c r="J756" s="54"/>
      <c r="K756" s="56"/>
      <c r="L756" s="57"/>
      <c r="M756" s="54"/>
      <c r="N756" s="58" t="str">
        <f aca="false">IF(S756=1,IF(U756&lt;0,"",U756),IF(Y756=1,X756,""))</f>
        <v/>
      </c>
      <c r="O756" s="59" t="str">
        <f aca="false">IF(S756=1,IF(ISNUMBER(I756),I756-G756,""),"")</f>
        <v/>
      </c>
      <c r="P756" s="59" t="str">
        <f aca="false">IF(T756=1,IF(ISNUMBER(L756),L756-G756,""),"")</f>
        <v/>
      </c>
      <c r="Q756" s="60" t="str">
        <f aca="false">IF(C756="","",IF(T756=1,"✔ SOLD / VENDIDO",IF(S756=0,"— CLOSED / CERRADO",IF(U756&lt;0,"⚠ ADD DATE / AGREGA FECHA",IF(U756&gt;=Settings!$C$8,"⚠ STALE – REPRICE / ESTANCADO",IF(U756&gt;=Settings!$C$7,"● WATCH / VIGILAR","✔ FRESH / RECIENTE"))))))</f>
        <v/>
      </c>
      <c r="S756" s="53" t="n">
        <f aca="false">IF(C756="",0,IF(OR(J756="",J756="In Stock / En Inventario",J756="Listed / Publicado"),1,0))</f>
        <v>0</v>
      </c>
      <c r="T756" s="53" t="n">
        <f aca="false">IF(C756="",0,IF(J756="Sold / Vendido",1,0))</f>
        <v>0</v>
      </c>
      <c r="U756" s="53" t="n">
        <f aca="true">IF(S756=1,IF(ISNUMBER(F756),TODAY()-F756,-1),-1)</f>
        <v>-1</v>
      </c>
      <c r="V756" s="53" t="n">
        <f aca="false">IF(U756&lt;0,IF(S756=1,5,0),IF(U756&lt;=30,1,IF(U756&lt;=60,2,IF(U756&lt;=90,3,4))))</f>
        <v>0</v>
      </c>
      <c r="W756" s="53" t="n">
        <f aca="false">IF(U756&lt;0,-1000000000000000,U756+ROW()/1000000)</f>
        <v>-1000000000000000</v>
      </c>
      <c r="X756" s="53" t="n">
        <f aca="false">IF(T756=1,IF(AND(ISNUMBER(F756),ISNUMBER(K756)),K756-F756,0),0)</f>
        <v>0</v>
      </c>
      <c r="Y756" s="53" t="n">
        <f aca="false">IF(T756=1,IF(AND(ISNUMBER(F756),ISNUMBER(K756)),1,0),0)</f>
        <v>0</v>
      </c>
      <c r="Z756" s="53" t="n">
        <f aca="false">IF(U756&gt;=Settings!$C$8,1,0)</f>
        <v>0</v>
      </c>
      <c r="AA756" s="53" t="n">
        <f aca="false">IF(S756=1,IF(J756="Listed / Publicado",0,1),0)</f>
        <v>0</v>
      </c>
      <c r="AB756" s="53" t="n">
        <f aca="false">IF(T756=1,IF(ISNUMBER(L756),L756-G756,0),0)</f>
        <v>0</v>
      </c>
      <c r="AC756" s="53" t="n">
        <f aca="false">IF(S756=1,IF(ISNUMBER(I756),I756-G756,0),0)</f>
        <v>0</v>
      </c>
    </row>
    <row r="757" customFormat="false" ht="15" hidden="false" customHeight="false" outlineLevel="0" collapsed="false">
      <c r="B757" s="54"/>
      <c r="C757" s="55"/>
      <c r="D757" s="55"/>
      <c r="E757" s="55"/>
      <c r="F757" s="56"/>
      <c r="G757" s="57"/>
      <c r="H757" s="55"/>
      <c r="I757" s="57"/>
      <c r="J757" s="54"/>
      <c r="K757" s="56"/>
      <c r="L757" s="57"/>
      <c r="M757" s="54"/>
      <c r="N757" s="58" t="str">
        <f aca="false">IF(S757=1,IF(U757&lt;0,"",U757),IF(Y757=1,X757,""))</f>
        <v/>
      </c>
      <c r="O757" s="59" t="str">
        <f aca="false">IF(S757=1,IF(ISNUMBER(I757),I757-G757,""),"")</f>
        <v/>
      </c>
      <c r="P757" s="59" t="str">
        <f aca="false">IF(T757=1,IF(ISNUMBER(L757),L757-G757,""),"")</f>
        <v/>
      </c>
      <c r="Q757" s="60" t="str">
        <f aca="false">IF(C757="","",IF(T757=1,"✔ SOLD / VENDIDO",IF(S757=0,"— CLOSED / CERRADO",IF(U757&lt;0,"⚠ ADD DATE / AGREGA FECHA",IF(U757&gt;=Settings!$C$8,"⚠ STALE – REPRICE / ESTANCADO",IF(U757&gt;=Settings!$C$7,"● WATCH / VIGILAR","✔ FRESH / RECIENTE"))))))</f>
        <v/>
      </c>
      <c r="S757" s="53" t="n">
        <f aca="false">IF(C757="",0,IF(OR(J757="",J757="In Stock / En Inventario",J757="Listed / Publicado"),1,0))</f>
        <v>0</v>
      </c>
      <c r="T757" s="53" t="n">
        <f aca="false">IF(C757="",0,IF(J757="Sold / Vendido",1,0))</f>
        <v>0</v>
      </c>
      <c r="U757" s="53" t="n">
        <f aca="true">IF(S757=1,IF(ISNUMBER(F757),TODAY()-F757,-1),-1)</f>
        <v>-1</v>
      </c>
      <c r="V757" s="53" t="n">
        <f aca="false">IF(U757&lt;0,IF(S757=1,5,0),IF(U757&lt;=30,1,IF(U757&lt;=60,2,IF(U757&lt;=90,3,4))))</f>
        <v>0</v>
      </c>
      <c r="W757" s="53" t="n">
        <f aca="false">IF(U757&lt;0,-1000000000000000,U757+ROW()/1000000)</f>
        <v>-1000000000000000</v>
      </c>
      <c r="X757" s="53" t="n">
        <f aca="false">IF(T757=1,IF(AND(ISNUMBER(F757),ISNUMBER(K757)),K757-F757,0),0)</f>
        <v>0</v>
      </c>
      <c r="Y757" s="53" t="n">
        <f aca="false">IF(T757=1,IF(AND(ISNUMBER(F757),ISNUMBER(K757)),1,0),0)</f>
        <v>0</v>
      </c>
      <c r="Z757" s="53" t="n">
        <f aca="false">IF(U757&gt;=Settings!$C$8,1,0)</f>
        <v>0</v>
      </c>
      <c r="AA757" s="53" t="n">
        <f aca="false">IF(S757=1,IF(J757="Listed / Publicado",0,1),0)</f>
        <v>0</v>
      </c>
      <c r="AB757" s="53" t="n">
        <f aca="false">IF(T757=1,IF(ISNUMBER(L757),L757-G757,0),0)</f>
        <v>0</v>
      </c>
      <c r="AC757" s="53" t="n">
        <f aca="false">IF(S757=1,IF(ISNUMBER(I757),I757-G757,0),0)</f>
        <v>0</v>
      </c>
    </row>
    <row r="758" customFormat="false" ht="15" hidden="false" customHeight="false" outlineLevel="0" collapsed="false">
      <c r="B758" s="54"/>
      <c r="C758" s="55"/>
      <c r="D758" s="55"/>
      <c r="E758" s="55"/>
      <c r="F758" s="56"/>
      <c r="G758" s="57"/>
      <c r="H758" s="55"/>
      <c r="I758" s="57"/>
      <c r="J758" s="54"/>
      <c r="K758" s="56"/>
      <c r="L758" s="57"/>
      <c r="M758" s="54"/>
      <c r="N758" s="58" t="str">
        <f aca="false">IF(S758=1,IF(U758&lt;0,"",U758),IF(Y758=1,X758,""))</f>
        <v/>
      </c>
      <c r="O758" s="59" t="str">
        <f aca="false">IF(S758=1,IF(ISNUMBER(I758),I758-G758,""),"")</f>
        <v/>
      </c>
      <c r="P758" s="59" t="str">
        <f aca="false">IF(T758=1,IF(ISNUMBER(L758),L758-G758,""),"")</f>
        <v/>
      </c>
      <c r="Q758" s="60" t="str">
        <f aca="false">IF(C758="","",IF(T758=1,"✔ SOLD / VENDIDO",IF(S758=0,"— CLOSED / CERRADO",IF(U758&lt;0,"⚠ ADD DATE / AGREGA FECHA",IF(U758&gt;=Settings!$C$8,"⚠ STALE – REPRICE / ESTANCADO",IF(U758&gt;=Settings!$C$7,"● WATCH / VIGILAR","✔ FRESH / RECIENTE"))))))</f>
        <v/>
      </c>
      <c r="S758" s="53" t="n">
        <f aca="false">IF(C758="",0,IF(OR(J758="",J758="In Stock / En Inventario",J758="Listed / Publicado"),1,0))</f>
        <v>0</v>
      </c>
      <c r="T758" s="53" t="n">
        <f aca="false">IF(C758="",0,IF(J758="Sold / Vendido",1,0))</f>
        <v>0</v>
      </c>
      <c r="U758" s="53" t="n">
        <f aca="true">IF(S758=1,IF(ISNUMBER(F758),TODAY()-F758,-1),-1)</f>
        <v>-1</v>
      </c>
      <c r="V758" s="53" t="n">
        <f aca="false">IF(U758&lt;0,IF(S758=1,5,0),IF(U758&lt;=30,1,IF(U758&lt;=60,2,IF(U758&lt;=90,3,4))))</f>
        <v>0</v>
      </c>
      <c r="W758" s="53" t="n">
        <f aca="false">IF(U758&lt;0,-1000000000000000,U758+ROW()/1000000)</f>
        <v>-1000000000000000</v>
      </c>
      <c r="X758" s="53" t="n">
        <f aca="false">IF(T758=1,IF(AND(ISNUMBER(F758),ISNUMBER(K758)),K758-F758,0),0)</f>
        <v>0</v>
      </c>
      <c r="Y758" s="53" t="n">
        <f aca="false">IF(T758=1,IF(AND(ISNUMBER(F758),ISNUMBER(K758)),1,0),0)</f>
        <v>0</v>
      </c>
      <c r="Z758" s="53" t="n">
        <f aca="false">IF(U758&gt;=Settings!$C$8,1,0)</f>
        <v>0</v>
      </c>
      <c r="AA758" s="53" t="n">
        <f aca="false">IF(S758=1,IF(J758="Listed / Publicado",0,1),0)</f>
        <v>0</v>
      </c>
      <c r="AB758" s="53" t="n">
        <f aca="false">IF(T758=1,IF(ISNUMBER(L758),L758-G758,0),0)</f>
        <v>0</v>
      </c>
      <c r="AC758" s="53" t="n">
        <f aca="false">IF(S758=1,IF(ISNUMBER(I758),I758-G758,0),0)</f>
        <v>0</v>
      </c>
    </row>
    <row r="759" customFormat="false" ht="15" hidden="false" customHeight="false" outlineLevel="0" collapsed="false">
      <c r="B759" s="54"/>
      <c r="C759" s="55"/>
      <c r="D759" s="55"/>
      <c r="E759" s="55"/>
      <c r="F759" s="56"/>
      <c r="G759" s="57"/>
      <c r="H759" s="55"/>
      <c r="I759" s="57"/>
      <c r="J759" s="54"/>
      <c r="K759" s="56"/>
      <c r="L759" s="57"/>
      <c r="M759" s="54"/>
      <c r="N759" s="58" t="str">
        <f aca="false">IF(S759=1,IF(U759&lt;0,"",U759),IF(Y759=1,X759,""))</f>
        <v/>
      </c>
      <c r="O759" s="59" t="str">
        <f aca="false">IF(S759=1,IF(ISNUMBER(I759),I759-G759,""),"")</f>
        <v/>
      </c>
      <c r="P759" s="59" t="str">
        <f aca="false">IF(T759=1,IF(ISNUMBER(L759),L759-G759,""),"")</f>
        <v/>
      </c>
      <c r="Q759" s="60" t="str">
        <f aca="false">IF(C759="","",IF(T759=1,"✔ SOLD / VENDIDO",IF(S759=0,"— CLOSED / CERRADO",IF(U759&lt;0,"⚠ ADD DATE / AGREGA FECHA",IF(U759&gt;=Settings!$C$8,"⚠ STALE – REPRICE / ESTANCADO",IF(U759&gt;=Settings!$C$7,"● WATCH / VIGILAR","✔ FRESH / RECIENTE"))))))</f>
        <v/>
      </c>
      <c r="S759" s="53" t="n">
        <f aca="false">IF(C759="",0,IF(OR(J759="",J759="In Stock / En Inventario",J759="Listed / Publicado"),1,0))</f>
        <v>0</v>
      </c>
      <c r="T759" s="53" t="n">
        <f aca="false">IF(C759="",0,IF(J759="Sold / Vendido",1,0))</f>
        <v>0</v>
      </c>
      <c r="U759" s="53" t="n">
        <f aca="true">IF(S759=1,IF(ISNUMBER(F759),TODAY()-F759,-1),-1)</f>
        <v>-1</v>
      </c>
      <c r="V759" s="53" t="n">
        <f aca="false">IF(U759&lt;0,IF(S759=1,5,0),IF(U759&lt;=30,1,IF(U759&lt;=60,2,IF(U759&lt;=90,3,4))))</f>
        <v>0</v>
      </c>
      <c r="W759" s="53" t="n">
        <f aca="false">IF(U759&lt;0,-1000000000000000,U759+ROW()/1000000)</f>
        <v>-1000000000000000</v>
      </c>
      <c r="X759" s="53" t="n">
        <f aca="false">IF(T759=1,IF(AND(ISNUMBER(F759),ISNUMBER(K759)),K759-F759,0),0)</f>
        <v>0</v>
      </c>
      <c r="Y759" s="53" t="n">
        <f aca="false">IF(T759=1,IF(AND(ISNUMBER(F759),ISNUMBER(K759)),1,0),0)</f>
        <v>0</v>
      </c>
      <c r="Z759" s="53" t="n">
        <f aca="false">IF(U759&gt;=Settings!$C$8,1,0)</f>
        <v>0</v>
      </c>
      <c r="AA759" s="53" t="n">
        <f aca="false">IF(S759=1,IF(J759="Listed / Publicado",0,1),0)</f>
        <v>0</v>
      </c>
      <c r="AB759" s="53" t="n">
        <f aca="false">IF(T759=1,IF(ISNUMBER(L759),L759-G759,0),0)</f>
        <v>0</v>
      </c>
      <c r="AC759" s="53" t="n">
        <f aca="false">IF(S759=1,IF(ISNUMBER(I759),I759-G759,0),0)</f>
        <v>0</v>
      </c>
    </row>
    <row r="760" customFormat="false" ht="15" hidden="false" customHeight="false" outlineLevel="0" collapsed="false">
      <c r="B760" s="54"/>
      <c r="C760" s="55"/>
      <c r="D760" s="55"/>
      <c r="E760" s="55"/>
      <c r="F760" s="56"/>
      <c r="G760" s="57"/>
      <c r="H760" s="55"/>
      <c r="I760" s="57"/>
      <c r="J760" s="54"/>
      <c r="K760" s="56"/>
      <c r="L760" s="57"/>
      <c r="M760" s="54"/>
      <c r="N760" s="58" t="str">
        <f aca="false">IF(S760=1,IF(U760&lt;0,"",U760),IF(Y760=1,X760,""))</f>
        <v/>
      </c>
      <c r="O760" s="59" t="str">
        <f aca="false">IF(S760=1,IF(ISNUMBER(I760),I760-G760,""),"")</f>
        <v/>
      </c>
      <c r="P760" s="59" t="str">
        <f aca="false">IF(T760=1,IF(ISNUMBER(L760),L760-G760,""),"")</f>
        <v/>
      </c>
      <c r="Q760" s="60" t="str">
        <f aca="false">IF(C760="","",IF(T760=1,"✔ SOLD / VENDIDO",IF(S760=0,"— CLOSED / CERRADO",IF(U760&lt;0,"⚠ ADD DATE / AGREGA FECHA",IF(U760&gt;=Settings!$C$8,"⚠ STALE – REPRICE / ESTANCADO",IF(U760&gt;=Settings!$C$7,"● WATCH / VIGILAR","✔ FRESH / RECIENTE"))))))</f>
        <v/>
      </c>
      <c r="S760" s="53" t="n">
        <f aca="false">IF(C760="",0,IF(OR(J760="",J760="In Stock / En Inventario",J760="Listed / Publicado"),1,0))</f>
        <v>0</v>
      </c>
      <c r="T760" s="53" t="n">
        <f aca="false">IF(C760="",0,IF(J760="Sold / Vendido",1,0))</f>
        <v>0</v>
      </c>
      <c r="U760" s="53" t="n">
        <f aca="true">IF(S760=1,IF(ISNUMBER(F760),TODAY()-F760,-1),-1)</f>
        <v>-1</v>
      </c>
      <c r="V760" s="53" t="n">
        <f aca="false">IF(U760&lt;0,IF(S760=1,5,0),IF(U760&lt;=30,1,IF(U760&lt;=60,2,IF(U760&lt;=90,3,4))))</f>
        <v>0</v>
      </c>
      <c r="W760" s="53" t="n">
        <f aca="false">IF(U760&lt;0,-1000000000000000,U760+ROW()/1000000)</f>
        <v>-1000000000000000</v>
      </c>
      <c r="X760" s="53" t="n">
        <f aca="false">IF(T760=1,IF(AND(ISNUMBER(F760),ISNUMBER(K760)),K760-F760,0),0)</f>
        <v>0</v>
      </c>
      <c r="Y760" s="53" t="n">
        <f aca="false">IF(T760=1,IF(AND(ISNUMBER(F760),ISNUMBER(K760)),1,0),0)</f>
        <v>0</v>
      </c>
      <c r="Z760" s="53" t="n">
        <f aca="false">IF(U760&gt;=Settings!$C$8,1,0)</f>
        <v>0</v>
      </c>
      <c r="AA760" s="53" t="n">
        <f aca="false">IF(S760=1,IF(J760="Listed / Publicado",0,1),0)</f>
        <v>0</v>
      </c>
      <c r="AB760" s="53" t="n">
        <f aca="false">IF(T760=1,IF(ISNUMBER(L760),L760-G760,0),0)</f>
        <v>0</v>
      </c>
      <c r="AC760" s="53" t="n">
        <f aca="false">IF(S760=1,IF(ISNUMBER(I760),I760-G760,0),0)</f>
        <v>0</v>
      </c>
    </row>
    <row r="761" customFormat="false" ht="15" hidden="false" customHeight="false" outlineLevel="0" collapsed="false">
      <c r="B761" s="54"/>
      <c r="C761" s="55"/>
      <c r="D761" s="55"/>
      <c r="E761" s="55"/>
      <c r="F761" s="56"/>
      <c r="G761" s="57"/>
      <c r="H761" s="55"/>
      <c r="I761" s="57"/>
      <c r="J761" s="54"/>
      <c r="K761" s="56"/>
      <c r="L761" s="57"/>
      <c r="M761" s="54"/>
      <c r="N761" s="58" t="str">
        <f aca="false">IF(S761=1,IF(U761&lt;0,"",U761),IF(Y761=1,X761,""))</f>
        <v/>
      </c>
      <c r="O761" s="59" t="str">
        <f aca="false">IF(S761=1,IF(ISNUMBER(I761),I761-G761,""),"")</f>
        <v/>
      </c>
      <c r="P761" s="59" t="str">
        <f aca="false">IF(T761=1,IF(ISNUMBER(L761),L761-G761,""),"")</f>
        <v/>
      </c>
      <c r="Q761" s="60" t="str">
        <f aca="false">IF(C761="","",IF(T761=1,"✔ SOLD / VENDIDO",IF(S761=0,"— CLOSED / CERRADO",IF(U761&lt;0,"⚠ ADD DATE / AGREGA FECHA",IF(U761&gt;=Settings!$C$8,"⚠ STALE – REPRICE / ESTANCADO",IF(U761&gt;=Settings!$C$7,"● WATCH / VIGILAR","✔ FRESH / RECIENTE"))))))</f>
        <v/>
      </c>
      <c r="S761" s="53" t="n">
        <f aca="false">IF(C761="",0,IF(OR(J761="",J761="In Stock / En Inventario",J761="Listed / Publicado"),1,0))</f>
        <v>0</v>
      </c>
      <c r="T761" s="53" t="n">
        <f aca="false">IF(C761="",0,IF(J761="Sold / Vendido",1,0))</f>
        <v>0</v>
      </c>
      <c r="U761" s="53" t="n">
        <f aca="true">IF(S761=1,IF(ISNUMBER(F761),TODAY()-F761,-1),-1)</f>
        <v>-1</v>
      </c>
      <c r="V761" s="53" t="n">
        <f aca="false">IF(U761&lt;0,IF(S761=1,5,0),IF(U761&lt;=30,1,IF(U761&lt;=60,2,IF(U761&lt;=90,3,4))))</f>
        <v>0</v>
      </c>
      <c r="W761" s="53" t="n">
        <f aca="false">IF(U761&lt;0,-1000000000000000,U761+ROW()/1000000)</f>
        <v>-1000000000000000</v>
      </c>
      <c r="X761" s="53" t="n">
        <f aca="false">IF(T761=1,IF(AND(ISNUMBER(F761),ISNUMBER(K761)),K761-F761,0),0)</f>
        <v>0</v>
      </c>
      <c r="Y761" s="53" t="n">
        <f aca="false">IF(T761=1,IF(AND(ISNUMBER(F761),ISNUMBER(K761)),1,0),0)</f>
        <v>0</v>
      </c>
      <c r="Z761" s="53" t="n">
        <f aca="false">IF(U761&gt;=Settings!$C$8,1,0)</f>
        <v>0</v>
      </c>
      <c r="AA761" s="53" t="n">
        <f aca="false">IF(S761=1,IF(J761="Listed / Publicado",0,1),0)</f>
        <v>0</v>
      </c>
      <c r="AB761" s="53" t="n">
        <f aca="false">IF(T761=1,IF(ISNUMBER(L761),L761-G761,0),0)</f>
        <v>0</v>
      </c>
      <c r="AC761" s="53" t="n">
        <f aca="false">IF(S761=1,IF(ISNUMBER(I761),I761-G761,0),0)</f>
        <v>0</v>
      </c>
    </row>
    <row r="762" customFormat="false" ht="15" hidden="false" customHeight="false" outlineLevel="0" collapsed="false">
      <c r="B762" s="54"/>
      <c r="C762" s="55"/>
      <c r="D762" s="55"/>
      <c r="E762" s="55"/>
      <c r="F762" s="56"/>
      <c r="G762" s="57"/>
      <c r="H762" s="55"/>
      <c r="I762" s="57"/>
      <c r="J762" s="54"/>
      <c r="K762" s="56"/>
      <c r="L762" s="57"/>
      <c r="M762" s="54"/>
      <c r="N762" s="58" t="str">
        <f aca="false">IF(S762=1,IF(U762&lt;0,"",U762),IF(Y762=1,X762,""))</f>
        <v/>
      </c>
      <c r="O762" s="59" t="str">
        <f aca="false">IF(S762=1,IF(ISNUMBER(I762),I762-G762,""),"")</f>
        <v/>
      </c>
      <c r="P762" s="59" t="str">
        <f aca="false">IF(T762=1,IF(ISNUMBER(L762),L762-G762,""),"")</f>
        <v/>
      </c>
      <c r="Q762" s="60" t="str">
        <f aca="false">IF(C762="","",IF(T762=1,"✔ SOLD / VENDIDO",IF(S762=0,"— CLOSED / CERRADO",IF(U762&lt;0,"⚠ ADD DATE / AGREGA FECHA",IF(U762&gt;=Settings!$C$8,"⚠ STALE – REPRICE / ESTANCADO",IF(U762&gt;=Settings!$C$7,"● WATCH / VIGILAR","✔ FRESH / RECIENTE"))))))</f>
        <v/>
      </c>
      <c r="S762" s="53" t="n">
        <f aca="false">IF(C762="",0,IF(OR(J762="",J762="In Stock / En Inventario",J762="Listed / Publicado"),1,0))</f>
        <v>0</v>
      </c>
      <c r="T762" s="53" t="n">
        <f aca="false">IF(C762="",0,IF(J762="Sold / Vendido",1,0))</f>
        <v>0</v>
      </c>
      <c r="U762" s="53" t="n">
        <f aca="true">IF(S762=1,IF(ISNUMBER(F762),TODAY()-F762,-1),-1)</f>
        <v>-1</v>
      </c>
      <c r="V762" s="53" t="n">
        <f aca="false">IF(U762&lt;0,IF(S762=1,5,0),IF(U762&lt;=30,1,IF(U762&lt;=60,2,IF(U762&lt;=90,3,4))))</f>
        <v>0</v>
      </c>
      <c r="W762" s="53" t="n">
        <f aca="false">IF(U762&lt;0,-1000000000000000,U762+ROW()/1000000)</f>
        <v>-1000000000000000</v>
      </c>
      <c r="X762" s="53" t="n">
        <f aca="false">IF(T762=1,IF(AND(ISNUMBER(F762),ISNUMBER(K762)),K762-F762,0),0)</f>
        <v>0</v>
      </c>
      <c r="Y762" s="53" t="n">
        <f aca="false">IF(T762=1,IF(AND(ISNUMBER(F762),ISNUMBER(K762)),1,0),0)</f>
        <v>0</v>
      </c>
      <c r="Z762" s="53" t="n">
        <f aca="false">IF(U762&gt;=Settings!$C$8,1,0)</f>
        <v>0</v>
      </c>
      <c r="AA762" s="53" t="n">
        <f aca="false">IF(S762=1,IF(J762="Listed / Publicado",0,1),0)</f>
        <v>0</v>
      </c>
      <c r="AB762" s="53" t="n">
        <f aca="false">IF(T762=1,IF(ISNUMBER(L762),L762-G762,0),0)</f>
        <v>0</v>
      </c>
      <c r="AC762" s="53" t="n">
        <f aca="false">IF(S762=1,IF(ISNUMBER(I762),I762-G762,0),0)</f>
        <v>0</v>
      </c>
    </row>
    <row r="763" customFormat="false" ht="15" hidden="false" customHeight="false" outlineLevel="0" collapsed="false">
      <c r="B763" s="54"/>
      <c r="C763" s="55"/>
      <c r="D763" s="55"/>
      <c r="E763" s="55"/>
      <c r="F763" s="56"/>
      <c r="G763" s="57"/>
      <c r="H763" s="55"/>
      <c r="I763" s="57"/>
      <c r="J763" s="54"/>
      <c r="K763" s="56"/>
      <c r="L763" s="57"/>
      <c r="M763" s="54"/>
      <c r="N763" s="58" t="str">
        <f aca="false">IF(S763=1,IF(U763&lt;0,"",U763),IF(Y763=1,X763,""))</f>
        <v/>
      </c>
      <c r="O763" s="59" t="str">
        <f aca="false">IF(S763=1,IF(ISNUMBER(I763),I763-G763,""),"")</f>
        <v/>
      </c>
      <c r="P763" s="59" t="str">
        <f aca="false">IF(T763=1,IF(ISNUMBER(L763),L763-G763,""),"")</f>
        <v/>
      </c>
      <c r="Q763" s="60" t="str">
        <f aca="false">IF(C763="","",IF(T763=1,"✔ SOLD / VENDIDO",IF(S763=0,"— CLOSED / CERRADO",IF(U763&lt;0,"⚠ ADD DATE / AGREGA FECHA",IF(U763&gt;=Settings!$C$8,"⚠ STALE – REPRICE / ESTANCADO",IF(U763&gt;=Settings!$C$7,"● WATCH / VIGILAR","✔ FRESH / RECIENTE"))))))</f>
        <v/>
      </c>
      <c r="S763" s="53" t="n">
        <f aca="false">IF(C763="",0,IF(OR(J763="",J763="In Stock / En Inventario",J763="Listed / Publicado"),1,0))</f>
        <v>0</v>
      </c>
      <c r="T763" s="53" t="n">
        <f aca="false">IF(C763="",0,IF(J763="Sold / Vendido",1,0))</f>
        <v>0</v>
      </c>
      <c r="U763" s="53" t="n">
        <f aca="true">IF(S763=1,IF(ISNUMBER(F763),TODAY()-F763,-1),-1)</f>
        <v>-1</v>
      </c>
      <c r="V763" s="53" t="n">
        <f aca="false">IF(U763&lt;0,IF(S763=1,5,0),IF(U763&lt;=30,1,IF(U763&lt;=60,2,IF(U763&lt;=90,3,4))))</f>
        <v>0</v>
      </c>
      <c r="W763" s="53" t="n">
        <f aca="false">IF(U763&lt;0,-1000000000000000,U763+ROW()/1000000)</f>
        <v>-1000000000000000</v>
      </c>
      <c r="X763" s="53" t="n">
        <f aca="false">IF(T763=1,IF(AND(ISNUMBER(F763),ISNUMBER(K763)),K763-F763,0),0)</f>
        <v>0</v>
      </c>
      <c r="Y763" s="53" t="n">
        <f aca="false">IF(T763=1,IF(AND(ISNUMBER(F763),ISNUMBER(K763)),1,0),0)</f>
        <v>0</v>
      </c>
      <c r="Z763" s="53" t="n">
        <f aca="false">IF(U763&gt;=Settings!$C$8,1,0)</f>
        <v>0</v>
      </c>
      <c r="AA763" s="53" t="n">
        <f aca="false">IF(S763=1,IF(J763="Listed / Publicado",0,1),0)</f>
        <v>0</v>
      </c>
      <c r="AB763" s="53" t="n">
        <f aca="false">IF(T763=1,IF(ISNUMBER(L763),L763-G763,0),0)</f>
        <v>0</v>
      </c>
      <c r="AC763" s="53" t="n">
        <f aca="false">IF(S763=1,IF(ISNUMBER(I763),I763-G763,0),0)</f>
        <v>0</v>
      </c>
    </row>
    <row r="764" customFormat="false" ht="15" hidden="false" customHeight="false" outlineLevel="0" collapsed="false">
      <c r="B764" s="54"/>
      <c r="C764" s="55"/>
      <c r="D764" s="55"/>
      <c r="E764" s="55"/>
      <c r="F764" s="56"/>
      <c r="G764" s="57"/>
      <c r="H764" s="55"/>
      <c r="I764" s="57"/>
      <c r="J764" s="54"/>
      <c r="K764" s="56"/>
      <c r="L764" s="57"/>
      <c r="M764" s="54"/>
      <c r="N764" s="58" t="str">
        <f aca="false">IF(S764=1,IF(U764&lt;0,"",U764),IF(Y764=1,X764,""))</f>
        <v/>
      </c>
      <c r="O764" s="59" t="str">
        <f aca="false">IF(S764=1,IF(ISNUMBER(I764),I764-G764,""),"")</f>
        <v/>
      </c>
      <c r="P764" s="59" t="str">
        <f aca="false">IF(T764=1,IF(ISNUMBER(L764),L764-G764,""),"")</f>
        <v/>
      </c>
      <c r="Q764" s="60" t="str">
        <f aca="false">IF(C764="","",IF(T764=1,"✔ SOLD / VENDIDO",IF(S764=0,"— CLOSED / CERRADO",IF(U764&lt;0,"⚠ ADD DATE / AGREGA FECHA",IF(U764&gt;=Settings!$C$8,"⚠ STALE – REPRICE / ESTANCADO",IF(U764&gt;=Settings!$C$7,"● WATCH / VIGILAR","✔ FRESH / RECIENTE"))))))</f>
        <v/>
      </c>
      <c r="S764" s="53" t="n">
        <f aca="false">IF(C764="",0,IF(OR(J764="",J764="In Stock / En Inventario",J764="Listed / Publicado"),1,0))</f>
        <v>0</v>
      </c>
      <c r="T764" s="53" t="n">
        <f aca="false">IF(C764="",0,IF(J764="Sold / Vendido",1,0))</f>
        <v>0</v>
      </c>
      <c r="U764" s="53" t="n">
        <f aca="true">IF(S764=1,IF(ISNUMBER(F764),TODAY()-F764,-1),-1)</f>
        <v>-1</v>
      </c>
      <c r="V764" s="53" t="n">
        <f aca="false">IF(U764&lt;0,IF(S764=1,5,0),IF(U764&lt;=30,1,IF(U764&lt;=60,2,IF(U764&lt;=90,3,4))))</f>
        <v>0</v>
      </c>
      <c r="W764" s="53" t="n">
        <f aca="false">IF(U764&lt;0,-1000000000000000,U764+ROW()/1000000)</f>
        <v>-1000000000000000</v>
      </c>
      <c r="X764" s="53" t="n">
        <f aca="false">IF(T764=1,IF(AND(ISNUMBER(F764),ISNUMBER(K764)),K764-F764,0),0)</f>
        <v>0</v>
      </c>
      <c r="Y764" s="53" t="n">
        <f aca="false">IF(T764=1,IF(AND(ISNUMBER(F764),ISNUMBER(K764)),1,0),0)</f>
        <v>0</v>
      </c>
      <c r="Z764" s="53" t="n">
        <f aca="false">IF(U764&gt;=Settings!$C$8,1,0)</f>
        <v>0</v>
      </c>
      <c r="AA764" s="53" t="n">
        <f aca="false">IF(S764=1,IF(J764="Listed / Publicado",0,1),0)</f>
        <v>0</v>
      </c>
      <c r="AB764" s="53" t="n">
        <f aca="false">IF(T764=1,IF(ISNUMBER(L764),L764-G764,0),0)</f>
        <v>0</v>
      </c>
      <c r="AC764" s="53" t="n">
        <f aca="false">IF(S764=1,IF(ISNUMBER(I764),I764-G764,0),0)</f>
        <v>0</v>
      </c>
    </row>
    <row r="765" customFormat="false" ht="15" hidden="false" customHeight="false" outlineLevel="0" collapsed="false">
      <c r="B765" s="54"/>
      <c r="C765" s="55"/>
      <c r="D765" s="55"/>
      <c r="E765" s="55"/>
      <c r="F765" s="56"/>
      <c r="G765" s="57"/>
      <c r="H765" s="55"/>
      <c r="I765" s="57"/>
      <c r="J765" s="54"/>
      <c r="K765" s="56"/>
      <c r="L765" s="57"/>
      <c r="M765" s="54"/>
      <c r="N765" s="58" t="str">
        <f aca="false">IF(S765=1,IF(U765&lt;0,"",U765),IF(Y765=1,X765,""))</f>
        <v/>
      </c>
      <c r="O765" s="59" t="str">
        <f aca="false">IF(S765=1,IF(ISNUMBER(I765),I765-G765,""),"")</f>
        <v/>
      </c>
      <c r="P765" s="59" t="str">
        <f aca="false">IF(T765=1,IF(ISNUMBER(L765),L765-G765,""),"")</f>
        <v/>
      </c>
      <c r="Q765" s="60" t="str">
        <f aca="false">IF(C765="","",IF(T765=1,"✔ SOLD / VENDIDO",IF(S765=0,"— CLOSED / CERRADO",IF(U765&lt;0,"⚠ ADD DATE / AGREGA FECHA",IF(U765&gt;=Settings!$C$8,"⚠ STALE – REPRICE / ESTANCADO",IF(U765&gt;=Settings!$C$7,"● WATCH / VIGILAR","✔ FRESH / RECIENTE"))))))</f>
        <v/>
      </c>
      <c r="S765" s="53" t="n">
        <f aca="false">IF(C765="",0,IF(OR(J765="",J765="In Stock / En Inventario",J765="Listed / Publicado"),1,0))</f>
        <v>0</v>
      </c>
      <c r="T765" s="53" t="n">
        <f aca="false">IF(C765="",0,IF(J765="Sold / Vendido",1,0))</f>
        <v>0</v>
      </c>
      <c r="U765" s="53" t="n">
        <f aca="true">IF(S765=1,IF(ISNUMBER(F765),TODAY()-F765,-1),-1)</f>
        <v>-1</v>
      </c>
      <c r="V765" s="53" t="n">
        <f aca="false">IF(U765&lt;0,IF(S765=1,5,0),IF(U765&lt;=30,1,IF(U765&lt;=60,2,IF(U765&lt;=90,3,4))))</f>
        <v>0</v>
      </c>
      <c r="W765" s="53" t="n">
        <f aca="false">IF(U765&lt;0,-1000000000000000,U765+ROW()/1000000)</f>
        <v>-1000000000000000</v>
      </c>
      <c r="X765" s="53" t="n">
        <f aca="false">IF(T765=1,IF(AND(ISNUMBER(F765),ISNUMBER(K765)),K765-F765,0),0)</f>
        <v>0</v>
      </c>
      <c r="Y765" s="53" t="n">
        <f aca="false">IF(T765=1,IF(AND(ISNUMBER(F765),ISNUMBER(K765)),1,0),0)</f>
        <v>0</v>
      </c>
      <c r="Z765" s="53" t="n">
        <f aca="false">IF(U765&gt;=Settings!$C$8,1,0)</f>
        <v>0</v>
      </c>
      <c r="AA765" s="53" t="n">
        <f aca="false">IF(S765=1,IF(J765="Listed / Publicado",0,1),0)</f>
        <v>0</v>
      </c>
      <c r="AB765" s="53" t="n">
        <f aca="false">IF(T765=1,IF(ISNUMBER(L765),L765-G765,0),0)</f>
        <v>0</v>
      </c>
      <c r="AC765" s="53" t="n">
        <f aca="false">IF(S765=1,IF(ISNUMBER(I765),I765-G765,0),0)</f>
        <v>0</v>
      </c>
    </row>
    <row r="766" customFormat="false" ht="15" hidden="false" customHeight="false" outlineLevel="0" collapsed="false">
      <c r="B766" s="54"/>
      <c r="C766" s="55"/>
      <c r="D766" s="55"/>
      <c r="E766" s="55"/>
      <c r="F766" s="56"/>
      <c r="G766" s="57"/>
      <c r="H766" s="55"/>
      <c r="I766" s="57"/>
      <c r="J766" s="54"/>
      <c r="K766" s="56"/>
      <c r="L766" s="57"/>
      <c r="M766" s="54"/>
      <c r="N766" s="58" t="str">
        <f aca="false">IF(S766=1,IF(U766&lt;0,"",U766),IF(Y766=1,X766,""))</f>
        <v/>
      </c>
      <c r="O766" s="59" t="str">
        <f aca="false">IF(S766=1,IF(ISNUMBER(I766),I766-G766,""),"")</f>
        <v/>
      </c>
      <c r="P766" s="59" t="str">
        <f aca="false">IF(T766=1,IF(ISNUMBER(L766),L766-G766,""),"")</f>
        <v/>
      </c>
      <c r="Q766" s="60" t="str">
        <f aca="false">IF(C766="","",IF(T766=1,"✔ SOLD / VENDIDO",IF(S766=0,"— CLOSED / CERRADO",IF(U766&lt;0,"⚠ ADD DATE / AGREGA FECHA",IF(U766&gt;=Settings!$C$8,"⚠ STALE – REPRICE / ESTANCADO",IF(U766&gt;=Settings!$C$7,"● WATCH / VIGILAR","✔ FRESH / RECIENTE"))))))</f>
        <v/>
      </c>
      <c r="S766" s="53" t="n">
        <f aca="false">IF(C766="",0,IF(OR(J766="",J766="In Stock / En Inventario",J766="Listed / Publicado"),1,0))</f>
        <v>0</v>
      </c>
      <c r="T766" s="53" t="n">
        <f aca="false">IF(C766="",0,IF(J766="Sold / Vendido",1,0))</f>
        <v>0</v>
      </c>
      <c r="U766" s="53" t="n">
        <f aca="true">IF(S766=1,IF(ISNUMBER(F766),TODAY()-F766,-1),-1)</f>
        <v>-1</v>
      </c>
      <c r="V766" s="53" t="n">
        <f aca="false">IF(U766&lt;0,IF(S766=1,5,0),IF(U766&lt;=30,1,IF(U766&lt;=60,2,IF(U766&lt;=90,3,4))))</f>
        <v>0</v>
      </c>
      <c r="W766" s="53" t="n">
        <f aca="false">IF(U766&lt;0,-1000000000000000,U766+ROW()/1000000)</f>
        <v>-1000000000000000</v>
      </c>
      <c r="X766" s="53" t="n">
        <f aca="false">IF(T766=1,IF(AND(ISNUMBER(F766),ISNUMBER(K766)),K766-F766,0),0)</f>
        <v>0</v>
      </c>
      <c r="Y766" s="53" t="n">
        <f aca="false">IF(T766=1,IF(AND(ISNUMBER(F766),ISNUMBER(K766)),1,0),0)</f>
        <v>0</v>
      </c>
      <c r="Z766" s="53" t="n">
        <f aca="false">IF(U766&gt;=Settings!$C$8,1,0)</f>
        <v>0</v>
      </c>
      <c r="AA766" s="53" t="n">
        <f aca="false">IF(S766=1,IF(J766="Listed / Publicado",0,1),0)</f>
        <v>0</v>
      </c>
      <c r="AB766" s="53" t="n">
        <f aca="false">IF(T766=1,IF(ISNUMBER(L766),L766-G766,0),0)</f>
        <v>0</v>
      </c>
      <c r="AC766" s="53" t="n">
        <f aca="false">IF(S766=1,IF(ISNUMBER(I766),I766-G766,0),0)</f>
        <v>0</v>
      </c>
    </row>
    <row r="767" customFormat="false" ht="15" hidden="false" customHeight="false" outlineLevel="0" collapsed="false">
      <c r="B767" s="54"/>
      <c r="C767" s="55"/>
      <c r="D767" s="55"/>
      <c r="E767" s="55"/>
      <c r="F767" s="56"/>
      <c r="G767" s="57"/>
      <c r="H767" s="55"/>
      <c r="I767" s="57"/>
      <c r="J767" s="54"/>
      <c r="K767" s="56"/>
      <c r="L767" s="57"/>
      <c r="M767" s="54"/>
      <c r="N767" s="58" t="str">
        <f aca="false">IF(S767=1,IF(U767&lt;0,"",U767),IF(Y767=1,X767,""))</f>
        <v/>
      </c>
      <c r="O767" s="59" t="str">
        <f aca="false">IF(S767=1,IF(ISNUMBER(I767),I767-G767,""),"")</f>
        <v/>
      </c>
      <c r="P767" s="59" t="str">
        <f aca="false">IF(T767=1,IF(ISNUMBER(L767),L767-G767,""),"")</f>
        <v/>
      </c>
      <c r="Q767" s="60" t="str">
        <f aca="false">IF(C767="","",IF(T767=1,"✔ SOLD / VENDIDO",IF(S767=0,"— CLOSED / CERRADO",IF(U767&lt;0,"⚠ ADD DATE / AGREGA FECHA",IF(U767&gt;=Settings!$C$8,"⚠ STALE – REPRICE / ESTANCADO",IF(U767&gt;=Settings!$C$7,"● WATCH / VIGILAR","✔ FRESH / RECIENTE"))))))</f>
        <v/>
      </c>
      <c r="S767" s="53" t="n">
        <f aca="false">IF(C767="",0,IF(OR(J767="",J767="In Stock / En Inventario",J767="Listed / Publicado"),1,0))</f>
        <v>0</v>
      </c>
      <c r="T767" s="53" t="n">
        <f aca="false">IF(C767="",0,IF(J767="Sold / Vendido",1,0))</f>
        <v>0</v>
      </c>
      <c r="U767" s="53" t="n">
        <f aca="true">IF(S767=1,IF(ISNUMBER(F767),TODAY()-F767,-1),-1)</f>
        <v>-1</v>
      </c>
      <c r="V767" s="53" t="n">
        <f aca="false">IF(U767&lt;0,IF(S767=1,5,0),IF(U767&lt;=30,1,IF(U767&lt;=60,2,IF(U767&lt;=90,3,4))))</f>
        <v>0</v>
      </c>
      <c r="W767" s="53" t="n">
        <f aca="false">IF(U767&lt;0,-1000000000000000,U767+ROW()/1000000)</f>
        <v>-1000000000000000</v>
      </c>
      <c r="X767" s="53" t="n">
        <f aca="false">IF(T767=1,IF(AND(ISNUMBER(F767),ISNUMBER(K767)),K767-F767,0),0)</f>
        <v>0</v>
      </c>
      <c r="Y767" s="53" t="n">
        <f aca="false">IF(T767=1,IF(AND(ISNUMBER(F767),ISNUMBER(K767)),1,0),0)</f>
        <v>0</v>
      </c>
      <c r="Z767" s="53" t="n">
        <f aca="false">IF(U767&gt;=Settings!$C$8,1,0)</f>
        <v>0</v>
      </c>
      <c r="AA767" s="53" t="n">
        <f aca="false">IF(S767=1,IF(J767="Listed / Publicado",0,1),0)</f>
        <v>0</v>
      </c>
      <c r="AB767" s="53" t="n">
        <f aca="false">IF(T767=1,IF(ISNUMBER(L767),L767-G767,0),0)</f>
        <v>0</v>
      </c>
      <c r="AC767" s="53" t="n">
        <f aca="false">IF(S767=1,IF(ISNUMBER(I767),I767-G767,0),0)</f>
        <v>0</v>
      </c>
    </row>
    <row r="768" customFormat="false" ht="15" hidden="false" customHeight="false" outlineLevel="0" collapsed="false">
      <c r="B768" s="54"/>
      <c r="C768" s="55"/>
      <c r="D768" s="55"/>
      <c r="E768" s="55"/>
      <c r="F768" s="56"/>
      <c r="G768" s="57"/>
      <c r="H768" s="55"/>
      <c r="I768" s="57"/>
      <c r="J768" s="54"/>
      <c r="K768" s="56"/>
      <c r="L768" s="57"/>
      <c r="M768" s="54"/>
      <c r="N768" s="58" t="str">
        <f aca="false">IF(S768=1,IF(U768&lt;0,"",U768),IF(Y768=1,X768,""))</f>
        <v/>
      </c>
      <c r="O768" s="59" t="str">
        <f aca="false">IF(S768=1,IF(ISNUMBER(I768),I768-G768,""),"")</f>
        <v/>
      </c>
      <c r="P768" s="59" t="str">
        <f aca="false">IF(T768=1,IF(ISNUMBER(L768),L768-G768,""),"")</f>
        <v/>
      </c>
      <c r="Q768" s="60" t="str">
        <f aca="false">IF(C768="","",IF(T768=1,"✔ SOLD / VENDIDO",IF(S768=0,"— CLOSED / CERRADO",IF(U768&lt;0,"⚠ ADD DATE / AGREGA FECHA",IF(U768&gt;=Settings!$C$8,"⚠ STALE – REPRICE / ESTANCADO",IF(U768&gt;=Settings!$C$7,"● WATCH / VIGILAR","✔ FRESH / RECIENTE"))))))</f>
        <v/>
      </c>
      <c r="S768" s="53" t="n">
        <f aca="false">IF(C768="",0,IF(OR(J768="",J768="In Stock / En Inventario",J768="Listed / Publicado"),1,0))</f>
        <v>0</v>
      </c>
      <c r="T768" s="53" t="n">
        <f aca="false">IF(C768="",0,IF(J768="Sold / Vendido",1,0))</f>
        <v>0</v>
      </c>
      <c r="U768" s="53" t="n">
        <f aca="true">IF(S768=1,IF(ISNUMBER(F768),TODAY()-F768,-1),-1)</f>
        <v>-1</v>
      </c>
      <c r="V768" s="53" t="n">
        <f aca="false">IF(U768&lt;0,IF(S768=1,5,0),IF(U768&lt;=30,1,IF(U768&lt;=60,2,IF(U768&lt;=90,3,4))))</f>
        <v>0</v>
      </c>
      <c r="W768" s="53" t="n">
        <f aca="false">IF(U768&lt;0,-1000000000000000,U768+ROW()/1000000)</f>
        <v>-1000000000000000</v>
      </c>
      <c r="X768" s="53" t="n">
        <f aca="false">IF(T768=1,IF(AND(ISNUMBER(F768),ISNUMBER(K768)),K768-F768,0),0)</f>
        <v>0</v>
      </c>
      <c r="Y768" s="53" t="n">
        <f aca="false">IF(T768=1,IF(AND(ISNUMBER(F768),ISNUMBER(K768)),1,0),0)</f>
        <v>0</v>
      </c>
      <c r="Z768" s="53" t="n">
        <f aca="false">IF(U768&gt;=Settings!$C$8,1,0)</f>
        <v>0</v>
      </c>
      <c r="AA768" s="53" t="n">
        <f aca="false">IF(S768=1,IF(J768="Listed / Publicado",0,1),0)</f>
        <v>0</v>
      </c>
      <c r="AB768" s="53" t="n">
        <f aca="false">IF(T768=1,IF(ISNUMBER(L768),L768-G768,0),0)</f>
        <v>0</v>
      </c>
      <c r="AC768" s="53" t="n">
        <f aca="false">IF(S768=1,IF(ISNUMBER(I768),I768-G768,0),0)</f>
        <v>0</v>
      </c>
    </row>
    <row r="769" customFormat="false" ht="15" hidden="false" customHeight="false" outlineLevel="0" collapsed="false">
      <c r="B769" s="54"/>
      <c r="C769" s="55"/>
      <c r="D769" s="55"/>
      <c r="E769" s="55"/>
      <c r="F769" s="56"/>
      <c r="G769" s="57"/>
      <c r="H769" s="55"/>
      <c r="I769" s="57"/>
      <c r="J769" s="54"/>
      <c r="K769" s="56"/>
      <c r="L769" s="57"/>
      <c r="M769" s="54"/>
      <c r="N769" s="58" t="str">
        <f aca="false">IF(S769=1,IF(U769&lt;0,"",U769),IF(Y769=1,X769,""))</f>
        <v/>
      </c>
      <c r="O769" s="59" t="str">
        <f aca="false">IF(S769=1,IF(ISNUMBER(I769),I769-G769,""),"")</f>
        <v/>
      </c>
      <c r="P769" s="59" t="str">
        <f aca="false">IF(T769=1,IF(ISNUMBER(L769),L769-G769,""),"")</f>
        <v/>
      </c>
      <c r="Q769" s="60" t="str">
        <f aca="false">IF(C769="","",IF(T769=1,"✔ SOLD / VENDIDO",IF(S769=0,"— CLOSED / CERRADO",IF(U769&lt;0,"⚠ ADD DATE / AGREGA FECHA",IF(U769&gt;=Settings!$C$8,"⚠ STALE – REPRICE / ESTANCADO",IF(U769&gt;=Settings!$C$7,"● WATCH / VIGILAR","✔ FRESH / RECIENTE"))))))</f>
        <v/>
      </c>
      <c r="S769" s="53" t="n">
        <f aca="false">IF(C769="",0,IF(OR(J769="",J769="In Stock / En Inventario",J769="Listed / Publicado"),1,0))</f>
        <v>0</v>
      </c>
      <c r="T769" s="53" t="n">
        <f aca="false">IF(C769="",0,IF(J769="Sold / Vendido",1,0))</f>
        <v>0</v>
      </c>
      <c r="U769" s="53" t="n">
        <f aca="true">IF(S769=1,IF(ISNUMBER(F769),TODAY()-F769,-1),-1)</f>
        <v>-1</v>
      </c>
      <c r="V769" s="53" t="n">
        <f aca="false">IF(U769&lt;0,IF(S769=1,5,0),IF(U769&lt;=30,1,IF(U769&lt;=60,2,IF(U769&lt;=90,3,4))))</f>
        <v>0</v>
      </c>
      <c r="W769" s="53" t="n">
        <f aca="false">IF(U769&lt;0,-1000000000000000,U769+ROW()/1000000)</f>
        <v>-1000000000000000</v>
      </c>
      <c r="X769" s="53" t="n">
        <f aca="false">IF(T769=1,IF(AND(ISNUMBER(F769),ISNUMBER(K769)),K769-F769,0),0)</f>
        <v>0</v>
      </c>
      <c r="Y769" s="53" t="n">
        <f aca="false">IF(T769=1,IF(AND(ISNUMBER(F769),ISNUMBER(K769)),1,0),0)</f>
        <v>0</v>
      </c>
      <c r="Z769" s="53" t="n">
        <f aca="false">IF(U769&gt;=Settings!$C$8,1,0)</f>
        <v>0</v>
      </c>
      <c r="AA769" s="53" t="n">
        <f aca="false">IF(S769=1,IF(J769="Listed / Publicado",0,1),0)</f>
        <v>0</v>
      </c>
      <c r="AB769" s="53" t="n">
        <f aca="false">IF(T769=1,IF(ISNUMBER(L769),L769-G769,0),0)</f>
        <v>0</v>
      </c>
      <c r="AC769" s="53" t="n">
        <f aca="false">IF(S769=1,IF(ISNUMBER(I769),I769-G769,0),0)</f>
        <v>0</v>
      </c>
    </row>
    <row r="770" customFormat="false" ht="15" hidden="false" customHeight="false" outlineLevel="0" collapsed="false">
      <c r="B770" s="54"/>
      <c r="C770" s="55"/>
      <c r="D770" s="55"/>
      <c r="E770" s="55"/>
      <c r="F770" s="56"/>
      <c r="G770" s="57"/>
      <c r="H770" s="55"/>
      <c r="I770" s="57"/>
      <c r="J770" s="54"/>
      <c r="K770" s="56"/>
      <c r="L770" s="57"/>
      <c r="M770" s="54"/>
      <c r="N770" s="58" t="str">
        <f aca="false">IF(S770=1,IF(U770&lt;0,"",U770),IF(Y770=1,X770,""))</f>
        <v/>
      </c>
      <c r="O770" s="59" t="str">
        <f aca="false">IF(S770=1,IF(ISNUMBER(I770),I770-G770,""),"")</f>
        <v/>
      </c>
      <c r="P770" s="59" t="str">
        <f aca="false">IF(T770=1,IF(ISNUMBER(L770),L770-G770,""),"")</f>
        <v/>
      </c>
      <c r="Q770" s="60" t="str">
        <f aca="false">IF(C770="","",IF(T770=1,"✔ SOLD / VENDIDO",IF(S770=0,"— CLOSED / CERRADO",IF(U770&lt;0,"⚠ ADD DATE / AGREGA FECHA",IF(U770&gt;=Settings!$C$8,"⚠ STALE – REPRICE / ESTANCADO",IF(U770&gt;=Settings!$C$7,"● WATCH / VIGILAR","✔ FRESH / RECIENTE"))))))</f>
        <v/>
      </c>
      <c r="S770" s="53" t="n">
        <f aca="false">IF(C770="",0,IF(OR(J770="",J770="In Stock / En Inventario",J770="Listed / Publicado"),1,0))</f>
        <v>0</v>
      </c>
      <c r="T770" s="53" t="n">
        <f aca="false">IF(C770="",0,IF(J770="Sold / Vendido",1,0))</f>
        <v>0</v>
      </c>
      <c r="U770" s="53" t="n">
        <f aca="true">IF(S770=1,IF(ISNUMBER(F770),TODAY()-F770,-1),-1)</f>
        <v>-1</v>
      </c>
      <c r="V770" s="53" t="n">
        <f aca="false">IF(U770&lt;0,IF(S770=1,5,0),IF(U770&lt;=30,1,IF(U770&lt;=60,2,IF(U770&lt;=90,3,4))))</f>
        <v>0</v>
      </c>
      <c r="W770" s="53" t="n">
        <f aca="false">IF(U770&lt;0,-1000000000000000,U770+ROW()/1000000)</f>
        <v>-1000000000000000</v>
      </c>
      <c r="X770" s="53" t="n">
        <f aca="false">IF(T770=1,IF(AND(ISNUMBER(F770),ISNUMBER(K770)),K770-F770,0),0)</f>
        <v>0</v>
      </c>
      <c r="Y770" s="53" t="n">
        <f aca="false">IF(T770=1,IF(AND(ISNUMBER(F770),ISNUMBER(K770)),1,0),0)</f>
        <v>0</v>
      </c>
      <c r="Z770" s="53" t="n">
        <f aca="false">IF(U770&gt;=Settings!$C$8,1,0)</f>
        <v>0</v>
      </c>
      <c r="AA770" s="53" t="n">
        <f aca="false">IF(S770=1,IF(J770="Listed / Publicado",0,1),0)</f>
        <v>0</v>
      </c>
      <c r="AB770" s="53" t="n">
        <f aca="false">IF(T770=1,IF(ISNUMBER(L770),L770-G770,0),0)</f>
        <v>0</v>
      </c>
      <c r="AC770" s="53" t="n">
        <f aca="false">IF(S770=1,IF(ISNUMBER(I770),I770-G770,0),0)</f>
        <v>0</v>
      </c>
    </row>
    <row r="771" customFormat="false" ht="15" hidden="false" customHeight="false" outlineLevel="0" collapsed="false">
      <c r="B771" s="54"/>
      <c r="C771" s="55"/>
      <c r="D771" s="55"/>
      <c r="E771" s="55"/>
      <c r="F771" s="56"/>
      <c r="G771" s="57"/>
      <c r="H771" s="55"/>
      <c r="I771" s="57"/>
      <c r="J771" s="54"/>
      <c r="K771" s="56"/>
      <c r="L771" s="57"/>
      <c r="M771" s="54"/>
      <c r="N771" s="58" t="str">
        <f aca="false">IF(S771=1,IF(U771&lt;0,"",U771),IF(Y771=1,X771,""))</f>
        <v/>
      </c>
      <c r="O771" s="59" t="str">
        <f aca="false">IF(S771=1,IF(ISNUMBER(I771),I771-G771,""),"")</f>
        <v/>
      </c>
      <c r="P771" s="59" t="str">
        <f aca="false">IF(T771=1,IF(ISNUMBER(L771),L771-G771,""),"")</f>
        <v/>
      </c>
      <c r="Q771" s="60" t="str">
        <f aca="false">IF(C771="","",IF(T771=1,"✔ SOLD / VENDIDO",IF(S771=0,"— CLOSED / CERRADO",IF(U771&lt;0,"⚠ ADD DATE / AGREGA FECHA",IF(U771&gt;=Settings!$C$8,"⚠ STALE – REPRICE / ESTANCADO",IF(U771&gt;=Settings!$C$7,"● WATCH / VIGILAR","✔ FRESH / RECIENTE"))))))</f>
        <v/>
      </c>
      <c r="S771" s="53" t="n">
        <f aca="false">IF(C771="",0,IF(OR(J771="",J771="In Stock / En Inventario",J771="Listed / Publicado"),1,0))</f>
        <v>0</v>
      </c>
      <c r="T771" s="53" t="n">
        <f aca="false">IF(C771="",0,IF(J771="Sold / Vendido",1,0))</f>
        <v>0</v>
      </c>
      <c r="U771" s="53" t="n">
        <f aca="true">IF(S771=1,IF(ISNUMBER(F771),TODAY()-F771,-1),-1)</f>
        <v>-1</v>
      </c>
      <c r="V771" s="53" t="n">
        <f aca="false">IF(U771&lt;0,IF(S771=1,5,0),IF(U771&lt;=30,1,IF(U771&lt;=60,2,IF(U771&lt;=90,3,4))))</f>
        <v>0</v>
      </c>
      <c r="W771" s="53" t="n">
        <f aca="false">IF(U771&lt;0,-1000000000000000,U771+ROW()/1000000)</f>
        <v>-1000000000000000</v>
      </c>
      <c r="X771" s="53" t="n">
        <f aca="false">IF(T771=1,IF(AND(ISNUMBER(F771),ISNUMBER(K771)),K771-F771,0),0)</f>
        <v>0</v>
      </c>
      <c r="Y771" s="53" t="n">
        <f aca="false">IF(T771=1,IF(AND(ISNUMBER(F771),ISNUMBER(K771)),1,0),0)</f>
        <v>0</v>
      </c>
      <c r="Z771" s="53" t="n">
        <f aca="false">IF(U771&gt;=Settings!$C$8,1,0)</f>
        <v>0</v>
      </c>
      <c r="AA771" s="53" t="n">
        <f aca="false">IF(S771=1,IF(J771="Listed / Publicado",0,1),0)</f>
        <v>0</v>
      </c>
      <c r="AB771" s="53" t="n">
        <f aca="false">IF(T771=1,IF(ISNUMBER(L771),L771-G771,0),0)</f>
        <v>0</v>
      </c>
      <c r="AC771" s="53" t="n">
        <f aca="false">IF(S771=1,IF(ISNUMBER(I771),I771-G771,0),0)</f>
        <v>0</v>
      </c>
    </row>
    <row r="772" customFormat="false" ht="15" hidden="false" customHeight="false" outlineLevel="0" collapsed="false">
      <c r="B772" s="54"/>
      <c r="C772" s="55"/>
      <c r="D772" s="55"/>
      <c r="E772" s="55"/>
      <c r="F772" s="56"/>
      <c r="G772" s="57"/>
      <c r="H772" s="55"/>
      <c r="I772" s="57"/>
      <c r="J772" s="54"/>
      <c r="K772" s="56"/>
      <c r="L772" s="57"/>
      <c r="M772" s="54"/>
      <c r="N772" s="58" t="str">
        <f aca="false">IF(S772=1,IF(U772&lt;0,"",U772),IF(Y772=1,X772,""))</f>
        <v/>
      </c>
      <c r="O772" s="59" t="str">
        <f aca="false">IF(S772=1,IF(ISNUMBER(I772),I772-G772,""),"")</f>
        <v/>
      </c>
      <c r="P772" s="59" t="str">
        <f aca="false">IF(T772=1,IF(ISNUMBER(L772),L772-G772,""),"")</f>
        <v/>
      </c>
      <c r="Q772" s="60" t="str">
        <f aca="false">IF(C772="","",IF(T772=1,"✔ SOLD / VENDIDO",IF(S772=0,"— CLOSED / CERRADO",IF(U772&lt;0,"⚠ ADD DATE / AGREGA FECHA",IF(U772&gt;=Settings!$C$8,"⚠ STALE – REPRICE / ESTANCADO",IF(U772&gt;=Settings!$C$7,"● WATCH / VIGILAR","✔ FRESH / RECIENTE"))))))</f>
        <v/>
      </c>
      <c r="S772" s="53" t="n">
        <f aca="false">IF(C772="",0,IF(OR(J772="",J772="In Stock / En Inventario",J772="Listed / Publicado"),1,0))</f>
        <v>0</v>
      </c>
      <c r="T772" s="53" t="n">
        <f aca="false">IF(C772="",0,IF(J772="Sold / Vendido",1,0))</f>
        <v>0</v>
      </c>
      <c r="U772" s="53" t="n">
        <f aca="true">IF(S772=1,IF(ISNUMBER(F772),TODAY()-F772,-1),-1)</f>
        <v>-1</v>
      </c>
      <c r="V772" s="53" t="n">
        <f aca="false">IF(U772&lt;0,IF(S772=1,5,0),IF(U772&lt;=30,1,IF(U772&lt;=60,2,IF(U772&lt;=90,3,4))))</f>
        <v>0</v>
      </c>
      <c r="W772" s="53" t="n">
        <f aca="false">IF(U772&lt;0,-1000000000000000,U772+ROW()/1000000)</f>
        <v>-1000000000000000</v>
      </c>
      <c r="X772" s="53" t="n">
        <f aca="false">IF(T772=1,IF(AND(ISNUMBER(F772),ISNUMBER(K772)),K772-F772,0),0)</f>
        <v>0</v>
      </c>
      <c r="Y772" s="53" t="n">
        <f aca="false">IF(T772=1,IF(AND(ISNUMBER(F772),ISNUMBER(K772)),1,0),0)</f>
        <v>0</v>
      </c>
      <c r="Z772" s="53" t="n">
        <f aca="false">IF(U772&gt;=Settings!$C$8,1,0)</f>
        <v>0</v>
      </c>
      <c r="AA772" s="53" t="n">
        <f aca="false">IF(S772=1,IF(J772="Listed / Publicado",0,1),0)</f>
        <v>0</v>
      </c>
      <c r="AB772" s="53" t="n">
        <f aca="false">IF(T772=1,IF(ISNUMBER(L772),L772-G772,0),0)</f>
        <v>0</v>
      </c>
      <c r="AC772" s="53" t="n">
        <f aca="false">IF(S772=1,IF(ISNUMBER(I772),I772-G772,0),0)</f>
        <v>0</v>
      </c>
    </row>
    <row r="773" customFormat="false" ht="15" hidden="false" customHeight="false" outlineLevel="0" collapsed="false">
      <c r="B773" s="54"/>
      <c r="C773" s="55"/>
      <c r="D773" s="55"/>
      <c r="E773" s="55"/>
      <c r="F773" s="56"/>
      <c r="G773" s="57"/>
      <c r="H773" s="55"/>
      <c r="I773" s="57"/>
      <c r="J773" s="54"/>
      <c r="K773" s="56"/>
      <c r="L773" s="57"/>
      <c r="M773" s="54"/>
      <c r="N773" s="58" t="str">
        <f aca="false">IF(S773=1,IF(U773&lt;0,"",U773),IF(Y773=1,X773,""))</f>
        <v/>
      </c>
      <c r="O773" s="59" t="str">
        <f aca="false">IF(S773=1,IF(ISNUMBER(I773),I773-G773,""),"")</f>
        <v/>
      </c>
      <c r="P773" s="59" t="str">
        <f aca="false">IF(T773=1,IF(ISNUMBER(L773),L773-G773,""),"")</f>
        <v/>
      </c>
      <c r="Q773" s="60" t="str">
        <f aca="false">IF(C773="","",IF(T773=1,"✔ SOLD / VENDIDO",IF(S773=0,"— CLOSED / CERRADO",IF(U773&lt;0,"⚠ ADD DATE / AGREGA FECHA",IF(U773&gt;=Settings!$C$8,"⚠ STALE – REPRICE / ESTANCADO",IF(U773&gt;=Settings!$C$7,"● WATCH / VIGILAR","✔ FRESH / RECIENTE"))))))</f>
        <v/>
      </c>
      <c r="S773" s="53" t="n">
        <f aca="false">IF(C773="",0,IF(OR(J773="",J773="In Stock / En Inventario",J773="Listed / Publicado"),1,0))</f>
        <v>0</v>
      </c>
      <c r="T773" s="53" t="n">
        <f aca="false">IF(C773="",0,IF(J773="Sold / Vendido",1,0))</f>
        <v>0</v>
      </c>
      <c r="U773" s="53" t="n">
        <f aca="true">IF(S773=1,IF(ISNUMBER(F773),TODAY()-F773,-1),-1)</f>
        <v>-1</v>
      </c>
      <c r="V773" s="53" t="n">
        <f aca="false">IF(U773&lt;0,IF(S773=1,5,0),IF(U773&lt;=30,1,IF(U773&lt;=60,2,IF(U773&lt;=90,3,4))))</f>
        <v>0</v>
      </c>
      <c r="W773" s="53" t="n">
        <f aca="false">IF(U773&lt;0,-1000000000000000,U773+ROW()/1000000)</f>
        <v>-1000000000000000</v>
      </c>
      <c r="X773" s="53" t="n">
        <f aca="false">IF(T773=1,IF(AND(ISNUMBER(F773),ISNUMBER(K773)),K773-F773,0),0)</f>
        <v>0</v>
      </c>
      <c r="Y773" s="53" t="n">
        <f aca="false">IF(T773=1,IF(AND(ISNUMBER(F773),ISNUMBER(K773)),1,0),0)</f>
        <v>0</v>
      </c>
      <c r="Z773" s="53" t="n">
        <f aca="false">IF(U773&gt;=Settings!$C$8,1,0)</f>
        <v>0</v>
      </c>
      <c r="AA773" s="53" t="n">
        <f aca="false">IF(S773=1,IF(J773="Listed / Publicado",0,1),0)</f>
        <v>0</v>
      </c>
      <c r="AB773" s="53" t="n">
        <f aca="false">IF(T773=1,IF(ISNUMBER(L773),L773-G773,0),0)</f>
        <v>0</v>
      </c>
      <c r="AC773" s="53" t="n">
        <f aca="false">IF(S773=1,IF(ISNUMBER(I773),I773-G773,0),0)</f>
        <v>0</v>
      </c>
    </row>
    <row r="774" customFormat="false" ht="15" hidden="false" customHeight="false" outlineLevel="0" collapsed="false">
      <c r="B774" s="54"/>
      <c r="C774" s="55"/>
      <c r="D774" s="55"/>
      <c r="E774" s="55"/>
      <c r="F774" s="56"/>
      <c r="G774" s="57"/>
      <c r="H774" s="55"/>
      <c r="I774" s="57"/>
      <c r="J774" s="54"/>
      <c r="K774" s="56"/>
      <c r="L774" s="57"/>
      <c r="M774" s="54"/>
      <c r="N774" s="58" t="str">
        <f aca="false">IF(S774=1,IF(U774&lt;0,"",U774),IF(Y774=1,X774,""))</f>
        <v/>
      </c>
      <c r="O774" s="59" t="str">
        <f aca="false">IF(S774=1,IF(ISNUMBER(I774),I774-G774,""),"")</f>
        <v/>
      </c>
      <c r="P774" s="59" t="str">
        <f aca="false">IF(T774=1,IF(ISNUMBER(L774),L774-G774,""),"")</f>
        <v/>
      </c>
      <c r="Q774" s="60" t="str">
        <f aca="false">IF(C774="","",IF(T774=1,"✔ SOLD / VENDIDO",IF(S774=0,"— CLOSED / CERRADO",IF(U774&lt;0,"⚠ ADD DATE / AGREGA FECHA",IF(U774&gt;=Settings!$C$8,"⚠ STALE – REPRICE / ESTANCADO",IF(U774&gt;=Settings!$C$7,"● WATCH / VIGILAR","✔ FRESH / RECIENTE"))))))</f>
        <v/>
      </c>
      <c r="S774" s="53" t="n">
        <f aca="false">IF(C774="",0,IF(OR(J774="",J774="In Stock / En Inventario",J774="Listed / Publicado"),1,0))</f>
        <v>0</v>
      </c>
      <c r="T774" s="53" t="n">
        <f aca="false">IF(C774="",0,IF(J774="Sold / Vendido",1,0))</f>
        <v>0</v>
      </c>
      <c r="U774" s="53" t="n">
        <f aca="true">IF(S774=1,IF(ISNUMBER(F774),TODAY()-F774,-1),-1)</f>
        <v>-1</v>
      </c>
      <c r="V774" s="53" t="n">
        <f aca="false">IF(U774&lt;0,IF(S774=1,5,0),IF(U774&lt;=30,1,IF(U774&lt;=60,2,IF(U774&lt;=90,3,4))))</f>
        <v>0</v>
      </c>
      <c r="W774" s="53" t="n">
        <f aca="false">IF(U774&lt;0,-1000000000000000,U774+ROW()/1000000)</f>
        <v>-1000000000000000</v>
      </c>
      <c r="X774" s="53" t="n">
        <f aca="false">IF(T774=1,IF(AND(ISNUMBER(F774),ISNUMBER(K774)),K774-F774,0),0)</f>
        <v>0</v>
      </c>
      <c r="Y774" s="53" t="n">
        <f aca="false">IF(T774=1,IF(AND(ISNUMBER(F774),ISNUMBER(K774)),1,0),0)</f>
        <v>0</v>
      </c>
      <c r="Z774" s="53" t="n">
        <f aca="false">IF(U774&gt;=Settings!$C$8,1,0)</f>
        <v>0</v>
      </c>
      <c r="AA774" s="53" t="n">
        <f aca="false">IF(S774=1,IF(J774="Listed / Publicado",0,1),0)</f>
        <v>0</v>
      </c>
      <c r="AB774" s="53" t="n">
        <f aca="false">IF(T774=1,IF(ISNUMBER(L774),L774-G774,0),0)</f>
        <v>0</v>
      </c>
      <c r="AC774" s="53" t="n">
        <f aca="false">IF(S774=1,IF(ISNUMBER(I774),I774-G774,0),0)</f>
        <v>0</v>
      </c>
    </row>
    <row r="775" customFormat="false" ht="15" hidden="false" customHeight="false" outlineLevel="0" collapsed="false">
      <c r="B775" s="54"/>
      <c r="C775" s="55"/>
      <c r="D775" s="55"/>
      <c r="E775" s="55"/>
      <c r="F775" s="56"/>
      <c r="G775" s="57"/>
      <c r="H775" s="55"/>
      <c r="I775" s="57"/>
      <c r="J775" s="54"/>
      <c r="K775" s="56"/>
      <c r="L775" s="57"/>
      <c r="M775" s="54"/>
      <c r="N775" s="58" t="str">
        <f aca="false">IF(S775=1,IF(U775&lt;0,"",U775),IF(Y775=1,X775,""))</f>
        <v/>
      </c>
      <c r="O775" s="59" t="str">
        <f aca="false">IF(S775=1,IF(ISNUMBER(I775),I775-G775,""),"")</f>
        <v/>
      </c>
      <c r="P775" s="59" t="str">
        <f aca="false">IF(T775=1,IF(ISNUMBER(L775),L775-G775,""),"")</f>
        <v/>
      </c>
      <c r="Q775" s="60" t="str">
        <f aca="false">IF(C775="","",IF(T775=1,"✔ SOLD / VENDIDO",IF(S775=0,"— CLOSED / CERRADO",IF(U775&lt;0,"⚠ ADD DATE / AGREGA FECHA",IF(U775&gt;=Settings!$C$8,"⚠ STALE – REPRICE / ESTANCADO",IF(U775&gt;=Settings!$C$7,"● WATCH / VIGILAR","✔ FRESH / RECIENTE"))))))</f>
        <v/>
      </c>
      <c r="S775" s="53" t="n">
        <f aca="false">IF(C775="",0,IF(OR(J775="",J775="In Stock / En Inventario",J775="Listed / Publicado"),1,0))</f>
        <v>0</v>
      </c>
      <c r="T775" s="53" t="n">
        <f aca="false">IF(C775="",0,IF(J775="Sold / Vendido",1,0))</f>
        <v>0</v>
      </c>
      <c r="U775" s="53" t="n">
        <f aca="true">IF(S775=1,IF(ISNUMBER(F775),TODAY()-F775,-1),-1)</f>
        <v>-1</v>
      </c>
      <c r="V775" s="53" t="n">
        <f aca="false">IF(U775&lt;0,IF(S775=1,5,0),IF(U775&lt;=30,1,IF(U775&lt;=60,2,IF(U775&lt;=90,3,4))))</f>
        <v>0</v>
      </c>
      <c r="W775" s="53" t="n">
        <f aca="false">IF(U775&lt;0,-1000000000000000,U775+ROW()/1000000)</f>
        <v>-1000000000000000</v>
      </c>
      <c r="X775" s="53" t="n">
        <f aca="false">IF(T775=1,IF(AND(ISNUMBER(F775),ISNUMBER(K775)),K775-F775,0),0)</f>
        <v>0</v>
      </c>
      <c r="Y775" s="53" t="n">
        <f aca="false">IF(T775=1,IF(AND(ISNUMBER(F775),ISNUMBER(K775)),1,0),0)</f>
        <v>0</v>
      </c>
      <c r="Z775" s="53" t="n">
        <f aca="false">IF(U775&gt;=Settings!$C$8,1,0)</f>
        <v>0</v>
      </c>
      <c r="AA775" s="53" t="n">
        <f aca="false">IF(S775=1,IF(J775="Listed / Publicado",0,1),0)</f>
        <v>0</v>
      </c>
      <c r="AB775" s="53" t="n">
        <f aca="false">IF(T775=1,IF(ISNUMBER(L775),L775-G775,0),0)</f>
        <v>0</v>
      </c>
      <c r="AC775" s="53" t="n">
        <f aca="false">IF(S775=1,IF(ISNUMBER(I775),I775-G775,0),0)</f>
        <v>0</v>
      </c>
    </row>
    <row r="776" customFormat="false" ht="15" hidden="false" customHeight="false" outlineLevel="0" collapsed="false">
      <c r="B776" s="54"/>
      <c r="C776" s="55"/>
      <c r="D776" s="55"/>
      <c r="E776" s="55"/>
      <c r="F776" s="56"/>
      <c r="G776" s="57"/>
      <c r="H776" s="55"/>
      <c r="I776" s="57"/>
      <c r="J776" s="54"/>
      <c r="K776" s="56"/>
      <c r="L776" s="57"/>
      <c r="M776" s="54"/>
      <c r="N776" s="58" t="str">
        <f aca="false">IF(S776=1,IF(U776&lt;0,"",U776),IF(Y776=1,X776,""))</f>
        <v/>
      </c>
      <c r="O776" s="59" t="str">
        <f aca="false">IF(S776=1,IF(ISNUMBER(I776),I776-G776,""),"")</f>
        <v/>
      </c>
      <c r="P776" s="59" t="str">
        <f aca="false">IF(T776=1,IF(ISNUMBER(L776),L776-G776,""),"")</f>
        <v/>
      </c>
      <c r="Q776" s="60" t="str">
        <f aca="false">IF(C776="","",IF(T776=1,"✔ SOLD / VENDIDO",IF(S776=0,"— CLOSED / CERRADO",IF(U776&lt;0,"⚠ ADD DATE / AGREGA FECHA",IF(U776&gt;=Settings!$C$8,"⚠ STALE – REPRICE / ESTANCADO",IF(U776&gt;=Settings!$C$7,"● WATCH / VIGILAR","✔ FRESH / RECIENTE"))))))</f>
        <v/>
      </c>
      <c r="S776" s="53" t="n">
        <f aca="false">IF(C776="",0,IF(OR(J776="",J776="In Stock / En Inventario",J776="Listed / Publicado"),1,0))</f>
        <v>0</v>
      </c>
      <c r="T776" s="53" t="n">
        <f aca="false">IF(C776="",0,IF(J776="Sold / Vendido",1,0))</f>
        <v>0</v>
      </c>
      <c r="U776" s="53" t="n">
        <f aca="true">IF(S776=1,IF(ISNUMBER(F776),TODAY()-F776,-1),-1)</f>
        <v>-1</v>
      </c>
      <c r="V776" s="53" t="n">
        <f aca="false">IF(U776&lt;0,IF(S776=1,5,0),IF(U776&lt;=30,1,IF(U776&lt;=60,2,IF(U776&lt;=90,3,4))))</f>
        <v>0</v>
      </c>
      <c r="W776" s="53" t="n">
        <f aca="false">IF(U776&lt;0,-1000000000000000,U776+ROW()/1000000)</f>
        <v>-1000000000000000</v>
      </c>
      <c r="X776" s="53" t="n">
        <f aca="false">IF(T776=1,IF(AND(ISNUMBER(F776),ISNUMBER(K776)),K776-F776,0),0)</f>
        <v>0</v>
      </c>
      <c r="Y776" s="53" t="n">
        <f aca="false">IF(T776=1,IF(AND(ISNUMBER(F776),ISNUMBER(K776)),1,0),0)</f>
        <v>0</v>
      </c>
      <c r="Z776" s="53" t="n">
        <f aca="false">IF(U776&gt;=Settings!$C$8,1,0)</f>
        <v>0</v>
      </c>
      <c r="AA776" s="53" t="n">
        <f aca="false">IF(S776=1,IF(J776="Listed / Publicado",0,1),0)</f>
        <v>0</v>
      </c>
      <c r="AB776" s="53" t="n">
        <f aca="false">IF(T776=1,IF(ISNUMBER(L776),L776-G776,0),0)</f>
        <v>0</v>
      </c>
      <c r="AC776" s="53" t="n">
        <f aca="false">IF(S776=1,IF(ISNUMBER(I776),I776-G776,0),0)</f>
        <v>0</v>
      </c>
    </row>
    <row r="777" customFormat="false" ht="15" hidden="false" customHeight="false" outlineLevel="0" collapsed="false">
      <c r="B777" s="54"/>
      <c r="C777" s="55"/>
      <c r="D777" s="55"/>
      <c r="E777" s="55"/>
      <c r="F777" s="56"/>
      <c r="G777" s="57"/>
      <c r="H777" s="55"/>
      <c r="I777" s="57"/>
      <c r="J777" s="54"/>
      <c r="K777" s="56"/>
      <c r="L777" s="57"/>
      <c r="M777" s="54"/>
      <c r="N777" s="58" t="str">
        <f aca="false">IF(S777=1,IF(U777&lt;0,"",U777),IF(Y777=1,X777,""))</f>
        <v/>
      </c>
      <c r="O777" s="59" t="str">
        <f aca="false">IF(S777=1,IF(ISNUMBER(I777),I777-G777,""),"")</f>
        <v/>
      </c>
      <c r="P777" s="59" t="str">
        <f aca="false">IF(T777=1,IF(ISNUMBER(L777),L777-G777,""),"")</f>
        <v/>
      </c>
      <c r="Q777" s="60" t="str">
        <f aca="false">IF(C777="","",IF(T777=1,"✔ SOLD / VENDIDO",IF(S777=0,"— CLOSED / CERRADO",IF(U777&lt;0,"⚠ ADD DATE / AGREGA FECHA",IF(U777&gt;=Settings!$C$8,"⚠ STALE – REPRICE / ESTANCADO",IF(U777&gt;=Settings!$C$7,"● WATCH / VIGILAR","✔ FRESH / RECIENTE"))))))</f>
        <v/>
      </c>
      <c r="S777" s="53" t="n">
        <f aca="false">IF(C777="",0,IF(OR(J777="",J777="In Stock / En Inventario",J777="Listed / Publicado"),1,0))</f>
        <v>0</v>
      </c>
      <c r="T777" s="53" t="n">
        <f aca="false">IF(C777="",0,IF(J777="Sold / Vendido",1,0))</f>
        <v>0</v>
      </c>
      <c r="U777" s="53" t="n">
        <f aca="true">IF(S777=1,IF(ISNUMBER(F777),TODAY()-F777,-1),-1)</f>
        <v>-1</v>
      </c>
      <c r="V777" s="53" t="n">
        <f aca="false">IF(U777&lt;0,IF(S777=1,5,0),IF(U777&lt;=30,1,IF(U777&lt;=60,2,IF(U777&lt;=90,3,4))))</f>
        <v>0</v>
      </c>
      <c r="W777" s="53" t="n">
        <f aca="false">IF(U777&lt;0,-1000000000000000,U777+ROW()/1000000)</f>
        <v>-1000000000000000</v>
      </c>
      <c r="X777" s="53" t="n">
        <f aca="false">IF(T777=1,IF(AND(ISNUMBER(F777),ISNUMBER(K777)),K777-F777,0),0)</f>
        <v>0</v>
      </c>
      <c r="Y777" s="53" t="n">
        <f aca="false">IF(T777=1,IF(AND(ISNUMBER(F777),ISNUMBER(K777)),1,0),0)</f>
        <v>0</v>
      </c>
      <c r="Z777" s="53" t="n">
        <f aca="false">IF(U777&gt;=Settings!$C$8,1,0)</f>
        <v>0</v>
      </c>
      <c r="AA777" s="53" t="n">
        <f aca="false">IF(S777=1,IF(J777="Listed / Publicado",0,1),0)</f>
        <v>0</v>
      </c>
      <c r="AB777" s="53" t="n">
        <f aca="false">IF(T777=1,IF(ISNUMBER(L777),L777-G777,0),0)</f>
        <v>0</v>
      </c>
      <c r="AC777" s="53" t="n">
        <f aca="false">IF(S777=1,IF(ISNUMBER(I777),I777-G777,0),0)</f>
        <v>0</v>
      </c>
    </row>
    <row r="778" customFormat="false" ht="15" hidden="false" customHeight="false" outlineLevel="0" collapsed="false">
      <c r="B778" s="54"/>
      <c r="C778" s="55"/>
      <c r="D778" s="55"/>
      <c r="E778" s="55"/>
      <c r="F778" s="56"/>
      <c r="G778" s="57"/>
      <c r="H778" s="55"/>
      <c r="I778" s="57"/>
      <c r="J778" s="54"/>
      <c r="K778" s="56"/>
      <c r="L778" s="57"/>
      <c r="M778" s="54"/>
      <c r="N778" s="58" t="str">
        <f aca="false">IF(S778=1,IF(U778&lt;0,"",U778),IF(Y778=1,X778,""))</f>
        <v/>
      </c>
      <c r="O778" s="59" t="str">
        <f aca="false">IF(S778=1,IF(ISNUMBER(I778),I778-G778,""),"")</f>
        <v/>
      </c>
      <c r="P778" s="59" t="str">
        <f aca="false">IF(T778=1,IF(ISNUMBER(L778),L778-G778,""),"")</f>
        <v/>
      </c>
      <c r="Q778" s="60" t="str">
        <f aca="false">IF(C778="","",IF(T778=1,"✔ SOLD / VENDIDO",IF(S778=0,"— CLOSED / CERRADO",IF(U778&lt;0,"⚠ ADD DATE / AGREGA FECHA",IF(U778&gt;=Settings!$C$8,"⚠ STALE – REPRICE / ESTANCADO",IF(U778&gt;=Settings!$C$7,"● WATCH / VIGILAR","✔ FRESH / RECIENTE"))))))</f>
        <v/>
      </c>
      <c r="S778" s="53" t="n">
        <f aca="false">IF(C778="",0,IF(OR(J778="",J778="In Stock / En Inventario",J778="Listed / Publicado"),1,0))</f>
        <v>0</v>
      </c>
      <c r="T778" s="53" t="n">
        <f aca="false">IF(C778="",0,IF(J778="Sold / Vendido",1,0))</f>
        <v>0</v>
      </c>
      <c r="U778" s="53" t="n">
        <f aca="true">IF(S778=1,IF(ISNUMBER(F778),TODAY()-F778,-1),-1)</f>
        <v>-1</v>
      </c>
      <c r="V778" s="53" t="n">
        <f aca="false">IF(U778&lt;0,IF(S778=1,5,0),IF(U778&lt;=30,1,IF(U778&lt;=60,2,IF(U778&lt;=90,3,4))))</f>
        <v>0</v>
      </c>
      <c r="W778" s="53" t="n">
        <f aca="false">IF(U778&lt;0,-1000000000000000,U778+ROW()/1000000)</f>
        <v>-1000000000000000</v>
      </c>
      <c r="X778" s="53" t="n">
        <f aca="false">IF(T778=1,IF(AND(ISNUMBER(F778),ISNUMBER(K778)),K778-F778,0),0)</f>
        <v>0</v>
      </c>
      <c r="Y778" s="53" t="n">
        <f aca="false">IF(T778=1,IF(AND(ISNUMBER(F778),ISNUMBER(K778)),1,0),0)</f>
        <v>0</v>
      </c>
      <c r="Z778" s="53" t="n">
        <f aca="false">IF(U778&gt;=Settings!$C$8,1,0)</f>
        <v>0</v>
      </c>
      <c r="AA778" s="53" t="n">
        <f aca="false">IF(S778=1,IF(J778="Listed / Publicado",0,1),0)</f>
        <v>0</v>
      </c>
      <c r="AB778" s="53" t="n">
        <f aca="false">IF(T778=1,IF(ISNUMBER(L778),L778-G778,0),0)</f>
        <v>0</v>
      </c>
      <c r="AC778" s="53" t="n">
        <f aca="false">IF(S778=1,IF(ISNUMBER(I778),I778-G778,0),0)</f>
        <v>0</v>
      </c>
    </row>
    <row r="779" customFormat="false" ht="15" hidden="false" customHeight="false" outlineLevel="0" collapsed="false">
      <c r="B779" s="54"/>
      <c r="C779" s="55"/>
      <c r="D779" s="55"/>
      <c r="E779" s="55"/>
      <c r="F779" s="56"/>
      <c r="G779" s="57"/>
      <c r="H779" s="55"/>
      <c r="I779" s="57"/>
      <c r="J779" s="54"/>
      <c r="K779" s="56"/>
      <c r="L779" s="57"/>
      <c r="M779" s="54"/>
      <c r="N779" s="58" t="str">
        <f aca="false">IF(S779=1,IF(U779&lt;0,"",U779),IF(Y779=1,X779,""))</f>
        <v/>
      </c>
      <c r="O779" s="59" t="str">
        <f aca="false">IF(S779=1,IF(ISNUMBER(I779),I779-G779,""),"")</f>
        <v/>
      </c>
      <c r="P779" s="59" t="str">
        <f aca="false">IF(T779=1,IF(ISNUMBER(L779),L779-G779,""),"")</f>
        <v/>
      </c>
      <c r="Q779" s="60" t="str">
        <f aca="false">IF(C779="","",IF(T779=1,"✔ SOLD / VENDIDO",IF(S779=0,"— CLOSED / CERRADO",IF(U779&lt;0,"⚠ ADD DATE / AGREGA FECHA",IF(U779&gt;=Settings!$C$8,"⚠ STALE – REPRICE / ESTANCADO",IF(U779&gt;=Settings!$C$7,"● WATCH / VIGILAR","✔ FRESH / RECIENTE"))))))</f>
        <v/>
      </c>
      <c r="S779" s="53" t="n">
        <f aca="false">IF(C779="",0,IF(OR(J779="",J779="In Stock / En Inventario",J779="Listed / Publicado"),1,0))</f>
        <v>0</v>
      </c>
      <c r="T779" s="53" t="n">
        <f aca="false">IF(C779="",0,IF(J779="Sold / Vendido",1,0))</f>
        <v>0</v>
      </c>
      <c r="U779" s="53" t="n">
        <f aca="true">IF(S779=1,IF(ISNUMBER(F779),TODAY()-F779,-1),-1)</f>
        <v>-1</v>
      </c>
      <c r="V779" s="53" t="n">
        <f aca="false">IF(U779&lt;0,IF(S779=1,5,0),IF(U779&lt;=30,1,IF(U779&lt;=60,2,IF(U779&lt;=90,3,4))))</f>
        <v>0</v>
      </c>
      <c r="W779" s="53" t="n">
        <f aca="false">IF(U779&lt;0,-1000000000000000,U779+ROW()/1000000)</f>
        <v>-1000000000000000</v>
      </c>
      <c r="X779" s="53" t="n">
        <f aca="false">IF(T779=1,IF(AND(ISNUMBER(F779),ISNUMBER(K779)),K779-F779,0),0)</f>
        <v>0</v>
      </c>
      <c r="Y779" s="53" t="n">
        <f aca="false">IF(T779=1,IF(AND(ISNUMBER(F779),ISNUMBER(K779)),1,0),0)</f>
        <v>0</v>
      </c>
      <c r="Z779" s="53" t="n">
        <f aca="false">IF(U779&gt;=Settings!$C$8,1,0)</f>
        <v>0</v>
      </c>
      <c r="AA779" s="53" t="n">
        <f aca="false">IF(S779=1,IF(J779="Listed / Publicado",0,1),0)</f>
        <v>0</v>
      </c>
      <c r="AB779" s="53" t="n">
        <f aca="false">IF(T779=1,IF(ISNUMBER(L779),L779-G779,0),0)</f>
        <v>0</v>
      </c>
      <c r="AC779" s="53" t="n">
        <f aca="false">IF(S779=1,IF(ISNUMBER(I779),I779-G779,0),0)</f>
        <v>0</v>
      </c>
    </row>
    <row r="780" customFormat="false" ht="15" hidden="false" customHeight="false" outlineLevel="0" collapsed="false">
      <c r="B780" s="54"/>
      <c r="C780" s="55"/>
      <c r="D780" s="55"/>
      <c r="E780" s="55"/>
      <c r="F780" s="56"/>
      <c r="G780" s="57"/>
      <c r="H780" s="55"/>
      <c r="I780" s="57"/>
      <c r="J780" s="54"/>
      <c r="K780" s="56"/>
      <c r="L780" s="57"/>
      <c r="M780" s="54"/>
      <c r="N780" s="58" t="str">
        <f aca="false">IF(S780=1,IF(U780&lt;0,"",U780),IF(Y780=1,X780,""))</f>
        <v/>
      </c>
      <c r="O780" s="59" t="str">
        <f aca="false">IF(S780=1,IF(ISNUMBER(I780),I780-G780,""),"")</f>
        <v/>
      </c>
      <c r="P780" s="59" t="str">
        <f aca="false">IF(T780=1,IF(ISNUMBER(L780),L780-G780,""),"")</f>
        <v/>
      </c>
      <c r="Q780" s="60" t="str">
        <f aca="false">IF(C780="","",IF(T780=1,"✔ SOLD / VENDIDO",IF(S780=0,"— CLOSED / CERRADO",IF(U780&lt;0,"⚠ ADD DATE / AGREGA FECHA",IF(U780&gt;=Settings!$C$8,"⚠ STALE – REPRICE / ESTANCADO",IF(U780&gt;=Settings!$C$7,"● WATCH / VIGILAR","✔ FRESH / RECIENTE"))))))</f>
        <v/>
      </c>
      <c r="S780" s="53" t="n">
        <f aca="false">IF(C780="",0,IF(OR(J780="",J780="In Stock / En Inventario",J780="Listed / Publicado"),1,0))</f>
        <v>0</v>
      </c>
      <c r="T780" s="53" t="n">
        <f aca="false">IF(C780="",0,IF(J780="Sold / Vendido",1,0))</f>
        <v>0</v>
      </c>
      <c r="U780" s="53" t="n">
        <f aca="true">IF(S780=1,IF(ISNUMBER(F780),TODAY()-F780,-1),-1)</f>
        <v>-1</v>
      </c>
      <c r="V780" s="53" t="n">
        <f aca="false">IF(U780&lt;0,IF(S780=1,5,0),IF(U780&lt;=30,1,IF(U780&lt;=60,2,IF(U780&lt;=90,3,4))))</f>
        <v>0</v>
      </c>
      <c r="W780" s="53" t="n">
        <f aca="false">IF(U780&lt;0,-1000000000000000,U780+ROW()/1000000)</f>
        <v>-1000000000000000</v>
      </c>
      <c r="X780" s="53" t="n">
        <f aca="false">IF(T780=1,IF(AND(ISNUMBER(F780),ISNUMBER(K780)),K780-F780,0),0)</f>
        <v>0</v>
      </c>
      <c r="Y780" s="53" t="n">
        <f aca="false">IF(T780=1,IF(AND(ISNUMBER(F780),ISNUMBER(K780)),1,0),0)</f>
        <v>0</v>
      </c>
      <c r="Z780" s="53" t="n">
        <f aca="false">IF(U780&gt;=Settings!$C$8,1,0)</f>
        <v>0</v>
      </c>
      <c r="AA780" s="53" t="n">
        <f aca="false">IF(S780=1,IF(J780="Listed / Publicado",0,1),0)</f>
        <v>0</v>
      </c>
      <c r="AB780" s="53" t="n">
        <f aca="false">IF(T780=1,IF(ISNUMBER(L780),L780-G780,0),0)</f>
        <v>0</v>
      </c>
      <c r="AC780" s="53" t="n">
        <f aca="false">IF(S780=1,IF(ISNUMBER(I780),I780-G780,0),0)</f>
        <v>0</v>
      </c>
    </row>
    <row r="781" customFormat="false" ht="15" hidden="false" customHeight="false" outlineLevel="0" collapsed="false">
      <c r="B781" s="54"/>
      <c r="C781" s="55"/>
      <c r="D781" s="55"/>
      <c r="E781" s="55"/>
      <c r="F781" s="56"/>
      <c r="G781" s="57"/>
      <c r="H781" s="55"/>
      <c r="I781" s="57"/>
      <c r="J781" s="54"/>
      <c r="K781" s="56"/>
      <c r="L781" s="57"/>
      <c r="M781" s="54"/>
      <c r="N781" s="58" t="str">
        <f aca="false">IF(S781=1,IF(U781&lt;0,"",U781),IF(Y781=1,X781,""))</f>
        <v/>
      </c>
      <c r="O781" s="59" t="str">
        <f aca="false">IF(S781=1,IF(ISNUMBER(I781),I781-G781,""),"")</f>
        <v/>
      </c>
      <c r="P781" s="59" t="str">
        <f aca="false">IF(T781=1,IF(ISNUMBER(L781),L781-G781,""),"")</f>
        <v/>
      </c>
      <c r="Q781" s="60" t="str">
        <f aca="false">IF(C781="","",IF(T781=1,"✔ SOLD / VENDIDO",IF(S781=0,"— CLOSED / CERRADO",IF(U781&lt;0,"⚠ ADD DATE / AGREGA FECHA",IF(U781&gt;=Settings!$C$8,"⚠ STALE – REPRICE / ESTANCADO",IF(U781&gt;=Settings!$C$7,"● WATCH / VIGILAR","✔ FRESH / RECIENTE"))))))</f>
        <v/>
      </c>
      <c r="S781" s="53" t="n">
        <f aca="false">IF(C781="",0,IF(OR(J781="",J781="In Stock / En Inventario",J781="Listed / Publicado"),1,0))</f>
        <v>0</v>
      </c>
      <c r="T781" s="53" t="n">
        <f aca="false">IF(C781="",0,IF(J781="Sold / Vendido",1,0))</f>
        <v>0</v>
      </c>
      <c r="U781" s="53" t="n">
        <f aca="true">IF(S781=1,IF(ISNUMBER(F781),TODAY()-F781,-1),-1)</f>
        <v>-1</v>
      </c>
      <c r="V781" s="53" t="n">
        <f aca="false">IF(U781&lt;0,IF(S781=1,5,0),IF(U781&lt;=30,1,IF(U781&lt;=60,2,IF(U781&lt;=90,3,4))))</f>
        <v>0</v>
      </c>
      <c r="W781" s="53" t="n">
        <f aca="false">IF(U781&lt;0,-1000000000000000,U781+ROW()/1000000)</f>
        <v>-1000000000000000</v>
      </c>
      <c r="X781" s="53" t="n">
        <f aca="false">IF(T781=1,IF(AND(ISNUMBER(F781),ISNUMBER(K781)),K781-F781,0),0)</f>
        <v>0</v>
      </c>
      <c r="Y781" s="53" t="n">
        <f aca="false">IF(T781=1,IF(AND(ISNUMBER(F781),ISNUMBER(K781)),1,0),0)</f>
        <v>0</v>
      </c>
      <c r="Z781" s="53" t="n">
        <f aca="false">IF(U781&gt;=Settings!$C$8,1,0)</f>
        <v>0</v>
      </c>
      <c r="AA781" s="53" t="n">
        <f aca="false">IF(S781=1,IF(J781="Listed / Publicado",0,1),0)</f>
        <v>0</v>
      </c>
      <c r="AB781" s="53" t="n">
        <f aca="false">IF(T781=1,IF(ISNUMBER(L781),L781-G781,0),0)</f>
        <v>0</v>
      </c>
      <c r="AC781" s="53" t="n">
        <f aca="false">IF(S781=1,IF(ISNUMBER(I781),I781-G781,0),0)</f>
        <v>0</v>
      </c>
    </row>
    <row r="782" customFormat="false" ht="15" hidden="false" customHeight="false" outlineLevel="0" collapsed="false">
      <c r="B782" s="54"/>
      <c r="C782" s="55"/>
      <c r="D782" s="55"/>
      <c r="E782" s="55"/>
      <c r="F782" s="56"/>
      <c r="G782" s="57"/>
      <c r="H782" s="55"/>
      <c r="I782" s="57"/>
      <c r="J782" s="54"/>
      <c r="K782" s="56"/>
      <c r="L782" s="57"/>
      <c r="M782" s="54"/>
      <c r="N782" s="58" t="str">
        <f aca="false">IF(S782=1,IF(U782&lt;0,"",U782),IF(Y782=1,X782,""))</f>
        <v/>
      </c>
      <c r="O782" s="59" t="str">
        <f aca="false">IF(S782=1,IF(ISNUMBER(I782),I782-G782,""),"")</f>
        <v/>
      </c>
      <c r="P782" s="59" t="str">
        <f aca="false">IF(T782=1,IF(ISNUMBER(L782),L782-G782,""),"")</f>
        <v/>
      </c>
      <c r="Q782" s="60" t="str">
        <f aca="false">IF(C782="","",IF(T782=1,"✔ SOLD / VENDIDO",IF(S782=0,"— CLOSED / CERRADO",IF(U782&lt;0,"⚠ ADD DATE / AGREGA FECHA",IF(U782&gt;=Settings!$C$8,"⚠ STALE – REPRICE / ESTANCADO",IF(U782&gt;=Settings!$C$7,"● WATCH / VIGILAR","✔ FRESH / RECIENTE"))))))</f>
        <v/>
      </c>
      <c r="S782" s="53" t="n">
        <f aca="false">IF(C782="",0,IF(OR(J782="",J782="In Stock / En Inventario",J782="Listed / Publicado"),1,0))</f>
        <v>0</v>
      </c>
      <c r="T782" s="53" t="n">
        <f aca="false">IF(C782="",0,IF(J782="Sold / Vendido",1,0))</f>
        <v>0</v>
      </c>
      <c r="U782" s="53" t="n">
        <f aca="true">IF(S782=1,IF(ISNUMBER(F782),TODAY()-F782,-1),-1)</f>
        <v>-1</v>
      </c>
      <c r="V782" s="53" t="n">
        <f aca="false">IF(U782&lt;0,IF(S782=1,5,0),IF(U782&lt;=30,1,IF(U782&lt;=60,2,IF(U782&lt;=90,3,4))))</f>
        <v>0</v>
      </c>
      <c r="W782" s="53" t="n">
        <f aca="false">IF(U782&lt;0,-1000000000000000,U782+ROW()/1000000)</f>
        <v>-1000000000000000</v>
      </c>
      <c r="X782" s="53" t="n">
        <f aca="false">IF(T782=1,IF(AND(ISNUMBER(F782),ISNUMBER(K782)),K782-F782,0),0)</f>
        <v>0</v>
      </c>
      <c r="Y782" s="53" t="n">
        <f aca="false">IF(T782=1,IF(AND(ISNUMBER(F782),ISNUMBER(K782)),1,0),0)</f>
        <v>0</v>
      </c>
      <c r="Z782" s="53" t="n">
        <f aca="false">IF(U782&gt;=Settings!$C$8,1,0)</f>
        <v>0</v>
      </c>
      <c r="AA782" s="53" t="n">
        <f aca="false">IF(S782=1,IF(J782="Listed / Publicado",0,1),0)</f>
        <v>0</v>
      </c>
      <c r="AB782" s="53" t="n">
        <f aca="false">IF(T782=1,IF(ISNUMBER(L782),L782-G782,0),0)</f>
        <v>0</v>
      </c>
      <c r="AC782" s="53" t="n">
        <f aca="false">IF(S782=1,IF(ISNUMBER(I782),I782-G782,0),0)</f>
        <v>0</v>
      </c>
    </row>
    <row r="783" customFormat="false" ht="15" hidden="false" customHeight="false" outlineLevel="0" collapsed="false">
      <c r="B783" s="54"/>
      <c r="C783" s="55"/>
      <c r="D783" s="55"/>
      <c r="E783" s="55"/>
      <c r="F783" s="56"/>
      <c r="G783" s="57"/>
      <c r="H783" s="55"/>
      <c r="I783" s="57"/>
      <c r="J783" s="54"/>
      <c r="K783" s="56"/>
      <c r="L783" s="57"/>
      <c r="M783" s="54"/>
      <c r="N783" s="58" t="str">
        <f aca="false">IF(S783=1,IF(U783&lt;0,"",U783),IF(Y783=1,X783,""))</f>
        <v/>
      </c>
      <c r="O783" s="59" t="str">
        <f aca="false">IF(S783=1,IF(ISNUMBER(I783),I783-G783,""),"")</f>
        <v/>
      </c>
      <c r="P783" s="59" t="str">
        <f aca="false">IF(T783=1,IF(ISNUMBER(L783),L783-G783,""),"")</f>
        <v/>
      </c>
      <c r="Q783" s="60" t="str">
        <f aca="false">IF(C783="","",IF(T783=1,"✔ SOLD / VENDIDO",IF(S783=0,"— CLOSED / CERRADO",IF(U783&lt;0,"⚠ ADD DATE / AGREGA FECHA",IF(U783&gt;=Settings!$C$8,"⚠ STALE – REPRICE / ESTANCADO",IF(U783&gt;=Settings!$C$7,"● WATCH / VIGILAR","✔ FRESH / RECIENTE"))))))</f>
        <v/>
      </c>
      <c r="S783" s="53" t="n">
        <f aca="false">IF(C783="",0,IF(OR(J783="",J783="In Stock / En Inventario",J783="Listed / Publicado"),1,0))</f>
        <v>0</v>
      </c>
      <c r="T783" s="53" t="n">
        <f aca="false">IF(C783="",0,IF(J783="Sold / Vendido",1,0))</f>
        <v>0</v>
      </c>
      <c r="U783" s="53" t="n">
        <f aca="true">IF(S783=1,IF(ISNUMBER(F783),TODAY()-F783,-1),-1)</f>
        <v>-1</v>
      </c>
      <c r="V783" s="53" t="n">
        <f aca="false">IF(U783&lt;0,IF(S783=1,5,0),IF(U783&lt;=30,1,IF(U783&lt;=60,2,IF(U783&lt;=90,3,4))))</f>
        <v>0</v>
      </c>
      <c r="W783" s="53" t="n">
        <f aca="false">IF(U783&lt;0,-1000000000000000,U783+ROW()/1000000)</f>
        <v>-1000000000000000</v>
      </c>
      <c r="X783" s="53" t="n">
        <f aca="false">IF(T783=1,IF(AND(ISNUMBER(F783),ISNUMBER(K783)),K783-F783,0),0)</f>
        <v>0</v>
      </c>
      <c r="Y783" s="53" t="n">
        <f aca="false">IF(T783=1,IF(AND(ISNUMBER(F783),ISNUMBER(K783)),1,0),0)</f>
        <v>0</v>
      </c>
      <c r="Z783" s="53" t="n">
        <f aca="false">IF(U783&gt;=Settings!$C$8,1,0)</f>
        <v>0</v>
      </c>
      <c r="AA783" s="53" t="n">
        <f aca="false">IF(S783=1,IF(J783="Listed / Publicado",0,1),0)</f>
        <v>0</v>
      </c>
      <c r="AB783" s="53" t="n">
        <f aca="false">IF(T783=1,IF(ISNUMBER(L783),L783-G783,0),0)</f>
        <v>0</v>
      </c>
      <c r="AC783" s="53" t="n">
        <f aca="false">IF(S783=1,IF(ISNUMBER(I783),I783-G783,0),0)</f>
        <v>0</v>
      </c>
    </row>
    <row r="784" customFormat="false" ht="15" hidden="false" customHeight="false" outlineLevel="0" collapsed="false">
      <c r="B784" s="54"/>
      <c r="C784" s="55"/>
      <c r="D784" s="55"/>
      <c r="E784" s="55"/>
      <c r="F784" s="56"/>
      <c r="G784" s="57"/>
      <c r="H784" s="55"/>
      <c r="I784" s="57"/>
      <c r="J784" s="54"/>
      <c r="K784" s="56"/>
      <c r="L784" s="57"/>
      <c r="M784" s="54"/>
      <c r="N784" s="58" t="str">
        <f aca="false">IF(S784=1,IF(U784&lt;0,"",U784),IF(Y784=1,X784,""))</f>
        <v/>
      </c>
      <c r="O784" s="59" t="str">
        <f aca="false">IF(S784=1,IF(ISNUMBER(I784),I784-G784,""),"")</f>
        <v/>
      </c>
      <c r="P784" s="59" t="str">
        <f aca="false">IF(T784=1,IF(ISNUMBER(L784),L784-G784,""),"")</f>
        <v/>
      </c>
      <c r="Q784" s="60" t="str">
        <f aca="false">IF(C784="","",IF(T784=1,"✔ SOLD / VENDIDO",IF(S784=0,"— CLOSED / CERRADO",IF(U784&lt;0,"⚠ ADD DATE / AGREGA FECHA",IF(U784&gt;=Settings!$C$8,"⚠ STALE – REPRICE / ESTANCADO",IF(U784&gt;=Settings!$C$7,"● WATCH / VIGILAR","✔ FRESH / RECIENTE"))))))</f>
        <v/>
      </c>
      <c r="S784" s="53" t="n">
        <f aca="false">IF(C784="",0,IF(OR(J784="",J784="In Stock / En Inventario",J784="Listed / Publicado"),1,0))</f>
        <v>0</v>
      </c>
      <c r="T784" s="53" t="n">
        <f aca="false">IF(C784="",0,IF(J784="Sold / Vendido",1,0))</f>
        <v>0</v>
      </c>
      <c r="U784" s="53" t="n">
        <f aca="true">IF(S784=1,IF(ISNUMBER(F784),TODAY()-F784,-1),-1)</f>
        <v>-1</v>
      </c>
      <c r="V784" s="53" t="n">
        <f aca="false">IF(U784&lt;0,IF(S784=1,5,0),IF(U784&lt;=30,1,IF(U784&lt;=60,2,IF(U784&lt;=90,3,4))))</f>
        <v>0</v>
      </c>
      <c r="W784" s="53" t="n">
        <f aca="false">IF(U784&lt;0,-1000000000000000,U784+ROW()/1000000)</f>
        <v>-1000000000000000</v>
      </c>
      <c r="X784" s="53" t="n">
        <f aca="false">IF(T784=1,IF(AND(ISNUMBER(F784),ISNUMBER(K784)),K784-F784,0),0)</f>
        <v>0</v>
      </c>
      <c r="Y784" s="53" t="n">
        <f aca="false">IF(T784=1,IF(AND(ISNUMBER(F784),ISNUMBER(K784)),1,0),0)</f>
        <v>0</v>
      </c>
      <c r="Z784" s="53" t="n">
        <f aca="false">IF(U784&gt;=Settings!$C$8,1,0)</f>
        <v>0</v>
      </c>
      <c r="AA784" s="53" t="n">
        <f aca="false">IF(S784=1,IF(J784="Listed / Publicado",0,1),0)</f>
        <v>0</v>
      </c>
      <c r="AB784" s="53" t="n">
        <f aca="false">IF(T784=1,IF(ISNUMBER(L784),L784-G784,0),0)</f>
        <v>0</v>
      </c>
      <c r="AC784" s="53" t="n">
        <f aca="false">IF(S784=1,IF(ISNUMBER(I784),I784-G784,0),0)</f>
        <v>0</v>
      </c>
    </row>
    <row r="785" customFormat="false" ht="15" hidden="false" customHeight="false" outlineLevel="0" collapsed="false">
      <c r="B785" s="54"/>
      <c r="C785" s="55"/>
      <c r="D785" s="55"/>
      <c r="E785" s="55"/>
      <c r="F785" s="56"/>
      <c r="G785" s="57"/>
      <c r="H785" s="55"/>
      <c r="I785" s="57"/>
      <c r="J785" s="54"/>
      <c r="K785" s="56"/>
      <c r="L785" s="57"/>
      <c r="M785" s="54"/>
      <c r="N785" s="58" t="str">
        <f aca="false">IF(S785=1,IF(U785&lt;0,"",U785),IF(Y785=1,X785,""))</f>
        <v/>
      </c>
      <c r="O785" s="59" t="str">
        <f aca="false">IF(S785=1,IF(ISNUMBER(I785),I785-G785,""),"")</f>
        <v/>
      </c>
      <c r="P785" s="59" t="str">
        <f aca="false">IF(T785=1,IF(ISNUMBER(L785),L785-G785,""),"")</f>
        <v/>
      </c>
      <c r="Q785" s="60" t="str">
        <f aca="false">IF(C785="","",IF(T785=1,"✔ SOLD / VENDIDO",IF(S785=0,"— CLOSED / CERRADO",IF(U785&lt;0,"⚠ ADD DATE / AGREGA FECHA",IF(U785&gt;=Settings!$C$8,"⚠ STALE – REPRICE / ESTANCADO",IF(U785&gt;=Settings!$C$7,"● WATCH / VIGILAR","✔ FRESH / RECIENTE"))))))</f>
        <v/>
      </c>
      <c r="S785" s="53" t="n">
        <f aca="false">IF(C785="",0,IF(OR(J785="",J785="In Stock / En Inventario",J785="Listed / Publicado"),1,0))</f>
        <v>0</v>
      </c>
      <c r="T785" s="53" t="n">
        <f aca="false">IF(C785="",0,IF(J785="Sold / Vendido",1,0))</f>
        <v>0</v>
      </c>
      <c r="U785" s="53" t="n">
        <f aca="true">IF(S785=1,IF(ISNUMBER(F785),TODAY()-F785,-1),-1)</f>
        <v>-1</v>
      </c>
      <c r="V785" s="53" t="n">
        <f aca="false">IF(U785&lt;0,IF(S785=1,5,0),IF(U785&lt;=30,1,IF(U785&lt;=60,2,IF(U785&lt;=90,3,4))))</f>
        <v>0</v>
      </c>
      <c r="W785" s="53" t="n">
        <f aca="false">IF(U785&lt;0,-1000000000000000,U785+ROW()/1000000)</f>
        <v>-1000000000000000</v>
      </c>
      <c r="X785" s="53" t="n">
        <f aca="false">IF(T785=1,IF(AND(ISNUMBER(F785),ISNUMBER(K785)),K785-F785,0),0)</f>
        <v>0</v>
      </c>
      <c r="Y785" s="53" t="n">
        <f aca="false">IF(T785=1,IF(AND(ISNUMBER(F785),ISNUMBER(K785)),1,0),0)</f>
        <v>0</v>
      </c>
      <c r="Z785" s="53" t="n">
        <f aca="false">IF(U785&gt;=Settings!$C$8,1,0)</f>
        <v>0</v>
      </c>
      <c r="AA785" s="53" t="n">
        <f aca="false">IF(S785=1,IF(J785="Listed / Publicado",0,1),0)</f>
        <v>0</v>
      </c>
      <c r="AB785" s="53" t="n">
        <f aca="false">IF(T785=1,IF(ISNUMBER(L785),L785-G785,0),0)</f>
        <v>0</v>
      </c>
      <c r="AC785" s="53" t="n">
        <f aca="false">IF(S785=1,IF(ISNUMBER(I785),I785-G785,0),0)</f>
        <v>0</v>
      </c>
    </row>
    <row r="786" customFormat="false" ht="15" hidden="false" customHeight="false" outlineLevel="0" collapsed="false">
      <c r="B786" s="54"/>
      <c r="C786" s="55"/>
      <c r="D786" s="55"/>
      <c r="E786" s="55"/>
      <c r="F786" s="56"/>
      <c r="G786" s="57"/>
      <c r="H786" s="55"/>
      <c r="I786" s="57"/>
      <c r="J786" s="54"/>
      <c r="K786" s="56"/>
      <c r="L786" s="57"/>
      <c r="M786" s="54"/>
      <c r="N786" s="58" t="str">
        <f aca="false">IF(S786=1,IF(U786&lt;0,"",U786),IF(Y786=1,X786,""))</f>
        <v/>
      </c>
      <c r="O786" s="59" t="str">
        <f aca="false">IF(S786=1,IF(ISNUMBER(I786),I786-G786,""),"")</f>
        <v/>
      </c>
      <c r="P786" s="59" t="str">
        <f aca="false">IF(T786=1,IF(ISNUMBER(L786),L786-G786,""),"")</f>
        <v/>
      </c>
      <c r="Q786" s="60" t="str">
        <f aca="false">IF(C786="","",IF(T786=1,"✔ SOLD / VENDIDO",IF(S786=0,"— CLOSED / CERRADO",IF(U786&lt;0,"⚠ ADD DATE / AGREGA FECHA",IF(U786&gt;=Settings!$C$8,"⚠ STALE – REPRICE / ESTANCADO",IF(U786&gt;=Settings!$C$7,"● WATCH / VIGILAR","✔ FRESH / RECIENTE"))))))</f>
        <v/>
      </c>
      <c r="S786" s="53" t="n">
        <f aca="false">IF(C786="",0,IF(OR(J786="",J786="In Stock / En Inventario",J786="Listed / Publicado"),1,0))</f>
        <v>0</v>
      </c>
      <c r="T786" s="53" t="n">
        <f aca="false">IF(C786="",0,IF(J786="Sold / Vendido",1,0))</f>
        <v>0</v>
      </c>
      <c r="U786" s="53" t="n">
        <f aca="true">IF(S786=1,IF(ISNUMBER(F786),TODAY()-F786,-1),-1)</f>
        <v>-1</v>
      </c>
      <c r="V786" s="53" t="n">
        <f aca="false">IF(U786&lt;0,IF(S786=1,5,0),IF(U786&lt;=30,1,IF(U786&lt;=60,2,IF(U786&lt;=90,3,4))))</f>
        <v>0</v>
      </c>
      <c r="W786" s="53" t="n">
        <f aca="false">IF(U786&lt;0,-1000000000000000,U786+ROW()/1000000)</f>
        <v>-1000000000000000</v>
      </c>
      <c r="X786" s="53" t="n">
        <f aca="false">IF(T786=1,IF(AND(ISNUMBER(F786),ISNUMBER(K786)),K786-F786,0),0)</f>
        <v>0</v>
      </c>
      <c r="Y786" s="53" t="n">
        <f aca="false">IF(T786=1,IF(AND(ISNUMBER(F786),ISNUMBER(K786)),1,0),0)</f>
        <v>0</v>
      </c>
      <c r="Z786" s="53" t="n">
        <f aca="false">IF(U786&gt;=Settings!$C$8,1,0)</f>
        <v>0</v>
      </c>
      <c r="AA786" s="53" t="n">
        <f aca="false">IF(S786=1,IF(J786="Listed / Publicado",0,1),0)</f>
        <v>0</v>
      </c>
      <c r="AB786" s="53" t="n">
        <f aca="false">IF(T786=1,IF(ISNUMBER(L786),L786-G786,0),0)</f>
        <v>0</v>
      </c>
      <c r="AC786" s="53" t="n">
        <f aca="false">IF(S786=1,IF(ISNUMBER(I786),I786-G786,0),0)</f>
        <v>0</v>
      </c>
    </row>
    <row r="787" customFormat="false" ht="15" hidden="false" customHeight="false" outlineLevel="0" collapsed="false">
      <c r="B787" s="54"/>
      <c r="C787" s="55"/>
      <c r="D787" s="55"/>
      <c r="E787" s="55"/>
      <c r="F787" s="56"/>
      <c r="G787" s="57"/>
      <c r="H787" s="55"/>
      <c r="I787" s="57"/>
      <c r="J787" s="54"/>
      <c r="K787" s="56"/>
      <c r="L787" s="57"/>
      <c r="M787" s="54"/>
      <c r="N787" s="58" t="str">
        <f aca="false">IF(S787=1,IF(U787&lt;0,"",U787),IF(Y787=1,X787,""))</f>
        <v/>
      </c>
      <c r="O787" s="59" t="str">
        <f aca="false">IF(S787=1,IF(ISNUMBER(I787),I787-G787,""),"")</f>
        <v/>
      </c>
      <c r="P787" s="59" t="str">
        <f aca="false">IF(T787=1,IF(ISNUMBER(L787),L787-G787,""),"")</f>
        <v/>
      </c>
      <c r="Q787" s="60" t="str">
        <f aca="false">IF(C787="","",IF(T787=1,"✔ SOLD / VENDIDO",IF(S787=0,"— CLOSED / CERRADO",IF(U787&lt;0,"⚠ ADD DATE / AGREGA FECHA",IF(U787&gt;=Settings!$C$8,"⚠ STALE – REPRICE / ESTANCADO",IF(U787&gt;=Settings!$C$7,"● WATCH / VIGILAR","✔ FRESH / RECIENTE"))))))</f>
        <v/>
      </c>
      <c r="S787" s="53" t="n">
        <f aca="false">IF(C787="",0,IF(OR(J787="",J787="In Stock / En Inventario",J787="Listed / Publicado"),1,0))</f>
        <v>0</v>
      </c>
      <c r="T787" s="53" t="n">
        <f aca="false">IF(C787="",0,IF(J787="Sold / Vendido",1,0))</f>
        <v>0</v>
      </c>
      <c r="U787" s="53" t="n">
        <f aca="true">IF(S787=1,IF(ISNUMBER(F787),TODAY()-F787,-1),-1)</f>
        <v>-1</v>
      </c>
      <c r="V787" s="53" t="n">
        <f aca="false">IF(U787&lt;0,IF(S787=1,5,0),IF(U787&lt;=30,1,IF(U787&lt;=60,2,IF(U787&lt;=90,3,4))))</f>
        <v>0</v>
      </c>
      <c r="W787" s="53" t="n">
        <f aca="false">IF(U787&lt;0,-1000000000000000,U787+ROW()/1000000)</f>
        <v>-1000000000000000</v>
      </c>
      <c r="X787" s="53" t="n">
        <f aca="false">IF(T787=1,IF(AND(ISNUMBER(F787),ISNUMBER(K787)),K787-F787,0),0)</f>
        <v>0</v>
      </c>
      <c r="Y787" s="53" t="n">
        <f aca="false">IF(T787=1,IF(AND(ISNUMBER(F787),ISNUMBER(K787)),1,0),0)</f>
        <v>0</v>
      </c>
      <c r="Z787" s="53" t="n">
        <f aca="false">IF(U787&gt;=Settings!$C$8,1,0)</f>
        <v>0</v>
      </c>
      <c r="AA787" s="53" t="n">
        <f aca="false">IF(S787=1,IF(J787="Listed / Publicado",0,1),0)</f>
        <v>0</v>
      </c>
      <c r="AB787" s="53" t="n">
        <f aca="false">IF(T787=1,IF(ISNUMBER(L787),L787-G787,0),0)</f>
        <v>0</v>
      </c>
      <c r="AC787" s="53" t="n">
        <f aca="false">IF(S787=1,IF(ISNUMBER(I787),I787-G787,0),0)</f>
        <v>0</v>
      </c>
    </row>
    <row r="788" customFormat="false" ht="15" hidden="false" customHeight="false" outlineLevel="0" collapsed="false">
      <c r="B788" s="54"/>
      <c r="C788" s="55"/>
      <c r="D788" s="55"/>
      <c r="E788" s="55"/>
      <c r="F788" s="56"/>
      <c r="G788" s="57"/>
      <c r="H788" s="55"/>
      <c r="I788" s="57"/>
      <c r="J788" s="54"/>
      <c r="K788" s="56"/>
      <c r="L788" s="57"/>
      <c r="M788" s="54"/>
      <c r="N788" s="58" t="str">
        <f aca="false">IF(S788=1,IF(U788&lt;0,"",U788),IF(Y788=1,X788,""))</f>
        <v/>
      </c>
      <c r="O788" s="59" t="str">
        <f aca="false">IF(S788=1,IF(ISNUMBER(I788),I788-G788,""),"")</f>
        <v/>
      </c>
      <c r="P788" s="59" t="str">
        <f aca="false">IF(T788=1,IF(ISNUMBER(L788),L788-G788,""),"")</f>
        <v/>
      </c>
      <c r="Q788" s="60" t="str">
        <f aca="false">IF(C788="","",IF(T788=1,"✔ SOLD / VENDIDO",IF(S788=0,"— CLOSED / CERRADO",IF(U788&lt;0,"⚠ ADD DATE / AGREGA FECHA",IF(U788&gt;=Settings!$C$8,"⚠ STALE – REPRICE / ESTANCADO",IF(U788&gt;=Settings!$C$7,"● WATCH / VIGILAR","✔ FRESH / RECIENTE"))))))</f>
        <v/>
      </c>
      <c r="S788" s="53" t="n">
        <f aca="false">IF(C788="",0,IF(OR(J788="",J788="In Stock / En Inventario",J788="Listed / Publicado"),1,0))</f>
        <v>0</v>
      </c>
      <c r="T788" s="53" t="n">
        <f aca="false">IF(C788="",0,IF(J788="Sold / Vendido",1,0))</f>
        <v>0</v>
      </c>
      <c r="U788" s="53" t="n">
        <f aca="true">IF(S788=1,IF(ISNUMBER(F788),TODAY()-F788,-1),-1)</f>
        <v>-1</v>
      </c>
      <c r="V788" s="53" t="n">
        <f aca="false">IF(U788&lt;0,IF(S788=1,5,0),IF(U788&lt;=30,1,IF(U788&lt;=60,2,IF(U788&lt;=90,3,4))))</f>
        <v>0</v>
      </c>
      <c r="W788" s="53" t="n">
        <f aca="false">IF(U788&lt;0,-1000000000000000,U788+ROW()/1000000)</f>
        <v>-1000000000000000</v>
      </c>
      <c r="X788" s="53" t="n">
        <f aca="false">IF(T788=1,IF(AND(ISNUMBER(F788),ISNUMBER(K788)),K788-F788,0),0)</f>
        <v>0</v>
      </c>
      <c r="Y788" s="53" t="n">
        <f aca="false">IF(T788=1,IF(AND(ISNUMBER(F788),ISNUMBER(K788)),1,0),0)</f>
        <v>0</v>
      </c>
      <c r="Z788" s="53" t="n">
        <f aca="false">IF(U788&gt;=Settings!$C$8,1,0)</f>
        <v>0</v>
      </c>
      <c r="AA788" s="53" t="n">
        <f aca="false">IF(S788=1,IF(J788="Listed / Publicado",0,1),0)</f>
        <v>0</v>
      </c>
      <c r="AB788" s="53" t="n">
        <f aca="false">IF(T788=1,IF(ISNUMBER(L788),L788-G788,0),0)</f>
        <v>0</v>
      </c>
      <c r="AC788" s="53" t="n">
        <f aca="false">IF(S788=1,IF(ISNUMBER(I788),I788-G788,0),0)</f>
        <v>0</v>
      </c>
    </row>
    <row r="789" customFormat="false" ht="15" hidden="false" customHeight="false" outlineLevel="0" collapsed="false">
      <c r="B789" s="54"/>
      <c r="C789" s="55"/>
      <c r="D789" s="55"/>
      <c r="E789" s="55"/>
      <c r="F789" s="56"/>
      <c r="G789" s="57"/>
      <c r="H789" s="55"/>
      <c r="I789" s="57"/>
      <c r="J789" s="54"/>
      <c r="K789" s="56"/>
      <c r="L789" s="57"/>
      <c r="M789" s="54"/>
      <c r="N789" s="58" t="str">
        <f aca="false">IF(S789=1,IF(U789&lt;0,"",U789),IF(Y789=1,X789,""))</f>
        <v/>
      </c>
      <c r="O789" s="59" t="str">
        <f aca="false">IF(S789=1,IF(ISNUMBER(I789),I789-G789,""),"")</f>
        <v/>
      </c>
      <c r="P789" s="59" t="str">
        <f aca="false">IF(T789=1,IF(ISNUMBER(L789),L789-G789,""),"")</f>
        <v/>
      </c>
      <c r="Q789" s="60" t="str">
        <f aca="false">IF(C789="","",IF(T789=1,"✔ SOLD / VENDIDO",IF(S789=0,"— CLOSED / CERRADO",IF(U789&lt;0,"⚠ ADD DATE / AGREGA FECHA",IF(U789&gt;=Settings!$C$8,"⚠ STALE – REPRICE / ESTANCADO",IF(U789&gt;=Settings!$C$7,"● WATCH / VIGILAR","✔ FRESH / RECIENTE"))))))</f>
        <v/>
      </c>
      <c r="S789" s="53" t="n">
        <f aca="false">IF(C789="",0,IF(OR(J789="",J789="In Stock / En Inventario",J789="Listed / Publicado"),1,0))</f>
        <v>0</v>
      </c>
      <c r="T789" s="53" t="n">
        <f aca="false">IF(C789="",0,IF(J789="Sold / Vendido",1,0))</f>
        <v>0</v>
      </c>
      <c r="U789" s="53" t="n">
        <f aca="true">IF(S789=1,IF(ISNUMBER(F789),TODAY()-F789,-1),-1)</f>
        <v>-1</v>
      </c>
      <c r="V789" s="53" t="n">
        <f aca="false">IF(U789&lt;0,IF(S789=1,5,0),IF(U789&lt;=30,1,IF(U789&lt;=60,2,IF(U789&lt;=90,3,4))))</f>
        <v>0</v>
      </c>
      <c r="W789" s="53" t="n">
        <f aca="false">IF(U789&lt;0,-1000000000000000,U789+ROW()/1000000)</f>
        <v>-1000000000000000</v>
      </c>
      <c r="X789" s="53" t="n">
        <f aca="false">IF(T789=1,IF(AND(ISNUMBER(F789),ISNUMBER(K789)),K789-F789,0),0)</f>
        <v>0</v>
      </c>
      <c r="Y789" s="53" t="n">
        <f aca="false">IF(T789=1,IF(AND(ISNUMBER(F789),ISNUMBER(K789)),1,0),0)</f>
        <v>0</v>
      </c>
      <c r="Z789" s="53" t="n">
        <f aca="false">IF(U789&gt;=Settings!$C$8,1,0)</f>
        <v>0</v>
      </c>
      <c r="AA789" s="53" t="n">
        <f aca="false">IF(S789=1,IF(J789="Listed / Publicado",0,1),0)</f>
        <v>0</v>
      </c>
      <c r="AB789" s="53" t="n">
        <f aca="false">IF(T789=1,IF(ISNUMBER(L789),L789-G789,0),0)</f>
        <v>0</v>
      </c>
      <c r="AC789" s="53" t="n">
        <f aca="false">IF(S789=1,IF(ISNUMBER(I789),I789-G789,0),0)</f>
        <v>0</v>
      </c>
    </row>
    <row r="790" customFormat="false" ht="15" hidden="false" customHeight="false" outlineLevel="0" collapsed="false">
      <c r="B790" s="54"/>
      <c r="C790" s="55"/>
      <c r="D790" s="55"/>
      <c r="E790" s="55"/>
      <c r="F790" s="56"/>
      <c r="G790" s="57"/>
      <c r="H790" s="55"/>
      <c r="I790" s="57"/>
      <c r="J790" s="54"/>
      <c r="K790" s="56"/>
      <c r="L790" s="57"/>
      <c r="M790" s="54"/>
      <c r="N790" s="58" t="str">
        <f aca="false">IF(S790=1,IF(U790&lt;0,"",U790),IF(Y790=1,X790,""))</f>
        <v/>
      </c>
      <c r="O790" s="59" t="str">
        <f aca="false">IF(S790=1,IF(ISNUMBER(I790),I790-G790,""),"")</f>
        <v/>
      </c>
      <c r="P790" s="59" t="str">
        <f aca="false">IF(T790=1,IF(ISNUMBER(L790),L790-G790,""),"")</f>
        <v/>
      </c>
      <c r="Q790" s="60" t="str">
        <f aca="false">IF(C790="","",IF(T790=1,"✔ SOLD / VENDIDO",IF(S790=0,"— CLOSED / CERRADO",IF(U790&lt;0,"⚠ ADD DATE / AGREGA FECHA",IF(U790&gt;=Settings!$C$8,"⚠ STALE – REPRICE / ESTANCADO",IF(U790&gt;=Settings!$C$7,"● WATCH / VIGILAR","✔ FRESH / RECIENTE"))))))</f>
        <v/>
      </c>
      <c r="S790" s="53" t="n">
        <f aca="false">IF(C790="",0,IF(OR(J790="",J790="In Stock / En Inventario",J790="Listed / Publicado"),1,0))</f>
        <v>0</v>
      </c>
      <c r="T790" s="53" t="n">
        <f aca="false">IF(C790="",0,IF(J790="Sold / Vendido",1,0))</f>
        <v>0</v>
      </c>
      <c r="U790" s="53" t="n">
        <f aca="true">IF(S790=1,IF(ISNUMBER(F790),TODAY()-F790,-1),-1)</f>
        <v>-1</v>
      </c>
      <c r="V790" s="53" t="n">
        <f aca="false">IF(U790&lt;0,IF(S790=1,5,0),IF(U790&lt;=30,1,IF(U790&lt;=60,2,IF(U790&lt;=90,3,4))))</f>
        <v>0</v>
      </c>
      <c r="W790" s="53" t="n">
        <f aca="false">IF(U790&lt;0,-1000000000000000,U790+ROW()/1000000)</f>
        <v>-1000000000000000</v>
      </c>
      <c r="X790" s="53" t="n">
        <f aca="false">IF(T790=1,IF(AND(ISNUMBER(F790),ISNUMBER(K790)),K790-F790,0),0)</f>
        <v>0</v>
      </c>
      <c r="Y790" s="53" t="n">
        <f aca="false">IF(T790=1,IF(AND(ISNUMBER(F790),ISNUMBER(K790)),1,0),0)</f>
        <v>0</v>
      </c>
      <c r="Z790" s="53" t="n">
        <f aca="false">IF(U790&gt;=Settings!$C$8,1,0)</f>
        <v>0</v>
      </c>
      <c r="AA790" s="53" t="n">
        <f aca="false">IF(S790=1,IF(J790="Listed / Publicado",0,1),0)</f>
        <v>0</v>
      </c>
      <c r="AB790" s="53" t="n">
        <f aca="false">IF(T790=1,IF(ISNUMBER(L790),L790-G790,0),0)</f>
        <v>0</v>
      </c>
      <c r="AC790" s="53" t="n">
        <f aca="false">IF(S790=1,IF(ISNUMBER(I790),I790-G790,0),0)</f>
        <v>0</v>
      </c>
    </row>
    <row r="791" customFormat="false" ht="15" hidden="false" customHeight="false" outlineLevel="0" collapsed="false">
      <c r="B791" s="54"/>
      <c r="C791" s="55"/>
      <c r="D791" s="55"/>
      <c r="E791" s="55"/>
      <c r="F791" s="56"/>
      <c r="G791" s="57"/>
      <c r="H791" s="55"/>
      <c r="I791" s="57"/>
      <c r="J791" s="54"/>
      <c r="K791" s="56"/>
      <c r="L791" s="57"/>
      <c r="M791" s="54"/>
      <c r="N791" s="58" t="str">
        <f aca="false">IF(S791=1,IF(U791&lt;0,"",U791),IF(Y791=1,X791,""))</f>
        <v/>
      </c>
      <c r="O791" s="59" t="str">
        <f aca="false">IF(S791=1,IF(ISNUMBER(I791),I791-G791,""),"")</f>
        <v/>
      </c>
      <c r="P791" s="59" t="str">
        <f aca="false">IF(T791=1,IF(ISNUMBER(L791),L791-G791,""),"")</f>
        <v/>
      </c>
      <c r="Q791" s="60" t="str">
        <f aca="false">IF(C791="","",IF(T791=1,"✔ SOLD / VENDIDO",IF(S791=0,"— CLOSED / CERRADO",IF(U791&lt;0,"⚠ ADD DATE / AGREGA FECHA",IF(U791&gt;=Settings!$C$8,"⚠ STALE – REPRICE / ESTANCADO",IF(U791&gt;=Settings!$C$7,"● WATCH / VIGILAR","✔ FRESH / RECIENTE"))))))</f>
        <v/>
      </c>
      <c r="S791" s="53" t="n">
        <f aca="false">IF(C791="",0,IF(OR(J791="",J791="In Stock / En Inventario",J791="Listed / Publicado"),1,0))</f>
        <v>0</v>
      </c>
      <c r="T791" s="53" t="n">
        <f aca="false">IF(C791="",0,IF(J791="Sold / Vendido",1,0))</f>
        <v>0</v>
      </c>
      <c r="U791" s="53" t="n">
        <f aca="true">IF(S791=1,IF(ISNUMBER(F791),TODAY()-F791,-1),-1)</f>
        <v>-1</v>
      </c>
      <c r="V791" s="53" t="n">
        <f aca="false">IF(U791&lt;0,IF(S791=1,5,0),IF(U791&lt;=30,1,IF(U791&lt;=60,2,IF(U791&lt;=90,3,4))))</f>
        <v>0</v>
      </c>
      <c r="W791" s="53" t="n">
        <f aca="false">IF(U791&lt;0,-1000000000000000,U791+ROW()/1000000)</f>
        <v>-1000000000000000</v>
      </c>
      <c r="X791" s="53" t="n">
        <f aca="false">IF(T791=1,IF(AND(ISNUMBER(F791),ISNUMBER(K791)),K791-F791,0),0)</f>
        <v>0</v>
      </c>
      <c r="Y791" s="53" t="n">
        <f aca="false">IF(T791=1,IF(AND(ISNUMBER(F791),ISNUMBER(K791)),1,0),0)</f>
        <v>0</v>
      </c>
      <c r="Z791" s="53" t="n">
        <f aca="false">IF(U791&gt;=Settings!$C$8,1,0)</f>
        <v>0</v>
      </c>
      <c r="AA791" s="53" t="n">
        <f aca="false">IF(S791=1,IF(J791="Listed / Publicado",0,1),0)</f>
        <v>0</v>
      </c>
      <c r="AB791" s="53" t="n">
        <f aca="false">IF(T791=1,IF(ISNUMBER(L791),L791-G791,0),0)</f>
        <v>0</v>
      </c>
      <c r="AC791" s="53" t="n">
        <f aca="false">IF(S791=1,IF(ISNUMBER(I791),I791-G791,0),0)</f>
        <v>0</v>
      </c>
    </row>
    <row r="792" customFormat="false" ht="15" hidden="false" customHeight="false" outlineLevel="0" collapsed="false">
      <c r="B792" s="54"/>
      <c r="C792" s="55"/>
      <c r="D792" s="55"/>
      <c r="E792" s="55"/>
      <c r="F792" s="56"/>
      <c r="G792" s="57"/>
      <c r="H792" s="55"/>
      <c r="I792" s="57"/>
      <c r="J792" s="54"/>
      <c r="K792" s="56"/>
      <c r="L792" s="57"/>
      <c r="M792" s="54"/>
      <c r="N792" s="58" t="str">
        <f aca="false">IF(S792=1,IF(U792&lt;0,"",U792),IF(Y792=1,X792,""))</f>
        <v/>
      </c>
      <c r="O792" s="59" t="str">
        <f aca="false">IF(S792=1,IF(ISNUMBER(I792),I792-G792,""),"")</f>
        <v/>
      </c>
      <c r="P792" s="59" t="str">
        <f aca="false">IF(T792=1,IF(ISNUMBER(L792),L792-G792,""),"")</f>
        <v/>
      </c>
      <c r="Q792" s="60" t="str">
        <f aca="false">IF(C792="","",IF(T792=1,"✔ SOLD / VENDIDO",IF(S792=0,"— CLOSED / CERRADO",IF(U792&lt;0,"⚠ ADD DATE / AGREGA FECHA",IF(U792&gt;=Settings!$C$8,"⚠ STALE – REPRICE / ESTANCADO",IF(U792&gt;=Settings!$C$7,"● WATCH / VIGILAR","✔ FRESH / RECIENTE"))))))</f>
        <v/>
      </c>
      <c r="S792" s="53" t="n">
        <f aca="false">IF(C792="",0,IF(OR(J792="",J792="In Stock / En Inventario",J792="Listed / Publicado"),1,0))</f>
        <v>0</v>
      </c>
      <c r="T792" s="53" t="n">
        <f aca="false">IF(C792="",0,IF(J792="Sold / Vendido",1,0))</f>
        <v>0</v>
      </c>
      <c r="U792" s="53" t="n">
        <f aca="true">IF(S792=1,IF(ISNUMBER(F792),TODAY()-F792,-1),-1)</f>
        <v>-1</v>
      </c>
      <c r="V792" s="53" t="n">
        <f aca="false">IF(U792&lt;0,IF(S792=1,5,0),IF(U792&lt;=30,1,IF(U792&lt;=60,2,IF(U792&lt;=90,3,4))))</f>
        <v>0</v>
      </c>
      <c r="W792" s="53" t="n">
        <f aca="false">IF(U792&lt;0,-1000000000000000,U792+ROW()/1000000)</f>
        <v>-1000000000000000</v>
      </c>
      <c r="X792" s="53" t="n">
        <f aca="false">IF(T792=1,IF(AND(ISNUMBER(F792),ISNUMBER(K792)),K792-F792,0),0)</f>
        <v>0</v>
      </c>
      <c r="Y792" s="53" t="n">
        <f aca="false">IF(T792=1,IF(AND(ISNUMBER(F792),ISNUMBER(K792)),1,0),0)</f>
        <v>0</v>
      </c>
      <c r="Z792" s="53" t="n">
        <f aca="false">IF(U792&gt;=Settings!$C$8,1,0)</f>
        <v>0</v>
      </c>
      <c r="AA792" s="53" t="n">
        <f aca="false">IF(S792=1,IF(J792="Listed / Publicado",0,1),0)</f>
        <v>0</v>
      </c>
      <c r="AB792" s="53" t="n">
        <f aca="false">IF(T792=1,IF(ISNUMBER(L792),L792-G792,0),0)</f>
        <v>0</v>
      </c>
      <c r="AC792" s="53" t="n">
        <f aca="false">IF(S792=1,IF(ISNUMBER(I792),I792-G792,0),0)</f>
        <v>0</v>
      </c>
    </row>
    <row r="793" customFormat="false" ht="15" hidden="false" customHeight="false" outlineLevel="0" collapsed="false">
      <c r="B793" s="54"/>
      <c r="C793" s="55"/>
      <c r="D793" s="55"/>
      <c r="E793" s="55"/>
      <c r="F793" s="56"/>
      <c r="G793" s="57"/>
      <c r="H793" s="55"/>
      <c r="I793" s="57"/>
      <c r="J793" s="54"/>
      <c r="K793" s="56"/>
      <c r="L793" s="57"/>
      <c r="M793" s="54"/>
      <c r="N793" s="58" t="str">
        <f aca="false">IF(S793=1,IF(U793&lt;0,"",U793),IF(Y793=1,X793,""))</f>
        <v/>
      </c>
      <c r="O793" s="59" t="str">
        <f aca="false">IF(S793=1,IF(ISNUMBER(I793),I793-G793,""),"")</f>
        <v/>
      </c>
      <c r="P793" s="59" t="str">
        <f aca="false">IF(T793=1,IF(ISNUMBER(L793),L793-G793,""),"")</f>
        <v/>
      </c>
      <c r="Q793" s="60" t="str">
        <f aca="false">IF(C793="","",IF(T793=1,"✔ SOLD / VENDIDO",IF(S793=0,"— CLOSED / CERRADO",IF(U793&lt;0,"⚠ ADD DATE / AGREGA FECHA",IF(U793&gt;=Settings!$C$8,"⚠ STALE – REPRICE / ESTANCADO",IF(U793&gt;=Settings!$C$7,"● WATCH / VIGILAR","✔ FRESH / RECIENTE"))))))</f>
        <v/>
      </c>
      <c r="S793" s="53" t="n">
        <f aca="false">IF(C793="",0,IF(OR(J793="",J793="In Stock / En Inventario",J793="Listed / Publicado"),1,0))</f>
        <v>0</v>
      </c>
      <c r="T793" s="53" t="n">
        <f aca="false">IF(C793="",0,IF(J793="Sold / Vendido",1,0))</f>
        <v>0</v>
      </c>
      <c r="U793" s="53" t="n">
        <f aca="true">IF(S793=1,IF(ISNUMBER(F793),TODAY()-F793,-1),-1)</f>
        <v>-1</v>
      </c>
      <c r="V793" s="53" t="n">
        <f aca="false">IF(U793&lt;0,IF(S793=1,5,0),IF(U793&lt;=30,1,IF(U793&lt;=60,2,IF(U793&lt;=90,3,4))))</f>
        <v>0</v>
      </c>
      <c r="W793" s="53" t="n">
        <f aca="false">IF(U793&lt;0,-1000000000000000,U793+ROW()/1000000)</f>
        <v>-1000000000000000</v>
      </c>
      <c r="X793" s="53" t="n">
        <f aca="false">IF(T793=1,IF(AND(ISNUMBER(F793),ISNUMBER(K793)),K793-F793,0),0)</f>
        <v>0</v>
      </c>
      <c r="Y793" s="53" t="n">
        <f aca="false">IF(T793=1,IF(AND(ISNUMBER(F793),ISNUMBER(K793)),1,0),0)</f>
        <v>0</v>
      </c>
      <c r="Z793" s="53" t="n">
        <f aca="false">IF(U793&gt;=Settings!$C$8,1,0)</f>
        <v>0</v>
      </c>
      <c r="AA793" s="53" t="n">
        <f aca="false">IF(S793=1,IF(J793="Listed / Publicado",0,1),0)</f>
        <v>0</v>
      </c>
      <c r="AB793" s="53" t="n">
        <f aca="false">IF(T793=1,IF(ISNUMBER(L793),L793-G793,0),0)</f>
        <v>0</v>
      </c>
      <c r="AC793" s="53" t="n">
        <f aca="false">IF(S793=1,IF(ISNUMBER(I793),I793-G793,0),0)</f>
        <v>0</v>
      </c>
    </row>
    <row r="794" customFormat="false" ht="15" hidden="false" customHeight="false" outlineLevel="0" collapsed="false">
      <c r="B794" s="54"/>
      <c r="C794" s="55"/>
      <c r="D794" s="55"/>
      <c r="E794" s="55"/>
      <c r="F794" s="56"/>
      <c r="G794" s="57"/>
      <c r="H794" s="55"/>
      <c r="I794" s="57"/>
      <c r="J794" s="54"/>
      <c r="K794" s="56"/>
      <c r="L794" s="57"/>
      <c r="M794" s="54"/>
      <c r="N794" s="58" t="str">
        <f aca="false">IF(S794=1,IF(U794&lt;0,"",U794),IF(Y794=1,X794,""))</f>
        <v/>
      </c>
      <c r="O794" s="59" t="str">
        <f aca="false">IF(S794=1,IF(ISNUMBER(I794),I794-G794,""),"")</f>
        <v/>
      </c>
      <c r="P794" s="59" t="str">
        <f aca="false">IF(T794=1,IF(ISNUMBER(L794),L794-G794,""),"")</f>
        <v/>
      </c>
      <c r="Q794" s="60" t="str">
        <f aca="false">IF(C794="","",IF(T794=1,"✔ SOLD / VENDIDO",IF(S794=0,"— CLOSED / CERRADO",IF(U794&lt;0,"⚠ ADD DATE / AGREGA FECHA",IF(U794&gt;=Settings!$C$8,"⚠ STALE – REPRICE / ESTANCADO",IF(U794&gt;=Settings!$C$7,"● WATCH / VIGILAR","✔ FRESH / RECIENTE"))))))</f>
        <v/>
      </c>
      <c r="S794" s="53" t="n">
        <f aca="false">IF(C794="",0,IF(OR(J794="",J794="In Stock / En Inventario",J794="Listed / Publicado"),1,0))</f>
        <v>0</v>
      </c>
      <c r="T794" s="53" t="n">
        <f aca="false">IF(C794="",0,IF(J794="Sold / Vendido",1,0))</f>
        <v>0</v>
      </c>
      <c r="U794" s="53" t="n">
        <f aca="true">IF(S794=1,IF(ISNUMBER(F794),TODAY()-F794,-1),-1)</f>
        <v>-1</v>
      </c>
      <c r="V794" s="53" t="n">
        <f aca="false">IF(U794&lt;0,IF(S794=1,5,0),IF(U794&lt;=30,1,IF(U794&lt;=60,2,IF(U794&lt;=90,3,4))))</f>
        <v>0</v>
      </c>
      <c r="W794" s="53" t="n">
        <f aca="false">IF(U794&lt;0,-1000000000000000,U794+ROW()/1000000)</f>
        <v>-1000000000000000</v>
      </c>
      <c r="X794" s="53" t="n">
        <f aca="false">IF(T794=1,IF(AND(ISNUMBER(F794),ISNUMBER(K794)),K794-F794,0),0)</f>
        <v>0</v>
      </c>
      <c r="Y794" s="53" t="n">
        <f aca="false">IF(T794=1,IF(AND(ISNUMBER(F794),ISNUMBER(K794)),1,0),0)</f>
        <v>0</v>
      </c>
      <c r="Z794" s="53" t="n">
        <f aca="false">IF(U794&gt;=Settings!$C$8,1,0)</f>
        <v>0</v>
      </c>
      <c r="AA794" s="53" t="n">
        <f aca="false">IF(S794=1,IF(J794="Listed / Publicado",0,1),0)</f>
        <v>0</v>
      </c>
      <c r="AB794" s="53" t="n">
        <f aca="false">IF(T794=1,IF(ISNUMBER(L794),L794-G794,0),0)</f>
        <v>0</v>
      </c>
      <c r="AC794" s="53" t="n">
        <f aca="false">IF(S794=1,IF(ISNUMBER(I794),I794-G794,0),0)</f>
        <v>0</v>
      </c>
    </row>
    <row r="795" customFormat="false" ht="15" hidden="false" customHeight="false" outlineLevel="0" collapsed="false">
      <c r="B795" s="54"/>
      <c r="C795" s="55"/>
      <c r="D795" s="55"/>
      <c r="E795" s="55"/>
      <c r="F795" s="56"/>
      <c r="G795" s="57"/>
      <c r="H795" s="55"/>
      <c r="I795" s="57"/>
      <c r="J795" s="54"/>
      <c r="K795" s="56"/>
      <c r="L795" s="57"/>
      <c r="M795" s="54"/>
      <c r="N795" s="58" t="str">
        <f aca="false">IF(S795=1,IF(U795&lt;0,"",U795),IF(Y795=1,X795,""))</f>
        <v/>
      </c>
      <c r="O795" s="59" t="str">
        <f aca="false">IF(S795=1,IF(ISNUMBER(I795),I795-G795,""),"")</f>
        <v/>
      </c>
      <c r="P795" s="59" t="str">
        <f aca="false">IF(T795=1,IF(ISNUMBER(L795),L795-G795,""),"")</f>
        <v/>
      </c>
      <c r="Q795" s="60" t="str">
        <f aca="false">IF(C795="","",IF(T795=1,"✔ SOLD / VENDIDO",IF(S795=0,"— CLOSED / CERRADO",IF(U795&lt;0,"⚠ ADD DATE / AGREGA FECHA",IF(U795&gt;=Settings!$C$8,"⚠ STALE – REPRICE / ESTANCADO",IF(U795&gt;=Settings!$C$7,"● WATCH / VIGILAR","✔ FRESH / RECIENTE"))))))</f>
        <v/>
      </c>
      <c r="S795" s="53" t="n">
        <f aca="false">IF(C795="",0,IF(OR(J795="",J795="In Stock / En Inventario",J795="Listed / Publicado"),1,0))</f>
        <v>0</v>
      </c>
      <c r="T795" s="53" t="n">
        <f aca="false">IF(C795="",0,IF(J795="Sold / Vendido",1,0))</f>
        <v>0</v>
      </c>
      <c r="U795" s="53" t="n">
        <f aca="true">IF(S795=1,IF(ISNUMBER(F795),TODAY()-F795,-1),-1)</f>
        <v>-1</v>
      </c>
      <c r="V795" s="53" t="n">
        <f aca="false">IF(U795&lt;0,IF(S795=1,5,0),IF(U795&lt;=30,1,IF(U795&lt;=60,2,IF(U795&lt;=90,3,4))))</f>
        <v>0</v>
      </c>
      <c r="W795" s="53" t="n">
        <f aca="false">IF(U795&lt;0,-1000000000000000,U795+ROW()/1000000)</f>
        <v>-1000000000000000</v>
      </c>
      <c r="X795" s="53" t="n">
        <f aca="false">IF(T795=1,IF(AND(ISNUMBER(F795),ISNUMBER(K795)),K795-F795,0),0)</f>
        <v>0</v>
      </c>
      <c r="Y795" s="53" t="n">
        <f aca="false">IF(T795=1,IF(AND(ISNUMBER(F795),ISNUMBER(K795)),1,0),0)</f>
        <v>0</v>
      </c>
      <c r="Z795" s="53" t="n">
        <f aca="false">IF(U795&gt;=Settings!$C$8,1,0)</f>
        <v>0</v>
      </c>
      <c r="AA795" s="53" t="n">
        <f aca="false">IF(S795=1,IF(J795="Listed / Publicado",0,1),0)</f>
        <v>0</v>
      </c>
      <c r="AB795" s="53" t="n">
        <f aca="false">IF(T795=1,IF(ISNUMBER(L795),L795-G795,0),0)</f>
        <v>0</v>
      </c>
      <c r="AC795" s="53" t="n">
        <f aca="false">IF(S795=1,IF(ISNUMBER(I795),I795-G795,0),0)</f>
        <v>0</v>
      </c>
    </row>
    <row r="796" customFormat="false" ht="15" hidden="false" customHeight="false" outlineLevel="0" collapsed="false">
      <c r="B796" s="54"/>
      <c r="C796" s="55"/>
      <c r="D796" s="55"/>
      <c r="E796" s="55"/>
      <c r="F796" s="56"/>
      <c r="G796" s="57"/>
      <c r="H796" s="55"/>
      <c r="I796" s="57"/>
      <c r="J796" s="54"/>
      <c r="K796" s="56"/>
      <c r="L796" s="57"/>
      <c r="M796" s="54"/>
      <c r="N796" s="58" t="str">
        <f aca="false">IF(S796=1,IF(U796&lt;0,"",U796),IF(Y796=1,X796,""))</f>
        <v/>
      </c>
      <c r="O796" s="59" t="str">
        <f aca="false">IF(S796=1,IF(ISNUMBER(I796),I796-G796,""),"")</f>
        <v/>
      </c>
      <c r="P796" s="59" t="str">
        <f aca="false">IF(T796=1,IF(ISNUMBER(L796),L796-G796,""),"")</f>
        <v/>
      </c>
      <c r="Q796" s="60" t="str">
        <f aca="false">IF(C796="","",IF(T796=1,"✔ SOLD / VENDIDO",IF(S796=0,"— CLOSED / CERRADO",IF(U796&lt;0,"⚠ ADD DATE / AGREGA FECHA",IF(U796&gt;=Settings!$C$8,"⚠ STALE – REPRICE / ESTANCADO",IF(U796&gt;=Settings!$C$7,"● WATCH / VIGILAR","✔ FRESH / RECIENTE"))))))</f>
        <v/>
      </c>
      <c r="S796" s="53" t="n">
        <f aca="false">IF(C796="",0,IF(OR(J796="",J796="In Stock / En Inventario",J796="Listed / Publicado"),1,0))</f>
        <v>0</v>
      </c>
      <c r="T796" s="53" t="n">
        <f aca="false">IF(C796="",0,IF(J796="Sold / Vendido",1,0))</f>
        <v>0</v>
      </c>
      <c r="U796" s="53" t="n">
        <f aca="true">IF(S796=1,IF(ISNUMBER(F796),TODAY()-F796,-1),-1)</f>
        <v>-1</v>
      </c>
      <c r="V796" s="53" t="n">
        <f aca="false">IF(U796&lt;0,IF(S796=1,5,0),IF(U796&lt;=30,1,IF(U796&lt;=60,2,IF(U796&lt;=90,3,4))))</f>
        <v>0</v>
      </c>
      <c r="W796" s="53" t="n">
        <f aca="false">IF(U796&lt;0,-1000000000000000,U796+ROW()/1000000)</f>
        <v>-1000000000000000</v>
      </c>
      <c r="X796" s="53" t="n">
        <f aca="false">IF(T796=1,IF(AND(ISNUMBER(F796),ISNUMBER(K796)),K796-F796,0),0)</f>
        <v>0</v>
      </c>
      <c r="Y796" s="53" t="n">
        <f aca="false">IF(T796=1,IF(AND(ISNUMBER(F796),ISNUMBER(K796)),1,0),0)</f>
        <v>0</v>
      </c>
      <c r="Z796" s="53" t="n">
        <f aca="false">IF(U796&gt;=Settings!$C$8,1,0)</f>
        <v>0</v>
      </c>
      <c r="AA796" s="53" t="n">
        <f aca="false">IF(S796=1,IF(J796="Listed / Publicado",0,1),0)</f>
        <v>0</v>
      </c>
      <c r="AB796" s="53" t="n">
        <f aca="false">IF(T796=1,IF(ISNUMBER(L796),L796-G796,0),0)</f>
        <v>0</v>
      </c>
      <c r="AC796" s="53" t="n">
        <f aca="false">IF(S796=1,IF(ISNUMBER(I796),I796-G796,0),0)</f>
        <v>0</v>
      </c>
    </row>
    <row r="797" customFormat="false" ht="15" hidden="false" customHeight="false" outlineLevel="0" collapsed="false">
      <c r="B797" s="54"/>
      <c r="C797" s="55"/>
      <c r="D797" s="55"/>
      <c r="E797" s="55"/>
      <c r="F797" s="56"/>
      <c r="G797" s="57"/>
      <c r="H797" s="55"/>
      <c r="I797" s="57"/>
      <c r="J797" s="54"/>
      <c r="K797" s="56"/>
      <c r="L797" s="57"/>
      <c r="M797" s="54"/>
      <c r="N797" s="58" t="str">
        <f aca="false">IF(S797=1,IF(U797&lt;0,"",U797),IF(Y797=1,X797,""))</f>
        <v/>
      </c>
      <c r="O797" s="59" t="str">
        <f aca="false">IF(S797=1,IF(ISNUMBER(I797),I797-G797,""),"")</f>
        <v/>
      </c>
      <c r="P797" s="59" t="str">
        <f aca="false">IF(T797=1,IF(ISNUMBER(L797),L797-G797,""),"")</f>
        <v/>
      </c>
      <c r="Q797" s="60" t="str">
        <f aca="false">IF(C797="","",IF(T797=1,"✔ SOLD / VENDIDO",IF(S797=0,"— CLOSED / CERRADO",IF(U797&lt;0,"⚠ ADD DATE / AGREGA FECHA",IF(U797&gt;=Settings!$C$8,"⚠ STALE – REPRICE / ESTANCADO",IF(U797&gt;=Settings!$C$7,"● WATCH / VIGILAR","✔ FRESH / RECIENTE"))))))</f>
        <v/>
      </c>
      <c r="S797" s="53" t="n">
        <f aca="false">IF(C797="",0,IF(OR(J797="",J797="In Stock / En Inventario",J797="Listed / Publicado"),1,0))</f>
        <v>0</v>
      </c>
      <c r="T797" s="53" t="n">
        <f aca="false">IF(C797="",0,IF(J797="Sold / Vendido",1,0))</f>
        <v>0</v>
      </c>
      <c r="U797" s="53" t="n">
        <f aca="true">IF(S797=1,IF(ISNUMBER(F797),TODAY()-F797,-1),-1)</f>
        <v>-1</v>
      </c>
      <c r="V797" s="53" t="n">
        <f aca="false">IF(U797&lt;0,IF(S797=1,5,0),IF(U797&lt;=30,1,IF(U797&lt;=60,2,IF(U797&lt;=90,3,4))))</f>
        <v>0</v>
      </c>
      <c r="W797" s="53" t="n">
        <f aca="false">IF(U797&lt;0,-1000000000000000,U797+ROW()/1000000)</f>
        <v>-1000000000000000</v>
      </c>
      <c r="X797" s="53" t="n">
        <f aca="false">IF(T797=1,IF(AND(ISNUMBER(F797),ISNUMBER(K797)),K797-F797,0),0)</f>
        <v>0</v>
      </c>
      <c r="Y797" s="53" t="n">
        <f aca="false">IF(T797=1,IF(AND(ISNUMBER(F797),ISNUMBER(K797)),1,0),0)</f>
        <v>0</v>
      </c>
      <c r="Z797" s="53" t="n">
        <f aca="false">IF(U797&gt;=Settings!$C$8,1,0)</f>
        <v>0</v>
      </c>
      <c r="AA797" s="53" t="n">
        <f aca="false">IF(S797=1,IF(J797="Listed / Publicado",0,1),0)</f>
        <v>0</v>
      </c>
      <c r="AB797" s="53" t="n">
        <f aca="false">IF(T797=1,IF(ISNUMBER(L797),L797-G797,0),0)</f>
        <v>0</v>
      </c>
      <c r="AC797" s="53" t="n">
        <f aca="false">IF(S797=1,IF(ISNUMBER(I797),I797-G797,0),0)</f>
        <v>0</v>
      </c>
    </row>
    <row r="798" customFormat="false" ht="15" hidden="false" customHeight="false" outlineLevel="0" collapsed="false">
      <c r="B798" s="54"/>
      <c r="C798" s="55"/>
      <c r="D798" s="55"/>
      <c r="E798" s="55"/>
      <c r="F798" s="56"/>
      <c r="G798" s="57"/>
      <c r="H798" s="55"/>
      <c r="I798" s="57"/>
      <c r="J798" s="54"/>
      <c r="K798" s="56"/>
      <c r="L798" s="57"/>
      <c r="M798" s="54"/>
      <c r="N798" s="58" t="str">
        <f aca="false">IF(S798=1,IF(U798&lt;0,"",U798),IF(Y798=1,X798,""))</f>
        <v/>
      </c>
      <c r="O798" s="59" t="str">
        <f aca="false">IF(S798=1,IF(ISNUMBER(I798),I798-G798,""),"")</f>
        <v/>
      </c>
      <c r="P798" s="59" t="str">
        <f aca="false">IF(T798=1,IF(ISNUMBER(L798),L798-G798,""),"")</f>
        <v/>
      </c>
      <c r="Q798" s="60" t="str">
        <f aca="false">IF(C798="","",IF(T798=1,"✔ SOLD / VENDIDO",IF(S798=0,"— CLOSED / CERRADO",IF(U798&lt;0,"⚠ ADD DATE / AGREGA FECHA",IF(U798&gt;=Settings!$C$8,"⚠ STALE – REPRICE / ESTANCADO",IF(U798&gt;=Settings!$C$7,"● WATCH / VIGILAR","✔ FRESH / RECIENTE"))))))</f>
        <v/>
      </c>
      <c r="S798" s="53" t="n">
        <f aca="false">IF(C798="",0,IF(OR(J798="",J798="In Stock / En Inventario",J798="Listed / Publicado"),1,0))</f>
        <v>0</v>
      </c>
      <c r="T798" s="53" t="n">
        <f aca="false">IF(C798="",0,IF(J798="Sold / Vendido",1,0))</f>
        <v>0</v>
      </c>
      <c r="U798" s="53" t="n">
        <f aca="true">IF(S798=1,IF(ISNUMBER(F798),TODAY()-F798,-1),-1)</f>
        <v>-1</v>
      </c>
      <c r="V798" s="53" t="n">
        <f aca="false">IF(U798&lt;0,IF(S798=1,5,0),IF(U798&lt;=30,1,IF(U798&lt;=60,2,IF(U798&lt;=90,3,4))))</f>
        <v>0</v>
      </c>
      <c r="W798" s="53" t="n">
        <f aca="false">IF(U798&lt;0,-1000000000000000,U798+ROW()/1000000)</f>
        <v>-1000000000000000</v>
      </c>
      <c r="X798" s="53" t="n">
        <f aca="false">IF(T798=1,IF(AND(ISNUMBER(F798),ISNUMBER(K798)),K798-F798,0),0)</f>
        <v>0</v>
      </c>
      <c r="Y798" s="53" t="n">
        <f aca="false">IF(T798=1,IF(AND(ISNUMBER(F798),ISNUMBER(K798)),1,0),0)</f>
        <v>0</v>
      </c>
      <c r="Z798" s="53" t="n">
        <f aca="false">IF(U798&gt;=Settings!$C$8,1,0)</f>
        <v>0</v>
      </c>
      <c r="AA798" s="53" t="n">
        <f aca="false">IF(S798=1,IF(J798="Listed / Publicado",0,1),0)</f>
        <v>0</v>
      </c>
      <c r="AB798" s="53" t="n">
        <f aca="false">IF(T798=1,IF(ISNUMBER(L798),L798-G798,0),0)</f>
        <v>0</v>
      </c>
      <c r="AC798" s="53" t="n">
        <f aca="false">IF(S798=1,IF(ISNUMBER(I798),I798-G798,0),0)</f>
        <v>0</v>
      </c>
    </row>
    <row r="799" customFormat="false" ht="15" hidden="false" customHeight="false" outlineLevel="0" collapsed="false">
      <c r="B799" s="54"/>
      <c r="C799" s="55"/>
      <c r="D799" s="55"/>
      <c r="E799" s="55"/>
      <c r="F799" s="56"/>
      <c r="G799" s="57"/>
      <c r="H799" s="55"/>
      <c r="I799" s="57"/>
      <c r="J799" s="54"/>
      <c r="K799" s="56"/>
      <c r="L799" s="57"/>
      <c r="M799" s="54"/>
      <c r="N799" s="58" t="str">
        <f aca="false">IF(S799=1,IF(U799&lt;0,"",U799),IF(Y799=1,X799,""))</f>
        <v/>
      </c>
      <c r="O799" s="59" t="str">
        <f aca="false">IF(S799=1,IF(ISNUMBER(I799),I799-G799,""),"")</f>
        <v/>
      </c>
      <c r="P799" s="59" t="str">
        <f aca="false">IF(T799=1,IF(ISNUMBER(L799),L799-G799,""),"")</f>
        <v/>
      </c>
      <c r="Q799" s="60" t="str">
        <f aca="false">IF(C799="","",IF(T799=1,"✔ SOLD / VENDIDO",IF(S799=0,"— CLOSED / CERRADO",IF(U799&lt;0,"⚠ ADD DATE / AGREGA FECHA",IF(U799&gt;=Settings!$C$8,"⚠ STALE – REPRICE / ESTANCADO",IF(U799&gt;=Settings!$C$7,"● WATCH / VIGILAR","✔ FRESH / RECIENTE"))))))</f>
        <v/>
      </c>
      <c r="S799" s="53" t="n">
        <f aca="false">IF(C799="",0,IF(OR(J799="",J799="In Stock / En Inventario",J799="Listed / Publicado"),1,0))</f>
        <v>0</v>
      </c>
      <c r="T799" s="53" t="n">
        <f aca="false">IF(C799="",0,IF(J799="Sold / Vendido",1,0))</f>
        <v>0</v>
      </c>
      <c r="U799" s="53" t="n">
        <f aca="true">IF(S799=1,IF(ISNUMBER(F799),TODAY()-F799,-1),-1)</f>
        <v>-1</v>
      </c>
      <c r="V799" s="53" t="n">
        <f aca="false">IF(U799&lt;0,IF(S799=1,5,0),IF(U799&lt;=30,1,IF(U799&lt;=60,2,IF(U799&lt;=90,3,4))))</f>
        <v>0</v>
      </c>
      <c r="W799" s="53" t="n">
        <f aca="false">IF(U799&lt;0,-1000000000000000,U799+ROW()/1000000)</f>
        <v>-1000000000000000</v>
      </c>
      <c r="X799" s="53" t="n">
        <f aca="false">IF(T799=1,IF(AND(ISNUMBER(F799),ISNUMBER(K799)),K799-F799,0),0)</f>
        <v>0</v>
      </c>
      <c r="Y799" s="53" t="n">
        <f aca="false">IF(T799=1,IF(AND(ISNUMBER(F799),ISNUMBER(K799)),1,0),0)</f>
        <v>0</v>
      </c>
      <c r="Z799" s="53" t="n">
        <f aca="false">IF(U799&gt;=Settings!$C$8,1,0)</f>
        <v>0</v>
      </c>
      <c r="AA799" s="53" t="n">
        <f aca="false">IF(S799=1,IF(J799="Listed / Publicado",0,1),0)</f>
        <v>0</v>
      </c>
      <c r="AB799" s="53" t="n">
        <f aca="false">IF(T799=1,IF(ISNUMBER(L799),L799-G799,0),0)</f>
        <v>0</v>
      </c>
      <c r="AC799" s="53" t="n">
        <f aca="false">IF(S799=1,IF(ISNUMBER(I799),I799-G799,0),0)</f>
        <v>0</v>
      </c>
    </row>
    <row r="800" customFormat="false" ht="15" hidden="false" customHeight="false" outlineLevel="0" collapsed="false">
      <c r="B800" s="54"/>
      <c r="C800" s="55"/>
      <c r="D800" s="55"/>
      <c r="E800" s="55"/>
      <c r="F800" s="56"/>
      <c r="G800" s="57"/>
      <c r="H800" s="55"/>
      <c r="I800" s="57"/>
      <c r="J800" s="54"/>
      <c r="K800" s="56"/>
      <c r="L800" s="57"/>
      <c r="M800" s="54"/>
      <c r="N800" s="58" t="str">
        <f aca="false">IF(S800=1,IF(U800&lt;0,"",U800),IF(Y800=1,X800,""))</f>
        <v/>
      </c>
      <c r="O800" s="59" t="str">
        <f aca="false">IF(S800=1,IF(ISNUMBER(I800),I800-G800,""),"")</f>
        <v/>
      </c>
      <c r="P800" s="59" t="str">
        <f aca="false">IF(T800=1,IF(ISNUMBER(L800),L800-G800,""),"")</f>
        <v/>
      </c>
      <c r="Q800" s="60" t="str">
        <f aca="false">IF(C800="","",IF(T800=1,"✔ SOLD / VENDIDO",IF(S800=0,"— CLOSED / CERRADO",IF(U800&lt;0,"⚠ ADD DATE / AGREGA FECHA",IF(U800&gt;=Settings!$C$8,"⚠ STALE – REPRICE / ESTANCADO",IF(U800&gt;=Settings!$C$7,"● WATCH / VIGILAR","✔ FRESH / RECIENTE"))))))</f>
        <v/>
      </c>
      <c r="S800" s="53" t="n">
        <f aca="false">IF(C800="",0,IF(OR(J800="",J800="In Stock / En Inventario",J800="Listed / Publicado"),1,0))</f>
        <v>0</v>
      </c>
      <c r="T800" s="53" t="n">
        <f aca="false">IF(C800="",0,IF(J800="Sold / Vendido",1,0))</f>
        <v>0</v>
      </c>
      <c r="U800" s="53" t="n">
        <f aca="true">IF(S800=1,IF(ISNUMBER(F800),TODAY()-F800,-1),-1)</f>
        <v>-1</v>
      </c>
      <c r="V800" s="53" t="n">
        <f aca="false">IF(U800&lt;0,IF(S800=1,5,0),IF(U800&lt;=30,1,IF(U800&lt;=60,2,IF(U800&lt;=90,3,4))))</f>
        <v>0</v>
      </c>
      <c r="W800" s="53" t="n">
        <f aca="false">IF(U800&lt;0,-1000000000000000,U800+ROW()/1000000)</f>
        <v>-1000000000000000</v>
      </c>
      <c r="X800" s="53" t="n">
        <f aca="false">IF(T800=1,IF(AND(ISNUMBER(F800),ISNUMBER(K800)),K800-F800,0),0)</f>
        <v>0</v>
      </c>
      <c r="Y800" s="53" t="n">
        <f aca="false">IF(T800=1,IF(AND(ISNUMBER(F800),ISNUMBER(K800)),1,0),0)</f>
        <v>0</v>
      </c>
      <c r="Z800" s="53" t="n">
        <f aca="false">IF(U800&gt;=Settings!$C$8,1,0)</f>
        <v>0</v>
      </c>
      <c r="AA800" s="53" t="n">
        <f aca="false">IF(S800=1,IF(J800="Listed / Publicado",0,1),0)</f>
        <v>0</v>
      </c>
      <c r="AB800" s="53" t="n">
        <f aca="false">IF(T800=1,IF(ISNUMBER(L800),L800-G800,0),0)</f>
        <v>0</v>
      </c>
      <c r="AC800" s="53" t="n">
        <f aca="false">IF(S800=1,IF(ISNUMBER(I800),I800-G800,0),0)</f>
        <v>0</v>
      </c>
    </row>
    <row r="801" customFormat="false" ht="15" hidden="false" customHeight="false" outlineLevel="0" collapsed="false">
      <c r="B801" s="54"/>
      <c r="C801" s="55"/>
      <c r="D801" s="55"/>
      <c r="E801" s="55"/>
      <c r="F801" s="56"/>
      <c r="G801" s="57"/>
      <c r="H801" s="55"/>
      <c r="I801" s="57"/>
      <c r="J801" s="54"/>
      <c r="K801" s="56"/>
      <c r="L801" s="57"/>
      <c r="M801" s="54"/>
      <c r="N801" s="58" t="str">
        <f aca="false">IF(S801=1,IF(U801&lt;0,"",U801),IF(Y801=1,X801,""))</f>
        <v/>
      </c>
      <c r="O801" s="59" t="str">
        <f aca="false">IF(S801=1,IF(ISNUMBER(I801),I801-G801,""),"")</f>
        <v/>
      </c>
      <c r="P801" s="59" t="str">
        <f aca="false">IF(T801=1,IF(ISNUMBER(L801),L801-G801,""),"")</f>
        <v/>
      </c>
      <c r="Q801" s="60" t="str">
        <f aca="false">IF(C801="","",IF(T801=1,"✔ SOLD / VENDIDO",IF(S801=0,"— CLOSED / CERRADO",IF(U801&lt;0,"⚠ ADD DATE / AGREGA FECHA",IF(U801&gt;=Settings!$C$8,"⚠ STALE – REPRICE / ESTANCADO",IF(U801&gt;=Settings!$C$7,"● WATCH / VIGILAR","✔ FRESH / RECIENTE"))))))</f>
        <v/>
      </c>
      <c r="S801" s="53" t="n">
        <f aca="false">IF(C801="",0,IF(OR(J801="",J801="In Stock / En Inventario",J801="Listed / Publicado"),1,0))</f>
        <v>0</v>
      </c>
      <c r="T801" s="53" t="n">
        <f aca="false">IF(C801="",0,IF(J801="Sold / Vendido",1,0))</f>
        <v>0</v>
      </c>
      <c r="U801" s="53" t="n">
        <f aca="true">IF(S801=1,IF(ISNUMBER(F801),TODAY()-F801,-1),-1)</f>
        <v>-1</v>
      </c>
      <c r="V801" s="53" t="n">
        <f aca="false">IF(U801&lt;0,IF(S801=1,5,0),IF(U801&lt;=30,1,IF(U801&lt;=60,2,IF(U801&lt;=90,3,4))))</f>
        <v>0</v>
      </c>
      <c r="W801" s="53" t="n">
        <f aca="false">IF(U801&lt;0,-1000000000000000,U801+ROW()/1000000)</f>
        <v>-1000000000000000</v>
      </c>
      <c r="X801" s="53" t="n">
        <f aca="false">IF(T801=1,IF(AND(ISNUMBER(F801),ISNUMBER(K801)),K801-F801,0),0)</f>
        <v>0</v>
      </c>
      <c r="Y801" s="53" t="n">
        <f aca="false">IF(T801=1,IF(AND(ISNUMBER(F801),ISNUMBER(K801)),1,0),0)</f>
        <v>0</v>
      </c>
      <c r="Z801" s="53" t="n">
        <f aca="false">IF(U801&gt;=Settings!$C$8,1,0)</f>
        <v>0</v>
      </c>
      <c r="AA801" s="53" t="n">
        <f aca="false">IF(S801=1,IF(J801="Listed / Publicado",0,1),0)</f>
        <v>0</v>
      </c>
      <c r="AB801" s="53" t="n">
        <f aca="false">IF(T801=1,IF(ISNUMBER(L801),L801-G801,0),0)</f>
        <v>0</v>
      </c>
      <c r="AC801" s="53" t="n">
        <f aca="false">IF(S801=1,IF(ISNUMBER(I801),I801-G801,0),0)</f>
        <v>0</v>
      </c>
    </row>
    <row r="802" customFormat="false" ht="15" hidden="false" customHeight="false" outlineLevel="0" collapsed="false">
      <c r="B802" s="54"/>
      <c r="C802" s="55"/>
      <c r="D802" s="55"/>
      <c r="E802" s="55"/>
      <c r="F802" s="56"/>
      <c r="G802" s="57"/>
      <c r="H802" s="55"/>
      <c r="I802" s="57"/>
      <c r="J802" s="54"/>
      <c r="K802" s="56"/>
      <c r="L802" s="57"/>
      <c r="M802" s="54"/>
      <c r="N802" s="58" t="str">
        <f aca="false">IF(S802=1,IF(U802&lt;0,"",U802),IF(Y802=1,X802,""))</f>
        <v/>
      </c>
      <c r="O802" s="59" t="str">
        <f aca="false">IF(S802=1,IF(ISNUMBER(I802),I802-G802,""),"")</f>
        <v/>
      </c>
      <c r="P802" s="59" t="str">
        <f aca="false">IF(T802=1,IF(ISNUMBER(L802),L802-G802,""),"")</f>
        <v/>
      </c>
      <c r="Q802" s="60" t="str">
        <f aca="false">IF(C802="","",IF(T802=1,"✔ SOLD / VENDIDO",IF(S802=0,"— CLOSED / CERRADO",IF(U802&lt;0,"⚠ ADD DATE / AGREGA FECHA",IF(U802&gt;=Settings!$C$8,"⚠ STALE – REPRICE / ESTANCADO",IF(U802&gt;=Settings!$C$7,"● WATCH / VIGILAR","✔ FRESH / RECIENTE"))))))</f>
        <v/>
      </c>
      <c r="S802" s="53" t="n">
        <f aca="false">IF(C802="",0,IF(OR(J802="",J802="In Stock / En Inventario",J802="Listed / Publicado"),1,0))</f>
        <v>0</v>
      </c>
      <c r="T802" s="53" t="n">
        <f aca="false">IF(C802="",0,IF(J802="Sold / Vendido",1,0))</f>
        <v>0</v>
      </c>
      <c r="U802" s="53" t="n">
        <f aca="true">IF(S802=1,IF(ISNUMBER(F802),TODAY()-F802,-1),-1)</f>
        <v>-1</v>
      </c>
      <c r="V802" s="53" t="n">
        <f aca="false">IF(U802&lt;0,IF(S802=1,5,0),IF(U802&lt;=30,1,IF(U802&lt;=60,2,IF(U802&lt;=90,3,4))))</f>
        <v>0</v>
      </c>
      <c r="W802" s="53" t="n">
        <f aca="false">IF(U802&lt;0,-1000000000000000,U802+ROW()/1000000)</f>
        <v>-1000000000000000</v>
      </c>
      <c r="X802" s="53" t="n">
        <f aca="false">IF(T802=1,IF(AND(ISNUMBER(F802),ISNUMBER(K802)),K802-F802,0),0)</f>
        <v>0</v>
      </c>
      <c r="Y802" s="53" t="n">
        <f aca="false">IF(T802=1,IF(AND(ISNUMBER(F802),ISNUMBER(K802)),1,0),0)</f>
        <v>0</v>
      </c>
      <c r="Z802" s="53" t="n">
        <f aca="false">IF(U802&gt;=Settings!$C$8,1,0)</f>
        <v>0</v>
      </c>
      <c r="AA802" s="53" t="n">
        <f aca="false">IF(S802=1,IF(J802="Listed / Publicado",0,1),0)</f>
        <v>0</v>
      </c>
      <c r="AB802" s="53" t="n">
        <f aca="false">IF(T802=1,IF(ISNUMBER(L802),L802-G802,0),0)</f>
        <v>0</v>
      </c>
      <c r="AC802" s="53" t="n">
        <f aca="false">IF(S802=1,IF(ISNUMBER(I802),I802-G802,0),0)</f>
        <v>0</v>
      </c>
    </row>
    <row r="803" customFormat="false" ht="15" hidden="false" customHeight="false" outlineLevel="0" collapsed="false">
      <c r="B803" s="54"/>
      <c r="C803" s="55"/>
      <c r="D803" s="55"/>
      <c r="E803" s="55"/>
      <c r="F803" s="56"/>
      <c r="G803" s="57"/>
      <c r="H803" s="55"/>
      <c r="I803" s="57"/>
      <c r="J803" s="54"/>
      <c r="K803" s="56"/>
      <c r="L803" s="57"/>
      <c r="M803" s="54"/>
      <c r="N803" s="58" t="str">
        <f aca="false">IF(S803=1,IF(U803&lt;0,"",U803),IF(Y803=1,X803,""))</f>
        <v/>
      </c>
      <c r="O803" s="59" t="str">
        <f aca="false">IF(S803=1,IF(ISNUMBER(I803),I803-G803,""),"")</f>
        <v/>
      </c>
      <c r="P803" s="59" t="str">
        <f aca="false">IF(T803=1,IF(ISNUMBER(L803),L803-G803,""),"")</f>
        <v/>
      </c>
      <c r="Q803" s="60" t="str">
        <f aca="false">IF(C803="","",IF(T803=1,"✔ SOLD / VENDIDO",IF(S803=0,"— CLOSED / CERRADO",IF(U803&lt;0,"⚠ ADD DATE / AGREGA FECHA",IF(U803&gt;=Settings!$C$8,"⚠ STALE – REPRICE / ESTANCADO",IF(U803&gt;=Settings!$C$7,"● WATCH / VIGILAR","✔ FRESH / RECIENTE"))))))</f>
        <v/>
      </c>
      <c r="S803" s="53" t="n">
        <f aca="false">IF(C803="",0,IF(OR(J803="",J803="In Stock / En Inventario",J803="Listed / Publicado"),1,0))</f>
        <v>0</v>
      </c>
      <c r="T803" s="53" t="n">
        <f aca="false">IF(C803="",0,IF(J803="Sold / Vendido",1,0))</f>
        <v>0</v>
      </c>
      <c r="U803" s="53" t="n">
        <f aca="true">IF(S803=1,IF(ISNUMBER(F803),TODAY()-F803,-1),-1)</f>
        <v>-1</v>
      </c>
      <c r="V803" s="53" t="n">
        <f aca="false">IF(U803&lt;0,IF(S803=1,5,0),IF(U803&lt;=30,1,IF(U803&lt;=60,2,IF(U803&lt;=90,3,4))))</f>
        <v>0</v>
      </c>
      <c r="W803" s="53" t="n">
        <f aca="false">IF(U803&lt;0,-1000000000000000,U803+ROW()/1000000)</f>
        <v>-1000000000000000</v>
      </c>
      <c r="X803" s="53" t="n">
        <f aca="false">IF(T803=1,IF(AND(ISNUMBER(F803),ISNUMBER(K803)),K803-F803,0),0)</f>
        <v>0</v>
      </c>
      <c r="Y803" s="53" t="n">
        <f aca="false">IF(T803=1,IF(AND(ISNUMBER(F803),ISNUMBER(K803)),1,0),0)</f>
        <v>0</v>
      </c>
      <c r="Z803" s="53" t="n">
        <f aca="false">IF(U803&gt;=Settings!$C$8,1,0)</f>
        <v>0</v>
      </c>
      <c r="AA803" s="53" t="n">
        <f aca="false">IF(S803=1,IF(J803="Listed / Publicado",0,1),0)</f>
        <v>0</v>
      </c>
      <c r="AB803" s="53" t="n">
        <f aca="false">IF(T803=1,IF(ISNUMBER(L803),L803-G803,0),0)</f>
        <v>0</v>
      </c>
      <c r="AC803" s="53" t="n">
        <f aca="false">IF(S803=1,IF(ISNUMBER(I803),I803-G803,0),0)</f>
        <v>0</v>
      </c>
    </row>
    <row r="804" customFormat="false" ht="15" hidden="false" customHeight="false" outlineLevel="0" collapsed="false">
      <c r="B804" s="54"/>
      <c r="C804" s="55"/>
      <c r="D804" s="55"/>
      <c r="E804" s="55"/>
      <c r="F804" s="56"/>
      <c r="G804" s="57"/>
      <c r="H804" s="55"/>
      <c r="I804" s="57"/>
      <c r="J804" s="54"/>
      <c r="K804" s="56"/>
      <c r="L804" s="57"/>
      <c r="M804" s="54"/>
      <c r="N804" s="58" t="str">
        <f aca="false">IF(S804=1,IF(U804&lt;0,"",U804),IF(Y804=1,X804,""))</f>
        <v/>
      </c>
      <c r="O804" s="59" t="str">
        <f aca="false">IF(S804=1,IF(ISNUMBER(I804),I804-G804,""),"")</f>
        <v/>
      </c>
      <c r="P804" s="59" t="str">
        <f aca="false">IF(T804=1,IF(ISNUMBER(L804),L804-G804,""),"")</f>
        <v/>
      </c>
      <c r="Q804" s="60" t="str">
        <f aca="false">IF(C804="","",IF(T804=1,"✔ SOLD / VENDIDO",IF(S804=0,"— CLOSED / CERRADO",IF(U804&lt;0,"⚠ ADD DATE / AGREGA FECHA",IF(U804&gt;=Settings!$C$8,"⚠ STALE – REPRICE / ESTANCADO",IF(U804&gt;=Settings!$C$7,"● WATCH / VIGILAR","✔ FRESH / RECIENTE"))))))</f>
        <v/>
      </c>
      <c r="S804" s="53" t="n">
        <f aca="false">IF(C804="",0,IF(OR(J804="",J804="In Stock / En Inventario",J804="Listed / Publicado"),1,0))</f>
        <v>0</v>
      </c>
      <c r="T804" s="53" t="n">
        <f aca="false">IF(C804="",0,IF(J804="Sold / Vendido",1,0))</f>
        <v>0</v>
      </c>
      <c r="U804" s="53" t="n">
        <f aca="true">IF(S804=1,IF(ISNUMBER(F804),TODAY()-F804,-1),-1)</f>
        <v>-1</v>
      </c>
      <c r="V804" s="53" t="n">
        <f aca="false">IF(U804&lt;0,IF(S804=1,5,0),IF(U804&lt;=30,1,IF(U804&lt;=60,2,IF(U804&lt;=90,3,4))))</f>
        <v>0</v>
      </c>
      <c r="W804" s="53" t="n">
        <f aca="false">IF(U804&lt;0,-1000000000000000,U804+ROW()/1000000)</f>
        <v>-1000000000000000</v>
      </c>
      <c r="X804" s="53" t="n">
        <f aca="false">IF(T804=1,IF(AND(ISNUMBER(F804),ISNUMBER(K804)),K804-F804,0),0)</f>
        <v>0</v>
      </c>
      <c r="Y804" s="53" t="n">
        <f aca="false">IF(T804=1,IF(AND(ISNUMBER(F804),ISNUMBER(K804)),1,0),0)</f>
        <v>0</v>
      </c>
      <c r="Z804" s="53" t="n">
        <f aca="false">IF(U804&gt;=Settings!$C$8,1,0)</f>
        <v>0</v>
      </c>
      <c r="AA804" s="53" t="n">
        <f aca="false">IF(S804=1,IF(J804="Listed / Publicado",0,1),0)</f>
        <v>0</v>
      </c>
      <c r="AB804" s="53" t="n">
        <f aca="false">IF(T804=1,IF(ISNUMBER(L804),L804-G804,0),0)</f>
        <v>0</v>
      </c>
      <c r="AC804" s="53" t="n">
        <f aca="false">IF(S804=1,IF(ISNUMBER(I804),I804-G804,0),0)</f>
        <v>0</v>
      </c>
    </row>
    <row r="805" customFormat="false" ht="15" hidden="false" customHeight="false" outlineLevel="0" collapsed="false">
      <c r="B805" s="54"/>
      <c r="C805" s="55"/>
      <c r="D805" s="55"/>
      <c r="E805" s="55"/>
      <c r="F805" s="56"/>
      <c r="G805" s="57"/>
      <c r="H805" s="55"/>
      <c r="I805" s="57"/>
      <c r="J805" s="54"/>
      <c r="K805" s="56"/>
      <c r="L805" s="57"/>
      <c r="M805" s="54"/>
      <c r="N805" s="58" t="str">
        <f aca="false">IF(S805=1,IF(U805&lt;0,"",U805),IF(Y805=1,X805,""))</f>
        <v/>
      </c>
      <c r="O805" s="59" t="str">
        <f aca="false">IF(S805=1,IF(ISNUMBER(I805),I805-G805,""),"")</f>
        <v/>
      </c>
      <c r="P805" s="59" t="str">
        <f aca="false">IF(T805=1,IF(ISNUMBER(L805),L805-G805,""),"")</f>
        <v/>
      </c>
      <c r="Q805" s="60" t="str">
        <f aca="false">IF(C805="","",IF(T805=1,"✔ SOLD / VENDIDO",IF(S805=0,"— CLOSED / CERRADO",IF(U805&lt;0,"⚠ ADD DATE / AGREGA FECHA",IF(U805&gt;=Settings!$C$8,"⚠ STALE – REPRICE / ESTANCADO",IF(U805&gt;=Settings!$C$7,"● WATCH / VIGILAR","✔ FRESH / RECIENTE"))))))</f>
        <v/>
      </c>
      <c r="S805" s="53" t="n">
        <f aca="false">IF(C805="",0,IF(OR(J805="",J805="In Stock / En Inventario",J805="Listed / Publicado"),1,0))</f>
        <v>0</v>
      </c>
      <c r="T805" s="53" t="n">
        <f aca="false">IF(C805="",0,IF(J805="Sold / Vendido",1,0))</f>
        <v>0</v>
      </c>
      <c r="U805" s="53" t="n">
        <f aca="true">IF(S805=1,IF(ISNUMBER(F805),TODAY()-F805,-1),-1)</f>
        <v>-1</v>
      </c>
      <c r="V805" s="53" t="n">
        <f aca="false">IF(U805&lt;0,IF(S805=1,5,0),IF(U805&lt;=30,1,IF(U805&lt;=60,2,IF(U805&lt;=90,3,4))))</f>
        <v>0</v>
      </c>
      <c r="W805" s="53" t="n">
        <f aca="false">IF(U805&lt;0,-1000000000000000,U805+ROW()/1000000)</f>
        <v>-1000000000000000</v>
      </c>
      <c r="X805" s="53" t="n">
        <f aca="false">IF(T805=1,IF(AND(ISNUMBER(F805),ISNUMBER(K805)),K805-F805,0),0)</f>
        <v>0</v>
      </c>
      <c r="Y805" s="53" t="n">
        <f aca="false">IF(T805=1,IF(AND(ISNUMBER(F805),ISNUMBER(K805)),1,0),0)</f>
        <v>0</v>
      </c>
      <c r="Z805" s="53" t="n">
        <f aca="false">IF(U805&gt;=Settings!$C$8,1,0)</f>
        <v>0</v>
      </c>
      <c r="AA805" s="53" t="n">
        <f aca="false">IF(S805=1,IF(J805="Listed / Publicado",0,1),0)</f>
        <v>0</v>
      </c>
      <c r="AB805" s="53" t="n">
        <f aca="false">IF(T805=1,IF(ISNUMBER(L805),L805-G805,0),0)</f>
        <v>0</v>
      </c>
      <c r="AC805" s="53" t="n">
        <f aca="false">IF(S805=1,IF(ISNUMBER(I805),I805-G805,0),0)</f>
        <v>0</v>
      </c>
    </row>
    <row r="806" customFormat="false" ht="15" hidden="false" customHeight="false" outlineLevel="0" collapsed="false">
      <c r="B806" s="54"/>
      <c r="C806" s="55"/>
      <c r="D806" s="55"/>
      <c r="E806" s="55"/>
      <c r="F806" s="56"/>
      <c r="G806" s="57"/>
      <c r="H806" s="55"/>
      <c r="I806" s="57"/>
      <c r="J806" s="54"/>
      <c r="K806" s="56"/>
      <c r="L806" s="57"/>
      <c r="M806" s="54"/>
      <c r="N806" s="58" t="str">
        <f aca="false">IF(S806=1,IF(U806&lt;0,"",U806),IF(Y806=1,X806,""))</f>
        <v/>
      </c>
      <c r="O806" s="59" t="str">
        <f aca="false">IF(S806=1,IF(ISNUMBER(I806),I806-G806,""),"")</f>
        <v/>
      </c>
      <c r="P806" s="59" t="str">
        <f aca="false">IF(T806=1,IF(ISNUMBER(L806),L806-G806,""),"")</f>
        <v/>
      </c>
      <c r="Q806" s="60" t="str">
        <f aca="false">IF(C806="","",IF(T806=1,"✔ SOLD / VENDIDO",IF(S806=0,"— CLOSED / CERRADO",IF(U806&lt;0,"⚠ ADD DATE / AGREGA FECHA",IF(U806&gt;=Settings!$C$8,"⚠ STALE – REPRICE / ESTANCADO",IF(U806&gt;=Settings!$C$7,"● WATCH / VIGILAR","✔ FRESH / RECIENTE"))))))</f>
        <v/>
      </c>
      <c r="S806" s="53" t="n">
        <f aca="false">IF(C806="",0,IF(OR(J806="",J806="In Stock / En Inventario",J806="Listed / Publicado"),1,0))</f>
        <v>0</v>
      </c>
      <c r="T806" s="53" t="n">
        <f aca="false">IF(C806="",0,IF(J806="Sold / Vendido",1,0))</f>
        <v>0</v>
      </c>
      <c r="U806" s="53" t="n">
        <f aca="true">IF(S806=1,IF(ISNUMBER(F806),TODAY()-F806,-1),-1)</f>
        <v>-1</v>
      </c>
      <c r="V806" s="53" t="n">
        <f aca="false">IF(U806&lt;0,IF(S806=1,5,0),IF(U806&lt;=30,1,IF(U806&lt;=60,2,IF(U806&lt;=90,3,4))))</f>
        <v>0</v>
      </c>
      <c r="W806" s="53" t="n">
        <f aca="false">IF(U806&lt;0,-1000000000000000,U806+ROW()/1000000)</f>
        <v>-1000000000000000</v>
      </c>
      <c r="X806" s="53" t="n">
        <f aca="false">IF(T806=1,IF(AND(ISNUMBER(F806),ISNUMBER(K806)),K806-F806,0),0)</f>
        <v>0</v>
      </c>
      <c r="Y806" s="53" t="n">
        <f aca="false">IF(T806=1,IF(AND(ISNUMBER(F806),ISNUMBER(K806)),1,0),0)</f>
        <v>0</v>
      </c>
      <c r="Z806" s="53" t="n">
        <f aca="false">IF(U806&gt;=Settings!$C$8,1,0)</f>
        <v>0</v>
      </c>
      <c r="AA806" s="53" t="n">
        <f aca="false">IF(S806=1,IF(J806="Listed / Publicado",0,1),0)</f>
        <v>0</v>
      </c>
      <c r="AB806" s="53" t="n">
        <f aca="false">IF(T806=1,IF(ISNUMBER(L806),L806-G806,0),0)</f>
        <v>0</v>
      </c>
      <c r="AC806" s="53" t="n">
        <f aca="false">IF(S806=1,IF(ISNUMBER(I806),I806-G806,0),0)</f>
        <v>0</v>
      </c>
    </row>
    <row r="807" customFormat="false" ht="15" hidden="false" customHeight="false" outlineLevel="0" collapsed="false">
      <c r="B807" s="54"/>
      <c r="C807" s="55"/>
      <c r="D807" s="55"/>
      <c r="E807" s="55"/>
      <c r="F807" s="56"/>
      <c r="G807" s="57"/>
      <c r="H807" s="55"/>
      <c r="I807" s="57"/>
      <c r="J807" s="54"/>
      <c r="K807" s="56"/>
      <c r="L807" s="57"/>
      <c r="M807" s="54"/>
      <c r="N807" s="58" t="str">
        <f aca="false">IF(S807=1,IF(U807&lt;0,"",U807),IF(Y807=1,X807,""))</f>
        <v/>
      </c>
      <c r="O807" s="59" t="str">
        <f aca="false">IF(S807=1,IF(ISNUMBER(I807),I807-G807,""),"")</f>
        <v/>
      </c>
      <c r="P807" s="59" t="str">
        <f aca="false">IF(T807=1,IF(ISNUMBER(L807),L807-G807,""),"")</f>
        <v/>
      </c>
      <c r="Q807" s="60" t="str">
        <f aca="false">IF(C807="","",IF(T807=1,"✔ SOLD / VENDIDO",IF(S807=0,"— CLOSED / CERRADO",IF(U807&lt;0,"⚠ ADD DATE / AGREGA FECHA",IF(U807&gt;=Settings!$C$8,"⚠ STALE – REPRICE / ESTANCADO",IF(U807&gt;=Settings!$C$7,"● WATCH / VIGILAR","✔ FRESH / RECIENTE"))))))</f>
        <v/>
      </c>
      <c r="S807" s="53" t="n">
        <f aca="false">IF(C807="",0,IF(OR(J807="",J807="In Stock / En Inventario",J807="Listed / Publicado"),1,0))</f>
        <v>0</v>
      </c>
      <c r="T807" s="53" t="n">
        <f aca="false">IF(C807="",0,IF(J807="Sold / Vendido",1,0))</f>
        <v>0</v>
      </c>
      <c r="U807" s="53" t="n">
        <f aca="true">IF(S807=1,IF(ISNUMBER(F807),TODAY()-F807,-1),-1)</f>
        <v>-1</v>
      </c>
      <c r="V807" s="53" t="n">
        <f aca="false">IF(U807&lt;0,IF(S807=1,5,0),IF(U807&lt;=30,1,IF(U807&lt;=60,2,IF(U807&lt;=90,3,4))))</f>
        <v>0</v>
      </c>
      <c r="W807" s="53" t="n">
        <f aca="false">IF(U807&lt;0,-1000000000000000,U807+ROW()/1000000)</f>
        <v>-1000000000000000</v>
      </c>
      <c r="X807" s="53" t="n">
        <f aca="false">IF(T807=1,IF(AND(ISNUMBER(F807),ISNUMBER(K807)),K807-F807,0),0)</f>
        <v>0</v>
      </c>
      <c r="Y807" s="53" t="n">
        <f aca="false">IF(T807=1,IF(AND(ISNUMBER(F807),ISNUMBER(K807)),1,0),0)</f>
        <v>0</v>
      </c>
      <c r="Z807" s="53" t="n">
        <f aca="false">IF(U807&gt;=Settings!$C$8,1,0)</f>
        <v>0</v>
      </c>
      <c r="AA807" s="53" t="n">
        <f aca="false">IF(S807=1,IF(J807="Listed / Publicado",0,1),0)</f>
        <v>0</v>
      </c>
      <c r="AB807" s="53" t="n">
        <f aca="false">IF(T807=1,IF(ISNUMBER(L807),L807-G807,0),0)</f>
        <v>0</v>
      </c>
      <c r="AC807" s="53" t="n">
        <f aca="false">IF(S807=1,IF(ISNUMBER(I807),I807-G807,0),0)</f>
        <v>0</v>
      </c>
    </row>
    <row r="808" customFormat="false" ht="15" hidden="false" customHeight="false" outlineLevel="0" collapsed="false">
      <c r="B808" s="54"/>
      <c r="C808" s="55"/>
      <c r="D808" s="55"/>
      <c r="E808" s="55"/>
      <c r="F808" s="56"/>
      <c r="G808" s="57"/>
      <c r="H808" s="55"/>
      <c r="I808" s="57"/>
      <c r="J808" s="54"/>
      <c r="K808" s="56"/>
      <c r="L808" s="57"/>
      <c r="M808" s="54"/>
      <c r="N808" s="58" t="str">
        <f aca="false">IF(S808=1,IF(U808&lt;0,"",U808),IF(Y808=1,X808,""))</f>
        <v/>
      </c>
      <c r="O808" s="59" t="str">
        <f aca="false">IF(S808=1,IF(ISNUMBER(I808),I808-G808,""),"")</f>
        <v/>
      </c>
      <c r="P808" s="59" t="str">
        <f aca="false">IF(T808=1,IF(ISNUMBER(L808),L808-G808,""),"")</f>
        <v/>
      </c>
      <c r="Q808" s="60" t="str">
        <f aca="false">IF(C808="","",IF(T808=1,"✔ SOLD / VENDIDO",IF(S808=0,"— CLOSED / CERRADO",IF(U808&lt;0,"⚠ ADD DATE / AGREGA FECHA",IF(U808&gt;=Settings!$C$8,"⚠ STALE – REPRICE / ESTANCADO",IF(U808&gt;=Settings!$C$7,"● WATCH / VIGILAR","✔ FRESH / RECIENTE"))))))</f>
        <v/>
      </c>
      <c r="S808" s="53" t="n">
        <f aca="false">IF(C808="",0,IF(OR(J808="",J808="In Stock / En Inventario",J808="Listed / Publicado"),1,0))</f>
        <v>0</v>
      </c>
      <c r="T808" s="53" t="n">
        <f aca="false">IF(C808="",0,IF(J808="Sold / Vendido",1,0))</f>
        <v>0</v>
      </c>
      <c r="U808" s="53" t="n">
        <f aca="true">IF(S808=1,IF(ISNUMBER(F808),TODAY()-F808,-1),-1)</f>
        <v>-1</v>
      </c>
      <c r="V808" s="53" t="n">
        <f aca="false">IF(U808&lt;0,IF(S808=1,5,0),IF(U808&lt;=30,1,IF(U808&lt;=60,2,IF(U808&lt;=90,3,4))))</f>
        <v>0</v>
      </c>
      <c r="W808" s="53" t="n">
        <f aca="false">IF(U808&lt;0,-1000000000000000,U808+ROW()/1000000)</f>
        <v>-1000000000000000</v>
      </c>
      <c r="X808" s="53" t="n">
        <f aca="false">IF(T808=1,IF(AND(ISNUMBER(F808),ISNUMBER(K808)),K808-F808,0),0)</f>
        <v>0</v>
      </c>
      <c r="Y808" s="53" t="n">
        <f aca="false">IF(T808=1,IF(AND(ISNUMBER(F808),ISNUMBER(K808)),1,0),0)</f>
        <v>0</v>
      </c>
      <c r="Z808" s="53" t="n">
        <f aca="false">IF(U808&gt;=Settings!$C$8,1,0)</f>
        <v>0</v>
      </c>
      <c r="AA808" s="53" t="n">
        <f aca="false">IF(S808=1,IF(J808="Listed / Publicado",0,1),0)</f>
        <v>0</v>
      </c>
      <c r="AB808" s="53" t="n">
        <f aca="false">IF(T808=1,IF(ISNUMBER(L808),L808-G808,0),0)</f>
        <v>0</v>
      </c>
      <c r="AC808" s="53" t="n">
        <f aca="false">IF(S808=1,IF(ISNUMBER(I808),I808-G808,0),0)</f>
        <v>0</v>
      </c>
    </row>
    <row r="809" customFormat="false" ht="15" hidden="false" customHeight="false" outlineLevel="0" collapsed="false">
      <c r="B809" s="54"/>
      <c r="C809" s="55"/>
      <c r="D809" s="55"/>
      <c r="E809" s="55"/>
      <c r="F809" s="56"/>
      <c r="G809" s="57"/>
      <c r="H809" s="55"/>
      <c r="I809" s="57"/>
      <c r="J809" s="54"/>
      <c r="K809" s="56"/>
      <c r="L809" s="57"/>
      <c r="M809" s="54"/>
      <c r="N809" s="58" t="str">
        <f aca="false">IF(S809=1,IF(U809&lt;0,"",U809),IF(Y809=1,X809,""))</f>
        <v/>
      </c>
      <c r="O809" s="59" t="str">
        <f aca="false">IF(S809=1,IF(ISNUMBER(I809),I809-G809,""),"")</f>
        <v/>
      </c>
      <c r="P809" s="59" t="str">
        <f aca="false">IF(T809=1,IF(ISNUMBER(L809),L809-G809,""),"")</f>
        <v/>
      </c>
      <c r="Q809" s="60" t="str">
        <f aca="false">IF(C809="","",IF(T809=1,"✔ SOLD / VENDIDO",IF(S809=0,"— CLOSED / CERRADO",IF(U809&lt;0,"⚠ ADD DATE / AGREGA FECHA",IF(U809&gt;=Settings!$C$8,"⚠ STALE – REPRICE / ESTANCADO",IF(U809&gt;=Settings!$C$7,"● WATCH / VIGILAR","✔ FRESH / RECIENTE"))))))</f>
        <v/>
      </c>
      <c r="S809" s="53" t="n">
        <f aca="false">IF(C809="",0,IF(OR(J809="",J809="In Stock / En Inventario",J809="Listed / Publicado"),1,0))</f>
        <v>0</v>
      </c>
      <c r="T809" s="53" t="n">
        <f aca="false">IF(C809="",0,IF(J809="Sold / Vendido",1,0))</f>
        <v>0</v>
      </c>
      <c r="U809" s="53" t="n">
        <f aca="true">IF(S809=1,IF(ISNUMBER(F809),TODAY()-F809,-1),-1)</f>
        <v>-1</v>
      </c>
      <c r="V809" s="53" t="n">
        <f aca="false">IF(U809&lt;0,IF(S809=1,5,0),IF(U809&lt;=30,1,IF(U809&lt;=60,2,IF(U809&lt;=90,3,4))))</f>
        <v>0</v>
      </c>
      <c r="W809" s="53" t="n">
        <f aca="false">IF(U809&lt;0,-1000000000000000,U809+ROW()/1000000)</f>
        <v>-1000000000000000</v>
      </c>
      <c r="X809" s="53" t="n">
        <f aca="false">IF(T809=1,IF(AND(ISNUMBER(F809),ISNUMBER(K809)),K809-F809,0),0)</f>
        <v>0</v>
      </c>
      <c r="Y809" s="53" t="n">
        <f aca="false">IF(T809=1,IF(AND(ISNUMBER(F809),ISNUMBER(K809)),1,0),0)</f>
        <v>0</v>
      </c>
      <c r="Z809" s="53" t="n">
        <f aca="false">IF(U809&gt;=Settings!$C$8,1,0)</f>
        <v>0</v>
      </c>
      <c r="AA809" s="53" t="n">
        <f aca="false">IF(S809=1,IF(J809="Listed / Publicado",0,1),0)</f>
        <v>0</v>
      </c>
      <c r="AB809" s="53" t="n">
        <f aca="false">IF(T809=1,IF(ISNUMBER(L809),L809-G809,0),0)</f>
        <v>0</v>
      </c>
      <c r="AC809" s="53" t="n">
        <f aca="false">IF(S809=1,IF(ISNUMBER(I809),I809-G809,0),0)</f>
        <v>0</v>
      </c>
    </row>
    <row r="810" customFormat="false" ht="15" hidden="false" customHeight="false" outlineLevel="0" collapsed="false">
      <c r="B810" s="54"/>
      <c r="C810" s="55"/>
      <c r="D810" s="55"/>
      <c r="E810" s="55"/>
      <c r="F810" s="56"/>
      <c r="G810" s="57"/>
      <c r="H810" s="55"/>
      <c r="I810" s="57"/>
      <c r="J810" s="54"/>
      <c r="K810" s="56"/>
      <c r="L810" s="57"/>
      <c r="M810" s="54"/>
      <c r="N810" s="58" t="str">
        <f aca="false">IF(S810=1,IF(U810&lt;0,"",U810),IF(Y810=1,X810,""))</f>
        <v/>
      </c>
      <c r="O810" s="59" t="str">
        <f aca="false">IF(S810=1,IF(ISNUMBER(I810),I810-G810,""),"")</f>
        <v/>
      </c>
      <c r="P810" s="59" t="str">
        <f aca="false">IF(T810=1,IF(ISNUMBER(L810),L810-G810,""),"")</f>
        <v/>
      </c>
      <c r="Q810" s="60" t="str">
        <f aca="false">IF(C810="","",IF(T810=1,"✔ SOLD / VENDIDO",IF(S810=0,"— CLOSED / CERRADO",IF(U810&lt;0,"⚠ ADD DATE / AGREGA FECHA",IF(U810&gt;=Settings!$C$8,"⚠ STALE – REPRICE / ESTANCADO",IF(U810&gt;=Settings!$C$7,"● WATCH / VIGILAR","✔ FRESH / RECIENTE"))))))</f>
        <v/>
      </c>
      <c r="S810" s="53" t="n">
        <f aca="false">IF(C810="",0,IF(OR(J810="",J810="In Stock / En Inventario",J810="Listed / Publicado"),1,0))</f>
        <v>0</v>
      </c>
      <c r="T810" s="53" t="n">
        <f aca="false">IF(C810="",0,IF(J810="Sold / Vendido",1,0))</f>
        <v>0</v>
      </c>
      <c r="U810" s="53" t="n">
        <f aca="true">IF(S810=1,IF(ISNUMBER(F810),TODAY()-F810,-1),-1)</f>
        <v>-1</v>
      </c>
      <c r="V810" s="53" t="n">
        <f aca="false">IF(U810&lt;0,IF(S810=1,5,0),IF(U810&lt;=30,1,IF(U810&lt;=60,2,IF(U810&lt;=90,3,4))))</f>
        <v>0</v>
      </c>
      <c r="W810" s="53" t="n">
        <f aca="false">IF(U810&lt;0,-1000000000000000,U810+ROW()/1000000)</f>
        <v>-1000000000000000</v>
      </c>
      <c r="X810" s="53" t="n">
        <f aca="false">IF(T810=1,IF(AND(ISNUMBER(F810),ISNUMBER(K810)),K810-F810,0),0)</f>
        <v>0</v>
      </c>
      <c r="Y810" s="53" t="n">
        <f aca="false">IF(T810=1,IF(AND(ISNUMBER(F810),ISNUMBER(K810)),1,0),0)</f>
        <v>0</v>
      </c>
      <c r="Z810" s="53" t="n">
        <f aca="false">IF(U810&gt;=Settings!$C$8,1,0)</f>
        <v>0</v>
      </c>
      <c r="AA810" s="53" t="n">
        <f aca="false">IF(S810=1,IF(J810="Listed / Publicado",0,1),0)</f>
        <v>0</v>
      </c>
      <c r="AB810" s="53" t="n">
        <f aca="false">IF(T810=1,IF(ISNUMBER(L810),L810-G810,0),0)</f>
        <v>0</v>
      </c>
      <c r="AC810" s="53" t="n">
        <f aca="false">IF(S810=1,IF(ISNUMBER(I810),I810-G810,0),0)</f>
        <v>0</v>
      </c>
    </row>
    <row r="811" customFormat="false" ht="15" hidden="false" customHeight="false" outlineLevel="0" collapsed="false">
      <c r="B811" s="54"/>
      <c r="C811" s="55"/>
      <c r="D811" s="55"/>
      <c r="E811" s="55"/>
      <c r="F811" s="56"/>
      <c r="G811" s="57"/>
      <c r="H811" s="55"/>
      <c r="I811" s="57"/>
      <c r="J811" s="54"/>
      <c r="K811" s="56"/>
      <c r="L811" s="57"/>
      <c r="M811" s="54"/>
      <c r="N811" s="58" t="str">
        <f aca="false">IF(S811=1,IF(U811&lt;0,"",U811),IF(Y811=1,X811,""))</f>
        <v/>
      </c>
      <c r="O811" s="59" t="str">
        <f aca="false">IF(S811=1,IF(ISNUMBER(I811),I811-G811,""),"")</f>
        <v/>
      </c>
      <c r="P811" s="59" t="str">
        <f aca="false">IF(T811=1,IF(ISNUMBER(L811),L811-G811,""),"")</f>
        <v/>
      </c>
      <c r="Q811" s="60" t="str">
        <f aca="false">IF(C811="","",IF(T811=1,"✔ SOLD / VENDIDO",IF(S811=0,"— CLOSED / CERRADO",IF(U811&lt;0,"⚠ ADD DATE / AGREGA FECHA",IF(U811&gt;=Settings!$C$8,"⚠ STALE – REPRICE / ESTANCADO",IF(U811&gt;=Settings!$C$7,"● WATCH / VIGILAR","✔ FRESH / RECIENTE"))))))</f>
        <v/>
      </c>
      <c r="S811" s="53" t="n">
        <f aca="false">IF(C811="",0,IF(OR(J811="",J811="In Stock / En Inventario",J811="Listed / Publicado"),1,0))</f>
        <v>0</v>
      </c>
      <c r="T811" s="53" t="n">
        <f aca="false">IF(C811="",0,IF(J811="Sold / Vendido",1,0))</f>
        <v>0</v>
      </c>
      <c r="U811" s="53" t="n">
        <f aca="true">IF(S811=1,IF(ISNUMBER(F811),TODAY()-F811,-1),-1)</f>
        <v>-1</v>
      </c>
      <c r="V811" s="53" t="n">
        <f aca="false">IF(U811&lt;0,IF(S811=1,5,0),IF(U811&lt;=30,1,IF(U811&lt;=60,2,IF(U811&lt;=90,3,4))))</f>
        <v>0</v>
      </c>
      <c r="W811" s="53" t="n">
        <f aca="false">IF(U811&lt;0,-1000000000000000,U811+ROW()/1000000)</f>
        <v>-1000000000000000</v>
      </c>
      <c r="X811" s="53" t="n">
        <f aca="false">IF(T811=1,IF(AND(ISNUMBER(F811),ISNUMBER(K811)),K811-F811,0),0)</f>
        <v>0</v>
      </c>
      <c r="Y811" s="53" t="n">
        <f aca="false">IF(T811=1,IF(AND(ISNUMBER(F811),ISNUMBER(K811)),1,0),0)</f>
        <v>0</v>
      </c>
      <c r="Z811" s="53" t="n">
        <f aca="false">IF(U811&gt;=Settings!$C$8,1,0)</f>
        <v>0</v>
      </c>
      <c r="AA811" s="53" t="n">
        <f aca="false">IF(S811=1,IF(J811="Listed / Publicado",0,1),0)</f>
        <v>0</v>
      </c>
      <c r="AB811" s="53" t="n">
        <f aca="false">IF(T811=1,IF(ISNUMBER(L811),L811-G811,0),0)</f>
        <v>0</v>
      </c>
      <c r="AC811" s="53" t="n">
        <f aca="false">IF(S811=1,IF(ISNUMBER(I811),I811-G811,0),0)</f>
        <v>0</v>
      </c>
    </row>
    <row r="812" customFormat="false" ht="15" hidden="false" customHeight="false" outlineLevel="0" collapsed="false">
      <c r="B812" s="54"/>
      <c r="C812" s="55"/>
      <c r="D812" s="55"/>
      <c r="E812" s="55"/>
      <c r="F812" s="56"/>
      <c r="G812" s="57"/>
      <c r="H812" s="55"/>
      <c r="I812" s="57"/>
      <c r="J812" s="54"/>
      <c r="K812" s="56"/>
      <c r="L812" s="57"/>
      <c r="M812" s="54"/>
      <c r="N812" s="58" t="str">
        <f aca="false">IF(S812=1,IF(U812&lt;0,"",U812),IF(Y812=1,X812,""))</f>
        <v/>
      </c>
      <c r="O812" s="59" t="str">
        <f aca="false">IF(S812=1,IF(ISNUMBER(I812),I812-G812,""),"")</f>
        <v/>
      </c>
      <c r="P812" s="59" t="str">
        <f aca="false">IF(T812=1,IF(ISNUMBER(L812),L812-G812,""),"")</f>
        <v/>
      </c>
      <c r="Q812" s="60" t="str">
        <f aca="false">IF(C812="","",IF(T812=1,"✔ SOLD / VENDIDO",IF(S812=0,"— CLOSED / CERRADO",IF(U812&lt;0,"⚠ ADD DATE / AGREGA FECHA",IF(U812&gt;=Settings!$C$8,"⚠ STALE – REPRICE / ESTANCADO",IF(U812&gt;=Settings!$C$7,"● WATCH / VIGILAR","✔ FRESH / RECIENTE"))))))</f>
        <v/>
      </c>
      <c r="S812" s="53" t="n">
        <f aca="false">IF(C812="",0,IF(OR(J812="",J812="In Stock / En Inventario",J812="Listed / Publicado"),1,0))</f>
        <v>0</v>
      </c>
      <c r="T812" s="53" t="n">
        <f aca="false">IF(C812="",0,IF(J812="Sold / Vendido",1,0))</f>
        <v>0</v>
      </c>
      <c r="U812" s="53" t="n">
        <f aca="true">IF(S812=1,IF(ISNUMBER(F812),TODAY()-F812,-1),-1)</f>
        <v>-1</v>
      </c>
      <c r="V812" s="53" t="n">
        <f aca="false">IF(U812&lt;0,IF(S812=1,5,0),IF(U812&lt;=30,1,IF(U812&lt;=60,2,IF(U812&lt;=90,3,4))))</f>
        <v>0</v>
      </c>
      <c r="W812" s="53" t="n">
        <f aca="false">IF(U812&lt;0,-1000000000000000,U812+ROW()/1000000)</f>
        <v>-1000000000000000</v>
      </c>
      <c r="X812" s="53" t="n">
        <f aca="false">IF(T812=1,IF(AND(ISNUMBER(F812),ISNUMBER(K812)),K812-F812,0),0)</f>
        <v>0</v>
      </c>
      <c r="Y812" s="53" t="n">
        <f aca="false">IF(T812=1,IF(AND(ISNUMBER(F812),ISNUMBER(K812)),1,0),0)</f>
        <v>0</v>
      </c>
      <c r="Z812" s="53" t="n">
        <f aca="false">IF(U812&gt;=Settings!$C$8,1,0)</f>
        <v>0</v>
      </c>
      <c r="AA812" s="53" t="n">
        <f aca="false">IF(S812=1,IF(J812="Listed / Publicado",0,1),0)</f>
        <v>0</v>
      </c>
      <c r="AB812" s="53" t="n">
        <f aca="false">IF(T812=1,IF(ISNUMBER(L812),L812-G812,0),0)</f>
        <v>0</v>
      </c>
      <c r="AC812" s="53" t="n">
        <f aca="false">IF(S812=1,IF(ISNUMBER(I812),I812-G812,0),0)</f>
        <v>0</v>
      </c>
    </row>
    <row r="813" customFormat="false" ht="15" hidden="false" customHeight="false" outlineLevel="0" collapsed="false">
      <c r="B813" s="54"/>
      <c r="C813" s="55"/>
      <c r="D813" s="55"/>
      <c r="E813" s="55"/>
      <c r="F813" s="56"/>
      <c r="G813" s="57"/>
      <c r="H813" s="55"/>
      <c r="I813" s="57"/>
      <c r="J813" s="54"/>
      <c r="K813" s="56"/>
      <c r="L813" s="57"/>
      <c r="M813" s="54"/>
      <c r="N813" s="58" t="str">
        <f aca="false">IF(S813=1,IF(U813&lt;0,"",U813),IF(Y813=1,X813,""))</f>
        <v/>
      </c>
      <c r="O813" s="59" t="str">
        <f aca="false">IF(S813=1,IF(ISNUMBER(I813),I813-G813,""),"")</f>
        <v/>
      </c>
      <c r="P813" s="59" t="str">
        <f aca="false">IF(T813=1,IF(ISNUMBER(L813),L813-G813,""),"")</f>
        <v/>
      </c>
      <c r="Q813" s="60" t="str">
        <f aca="false">IF(C813="","",IF(T813=1,"✔ SOLD / VENDIDO",IF(S813=0,"— CLOSED / CERRADO",IF(U813&lt;0,"⚠ ADD DATE / AGREGA FECHA",IF(U813&gt;=Settings!$C$8,"⚠ STALE – REPRICE / ESTANCADO",IF(U813&gt;=Settings!$C$7,"● WATCH / VIGILAR","✔ FRESH / RECIENTE"))))))</f>
        <v/>
      </c>
      <c r="S813" s="53" t="n">
        <f aca="false">IF(C813="",0,IF(OR(J813="",J813="In Stock / En Inventario",J813="Listed / Publicado"),1,0))</f>
        <v>0</v>
      </c>
      <c r="T813" s="53" t="n">
        <f aca="false">IF(C813="",0,IF(J813="Sold / Vendido",1,0))</f>
        <v>0</v>
      </c>
      <c r="U813" s="53" t="n">
        <f aca="true">IF(S813=1,IF(ISNUMBER(F813),TODAY()-F813,-1),-1)</f>
        <v>-1</v>
      </c>
      <c r="V813" s="53" t="n">
        <f aca="false">IF(U813&lt;0,IF(S813=1,5,0),IF(U813&lt;=30,1,IF(U813&lt;=60,2,IF(U813&lt;=90,3,4))))</f>
        <v>0</v>
      </c>
      <c r="W813" s="53" t="n">
        <f aca="false">IF(U813&lt;0,-1000000000000000,U813+ROW()/1000000)</f>
        <v>-1000000000000000</v>
      </c>
      <c r="X813" s="53" t="n">
        <f aca="false">IF(T813=1,IF(AND(ISNUMBER(F813),ISNUMBER(K813)),K813-F813,0),0)</f>
        <v>0</v>
      </c>
      <c r="Y813" s="53" t="n">
        <f aca="false">IF(T813=1,IF(AND(ISNUMBER(F813),ISNUMBER(K813)),1,0),0)</f>
        <v>0</v>
      </c>
      <c r="Z813" s="53" t="n">
        <f aca="false">IF(U813&gt;=Settings!$C$8,1,0)</f>
        <v>0</v>
      </c>
      <c r="AA813" s="53" t="n">
        <f aca="false">IF(S813=1,IF(J813="Listed / Publicado",0,1),0)</f>
        <v>0</v>
      </c>
      <c r="AB813" s="53" t="n">
        <f aca="false">IF(T813=1,IF(ISNUMBER(L813),L813-G813,0),0)</f>
        <v>0</v>
      </c>
      <c r="AC813" s="53" t="n">
        <f aca="false">IF(S813=1,IF(ISNUMBER(I813),I813-G813,0),0)</f>
        <v>0</v>
      </c>
    </row>
    <row r="814" customFormat="false" ht="15" hidden="false" customHeight="false" outlineLevel="0" collapsed="false">
      <c r="B814" s="54"/>
      <c r="C814" s="55"/>
      <c r="D814" s="55"/>
      <c r="E814" s="55"/>
      <c r="F814" s="56"/>
      <c r="G814" s="57"/>
      <c r="H814" s="55"/>
      <c r="I814" s="57"/>
      <c r="J814" s="54"/>
      <c r="K814" s="56"/>
      <c r="L814" s="57"/>
      <c r="M814" s="54"/>
      <c r="N814" s="58" t="str">
        <f aca="false">IF(S814=1,IF(U814&lt;0,"",U814),IF(Y814=1,X814,""))</f>
        <v/>
      </c>
      <c r="O814" s="59" t="str">
        <f aca="false">IF(S814=1,IF(ISNUMBER(I814),I814-G814,""),"")</f>
        <v/>
      </c>
      <c r="P814" s="59" t="str">
        <f aca="false">IF(T814=1,IF(ISNUMBER(L814),L814-G814,""),"")</f>
        <v/>
      </c>
      <c r="Q814" s="60" t="str">
        <f aca="false">IF(C814="","",IF(T814=1,"✔ SOLD / VENDIDO",IF(S814=0,"— CLOSED / CERRADO",IF(U814&lt;0,"⚠ ADD DATE / AGREGA FECHA",IF(U814&gt;=Settings!$C$8,"⚠ STALE – REPRICE / ESTANCADO",IF(U814&gt;=Settings!$C$7,"● WATCH / VIGILAR","✔ FRESH / RECIENTE"))))))</f>
        <v/>
      </c>
      <c r="S814" s="53" t="n">
        <f aca="false">IF(C814="",0,IF(OR(J814="",J814="In Stock / En Inventario",J814="Listed / Publicado"),1,0))</f>
        <v>0</v>
      </c>
      <c r="T814" s="53" t="n">
        <f aca="false">IF(C814="",0,IF(J814="Sold / Vendido",1,0))</f>
        <v>0</v>
      </c>
      <c r="U814" s="53" t="n">
        <f aca="true">IF(S814=1,IF(ISNUMBER(F814),TODAY()-F814,-1),-1)</f>
        <v>-1</v>
      </c>
      <c r="V814" s="53" t="n">
        <f aca="false">IF(U814&lt;0,IF(S814=1,5,0),IF(U814&lt;=30,1,IF(U814&lt;=60,2,IF(U814&lt;=90,3,4))))</f>
        <v>0</v>
      </c>
      <c r="W814" s="53" t="n">
        <f aca="false">IF(U814&lt;0,-1000000000000000,U814+ROW()/1000000)</f>
        <v>-1000000000000000</v>
      </c>
      <c r="X814" s="53" t="n">
        <f aca="false">IF(T814=1,IF(AND(ISNUMBER(F814),ISNUMBER(K814)),K814-F814,0),0)</f>
        <v>0</v>
      </c>
      <c r="Y814" s="53" t="n">
        <f aca="false">IF(T814=1,IF(AND(ISNUMBER(F814),ISNUMBER(K814)),1,0),0)</f>
        <v>0</v>
      </c>
      <c r="Z814" s="53" t="n">
        <f aca="false">IF(U814&gt;=Settings!$C$8,1,0)</f>
        <v>0</v>
      </c>
      <c r="AA814" s="53" t="n">
        <f aca="false">IF(S814=1,IF(J814="Listed / Publicado",0,1),0)</f>
        <v>0</v>
      </c>
      <c r="AB814" s="53" t="n">
        <f aca="false">IF(T814=1,IF(ISNUMBER(L814),L814-G814,0),0)</f>
        <v>0</v>
      </c>
      <c r="AC814" s="53" t="n">
        <f aca="false">IF(S814=1,IF(ISNUMBER(I814),I814-G814,0),0)</f>
        <v>0</v>
      </c>
    </row>
    <row r="815" customFormat="false" ht="15" hidden="false" customHeight="false" outlineLevel="0" collapsed="false">
      <c r="B815" s="54"/>
      <c r="C815" s="55"/>
      <c r="D815" s="55"/>
      <c r="E815" s="55"/>
      <c r="F815" s="56"/>
      <c r="G815" s="57"/>
      <c r="H815" s="55"/>
      <c r="I815" s="57"/>
      <c r="J815" s="54"/>
      <c r="K815" s="56"/>
      <c r="L815" s="57"/>
      <c r="M815" s="54"/>
      <c r="N815" s="58" t="str">
        <f aca="false">IF(S815=1,IF(U815&lt;0,"",U815),IF(Y815=1,X815,""))</f>
        <v/>
      </c>
      <c r="O815" s="59" t="str">
        <f aca="false">IF(S815=1,IF(ISNUMBER(I815),I815-G815,""),"")</f>
        <v/>
      </c>
      <c r="P815" s="59" t="str">
        <f aca="false">IF(T815=1,IF(ISNUMBER(L815),L815-G815,""),"")</f>
        <v/>
      </c>
      <c r="Q815" s="60" t="str">
        <f aca="false">IF(C815="","",IF(T815=1,"✔ SOLD / VENDIDO",IF(S815=0,"— CLOSED / CERRADO",IF(U815&lt;0,"⚠ ADD DATE / AGREGA FECHA",IF(U815&gt;=Settings!$C$8,"⚠ STALE – REPRICE / ESTANCADO",IF(U815&gt;=Settings!$C$7,"● WATCH / VIGILAR","✔ FRESH / RECIENTE"))))))</f>
        <v/>
      </c>
      <c r="S815" s="53" t="n">
        <f aca="false">IF(C815="",0,IF(OR(J815="",J815="In Stock / En Inventario",J815="Listed / Publicado"),1,0))</f>
        <v>0</v>
      </c>
      <c r="T815" s="53" t="n">
        <f aca="false">IF(C815="",0,IF(J815="Sold / Vendido",1,0))</f>
        <v>0</v>
      </c>
      <c r="U815" s="53" t="n">
        <f aca="true">IF(S815=1,IF(ISNUMBER(F815),TODAY()-F815,-1),-1)</f>
        <v>-1</v>
      </c>
      <c r="V815" s="53" t="n">
        <f aca="false">IF(U815&lt;0,IF(S815=1,5,0),IF(U815&lt;=30,1,IF(U815&lt;=60,2,IF(U815&lt;=90,3,4))))</f>
        <v>0</v>
      </c>
      <c r="W815" s="53" t="n">
        <f aca="false">IF(U815&lt;0,-1000000000000000,U815+ROW()/1000000)</f>
        <v>-1000000000000000</v>
      </c>
      <c r="X815" s="53" t="n">
        <f aca="false">IF(T815=1,IF(AND(ISNUMBER(F815),ISNUMBER(K815)),K815-F815,0),0)</f>
        <v>0</v>
      </c>
      <c r="Y815" s="53" t="n">
        <f aca="false">IF(T815=1,IF(AND(ISNUMBER(F815),ISNUMBER(K815)),1,0),0)</f>
        <v>0</v>
      </c>
      <c r="Z815" s="53" t="n">
        <f aca="false">IF(U815&gt;=Settings!$C$8,1,0)</f>
        <v>0</v>
      </c>
      <c r="AA815" s="53" t="n">
        <f aca="false">IF(S815=1,IF(J815="Listed / Publicado",0,1),0)</f>
        <v>0</v>
      </c>
      <c r="AB815" s="53" t="n">
        <f aca="false">IF(T815=1,IF(ISNUMBER(L815),L815-G815,0),0)</f>
        <v>0</v>
      </c>
      <c r="AC815" s="53" t="n">
        <f aca="false">IF(S815=1,IF(ISNUMBER(I815),I815-G815,0),0)</f>
        <v>0</v>
      </c>
    </row>
    <row r="816" customFormat="false" ht="15" hidden="false" customHeight="false" outlineLevel="0" collapsed="false">
      <c r="B816" s="54"/>
      <c r="C816" s="55"/>
      <c r="D816" s="55"/>
      <c r="E816" s="55"/>
      <c r="F816" s="56"/>
      <c r="G816" s="57"/>
      <c r="H816" s="55"/>
      <c r="I816" s="57"/>
      <c r="J816" s="54"/>
      <c r="K816" s="56"/>
      <c r="L816" s="57"/>
      <c r="M816" s="54"/>
      <c r="N816" s="58" t="str">
        <f aca="false">IF(S816=1,IF(U816&lt;0,"",U816),IF(Y816=1,X816,""))</f>
        <v/>
      </c>
      <c r="O816" s="59" t="str">
        <f aca="false">IF(S816=1,IF(ISNUMBER(I816),I816-G816,""),"")</f>
        <v/>
      </c>
      <c r="P816" s="59" t="str">
        <f aca="false">IF(T816=1,IF(ISNUMBER(L816),L816-G816,""),"")</f>
        <v/>
      </c>
      <c r="Q816" s="60" t="str">
        <f aca="false">IF(C816="","",IF(T816=1,"✔ SOLD / VENDIDO",IF(S816=0,"— CLOSED / CERRADO",IF(U816&lt;0,"⚠ ADD DATE / AGREGA FECHA",IF(U816&gt;=Settings!$C$8,"⚠ STALE – REPRICE / ESTANCADO",IF(U816&gt;=Settings!$C$7,"● WATCH / VIGILAR","✔ FRESH / RECIENTE"))))))</f>
        <v/>
      </c>
      <c r="S816" s="53" t="n">
        <f aca="false">IF(C816="",0,IF(OR(J816="",J816="In Stock / En Inventario",J816="Listed / Publicado"),1,0))</f>
        <v>0</v>
      </c>
      <c r="T816" s="53" t="n">
        <f aca="false">IF(C816="",0,IF(J816="Sold / Vendido",1,0))</f>
        <v>0</v>
      </c>
      <c r="U816" s="53" t="n">
        <f aca="true">IF(S816=1,IF(ISNUMBER(F816),TODAY()-F816,-1),-1)</f>
        <v>-1</v>
      </c>
      <c r="V816" s="53" t="n">
        <f aca="false">IF(U816&lt;0,IF(S816=1,5,0),IF(U816&lt;=30,1,IF(U816&lt;=60,2,IF(U816&lt;=90,3,4))))</f>
        <v>0</v>
      </c>
      <c r="W816" s="53" t="n">
        <f aca="false">IF(U816&lt;0,-1000000000000000,U816+ROW()/1000000)</f>
        <v>-1000000000000000</v>
      </c>
      <c r="X816" s="53" t="n">
        <f aca="false">IF(T816=1,IF(AND(ISNUMBER(F816),ISNUMBER(K816)),K816-F816,0),0)</f>
        <v>0</v>
      </c>
      <c r="Y816" s="53" t="n">
        <f aca="false">IF(T816=1,IF(AND(ISNUMBER(F816),ISNUMBER(K816)),1,0),0)</f>
        <v>0</v>
      </c>
      <c r="Z816" s="53" t="n">
        <f aca="false">IF(U816&gt;=Settings!$C$8,1,0)</f>
        <v>0</v>
      </c>
      <c r="AA816" s="53" t="n">
        <f aca="false">IF(S816=1,IF(J816="Listed / Publicado",0,1),0)</f>
        <v>0</v>
      </c>
      <c r="AB816" s="53" t="n">
        <f aca="false">IF(T816=1,IF(ISNUMBER(L816),L816-G816,0),0)</f>
        <v>0</v>
      </c>
      <c r="AC816" s="53" t="n">
        <f aca="false">IF(S816=1,IF(ISNUMBER(I816),I816-G816,0),0)</f>
        <v>0</v>
      </c>
    </row>
    <row r="817" customFormat="false" ht="15" hidden="false" customHeight="false" outlineLevel="0" collapsed="false">
      <c r="B817" s="54"/>
      <c r="C817" s="55"/>
      <c r="D817" s="55"/>
      <c r="E817" s="55"/>
      <c r="F817" s="56"/>
      <c r="G817" s="57"/>
      <c r="H817" s="55"/>
      <c r="I817" s="57"/>
      <c r="J817" s="54"/>
      <c r="K817" s="56"/>
      <c r="L817" s="57"/>
      <c r="M817" s="54"/>
      <c r="N817" s="58" t="str">
        <f aca="false">IF(S817=1,IF(U817&lt;0,"",U817),IF(Y817=1,X817,""))</f>
        <v/>
      </c>
      <c r="O817" s="59" t="str">
        <f aca="false">IF(S817=1,IF(ISNUMBER(I817),I817-G817,""),"")</f>
        <v/>
      </c>
      <c r="P817" s="59" t="str">
        <f aca="false">IF(T817=1,IF(ISNUMBER(L817),L817-G817,""),"")</f>
        <v/>
      </c>
      <c r="Q817" s="60" t="str">
        <f aca="false">IF(C817="","",IF(T817=1,"✔ SOLD / VENDIDO",IF(S817=0,"— CLOSED / CERRADO",IF(U817&lt;0,"⚠ ADD DATE / AGREGA FECHA",IF(U817&gt;=Settings!$C$8,"⚠ STALE – REPRICE / ESTANCADO",IF(U817&gt;=Settings!$C$7,"● WATCH / VIGILAR","✔ FRESH / RECIENTE"))))))</f>
        <v/>
      </c>
      <c r="S817" s="53" t="n">
        <f aca="false">IF(C817="",0,IF(OR(J817="",J817="In Stock / En Inventario",J817="Listed / Publicado"),1,0))</f>
        <v>0</v>
      </c>
      <c r="T817" s="53" t="n">
        <f aca="false">IF(C817="",0,IF(J817="Sold / Vendido",1,0))</f>
        <v>0</v>
      </c>
      <c r="U817" s="53" t="n">
        <f aca="true">IF(S817=1,IF(ISNUMBER(F817),TODAY()-F817,-1),-1)</f>
        <v>-1</v>
      </c>
      <c r="V817" s="53" t="n">
        <f aca="false">IF(U817&lt;0,IF(S817=1,5,0),IF(U817&lt;=30,1,IF(U817&lt;=60,2,IF(U817&lt;=90,3,4))))</f>
        <v>0</v>
      </c>
      <c r="W817" s="53" t="n">
        <f aca="false">IF(U817&lt;0,-1000000000000000,U817+ROW()/1000000)</f>
        <v>-1000000000000000</v>
      </c>
      <c r="X817" s="53" t="n">
        <f aca="false">IF(T817=1,IF(AND(ISNUMBER(F817),ISNUMBER(K817)),K817-F817,0),0)</f>
        <v>0</v>
      </c>
      <c r="Y817" s="53" t="n">
        <f aca="false">IF(T817=1,IF(AND(ISNUMBER(F817),ISNUMBER(K817)),1,0),0)</f>
        <v>0</v>
      </c>
      <c r="Z817" s="53" t="n">
        <f aca="false">IF(U817&gt;=Settings!$C$8,1,0)</f>
        <v>0</v>
      </c>
      <c r="AA817" s="53" t="n">
        <f aca="false">IF(S817=1,IF(J817="Listed / Publicado",0,1),0)</f>
        <v>0</v>
      </c>
      <c r="AB817" s="53" t="n">
        <f aca="false">IF(T817=1,IF(ISNUMBER(L817),L817-G817,0),0)</f>
        <v>0</v>
      </c>
      <c r="AC817" s="53" t="n">
        <f aca="false">IF(S817=1,IF(ISNUMBER(I817),I817-G817,0),0)</f>
        <v>0</v>
      </c>
    </row>
    <row r="818" customFormat="false" ht="15" hidden="false" customHeight="false" outlineLevel="0" collapsed="false">
      <c r="B818" s="54"/>
      <c r="C818" s="55"/>
      <c r="D818" s="55"/>
      <c r="E818" s="55"/>
      <c r="F818" s="56"/>
      <c r="G818" s="57"/>
      <c r="H818" s="55"/>
      <c r="I818" s="57"/>
      <c r="J818" s="54"/>
      <c r="K818" s="56"/>
      <c r="L818" s="57"/>
      <c r="M818" s="54"/>
      <c r="N818" s="58" t="str">
        <f aca="false">IF(S818=1,IF(U818&lt;0,"",U818),IF(Y818=1,X818,""))</f>
        <v/>
      </c>
      <c r="O818" s="59" t="str">
        <f aca="false">IF(S818=1,IF(ISNUMBER(I818),I818-G818,""),"")</f>
        <v/>
      </c>
      <c r="P818" s="59" t="str">
        <f aca="false">IF(T818=1,IF(ISNUMBER(L818),L818-G818,""),"")</f>
        <v/>
      </c>
      <c r="Q818" s="60" t="str">
        <f aca="false">IF(C818="","",IF(T818=1,"✔ SOLD / VENDIDO",IF(S818=0,"— CLOSED / CERRADO",IF(U818&lt;0,"⚠ ADD DATE / AGREGA FECHA",IF(U818&gt;=Settings!$C$8,"⚠ STALE – REPRICE / ESTANCADO",IF(U818&gt;=Settings!$C$7,"● WATCH / VIGILAR","✔ FRESH / RECIENTE"))))))</f>
        <v/>
      </c>
      <c r="S818" s="53" t="n">
        <f aca="false">IF(C818="",0,IF(OR(J818="",J818="In Stock / En Inventario",J818="Listed / Publicado"),1,0))</f>
        <v>0</v>
      </c>
      <c r="T818" s="53" t="n">
        <f aca="false">IF(C818="",0,IF(J818="Sold / Vendido",1,0))</f>
        <v>0</v>
      </c>
      <c r="U818" s="53" t="n">
        <f aca="true">IF(S818=1,IF(ISNUMBER(F818),TODAY()-F818,-1),-1)</f>
        <v>-1</v>
      </c>
      <c r="V818" s="53" t="n">
        <f aca="false">IF(U818&lt;0,IF(S818=1,5,0),IF(U818&lt;=30,1,IF(U818&lt;=60,2,IF(U818&lt;=90,3,4))))</f>
        <v>0</v>
      </c>
      <c r="W818" s="53" t="n">
        <f aca="false">IF(U818&lt;0,-1000000000000000,U818+ROW()/1000000)</f>
        <v>-1000000000000000</v>
      </c>
      <c r="X818" s="53" t="n">
        <f aca="false">IF(T818=1,IF(AND(ISNUMBER(F818),ISNUMBER(K818)),K818-F818,0),0)</f>
        <v>0</v>
      </c>
      <c r="Y818" s="53" t="n">
        <f aca="false">IF(T818=1,IF(AND(ISNUMBER(F818),ISNUMBER(K818)),1,0),0)</f>
        <v>0</v>
      </c>
      <c r="Z818" s="53" t="n">
        <f aca="false">IF(U818&gt;=Settings!$C$8,1,0)</f>
        <v>0</v>
      </c>
      <c r="AA818" s="53" t="n">
        <f aca="false">IF(S818=1,IF(J818="Listed / Publicado",0,1),0)</f>
        <v>0</v>
      </c>
      <c r="AB818" s="53" t="n">
        <f aca="false">IF(T818=1,IF(ISNUMBER(L818),L818-G818,0),0)</f>
        <v>0</v>
      </c>
      <c r="AC818" s="53" t="n">
        <f aca="false">IF(S818=1,IF(ISNUMBER(I818),I818-G818,0),0)</f>
        <v>0</v>
      </c>
    </row>
    <row r="819" customFormat="false" ht="15" hidden="false" customHeight="false" outlineLevel="0" collapsed="false">
      <c r="B819" s="54"/>
      <c r="C819" s="55"/>
      <c r="D819" s="55"/>
      <c r="E819" s="55"/>
      <c r="F819" s="56"/>
      <c r="G819" s="57"/>
      <c r="H819" s="55"/>
      <c r="I819" s="57"/>
      <c r="J819" s="54"/>
      <c r="K819" s="56"/>
      <c r="L819" s="57"/>
      <c r="M819" s="54"/>
      <c r="N819" s="58" t="str">
        <f aca="false">IF(S819=1,IF(U819&lt;0,"",U819),IF(Y819=1,X819,""))</f>
        <v/>
      </c>
      <c r="O819" s="59" t="str">
        <f aca="false">IF(S819=1,IF(ISNUMBER(I819),I819-G819,""),"")</f>
        <v/>
      </c>
      <c r="P819" s="59" t="str">
        <f aca="false">IF(T819=1,IF(ISNUMBER(L819),L819-G819,""),"")</f>
        <v/>
      </c>
      <c r="Q819" s="60" t="str">
        <f aca="false">IF(C819="","",IF(T819=1,"✔ SOLD / VENDIDO",IF(S819=0,"— CLOSED / CERRADO",IF(U819&lt;0,"⚠ ADD DATE / AGREGA FECHA",IF(U819&gt;=Settings!$C$8,"⚠ STALE – REPRICE / ESTANCADO",IF(U819&gt;=Settings!$C$7,"● WATCH / VIGILAR","✔ FRESH / RECIENTE"))))))</f>
        <v/>
      </c>
      <c r="S819" s="53" t="n">
        <f aca="false">IF(C819="",0,IF(OR(J819="",J819="In Stock / En Inventario",J819="Listed / Publicado"),1,0))</f>
        <v>0</v>
      </c>
      <c r="T819" s="53" t="n">
        <f aca="false">IF(C819="",0,IF(J819="Sold / Vendido",1,0))</f>
        <v>0</v>
      </c>
      <c r="U819" s="53" t="n">
        <f aca="true">IF(S819=1,IF(ISNUMBER(F819),TODAY()-F819,-1),-1)</f>
        <v>-1</v>
      </c>
      <c r="V819" s="53" t="n">
        <f aca="false">IF(U819&lt;0,IF(S819=1,5,0),IF(U819&lt;=30,1,IF(U819&lt;=60,2,IF(U819&lt;=90,3,4))))</f>
        <v>0</v>
      </c>
      <c r="W819" s="53" t="n">
        <f aca="false">IF(U819&lt;0,-1000000000000000,U819+ROW()/1000000)</f>
        <v>-1000000000000000</v>
      </c>
      <c r="X819" s="53" t="n">
        <f aca="false">IF(T819=1,IF(AND(ISNUMBER(F819),ISNUMBER(K819)),K819-F819,0),0)</f>
        <v>0</v>
      </c>
      <c r="Y819" s="53" t="n">
        <f aca="false">IF(T819=1,IF(AND(ISNUMBER(F819),ISNUMBER(K819)),1,0),0)</f>
        <v>0</v>
      </c>
      <c r="Z819" s="53" t="n">
        <f aca="false">IF(U819&gt;=Settings!$C$8,1,0)</f>
        <v>0</v>
      </c>
      <c r="AA819" s="53" t="n">
        <f aca="false">IF(S819=1,IF(J819="Listed / Publicado",0,1),0)</f>
        <v>0</v>
      </c>
      <c r="AB819" s="53" t="n">
        <f aca="false">IF(T819=1,IF(ISNUMBER(L819),L819-G819,0),0)</f>
        <v>0</v>
      </c>
      <c r="AC819" s="53" t="n">
        <f aca="false">IF(S819=1,IF(ISNUMBER(I819),I819-G819,0),0)</f>
        <v>0</v>
      </c>
    </row>
    <row r="820" customFormat="false" ht="15" hidden="false" customHeight="false" outlineLevel="0" collapsed="false">
      <c r="B820" s="54"/>
      <c r="C820" s="55"/>
      <c r="D820" s="55"/>
      <c r="E820" s="55"/>
      <c r="F820" s="56"/>
      <c r="G820" s="57"/>
      <c r="H820" s="55"/>
      <c r="I820" s="57"/>
      <c r="J820" s="54"/>
      <c r="K820" s="56"/>
      <c r="L820" s="57"/>
      <c r="M820" s="54"/>
      <c r="N820" s="58" t="str">
        <f aca="false">IF(S820=1,IF(U820&lt;0,"",U820),IF(Y820=1,X820,""))</f>
        <v/>
      </c>
      <c r="O820" s="59" t="str">
        <f aca="false">IF(S820=1,IF(ISNUMBER(I820),I820-G820,""),"")</f>
        <v/>
      </c>
      <c r="P820" s="59" t="str">
        <f aca="false">IF(T820=1,IF(ISNUMBER(L820),L820-G820,""),"")</f>
        <v/>
      </c>
      <c r="Q820" s="60" t="str">
        <f aca="false">IF(C820="","",IF(T820=1,"✔ SOLD / VENDIDO",IF(S820=0,"— CLOSED / CERRADO",IF(U820&lt;0,"⚠ ADD DATE / AGREGA FECHA",IF(U820&gt;=Settings!$C$8,"⚠ STALE – REPRICE / ESTANCADO",IF(U820&gt;=Settings!$C$7,"● WATCH / VIGILAR","✔ FRESH / RECIENTE"))))))</f>
        <v/>
      </c>
      <c r="S820" s="53" t="n">
        <f aca="false">IF(C820="",0,IF(OR(J820="",J820="In Stock / En Inventario",J820="Listed / Publicado"),1,0))</f>
        <v>0</v>
      </c>
      <c r="T820" s="53" t="n">
        <f aca="false">IF(C820="",0,IF(J820="Sold / Vendido",1,0))</f>
        <v>0</v>
      </c>
      <c r="U820" s="53" t="n">
        <f aca="true">IF(S820=1,IF(ISNUMBER(F820),TODAY()-F820,-1),-1)</f>
        <v>-1</v>
      </c>
      <c r="V820" s="53" t="n">
        <f aca="false">IF(U820&lt;0,IF(S820=1,5,0),IF(U820&lt;=30,1,IF(U820&lt;=60,2,IF(U820&lt;=90,3,4))))</f>
        <v>0</v>
      </c>
      <c r="W820" s="53" t="n">
        <f aca="false">IF(U820&lt;0,-1000000000000000,U820+ROW()/1000000)</f>
        <v>-1000000000000000</v>
      </c>
      <c r="X820" s="53" t="n">
        <f aca="false">IF(T820=1,IF(AND(ISNUMBER(F820),ISNUMBER(K820)),K820-F820,0),0)</f>
        <v>0</v>
      </c>
      <c r="Y820" s="53" t="n">
        <f aca="false">IF(T820=1,IF(AND(ISNUMBER(F820),ISNUMBER(K820)),1,0),0)</f>
        <v>0</v>
      </c>
      <c r="Z820" s="53" t="n">
        <f aca="false">IF(U820&gt;=Settings!$C$8,1,0)</f>
        <v>0</v>
      </c>
      <c r="AA820" s="53" t="n">
        <f aca="false">IF(S820=1,IF(J820="Listed / Publicado",0,1),0)</f>
        <v>0</v>
      </c>
      <c r="AB820" s="53" t="n">
        <f aca="false">IF(T820=1,IF(ISNUMBER(L820),L820-G820,0),0)</f>
        <v>0</v>
      </c>
      <c r="AC820" s="53" t="n">
        <f aca="false">IF(S820=1,IF(ISNUMBER(I820),I820-G820,0),0)</f>
        <v>0</v>
      </c>
    </row>
    <row r="821" customFormat="false" ht="15" hidden="false" customHeight="false" outlineLevel="0" collapsed="false">
      <c r="B821" s="54"/>
      <c r="C821" s="55"/>
      <c r="D821" s="55"/>
      <c r="E821" s="55"/>
      <c r="F821" s="56"/>
      <c r="G821" s="57"/>
      <c r="H821" s="55"/>
      <c r="I821" s="57"/>
      <c r="J821" s="54"/>
      <c r="K821" s="56"/>
      <c r="L821" s="57"/>
      <c r="M821" s="54"/>
      <c r="N821" s="58" t="str">
        <f aca="false">IF(S821=1,IF(U821&lt;0,"",U821),IF(Y821=1,X821,""))</f>
        <v/>
      </c>
      <c r="O821" s="59" t="str">
        <f aca="false">IF(S821=1,IF(ISNUMBER(I821),I821-G821,""),"")</f>
        <v/>
      </c>
      <c r="P821" s="59" t="str">
        <f aca="false">IF(T821=1,IF(ISNUMBER(L821),L821-G821,""),"")</f>
        <v/>
      </c>
      <c r="Q821" s="60" t="str">
        <f aca="false">IF(C821="","",IF(T821=1,"✔ SOLD / VENDIDO",IF(S821=0,"— CLOSED / CERRADO",IF(U821&lt;0,"⚠ ADD DATE / AGREGA FECHA",IF(U821&gt;=Settings!$C$8,"⚠ STALE – REPRICE / ESTANCADO",IF(U821&gt;=Settings!$C$7,"● WATCH / VIGILAR","✔ FRESH / RECIENTE"))))))</f>
        <v/>
      </c>
      <c r="S821" s="53" t="n">
        <f aca="false">IF(C821="",0,IF(OR(J821="",J821="In Stock / En Inventario",J821="Listed / Publicado"),1,0))</f>
        <v>0</v>
      </c>
      <c r="T821" s="53" t="n">
        <f aca="false">IF(C821="",0,IF(J821="Sold / Vendido",1,0))</f>
        <v>0</v>
      </c>
      <c r="U821" s="53" t="n">
        <f aca="true">IF(S821=1,IF(ISNUMBER(F821),TODAY()-F821,-1),-1)</f>
        <v>-1</v>
      </c>
      <c r="V821" s="53" t="n">
        <f aca="false">IF(U821&lt;0,IF(S821=1,5,0),IF(U821&lt;=30,1,IF(U821&lt;=60,2,IF(U821&lt;=90,3,4))))</f>
        <v>0</v>
      </c>
      <c r="W821" s="53" t="n">
        <f aca="false">IF(U821&lt;0,-1000000000000000,U821+ROW()/1000000)</f>
        <v>-1000000000000000</v>
      </c>
      <c r="X821" s="53" t="n">
        <f aca="false">IF(T821=1,IF(AND(ISNUMBER(F821),ISNUMBER(K821)),K821-F821,0),0)</f>
        <v>0</v>
      </c>
      <c r="Y821" s="53" t="n">
        <f aca="false">IF(T821=1,IF(AND(ISNUMBER(F821),ISNUMBER(K821)),1,0),0)</f>
        <v>0</v>
      </c>
      <c r="Z821" s="53" t="n">
        <f aca="false">IF(U821&gt;=Settings!$C$8,1,0)</f>
        <v>0</v>
      </c>
      <c r="AA821" s="53" t="n">
        <f aca="false">IF(S821=1,IF(J821="Listed / Publicado",0,1),0)</f>
        <v>0</v>
      </c>
      <c r="AB821" s="53" t="n">
        <f aca="false">IF(T821=1,IF(ISNUMBER(L821),L821-G821,0),0)</f>
        <v>0</v>
      </c>
      <c r="AC821" s="53" t="n">
        <f aca="false">IF(S821=1,IF(ISNUMBER(I821),I821-G821,0),0)</f>
        <v>0</v>
      </c>
    </row>
    <row r="822" customFormat="false" ht="15" hidden="false" customHeight="false" outlineLevel="0" collapsed="false">
      <c r="B822" s="54"/>
      <c r="C822" s="55"/>
      <c r="D822" s="55"/>
      <c r="E822" s="55"/>
      <c r="F822" s="56"/>
      <c r="G822" s="57"/>
      <c r="H822" s="55"/>
      <c r="I822" s="57"/>
      <c r="J822" s="54"/>
      <c r="K822" s="56"/>
      <c r="L822" s="57"/>
      <c r="M822" s="54"/>
      <c r="N822" s="58" t="str">
        <f aca="false">IF(S822=1,IF(U822&lt;0,"",U822),IF(Y822=1,X822,""))</f>
        <v/>
      </c>
      <c r="O822" s="59" t="str">
        <f aca="false">IF(S822=1,IF(ISNUMBER(I822),I822-G822,""),"")</f>
        <v/>
      </c>
      <c r="P822" s="59" t="str">
        <f aca="false">IF(T822=1,IF(ISNUMBER(L822),L822-G822,""),"")</f>
        <v/>
      </c>
      <c r="Q822" s="60" t="str">
        <f aca="false">IF(C822="","",IF(T822=1,"✔ SOLD / VENDIDO",IF(S822=0,"— CLOSED / CERRADO",IF(U822&lt;0,"⚠ ADD DATE / AGREGA FECHA",IF(U822&gt;=Settings!$C$8,"⚠ STALE – REPRICE / ESTANCADO",IF(U822&gt;=Settings!$C$7,"● WATCH / VIGILAR","✔ FRESH / RECIENTE"))))))</f>
        <v/>
      </c>
      <c r="S822" s="53" t="n">
        <f aca="false">IF(C822="",0,IF(OR(J822="",J822="In Stock / En Inventario",J822="Listed / Publicado"),1,0))</f>
        <v>0</v>
      </c>
      <c r="T822" s="53" t="n">
        <f aca="false">IF(C822="",0,IF(J822="Sold / Vendido",1,0))</f>
        <v>0</v>
      </c>
      <c r="U822" s="53" t="n">
        <f aca="true">IF(S822=1,IF(ISNUMBER(F822),TODAY()-F822,-1),-1)</f>
        <v>-1</v>
      </c>
      <c r="V822" s="53" t="n">
        <f aca="false">IF(U822&lt;0,IF(S822=1,5,0),IF(U822&lt;=30,1,IF(U822&lt;=60,2,IF(U822&lt;=90,3,4))))</f>
        <v>0</v>
      </c>
      <c r="W822" s="53" t="n">
        <f aca="false">IF(U822&lt;0,-1000000000000000,U822+ROW()/1000000)</f>
        <v>-1000000000000000</v>
      </c>
      <c r="X822" s="53" t="n">
        <f aca="false">IF(T822=1,IF(AND(ISNUMBER(F822),ISNUMBER(K822)),K822-F822,0),0)</f>
        <v>0</v>
      </c>
      <c r="Y822" s="53" t="n">
        <f aca="false">IF(T822=1,IF(AND(ISNUMBER(F822),ISNUMBER(K822)),1,0),0)</f>
        <v>0</v>
      </c>
      <c r="Z822" s="53" t="n">
        <f aca="false">IF(U822&gt;=Settings!$C$8,1,0)</f>
        <v>0</v>
      </c>
      <c r="AA822" s="53" t="n">
        <f aca="false">IF(S822=1,IF(J822="Listed / Publicado",0,1),0)</f>
        <v>0</v>
      </c>
      <c r="AB822" s="53" t="n">
        <f aca="false">IF(T822=1,IF(ISNUMBER(L822),L822-G822,0),0)</f>
        <v>0</v>
      </c>
      <c r="AC822" s="53" t="n">
        <f aca="false">IF(S822=1,IF(ISNUMBER(I822),I822-G822,0),0)</f>
        <v>0</v>
      </c>
    </row>
    <row r="823" customFormat="false" ht="15" hidden="false" customHeight="false" outlineLevel="0" collapsed="false">
      <c r="B823" s="54"/>
      <c r="C823" s="55"/>
      <c r="D823" s="55"/>
      <c r="E823" s="55"/>
      <c r="F823" s="56"/>
      <c r="G823" s="57"/>
      <c r="H823" s="55"/>
      <c r="I823" s="57"/>
      <c r="J823" s="54"/>
      <c r="K823" s="56"/>
      <c r="L823" s="57"/>
      <c r="M823" s="54"/>
      <c r="N823" s="58" t="str">
        <f aca="false">IF(S823=1,IF(U823&lt;0,"",U823),IF(Y823=1,X823,""))</f>
        <v/>
      </c>
      <c r="O823" s="59" t="str">
        <f aca="false">IF(S823=1,IF(ISNUMBER(I823),I823-G823,""),"")</f>
        <v/>
      </c>
      <c r="P823" s="59" t="str">
        <f aca="false">IF(T823=1,IF(ISNUMBER(L823),L823-G823,""),"")</f>
        <v/>
      </c>
      <c r="Q823" s="60" t="str">
        <f aca="false">IF(C823="","",IF(T823=1,"✔ SOLD / VENDIDO",IF(S823=0,"— CLOSED / CERRADO",IF(U823&lt;0,"⚠ ADD DATE / AGREGA FECHA",IF(U823&gt;=Settings!$C$8,"⚠ STALE – REPRICE / ESTANCADO",IF(U823&gt;=Settings!$C$7,"● WATCH / VIGILAR","✔ FRESH / RECIENTE"))))))</f>
        <v/>
      </c>
      <c r="S823" s="53" t="n">
        <f aca="false">IF(C823="",0,IF(OR(J823="",J823="In Stock / En Inventario",J823="Listed / Publicado"),1,0))</f>
        <v>0</v>
      </c>
      <c r="T823" s="53" t="n">
        <f aca="false">IF(C823="",0,IF(J823="Sold / Vendido",1,0))</f>
        <v>0</v>
      </c>
      <c r="U823" s="53" t="n">
        <f aca="true">IF(S823=1,IF(ISNUMBER(F823),TODAY()-F823,-1),-1)</f>
        <v>-1</v>
      </c>
      <c r="V823" s="53" t="n">
        <f aca="false">IF(U823&lt;0,IF(S823=1,5,0),IF(U823&lt;=30,1,IF(U823&lt;=60,2,IF(U823&lt;=90,3,4))))</f>
        <v>0</v>
      </c>
      <c r="W823" s="53" t="n">
        <f aca="false">IF(U823&lt;0,-1000000000000000,U823+ROW()/1000000)</f>
        <v>-1000000000000000</v>
      </c>
      <c r="X823" s="53" t="n">
        <f aca="false">IF(T823=1,IF(AND(ISNUMBER(F823),ISNUMBER(K823)),K823-F823,0),0)</f>
        <v>0</v>
      </c>
      <c r="Y823" s="53" t="n">
        <f aca="false">IF(T823=1,IF(AND(ISNUMBER(F823),ISNUMBER(K823)),1,0),0)</f>
        <v>0</v>
      </c>
      <c r="Z823" s="53" t="n">
        <f aca="false">IF(U823&gt;=Settings!$C$8,1,0)</f>
        <v>0</v>
      </c>
      <c r="AA823" s="53" t="n">
        <f aca="false">IF(S823=1,IF(J823="Listed / Publicado",0,1),0)</f>
        <v>0</v>
      </c>
      <c r="AB823" s="53" t="n">
        <f aca="false">IF(T823=1,IF(ISNUMBER(L823),L823-G823,0),0)</f>
        <v>0</v>
      </c>
      <c r="AC823" s="53" t="n">
        <f aca="false">IF(S823=1,IF(ISNUMBER(I823),I823-G823,0),0)</f>
        <v>0</v>
      </c>
    </row>
    <row r="824" customFormat="false" ht="15" hidden="false" customHeight="false" outlineLevel="0" collapsed="false">
      <c r="B824" s="54"/>
      <c r="C824" s="55"/>
      <c r="D824" s="55"/>
      <c r="E824" s="55"/>
      <c r="F824" s="56"/>
      <c r="G824" s="57"/>
      <c r="H824" s="55"/>
      <c r="I824" s="57"/>
      <c r="J824" s="54"/>
      <c r="K824" s="56"/>
      <c r="L824" s="57"/>
      <c r="M824" s="54"/>
      <c r="N824" s="58" t="str">
        <f aca="false">IF(S824=1,IF(U824&lt;0,"",U824),IF(Y824=1,X824,""))</f>
        <v/>
      </c>
      <c r="O824" s="59" t="str">
        <f aca="false">IF(S824=1,IF(ISNUMBER(I824),I824-G824,""),"")</f>
        <v/>
      </c>
      <c r="P824" s="59" t="str">
        <f aca="false">IF(T824=1,IF(ISNUMBER(L824),L824-G824,""),"")</f>
        <v/>
      </c>
      <c r="Q824" s="60" t="str">
        <f aca="false">IF(C824="","",IF(T824=1,"✔ SOLD / VENDIDO",IF(S824=0,"— CLOSED / CERRADO",IF(U824&lt;0,"⚠ ADD DATE / AGREGA FECHA",IF(U824&gt;=Settings!$C$8,"⚠ STALE – REPRICE / ESTANCADO",IF(U824&gt;=Settings!$C$7,"● WATCH / VIGILAR","✔ FRESH / RECIENTE"))))))</f>
        <v/>
      </c>
      <c r="S824" s="53" t="n">
        <f aca="false">IF(C824="",0,IF(OR(J824="",J824="In Stock / En Inventario",J824="Listed / Publicado"),1,0))</f>
        <v>0</v>
      </c>
      <c r="T824" s="53" t="n">
        <f aca="false">IF(C824="",0,IF(J824="Sold / Vendido",1,0))</f>
        <v>0</v>
      </c>
      <c r="U824" s="53" t="n">
        <f aca="true">IF(S824=1,IF(ISNUMBER(F824),TODAY()-F824,-1),-1)</f>
        <v>-1</v>
      </c>
      <c r="V824" s="53" t="n">
        <f aca="false">IF(U824&lt;0,IF(S824=1,5,0),IF(U824&lt;=30,1,IF(U824&lt;=60,2,IF(U824&lt;=90,3,4))))</f>
        <v>0</v>
      </c>
      <c r="W824" s="53" t="n">
        <f aca="false">IF(U824&lt;0,-1000000000000000,U824+ROW()/1000000)</f>
        <v>-1000000000000000</v>
      </c>
      <c r="X824" s="53" t="n">
        <f aca="false">IF(T824=1,IF(AND(ISNUMBER(F824),ISNUMBER(K824)),K824-F824,0),0)</f>
        <v>0</v>
      </c>
      <c r="Y824" s="53" t="n">
        <f aca="false">IF(T824=1,IF(AND(ISNUMBER(F824),ISNUMBER(K824)),1,0),0)</f>
        <v>0</v>
      </c>
      <c r="Z824" s="53" t="n">
        <f aca="false">IF(U824&gt;=Settings!$C$8,1,0)</f>
        <v>0</v>
      </c>
      <c r="AA824" s="53" t="n">
        <f aca="false">IF(S824=1,IF(J824="Listed / Publicado",0,1),0)</f>
        <v>0</v>
      </c>
      <c r="AB824" s="53" t="n">
        <f aca="false">IF(T824=1,IF(ISNUMBER(L824),L824-G824,0),0)</f>
        <v>0</v>
      </c>
      <c r="AC824" s="53" t="n">
        <f aca="false">IF(S824=1,IF(ISNUMBER(I824),I824-G824,0),0)</f>
        <v>0</v>
      </c>
    </row>
    <row r="825" customFormat="false" ht="15" hidden="false" customHeight="false" outlineLevel="0" collapsed="false">
      <c r="B825" s="54"/>
      <c r="C825" s="55"/>
      <c r="D825" s="55"/>
      <c r="E825" s="55"/>
      <c r="F825" s="56"/>
      <c r="G825" s="57"/>
      <c r="H825" s="55"/>
      <c r="I825" s="57"/>
      <c r="J825" s="54"/>
      <c r="K825" s="56"/>
      <c r="L825" s="57"/>
      <c r="M825" s="54"/>
      <c r="N825" s="58" t="str">
        <f aca="false">IF(S825=1,IF(U825&lt;0,"",U825),IF(Y825=1,X825,""))</f>
        <v/>
      </c>
      <c r="O825" s="59" t="str">
        <f aca="false">IF(S825=1,IF(ISNUMBER(I825),I825-G825,""),"")</f>
        <v/>
      </c>
      <c r="P825" s="59" t="str">
        <f aca="false">IF(T825=1,IF(ISNUMBER(L825),L825-G825,""),"")</f>
        <v/>
      </c>
      <c r="Q825" s="60" t="str">
        <f aca="false">IF(C825="","",IF(T825=1,"✔ SOLD / VENDIDO",IF(S825=0,"— CLOSED / CERRADO",IF(U825&lt;0,"⚠ ADD DATE / AGREGA FECHA",IF(U825&gt;=Settings!$C$8,"⚠ STALE – REPRICE / ESTANCADO",IF(U825&gt;=Settings!$C$7,"● WATCH / VIGILAR","✔ FRESH / RECIENTE"))))))</f>
        <v/>
      </c>
      <c r="S825" s="53" t="n">
        <f aca="false">IF(C825="",0,IF(OR(J825="",J825="In Stock / En Inventario",J825="Listed / Publicado"),1,0))</f>
        <v>0</v>
      </c>
      <c r="T825" s="53" t="n">
        <f aca="false">IF(C825="",0,IF(J825="Sold / Vendido",1,0))</f>
        <v>0</v>
      </c>
      <c r="U825" s="53" t="n">
        <f aca="true">IF(S825=1,IF(ISNUMBER(F825),TODAY()-F825,-1),-1)</f>
        <v>-1</v>
      </c>
      <c r="V825" s="53" t="n">
        <f aca="false">IF(U825&lt;0,IF(S825=1,5,0),IF(U825&lt;=30,1,IF(U825&lt;=60,2,IF(U825&lt;=90,3,4))))</f>
        <v>0</v>
      </c>
      <c r="W825" s="53" t="n">
        <f aca="false">IF(U825&lt;0,-1000000000000000,U825+ROW()/1000000)</f>
        <v>-1000000000000000</v>
      </c>
      <c r="X825" s="53" t="n">
        <f aca="false">IF(T825=1,IF(AND(ISNUMBER(F825),ISNUMBER(K825)),K825-F825,0),0)</f>
        <v>0</v>
      </c>
      <c r="Y825" s="53" t="n">
        <f aca="false">IF(T825=1,IF(AND(ISNUMBER(F825),ISNUMBER(K825)),1,0),0)</f>
        <v>0</v>
      </c>
      <c r="Z825" s="53" t="n">
        <f aca="false">IF(U825&gt;=Settings!$C$8,1,0)</f>
        <v>0</v>
      </c>
      <c r="AA825" s="53" t="n">
        <f aca="false">IF(S825=1,IF(J825="Listed / Publicado",0,1),0)</f>
        <v>0</v>
      </c>
      <c r="AB825" s="53" t="n">
        <f aca="false">IF(T825=1,IF(ISNUMBER(L825),L825-G825,0),0)</f>
        <v>0</v>
      </c>
      <c r="AC825" s="53" t="n">
        <f aca="false">IF(S825=1,IF(ISNUMBER(I825),I825-G825,0),0)</f>
        <v>0</v>
      </c>
    </row>
    <row r="826" customFormat="false" ht="15" hidden="false" customHeight="false" outlineLevel="0" collapsed="false">
      <c r="B826" s="54"/>
      <c r="C826" s="55"/>
      <c r="D826" s="55"/>
      <c r="E826" s="55"/>
      <c r="F826" s="56"/>
      <c r="G826" s="57"/>
      <c r="H826" s="55"/>
      <c r="I826" s="57"/>
      <c r="J826" s="54"/>
      <c r="K826" s="56"/>
      <c r="L826" s="57"/>
      <c r="M826" s="54"/>
      <c r="N826" s="58" t="str">
        <f aca="false">IF(S826=1,IF(U826&lt;0,"",U826),IF(Y826=1,X826,""))</f>
        <v/>
      </c>
      <c r="O826" s="59" t="str">
        <f aca="false">IF(S826=1,IF(ISNUMBER(I826),I826-G826,""),"")</f>
        <v/>
      </c>
      <c r="P826" s="59" t="str">
        <f aca="false">IF(T826=1,IF(ISNUMBER(L826),L826-G826,""),"")</f>
        <v/>
      </c>
      <c r="Q826" s="60" t="str">
        <f aca="false">IF(C826="","",IF(T826=1,"✔ SOLD / VENDIDO",IF(S826=0,"— CLOSED / CERRADO",IF(U826&lt;0,"⚠ ADD DATE / AGREGA FECHA",IF(U826&gt;=Settings!$C$8,"⚠ STALE – REPRICE / ESTANCADO",IF(U826&gt;=Settings!$C$7,"● WATCH / VIGILAR","✔ FRESH / RECIENTE"))))))</f>
        <v/>
      </c>
      <c r="S826" s="53" t="n">
        <f aca="false">IF(C826="",0,IF(OR(J826="",J826="In Stock / En Inventario",J826="Listed / Publicado"),1,0))</f>
        <v>0</v>
      </c>
      <c r="T826" s="53" t="n">
        <f aca="false">IF(C826="",0,IF(J826="Sold / Vendido",1,0))</f>
        <v>0</v>
      </c>
      <c r="U826" s="53" t="n">
        <f aca="true">IF(S826=1,IF(ISNUMBER(F826),TODAY()-F826,-1),-1)</f>
        <v>-1</v>
      </c>
      <c r="V826" s="53" t="n">
        <f aca="false">IF(U826&lt;0,IF(S826=1,5,0),IF(U826&lt;=30,1,IF(U826&lt;=60,2,IF(U826&lt;=90,3,4))))</f>
        <v>0</v>
      </c>
      <c r="W826" s="53" t="n">
        <f aca="false">IF(U826&lt;0,-1000000000000000,U826+ROW()/1000000)</f>
        <v>-1000000000000000</v>
      </c>
      <c r="X826" s="53" t="n">
        <f aca="false">IF(T826=1,IF(AND(ISNUMBER(F826),ISNUMBER(K826)),K826-F826,0),0)</f>
        <v>0</v>
      </c>
      <c r="Y826" s="53" t="n">
        <f aca="false">IF(T826=1,IF(AND(ISNUMBER(F826),ISNUMBER(K826)),1,0),0)</f>
        <v>0</v>
      </c>
      <c r="Z826" s="53" t="n">
        <f aca="false">IF(U826&gt;=Settings!$C$8,1,0)</f>
        <v>0</v>
      </c>
      <c r="AA826" s="53" t="n">
        <f aca="false">IF(S826=1,IF(J826="Listed / Publicado",0,1),0)</f>
        <v>0</v>
      </c>
      <c r="AB826" s="53" t="n">
        <f aca="false">IF(T826=1,IF(ISNUMBER(L826),L826-G826,0),0)</f>
        <v>0</v>
      </c>
      <c r="AC826" s="53" t="n">
        <f aca="false">IF(S826=1,IF(ISNUMBER(I826),I826-G826,0),0)</f>
        <v>0</v>
      </c>
    </row>
    <row r="827" customFormat="false" ht="15" hidden="false" customHeight="false" outlineLevel="0" collapsed="false">
      <c r="B827" s="54"/>
      <c r="C827" s="55"/>
      <c r="D827" s="55"/>
      <c r="E827" s="55"/>
      <c r="F827" s="56"/>
      <c r="G827" s="57"/>
      <c r="H827" s="55"/>
      <c r="I827" s="57"/>
      <c r="J827" s="54"/>
      <c r="K827" s="56"/>
      <c r="L827" s="57"/>
      <c r="M827" s="54"/>
      <c r="N827" s="58" t="str">
        <f aca="false">IF(S827=1,IF(U827&lt;0,"",U827),IF(Y827=1,X827,""))</f>
        <v/>
      </c>
      <c r="O827" s="59" t="str">
        <f aca="false">IF(S827=1,IF(ISNUMBER(I827),I827-G827,""),"")</f>
        <v/>
      </c>
      <c r="P827" s="59" t="str">
        <f aca="false">IF(T827=1,IF(ISNUMBER(L827),L827-G827,""),"")</f>
        <v/>
      </c>
      <c r="Q827" s="60" t="str">
        <f aca="false">IF(C827="","",IF(T827=1,"✔ SOLD / VENDIDO",IF(S827=0,"— CLOSED / CERRADO",IF(U827&lt;0,"⚠ ADD DATE / AGREGA FECHA",IF(U827&gt;=Settings!$C$8,"⚠ STALE – REPRICE / ESTANCADO",IF(U827&gt;=Settings!$C$7,"● WATCH / VIGILAR","✔ FRESH / RECIENTE"))))))</f>
        <v/>
      </c>
      <c r="S827" s="53" t="n">
        <f aca="false">IF(C827="",0,IF(OR(J827="",J827="In Stock / En Inventario",J827="Listed / Publicado"),1,0))</f>
        <v>0</v>
      </c>
      <c r="T827" s="53" t="n">
        <f aca="false">IF(C827="",0,IF(J827="Sold / Vendido",1,0))</f>
        <v>0</v>
      </c>
      <c r="U827" s="53" t="n">
        <f aca="true">IF(S827=1,IF(ISNUMBER(F827),TODAY()-F827,-1),-1)</f>
        <v>-1</v>
      </c>
      <c r="V827" s="53" t="n">
        <f aca="false">IF(U827&lt;0,IF(S827=1,5,0),IF(U827&lt;=30,1,IF(U827&lt;=60,2,IF(U827&lt;=90,3,4))))</f>
        <v>0</v>
      </c>
      <c r="W827" s="53" t="n">
        <f aca="false">IF(U827&lt;0,-1000000000000000,U827+ROW()/1000000)</f>
        <v>-1000000000000000</v>
      </c>
      <c r="X827" s="53" t="n">
        <f aca="false">IF(T827=1,IF(AND(ISNUMBER(F827),ISNUMBER(K827)),K827-F827,0),0)</f>
        <v>0</v>
      </c>
      <c r="Y827" s="53" t="n">
        <f aca="false">IF(T827=1,IF(AND(ISNUMBER(F827),ISNUMBER(K827)),1,0),0)</f>
        <v>0</v>
      </c>
      <c r="Z827" s="53" t="n">
        <f aca="false">IF(U827&gt;=Settings!$C$8,1,0)</f>
        <v>0</v>
      </c>
      <c r="AA827" s="53" t="n">
        <f aca="false">IF(S827=1,IF(J827="Listed / Publicado",0,1),0)</f>
        <v>0</v>
      </c>
      <c r="AB827" s="53" t="n">
        <f aca="false">IF(T827=1,IF(ISNUMBER(L827),L827-G827,0),0)</f>
        <v>0</v>
      </c>
      <c r="AC827" s="53" t="n">
        <f aca="false">IF(S827=1,IF(ISNUMBER(I827),I827-G827,0),0)</f>
        <v>0</v>
      </c>
    </row>
    <row r="828" customFormat="false" ht="15" hidden="false" customHeight="false" outlineLevel="0" collapsed="false">
      <c r="B828" s="54"/>
      <c r="C828" s="55"/>
      <c r="D828" s="55"/>
      <c r="E828" s="55"/>
      <c r="F828" s="56"/>
      <c r="G828" s="57"/>
      <c r="H828" s="55"/>
      <c r="I828" s="57"/>
      <c r="J828" s="54"/>
      <c r="K828" s="56"/>
      <c r="L828" s="57"/>
      <c r="M828" s="54"/>
      <c r="N828" s="58" t="str">
        <f aca="false">IF(S828=1,IF(U828&lt;0,"",U828),IF(Y828=1,X828,""))</f>
        <v/>
      </c>
      <c r="O828" s="59" t="str">
        <f aca="false">IF(S828=1,IF(ISNUMBER(I828),I828-G828,""),"")</f>
        <v/>
      </c>
      <c r="P828" s="59" t="str">
        <f aca="false">IF(T828=1,IF(ISNUMBER(L828),L828-G828,""),"")</f>
        <v/>
      </c>
      <c r="Q828" s="60" t="str">
        <f aca="false">IF(C828="","",IF(T828=1,"✔ SOLD / VENDIDO",IF(S828=0,"— CLOSED / CERRADO",IF(U828&lt;0,"⚠ ADD DATE / AGREGA FECHA",IF(U828&gt;=Settings!$C$8,"⚠ STALE – REPRICE / ESTANCADO",IF(U828&gt;=Settings!$C$7,"● WATCH / VIGILAR","✔ FRESH / RECIENTE"))))))</f>
        <v/>
      </c>
      <c r="S828" s="53" t="n">
        <f aca="false">IF(C828="",0,IF(OR(J828="",J828="In Stock / En Inventario",J828="Listed / Publicado"),1,0))</f>
        <v>0</v>
      </c>
      <c r="T828" s="53" t="n">
        <f aca="false">IF(C828="",0,IF(J828="Sold / Vendido",1,0))</f>
        <v>0</v>
      </c>
      <c r="U828" s="53" t="n">
        <f aca="true">IF(S828=1,IF(ISNUMBER(F828),TODAY()-F828,-1),-1)</f>
        <v>-1</v>
      </c>
      <c r="V828" s="53" t="n">
        <f aca="false">IF(U828&lt;0,IF(S828=1,5,0),IF(U828&lt;=30,1,IF(U828&lt;=60,2,IF(U828&lt;=90,3,4))))</f>
        <v>0</v>
      </c>
      <c r="W828" s="53" t="n">
        <f aca="false">IF(U828&lt;0,-1000000000000000,U828+ROW()/1000000)</f>
        <v>-1000000000000000</v>
      </c>
      <c r="X828" s="53" t="n">
        <f aca="false">IF(T828=1,IF(AND(ISNUMBER(F828),ISNUMBER(K828)),K828-F828,0),0)</f>
        <v>0</v>
      </c>
      <c r="Y828" s="53" t="n">
        <f aca="false">IF(T828=1,IF(AND(ISNUMBER(F828),ISNUMBER(K828)),1,0),0)</f>
        <v>0</v>
      </c>
      <c r="Z828" s="53" t="n">
        <f aca="false">IF(U828&gt;=Settings!$C$8,1,0)</f>
        <v>0</v>
      </c>
      <c r="AA828" s="53" t="n">
        <f aca="false">IF(S828=1,IF(J828="Listed / Publicado",0,1),0)</f>
        <v>0</v>
      </c>
      <c r="AB828" s="53" t="n">
        <f aca="false">IF(T828=1,IF(ISNUMBER(L828),L828-G828,0),0)</f>
        <v>0</v>
      </c>
      <c r="AC828" s="53" t="n">
        <f aca="false">IF(S828=1,IF(ISNUMBER(I828),I828-G828,0),0)</f>
        <v>0</v>
      </c>
    </row>
    <row r="829" customFormat="false" ht="15" hidden="false" customHeight="false" outlineLevel="0" collapsed="false">
      <c r="B829" s="54"/>
      <c r="C829" s="55"/>
      <c r="D829" s="55"/>
      <c r="E829" s="55"/>
      <c r="F829" s="56"/>
      <c r="G829" s="57"/>
      <c r="H829" s="55"/>
      <c r="I829" s="57"/>
      <c r="J829" s="54"/>
      <c r="K829" s="56"/>
      <c r="L829" s="57"/>
      <c r="M829" s="54"/>
      <c r="N829" s="58" t="str">
        <f aca="false">IF(S829=1,IF(U829&lt;0,"",U829),IF(Y829=1,X829,""))</f>
        <v/>
      </c>
      <c r="O829" s="59" t="str">
        <f aca="false">IF(S829=1,IF(ISNUMBER(I829),I829-G829,""),"")</f>
        <v/>
      </c>
      <c r="P829" s="59" t="str">
        <f aca="false">IF(T829=1,IF(ISNUMBER(L829),L829-G829,""),"")</f>
        <v/>
      </c>
      <c r="Q829" s="60" t="str">
        <f aca="false">IF(C829="","",IF(T829=1,"✔ SOLD / VENDIDO",IF(S829=0,"— CLOSED / CERRADO",IF(U829&lt;0,"⚠ ADD DATE / AGREGA FECHA",IF(U829&gt;=Settings!$C$8,"⚠ STALE – REPRICE / ESTANCADO",IF(U829&gt;=Settings!$C$7,"● WATCH / VIGILAR","✔ FRESH / RECIENTE"))))))</f>
        <v/>
      </c>
      <c r="S829" s="53" t="n">
        <f aca="false">IF(C829="",0,IF(OR(J829="",J829="In Stock / En Inventario",J829="Listed / Publicado"),1,0))</f>
        <v>0</v>
      </c>
      <c r="T829" s="53" t="n">
        <f aca="false">IF(C829="",0,IF(J829="Sold / Vendido",1,0))</f>
        <v>0</v>
      </c>
      <c r="U829" s="53" t="n">
        <f aca="true">IF(S829=1,IF(ISNUMBER(F829),TODAY()-F829,-1),-1)</f>
        <v>-1</v>
      </c>
      <c r="V829" s="53" t="n">
        <f aca="false">IF(U829&lt;0,IF(S829=1,5,0),IF(U829&lt;=30,1,IF(U829&lt;=60,2,IF(U829&lt;=90,3,4))))</f>
        <v>0</v>
      </c>
      <c r="W829" s="53" t="n">
        <f aca="false">IF(U829&lt;0,-1000000000000000,U829+ROW()/1000000)</f>
        <v>-1000000000000000</v>
      </c>
      <c r="X829" s="53" t="n">
        <f aca="false">IF(T829=1,IF(AND(ISNUMBER(F829),ISNUMBER(K829)),K829-F829,0),0)</f>
        <v>0</v>
      </c>
      <c r="Y829" s="53" t="n">
        <f aca="false">IF(T829=1,IF(AND(ISNUMBER(F829),ISNUMBER(K829)),1,0),0)</f>
        <v>0</v>
      </c>
      <c r="Z829" s="53" t="n">
        <f aca="false">IF(U829&gt;=Settings!$C$8,1,0)</f>
        <v>0</v>
      </c>
      <c r="AA829" s="53" t="n">
        <f aca="false">IF(S829=1,IF(J829="Listed / Publicado",0,1),0)</f>
        <v>0</v>
      </c>
      <c r="AB829" s="53" t="n">
        <f aca="false">IF(T829=1,IF(ISNUMBER(L829),L829-G829,0),0)</f>
        <v>0</v>
      </c>
      <c r="AC829" s="53" t="n">
        <f aca="false">IF(S829=1,IF(ISNUMBER(I829),I829-G829,0),0)</f>
        <v>0</v>
      </c>
    </row>
    <row r="830" customFormat="false" ht="15" hidden="false" customHeight="false" outlineLevel="0" collapsed="false">
      <c r="B830" s="54"/>
      <c r="C830" s="55"/>
      <c r="D830" s="55"/>
      <c r="E830" s="55"/>
      <c r="F830" s="56"/>
      <c r="G830" s="57"/>
      <c r="H830" s="55"/>
      <c r="I830" s="57"/>
      <c r="J830" s="54"/>
      <c r="K830" s="56"/>
      <c r="L830" s="57"/>
      <c r="M830" s="54"/>
      <c r="N830" s="58" t="str">
        <f aca="false">IF(S830=1,IF(U830&lt;0,"",U830),IF(Y830=1,X830,""))</f>
        <v/>
      </c>
      <c r="O830" s="59" t="str">
        <f aca="false">IF(S830=1,IF(ISNUMBER(I830),I830-G830,""),"")</f>
        <v/>
      </c>
      <c r="P830" s="59" t="str">
        <f aca="false">IF(T830=1,IF(ISNUMBER(L830),L830-G830,""),"")</f>
        <v/>
      </c>
      <c r="Q830" s="60" t="str">
        <f aca="false">IF(C830="","",IF(T830=1,"✔ SOLD / VENDIDO",IF(S830=0,"— CLOSED / CERRADO",IF(U830&lt;0,"⚠ ADD DATE / AGREGA FECHA",IF(U830&gt;=Settings!$C$8,"⚠ STALE – REPRICE / ESTANCADO",IF(U830&gt;=Settings!$C$7,"● WATCH / VIGILAR","✔ FRESH / RECIENTE"))))))</f>
        <v/>
      </c>
      <c r="S830" s="53" t="n">
        <f aca="false">IF(C830="",0,IF(OR(J830="",J830="In Stock / En Inventario",J830="Listed / Publicado"),1,0))</f>
        <v>0</v>
      </c>
      <c r="T830" s="53" t="n">
        <f aca="false">IF(C830="",0,IF(J830="Sold / Vendido",1,0))</f>
        <v>0</v>
      </c>
      <c r="U830" s="53" t="n">
        <f aca="true">IF(S830=1,IF(ISNUMBER(F830),TODAY()-F830,-1),-1)</f>
        <v>-1</v>
      </c>
      <c r="V830" s="53" t="n">
        <f aca="false">IF(U830&lt;0,IF(S830=1,5,0),IF(U830&lt;=30,1,IF(U830&lt;=60,2,IF(U830&lt;=90,3,4))))</f>
        <v>0</v>
      </c>
      <c r="W830" s="53" t="n">
        <f aca="false">IF(U830&lt;0,-1000000000000000,U830+ROW()/1000000)</f>
        <v>-1000000000000000</v>
      </c>
      <c r="X830" s="53" t="n">
        <f aca="false">IF(T830=1,IF(AND(ISNUMBER(F830),ISNUMBER(K830)),K830-F830,0),0)</f>
        <v>0</v>
      </c>
      <c r="Y830" s="53" t="n">
        <f aca="false">IF(T830=1,IF(AND(ISNUMBER(F830),ISNUMBER(K830)),1,0),0)</f>
        <v>0</v>
      </c>
      <c r="Z830" s="53" t="n">
        <f aca="false">IF(U830&gt;=Settings!$C$8,1,0)</f>
        <v>0</v>
      </c>
      <c r="AA830" s="53" t="n">
        <f aca="false">IF(S830=1,IF(J830="Listed / Publicado",0,1),0)</f>
        <v>0</v>
      </c>
      <c r="AB830" s="53" t="n">
        <f aca="false">IF(T830=1,IF(ISNUMBER(L830),L830-G830,0),0)</f>
        <v>0</v>
      </c>
      <c r="AC830" s="53" t="n">
        <f aca="false">IF(S830=1,IF(ISNUMBER(I830),I830-G830,0),0)</f>
        <v>0</v>
      </c>
    </row>
    <row r="831" customFormat="false" ht="15" hidden="false" customHeight="false" outlineLevel="0" collapsed="false">
      <c r="B831" s="54"/>
      <c r="C831" s="55"/>
      <c r="D831" s="55"/>
      <c r="E831" s="55"/>
      <c r="F831" s="56"/>
      <c r="G831" s="57"/>
      <c r="H831" s="55"/>
      <c r="I831" s="57"/>
      <c r="J831" s="54"/>
      <c r="K831" s="56"/>
      <c r="L831" s="57"/>
      <c r="M831" s="54"/>
      <c r="N831" s="58" t="str">
        <f aca="false">IF(S831=1,IF(U831&lt;0,"",U831),IF(Y831=1,X831,""))</f>
        <v/>
      </c>
      <c r="O831" s="59" t="str">
        <f aca="false">IF(S831=1,IF(ISNUMBER(I831),I831-G831,""),"")</f>
        <v/>
      </c>
      <c r="P831" s="59" t="str">
        <f aca="false">IF(T831=1,IF(ISNUMBER(L831),L831-G831,""),"")</f>
        <v/>
      </c>
      <c r="Q831" s="60" t="str">
        <f aca="false">IF(C831="","",IF(T831=1,"✔ SOLD / VENDIDO",IF(S831=0,"— CLOSED / CERRADO",IF(U831&lt;0,"⚠ ADD DATE / AGREGA FECHA",IF(U831&gt;=Settings!$C$8,"⚠ STALE – REPRICE / ESTANCADO",IF(U831&gt;=Settings!$C$7,"● WATCH / VIGILAR","✔ FRESH / RECIENTE"))))))</f>
        <v/>
      </c>
      <c r="S831" s="53" t="n">
        <f aca="false">IF(C831="",0,IF(OR(J831="",J831="In Stock / En Inventario",J831="Listed / Publicado"),1,0))</f>
        <v>0</v>
      </c>
      <c r="T831" s="53" t="n">
        <f aca="false">IF(C831="",0,IF(J831="Sold / Vendido",1,0))</f>
        <v>0</v>
      </c>
      <c r="U831" s="53" t="n">
        <f aca="true">IF(S831=1,IF(ISNUMBER(F831),TODAY()-F831,-1),-1)</f>
        <v>-1</v>
      </c>
      <c r="V831" s="53" t="n">
        <f aca="false">IF(U831&lt;0,IF(S831=1,5,0),IF(U831&lt;=30,1,IF(U831&lt;=60,2,IF(U831&lt;=90,3,4))))</f>
        <v>0</v>
      </c>
      <c r="W831" s="53" t="n">
        <f aca="false">IF(U831&lt;0,-1000000000000000,U831+ROW()/1000000)</f>
        <v>-1000000000000000</v>
      </c>
      <c r="X831" s="53" t="n">
        <f aca="false">IF(T831=1,IF(AND(ISNUMBER(F831),ISNUMBER(K831)),K831-F831,0),0)</f>
        <v>0</v>
      </c>
      <c r="Y831" s="53" t="n">
        <f aca="false">IF(T831=1,IF(AND(ISNUMBER(F831),ISNUMBER(K831)),1,0),0)</f>
        <v>0</v>
      </c>
      <c r="Z831" s="53" t="n">
        <f aca="false">IF(U831&gt;=Settings!$C$8,1,0)</f>
        <v>0</v>
      </c>
      <c r="AA831" s="53" t="n">
        <f aca="false">IF(S831=1,IF(J831="Listed / Publicado",0,1),0)</f>
        <v>0</v>
      </c>
      <c r="AB831" s="53" t="n">
        <f aca="false">IF(T831=1,IF(ISNUMBER(L831),L831-G831,0),0)</f>
        <v>0</v>
      </c>
      <c r="AC831" s="53" t="n">
        <f aca="false">IF(S831=1,IF(ISNUMBER(I831),I831-G831,0),0)</f>
        <v>0</v>
      </c>
    </row>
    <row r="832" customFormat="false" ht="15" hidden="false" customHeight="false" outlineLevel="0" collapsed="false">
      <c r="B832" s="54"/>
      <c r="C832" s="55"/>
      <c r="D832" s="55"/>
      <c r="E832" s="55"/>
      <c r="F832" s="56"/>
      <c r="G832" s="57"/>
      <c r="H832" s="55"/>
      <c r="I832" s="57"/>
      <c r="J832" s="54"/>
      <c r="K832" s="56"/>
      <c r="L832" s="57"/>
      <c r="M832" s="54"/>
      <c r="N832" s="58" t="str">
        <f aca="false">IF(S832=1,IF(U832&lt;0,"",U832),IF(Y832=1,X832,""))</f>
        <v/>
      </c>
      <c r="O832" s="59" t="str">
        <f aca="false">IF(S832=1,IF(ISNUMBER(I832),I832-G832,""),"")</f>
        <v/>
      </c>
      <c r="P832" s="59" t="str">
        <f aca="false">IF(T832=1,IF(ISNUMBER(L832),L832-G832,""),"")</f>
        <v/>
      </c>
      <c r="Q832" s="60" t="str">
        <f aca="false">IF(C832="","",IF(T832=1,"✔ SOLD / VENDIDO",IF(S832=0,"— CLOSED / CERRADO",IF(U832&lt;0,"⚠ ADD DATE / AGREGA FECHA",IF(U832&gt;=Settings!$C$8,"⚠ STALE – REPRICE / ESTANCADO",IF(U832&gt;=Settings!$C$7,"● WATCH / VIGILAR","✔ FRESH / RECIENTE"))))))</f>
        <v/>
      </c>
      <c r="S832" s="53" t="n">
        <f aca="false">IF(C832="",0,IF(OR(J832="",J832="In Stock / En Inventario",J832="Listed / Publicado"),1,0))</f>
        <v>0</v>
      </c>
      <c r="T832" s="53" t="n">
        <f aca="false">IF(C832="",0,IF(J832="Sold / Vendido",1,0))</f>
        <v>0</v>
      </c>
      <c r="U832" s="53" t="n">
        <f aca="true">IF(S832=1,IF(ISNUMBER(F832),TODAY()-F832,-1),-1)</f>
        <v>-1</v>
      </c>
      <c r="V832" s="53" t="n">
        <f aca="false">IF(U832&lt;0,IF(S832=1,5,0),IF(U832&lt;=30,1,IF(U832&lt;=60,2,IF(U832&lt;=90,3,4))))</f>
        <v>0</v>
      </c>
      <c r="W832" s="53" t="n">
        <f aca="false">IF(U832&lt;0,-1000000000000000,U832+ROW()/1000000)</f>
        <v>-1000000000000000</v>
      </c>
      <c r="X832" s="53" t="n">
        <f aca="false">IF(T832=1,IF(AND(ISNUMBER(F832),ISNUMBER(K832)),K832-F832,0),0)</f>
        <v>0</v>
      </c>
      <c r="Y832" s="53" t="n">
        <f aca="false">IF(T832=1,IF(AND(ISNUMBER(F832),ISNUMBER(K832)),1,0),0)</f>
        <v>0</v>
      </c>
      <c r="Z832" s="53" t="n">
        <f aca="false">IF(U832&gt;=Settings!$C$8,1,0)</f>
        <v>0</v>
      </c>
      <c r="AA832" s="53" t="n">
        <f aca="false">IF(S832=1,IF(J832="Listed / Publicado",0,1),0)</f>
        <v>0</v>
      </c>
      <c r="AB832" s="53" t="n">
        <f aca="false">IF(T832=1,IF(ISNUMBER(L832),L832-G832,0),0)</f>
        <v>0</v>
      </c>
      <c r="AC832" s="53" t="n">
        <f aca="false">IF(S832=1,IF(ISNUMBER(I832),I832-G832,0),0)</f>
        <v>0</v>
      </c>
    </row>
    <row r="833" customFormat="false" ht="15" hidden="false" customHeight="false" outlineLevel="0" collapsed="false">
      <c r="B833" s="54"/>
      <c r="C833" s="55"/>
      <c r="D833" s="55"/>
      <c r="E833" s="55"/>
      <c r="F833" s="56"/>
      <c r="G833" s="57"/>
      <c r="H833" s="55"/>
      <c r="I833" s="57"/>
      <c r="J833" s="54"/>
      <c r="K833" s="56"/>
      <c r="L833" s="57"/>
      <c r="M833" s="54"/>
      <c r="N833" s="58" t="str">
        <f aca="false">IF(S833=1,IF(U833&lt;0,"",U833),IF(Y833=1,X833,""))</f>
        <v/>
      </c>
      <c r="O833" s="59" t="str">
        <f aca="false">IF(S833=1,IF(ISNUMBER(I833),I833-G833,""),"")</f>
        <v/>
      </c>
      <c r="P833" s="59" t="str">
        <f aca="false">IF(T833=1,IF(ISNUMBER(L833),L833-G833,""),"")</f>
        <v/>
      </c>
      <c r="Q833" s="60" t="str">
        <f aca="false">IF(C833="","",IF(T833=1,"✔ SOLD / VENDIDO",IF(S833=0,"— CLOSED / CERRADO",IF(U833&lt;0,"⚠ ADD DATE / AGREGA FECHA",IF(U833&gt;=Settings!$C$8,"⚠ STALE – REPRICE / ESTANCADO",IF(U833&gt;=Settings!$C$7,"● WATCH / VIGILAR","✔ FRESH / RECIENTE"))))))</f>
        <v/>
      </c>
      <c r="S833" s="53" t="n">
        <f aca="false">IF(C833="",0,IF(OR(J833="",J833="In Stock / En Inventario",J833="Listed / Publicado"),1,0))</f>
        <v>0</v>
      </c>
      <c r="T833" s="53" t="n">
        <f aca="false">IF(C833="",0,IF(J833="Sold / Vendido",1,0))</f>
        <v>0</v>
      </c>
      <c r="U833" s="53" t="n">
        <f aca="true">IF(S833=1,IF(ISNUMBER(F833),TODAY()-F833,-1),-1)</f>
        <v>-1</v>
      </c>
      <c r="V833" s="53" t="n">
        <f aca="false">IF(U833&lt;0,IF(S833=1,5,0),IF(U833&lt;=30,1,IF(U833&lt;=60,2,IF(U833&lt;=90,3,4))))</f>
        <v>0</v>
      </c>
      <c r="W833" s="53" t="n">
        <f aca="false">IF(U833&lt;0,-1000000000000000,U833+ROW()/1000000)</f>
        <v>-1000000000000000</v>
      </c>
      <c r="X833" s="53" t="n">
        <f aca="false">IF(T833=1,IF(AND(ISNUMBER(F833),ISNUMBER(K833)),K833-F833,0),0)</f>
        <v>0</v>
      </c>
      <c r="Y833" s="53" t="n">
        <f aca="false">IF(T833=1,IF(AND(ISNUMBER(F833),ISNUMBER(K833)),1,0),0)</f>
        <v>0</v>
      </c>
      <c r="Z833" s="53" t="n">
        <f aca="false">IF(U833&gt;=Settings!$C$8,1,0)</f>
        <v>0</v>
      </c>
      <c r="AA833" s="53" t="n">
        <f aca="false">IF(S833=1,IF(J833="Listed / Publicado",0,1),0)</f>
        <v>0</v>
      </c>
      <c r="AB833" s="53" t="n">
        <f aca="false">IF(T833=1,IF(ISNUMBER(L833),L833-G833,0),0)</f>
        <v>0</v>
      </c>
      <c r="AC833" s="53" t="n">
        <f aca="false">IF(S833=1,IF(ISNUMBER(I833),I833-G833,0),0)</f>
        <v>0</v>
      </c>
    </row>
    <row r="834" customFormat="false" ht="15" hidden="false" customHeight="false" outlineLevel="0" collapsed="false">
      <c r="B834" s="54"/>
      <c r="C834" s="55"/>
      <c r="D834" s="55"/>
      <c r="E834" s="55"/>
      <c r="F834" s="56"/>
      <c r="G834" s="57"/>
      <c r="H834" s="55"/>
      <c r="I834" s="57"/>
      <c r="J834" s="54"/>
      <c r="K834" s="56"/>
      <c r="L834" s="57"/>
      <c r="M834" s="54"/>
      <c r="N834" s="58" t="str">
        <f aca="false">IF(S834=1,IF(U834&lt;0,"",U834),IF(Y834=1,X834,""))</f>
        <v/>
      </c>
      <c r="O834" s="59" t="str">
        <f aca="false">IF(S834=1,IF(ISNUMBER(I834),I834-G834,""),"")</f>
        <v/>
      </c>
      <c r="P834" s="59" t="str">
        <f aca="false">IF(T834=1,IF(ISNUMBER(L834),L834-G834,""),"")</f>
        <v/>
      </c>
      <c r="Q834" s="60" t="str">
        <f aca="false">IF(C834="","",IF(T834=1,"✔ SOLD / VENDIDO",IF(S834=0,"— CLOSED / CERRADO",IF(U834&lt;0,"⚠ ADD DATE / AGREGA FECHA",IF(U834&gt;=Settings!$C$8,"⚠ STALE – REPRICE / ESTANCADO",IF(U834&gt;=Settings!$C$7,"● WATCH / VIGILAR","✔ FRESH / RECIENTE"))))))</f>
        <v/>
      </c>
      <c r="S834" s="53" t="n">
        <f aca="false">IF(C834="",0,IF(OR(J834="",J834="In Stock / En Inventario",J834="Listed / Publicado"),1,0))</f>
        <v>0</v>
      </c>
      <c r="T834" s="53" t="n">
        <f aca="false">IF(C834="",0,IF(J834="Sold / Vendido",1,0))</f>
        <v>0</v>
      </c>
      <c r="U834" s="53" t="n">
        <f aca="true">IF(S834=1,IF(ISNUMBER(F834),TODAY()-F834,-1),-1)</f>
        <v>-1</v>
      </c>
      <c r="V834" s="53" t="n">
        <f aca="false">IF(U834&lt;0,IF(S834=1,5,0),IF(U834&lt;=30,1,IF(U834&lt;=60,2,IF(U834&lt;=90,3,4))))</f>
        <v>0</v>
      </c>
      <c r="W834" s="53" t="n">
        <f aca="false">IF(U834&lt;0,-1000000000000000,U834+ROW()/1000000)</f>
        <v>-1000000000000000</v>
      </c>
      <c r="X834" s="53" t="n">
        <f aca="false">IF(T834=1,IF(AND(ISNUMBER(F834),ISNUMBER(K834)),K834-F834,0),0)</f>
        <v>0</v>
      </c>
      <c r="Y834" s="53" t="n">
        <f aca="false">IF(T834=1,IF(AND(ISNUMBER(F834),ISNUMBER(K834)),1,0),0)</f>
        <v>0</v>
      </c>
      <c r="Z834" s="53" t="n">
        <f aca="false">IF(U834&gt;=Settings!$C$8,1,0)</f>
        <v>0</v>
      </c>
      <c r="AA834" s="53" t="n">
        <f aca="false">IF(S834=1,IF(J834="Listed / Publicado",0,1),0)</f>
        <v>0</v>
      </c>
      <c r="AB834" s="53" t="n">
        <f aca="false">IF(T834=1,IF(ISNUMBER(L834),L834-G834,0),0)</f>
        <v>0</v>
      </c>
      <c r="AC834" s="53" t="n">
        <f aca="false">IF(S834=1,IF(ISNUMBER(I834),I834-G834,0),0)</f>
        <v>0</v>
      </c>
    </row>
    <row r="835" customFormat="false" ht="15" hidden="false" customHeight="false" outlineLevel="0" collapsed="false">
      <c r="B835" s="54"/>
      <c r="C835" s="55"/>
      <c r="D835" s="55"/>
      <c r="E835" s="55"/>
      <c r="F835" s="56"/>
      <c r="G835" s="57"/>
      <c r="H835" s="55"/>
      <c r="I835" s="57"/>
      <c r="J835" s="54"/>
      <c r="K835" s="56"/>
      <c r="L835" s="57"/>
      <c r="M835" s="54"/>
      <c r="N835" s="58" t="str">
        <f aca="false">IF(S835=1,IF(U835&lt;0,"",U835),IF(Y835=1,X835,""))</f>
        <v/>
      </c>
      <c r="O835" s="59" t="str">
        <f aca="false">IF(S835=1,IF(ISNUMBER(I835),I835-G835,""),"")</f>
        <v/>
      </c>
      <c r="P835" s="59" t="str">
        <f aca="false">IF(T835=1,IF(ISNUMBER(L835),L835-G835,""),"")</f>
        <v/>
      </c>
      <c r="Q835" s="60" t="str">
        <f aca="false">IF(C835="","",IF(T835=1,"✔ SOLD / VENDIDO",IF(S835=0,"— CLOSED / CERRADO",IF(U835&lt;0,"⚠ ADD DATE / AGREGA FECHA",IF(U835&gt;=Settings!$C$8,"⚠ STALE – REPRICE / ESTANCADO",IF(U835&gt;=Settings!$C$7,"● WATCH / VIGILAR","✔ FRESH / RECIENTE"))))))</f>
        <v/>
      </c>
      <c r="S835" s="53" t="n">
        <f aca="false">IF(C835="",0,IF(OR(J835="",J835="In Stock / En Inventario",J835="Listed / Publicado"),1,0))</f>
        <v>0</v>
      </c>
      <c r="T835" s="53" t="n">
        <f aca="false">IF(C835="",0,IF(J835="Sold / Vendido",1,0))</f>
        <v>0</v>
      </c>
      <c r="U835" s="53" t="n">
        <f aca="true">IF(S835=1,IF(ISNUMBER(F835),TODAY()-F835,-1),-1)</f>
        <v>-1</v>
      </c>
      <c r="V835" s="53" t="n">
        <f aca="false">IF(U835&lt;0,IF(S835=1,5,0),IF(U835&lt;=30,1,IF(U835&lt;=60,2,IF(U835&lt;=90,3,4))))</f>
        <v>0</v>
      </c>
      <c r="W835" s="53" t="n">
        <f aca="false">IF(U835&lt;0,-1000000000000000,U835+ROW()/1000000)</f>
        <v>-1000000000000000</v>
      </c>
      <c r="X835" s="53" t="n">
        <f aca="false">IF(T835=1,IF(AND(ISNUMBER(F835),ISNUMBER(K835)),K835-F835,0),0)</f>
        <v>0</v>
      </c>
      <c r="Y835" s="53" t="n">
        <f aca="false">IF(T835=1,IF(AND(ISNUMBER(F835),ISNUMBER(K835)),1,0),0)</f>
        <v>0</v>
      </c>
      <c r="Z835" s="53" t="n">
        <f aca="false">IF(U835&gt;=Settings!$C$8,1,0)</f>
        <v>0</v>
      </c>
      <c r="AA835" s="53" t="n">
        <f aca="false">IF(S835=1,IF(J835="Listed / Publicado",0,1),0)</f>
        <v>0</v>
      </c>
      <c r="AB835" s="53" t="n">
        <f aca="false">IF(T835=1,IF(ISNUMBER(L835),L835-G835,0),0)</f>
        <v>0</v>
      </c>
      <c r="AC835" s="53" t="n">
        <f aca="false">IF(S835=1,IF(ISNUMBER(I835),I835-G835,0),0)</f>
        <v>0</v>
      </c>
    </row>
    <row r="836" customFormat="false" ht="15" hidden="false" customHeight="false" outlineLevel="0" collapsed="false">
      <c r="B836" s="54"/>
      <c r="C836" s="55"/>
      <c r="D836" s="55"/>
      <c r="E836" s="55"/>
      <c r="F836" s="56"/>
      <c r="G836" s="57"/>
      <c r="H836" s="55"/>
      <c r="I836" s="57"/>
      <c r="J836" s="54"/>
      <c r="K836" s="56"/>
      <c r="L836" s="57"/>
      <c r="M836" s="54"/>
      <c r="N836" s="58" t="str">
        <f aca="false">IF(S836=1,IF(U836&lt;0,"",U836),IF(Y836=1,X836,""))</f>
        <v/>
      </c>
      <c r="O836" s="59" t="str">
        <f aca="false">IF(S836=1,IF(ISNUMBER(I836),I836-G836,""),"")</f>
        <v/>
      </c>
      <c r="P836" s="59" t="str">
        <f aca="false">IF(T836=1,IF(ISNUMBER(L836),L836-G836,""),"")</f>
        <v/>
      </c>
      <c r="Q836" s="60" t="str">
        <f aca="false">IF(C836="","",IF(T836=1,"✔ SOLD / VENDIDO",IF(S836=0,"— CLOSED / CERRADO",IF(U836&lt;0,"⚠ ADD DATE / AGREGA FECHA",IF(U836&gt;=Settings!$C$8,"⚠ STALE – REPRICE / ESTANCADO",IF(U836&gt;=Settings!$C$7,"● WATCH / VIGILAR","✔ FRESH / RECIENTE"))))))</f>
        <v/>
      </c>
      <c r="S836" s="53" t="n">
        <f aca="false">IF(C836="",0,IF(OR(J836="",J836="In Stock / En Inventario",J836="Listed / Publicado"),1,0))</f>
        <v>0</v>
      </c>
      <c r="T836" s="53" t="n">
        <f aca="false">IF(C836="",0,IF(J836="Sold / Vendido",1,0))</f>
        <v>0</v>
      </c>
      <c r="U836" s="53" t="n">
        <f aca="true">IF(S836=1,IF(ISNUMBER(F836),TODAY()-F836,-1),-1)</f>
        <v>-1</v>
      </c>
      <c r="V836" s="53" t="n">
        <f aca="false">IF(U836&lt;0,IF(S836=1,5,0),IF(U836&lt;=30,1,IF(U836&lt;=60,2,IF(U836&lt;=90,3,4))))</f>
        <v>0</v>
      </c>
      <c r="W836" s="53" t="n">
        <f aca="false">IF(U836&lt;0,-1000000000000000,U836+ROW()/1000000)</f>
        <v>-1000000000000000</v>
      </c>
      <c r="X836" s="53" t="n">
        <f aca="false">IF(T836=1,IF(AND(ISNUMBER(F836),ISNUMBER(K836)),K836-F836,0),0)</f>
        <v>0</v>
      </c>
      <c r="Y836" s="53" t="n">
        <f aca="false">IF(T836=1,IF(AND(ISNUMBER(F836),ISNUMBER(K836)),1,0),0)</f>
        <v>0</v>
      </c>
      <c r="Z836" s="53" t="n">
        <f aca="false">IF(U836&gt;=Settings!$C$8,1,0)</f>
        <v>0</v>
      </c>
      <c r="AA836" s="53" t="n">
        <f aca="false">IF(S836=1,IF(J836="Listed / Publicado",0,1),0)</f>
        <v>0</v>
      </c>
      <c r="AB836" s="53" t="n">
        <f aca="false">IF(T836=1,IF(ISNUMBER(L836),L836-G836,0),0)</f>
        <v>0</v>
      </c>
      <c r="AC836" s="53" t="n">
        <f aca="false">IF(S836=1,IF(ISNUMBER(I836),I836-G836,0),0)</f>
        <v>0</v>
      </c>
    </row>
    <row r="837" customFormat="false" ht="15" hidden="false" customHeight="false" outlineLevel="0" collapsed="false">
      <c r="B837" s="54"/>
      <c r="C837" s="55"/>
      <c r="D837" s="55"/>
      <c r="E837" s="55"/>
      <c r="F837" s="56"/>
      <c r="G837" s="57"/>
      <c r="H837" s="55"/>
      <c r="I837" s="57"/>
      <c r="J837" s="54"/>
      <c r="K837" s="56"/>
      <c r="L837" s="57"/>
      <c r="M837" s="54"/>
      <c r="N837" s="58" t="str">
        <f aca="false">IF(S837=1,IF(U837&lt;0,"",U837),IF(Y837=1,X837,""))</f>
        <v/>
      </c>
      <c r="O837" s="59" t="str">
        <f aca="false">IF(S837=1,IF(ISNUMBER(I837),I837-G837,""),"")</f>
        <v/>
      </c>
      <c r="P837" s="59" t="str">
        <f aca="false">IF(T837=1,IF(ISNUMBER(L837),L837-G837,""),"")</f>
        <v/>
      </c>
      <c r="Q837" s="60" t="str">
        <f aca="false">IF(C837="","",IF(T837=1,"✔ SOLD / VENDIDO",IF(S837=0,"— CLOSED / CERRADO",IF(U837&lt;0,"⚠ ADD DATE / AGREGA FECHA",IF(U837&gt;=Settings!$C$8,"⚠ STALE – REPRICE / ESTANCADO",IF(U837&gt;=Settings!$C$7,"● WATCH / VIGILAR","✔ FRESH / RECIENTE"))))))</f>
        <v/>
      </c>
      <c r="S837" s="53" t="n">
        <f aca="false">IF(C837="",0,IF(OR(J837="",J837="In Stock / En Inventario",J837="Listed / Publicado"),1,0))</f>
        <v>0</v>
      </c>
      <c r="T837" s="53" t="n">
        <f aca="false">IF(C837="",0,IF(J837="Sold / Vendido",1,0))</f>
        <v>0</v>
      </c>
      <c r="U837" s="53" t="n">
        <f aca="true">IF(S837=1,IF(ISNUMBER(F837),TODAY()-F837,-1),-1)</f>
        <v>-1</v>
      </c>
      <c r="V837" s="53" t="n">
        <f aca="false">IF(U837&lt;0,IF(S837=1,5,0),IF(U837&lt;=30,1,IF(U837&lt;=60,2,IF(U837&lt;=90,3,4))))</f>
        <v>0</v>
      </c>
      <c r="W837" s="53" t="n">
        <f aca="false">IF(U837&lt;0,-1000000000000000,U837+ROW()/1000000)</f>
        <v>-1000000000000000</v>
      </c>
      <c r="X837" s="53" t="n">
        <f aca="false">IF(T837=1,IF(AND(ISNUMBER(F837),ISNUMBER(K837)),K837-F837,0),0)</f>
        <v>0</v>
      </c>
      <c r="Y837" s="53" t="n">
        <f aca="false">IF(T837=1,IF(AND(ISNUMBER(F837),ISNUMBER(K837)),1,0),0)</f>
        <v>0</v>
      </c>
      <c r="Z837" s="53" t="n">
        <f aca="false">IF(U837&gt;=Settings!$C$8,1,0)</f>
        <v>0</v>
      </c>
      <c r="AA837" s="53" t="n">
        <f aca="false">IF(S837=1,IF(J837="Listed / Publicado",0,1),0)</f>
        <v>0</v>
      </c>
      <c r="AB837" s="53" t="n">
        <f aca="false">IF(T837=1,IF(ISNUMBER(L837),L837-G837,0),0)</f>
        <v>0</v>
      </c>
      <c r="AC837" s="53" t="n">
        <f aca="false">IF(S837=1,IF(ISNUMBER(I837),I837-G837,0),0)</f>
        <v>0</v>
      </c>
    </row>
    <row r="838" customFormat="false" ht="15" hidden="false" customHeight="false" outlineLevel="0" collapsed="false">
      <c r="B838" s="54"/>
      <c r="C838" s="55"/>
      <c r="D838" s="55"/>
      <c r="E838" s="55"/>
      <c r="F838" s="56"/>
      <c r="G838" s="57"/>
      <c r="H838" s="55"/>
      <c r="I838" s="57"/>
      <c r="J838" s="54"/>
      <c r="K838" s="56"/>
      <c r="L838" s="57"/>
      <c r="M838" s="54"/>
      <c r="N838" s="58" t="str">
        <f aca="false">IF(S838=1,IF(U838&lt;0,"",U838),IF(Y838=1,X838,""))</f>
        <v/>
      </c>
      <c r="O838" s="59" t="str">
        <f aca="false">IF(S838=1,IF(ISNUMBER(I838),I838-G838,""),"")</f>
        <v/>
      </c>
      <c r="P838" s="59" t="str">
        <f aca="false">IF(T838=1,IF(ISNUMBER(L838),L838-G838,""),"")</f>
        <v/>
      </c>
      <c r="Q838" s="60" t="str">
        <f aca="false">IF(C838="","",IF(T838=1,"✔ SOLD / VENDIDO",IF(S838=0,"— CLOSED / CERRADO",IF(U838&lt;0,"⚠ ADD DATE / AGREGA FECHA",IF(U838&gt;=Settings!$C$8,"⚠ STALE – REPRICE / ESTANCADO",IF(U838&gt;=Settings!$C$7,"● WATCH / VIGILAR","✔ FRESH / RECIENTE"))))))</f>
        <v/>
      </c>
      <c r="S838" s="53" t="n">
        <f aca="false">IF(C838="",0,IF(OR(J838="",J838="In Stock / En Inventario",J838="Listed / Publicado"),1,0))</f>
        <v>0</v>
      </c>
      <c r="T838" s="53" t="n">
        <f aca="false">IF(C838="",0,IF(J838="Sold / Vendido",1,0))</f>
        <v>0</v>
      </c>
      <c r="U838" s="53" t="n">
        <f aca="true">IF(S838=1,IF(ISNUMBER(F838),TODAY()-F838,-1),-1)</f>
        <v>-1</v>
      </c>
      <c r="V838" s="53" t="n">
        <f aca="false">IF(U838&lt;0,IF(S838=1,5,0),IF(U838&lt;=30,1,IF(U838&lt;=60,2,IF(U838&lt;=90,3,4))))</f>
        <v>0</v>
      </c>
      <c r="W838" s="53" t="n">
        <f aca="false">IF(U838&lt;0,-1000000000000000,U838+ROW()/1000000)</f>
        <v>-1000000000000000</v>
      </c>
      <c r="X838" s="53" t="n">
        <f aca="false">IF(T838=1,IF(AND(ISNUMBER(F838),ISNUMBER(K838)),K838-F838,0),0)</f>
        <v>0</v>
      </c>
      <c r="Y838" s="53" t="n">
        <f aca="false">IF(T838=1,IF(AND(ISNUMBER(F838),ISNUMBER(K838)),1,0),0)</f>
        <v>0</v>
      </c>
      <c r="Z838" s="53" t="n">
        <f aca="false">IF(U838&gt;=Settings!$C$8,1,0)</f>
        <v>0</v>
      </c>
      <c r="AA838" s="53" t="n">
        <f aca="false">IF(S838=1,IF(J838="Listed / Publicado",0,1),0)</f>
        <v>0</v>
      </c>
      <c r="AB838" s="53" t="n">
        <f aca="false">IF(T838=1,IF(ISNUMBER(L838),L838-G838,0),0)</f>
        <v>0</v>
      </c>
      <c r="AC838" s="53" t="n">
        <f aca="false">IF(S838=1,IF(ISNUMBER(I838),I838-G838,0),0)</f>
        <v>0</v>
      </c>
    </row>
    <row r="839" customFormat="false" ht="15" hidden="false" customHeight="false" outlineLevel="0" collapsed="false">
      <c r="B839" s="54"/>
      <c r="C839" s="55"/>
      <c r="D839" s="55"/>
      <c r="E839" s="55"/>
      <c r="F839" s="56"/>
      <c r="G839" s="57"/>
      <c r="H839" s="55"/>
      <c r="I839" s="57"/>
      <c r="J839" s="54"/>
      <c r="K839" s="56"/>
      <c r="L839" s="57"/>
      <c r="M839" s="54"/>
      <c r="N839" s="58" t="str">
        <f aca="false">IF(S839=1,IF(U839&lt;0,"",U839),IF(Y839=1,X839,""))</f>
        <v/>
      </c>
      <c r="O839" s="59" t="str">
        <f aca="false">IF(S839=1,IF(ISNUMBER(I839),I839-G839,""),"")</f>
        <v/>
      </c>
      <c r="P839" s="59" t="str">
        <f aca="false">IF(T839=1,IF(ISNUMBER(L839),L839-G839,""),"")</f>
        <v/>
      </c>
      <c r="Q839" s="60" t="str">
        <f aca="false">IF(C839="","",IF(T839=1,"✔ SOLD / VENDIDO",IF(S839=0,"— CLOSED / CERRADO",IF(U839&lt;0,"⚠ ADD DATE / AGREGA FECHA",IF(U839&gt;=Settings!$C$8,"⚠ STALE – REPRICE / ESTANCADO",IF(U839&gt;=Settings!$C$7,"● WATCH / VIGILAR","✔ FRESH / RECIENTE"))))))</f>
        <v/>
      </c>
      <c r="S839" s="53" t="n">
        <f aca="false">IF(C839="",0,IF(OR(J839="",J839="In Stock / En Inventario",J839="Listed / Publicado"),1,0))</f>
        <v>0</v>
      </c>
      <c r="T839" s="53" t="n">
        <f aca="false">IF(C839="",0,IF(J839="Sold / Vendido",1,0))</f>
        <v>0</v>
      </c>
      <c r="U839" s="53" t="n">
        <f aca="true">IF(S839=1,IF(ISNUMBER(F839),TODAY()-F839,-1),-1)</f>
        <v>-1</v>
      </c>
      <c r="V839" s="53" t="n">
        <f aca="false">IF(U839&lt;0,IF(S839=1,5,0),IF(U839&lt;=30,1,IF(U839&lt;=60,2,IF(U839&lt;=90,3,4))))</f>
        <v>0</v>
      </c>
      <c r="W839" s="53" t="n">
        <f aca="false">IF(U839&lt;0,-1000000000000000,U839+ROW()/1000000)</f>
        <v>-1000000000000000</v>
      </c>
      <c r="X839" s="53" t="n">
        <f aca="false">IF(T839=1,IF(AND(ISNUMBER(F839),ISNUMBER(K839)),K839-F839,0),0)</f>
        <v>0</v>
      </c>
      <c r="Y839" s="53" t="n">
        <f aca="false">IF(T839=1,IF(AND(ISNUMBER(F839),ISNUMBER(K839)),1,0),0)</f>
        <v>0</v>
      </c>
      <c r="Z839" s="53" t="n">
        <f aca="false">IF(U839&gt;=Settings!$C$8,1,0)</f>
        <v>0</v>
      </c>
      <c r="AA839" s="53" t="n">
        <f aca="false">IF(S839=1,IF(J839="Listed / Publicado",0,1),0)</f>
        <v>0</v>
      </c>
      <c r="AB839" s="53" t="n">
        <f aca="false">IF(T839=1,IF(ISNUMBER(L839),L839-G839,0),0)</f>
        <v>0</v>
      </c>
      <c r="AC839" s="53" t="n">
        <f aca="false">IF(S839=1,IF(ISNUMBER(I839),I839-G839,0),0)</f>
        <v>0</v>
      </c>
    </row>
    <row r="840" customFormat="false" ht="15" hidden="false" customHeight="false" outlineLevel="0" collapsed="false">
      <c r="B840" s="54"/>
      <c r="C840" s="55"/>
      <c r="D840" s="55"/>
      <c r="E840" s="55"/>
      <c r="F840" s="56"/>
      <c r="G840" s="57"/>
      <c r="H840" s="55"/>
      <c r="I840" s="57"/>
      <c r="J840" s="54"/>
      <c r="K840" s="56"/>
      <c r="L840" s="57"/>
      <c r="M840" s="54"/>
      <c r="N840" s="58" t="str">
        <f aca="false">IF(S840=1,IF(U840&lt;0,"",U840),IF(Y840=1,X840,""))</f>
        <v/>
      </c>
      <c r="O840" s="59" t="str">
        <f aca="false">IF(S840=1,IF(ISNUMBER(I840),I840-G840,""),"")</f>
        <v/>
      </c>
      <c r="P840" s="59" t="str">
        <f aca="false">IF(T840=1,IF(ISNUMBER(L840),L840-G840,""),"")</f>
        <v/>
      </c>
      <c r="Q840" s="60" t="str">
        <f aca="false">IF(C840="","",IF(T840=1,"✔ SOLD / VENDIDO",IF(S840=0,"— CLOSED / CERRADO",IF(U840&lt;0,"⚠ ADD DATE / AGREGA FECHA",IF(U840&gt;=Settings!$C$8,"⚠ STALE – REPRICE / ESTANCADO",IF(U840&gt;=Settings!$C$7,"● WATCH / VIGILAR","✔ FRESH / RECIENTE"))))))</f>
        <v/>
      </c>
      <c r="S840" s="53" t="n">
        <f aca="false">IF(C840="",0,IF(OR(J840="",J840="In Stock / En Inventario",J840="Listed / Publicado"),1,0))</f>
        <v>0</v>
      </c>
      <c r="T840" s="53" t="n">
        <f aca="false">IF(C840="",0,IF(J840="Sold / Vendido",1,0))</f>
        <v>0</v>
      </c>
      <c r="U840" s="53" t="n">
        <f aca="true">IF(S840=1,IF(ISNUMBER(F840),TODAY()-F840,-1),-1)</f>
        <v>-1</v>
      </c>
      <c r="V840" s="53" t="n">
        <f aca="false">IF(U840&lt;0,IF(S840=1,5,0),IF(U840&lt;=30,1,IF(U840&lt;=60,2,IF(U840&lt;=90,3,4))))</f>
        <v>0</v>
      </c>
      <c r="W840" s="53" t="n">
        <f aca="false">IF(U840&lt;0,-1000000000000000,U840+ROW()/1000000)</f>
        <v>-1000000000000000</v>
      </c>
      <c r="X840" s="53" t="n">
        <f aca="false">IF(T840=1,IF(AND(ISNUMBER(F840),ISNUMBER(K840)),K840-F840,0),0)</f>
        <v>0</v>
      </c>
      <c r="Y840" s="53" t="n">
        <f aca="false">IF(T840=1,IF(AND(ISNUMBER(F840),ISNUMBER(K840)),1,0),0)</f>
        <v>0</v>
      </c>
      <c r="Z840" s="53" t="n">
        <f aca="false">IF(U840&gt;=Settings!$C$8,1,0)</f>
        <v>0</v>
      </c>
      <c r="AA840" s="53" t="n">
        <f aca="false">IF(S840=1,IF(J840="Listed / Publicado",0,1),0)</f>
        <v>0</v>
      </c>
      <c r="AB840" s="53" t="n">
        <f aca="false">IF(T840=1,IF(ISNUMBER(L840),L840-G840,0),0)</f>
        <v>0</v>
      </c>
      <c r="AC840" s="53" t="n">
        <f aca="false">IF(S840=1,IF(ISNUMBER(I840),I840-G840,0),0)</f>
        <v>0</v>
      </c>
    </row>
    <row r="841" customFormat="false" ht="15" hidden="false" customHeight="false" outlineLevel="0" collapsed="false">
      <c r="B841" s="54"/>
      <c r="C841" s="55"/>
      <c r="D841" s="55"/>
      <c r="E841" s="55"/>
      <c r="F841" s="56"/>
      <c r="G841" s="57"/>
      <c r="H841" s="55"/>
      <c r="I841" s="57"/>
      <c r="J841" s="54"/>
      <c r="K841" s="56"/>
      <c r="L841" s="57"/>
      <c r="M841" s="54"/>
      <c r="N841" s="58" t="str">
        <f aca="false">IF(S841=1,IF(U841&lt;0,"",U841),IF(Y841=1,X841,""))</f>
        <v/>
      </c>
      <c r="O841" s="59" t="str">
        <f aca="false">IF(S841=1,IF(ISNUMBER(I841),I841-G841,""),"")</f>
        <v/>
      </c>
      <c r="P841" s="59" t="str">
        <f aca="false">IF(T841=1,IF(ISNUMBER(L841),L841-G841,""),"")</f>
        <v/>
      </c>
      <c r="Q841" s="60" t="str">
        <f aca="false">IF(C841="","",IF(T841=1,"✔ SOLD / VENDIDO",IF(S841=0,"— CLOSED / CERRADO",IF(U841&lt;0,"⚠ ADD DATE / AGREGA FECHA",IF(U841&gt;=Settings!$C$8,"⚠ STALE – REPRICE / ESTANCADO",IF(U841&gt;=Settings!$C$7,"● WATCH / VIGILAR","✔ FRESH / RECIENTE"))))))</f>
        <v/>
      </c>
      <c r="S841" s="53" t="n">
        <f aca="false">IF(C841="",0,IF(OR(J841="",J841="In Stock / En Inventario",J841="Listed / Publicado"),1,0))</f>
        <v>0</v>
      </c>
      <c r="T841" s="53" t="n">
        <f aca="false">IF(C841="",0,IF(J841="Sold / Vendido",1,0))</f>
        <v>0</v>
      </c>
      <c r="U841" s="53" t="n">
        <f aca="true">IF(S841=1,IF(ISNUMBER(F841),TODAY()-F841,-1),-1)</f>
        <v>-1</v>
      </c>
      <c r="V841" s="53" t="n">
        <f aca="false">IF(U841&lt;0,IF(S841=1,5,0),IF(U841&lt;=30,1,IF(U841&lt;=60,2,IF(U841&lt;=90,3,4))))</f>
        <v>0</v>
      </c>
      <c r="W841" s="53" t="n">
        <f aca="false">IF(U841&lt;0,-1000000000000000,U841+ROW()/1000000)</f>
        <v>-1000000000000000</v>
      </c>
      <c r="X841" s="53" t="n">
        <f aca="false">IF(T841=1,IF(AND(ISNUMBER(F841),ISNUMBER(K841)),K841-F841,0),0)</f>
        <v>0</v>
      </c>
      <c r="Y841" s="53" t="n">
        <f aca="false">IF(T841=1,IF(AND(ISNUMBER(F841),ISNUMBER(K841)),1,0),0)</f>
        <v>0</v>
      </c>
      <c r="Z841" s="53" t="n">
        <f aca="false">IF(U841&gt;=Settings!$C$8,1,0)</f>
        <v>0</v>
      </c>
      <c r="AA841" s="53" t="n">
        <f aca="false">IF(S841=1,IF(J841="Listed / Publicado",0,1),0)</f>
        <v>0</v>
      </c>
      <c r="AB841" s="53" t="n">
        <f aca="false">IF(T841=1,IF(ISNUMBER(L841),L841-G841,0),0)</f>
        <v>0</v>
      </c>
      <c r="AC841" s="53" t="n">
        <f aca="false">IF(S841=1,IF(ISNUMBER(I841),I841-G841,0),0)</f>
        <v>0</v>
      </c>
    </row>
    <row r="842" customFormat="false" ht="15" hidden="false" customHeight="false" outlineLevel="0" collapsed="false">
      <c r="B842" s="54"/>
      <c r="C842" s="55"/>
      <c r="D842" s="55"/>
      <c r="E842" s="55"/>
      <c r="F842" s="56"/>
      <c r="G842" s="57"/>
      <c r="H842" s="55"/>
      <c r="I842" s="57"/>
      <c r="J842" s="54"/>
      <c r="K842" s="56"/>
      <c r="L842" s="57"/>
      <c r="M842" s="54"/>
      <c r="N842" s="58" t="str">
        <f aca="false">IF(S842=1,IF(U842&lt;0,"",U842),IF(Y842=1,X842,""))</f>
        <v/>
      </c>
      <c r="O842" s="59" t="str">
        <f aca="false">IF(S842=1,IF(ISNUMBER(I842),I842-G842,""),"")</f>
        <v/>
      </c>
      <c r="P842" s="59" t="str">
        <f aca="false">IF(T842=1,IF(ISNUMBER(L842),L842-G842,""),"")</f>
        <v/>
      </c>
      <c r="Q842" s="60" t="str">
        <f aca="false">IF(C842="","",IF(T842=1,"✔ SOLD / VENDIDO",IF(S842=0,"— CLOSED / CERRADO",IF(U842&lt;0,"⚠ ADD DATE / AGREGA FECHA",IF(U842&gt;=Settings!$C$8,"⚠ STALE – REPRICE / ESTANCADO",IF(U842&gt;=Settings!$C$7,"● WATCH / VIGILAR","✔ FRESH / RECIENTE"))))))</f>
        <v/>
      </c>
      <c r="S842" s="53" t="n">
        <f aca="false">IF(C842="",0,IF(OR(J842="",J842="In Stock / En Inventario",J842="Listed / Publicado"),1,0))</f>
        <v>0</v>
      </c>
      <c r="T842" s="53" t="n">
        <f aca="false">IF(C842="",0,IF(J842="Sold / Vendido",1,0))</f>
        <v>0</v>
      </c>
      <c r="U842" s="53" t="n">
        <f aca="true">IF(S842=1,IF(ISNUMBER(F842),TODAY()-F842,-1),-1)</f>
        <v>-1</v>
      </c>
      <c r="V842" s="53" t="n">
        <f aca="false">IF(U842&lt;0,IF(S842=1,5,0),IF(U842&lt;=30,1,IF(U842&lt;=60,2,IF(U842&lt;=90,3,4))))</f>
        <v>0</v>
      </c>
      <c r="W842" s="53" t="n">
        <f aca="false">IF(U842&lt;0,-1000000000000000,U842+ROW()/1000000)</f>
        <v>-1000000000000000</v>
      </c>
      <c r="X842" s="53" t="n">
        <f aca="false">IF(T842=1,IF(AND(ISNUMBER(F842),ISNUMBER(K842)),K842-F842,0),0)</f>
        <v>0</v>
      </c>
      <c r="Y842" s="53" t="n">
        <f aca="false">IF(T842=1,IF(AND(ISNUMBER(F842),ISNUMBER(K842)),1,0),0)</f>
        <v>0</v>
      </c>
      <c r="Z842" s="53" t="n">
        <f aca="false">IF(U842&gt;=Settings!$C$8,1,0)</f>
        <v>0</v>
      </c>
      <c r="AA842" s="53" t="n">
        <f aca="false">IF(S842=1,IF(J842="Listed / Publicado",0,1),0)</f>
        <v>0</v>
      </c>
      <c r="AB842" s="53" t="n">
        <f aca="false">IF(T842=1,IF(ISNUMBER(L842),L842-G842,0),0)</f>
        <v>0</v>
      </c>
      <c r="AC842" s="53" t="n">
        <f aca="false">IF(S842=1,IF(ISNUMBER(I842),I842-G842,0),0)</f>
        <v>0</v>
      </c>
    </row>
    <row r="843" customFormat="false" ht="15" hidden="false" customHeight="false" outlineLevel="0" collapsed="false">
      <c r="B843" s="54"/>
      <c r="C843" s="55"/>
      <c r="D843" s="55"/>
      <c r="E843" s="55"/>
      <c r="F843" s="56"/>
      <c r="G843" s="57"/>
      <c r="H843" s="55"/>
      <c r="I843" s="57"/>
      <c r="J843" s="54"/>
      <c r="K843" s="56"/>
      <c r="L843" s="57"/>
      <c r="M843" s="54"/>
      <c r="N843" s="58" t="str">
        <f aca="false">IF(S843=1,IF(U843&lt;0,"",U843),IF(Y843=1,X843,""))</f>
        <v/>
      </c>
      <c r="O843" s="59" t="str">
        <f aca="false">IF(S843=1,IF(ISNUMBER(I843),I843-G843,""),"")</f>
        <v/>
      </c>
      <c r="P843" s="59" t="str">
        <f aca="false">IF(T843=1,IF(ISNUMBER(L843),L843-G843,""),"")</f>
        <v/>
      </c>
      <c r="Q843" s="60" t="str">
        <f aca="false">IF(C843="","",IF(T843=1,"✔ SOLD / VENDIDO",IF(S843=0,"— CLOSED / CERRADO",IF(U843&lt;0,"⚠ ADD DATE / AGREGA FECHA",IF(U843&gt;=Settings!$C$8,"⚠ STALE – REPRICE / ESTANCADO",IF(U843&gt;=Settings!$C$7,"● WATCH / VIGILAR","✔ FRESH / RECIENTE"))))))</f>
        <v/>
      </c>
      <c r="S843" s="53" t="n">
        <f aca="false">IF(C843="",0,IF(OR(J843="",J843="In Stock / En Inventario",J843="Listed / Publicado"),1,0))</f>
        <v>0</v>
      </c>
      <c r="T843" s="53" t="n">
        <f aca="false">IF(C843="",0,IF(J843="Sold / Vendido",1,0))</f>
        <v>0</v>
      </c>
      <c r="U843" s="53" t="n">
        <f aca="true">IF(S843=1,IF(ISNUMBER(F843),TODAY()-F843,-1),-1)</f>
        <v>-1</v>
      </c>
      <c r="V843" s="53" t="n">
        <f aca="false">IF(U843&lt;0,IF(S843=1,5,0),IF(U843&lt;=30,1,IF(U843&lt;=60,2,IF(U843&lt;=90,3,4))))</f>
        <v>0</v>
      </c>
      <c r="W843" s="53" t="n">
        <f aca="false">IF(U843&lt;0,-1000000000000000,U843+ROW()/1000000)</f>
        <v>-1000000000000000</v>
      </c>
      <c r="X843" s="53" t="n">
        <f aca="false">IF(T843=1,IF(AND(ISNUMBER(F843),ISNUMBER(K843)),K843-F843,0),0)</f>
        <v>0</v>
      </c>
      <c r="Y843" s="53" t="n">
        <f aca="false">IF(T843=1,IF(AND(ISNUMBER(F843),ISNUMBER(K843)),1,0),0)</f>
        <v>0</v>
      </c>
      <c r="Z843" s="53" t="n">
        <f aca="false">IF(U843&gt;=Settings!$C$8,1,0)</f>
        <v>0</v>
      </c>
      <c r="AA843" s="53" t="n">
        <f aca="false">IF(S843=1,IF(J843="Listed / Publicado",0,1),0)</f>
        <v>0</v>
      </c>
      <c r="AB843" s="53" t="n">
        <f aca="false">IF(T843=1,IF(ISNUMBER(L843),L843-G843,0),0)</f>
        <v>0</v>
      </c>
      <c r="AC843" s="53" t="n">
        <f aca="false">IF(S843=1,IF(ISNUMBER(I843),I843-G843,0),0)</f>
        <v>0</v>
      </c>
    </row>
    <row r="844" customFormat="false" ht="15" hidden="false" customHeight="false" outlineLevel="0" collapsed="false">
      <c r="B844" s="54"/>
      <c r="C844" s="55"/>
      <c r="D844" s="55"/>
      <c r="E844" s="55"/>
      <c r="F844" s="56"/>
      <c r="G844" s="57"/>
      <c r="H844" s="55"/>
      <c r="I844" s="57"/>
      <c r="J844" s="54"/>
      <c r="K844" s="56"/>
      <c r="L844" s="57"/>
      <c r="M844" s="54"/>
      <c r="N844" s="58" t="str">
        <f aca="false">IF(S844=1,IF(U844&lt;0,"",U844),IF(Y844=1,X844,""))</f>
        <v/>
      </c>
      <c r="O844" s="59" t="str">
        <f aca="false">IF(S844=1,IF(ISNUMBER(I844),I844-G844,""),"")</f>
        <v/>
      </c>
      <c r="P844" s="59" t="str">
        <f aca="false">IF(T844=1,IF(ISNUMBER(L844),L844-G844,""),"")</f>
        <v/>
      </c>
      <c r="Q844" s="60" t="str">
        <f aca="false">IF(C844="","",IF(T844=1,"✔ SOLD / VENDIDO",IF(S844=0,"— CLOSED / CERRADO",IF(U844&lt;0,"⚠ ADD DATE / AGREGA FECHA",IF(U844&gt;=Settings!$C$8,"⚠ STALE – REPRICE / ESTANCADO",IF(U844&gt;=Settings!$C$7,"● WATCH / VIGILAR","✔ FRESH / RECIENTE"))))))</f>
        <v/>
      </c>
      <c r="S844" s="53" t="n">
        <f aca="false">IF(C844="",0,IF(OR(J844="",J844="In Stock / En Inventario",J844="Listed / Publicado"),1,0))</f>
        <v>0</v>
      </c>
      <c r="T844" s="53" t="n">
        <f aca="false">IF(C844="",0,IF(J844="Sold / Vendido",1,0))</f>
        <v>0</v>
      </c>
      <c r="U844" s="53" t="n">
        <f aca="true">IF(S844=1,IF(ISNUMBER(F844),TODAY()-F844,-1),-1)</f>
        <v>-1</v>
      </c>
      <c r="V844" s="53" t="n">
        <f aca="false">IF(U844&lt;0,IF(S844=1,5,0),IF(U844&lt;=30,1,IF(U844&lt;=60,2,IF(U844&lt;=90,3,4))))</f>
        <v>0</v>
      </c>
      <c r="W844" s="53" t="n">
        <f aca="false">IF(U844&lt;0,-1000000000000000,U844+ROW()/1000000)</f>
        <v>-1000000000000000</v>
      </c>
      <c r="X844" s="53" t="n">
        <f aca="false">IF(T844=1,IF(AND(ISNUMBER(F844),ISNUMBER(K844)),K844-F844,0),0)</f>
        <v>0</v>
      </c>
      <c r="Y844" s="53" t="n">
        <f aca="false">IF(T844=1,IF(AND(ISNUMBER(F844),ISNUMBER(K844)),1,0),0)</f>
        <v>0</v>
      </c>
      <c r="Z844" s="53" t="n">
        <f aca="false">IF(U844&gt;=Settings!$C$8,1,0)</f>
        <v>0</v>
      </c>
      <c r="AA844" s="53" t="n">
        <f aca="false">IF(S844=1,IF(J844="Listed / Publicado",0,1),0)</f>
        <v>0</v>
      </c>
      <c r="AB844" s="53" t="n">
        <f aca="false">IF(T844=1,IF(ISNUMBER(L844),L844-G844,0),0)</f>
        <v>0</v>
      </c>
      <c r="AC844" s="53" t="n">
        <f aca="false">IF(S844=1,IF(ISNUMBER(I844),I844-G844,0),0)</f>
        <v>0</v>
      </c>
    </row>
    <row r="845" customFormat="false" ht="15" hidden="false" customHeight="false" outlineLevel="0" collapsed="false">
      <c r="B845" s="54"/>
      <c r="C845" s="55"/>
      <c r="D845" s="55"/>
      <c r="E845" s="55"/>
      <c r="F845" s="56"/>
      <c r="G845" s="57"/>
      <c r="H845" s="55"/>
      <c r="I845" s="57"/>
      <c r="J845" s="54"/>
      <c r="K845" s="56"/>
      <c r="L845" s="57"/>
      <c r="M845" s="54"/>
      <c r="N845" s="58" t="str">
        <f aca="false">IF(S845=1,IF(U845&lt;0,"",U845),IF(Y845=1,X845,""))</f>
        <v/>
      </c>
      <c r="O845" s="59" t="str">
        <f aca="false">IF(S845=1,IF(ISNUMBER(I845),I845-G845,""),"")</f>
        <v/>
      </c>
      <c r="P845" s="59" t="str">
        <f aca="false">IF(T845=1,IF(ISNUMBER(L845),L845-G845,""),"")</f>
        <v/>
      </c>
      <c r="Q845" s="60" t="str">
        <f aca="false">IF(C845="","",IF(T845=1,"✔ SOLD / VENDIDO",IF(S845=0,"— CLOSED / CERRADO",IF(U845&lt;0,"⚠ ADD DATE / AGREGA FECHA",IF(U845&gt;=Settings!$C$8,"⚠ STALE – REPRICE / ESTANCADO",IF(U845&gt;=Settings!$C$7,"● WATCH / VIGILAR","✔ FRESH / RECIENTE"))))))</f>
        <v/>
      </c>
      <c r="S845" s="53" t="n">
        <f aca="false">IF(C845="",0,IF(OR(J845="",J845="In Stock / En Inventario",J845="Listed / Publicado"),1,0))</f>
        <v>0</v>
      </c>
      <c r="T845" s="53" t="n">
        <f aca="false">IF(C845="",0,IF(J845="Sold / Vendido",1,0))</f>
        <v>0</v>
      </c>
      <c r="U845" s="53" t="n">
        <f aca="true">IF(S845=1,IF(ISNUMBER(F845),TODAY()-F845,-1),-1)</f>
        <v>-1</v>
      </c>
      <c r="V845" s="53" t="n">
        <f aca="false">IF(U845&lt;0,IF(S845=1,5,0),IF(U845&lt;=30,1,IF(U845&lt;=60,2,IF(U845&lt;=90,3,4))))</f>
        <v>0</v>
      </c>
      <c r="W845" s="53" t="n">
        <f aca="false">IF(U845&lt;0,-1000000000000000,U845+ROW()/1000000)</f>
        <v>-1000000000000000</v>
      </c>
      <c r="X845" s="53" t="n">
        <f aca="false">IF(T845=1,IF(AND(ISNUMBER(F845),ISNUMBER(K845)),K845-F845,0),0)</f>
        <v>0</v>
      </c>
      <c r="Y845" s="53" t="n">
        <f aca="false">IF(T845=1,IF(AND(ISNUMBER(F845),ISNUMBER(K845)),1,0),0)</f>
        <v>0</v>
      </c>
      <c r="Z845" s="53" t="n">
        <f aca="false">IF(U845&gt;=Settings!$C$8,1,0)</f>
        <v>0</v>
      </c>
      <c r="AA845" s="53" t="n">
        <f aca="false">IF(S845=1,IF(J845="Listed / Publicado",0,1),0)</f>
        <v>0</v>
      </c>
      <c r="AB845" s="53" t="n">
        <f aca="false">IF(T845=1,IF(ISNUMBER(L845),L845-G845,0),0)</f>
        <v>0</v>
      </c>
      <c r="AC845" s="53" t="n">
        <f aca="false">IF(S845=1,IF(ISNUMBER(I845),I845-G845,0),0)</f>
        <v>0</v>
      </c>
    </row>
    <row r="846" customFormat="false" ht="15" hidden="false" customHeight="false" outlineLevel="0" collapsed="false">
      <c r="B846" s="54"/>
      <c r="C846" s="55"/>
      <c r="D846" s="55"/>
      <c r="E846" s="55"/>
      <c r="F846" s="56"/>
      <c r="G846" s="57"/>
      <c r="H846" s="55"/>
      <c r="I846" s="57"/>
      <c r="J846" s="54"/>
      <c r="K846" s="56"/>
      <c r="L846" s="57"/>
      <c r="M846" s="54"/>
      <c r="N846" s="58" t="str">
        <f aca="false">IF(S846=1,IF(U846&lt;0,"",U846),IF(Y846=1,X846,""))</f>
        <v/>
      </c>
      <c r="O846" s="59" t="str">
        <f aca="false">IF(S846=1,IF(ISNUMBER(I846),I846-G846,""),"")</f>
        <v/>
      </c>
      <c r="P846" s="59" t="str">
        <f aca="false">IF(T846=1,IF(ISNUMBER(L846),L846-G846,""),"")</f>
        <v/>
      </c>
      <c r="Q846" s="60" t="str">
        <f aca="false">IF(C846="","",IF(T846=1,"✔ SOLD / VENDIDO",IF(S846=0,"— CLOSED / CERRADO",IF(U846&lt;0,"⚠ ADD DATE / AGREGA FECHA",IF(U846&gt;=Settings!$C$8,"⚠ STALE – REPRICE / ESTANCADO",IF(U846&gt;=Settings!$C$7,"● WATCH / VIGILAR","✔ FRESH / RECIENTE"))))))</f>
        <v/>
      </c>
      <c r="S846" s="53" t="n">
        <f aca="false">IF(C846="",0,IF(OR(J846="",J846="In Stock / En Inventario",J846="Listed / Publicado"),1,0))</f>
        <v>0</v>
      </c>
      <c r="T846" s="53" t="n">
        <f aca="false">IF(C846="",0,IF(J846="Sold / Vendido",1,0))</f>
        <v>0</v>
      </c>
      <c r="U846" s="53" t="n">
        <f aca="true">IF(S846=1,IF(ISNUMBER(F846),TODAY()-F846,-1),-1)</f>
        <v>-1</v>
      </c>
      <c r="V846" s="53" t="n">
        <f aca="false">IF(U846&lt;0,IF(S846=1,5,0),IF(U846&lt;=30,1,IF(U846&lt;=60,2,IF(U846&lt;=90,3,4))))</f>
        <v>0</v>
      </c>
      <c r="W846" s="53" t="n">
        <f aca="false">IF(U846&lt;0,-1000000000000000,U846+ROW()/1000000)</f>
        <v>-1000000000000000</v>
      </c>
      <c r="X846" s="53" t="n">
        <f aca="false">IF(T846=1,IF(AND(ISNUMBER(F846),ISNUMBER(K846)),K846-F846,0),0)</f>
        <v>0</v>
      </c>
      <c r="Y846" s="53" t="n">
        <f aca="false">IF(T846=1,IF(AND(ISNUMBER(F846),ISNUMBER(K846)),1,0),0)</f>
        <v>0</v>
      </c>
      <c r="Z846" s="53" t="n">
        <f aca="false">IF(U846&gt;=Settings!$C$8,1,0)</f>
        <v>0</v>
      </c>
      <c r="AA846" s="53" t="n">
        <f aca="false">IF(S846=1,IF(J846="Listed / Publicado",0,1),0)</f>
        <v>0</v>
      </c>
      <c r="AB846" s="53" t="n">
        <f aca="false">IF(T846=1,IF(ISNUMBER(L846),L846-G846,0),0)</f>
        <v>0</v>
      </c>
      <c r="AC846" s="53" t="n">
        <f aca="false">IF(S846=1,IF(ISNUMBER(I846),I846-G846,0),0)</f>
        <v>0</v>
      </c>
    </row>
    <row r="847" customFormat="false" ht="15" hidden="false" customHeight="false" outlineLevel="0" collapsed="false">
      <c r="B847" s="54"/>
      <c r="C847" s="55"/>
      <c r="D847" s="55"/>
      <c r="E847" s="55"/>
      <c r="F847" s="56"/>
      <c r="G847" s="57"/>
      <c r="H847" s="55"/>
      <c r="I847" s="57"/>
      <c r="J847" s="54"/>
      <c r="K847" s="56"/>
      <c r="L847" s="57"/>
      <c r="M847" s="54"/>
      <c r="N847" s="58" t="str">
        <f aca="false">IF(S847=1,IF(U847&lt;0,"",U847),IF(Y847=1,X847,""))</f>
        <v/>
      </c>
      <c r="O847" s="59" t="str">
        <f aca="false">IF(S847=1,IF(ISNUMBER(I847),I847-G847,""),"")</f>
        <v/>
      </c>
      <c r="P847" s="59" t="str">
        <f aca="false">IF(T847=1,IF(ISNUMBER(L847),L847-G847,""),"")</f>
        <v/>
      </c>
      <c r="Q847" s="60" t="str">
        <f aca="false">IF(C847="","",IF(T847=1,"✔ SOLD / VENDIDO",IF(S847=0,"— CLOSED / CERRADO",IF(U847&lt;0,"⚠ ADD DATE / AGREGA FECHA",IF(U847&gt;=Settings!$C$8,"⚠ STALE – REPRICE / ESTANCADO",IF(U847&gt;=Settings!$C$7,"● WATCH / VIGILAR","✔ FRESH / RECIENTE"))))))</f>
        <v/>
      </c>
      <c r="S847" s="53" t="n">
        <f aca="false">IF(C847="",0,IF(OR(J847="",J847="In Stock / En Inventario",J847="Listed / Publicado"),1,0))</f>
        <v>0</v>
      </c>
      <c r="T847" s="53" t="n">
        <f aca="false">IF(C847="",0,IF(J847="Sold / Vendido",1,0))</f>
        <v>0</v>
      </c>
      <c r="U847" s="53" t="n">
        <f aca="true">IF(S847=1,IF(ISNUMBER(F847),TODAY()-F847,-1),-1)</f>
        <v>-1</v>
      </c>
      <c r="V847" s="53" t="n">
        <f aca="false">IF(U847&lt;0,IF(S847=1,5,0),IF(U847&lt;=30,1,IF(U847&lt;=60,2,IF(U847&lt;=90,3,4))))</f>
        <v>0</v>
      </c>
      <c r="W847" s="53" t="n">
        <f aca="false">IF(U847&lt;0,-1000000000000000,U847+ROW()/1000000)</f>
        <v>-1000000000000000</v>
      </c>
      <c r="X847" s="53" t="n">
        <f aca="false">IF(T847=1,IF(AND(ISNUMBER(F847),ISNUMBER(K847)),K847-F847,0),0)</f>
        <v>0</v>
      </c>
      <c r="Y847" s="53" t="n">
        <f aca="false">IF(T847=1,IF(AND(ISNUMBER(F847),ISNUMBER(K847)),1,0),0)</f>
        <v>0</v>
      </c>
      <c r="Z847" s="53" t="n">
        <f aca="false">IF(U847&gt;=Settings!$C$8,1,0)</f>
        <v>0</v>
      </c>
      <c r="AA847" s="53" t="n">
        <f aca="false">IF(S847=1,IF(J847="Listed / Publicado",0,1),0)</f>
        <v>0</v>
      </c>
      <c r="AB847" s="53" t="n">
        <f aca="false">IF(T847=1,IF(ISNUMBER(L847),L847-G847,0),0)</f>
        <v>0</v>
      </c>
      <c r="AC847" s="53" t="n">
        <f aca="false">IF(S847=1,IF(ISNUMBER(I847),I847-G847,0),0)</f>
        <v>0</v>
      </c>
    </row>
    <row r="848" customFormat="false" ht="15" hidden="false" customHeight="false" outlineLevel="0" collapsed="false">
      <c r="B848" s="54"/>
      <c r="C848" s="55"/>
      <c r="D848" s="55"/>
      <c r="E848" s="55"/>
      <c r="F848" s="56"/>
      <c r="G848" s="57"/>
      <c r="H848" s="55"/>
      <c r="I848" s="57"/>
      <c r="J848" s="54"/>
      <c r="K848" s="56"/>
      <c r="L848" s="57"/>
      <c r="M848" s="54"/>
      <c r="N848" s="58" t="str">
        <f aca="false">IF(S848=1,IF(U848&lt;0,"",U848),IF(Y848=1,X848,""))</f>
        <v/>
      </c>
      <c r="O848" s="59" t="str">
        <f aca="false">IF(S848=1,IF(ISNUMBER(I848),I848-G848,""),"")</f>
        <v/>
      </c>
      <c r="P848" s="59" t="str">
        <f aca="false">IF(T848=1,IF(ISNUMBER(L848),L848-G848,""),"")</f>
        <v/>
      </c>
      <c r="Q848" s="60" t="str">
        <f aca="false">IF(C848="","",IF(T848=1,"✔ SOLD / VENDIDO",IF(S848=0,"— CLOSED / CERRADO",IF(U848&lt;0,"⚠ ADD DATE / AGREGA FECHA",IF(U848&gt;=Settings!$C$8,"⚠ STALE – REPRICE / ESTANCADO",IF(U848&gt;=Settings!$C$7,"● WATCH / VIGILAR","✔ FRESH / RECIENTE"))))))</f>
        <v/>
      </c>
      <c r="S848" s="53" t="n">
        <f aca="false">IF(C848="",0,IF(OR(J848="",J848="In Stock / En Inventario",J848="Listed / Publicado"),1,0))</f>
        <v>0</v>
      </c>
      <c r="T848" s="53" t="n">
        <f aca="false">IF(C848="",0,IF(J848="Sold / Vendido",1,0))</f>
        <v>0</v>
      </c>
      <c r="U848" s="53" t="n">
        <f aca="true">IF(S848=1,IF(ISNUMBER(F848),TODAY()-F848,-1),-1)</f>
        <v>-1</v>
      </c>
      <c r="V848" s="53" t="n">
        <f aca="false">IF(U848&lt;0,IF(S848=1,5,0),IF(U848&lt;=30,1,IF(U848&lt;=60,2,IF(U848&lt;=90,3,4))))</f>
        <v>0</v>
      </c>
      <c r="W848" s="53" t="n">
        <f aca="false">IF(U848&lt;0,-1000000000000000,U848+ROW()/1000000)</f>
        <v>-1000000000000000</v>
      </c>
      <c r="X848" s="53" t="n">
        <f aca="false">IF(T848=1,IF(AND(ISNUMBER(F848),ISNUMBER(K848)),K848-F848,0),0)</f>
        <v>0</v>
      </c>
      <c r="Y848" s="53" t="n">
        <f aca="false">IF(T848=1,IF(AND(ISNUMBER(F848),ISNUMBER(K848)),1,0),0)</f>
        <v>0</v>
      </c>
      <c r="Z848" s="53" t="n">
        <f aca="false">IF(U848&gt;=Settings!$C$8,1,0)</f>
        <v>0</v>
      </c>
      <c r="AA848" s="53" t="n">
        <f aca="false">IF(S848=1,IF(J848="Listed / Publicado",0,1),0)</f>
        <v>0</v>
      </c>
      <c r="AB848" s="53" t="n">
        <f aca="false">IF(T848=1,IF(ISNUMBER(L848),L848-G848,0),0)</f>
        <v>0</v>
      </c>
      <c r="AC848" s="53" t="n">
        <f aca="false">IF(S848=1,IF(ISNUMBER(I848),I848-G848,0),0)</f>
        <v>0</v>
      </c>
    </row>
    <row r="849" customFormat="false" ht="15" hidden="false" customHeight="false" outlineLevel="0" collapsed="false">
      <c r="B849" s="54"/>
      <c r="C849" s="55"/>
      <c r="D849" s="55"/>
      <c r="E849" s="55"/>
      <c r="F849" s="56"/>
      <c r="G849" s="57"/>
      <c r="H849" s="55"/>
      <c r="I849" s="57"/>
      <c r="J849" s="54"/>
      <c r="K849" s="56"/>
      <c r="L849" s="57"/>
      <c r="M849" s="54"/>
      <c r="N849" s="58" t="str">
        <f aca="false">IF(S849=1,IF(U849&lt;0,"",U849),IF(Y849=1,X849,""))</f>
        <v/>
      </c>
      <c r="O849" s="59" t="str">
        <f aca="false">IF(S849=1,IF(ISNUMBER(I849),I849-G849,""),"")</f>
        <v/>
      </c>
      <c r="P849" s="59" t="str">
        <f aca="false">IF(T849=1,IF(ISNUMBER(L849),L849-G849,""),"")</f>
        <v/>
      </c>
      <c r="Q849" s="60" t="str">
        <f aca="false">IF(C849="","",IF(T849=1,"✔ SOLD / VENDIDO",IF(S849=0,"— CLOSED / CERRADO",IF(U849&lt;0,"⚠ ADD DATE / AGREGA FECHA",IF(U849&gt;=Settings!$C$8,"⚠ STALE – REPRICE / ESTANCADO",IF(U849&gt;=Settings!$C$7,"● WATCH / VIGILAR","✔ FRESH / RECIENTE"))))))</f>
        <v/>
      </c>
      <c r="S849" s="53" t="n">
        <f aca="false">IF(C849="",0,IF(OR(J849="",J849="In Stock / En Inventario",J849="Listed / Publicado"),1,0))</f>
        <v>0</v>
      </c>
      <c r="T849" s="53" t="n">
        <f aca="false">IF(C849="",0,IF(J849="Sold / Vendido",1,0))</f>
        <v>0</v>
      </c>
      <c r="U849" s="53" t="n">
        <f aca="true">IF(S849=1,IF(ISNUMBER(F849),TODAY()-F849,-1),-1)</f>
        <v>-1</v>
      </c>
      <c r="V849" s="53" t="n">
        <f aca="false">IF(U849&lt;0,IF(S849=1,5,0),IF(U849&lt;=30,1,IF(U849&lt;=60,2,IF(U849&lt;=90,3,4))))</f>
        <v>0</v>
      </c>
      <c r="W849" s="53" t="n">
        <f aca="false">IF(U849&lt;0,-1000000000000000,U849+ROW()/1000000)</f>
        <v>-1000000000000000</v>
      </c>
      <c r="X849" s="53" t="n">
        <f aca="false">IF(T849=1,IF(AND(ISNUMBER(F849),ISNUMBER(K849)),K849-F849,0),0)</f>
        <v>0</v>
      </c>
      <c r="Y849" s="53" t="n">
        <f aca="false">IF(T849=1,IF(AND(ISNUMBER(F849),ISNUMBER(K849)),1,0),0)</f>
        <v>0</v>
      </c>
      <c r="Z849" s="53" t="n">
        <f aca="false">IF(U849&gt;=Settings!$C$8,1,0)</f>
        <v>0</v>
      </c>
      <c r="AA849" s="53" t="n">
        <f aca="false">IF(S849=1,IF(J849="Listed / Publicado",0,1),0)</f>
        <v>0</v>
      </c>
      <c r="AB849" s="53" t="n">
        <f aca="false">IF(T849=1,IF(ISNUMBER(L849),L849-G849,0),0)</f>
        <v>0</v>
      </c>
      <c r="AC849" s="53" t="n">
        <f aca="false">IF(S849=1,IF(ISNUMBER(I849),I849-G849,0),0)</f>
        <v>0</v>
      </c>
    </row>
    <row r="850" customFormat="false" ht="15" hidden="false" customHeight="false" outlineLevel="0" collapsed="false">
      <c r="B850" s="54"/>
      <c r="C850" s="55"/>
      <c r="D850" s="55"/>
      <c r="E850" s="55"/>
      <c r="F850" s="56"/>
      <c r="G850" s="57"/>
      <c r="H850" s="55"/>
      <c r="I850" s="57"/>
      <c r="J850" s="54"/>
      <c r="K850" s="56"/>
      <c r="L850" s="57"/>
      <c r="M850" s="54"/>
      <c r="N850" s="58" t="str">
        <f aca="false">IF(S850=1,IF(U850&lt;0,"",U850),IF(Y850=1,X850,""))</f>
        <v/>
      </c>
      <c r="O850" s="59" t="str">
        <f aca="false">IF(S850=1,IF(ISNUMBER(I850),I850-G850,""),"")</f>
        <v/>
      </c>
      <c r="P850" s="59" t="str">
        <f aca="false">IF(T850=1,IF(ISNUMBER(L850),L850-G850,""),"")</f>
        <v/>
      </c>
      <c r="Q850" s="60" t="str">
        <f aca="false">IF(C850="","",IF(T850=1,"✔ SOLD / VENDIDO",IF(S850=0,"— CLOSED / CERRADO",IF(U850&lt;0,"⚠ ADD DATE / AGREGA FECHA",IF(U850&gt;=Settings!$C$8,"⚠ STALE – REPRICE / ESTANCADO",IF(U850&gt;=Settings!$C$7,"● WATCH / VIGILAR","✔ FRESH / RECIENTE"))))))</f>
        <v/>
      </c>
      <c r="S850" s="53" t="n">
        <f aca="false">IF(C850="",0,IF(OR(J850="",J850="In Stock / En Inventario",J850="Listed / Publicado"),1,0))</f>
        <v>0</v>
      </c>
      <c r="T850" s="53" t="n">
        <f aca="false">IF(C850="",0,IF(J850="Sold / Vendido",1,0))</f>
        <v>0</v>
      </c>
      <c r="U850" s="53" t="n">
        <f aca="true">IF(S850=1,IF(ISNUMBER(F850),TODAY()-F850,-1),-1)</f>
        <v>-1</v>
      </c>
      <c r="V850" s="53" t="n">
        <f aca="false">IF(U850&lt;0,IF(S850=1,5,0),IF(U850&lt;=30,1,IF(U850&lt;=60,2,IF(U850&lt;=90,3,4))))</f>
        <v>0</v>
      </c>
      <c r="W850" s="53" t="n">
        <f aca="false">IF(U850&lt;0,-1000000000000000,U850+ROW()/1000000)</f>
        <v>-1000000000000000</v>
      </c>
      <c r="X850" s="53" t="n">
        <f aca="false">IF(T850=1,IF(AND(ISNUMBER(F850),ISNUMBER(K850)),K850-F850,0),0)</f>
        <v>0</v>
      </c>
      <c r="Y850" s="53" t="n">
        <f aca="false">IF(T850=1,IF(AND(ISNUMBER(F850),ISNUMBER(K850)),1,0),0)</f>
        <v>0</v>
      </c>
      <c r="Z850" s="53" t="n">
        <f aca="false">IF(U850&gt;=Settings!$C$8,1,0)</f>
        <v>0</v>
      </c>
      <c r="AA850" s="53" t="n">
        <f aca="false">IF(S850=1,IF(J850="Listed / Publicado",0,1),0)</f>
        <v>0</v>
      </c>
      <c r="AB850" s="53" t="n">
        <f aca="false">IF(T850=1,IF(ISNUMBER(L850),L850-G850,0),0)</f>
        <v>0</v>
      </c>
      <c r="AC850" s="53" t="n">
        <f aca="false">IF(S850=1,IF(ISNUMBER(I850),I850-G850,0),0)</f>
        <v>0</v>
      </c>
    </row>
    <row r="851" customFormat="false" ht="15" hidden="false" customHeight="false" outlineLevel="0" collapsed="false">
      <c r="B851" s="54"/>
      <c r="C851" s="55"/>
      <c r="D851" s="55"/>
      <c r="E851" s="55"/>
      <c r="F851" s="56"/>
      <c r="G851" s="57"/>
      <c r="H851" s="55"/>
      <c r="I851" s="57"/>
      <c r="J851" s="54"/>
      <c r="K851" s="56"/>
      <c r="L851" s="57"/>
      <c r="M851" s="54"/>
      <c r="N851" s="58" t="str">
        <f aca="false">IF(S851=1,IF(U851&lt;0,"",U851),IF(Y851=1,X851,""))</f>
        <v/>
      </c>
      <c r="O851" s="59" t="str">
        <f aca="false">IF(S851=1,IF(ISNUMBER(I851),I851-G851,""),"")</f>
        <v/>
      </c>
      <c r="P851" s="59" t="str">
        <f aca="false">IF(T851=1,IF(ISNUMBER(L851),L851-G851,""),"")</f>
        <v/>
      </c>
      <c r="Q851" s="60" t="str">
        <f aca="false">IF(C851="","",IF(T851=1,"✔ SOLD / VENDIDO",IF(S851=0,"— CLOSED / CERRADO",IF(U851&lt;0,"⚠ ADD DATE / AGREGA FECHA",IF(U851&gt;=Settings!$C$8,"⚠ STALE – REPRICE / ESTANCADO",IF(U851&gt;=Settings!$C$7,"● WATCH / VIGILAR","✔ FRESH / RECIENTE"))))))</f>
        <v/>
      </c>
      <c r="S851" s="53" t="n">
        <f aca="false">IF(C851="",0,IF(OR(J851="",J851="In Stock / En Inventario",J851="Listed / Publicado"),1,0))</f>
        <v>0</v>
      </c>
      <c r="T851" s="53" t="n">
        <f aca="false">IF(C851="",0,IF(J851="Sold / Vendido",1,0))</f>
        <v>0</v>
      </c>
      <c r="U851" s="53" t="n">
        <f aca="true">IF(S851=1,IF(ISNUMBER(F851),TODAY()-F851,-1),-1)</f>
        <v>-1</v>
      </c>
      <c r="V851" s="53" t="n">
        <f aca="false">IF(U851&lt;0,IF(S851=1,5,0),IF(U851&lt;=30,1,IF(U851&lt;=60,2,IF(U851&lt;=90,3,4))))</f>
        <v>0</v>
      </c>
      <c r="W851" s="53" t="n">
        <f aca="false">IF(U851&lt;0,-1000000000000000,U851+ROW()/1000000)</f>
        <v>-1000000000000000</v>
      </c>
      <c r="X851" s="53" t="n">
        <f aca="false">IF(T851=1,IF(AND(ISNUMBER(F851),ISNUMBER(K851)),K851-F851,0),0)</f>
        <v>0</v>
      </c>
      <c r="Y851" s="53" t="n">
        <f aca="false">IF(T851=1,IF(AND(ISNUMBER(F851),ISNUMBER(K851)),1,0),0)</f>
        <v>0</v>
      </c>
      <c r="Z851" s="53" t="n">
        <f aca="false">IF(U851&gt;=Settings!$C$8,1,0)</f>
        <v>0</v>
      </c>
      <c r="AA851" s="53" t="n">
        <f aca="false">IF(S851=1,IF(J851="Listed / Publicado",0,1),0)</f>
        <v>0</v>
      </c>
      <c r="AB851" s="53" t="n">
        <f aca="false">IF(T851=1,IF(ISNUMBER(L851),L851-G851,0),0)</f>
        <v>0</v>
      </c>
      <c r="AC851" s="53" t="n">
        <f aca="false">IF(S851=1,IF(ISNUMBER(I851),I851-G851,0),0)</f>
        <v>0</v>
      </c>
    </row>
    <row r="852" customFormat="false" ht="15" hidden="false" customHeight="false" outlineLevel="0" collapsed="false">
      <c r="B852" s="54"/>
      <c r="C852" s="55"/>
      <c r="D852" s="55"/>
      <c r="E852" s="55"/>
      <c r="F852" s="56"/>
      <c r="G852" s="57"/>
      <c r="H852" s="55"/>
      <c r="I852" s="57"/>
      <c r="J852" s="54"/>
      <c r="K852" s="56"/>
      <c r="L852" s="57"/>
      <c r="M852" s="54"/>
      <c r="N852" s="58" t="str">
        <f aca="false">IF(S852=1,IF(U852&lt;0,"",U852),IF(Y852=1,X852,""))</f>
        <v/>
      </c>
      <c r="O852" s="59" t="str">
        <f aca="false">IF(S852=1,IF(ISNUMBER(I852),I852-G852,""),"")</f>
        <v/>
      </c>
      <c r="P852" s="59" t="str">
        <f aca="false">IF(T852=1,IF(ISNUMBER(L852),L852-G852,""),"")</f>
        <v/>
      </c>
      <c r="Q852" s="60" t="str">
        <f aca="false">IF(C852="","",IF(T852=1,"✔ SOLD / VENDIDO",IF(S852=0,"— CLOSED / CERRADO",IF(U852&lt;0,"⚠ ADD DATE / AGREGA FECHA",IF(U852&gt;=Settings!$C$8,"⚠ STALE – REPRICE / ESTANCADO",IF(U852&gt;=Settings!$C$7,"● WATCH / VIGILAR","✔ FRESH / RECIENTE"))))))</f>
        <v/>
      </c>
      <c r="S852" s="53" t="n">
        <f aca="false">IF(C852="",0,IF(OR(J852="",J852="In Stock / En Inventario",J852="Listed / Publicado"),1,0))</f>
        <v>0</v>
      </c>
      <c r="T852" s="53" t="n">
        <f aca="false">IF(C852="",0,IF(J852="Sold / Vendido",1,0))</f>
        <v>0</v>
      </c>
      <c r="U852" s="53" t="n">
        <f aca="true">IF(S852=1,IF(ISNUMBER(F852),TODAY()-F852,-1),-1)</f>
        <v>-1</v>
      </c>
      <c r="V852" s="53" t="n">
        <f aca="false">IF(U852&lt;0,IF(S852=1,5,0),IF(U852&lt;=30,1,IF(U852&lt;=60,2,IF(U852&lt;=90,3,4))))</f>
        <v>0</v>
      </c>
      <c r="W852" s="53" t="n">
        <f aca="false">IF(U852&lt;0,-1000000000000000,U852+ROW()/1000000)</f>
        <v>-1000000000000000</v>
      </c>
      <c r="X852" s="53" t="n">
        <f aca="false">IF(T852=1,IF(AND(ISNUMBER(F852),ISNUMBER(K852)),K852-F852,0),0)</f>
        <v>0</v>
      </c>
      <c r="Y852" s="53" t="n">
        <f aca="false">IF(T852=1,IF(AND(ISNUMBER(F852),ISNUMBER(K852)),1,0),0)</f>
        <v>0</v>
      </c>
      <c r="Z852" s="53" t="n">
        <f aca="false">IF(U852&gt;=Settings!$C$8,1,0)</f>
        <v>0</v>
      </c>
      <c r="AA852" s="53" t="n">
        <f aca="false">IF(S852=1,IF(J852="Listed / Publicado",0,1),0)</f>
        <v>0</v>
      </c>
      <c r="AB852" s="53" t="n">
        <f aca="false">IF(T852=1,IF(ISNUMBER(L852),L852-G852,0),0)</f>
        <v>0</v>
      </c>
      <c r="AC852" s="53" t="n">
        <f aca="false">IF(S852=1,IF(ISNUMBER(I852),I852-G852,0),0)</f>
        <v>0</v>
      </c>
    </row>
    <row r="853" customFormat="false" ht="15" hidden="false" customHeight="false" outlineLevel="0" collapsed="false">
      <c r="B853" s="54"/>
      <c r="C853" s="55"/>
      <c r="D853" s="55"/>
      <c r="E853" s="55"/>
      <c r="F853" s="56"/>
      <c r="G853" s="57"/>
      <c r="H853" s="55"/>
      <c r="I853" s="57"/>
      <c r="J853" s="54"/>
      <c r="K853" s="56"/>
      <c r="L853" s="57"/>
      <c r="M853" s="54"/>
      <c r="N853" s="58" t="str">
        <f aca="false">IF(S853=1,IF(U853&lt;0,"",U853),IF(Y853=1,X853,""))</f>
        <v/>
      </c>
      <c r="O853" s="59" t="str">
        <f aca="false">IF(S853=1,IF(ISNUMBER(I853),I853-G853,""),"")</f>
        <v/>
      </c>
      <c r="P853" s="59" t="str">
        <f aca="false">IF(T853=1,IF(ISNUMBER(L853),L853-G853,""),"")</f>
        <v/>
      </c>
      <c r="Q853" s="60" t="str">
        <f aca="false">IF(C853="","",IF(T853=1,"✔ SOLD / VENDIDO",IF(S853=0,"— CLOSED / CERRADO",IF(U853&lt;0,"⚠ ADD DATE / AGREGA FECHA",IF(U853&gt;=Settings!$C$8,"⚠ STALE – REPRICE / ESTANCADO",IF(U853&gt;=Settings!$C$7,"● WATCH / VIGILAR","✔ FRESH / RECIENTE"))))))</f>
        <v/>
      </c>
      <c r="S853" s="53" t="n">
        <f aca="false">IF(C853="",0,IF(OR(J853="",J853="In Stock / En Inventario",J853="Listed / Publicado"),1,0))</f>
        <v>0</v>
      </c>
      <c r="T853" s="53" t="n">
        <f aca="false">IF(C853="",0,IF(J853="Sold / Vendido",1,0))</f>
        <v>0</v>
      </c>
      <c r="U853" s="53" t="n">
        <f aca="true">IF(S853=1,IF(ISNUMBER(F853),TODAY()-F853,-1),-1)</f>
        <v>-1</v>
      </c>
      <c r="V853" s="53" t="n">
        <f aca="false">IF(U853&lt;0,IF(S853=1,5,0),IF(U853&lt;=30,1,IF(U853&lt;=60,2,IF(U853&lt;=90,3,4))))</f>
        <v>0</v>
      </c>
      <c r="W853" s="53" t="n">
        <f aca="false">IF(U853&lt;0,-1000000000000000,U853+ROW()/1000000)</f>
        <v>-1000000000000000</v>
      </c>
      <c r="X853" s="53" t="n">
        <f aca="false">IF(T853=1,IF(AND(ISNUMBER(F853),ISNUMBER(K853)),K853-F853,0),0)</f>
        <v>0</v>
      </c>
      <c r="Y853" s="53" t="n">
        <f aca="false">IF(T853=1,IF(AND(ISNUMBER(F853),ISNUMBER(K853)),1,0),0)</f>
        <v>0</v>
      </c>
      <c r="Z853" s="53" t="n">
        <f aca="false">IF(U853&gt;=Settings!$C$8,1,0)</f>
        <v>0</v>
      </c>
      <c r="AA853" s="53" t="n">
        <f aca="false">IF(S853=1,IF(J853="Listed / Publicado",0,1),0)</f>
        <v>0</v>
      </c>
      <c r="AB853" s="53" t="n">
        <f aca="false">IF(T853=1,IF(ISNUMBER(L853),L853-G853,0),0)</f>
        <v>0</v>
      </c>
      <c r="AC853" s="53" t="n">
        <f aca="false">IF(S853=1,IF(ISNUMBER(I853),I853-G853,0),0)</f>
        <v>0</v>
      </c>
    </row>
    <row r="854" customFormat="false" ht="15" hidden="false" customHeight="false" outlineLevel="0" collapsed="false">
      <c r="B854" s="54"/>
      <c r="C854" s="55"/>
      <c r="D854" s="55"/>
      <c r="E854" s="55"/>
      <c r="F854" s="56"/>
      <c r="G854" s="57"/>
      <c r="H854" s="55"/>
      <c r="I854" s="57"/>
      <c r="J854" s="54"/>
      <c r="K854" s="56"/>
      <c r="L854" s="57"/>
      <c r="M854" s="54"/>
      <c r="N854" s="58" t="str">
        <f aca="false">IF(S854=1,IF(U854&lt;0,"",U854),IF(Y854=1,X854,""))</f>
        <v/>
      </c>
      <c r="O854" s="59" t="str">
        <f aca="false">IF(S854=1,IF(ISNUMBER(I854),I854-G854,""),"")</f>
        <v/>
      </c>
      <c r="P854" s="59" t="str">
        <f aca="false">IF(T854=1,IF(ISNUMBER(L854),L854-G854,""),"")</f>
        <v/>
      </c>
      <c r="Q854" s="60" t="str">
        <f aca="false">IF(C854="","",IF(T854=1,"✔ SOLD / VENDIDO",IF(S854=0,"— CLOSED / CERRADO",IF(U854&lt;0,"⚠ ADD DATE / AGREGA FECHA",IF(U854&gt;=Settings!$C$8,"⚠ STALE – REPRICE / ESTANCADO",IF(U854&gt;=Settings!$C$7,"● WATCH / VIGILAR","✔ FRESH / RECIENTE"))))))</f>
        <v/>
      </c>
      <c r="S854" s="53" t="n">
        <f aca="false">IF(C854="",0,IF(OR(J854="",J854="In Stock / En Inventario",J854="Listed / Publicado"),1,0))</f>
        <v>0</v>
      </c>
      <c r="T854" s="53" t="n">
        <f aca="false">IF(C854="",0,IF(J854="Sold / Vendido",1,0))</f>
        <v>0</v>
      </c>
      <c r="U854" s="53" t="n">
        <f aca="true">IF(S854=1,IF(ISNUMBER(F854),TODAY()-F854,-1),-1)</f>
        <v>-1</v>
      </c>
      <c r="V854" s="53" t="n">
        <f aca="false">IF(U854&lt;0,IF(S854=1,5,0),IF(U854&lt;=30,1,IF(U854&lt;=60,2,IF(U854&lt;=90,3,4))))</f>
        <v>0</v>
      </c>
      <c r="W854" s="53" t="n">
        <f aca="false">IF(U854&lt;0,-1000000000000000,U854+ROW()/1000000)</f>
        <v>-1000000000000000</v>
      </c>
      <c r="X854" s="53" t="n">
        <f aca="false">IF(T854=1,IF(AND(ISNUMBER(F854),ISNUMBER(K854)),K854-F854,0),0)</f>
        <v>0</v>
      </c>
      <c r="Y854" s="53" t="n">
        <f aca="false">IF(T854=1,IF(AND(ISNUMBER(F854),ISNUMBER(K854)),1,0),0)</f>
        <v>0</v>
      </c>
      <c r="Z854" s="53" t="n">
        <f aca="false">IF(U854&gt;=Settings!$C$8,1,0)</f>
        <v>0</v>
      </c>
      <c r="AA854" s="53" t="n">
        <f aca="false">IF(S854=1,IF(J854="Listed / Publicado",0,1),0)</f>
        <v>0</v>
      </c>
      <c r="AB854" s="53" t="n">
        <f aca="false">IF(T854=1,IF(ISNUMBER(L854),L854-G854,0),0)</f>
        <v>0</v>
      </c>
      <c r="AC854" s="53" t="n">
        <f aca="false">IF(S854=1,IF(ISNUMBER(I854),I854-G854,0),0)</f>
        <v>0</v>
      </c>
    </row>
    <row r="855" customFormat="false" ht="15" hidden="false" customHeight="false" outlineLevel="0" collapsed="false">
      <c r="B855" s="54"/>
      <c r="C855" s="55"/>
      <c r="D855" s="55"/>
      <c r="E855" s="55"/>
      <c r="F855" s="56"/>
      <c r="G855" s="57"/>
      <c r="H855" s="55"/>
      <c r="I855" s="57"/>
      <c r="J855" s="54"/>
      <c r="K855" s="56"/>
      <c r="L855" s="57"/>
      <c r="M855" s="54"/>
      <c r="N855" s="58" t="str">
        <f aca="false">IF(S855=1,IF(U855&lt;0,"",U855),IF(Y855=1,X855,""))</f>
        <v/>
      </c>
      <c r="O855" s="59" t="str">
        <f aca="false">IF(S855=1,IF(ISNUMBER(I855),I855-G855,""),"")</f>
        <v/>
      </c>
      <c r="P855" s="59" t="str">
        <f aca="false">IF(T855=1,IF(ISNUMBER(L855),L855-G855,""),"")</f>
        <v/>
      </c>
      <c r="Q855" s="60" t="str">
        <f aca="false">IF(C855="","",IF(T855=1,"✔ SOLD / VENDIDO",IF(S855=0,"— CLOSED / CERRADO",IF(U855&lt;0,"⚠ ADD DATE / AGREGA FECHA",IF(U855&gt;=Settings!$C$8,"⚠ STALE – REPRICE / ESTANCADO",IF(U855&gt;=Settings!$C$7,"● WATCH / VIGILAR","✔ FRESH / RECIENTE"))))))</f>
        <v/>
      </c>
      <c r="S855" s="53" t="n">
        <f aca="false">IF(C855="",0,IF(OR(J855="",J855="In Stock / En Inventario",J855="Listed / Publicado"),1,0))</f>
        <v>0</v>
      </c>
      <c r="T855" s="53" t="n">
        <f aca="false">IF(C855="",0,IF(J855="Sold / Vendido",1,0))</f>
        <v>0</v>
      </c>
      <c r="U855" s="53" t="n">
        <f aca="true">IF(S855=1,IF(ISNUMBER(F855),TODAY()-F855,-1),-1)</f>
        <v>-1</v>
      </c>
      <c r="V855" s="53" t="n">
        <f aca="false">IF(U855&lt;0,IF(S855=1,5,0),IF(U855&lt;=30,1,IF(U855&lt;=60,2,IF(U855&lt;=90,3,4))))</f>
        <v>0</v>
      </c>
      <c r="W855" s="53" t="n">
        <f aca="false">IF(U855&lt;0,-1000000000000000,U855+ROW()/1000000)</f>
        <v>-1000000000000000</v>
      </c>
      <c r="X855" s="53" t="n">
        <f aca="false">IF(T855=1,IF(AND(ISNUMBER(F855),ISNUMBER(K855)),K855-F855,0),0)</f>
        <v>0</v>
      </c>
      <c r="Y855" s="53" t="n">
        <f aca="false">IF(T855=1,IF(AND(ISNUMBER(F855),ISNUMBER(K855)),1,0),0)</f>
        <v>0</v>
      </c>
      <c r="Z855" s="53" t="n">
        <f aca="false">IF(U855&gt;=Settings!$C$8,1,0)</f>
        <v>0</v>
      </c>
      <c r="AA855" s="53" t="n">
        <f aca="false">IF(S855=1,IF(J855="Listed / Publicado",0,1),0)</f>
        <v>0</v>
      </c>
      <c r="AB855" s="53" t="n">
        <f aca="false">IF(T855=1,IF(ISNUMBER(L855),L855-G855,0),0)</f>
        <v>0</v>
      </c>
      <c r="AC855" s="53" t="n">
        <f aca="false">IF(S855=1,IF(ISNUMBER(I855),I855-G855,0),0)</f>
        <v>0</v>
      </c>
    </row>
    <row r="856" customFormat="false" ht="15" hidden="false" customHeight="false" outlineLevel="0" collapsed="false">
      <c r="B856" s="54"/>
      <c r="C856" s="55"/>
      <c r="D856" s="55"/>
      <c r="E856" s="55"/>
      <c r="F856" s="56"/>
      <c r="G856" s="57"/>
      <c r="H856" s="55"/>
      <c r="I856" s="57"/>
      <c r="J856" s="54"/>
      <c r="K856" s="56"/>
      <c r="L856" s="57"/>
      <c r="M856" s="54"/>
      <c r="N856" s="58" t="str">
        <f aca="false">IF(S856=1,IF(U856&lt;0,"",U856),IF(Y856=1,X856,""))</f>
        <v/>
      </c>
      <c r="O856" s="59" t="str">
        <f aca="false">IF(S856=1,IF(ISNUMBER(I856),I856-G856,""),"")</f>
        <v/>
      </c>
      <c r="P856" s="59" t="str">
        <f aca="false">IF(T856=1,IF(ISNUMBER(L856),L856-G856,""),"")</f>
        <v/>
      </c>
      <c r="Q856" s="60" t="str">
        <f aca="false">IF(C856="","",IF(T856=1,"✔ SOLD / VENDIDO",IF(S856=0,"— CLOSED / CERRADO",IF(U856&lt;0,"⚠ ADD DATE / AGREGA FECHA",IF(U856&gt;=Settings!$C$8,"⚠ STALE – REPRICE / ESTANCADO",IF(U856&gt;=Settings!$C$7,"● WATCH / VIGILAR","✔ FRESH / RECIENTE"))))))</f>
        <v/>
      </c>
      <c r="S856" s="53" t="n">
        <f aca="false">IF(C856="",0,IF(OR(J856="",J856="In Stock / En Inventario",J856="Listed / Publicado"),1,0))</f>
        <v>0</v>
      </c>
      <c r="T856" s="53" t="n">
        <f aca="false">IF(C856="",0,IF(J856="Sold / Vendido",1,0))</f>
        <v>0</v>
      </c>
      <c r="U856" s="53" t="n">
        <f aca="true">IF(S856=1,IF(ISNUMBER(F856),TODAY()-F856,-1),-1)</f>
        <v>-1</v>
      </c>
      <c r="V856" s="53" t="n">
        <f aca="false">IF(U856&lt;0,IF(S856=1,5,0),IF(U856&lt;=30,1,IF(U856&lt;=60,2,IF(U856&lt;=90,3,4))))</f>
        <v>0</v>
      </c>
      <c r="W856" s="53" t="n">
        <f aca="false">IF(U856&lt;0,-1000000000000000,U856+ROW()/1000000)</f>
        <v>-1000000000000000</v>
      </c>
      <c r="X856" s="53" t="n">
        <f aca="false">IF(T856=1,IF(AND(ISNUMBER(F856),ISNUMBER(K856)),K856-F856,0),0)</f>
        <v>0</v>
      </c>
      <c r="Y856" s="53" t="n">
        <f aca="false">IF(T856=1,IF(AND(ISNUMBER(F856),ISNUMBER(K856)),1,0),0)</f>
        <v>0</v>
      </c>
      <c r="Z856" s="53" t="n">
        <f aca="false">IF(U856&gt;=Settings!$C$8,1,0)</f>
        <v>0</v>
      </c>
      <c r="AA856" s="53" t="n">
        <f aca="false">IF(S856=1,IF(J856="Listed / Publicado",0,1),0)</f>
        <v>0</v>
      </c>
      <c r="AB856" s="53" t="n">
        <f aca="false">IF(T856=1,IF(ISNUMBER(L856),L856-G856,0),0)</f>
        <v>0</v>
      </c>
      <c r="AC856" s="53" t="n">
        <f aca="false">IF(S856=1,IF(ISNUMBER(I856),I856-G856,0),0)</f>
        <v>0</v>
      </c>
    </row>
    <row r="857" customFormat="false" ht="15" hidden="false" customHeight="false" outlineLevel="0" collapsed="false">
      <c r="B857" s="54"/>
      <c r="C857" s="55"/>
      <c r="D857" s="55"/>
      <c r="E857" s="55"/>
      <c r="F857" s="56"/>
      <c r="G857" s="57"/>
      <c r="H857" s="55"/>
      <c r="I857" s="57"/>
      <c r="J857" s="54"/>
      <c r="K857" s="56"/>
      <c r="L857" s="57"/>
      <c r="M857" s="54"/>
      <c r="N857" s="58" t="str">
        <f aca="false">IF(S857=1,IF(U857&lt;0,"",U857),IF(Y857=1,X857,""))</f>
        <v/>
      </c>
      <c r="O857" s="59" t="str">
        <f aca="false">IF(S857=1,IF(ISNUMBER(I857),I857-G857,""),"")</f>
        <v/>
      </c>
      <c r="P857" s="59" t="str">
        <f aca="false">IF(T857=1,IF(ISNUMBER(L857),L857-G857,""),"")</f>
        <v/>
      </c>
      <c r="Q857" s="60" t="str">
        <f aca="false">IF(C857="","",IF(T857=1,"✔ SOLD / VENDIDO",IF(S857=0,"— CLOSED / CERRADO",IF(U857&lt;0,"⚠ ADD DATE / AGREGA FECHA",IF(U857&gt;=Settings!$C$8,"⚠ STALE – REPRICE / ESTANCADO",IF(U857&gt;=Settings!$C$7,"● WATCH / VIGILAR","✔ FRESH / RECIENTE"))))))</f>
        <v/>
      </c>
      <c r="S857" s="53" t="n">
        <f aca="false">IF(C857="",0,IF(OR(J857="",J857="In Stock / En Inventario",J857="Listed / Publicado"),1,0))</f>
        <v>0</v>
      </c>
      <c r="T857" s="53" t="n">
        <f aca="false">IF(C857="",0,IF(J857="Sold / Vendido",1,0))</f>
        <v>0</v>
      </c>
      <c r="U857" s="53" t="n">
        <f aca="true">IF(S857=1,IF(ISNUMBER(F857),TODAY()-F857,-1),-1)</f>
        <v>-1</v>
      </c>
      <c r="V857" s="53" t="n">
        <f aca="false">IF(U857&lt;0,IF(S857=1,5,0),IF(U857&lt;=30,1,IF(U857&lt;=60,2,IF(U857&lt;=90,3,4))))</f>
        <v>0</v>
      </c>
      <c r="W857" s="53" t="n">
        <f aca="false">IF(U857&lt;0,-1000000000000000,U857+ROW()/1000000)</f>
        <v>-1000000000000000</v>
      </c>
      <c r="X857" s="53" t="n">
        <f aca="false">IF(T857=1,IF(AND(ISNUMBER(F857),ISNUMBER(K857)),K857-F857,0),0)</f>
        <v>0</v>
      </c>
      <c r="Y857" s="53" t="n">
        <f aca="false">IF(T857=1,IF(AND(ISNUMBER(F857),ISNUMBER(K857)),1,0),0)</f>
        <v>0</v>
      </c>
      <c r="Z857" s="53" t="n">
        <f aca="false">IF(U857&gt;=Settings!$C$8,1,0)</f>
        <v>0</v>
      </c>
      <c r="AA857" s="53" t="n">
        <f aca="false">IF(S857=1,IF(J857="Listed / Publicado",0,1),0)</f>
        <v>0</v>
      </c>
      <c r="AB857" s="53" t="n">
        <f aca="false">IF(T857=1,IF(ISNUMBER(L857),L857-G857,0),0)</f>
        <v>0</v>
      </c>
      <c r="AC857" s="53" t="n">
        <f aca="false">IF(S857=1,IF(ISNUMBER(I857),I857-G857,0),0)</f>
        <v>0</v>
      </c>
    </row>
    <row r="858" customFormat="false" ht="15" hidden="false" customHeight="false" outlineLevel="0" collapsed="false">
      <c r="B858" s="54"/>
      <c r="C858" s="55"/>
      <c r="D858" s="55"/>
      <c r="E858" s="55"/>
      <c r="F858" s="56"/>
      <c r="G858" s="57"/>
      <c r="H858" s="55"/>
      <c r="I858" s="57"/>
      <c r="J858" s="54"/>
      <c r="K858" s="56"/>
      <c r="L858" s="57"/>
      <c r="M858" s="54"/>
      <c r="N858" s="58" t="str">
        <f aca="false">IF(S858=1,IF(U858&lt;0,"",U858),IF(Y858=1,X858,""))</f>
        <v/>
      </c>
      <c r="O858" s="59" t="str">
        <f aca="false">IF(S858=1,IF(ISNUMBER(I858),I858-G858,""),"")</f>
        <v/>
      </c>
      <c r="P858" s="59" t="str">
        <f aca="false">IF(T858=1,IF(ISNUMBER(L858),L858-G858,""),"")</f>
        <v/>
      </c>
      <c r="Q858" s="60" t="str">
        <f aca="false">IF(C858="","",IF(T858=1,"✔ SOLD / VENDIDO",IF(S858=0,"— CLOSED / CERRADO",IF(U858&lt;0,"⚠ ADD DATE / AGREGA FECHA",IF(U858&gt;=Settings!$C$8,"⚠ STALE – REPRICE / ESTANCADO",IF(U858&gt;=Settings!$C$7,"● WATCH / VIGILAR","✔ FRESH / RECIENTE"))))))</f>
        <v/>
      </c>
      <c r="S858" s="53" t="n">
        <f aca="false">IF(C858="",0,IF(OR(J858="",J858="In Stock / En Inventario",J858="Listed / Publicado"),1,0))</f>
        <v>0</v>
      </c>
      <c r="T858" s="53" t="n">
        <f aca="false">IF(C858="",0,IF(J858="Sold / Vendido",1,0))</f>
        <v>0</v>
      </c>
      <c r="U858" s="53" t="n">
        <f aca="true">IF(S858=1,IF(ISNUMBER(F858),TODAY()-F858,-1),-1)</f>
        <v>-1</v>
      </c>
      <c r="V858" s="53" t="n">
        <f aca="false">IF(U858&lt;0,IF(S858=1,5,0),IF(U858&lt;=30,1,IF(U858&lt;=60,2,IF(U858&lt;=90,3,4))))</f>
        <v>0</v>
      </c>
      <c r="W858" s="53" t="n">
        <f aca="false">IF(U858&lt;0,-1000000000000000,U858+ROW()/1000000)</f>
        <v>-1000000000000000</v>
      </c>
      <c r="X858" s="53" t="n">
        <f aca="false">IF(T858=1,IF(AND(ISNUMBER(F858),ISNUMBER(K858)),K858-F858,0),0)</f>
        <v>0</v>
      </c>
      <c r="Y858" s="53" t="n">
        <f aca="false">IF(T858=1,IF(AND(ISNUMBER(F858),ISNUMBER(K858)),1,0),0)</f>
        <v>0</v>
      </c>
      <c r="Z858" s="53" t="n">
        <f aca="false">IF(U858&gt;=Settings!$C$8,1,0)</f>
        <v>0</v>
      </c>
      <c r="AA858" s="53" t="n">
        <f aca="false">IF(S858=1,IF(J858="Listed / Publicado",0,1),0)</f>
        <v>0</v>
      </c>
      <c r="AB858" s="53" t="n">
        <f aca="false">IF(T858=1,IF(ISNUMBER(L858),L858-G858,0),0)</f>
        <v>0</v>
      </c>
      <c r="AC858" s="53" t="n">
        <f aca="false">IF(S858=1,IF(ISNUMBER(I858),I858-G858,0),0)</f>
        <v>0</v>
      </c>
    </row>
    <row r="859" customFormat="false" ht="15" hidden="false" customHeight="false" outlineLevel="0" collapsed="false">
      <c r="B859" s="54"/>
      <c r="C859" s="55"/>
      <c r="D859" s="55"/>
      <c r="E859" s="55"/>
      <c r="F859" s="56"/>
      <c r="G859" s="57"/>
      <c r="H859" s="55"/>
      <c r="I859" s="57"/>
      <c r="J859" s="54"/>
      <c r="K859" s="56"/>
      <c r="L859" s="57"/>
      <c r="M859" s="54"/>
      <c r="N859" s="58" t="str">
        <f aca="false">IF(S859=1,IF(U859&lt;0,"",U859),IF(Y859=1,X859,""))</f>
        <v/>
      </c>
      <c r="O859" s="59" t="str">
        <f aca="false">IF(S859=1,IF(ISNUMBER(I859),I859-G859,""),"")</f>
        <v/>
      </c>
      <c r="P859" s="59" t="str">
        <f aca="false">IF(T859=1,IF(ISNUMBER(L859),L859-G859,""),"")</f>
        <v/>
      </c>
      <c r="Q859" s="60" t="str">
        <f aca="false">IF(C859="","",IF(T859=1,"✔ SOLD / VENDIDO",IF(S859=0,"— CLOSED / CERRADO",IF(U859&lt;0,"⚠ ADD DATE / AGREGA FECHA",IF(U859&gt;=Settings!$C$8,"⚠ STALE – REPRICE / ESTANCADO",IF(U859&gt;=Settings!$C$7,"● WATCH / VIGILAR","✔ FRESH / RECIENTE"))))))</f>
        <v/>
      </c>
      <c r="S859" s="53" t="n">
        <f aca="false">IF(C859="",0,IF(OR(J859="",J859="In Stock / En Inventario",J859="Listed / Publicado"),1,0))</f>
        <v>0</v>
      </c>
      <c r="T859" s="53" t="n">
        <f aca="false">IF(C859="",0,IF(J859="Sold / Vendido",1,0))</f>
        <v>0</v>
      </c>
      <c r="U859" s="53" t="n">
        <f aca="true">IF(S859=1,IF(ISNUMBER(F859),TODAY()-F859,-1),-1)</f>
        <v>-1</v>
      </c>
      <c r="V859" s="53" t="n">
        <f aca="false">IF(U859&lt;0,IF(S859=1,5,0),IF(U859&lt;=30,1,IF(U859&lt;=60,2,IF(U859&lt;=90,3,4))))</f>
        <v>0</v>
      </c>
      <c r="W859" s="53" t="n">
        <f aca="false">IF(U859&lt;0,-1000000000000000,U859+ROW()/1000000)</f>
        <v>-1000000000000000</v>
      </c>
      <c r="X859" s="53" t="n">
        <f aca="false">IF(T859=1,IF(AND(ISNUMBER(F859),ISNUMBER(K859)),K859-F859,0),0)</f>
        <v>0</v>
      </c>
      <c r="Y859" s="53" t="n">
        <f aca="false">IF(T859=1,IF(AND(ISNUMBER(F859),ISNUMBER(K859)),1,0),0)</f>
        <v>0</v>
      </c>
      <c r="Z859" s="53" t="n">
        <f aca="false">IF(U859&gt;=Settings!$C$8,1,0)</f>
        <v>0</v>
      </c>
      <c r="AA859" s="53" t="n">
        <f aca="false">IF(S859=1,IF(J859="Listed / Publicado",0,1),0)</f>
        <v>0</v>
      </c>
      <c r="AB859" s="53" t="n">
        <f aca="false">IF(T859=1,IF(ISNUMBER(L859),L859-G859,0),0)</f>
        <v>0</v>
      </c>
      <c r="AC859" s="53" t="n">
        <f aca="false">IF(S859=1,IF(ISNUMBER(I859),I859-G859,0),0)</f>
        <v>0</v>
      </c>
    </row>
    <row r="860" customFormat="false" ht="15" hidden="false" customHeight="false" outlineLevel="0" collapsed="false">
      <c r="B860" s="54"/>
      <c r="C860" s="55"/>
      <c r="D860" s="55"/>
      <c r="E860" s="55"/>
      <c r="F860" s="56"/>
      <c r="G860" s="57"/>
      <c r="H860" s="55"/>
      <c r="I860" s="57"/>
      <c r="J860" s="54"/>
      <c r="K860" s="56"/>
      <c r="L860" s="57"/>
      <c r="M860" s="54"/>
      <c r="N860" s="58" t="str">
        <f aca="false">IF(S860=1,IF(U860&lt;0,"",U860),IF(Y860=1,X860,""))</f>
        <v/>
      </c>
      <c r="O860" s="59" t="str">
        <f aca="false">IF(S860=1,IF(ISNUMBER(I860),I860-G860,""),"")</f>
        <v/>
      </c>
      <c r="P860" s="59" t="str">
        <f aca="false">IF(T860=1,IF(ISNUMBER(L860),L860-G860,""),"")</f>
        <v/>
      </c>
      <c r="Q860" s="60" t="str">
        <f aca="false">IF(C860="","",IF(T860=1,"✔ SOLD / VENDIDO",IF(S860=0,"— CLOSED / CERRADO",IF(U860&lt;0,"⚠ ADD DATE / AGREGA FECHA",IF(U860&gt;=Settings!$C$8,"⚠ STALE – REPRICE / ESTANCADO",IF(U860&gt;=Settings!$C$7,"● WATCH / VIGILAR","✔ FRESH / RECIENTE"))))))</f>
        <v/>
      </c>
      <c r="S860" s="53" t="n">
        <f aca="false">IF(C860="",0,IF(OR(J860="",J860="In Stock / En Inventario",J860="Listed / Publicado"),1,0))</f>
        <v>0</v>
      </c>
      <c r="T860" s="53" t="n">
        <f aca="false">IF(C860="",0,IF(J860="Sold / Vendido",1,0))</f>
        <v>0</v>
      </c>
      <c r="U860" s="53" t="n">
        <f aca="true">IF(S860=1,IF(ISNUMBER(F860),TODAY()-F860,-1),-1)</f>
        <v>-1</v>
      </c>
      <c r="V860" s="53" t="n">
        <f aca="false">IF(U860&lt;0,IF(S860=1,5,0),IF(U860&lt;=30,1,IF(U860&lt;=60,2,IF(U860&lt;=90,3,4))))</f>
        <v>0</v>
      </c>
      <c r="W860" s="53" t="n">
        <f aca="false">IF(U860&lt;0,-1000000000000000,U860+ROW()/1000000)</f>
        <v>-1000000000000000</v>
      </c>
      <c r="X860" s="53" t="n">
        <f aca="false">IF(T860=1,IF(AND(ISNUMBER(F860),ISNUMBER(K860)),K860-F860,0),0)</f>
        <v>0</v>
      </c>
      <c r="Y860" s="53" t="n">
        <f aca="false">IF(T860=1,IF(AND(ISNUMBER(F860),ISNUMBER(K860)),1,0),0)</f>
        <v>0</v>
      </c>
      <c r="Z860" s="53" t="n">
        <f aca="false">IF(U860&gt;=Settings!$C$8,1,0)</f>
        <v>0</v>
      </c>
      <c r="AA860" s="53" t="n">
        <f aca="false">IF(S860=1,IF(J860="Listed / Publicado",0,1),0)</f>
        <v>0</v>
      </c>
      <c r="AB860" s="53" t="n">
        <f aca="false">IF(T860=1,IF(ISNUMBER(L860),L860-G860,0),0)</f>
        <v>0</v>
      </c>
      <c r="AC860" s="53" t="n">
        <f aca="false">IF(S860=1,IF(ISNUMBER(I860),I860-G860,0),0)</f>
        <v>0</v>
      </c>
    </row>
    <row r="861" customFormat="false" ht="15" hidden="false" customHeight="false" outlineLevel="0" collapsed="false">
      <c r="B861" s="54"/>
      <c r="C861" s="55"/>
      <c r="D861" s="55"/>
      <c r="E861" s="55"/>
      <c r="F861" s="56"/>
      <c r="G861" s="57"/>
      <c r="H861" s="55"/>
      <c r="I861" s="57"/>
      <c r="J861" s="54"/>
      <c r="K861" s="56"/>
      <c r="L861" s="57"/>
      <c r="M861" s="54"/>
      <c r="N861" s="58" t="str">
        <f aca="false">IF(S861=1,IF(U861&lt;0,"",U861),IF(Y861=1,X861,""))</f>
        <v/>
      </c>
      <c r="O861" s="59" t="str">
        <f aca="false">IF(S861=1,IF(ISNUMBER(I861),I861-G861,""),"")</f>
        <v/>
      </c>
      <c r="P861" s="59" t="str">
        <f aca="false">IF(T861=1,IF(ISNUMBER(L861),L861-G861,""),"")</f>
        <v/>
      </c>
      <c r="Q861" s="60" t="str">
        <f aca="false">IF(C861="","",IF(T861=1,"✔ SOLD / VENDIDO",IF(S861=0,"— CLOSED / CERRADO",IF(U861&lt;0,"⚠ ADD DATE / AGREGA FECHA",IF(U861&gt;=Settings!$C$8,"⚠ STALE – REPRICE / ESTANCADO",IF(U861&gt;=Settings!$C$7,"● WATCH / VIGILAR","✔ FRESH / RECIENTE"))))))</f>
        <v/>
      </c>
      <c r="S861" s="53" t="n">
        <f aca="false">IF(C861="",0,IF(OR(J861="",J861="In Stock / En Inventario",J861="Listed / Publicado"),1,0))</f>
        <v>0</v>
      </c>
      <c r="T861" s="53" t="n">
        <f aca="false">IF(C861="",0,IF(J861="Sold / Vendido",1,0))</f>
        <v>0</v>
      </c>
      <c r="U861" s="53" t="n">
        <f aca="true">IF(S861=1,IF(ISNUMBER(F861),TODAY()-F861,-1),-1)</f>
        <v>-1</v>
      </c>
      <c r="V861" s="53" t="n">
        <f aca="false">IF(U861&lt;0,IF(S861=1,5,0),IF(U861&lt;=30,1,IF(U861&lt;=60,2,IF(U861&lt;=90,3,4))))</f>
        <v>0</v>
      </c>
      <c r="W861" s="53" t="n">
        <f aca="false">IF(U861&lt;0,-1000000000000000,U861+ROW()/1000000)</f>
        <v>-1000000000000000</v>
      </c>
      <c r="X861" s="53" t="n">
        <f aca="false">IF(T861=1,IF(AND(ISNUMBER(F861),ISNUMBER(K861)),K861-F861,0),0)</f>
        <v>0</v>
      </c>
      <c r="Y861" s="53" t="n">
        <f aca="false">IF(T861=1,IF(AND(ISNUMBER(F861),ISNUMBER(K861)),1,0),0)</f>
        <v>0</v>
      </c>
      <c r="Z861" s="53" t="n">
        <f aca="false">IF(U861&gt;=Settings!$C$8,1,0)</f>
        <v>0</v>
      </c>
      <c r="AA861" s="53" t="n">
        <f aca="false">IF(S861=1,IF(J861="Listed / Publicado",0,1),0)</f>
        <v>0</v>
      </c>
      <c r="AB861" s="53" t="n">
        <f aca="false">IF(T861=1,IF(ISNUMBER(L861),L861-G861,0),0)</f>
        <v>0</v>
      </c>
      <c r="AC861" s="53" t="n">
        <f aca="false">IF(S861=1,IF(ISNUMBER(I861),I861-G861,0),0)</f>
        <v>0</v>
      </c>
    </row>
    <row r="862" customFormat="false" ht="15" hidden="false" customHeight="false" outlineLevel="0" collapsed="false">
      <c r="B862" s="54"/>
      <c r="C862" s="55"/>
      <c r="D862" s="55"/>
      <c r="E862" s="55"/>
      <c r="F862" s="56"/>
      <c r="G862" s="57"/>
      <c r="H862" s="55"/>
      <c r="I862" s="57"/>
      <c r="J862" s="54"/>
      <c r="K862" s="56"/>
      <c r="L862" s="57"/>
      <c r="M862" s="54"/>
      <c r="N862" s="58" t="str">
        <f aca="false">IF(S862=1,IF(U862&lt;0,"",U862),IF(Y862=1,X862,""))</f>
        <v/>
      </c>
      <c r="O862" s="59" t="str">
        <f aca="false">IF(S862=1,IF(ISNUMBER(I862),I862-G862,""),"")</f>
        <v/>
      </c>
      <c r="P862" s="59" t="str">
        <f aca="false">IF(T862=1,IF(ISNUMBER(L862),L862-G862,""),"")</f>
        <v/>
      </c>
      <c r="Q862" s="60" t="str">
        <f aca="false">IF(C862="","",IF(T862=1,"✔ SOLD / VENDIDO",IF(S862=0,"— CLOSED / CERRADO",IF(U862&lt;0,"⚠ ADD DATE / AGREGA FECHA",IF(U862&gt;=Settings!$C$8,"⚠ STALE – REPRICE / ESTANCADO",IF(U862&gt;=Settings!$C$7,"● WATCH / VIGILAR","✔ FRESH / RECIENTE"))))))</f>
        <v/>
      </c>
      <c r="S862" s="53" t="n">
        <f aca="false">IF(C862="",0,IF(OR(J862="",J862="In Stock / En Inventario",J862="Listed / Publicado"),1,0))</f>
        <v>0</v>
      </c>
      <c r="T862" s="53" t="n">
        <f aca="false">IF(C862="",0,IF(J862="Sold / Vendido",1,0))</f>
        <v>0</v>
      </c>
      <c r="U862" s="53" t="n">
        <f aca="true">IF(S862=1,IF(ISNUMBER(F862),TODAY()-F862,-1),-1)</f>
        <v>-1</v>
      </c>
      <c r="V862" s="53" t="n">
        <f aca="false">IF(U862&lt;0,IF(S862=1,5,0),IF(U862&lt;=30,1,IF(U862&lt;=60,2,IF(U862&lt;=90,3,4))))</f>
        <v>0</v>
      </c>
      <c r="W862" s="53" t="n">
        <f aca="false">IF(U862&lt;0,-1000000000000000,U862+ROW()/1000000)</f>
        <v>-1000000000000000</v>
      </c>
      <c r="X862" s="53" t="n">
        <f aca="false">IF(T862=1,IF(AND(ISNUMBER(F862),ISNUMBER(K862)),K862-F862,0),0)</f>
        <v>0</v>
      </c>
      <c r="Y862" s="53" t="n">
        <f aca="false">IF(T862=1,IF(AND(ISNUMBER(F862),ISNUMBER(K862)),1,0),0)</f>
        <v>0</v>
      </c>
      <c r="Z862" s="53" t="n">
        <f aca="false">IF(U862&gt;=Settings!$C$8,1,0)</f>
        <v>0</v>
      </c>
      <c r="AA862" s="53" t="n">
        <f aca="false">IF(S862=1,IF(J862="Listed / Publicado",0,1),0)</f>
        <v>0</v>
      </c>
      <c r="AB862" s="53" t="n">
        <f aca="false">IF(T862=1,IF(ISNUMBER(L862),L862-G862,0),0)</f>
        <v>0</v>
      </c>
      <c r="AC862" s="53" t="n">
        <f aca="false">IF(S862=1,IF(ISNUMBER(I862),I862-G862,0),0)</f>
        <v>0</v>
      </c>
    </row>
    <row r="863" customFormat="false" ht="15" hidden="false" customHeight="false" outlineLevel="0" collapsed="false">
      <c r="B863" s="54"/>
      <c r="C863" s="55"/>
      <c r="D863" s="55"/>
      <c r="E863" s="55"/>
      <c r="F863" s="56"/>
      <c r="G863" s="57"/>
      <c r="H863" s="55"/>
      <c r="I863" s="57"/>
      <c r="J863" s="54"/>
      <c r="K863" s="56"/>
      <c r="L863" s="57"/>
      <c r="M863" s="54"/>
      <c r="N863" s="58" t="str">
        <f aca="false">IF(S863=1,IF(U863&lt;0,"",U863),IF(Y863=1,X863,""))</f>
        <v/>
      </c>
      <c r="O863" s="59" t="str">
        <f aca="false">IF(S863=1,IF(ISNUMBER(I863),I863-G863,""),"")</f>
        <v/>
      </c>
      <c r="P863" s="59" t="str">
        <f aca="false">IF(T863=1,IF(ISNUMBER(L863),L863-G863,""),"")</f>
        <v/>
      </c>
      <c r="Q863" s="60" t="str">
        <f aca="false">IF(C863="","",IF(T863=1,"✔ SOLD / VENDIDO",IF(S863=0,"— CLOSED / CERRADO",IF(U863&lt;0,"⚠ ADD DATE / AGREGA FECHA",IF(U863&gt;=Settings!$C$8,"⚠ STALE – REPRICE / ESTANCADO",IF(U863&gt;=Settings!$C$7,"● WATCH / VIGILAR","✔ FRESH / RECIENTE"))))))</f>
        <v/>
      </c>
      <c r="S863" s="53" t="n">
        <f aca="false">IF(C863="",0,IF(OR(J863="",J863="In Stock / En Inventario",J863="Listed / Publicado"),1,0))</f>
        <v>0</v>
      </c>
      <c r="T863" s="53" t="n">
        <f aca="false">IF(C863="",0,IF(J863="Sold / Vendido",1,0))</f>
        <v>0</v>
      </c>
      <c r="U863" s="53" t="n">
        <f aca="true">IF(S863=1,IF(ISNUMBER(F863),TODAY()-F863,-1),-1)</f>
        <v>-1</v>
      </c>
      <c r="V863" s="53" t="n">
        <f aca="false">IF(U863&lt;0,IF(S863=1,5,0),IF(U863&lt;=30,1,IF(U863&lt;=60,2,IF(U863&lt;=90,3,4))))</f>
        <v>0</v>
      </c>
      <c r="W863" s="53" t="n">
        <f aca="false">IF(U863&lt;0,-1000000000000000,U863+ROW()/1000000)</f>
        <v>-1000000000000000</v>
      </c>
      <c r="X863" s="53" t="n">
        <f aca="false">IF(T863=1,IF(AND(ISNUMBER(F863),ISNUMBER(K863)),K863-F863,0),0)</f>
        <v>0</v>
      </c>
      <c r="Y863" s="53" t="n">
        <f aca="false">IF(T863=1,IF(AND(ISNUMBER(F863),ISNUMBER(K863)),1,0),0)</f>
        <v>0</v>
      </c>
      <c r="Z863" s="53" t="n">
        <f aca="false">IF(U863&gt;=Settings!$C$8,1,0)</f>
        <v>0</v>
      </c>
      <c r="AA863" s="53" t="n">
        <f aca="false">IF(S863=1,IF(J863="Listed / Publicado",0,1),0)</f>
        <v>0</v>
      </c>
      <c r="AB863" s="53" t="n">
        <f aca="false">IF(T863=1,IF(ISNUMBER(L863),L863-G863,0),0)</f>
        <v>0</v>
      </c>
      <c r="AC863" s="53" t="n">
        <f aca="false">IF(S863=1,IF(ISNUMBER(I863),I863-G863,0),0)</f>
        <v>0</v>
      </c>
    </row>
    <row r="864" customFormat="false" ht="15" hidden="false" customHeight="false" outlineLevel="0" collapsed="false">
      <c r="B864" s="54"/>
      <c r="C864" s="55"/>
      <c r="D864" s="55"/>
      <c r="E864" s="55"/>
      <c r="F864" s="56"/>
      <c r="G864" s="57"/>
      <c r="H864" s="55"/>
      <c r="I864" s="57"/>
      <c r="J864" s="54"/>
      <c r="K864" s="56"/>
      <c r="L864" s="57"/>
      <c r="M864" s="54"/>
      <c r="N864" s="58" t="str">
        <f aca="false">IF(S864=1,IF(U864&lt;0,"",U864),IF(Y864=1,X864,""))</f>
        <v/>
      </c>
      <c r="O864" s="59" t="str">
        <f aca="false">IF(S864=1,IF(ISNUMBER(I864),I864-G864,""),"")</f>
        <v/>
      </c>
      <c r="P864" s="59" t="str">
        <f aca="false">IF(T864=1,IF(ISNUMBER(L864),L864-G864,""),"")</f>
        <v/>
      </c>
      <c r="Q864" s="60" t="str">
        <f aca="false">IF(C864="","",IF(T864=1,"✔ SOLD / VENDIDO",IF(S864=0,"— CLOSED / CERRADO",IF(U864&lt;0,"⚠ ADD DATE / AGREGA FECHA",IF(U864&gt;=Settings!$C$8,"⚠ STALE – REPRICE / ESTANCADO",IF(U864&gt;=Settings!$C$7,"● WATCH / VIGILAR","✔ FRESH / RECIENTE"))))))</f>
        <v/>
      </c>
      <c r="S864" s="53" t="n">
        <f aca="false">IF(C864="",0,IF(OR(J864="",J864="In Stock / En Inventario",J864="Listed / Publicado"),1,0))</f>
        <v>0</v>
      </c>
      <c r="T864" s="53" t="n">
        <f aca="false">IF(C864="",0,IF(J864="Sold / Vendido",1,0))</f>
        <v>0</v>
      </c>
      <c r="U864" s="53" t="n">
        <f aca="true">IF(S864=1,IF(ISNUMBER(F864),TODAY()-F864,-1),-1)</f>
        <v>-1</v>
      </c>
      <c r="V864" s="53" t="n">
        <f aca="false">IF(U864&lt;0,IF(S864=1,5,0),IF(U864&lt;=30,1,IF(U864&lt;=60,2,IF(U864&lt;=90,3,4))))</f>
        <v>0</v>
      </c>
      <c r="W864" s="53" t="n">
        <f aca="false">IF(U864&lt;0,-1000000000000000,U864+ROW()/1000000)</f>
        <v>-1000000000000000</v>
      </c>
      <c r="X864" s="53" t="n">
        <f aca="false">IF(T864=1,IF(AND(ISNUMBER(F864),ISNUMBER(K864)),K864-F864,0),0)</f>
        <v>0</v>
      </c>
      <c r="Y864" s="53" t="n">
        <f aca="false">IF(T864=1,IF(AND(ISNUMBER(F864),ISNUMBER(K864)),1,0),0)</f>
        <v>0</v>
      </c>
      <c r="Z864" s="53" t="n">
        <f aca="false">IF(U864&gt;=Settings!$C$8,1,0)</f>
        <v>0</v>
      </c>
      <c r="AA864" s="53" t="n">
        <f aca="false">IF(S864=1,IF(J864="Listed / Publicado",0,1),0)</f>
        <v>0</v>
      </c>
      <c r="AB864" s="53" t="n">
        <f aca="false">IF(T864=1,IF(ISNUMBER(L864),L864-G864,0),0)</f>
        <v>0</v>
      </c>
      <c r="AC864" s="53" t="n">
        <f aca="false">IF(S864=1,IF(ISNUMBER(I864),I864-G864,0),0)</f>
        <v>0</v>
      </c>
    </row>
    <row r="865" customFormat="false" ht="15" hidden="false" customHeight="false" outlineLevel="0" collapsed="false">
      <c r="B865" s="54"/>
      <c r="C865" s="55"/>
      <c r="D865" s="55"/>
      <c r="E865" s="55"/>
      <c r="F865" s="56"/>
      <c r="G865" s="57"/>
      <c r="H865" s="55"/>
      <c r="I865" s="57"/>
      <c r="J865" s="54"/>
      <c r="K865" s="56"/>
      <c r="L865" s="57"/>
      <c r="M865" s="54"/>
      <c r="N865" s="58" t="str">
        <f aca="false">IF(S865=1,IF(U865&lt;0,"",U865),IF(Y865=1,X865,""))</f>
        <v/>
      </c>
      <c r="O865" s="59" t="str">
        <f aca="false">IF(S865=1,IF(ISNUMBER(I865),I865-G865,""),"")</f>
        <v/>
      </c>
      <c r="P865" s="59" t="str">
        <f aca="false">IF(T865=1,IF(ISNUMBER(L865),L865-G865,""),"")</f>
        <v/>
      </c>
      <c r="Q865" s="60" t="str">
        <f aca="false">IF(C865="","",IF(T865=1,"✔ SOLD / VENDIDO",IF(S865=0,"— CLOSED / CERRADO",IF(U865&lt;0,"⚠ ADD DATE / AGREGA FECHA",IF(U865&gt;=Settings!$C$8,"⚠ STALE – REPRICE / ESTANCADO",IF(U865&gt;=Settings!$C$7,"● WATCH / VIGILAR","✔ FRESH / RECIENTE"))))))</f>
        <v/>
      </c>
      <c r="S865" s="53" t="n">
        <f aca="false">IF(C865="",0,IF(OR(J865="",J865="In Stock / En Inventario",J865="Listed / Publicado"),1,0))</f>
        <v>0</v>
      </c>
      <c r="T865" s="53" t="n">
        <f aca="false">IF(C865="",0,IF(J865="Sold / Vendido",1,0))</f>
        <v>0</v>
      </c>
      <c r="U865" s="53" t="n">
        <f aca="true">IF(S865=1,IF(ISNUMBER(F865),TODAY()-F865,-1),-1)</f>
        <v>-1</v>
      </c>
      <c r="V865" s="53" t="n">
        <f aca="false">IF(U865&lt;0,IF(S865=1,5,0),IF(U865&lt;=30,1,IF(U865&lt;=60,2,IF(U865&lt;=90,3,4))))</f>
        <v>0</v>
      </c>
      <c r="W865" s="53" t="n">
        <f aca="false">IF(U865&lt;0,-1000000000000000,U865+ROW()/1000000)</f>
        <v>-1000000000000000</v>
      </c>
      <c r="X865" s="53" t="n">
        <f aca="false">IF(T865=1,IF(AND(ISNUMBER(F865),ISNUMBER(K865)),K865-F865,0),0)</f>
        <v>0</v>
      </c>
      <c r="Y865" s="53" t="n">
        <f aca="false">IF(T865=1,IF(AND(ISNUMBER(F865),ISNUMBER(K865)),1,0),0)</f>
        <v>0</v>
      </c>
      <c r="Z865" s="53" t="n">
        <f aca="false">IF(U865&gt;=Settings!$C$8,1,0)</f>
        <v>0</v>
      </c>
      <c r="AA865" s="53" t="n">
        <f aca="false">IF(S865=1,IF(J865="Listed / Publicado",0,1),0)</f>
        <v>0</v>
      </c>
      <c r="AB865" s="53" t="n">
        <f aca="false">IF(T865=1,IF(ISNUMBER(L865),L865-G865,0),0)</f>
        <v>0</v>
      </c>
      <c r="AC865" s="53" t="n">
        <f aca="false">IF(S865=1,IF(ISNUMBER(I865),I865-G865,0),0)</f>
        <v>0</v>
      </c>
    </row>
    <row r="866" customFormat="false" ht="15" hidden="false" customHeight="false" outlineLevel="0" collapsed="false">
      <c r="B866" s="54"/>
      <c r="C866" s="55"/>
      <c r="D866" s="55"/>
      <c r="E866" s="55"/>
      <c r="F866" s="56"/>
      <c r="G866" s="57"/>
      <c r="H866" s="55"/>
      <c r="I866" s="57"/>
      <c r="J866" s="54"/>
      <c r="K866" s="56"/>
      <c r="L866" s="57"/>
      <c r="M866" s="54"/>
      <c r="N866" s="58" t="str">
        <f aca="false">IF(S866=1,IF(U866&lt;0,"",U866),IF(Y866=1,X866,""))</f>
        <v/>
      </c>
      <c r="O866" s="59" t="str">
        <f aca="false">IF(S866=1,IF(ISNUMBER(I866),I866-G866,""),"")</f>
        <v/>
      </c>
      <c r="P866" s="59" t="str">
        <f aca="false">IF(T866=1,IF(ISNUMBER(L866),L866-G866,""),"")</f>
        <v/>
      </c>
      <c r="Q866" s="60" t="str">
        <f aca="false">IF(C866="","",IF(T866=1,"✔ SOLD / VENDIDO",IF(S866=0,"— CLOSED / CERRADO",IF(U866&lt;0,"⚠ ADD DATE / AGREGA FECHA",IF(U866&gt;=Settings!$C$8,"⚠ STALE – REPRICE / ESTANCADO",IF(U866&gt;=Settings!$C$7,"● WATCH / VIGILAR","✔ FRESH / RECIENTE"))))))</f>
        <v/>
      </c>
      <c r="S866" s="53" t="n">
        <f aca="false">IF(C866="",0,IF(OR(J866="",J866="In Stock / En Inventario",J866="Listed / Publicado"),1,0))</f>
        <v>0</v>
      </c>
      <c r="T866" s="53" t="n">
        <f aca="false">IF(C866="",0,IF(J866="Sold / Vendido",1,0))</f>
        <v>0</v>
      </c>
      <c r="U866" s="53" t="n">
        <f aca="true">IF(S866=1,IF(ISNUMBER(F866),TODAY()-F866,-1),-1)</f>
        <v>-1</v>
      </c>
      <c r="V866" s="53" t="n">
        <f aca="false">IF(U866&lt;0,IF(S866=1,5,0),IF(U866&lt;=30,1,IF(U866&lt;=60,2,IF(U866&lt;=90,3,4))))</f>
        <v>0</v>
      </c>
      <c r="W866" s="53" t="n">
        <f aca="false">IF(U866&lt;0,-1000000000000000,U866+ROW()/1000000)</f>
        <v>-1000000000000000</v>
      </c>
      <c r="X866" s="53" t="n">
        <f aca="false">IF(T866=1,IF(AND(ISNUMBER(F866),ISNUMBER(K866)),K866-F866,0),0)</f>
        <v>0</v>
      </c>
      <c r="Y866" s="53" t="n">
        <f aca="false">IF(T866=1,IF(AND(ISNUMBER(F866),ISNUMBER(K866)),1,0),0)</f>
        <v>0</v>
      </c>
      <c r="Z866" s="53" t="n">
        <f aca="false">IF(U866&gt;=Settings!$C$8,1,0)</f>
        <v>0</v>
      </c>
      <c r="AA866" s="53" t="n">
        <f aca="false">IF(S866=1,IF(J866="Listed / Publicado",0,1),0)</f>
        <v>0</v>
      </c>
      <c r="AB866" s="53" t="n">
        <f aca="false">IF(T866=1,IF(ISNUMBER(L866),L866-G866,0),0)</f>
        <v>0</v>
      </c>
      <c r="AC866" s="53" t="n">
        <f aca="false">IF(S866=1,IF(ISNUMBER(I866),I866-G866,0),0)</f>
        <v>0</v>
      </c>
    </row>
    <row r="867" customFormat="false" ht="15" hidden="false" customHeight="false" outlineLevel="0" collapsed="false">
      <c r="B867" s="54"/>
      <c r="C867" s="55"/>
      <c r="D867" s="55"/>
      <c r="E867" s="55"/>
      <c r="F867" s="56"/>
      <c r="G867" s="57"/>
      <c r="H867" s="55"/>
      <c r="I867" s="57"/>
      <c r="J867" s="54"/>
      <c r="K867" s="56"/>
      <c r="L867" s="57"/>
      <c r="M867" s="54"/>
      <c r="N867" s="58" t="str">
        <f aca="false">IF(S867=1,IF(U867&lt;0,"",U867),IF(Y867=1,X867,""))</f>
        <v/>
      </c>
      <c r="O867" s="59" t="str">
        <f aca="false">IF(S867=1,IF(ISNUMBER(I867),I867-G867,""),"")</f>
        <v/>
      </c>
      <c r="P867" s="59" t="str">
        <f aca="false">IF(T867=1,IF(ISNUMBER(L867),L867-G867,""),"")</f>
        <v/>
      </c>
      <c r="Q867" s="60" t="str">
        <f aca="false">IF(C867="","",IF(T867=1,"✔ SOLD / VENDIDO",IF(S867=0,"— CLOSED / CERRADO",IF(U867&lt;0,"⚠ ADD DATE / AGREGA FECHA",IF(U867&gt;=Settings!$C$8,"⚠ STALE – REPRICE / ESTANCADO",IF(U867&gt;=Settings!$C$7,"● WATCH / VIGILAR","✔ FRESH / RECIENTE"))))))</f>
        <v/>
      </c>
      <c r="S867" s="53" t="n">
        <f aca="false">IF(C867="",0,IF(OR(J867="",J867="In Stock / En Inventario",J867="Listed / Publicado"),1,0))</f>
        <v>0</v>
      </c>
      <c r="T867" s="53" t="n">
        <f aca="false">IF(C867="",0,IF(J867="Sold / Vendido",1,0))</f>
        <v>0</v>
      </c>
      <c r="U867" s="53" t="n">
        <f aca="true">IF(S867=1,IF(ISNUMBER(F867),TODAY()-F867,-1),-1)</f>
        <v>-1</v>
      </c>
      <c r="V867" s="53" t="n">
        <f aca="false">IF(U867&lt;0,IF(S867=1,5,0),IF(U867&lt;=30,1,IF(U867&lt;=60,2,IF(U867&lt;=90,3,4))))</f>
        <v>0</v>
      </c>
      <c r="W867" s="53" t="n">
        <f aca="false">IF(U867&lt;0,-1000000000000000,U867+ROW()/1000000)</f>
        <v>-1000000000000000</v>
      </c>
      <c r="X867" s="53" t="n">
        <f aca="false">IF(T867=1,IF(AND(ISNUMBER(F867),ISNUMBER(K867)),K867-F867,0),0)</f>
        <v>0</v>
      </c>
      <c r="Y867" s="53" t="n">
        <f aca="false">IF(T867=1,IF(AND(ISNUMBER(F867),ISNUMBER(K867)),1,0),0)</f>
        <v>0</v>
      </c>
      <c r="Z867" s="53" t="n">
        <f aca="false">IF(U867&gt;=Settings!$C$8,1,0)</f>
        <v>0</v>
      </c>
      <c r="AA867" s="53" t="n">
        <f aca="false">IF(S867=1,IF(J867="Listed / Publicado",0,1),0)</f>
        <v>0</v>
      </c>
      <c r="AB867" s="53" t="n">
        <f aca="false">IF(T867=1,IF(ISNUMBER(L867),L867-G867,0),0)</f>
        <v>0</v>
      </c>
      <c r="AC867" s="53" t="n">
        <f aca="false">IF(S867=1,IF(ISNUMBER(I867),I867-G867,0),0)</f>
        <v>0</v>
      </c>
    </row>
    <row r="868" customFormat="false" ht="15" hidden="false" customHeight="false" outlineLevel="0" collapsed="false">
      <c r="B868" s="54"/>
      <c r="C868" s="55"/>
      <c r="D868" s="55"/>
      <c r="E868" s="55"/>
      <c r="F868" s="56"/>
      <c r="G868" s="57"/>
      <c r="H868" s="55"/>
      <c r="I868" s="57"/>
      <c r="J868" s="54"/>
      <c r="K868" s="56"/>
      <c r="L868" s="57"/>
      <c r="M868" s="54"/>
      <c r="N868" s="58" t="str">
        <f aca="false">IF(S868=1,IF(U868&lt;0,"",U868),IF(Y868=1,X868,""))</f>
        <v/>
      </c>
      <c r="O868" s="59" t="str">
        <f aca="false">IF(S868=1,IF(ISNUMBER(I868),I868-G868,""),"")</f>
        <v/>
      </c>
      <c r="P868" s="59" t="str">
        <f aca="false">IF(T868=1,IF(ISNUMBER(L868),L868-G868,""),"")</f>
        <v/>
      </c>
      <c r="Q868" s="60" t="str">
        <f aca="false">IF(C868="","",IF(T868=1,"✔ SOLD / VENDIDO",IF(S868=0,"— CLOSED / CERRADO",IF(U868&lt;0,"⚠ ADD DATE / AGREGA FECHA",IF(U868&gt;=Settings!$C$8,"⚠ STALE – REPRICE / ESTANCADO",IF(U868&gt;=Settings!$C$7,"● WATCH / VIGILAR","✔ FRESH / RECIENTE"))))))</f>
        <v/>
      </c>
      <c r="S868" s="53" t="n">
        <f aca="false">IF(C868="",0,IF(OR(J868="",J868="In Stock / En Inventario",J868="Listed / Publicado"),1,0))</f>
        <v>0</v>
      </c>
      <c r="T868" s="53" t="n">
        <f aca="false">IF(C868="",0,IF(J868="Sold / Vendido",1,0))</f>
        <v>0</v>
      </c>
      <c r="U868" s="53" t="n">
        <f aca="true">IF(S868=1,IF(ISNUMBER(F868),TODAY()-F868,-1),-1)</f>
        <v>-1</v>
      </c>
      <c r="V868" s="53" t="n">
        <f aca="false">IF(U868&lt;0,IF(S868=1,5,0),IF(U868&lt;=30,1,IF(U868&lt;=60,2,IF(U868&lt;=90,3,4))))</f>
        <v>0</v>
      </c>
      <c r="W868" s="53" t="n">
        <f aca="false">IF(U868&lt;0,-1000000000000000,U868+ROW()/1000000)</f>
        <v>-1000000000000000</v>
      </c>
      <c r="X868" s="53" t="n">
        <f aca="false">IF(T868=1,IF(AND(ISNUMBER(F868),ISNUMBER(K868)),K868-F868,0),0)</f>
        <v>0</v>
      </c>
      <c r="Y868" s="53" t="n">
        <f aca="false">IF(T868=1,IF(AND(ISNUMBER(F868),ISNUMBER(K868)),1,0),0)</f>
        <v>0</v>
      </c>
      <c r="Z868" s="53" t="n">
        <f aca="false">IF(U868&gt;=Settings!$C$8,1,0)</f>
        <v>0</v>
      </c>
      <c r="AA868" s="53" t="n">
        <f aca="false">IF(S868=1,IF(J868="Listed / Publicado",0,1),0)</f>
        <v>0</v>
      </c>
      <c r="AB868" s="53" t="n">
        <f aca="false">IF(T868=1,IF(ISNUMBER(L868),L868-G868,0),0)</f>
        <v>0</v>
      </c>
      <c r="AC868" s="53" t="n">
        <f aca="false">IF(S868=1,IF(ISNUMBER(I868),I868-G868,0),0)</f>
        <v>0</v>
      </c>
    </row>
    <row r="869" customFormat="false" ht="15" hidden="false" customHeight="false" outlineLevel="0" collapsed="false">
      <c r="B869" s="54"/>
      <c r="C869" s="55"/>
      <c r="D869" s="55"/>
      <c r="E869" s="55"/>
      <c r="F869" s="56"/>
      <c r="G869" s="57"/>
      <c r="H869" s="55"/>
      <c r="I869" s="57"/>
      <c r="J869" s="54"/>
      <c r="K869" s="56"/>
      <c r="L869" s="57"/>
      <c r="M869" s="54"/>
      <c r="N869" s="58" t="str">
        <f aca="false">IF(S869=1,IF(U869&lt;0,"",U869),IF(Y869=1,X869,""))</f>
        <v/>
      </c>
      <c r="O869" s="59" t="str">
        <f aca="false">IF(S869=1,IF(ISNUMBER(I869),I869-G869,""),"")</f>
        <v/>
      </c>
      <c r="P869" s="59" t="str">
        <f aca="false">IF(T869=1,IF(ISNUMBER(L869),L869-G869,""),"")</f>
        <v/>
      </c>
      <c r="Q869" s="60" t="str">
        <f aca="false">IF(C869="","",IF(T869=1,"✔ SOLD / VENDIDO",IF(S869=0,"— CLOSED / CERRADO",IF(U869&lt;0,"⚠ ADD DATE / AGREGA FECHA",IF(U869&gt;=Settings!$C$8,"⚠ STALE – REPRICE / ESTANCADO",IF(U869&gt;=Settings!$C$7,"● WATCH / VIGILAR","✔ FRESH / RECIENTE"))))))</f>
        <v/>
      </c>
      <c r="S869" s="53" t="n">
        <f aca="false">IF(C869="",0,IF(OR(J869="",J869="In Stock / En Inventario",J869="Listed / Publicado"),1,0))</f>
        <v>0</v>
      </c>
      <c r="T869" s="53" t="n">
        <f aca="false">IF(C869="",0,IF(J869="Sold / Vendido",1,0))</f>
        <v>0</v>
      </c>
      <c r="U869" s="53" t="n">
        <f aca="true">IF(S869=1,IF(ISNUMBER(F869),TODAY()-F869,-1),-1)</f>
        <v>-1</v>
      </c>
      <c r="V869" s="53" t="n">
        <f aca="false">IF(U869&lt;0,IF(S869=1,5,0),IF(U869&lt;=30,1,IF(U869&lt;=60,2,IF(U869&lt;=90,3,4))))</f>
        <v>0</v>
      </c>
      <c r="W869" s="53" t="n">
        <f aca="false">IF(U869&lt;0,-1000000000000000,U869+ROW()/1000000)</f>
        <v>-1000000000000000</v>
      </c>
      <c r="X869" s="53" t="n">
        <f aca="false">IF(T869=1,IF(AND(ISNUMBER(F869),ISNUMBER(K869)),K869-F869,0),0)</f>
        <v>0</v>
      </c>
      <c r="Y869" s="53" t="n">
        <f aca="false">IF(T869=1,IF(AND(ISNUMBER(F869),ISNUMBER(K869)),1,0),0)</f>
        <v>0</v>
      </c>
      <c r="Z869" s="53" t="n">
        <f aca="false">IF(U869&gt;=Settings!$C$8,1,0)</f>
        <v>0</v>
      </c>
      <c r="AA869" s="53" t="n">
        <f aca="false">IF(S869=1,IF(J869="Listed / Publicado",0,1),0)</f>
        <v>0</v>
      </c>
      <c r="AB869" s="53" t="n">
        <f aca="false">IF(T869=1,IF(ISNUMBER(L869),L869-G869,0),0)</f>
        <v>0</v>
      </c>
      <c r="AC869" s="53" t="n">
        <f aca="false">IF(S869=1,IF(ISNUMBER(I869),I869-G869,0),0)</f>
        <v>0</v>
      </c>
    </row>
    <row r="870" customFormat="false" ht="15" hidden="false" customHeight="false" outlineLevel="0" collapsed="false">
      <c r="B870" s="54"/>
      <c r="C870" s="55"/>
      <c r="D870" s="55"/>
      <c r="E870" s="55"/>
      <c r="F870" s="56"/>
      <c r="G870" s="57"/>
      <c r="H870" s="55"/>
      <c r="I870" s="57"/>
      <c r="J870" s="54"/>
      <c r="K870" s="56"/>
      <c r="L870" s="57"/>
      <c r="M870" s="54"/>
      <c r="N870" s="58" t="str">
        <f aca="false">IF(S870=1,IF(U870&lt;0,"",U870),IF(Y870=1,X870,""))</f>
        <v/>
      </c>
      <c r="O870" s="59" t="str">
        <f aca="false">IF(S870=1,IF(ISNUMBER(I870),I870-G870,""),"")</f>
        <v/>
      </c>
      <c r="P870" s="59" t="str">
        <f aca="false">IF(T870=1,IF(ISNUMBER(L870),L870-G870,""),"")</f>
        <v/>
      </c>
      <c r="Q870" s="60" t="str">
        <f aca="false">IF(C870="","",IF(T870=1,"✔ SOLD / VENDIDO",IF(S870=0,"— CLOSED / CERRADO",IF(U870&lt;0,"⚠ ADD DATE / AGREGA FECHA",IF(U870&gt;=Settings!$C$8,"⚠ STALE – REPRICE / ESTANCADO",IF(U870&gt;=Settings!$C$7,"● WATCH / VIGILAR","✔ FRESH / RECIENTE"))))))</f>
        <v/>
      </c>
      <c r="S870" s="53" t="n">
        <f aca="false">IF(C870="",0,IF(OR(J870="",J870="In Stock / En Inventario",J870="Listed / Publicado"),1,0))</f>
        <v>0</v>
      </c>
      <c r="T870" s="53" t="n">
        <f aca="false">IF(C870="",0,IF(J870="Sold / Vendido",1,0))</f>
        <v>0</v>
      </c>
      <c r="U870" s="53" t="n">
        <f aca="true">IF(S870=1,IF(ISNUMBER(F870),TODAY()-F870,-1),-1)</f>
        <v>-1</v>
      </c>
      <c r="V870" s="53" t="n">
        <f aca="false">IF(U870&lt;0,IF(S870=1,5,0),IF(U870&lt;=30,1,IF(U870&lt;=60,2,IF(U870&lt;=90,3,4))))</f>
        <v>0</v>
      </c>
      <c r="W870" s="53" t="n">
        <f aca="false">IF(U870&lt;0,-1000000000000000,U870+ROW()/1000000)</f>
        <v>-1000000000000000</v>
      </c>
      <c r="X870" s="53" t="n">
        <f aca="false">IF(T870=1,IF(AND(ISNUMBER(F870),ISNUMBER(K870)),K870-F870,0),0)</f>
        <v>0</v>
      </c>
      <c r="Y870" s="53" t="n">
        <f aca="false">IF(T870=1,IF(AND(ISNUMBER(F870),ISNUMBER(K870)),1,0),0)</f>
        <v>0</v>
      </c>
      <c r="Z870" s="53" t="n">
        <f aca="false">IF(U870&gt;=Settings!$C$8,1,0)</f>
        <v>0</v>
      </c>
      <c r="AA870" s="53" t="n">
        <f aca="false">IF(S870=1,IF(J870="Listed / Publicado",0,1),0)</f>
        <v>0</v>
      </c>
      <c r="AB870" s="53" t="n">
        <f aca="false">IF(T870=1,IF(ISNUMBER(L870),L870-G870,0),0)</f>
        <v>0</v>
      </c>
      <c r="AC870" s="53" t="n">
        <f aca="false">IF(S870=1,IF(ISNUMBER(I870),I870-G870,0),0)</f>
        <v>0</v>
      </c>
    </row>
    <row r="871" customFormat="false" ht="15" hidden="false" customHeight="false" outlineLevel="0" collapsed="false">
      <c r="B871" s="54"/>
      <c r="C871" s="55"/>
      <c r="D871" s="55"/>
      <c r="E871" s="55"/>
      <c r="F871" s="56"/>
      <c r="G871" s="57"/>
      <c r="H871" s="55"/>
      <c r="I871" s="57"/>
      <c r="J871" s="54"/>
      <c r="K871" s="56"/>
      <c r="L871" s="57"/>
      <c r="M871" s="54"/>
      <c r="N871" s="58" t="str">
        <f aca="false">IF(S871=1,IF(U871&lt;0,"",U871),IF(Y871=1,X871,""))</f>
        <v/>
      </c>
      <c r="O871" s="59" t="str">
        <f aca="false">IF(S871=1,IF(ISNUMBER(I871),I871-G871,""),"")</f>
        <v/>
      </c>
      <c r="P871" s="59" t="str">
        <f aca="false">IF(T871=1,IF(ISNUMBER(L871),L871-G871,""),"")</f>
        <v/>
      </c>
      <c r="Q871" s="60" t="str">
        <f aca="false">IF(C871="","",IF(T871=1,"✔ SOLD / VENDIDO",IF(S871=0,"— CLOSED / CERRADO",IF(U871&lt;0,"⚠ ADD DATE / AGREGA FECHA",IF(U871&gt;=Settings!$C$8,"⚠ STALE – REPRICE / ESTANCADO",IF(U871&gt;=Settings!$C$7,"● WATCH / VIGILAR","✔ FRESH / RECIENTE"))))))</f>
        <v/>
      </c>
      <c r="S871" s="53" t="n">
        <f aca="false">IF(C871="",0,IF(OR(J871="",J871="In Stock / En Inventario",J871="Listed / Publicado"),1,0))</f>
        <v>0</v>
      </c>
      <c r="T871" s="53" t="n">
        <f aca="false">IF(C871="",0,IF(J871="Sold / Vendido",1,0))</f>
        <v>0</v>
      </c>
      <c r="U871" s="53" t="n">
        <f aca="true">IF(S871=1,IF(ISNUMBER(F871),TODAY()-F871,-1),-1)</f>
        <v>-1</v>
      </c>
      <c r="V871" s="53" t="n">
        <f aca="false">IF(U871&lt;0,IF(S871=1,5,0),IF(U871&lt;=30,1,IF(U871&lt;=60,2,IF(U871&lt;=90,3,4))))</f>
        <v>0</v>
      </c>
      <c r="W871" s="53" t="n">
        <f aca="false">IF(U871&lt;0,-1000000000000000,U871+ROW()/1000000)</f>
        <v>-1000000000000000</v>
      </c>
      <c r="X871" s="53" t="n">
        <f aca="false">IF(T871=1,IF(AND(ISNUMBER(F871),ISNUMBER(K871)),K871-F871,0),0)</f>
        <v>0</v>
      </c>
      <c r="Y871" s="53" t="n">
        <f aca="false">IF(T871=1,IF(AND(ISNUMBER(F871),ISNUMBER(K871)),1,0),0)</f>
        <v>0</v>
      </c>
      <c r="Z871" s="53" t="n">
        <f aca="false">IF(U871&gt;=Settings!$C$8,1,0)</f>
        <v>0</v>
      </c>
      <c r="AA871" s="53" t="n">
        <f aca="false">IF(S871=1,IF(J871="Listed / Publicado",0,1),0)</f>
        <v>0</v>
      </c>
      <c r="AB871" s="53" t="n">
        <f aca="false">IF(T871=1,IF(ISNUMBER(L871),L871-G871,0),0)</f>
        <v>0</v>
      </c>
      <c r="AC871" s="53" t="n">
        <f aca="false">IF(S871=1,IF(ISNUMBER(I871),I871-G871,0),0)</f>
        <v>0</v>
      </c>
    </row>
    <row r="872" customFormat="false" ht="15" hidden="false" customHeight="false" outlineLevel="0" collapsed="false">
      <c r="B872" s="54"/>
      <c r="C872" s="55"/>
      <c r="D872" s="55"/>
      <c r="E872" s="55"/>
      <c r="F872" s="56"/>
      <c r="G872" s="57"/>
      <c r="H872" s="55"/>
      <c r="I872" s="57"/>
      <c r="J872" s="54"/>
      <c r="K872" s="56"/>
      <c r="L872" s="57"/>
      <c r="M872" s="54"/>
      <c r="N872" s="58" t="str">
        <f aca="false">IF(S872=1,IF(U872&lt;0,"",U872),IF(Y872=1,X872,""))</f>
        <v/>
      </c>
      <c r="O872" s="59" t="str">
        <f aca="false">IF(S872=1,IF(ISNUMBER(I872),I872-G872,""),"")</f>
        <v/>
      </c>
      <c r="P872" s="59" t="str">
        <f aca="false">IF(T872=1,IF(ISNUMBER(L872),L872-G872,""),"")</f>
        <v/>
      </c>
      <c r="Q872" s="60" t="str">
        <f aca="false">IF(C872="","",IF(T872=1,"✔ SOLD / VENDIDO",IF(S872=0,"— CLOSED / CERRADO",IF(U872&lt;0,"⚠ ADD DATE / AGREGA FECHA",IF(U872&gt;=Settings!$C$8,"⚠ STALE – REPRICE / ESTANCADO",IF(U872&gt;=Settings!$C$7,"● WATCH / VIGILAR","✔ FRESH / RECIENTE"))))))</f>
        <v/>
      </c>
      <c r="S872" s="53" t="n">
        <f aca="false">IF(C872="",0,IF(OR(J872="",J872="In Stock / En Inventario",J872="Listed / Publicado"),1,0))</f>
        <v>0</v>
      </c>
      <c r="T872" s="53" t="n">
        <f aca="false">IF(C872="",0,IF(J872="Sold / Vendido",1,0))</f>
        <v>0</v>
      </c>
      <c r="U872" s="53" t="n">
        <f aca="true">IF(S872=1,IF(ISNUMBER(F872),TODAY()-F872,-1),-1)</f>
        <v>-1</v>
      </c>
      <c r="V872" s="53" t="n">
        <f aca="false">IF(U872&lt;0,IF(S872=1,5,0),IF(U872&lt;=30,1,IF(U872&lt;=60,2,IF(U872&lt;=90,3,4))))</f>
        <v>0</v>
      </c>
      <c r="W872" s="53" t="n">
        <f aca="false">IF(U872&lt;0,-1000000000000000,U872+ROW()/1000000)</f>
        <v>-1000000000000000</v>
      </c>
      <c r="X872" s="53" t="n">
        <f aca="false">IF(T872=1,IF(AND(ISNUMBER(F872),ISNUMBER(K872)),K872-F872,0),0)</f>
        <v>0</v>
      </c>
      <c r="Y872" s="53" t="n">
        <f aca="false">IF(T872=1,IF(AND(ISNUMBER(F872),ISNUMBER(K872)),1,0),0)</f>
        <v>0</v>
      </c>
      <c r="Z872" s="53" t="n">
        <f aca="false">IF(U872&gt;=Settings!$C$8,1,0)</f>
        <v>0</v>
      </c>
      <c r="AA872" s="53" t="n">
        <f aca="false">IF(S872=1,IF(J872="Listed / Publicado",0,1),0)</f>
        <v>0</v>
      </c>
      <c r="AB872" s="53" t="n">
        <f aca="false">IF(T872=1,IF(ISNUMBER(L872),L872-G872,0),0)</f>
        <v>0</v>
      </c>
      <c r="AC872" s="53" t="n">
        <f aca="false">IF(S872=1,IF(ISNUMBER(I872),I872-G872,0),0)</f>
        <v>0</v>
      </c>
    </row>
    <row r="873" customFormat="false" ht="15" hidden="false" customHeight="false" outlineLevel="0" collapsed="false">
      <c r="B873" s="54"/>
      <c r="C873" s="55"/>
      <c r="D873" s="55"/>
      <c r="E873" s="55"/>
      <c r="F873" s="56"/>
      <c r="G873" s="57"/>
      <c r="H873" s="55"/>
      <c r="I873" s="57"/>
      <c r="J873" s="54"/>
      <c r="K873" s="56"/>
      <c r="L873" s="57"/>
      <c r="M873" s="54"/>
      <c r="N873" s="58" t="str">
        <f aca="false">IF(S873=1,IF(U873&lt;0,"",U873),IF(Y873=1,X873,""))</f>
        <v/>
      </c>
      <c r="O873" s="59" t="str">
        <f aca="false">IF(S873=1,IF(ISNUMBER(I873),I873-G873,""),"")</f>
        <v/>
      </c>
      <c r="P873" s="59" t="str">
        <f aca="false">IF(T873=1,IF(ISNUMBER(L873),L873-G873,""),"")</f>
        <v/>
      </c>
      <c r="Q873" s="60" t="str">
        <f aca="false">IF(C873="","",IF(T873=1,"✔ SOLD / VENDIDO",IF(S873=0,"— CLOSED / CERRADO",IF(U873&lt;0,"⚠ ADD DATE / AGREGA FECHA",IF(U873&gt;=Settings!$C$8,"⚠ STALE – REPRICE / ESTANCADO",IF(U873&gt;=Settings!$C$7,"● WATCH / VIGILAR","✔ FRESH / RECIENTE"))))))</f>
        <v/>
      </c>
      <c r="S873" s="53" t="n">
        <f aca="false">IF(C873="",0,IF(OR(J873="",J873="In Stock / En Inventario",J873="Listed / Publicado"),1,0))</f>
        <v>0</v>
      </c>
      <c r="T873" s="53" t="n">
        <f aca="false">IF(C873="",0,IF(J873="Sold / Vendido",1,0))</f>
        <v>0</v>
      </c>
      <c r="U873" s="53" t="n">
        <f aca="true">IF(S873=1,IF(ISNUMBER(F873),TODAY()-F873,-1),-1)</f>
        <v>-1</v>
      </c>
      <c r="V873" s="53" t="n">
        <f aca="false">IF(U873&lt;0,IF(S873=1,5,0),IF(U873&lt;=30,1,IF(U873&lt;=60,2,IF(U873&lt;=90,3,4))))</f>
        <v>0</v>
      </c>
      <c r="W873" s="53" t="n">
        <f aca="false">IF(U873&lt;0,-1000000000000000,U873+ROW()/1000000)</f>
        <v>-1000000000000000</v>
      </c>
      <c r="X873" s="53" t="n">
        <f aca="false">IF(T873=1,IF(AND(ISNUMBER(F873),ISNUMBER(K873)),K873-F873,0),0)</f>
        <v>0</v>
      </c>
      <c r="Y873" s="53" t="n">
        <f aca="false">IF(T873=1,IF(AND(ISNUMBER(F873),ISNUMBER(K873)),1,0),0)</f>
        <v>0</v>
      </c>
      <c r="Z873" s="53" t="n">
        <f aca="false">IF(U873&gt;=Settings!$C$8,1,0)</f>
        <v>0</v>
      </c>
      <c r="AA873" s="53" t="n">
        <f aca="false">IF(S873=1,IF(J873="Listed / Publicado",0,1),0)</f>
        <v>0</v>
      </c>
      <c r="AB873" s="53" t="n">
        <f aca="false">IF(T873=1,IF(ISNUMBER(L873),L873-G873,0),0)</f>
        <v>0</v>
      </c>
      <c r="AC873" s="53" t="n">
        <f aca="false">IF(S873=1,IF(ISNUMBER(I873),I873-G873,0),0)</f>
        <v>0</v>
      </c>
    </row>
    <row r="874" customFormat="false" ht="15" hidden="false" customHeight="false" outlineLevel="0" collapsed="false">
      <c r="B874" s="54"/>
      <c r="C874" s="55"/>
      <c r="D874" s="55"/>
      <c r="E874" s="55"/>
      <c r="F874" s="56"/>
      <c r="G874" s="57"/>
      <c r="H874" s="55"/>
      <c r="I874" s="57"/>
      <c r="J874" s="54"/>
      <c r="K874" s="56"/>
      <c r="L874" s="57"/>
      <c r="M874" s="54"/>
      <c r="N874" s="58" t="str">
        <f aca="false">IF(S874=1,IF(U874&lt;0,"",U874),IF(Y874=1,X874,""))</f>
        <v/>
      </c>
      <c r="O874" s="59" t="str">
        <f aca="false">IF(S874=1,IF(ISNUMBER(I874),I874-G874,""),"")</f>
        <v/>
      </c>
      <c r="P874" s="59" t="str">
        <f aca="false">IF(T874=1,IF(ISNUMBER(L874),L874-G874,""),"")</f>
        <v/>
      </c>
      <c r="Q874" s="60" t="str">
        <f aca="false">IF(C874="","",IF(T874=1,"✔ SOLD / VENDIDO",IF(S874=0,"— CLOSED / CERRADO",IF(U874&lt;0,"⚠ ADD DATE / AGREGA FECHA",IF(U874&gt;=Settings!$C$8,"⚠ STALE – REPRICE / ESTANCADO",IF(U874&gt;=Settings!$C$7,"● WATCH / VIGILAR","✔ FRESH / RECIENTE"))))))</f>
        <v/>
      </c>
      <c r="S874" s="53" t="n">
        <f aca="false">IF(C874="",0,IF(OR(J874="",J874="In Stock / En Inventario",J874="Listed / Publicado"),1,0))</f>
        <v>0</v>
      </c>
      <c r="T874" s="53" t="n">
        <f aca="false">IF(C874="",0,IF(J874="Sold / Vendido",1,0))</f>
        <v>0</v>
      </c>
      <c r="U874" s="53" t="n">
        <f aca="true">IF(S874=1,IF(ISNUMBER(F874),TODAY()-F874,-1),-1)</f>
        <v>-1</v>
      </c>
      <c r="V874" s="53" t="n">
        <f aca="false">IF(U874&lt;0,IF(S874=1,5,0),IF(U874&lt;=30,1,IF(U874&lt;=60,2,IF(U874&lt;=90,3,4))))</f>
        <v>0</v>
      </c>
      <c r="W874" s="53" t="n">
        <f aca="false">IF(U874&lt;0,-1000000000000000,U874+ROW()/1000000)</f>
        <v>-1000000000000000</v>
      </c>
      <c r="X874" s="53" t="n">
        <f aca="false">IF(T874=1,IF(AND(ISNUMBER(F874),ISNUMBER(K874)),K874-F874,0),0)</f>
        <v>0</v>
      </c>
      <c r="Y874" s="53" t="n">
        <f aca="false">IF(T874=1,IF(AND(ISNUMBER(F874),ISNUMBER(K874)),1,0),0)</f>
        <v>0</v>
      </c>
      <c r="Z874" s="53" t="n">
        <f aca="false">IF(U874&gt;=Settings!$C$8,1,0)</f>
        <v>0</v>
      </c>
      <c r="AA874" s="53" t="n">
        <f aca="false">IF(S874=1,IF(J874="Listed / Publicado",0,1),0)</f>
        <v>0</v>
      </c>
      <c r="AB874" s="53" t="n">
        <f aca="false">IF(T874=1,IF(ISNUMBER(L874),L874-G874,0),0)</f>
        <v>0</v>
      </c>
      <c r="AC874" s="53" t="n">
        <f aca="false">IF(S874=1,IF(ISNUMBER(I874),I874-G874,0),0)</f>
        <v>0</v>
      </c>
    </row>
    <row r="875" customFormat="false" ht="15" hidden="false" customHeight="false" outlineLevel="0" collapsed="false">
      <c r="B875" s="54"/>
      <c r="C875" s="55"/>
      <c r="D875" s="55"/>
      <c r="E875" s="55"/>
      <c r="F875" s="56"/>
      <c r="G875" s="57"/>
      <c r="H875" s="55"/>
      <c r="I875" s="57"/>
      <c r="J875" s="54"/>
      <c r="K875" s="56"/>
      <c r="L875" s="57"/>
      <c r="M875" s="54"/>
      <c r="N875" s="58" t="str">
        <f aca="false">IF(S875=1,IF(U875&lt;0,"",U875),IF(Y875=1,X875,""))</f>
        <v/>
      </c>
      <c r="O875" s="59" t="str">
        <f aca="false">IF(S875=1,IF(ISNUMBER(I875),I875-G875,""),"")</f>
        <v/>
      </c>
      <c r="P875" s="59" t="str">
        <f aca="false">IF(T875=1,IF(ISNUMBER(L875),L875-G875,""),"")</f>
        <v/>
      </c>
      <c r="Q875" s="60" t="str">
        <f aca="false">IF(C875="","",IF(T875=1,"✔ SOLD / VENDIDO",IF(S875=0,"— CLOSED / CERRADO",IF(U875&lt;0,"⚠ ADD DATE / AGREGA FECHA",IF(U875&gt;=Settings!$C$8,"⚠ STALE – REPRICE / ESTANCADO",IF(U875&gt;=Settings!$C$7,"● WATCH / VIGILAR","✔ FRESH / RECIENTE"))))))</f>
        <v/>
      </c>
      <c r="S875" s="53" t="n">
        <f aca="false">IF(C875="",0,IF(OR(J875="",J875="In Stock / En Inventario",J875="Listed / Publicado"),1,0))</f>
        <v>0</v>
      </c>
      <c r="T875" s="53" t="n">
        <f aca="false">IF(C875="",0,IF(J875="Sold / Vendido",1,0))</f>
        <v>0</v>
      </c>
      <c r="U875" s="53" t="n">
        <f aca="true">IF(S875=1,IF(ISNUMBER(F875),TODAY()-F875,-1),-1)</f>
        <v>-1</v>
      </c>
      <c r="V875" s="53" t="n">
        <f aca="false">IF(U875&lt;0,IF(S875=1,5,0),IF(U875&lt;=30,1,IF(U875&lt;=60,2,IF(U875&lt;=90,3,4))))</f>
        <v>0</v>
      </c>
      <c r="W875" s="53" t="n">
        <f aca="false">IF(U875&lt;0,-1000000000000000,U875+ROW()/1000000)</f>
        <v>-1000000000000000</v>
      </c>
      <c r="X875" s="53" t="n">
        <f aca="false">IF(T875=1,IF(AND(ISNUMBER(F875),ISNUMBER(K875)),K875-F875,0),0)</f>
        <v>0</v>
      </c>
      <c r="Y875" s="53" t="n">
        <f aca="false">IF(T875=1,IF(AND(ISNUMBER(F875),ISNUMBER(K875)),1,0),0)</f>
        <v>0</v>
      </c>
      <c r="Z875" s="53" t="n">
        <f aca="false">IF(U875&gt;=Settings!$C$8,1,0)</f>
        <v>0</v>
      </c>
      <c r="AA875" s="53" t="n">
        <f aca="false">IF(S875=1,IF(J875="Listed / Publicado",0,1),0)</f>
        <v>0</v>
      </c>
      <c r="AB875" s="53" t="n">
        <f aca="false">IF(T875=1,IF(ISNUMBER(L875),L875-G875,0),0)</f>
        <v>0</v>
      </c>
      <c r="AC875" s="53" t="n">
        <f aca="false">IF(S875=1,IF(ISNUMBER(I875),I875-G875,0),0)</f>
        <v>0</v>
      </c>
    </row>
    <row r="876" customFormat="false" ht="15" hidden="false" customHeight="false" outlineLevel="0" collapsed="false">
      <c r="B876" s="54"/>
      <c r="C876" s="55"/>
      <c r="D876" s="55"/>
      <c r="E876" s="55"/>
      <c r="F876" s="56"/>
      <c r="G876" s="57"/>
      <c r="H876" s="55"/>
      <c r="I876" s="57"/>
      <c r="J876" s="54"/>
      <c r="K876" s="56"/>
      <c r="L876" s="57"/>
      <c r="M876" s="54"/>
      <c r="N876" s="58" t="str">
        <f aca="false">IF(S876=1,IF(U876&lt;0,"",U876),IF(Y876=1,X876,""))</f>
        <v/>
      </c>
      <c r="O876" s="59" t="str">
        <f aca="false">IF(S876=1,IF(ISNUMBER(I876),I876-G876,""),"")</f>
        <v/>
      </c>
      <c r="P876" s="59" t="str">
        <f aca="false">IF(T876=1,IF(ISNUMBER(L876),L876-G876,""),"")</f>
        <v/>
      </c>
      <c r="Q876" s="60" t="str">
        <f aca="false">IF(C876="","",IF(T876=1,"✔ SOLD / VENDIDO",IF(S876=0,"— CLOSED / CERRADO",IF(U876&lt;0,"⚠ ADD DATE / AGREGA FECHA",IF(U876&gt;=Settings!$C$8,"⚠ STALE – REPRICE / ESTANCADO",IF(U876&gt;=Settings!$C$7,"● WATCH / VIGILAR","✔ FRESH / RECIENTE"))))))</f>
        <v/>
      </c>
      <c r="S876" s="53" t="n">
        <f aca="false">IF(C876="",0,IF(OR(J876="",J876="In Stock / En Inventario",J876="Listed / Publicado"),1,0))</f>
        <v>0</v>
      </c>
      <c r="T876" s="53" t="n">
        <f aca="false">IF(C876="",0,IF(J876="Sold / Vendido",1,0))</f>
        <v>0</v>
      </c>
      <c r="U876" s="53" t="n">
        <f aca="true">IF(S876=1,IF(ISNUMBER(F876),TODAY()-F876,-1),-1)</f>
        <v>-1</v>
      </c>
      <c r="V876" s="53" t="n">
        <f aca="false">IF(U876&lt;0,IF(S876=1,5,0),IF(U876&lt;=30,1,IF(U876&lt;=60,2,IF(U876&lt;=90,3,4))))</f>
        <v>0</v>
      </c>
      <c r="W876" s="53" t="n">
        <f aca="false">IF(U876&lt;0,-1000000000000000,U876+ROW()/1000000)</f>
        <v>-1000000000000000</v>
      </c>
      <c r="X876" s="53" t="n">
        <f aca="false">IF(T876=1,IF(AND(ISNUMBER(F876),ISNUMBER(K876)),K876-F876,0),0)</f>
        <v>0</v>
      </c>
      <c r="Y876" s="53" t="n">
        <f aca="false">IF(T876=1,IF(AND(ISNUMBER(F876),ISNUMBER(K876)),1,0),0)</f>
        <v>0</v>
      </c>
      <c r="Z876" s="53" t="n">
        <f aca="false">IF(U876&gt;=Settings!$C$8,1,0)</f>
        <v>0</v>
      </c>
      <c r="AA876" s="53" t="n">
        <f aca="false">IF(S876=1,IF(J876="Listed / Publicado",0,1),0)</f>
        <v>0</v>
      </c>
      <c r="AB876" s="53" t="n">
        <f aca="false">IF(T876=1,IF(ISNUMBER(L876),L876-G876,0),0)</f>
        <v>0</v>
      </c>
      <c r="AC876" s="53" t="n">
        <f aca="false">IF(S876=1,IF(ISNUMBER(I876),I876-G876,0),0)</f>
        <v>0</v>
      </c>
    </row>
    <row r="877" customFormat="false" ht="15" hidden="false" customHeight="false" outlineLevel="0" collapsed="false">
      <c r="B877" s="54"/>
      <c r="C877" s="55"/>
      <c r="D877" s="55"/>
      <c r="E877" s="55"/>
      <c r="F877" s="56"/>
      <c r="G877" s="57"/>
      <c r="H877" s="55"/>
      <c r="I877" s="57"/>
      <c r="J877" s="54"/>
      <c r="K877" s="56"/>
      <c r="L877" s="57"/>
      <c r="M877" s="54"/>
      <c r="N877" s="58" t="str">
        <f aca="false">IF(S877=1,IF(U877&lt;0,"",U877),IF(Y877=1,X877,""))</f>
        <v/>
      </c>
      <c r="O877" s="59" t="str">
        <f aca="false">IF(S877=1,IF(ISNUMBER(I877),I877-G877,""),"")</f>
        <v/>
      </c>
      <c r="P877" s="59" t="str">
        <f aca="false">IF(T877=1,IF(ISNUMBER(L877),L877-G877,""),"")</f>
        <v/>
      </c>
      <c r="Q877" s="60" t="str">
        <f aca="false">IF(C877="","",IF(T877=1,"✔ SOLD / VENDIDO",IF(S877=0,"— CLOSED / CERRADO",IF(U877&lt;0,"⚠ ADD DATE / AGREGA FECHA",IF(U877&gt;=Settings!$C$8,"⚠ STALE – REPRICE / ESTANCADO",IF(U877&gt;=Settings!$C$7,"● WATCH / VIGILAR","✔ FRESH / RECIENTE"))))))</f>
        <v/>
      </c>
      <c r="S877" s="53" t="n">
        <f aca="false">IF(C877="",0,IF(OR(J877="",J877="In Stock / En Inventario",J877="Listed / Publicado"),1,0))</f>
        <v>0</v>
      </c>
      <c r="T877" s="53" t="n">
        <f aca="false">IF(C877="",0,IF(J877="Sold / Vendido",1,0))</f>
        <v>0</v>
      </c>
      <c r="U877" s="53" t="n">
        <f aca="true">IF(S877=1,IF(ISNUMBER(F877),TODAY()-F877,-1),-1)</f>
        <v>-1</v>
      </c>
      <c r="V877" s="53" t="n">
        <f aca="false">IF(U877&lt;0,IF(S877=1,5,0),IF(U877&lt;=30,1,IF(U877&lt;=60,2,IF(U877&lt;=90,3,4))))</f>
        <v>0</v>
      </c>
      <c r="W877" s="53" t="n">
        <f aca="false">IF(U877&lt;0,-1000000000000000,U877+ROW()/1000000)</f>
        <v>-1000000000000000</v>
      </c>
      <c r="X877" s="53" t="n">
        <f aca="false">IF(T877=1,IF(AND(ISNUMBER(F877),ISNUMBER(K877)),K877-F877,0),0)</f>
        <v>0</v>
      </c>
      <c r="Y877" s="53" t="n">
        <f aca="false">IF(T877=1,IF(AND(ISNUMBER(F877),ISNUMBER(K877)),1,0),0)</f>
        <v>0</v>
      </c>
      <c r="Z877" s="53" t="n">
        <f aca="false">IF(U877&gt;=Settings!$C$8,1,0)</f>
        <v>0</v>
      </c>
      <c r="AA877" s="53" t="n">
        <f aca="false">IF(S877=1,IF(J877="Listed / Publicado",0,1),0)</f>
        <v>0</v>
      </c>
      <c r="AB877" s="53" t="n">
        <f aca="false">IF(T877=1,IF(ISNUMBER(L877),L877-G877,0),0)</f>
        <v>0</v>
      </c>
      <c r="AC877" s="53" t="n">
        <f aca="false">IF(S877=1,IF(ISNUMBER(I877),I877-G877,0),0)</f>
        <v>0</v>
      </c>
    </row>
    <row r="878" customFormat="false" ht="15" hidden="false" customHeight="false" outlineLevel="0" collapsed="false">
      <c r="B878" s="54"/>
      <c r="C878" s="55"/>
      <c r="D878" s="55"/>
      <c r="E878" s="55"/>
      <c r="F878" s="56"/>
      <c r="G878" s="57"/>
      <c r="H878" s="55"/>
      <c r="I878" s="57"/>
      <c r="J878" s="54"/>
      <c r="K878" s="56"/>
      <c r="L878" s="57"/>
      <c r="M878" s="54"/>
      <c r="N878" s="58" t="str">
        <f aca="false">IF(S878=1,IF(U878&lt;0,"",U878),IF(Y878=1,X878,""))</f>
        <v/>
      </c>
      <c r="O878" s="59" t="str">
        <f aca="false">IF(S878=1,IF(ISNUMBER(I878),I878-G878,""),"")</f>
        <v/>
      </c>
      <c r="P878" s="59" t="str">
        <f aca="false">IF(T878=1,IF(ISNUMBER(L878),L878-G878,""),"")</f>
        <v/>
      </c>
      <c r="Q878" s="60" t="str">
        <f aca="false">IF(C878="","",IF(T878=1,"✔ SOLD / VENDIDO",IF(S878=0,"— CLOSED / CERRADO",IF(U878&lt;0,"⚠ ADD DATE / AGREGA FECHA",IF(U878&gt;=Settings!$C$8,"⚠ STALE – REPRICE / ESTANCADO",IF(U878&gt;=Settings!$C$7,"● WATCH / VIGILAR","✔ FRESH / RECIENTE"))))))</f>
        <v/>
      </c>
      <c r="S878" s="53" t="n">
        <f aca="false">IF(C878="",0,IF(OR(J878="",J878="In Stock / En Inventario",J878="Listed / Publicado"),1,0))</f>
        <v>0</v>
      </c>
      <c r="T878" s="53" t="n">
        <f aca="false">IF(C878="",0,IF(J878="Sold / Vendido",1,0))</f>
        <v>0</v>
      </c>
      <c r="U878" s="53" t="n">
        <f aca="true">IF(S878=1,IF(ISNUMBER(F878),TODAY()-F878,-1),-1)</f>
        <v>-1</v>
      </c>
      <c r="V878" s="53" t="n">
        <f aca="false">IF(U878&lt;0,IF(S878=1,5,0),IF(U878&lt;=30,1,IF(U878&lt;=60,2,IF(U878&lt;=90,3,4))))</f>
        <v>0</v>
      </c>
      <c r="W878" s="53" t="n">
        <f aca="false">IF(U878&lt;0,-1000000000000000,U878+ROW()/1000000)</f>
        <v>-1000000000000000</v>
      </c>
      <c r="X878" s="53" t="n">
        <f aca="false">IF(T878=1,IF(AND(ISNUMBER(F878),ISNUMBER(K878)),K878-F878,0),0)</f>
        <v>0</v>
      </c>
      <c r="Y878" s="53" t="n">
        <f aca="false">IF(T878=1,IF(AND(ISNUMBER(F878),ISNUMBER(K878)),1,0),0)</f>
        <v>0</v>
      </c>
      <c r="Z878" s="53" t="n">
        <f aca="false">IF(U878&gt;=Settings!$C$8,1,0)</f>
        <v>0</v>
      </c>
      <c r="AA878" s="53" t="n">
        <f aca="false">IF(S878=1,IF(J878="Listed / Publicado",0,1),0)</f>
        <v>0</v>
      </c>
      <c r="AB878" s="53" t="n">
        <f aca="false">IF(T878=1,IF(ISNUMBER(L878),L878-G878,0),0)</f>
        <v>0</v>
      </c>
      <c r="AC878" s="53" t="n">
        <f aca="false">IF(S878=1,IF(ISNUMBER(I878),I878-G878,0),0)</f>
        <v>0</v>
      </c>
    </row>
    <row r="879" customFormat="false" ht="15" hidden="false" customHeight="false" outlineLevel="0" collapsed="false">
      <c r="B879" s="54"/>
      <c r="C879" s="55"/>
      <c r="D879" s="55"/>
      <c r="E879" s="55"/>
      <c r="F879" s="56"/>
      <c r="G879" s="57"/>
      <c r="H879" s="55"/>
      <c r="I879" s="57"/>
      <c r="J879" s="54"/>
      <c r="K879" s="56"/>
      <c r="L879" s="57"/>
      <c r="M879" s="54"/>
      <c r="N879" s="58" t="str">
        <f aca="false">IF(S879=1,IF(U879&lt;0,"",U879),IF(Y879=1,X879,""))</f>
        <v/>
      </c>
      <c r="O879" s="59" t="str">
        <f aca="false">IF(S879=1,IF(ISNUMBER(I879),I879-G879,""),"")</f>
        <v/>
      </c>
      <c r="P879" s="59" t="str">
        <f aca="false">IF(T879=1,IF(ISNUMBER(L879),L879-G879,""),"")</f>
        <v/>
      </c>
      <c r="Q879" s="60" t="str">
        <f aca="false">IF(C879="","",IF(T879=1,"✔ SOLD / VENDIDO",IF(S879=0,"— CLOSED / CERRADO",IF(U879&lt;0,"⚠ ADD DATE / AGREGA FECHA",IF(U879&gt;=Settings!$C$8,"⚠ STALE – REPRICE / ESTANCADO",IF(U879&gt;=Settings!$C$7,"● WATCH / VIGILAR","✔ FRESH / RECIENTE"))))))</f>
        <v/>
      </c>
      <c r="S879" s="53" t="n">
        <f aca="false">IF(C879="",0,IF(OR(J879="",J879="In Stock / En Inventario",J879="Listed / Publicado"),1,0))</f>
        <v>0</v>
      </c>
      <c r="T879" s="53" t="n">
        <f aca="false">IF(C879="",0,IF(J879="Sold / Vendido",1,0))</f>
        <v>0</v>
      </c>
      <c r="U879" s="53" t="n">
        <f aca="true">IF(S879=1,IF(ISNUMBER(F879),TODAY()-F879,-1),-1)</f>
        <v>-1</v>
      </c>
      <c r="V879" s="53" t="n">
        <f aca="false">IF(U879&lt;0,IF(S879=1,5,0),IF(U879&lt;=30,1,IF(U879&lt;=60,2,IF(U879&lt;=90,3,4))))</f>
        <v>0</v>
      </c>
      <c r="W879" s="53" t="n">
        <f aca="false">IF(U879&lt;0,-1000000000000000,U879+ROW()/1000000)</f>
        <v>-1000000000000000</v>
      </c>
      <c r="X879" s="53" t="n">
        <f aca="false">IF(T879=1,IF(AND(ISNUMBER(F879),ISNUMBER(K879)),K879-F879,0),0)</f>
        <v>0</v>
      </c>
      <c r="Y879" s="53" t="n">
        <f aca="false">IF(T879=1,IF(AND(ISNUMBER(F879),ISNUMBER(K879)),1,0),0)</f>
        <v>0</v>
      </c>
      <c r="Z879" s="53" t="n">
        <f aca="false">IF(U879&gt;=Settings!$C$8,1,0)</f>
        <v>0</v>
      </c>
      <c r="AA879" s="53" t="n">
        <f aca="false">IF(S879=1,IF(J879="Listed / Publicado",0,1),0)</f>
        <v>0</v>
      </c>
      <c r="AB879" s="53" t="n">
        <f aca="false">IF(T879=1,IF(ISNUMBER(L879),L879-G879,0),0)</f>
        <v>0</v>
      </c>
      <c r="AC879" s="53" t="n">
        <f aca="false">IF(S879=1,IF(ISNUMBER(I879),I879-G879,0),0)</f>
        <v>0</v>
      </c>
    </row>
    <row r="880" customFormat="false" ht="15" hidden="false" customHeight="false" outlineLevel="0" collapsed="false">
      <c r="B880" s="54"/>
      <c r="C880" s="55"/>
      <c r="D880" s="55"/>
      <c r="E880" s="55"/>
      <c r="F880" s="56"/>
      <c r="G880" s="57"/>
      <c r="H880" s="55"/>
      <c r="I880" s="57"/>
      <c r="J880" s="54"/>
      <c r="K880" s="56"/>
      <c r="L880" s="57"/>
      <c r="M880" s="54"/>
      <c r="N880" s="58" t="str">
        <f aca="false">IF(S880=1,IF(U880&lt;0,"",U880),IF(Y880=1,X880,""))</f>
        <v/>
      </c>
      <c r="O880" s="59" t="str">
        <f aca="false">IF(S880=1,IF(ISNUMBER(I880),I880-G880,""),"")</f>
        <v/>
      </c>
      <c r="P880" s="59" t="str">
        <f aca="false">IF(T880=1,IF(ISNUMBER(L880),L880-G880,""),"")</f>
        <v/>
      </c>
      <c r="Q880" s="60" t="str">
        <f aca="false">IF(C880="","",IF(T880=1,"✔ SOLD / VENDIDO",IF(S880=0,"— CLOSED / CERRADO",IF(U880&lt;0,"⚠ ADD DATE / AGREGA FECHA",IF(U880&gt;=Settings!$C$8,"⚠ STALE – REPRICE / ESTANCADO",IF(U880&gt;=Settings!$C$7,"● WATCH / VIGILAR","✔ FRESH / RECIENTE"))))))</f>
        <v/>
      </c>
      <c r="S880" s="53" t="n">
        <f aca="false">IF(C880="",0,IF(OR(J880="",J880="In Stock / En Inventario",J880="Listed / Publicado"),1,0))</f>
        <v>0</v>
      </c>
      <c r="T880" s="53" t="n">
        <f aca="false">IF(C880="",0,IF(J880="Sold / Vendido",1,0))</f>
        <v>0</v>
      </c>
      <c r="U880" s="53" t="n">
        <f aca="true">IF(S880=1,IF(ISNUMBER(F880),TODAY()-F880,-1),-1)</f>
        <v>-1</v>
      </c>
      <c r="V880" s="53" t="n">
        <f aca="false">IF(U880&lt;0,IF(S880=1,5,0),IF(U880&lt;=30,1,IF(U880&lt;=60,2,IF(U880&lt;=90,3,4))))</f>
        <v>0</v>
      </c>
      <c r="W880" s="53" t="n">
        <f aca="false">IF(U880&lt;0,-1000000000000000,U880+ROW()/1000000)</f>
        <v>-1000000000000000</v>
      </c>
      <c r="X880" s="53" t="n">
        <f aca="false">IF(T880=1,IF(AND(ISNUMBER(F880),ISNUMBER(K880)),K880-F880,0),0)</f>
        <v>0</v>
      </c>
      <c r="Y880" s="53" t="n">
        <f aca="false">IF(T880=1,IF(AND(ISNUMBER(F880),ISNUMBER(K880)),1,0),0)</f>
        <v>0</v>
      </c>
      <c r="Z880" s="53" t="n">
        <f aca="false">IF(U880&gt;=Settings!$C$8,1,0)</f>
        <v>0</v>
      </c>
      <c r="AA880" s="53" t="n">
        <f aca="false">IF(S880=1,IF(J880="Listed / Publicado",0,1),0)</f>
        <v>0</v>
      </c>
      <c r="AB880" s="53" t="n">
        <f aca="false">IF(T880=1,IF(ISNUMBER(L880),L880-G880,0),0)</f>
        <v>0</v>
      </c>
      <c r="AC880" s="53" t="n">
        <f aca="false">IF(S880=1,IF(ISNUMBER(I880),I880-G880,0),0)</f>
        <v>0</v>
      </c>
    </row>
    <row r="881" customFormat="false" ht="15" hidden="false" customHeight="false" outlineLevel="0" collapsed="false">
      <c r="B881" s="54"/>
      <c r="C881" s="55"/>
      <c r="D881" s="55"/>
      <c r="E881" s="55"/>
      <c r="F881" s="56"/>
      <c r="G881" s="57"/>
      <c r="H881" s="55"/>
      <c r="I881" s="57"/>
      <c r="J881" s="54"/>
      <c r="K881" s="56"/>
      <c r="L881" s="57"/>
      <c r="M881" s="54"/>
      <c r="N881" s="58" t="str">
        <f aca="false">IF(S881=1,IF(U881&lt;0,"",U881),IF(Y881=1,X881,""))</f>
        <v/>
      </c>
      <c r="O881" s="59" t="str">
        <f aca="false">IF(S881=1,IF(ISNUMBER(I881),I881-G881,""),"")</f>
        <v/>
      </c>
      <c r="P881" s="59" t="str">
        <f aca="false">IF(T881=1,IF(ISNUMBER(L881),L881-G881,""),"")</f>
        <v/>
      </c>
      <c r="Q881" s="60" t="str">
        <f aca="false">IF(C881="","",IF(T881=1,"✔ SOLD / VENDIDO",IF(S881=0,"— CLOSED / CERRADO",IF(U881&lt;0,"⚠ ADD DATE / AGREGA FECHA",IF(U881&gt;=Settings!$C$8,"⚠ STALE – REPRICE / ESTANCADO",IF(U881&gt;=Settings!$C$7,"● WATCH / VIGILAR","✔ FRESH / RECIENTE"))))))</f>
        <v/>
      </c>
      <c r="S881" s="53" t="n">
        <f aca="false">IF(C881="",0,IF(OR(J881="",J881="In Stock / En Inventario",J881="Listed / Publicado"),1,0))</f>
        <v>0</v>
      </c>
      <c r="T881" s="53" t="n">
        <f aca="false">IF(C881="",0,IF(J881="Sold / Vendido",1,0))</f>
        <v>0</v>
      </c>
      <c r="U881" s="53" t="n">
        <f aca="true">IF(S881=1,IF(ISNUMBER(F881),TODAY()-F881,-1),-1)</f>
        <v>-1</v>
      </c>
      <c r="V881" s="53" t="n">
        <f aca="false">IF(U881&lt;0,IF(S881=1,5,0),IF(U881&lt;=30,1,IF(U881&lt;=60,2,IF(U881&lt;=90,3,4))))</f>
        <v>0</v>
      </c>
      <c r="W881" s="53" t="n">
        <f aca="false">IF(U881&lt;0,-1000000000000000,U881+ROW()/1000000)</f>
        <v>-1000000000000000</v>
      </c>
      <c r="X881" s="53" t="n">
        <f aca="false">IF(T881=1,IF(AND(ISNUMBER(F881),ISNUMBER(K881)),K881-F881,0),0)</f>
        <v>0</v>
      </c>
      <c r="Y881" s="53" t="n">
        <f aca="false">IF(T881=1,IF(AND(ISNUMBER(F881),ISNUMBER(K881)),1,0),0)</f>
        <v>0</v>
      </c>
      <c r="Z881" s="53" t="n">
        <f aca="false">IF(U881&gt;=Settings!$C$8,1,0)</f>
        <v>0</v>
      </c>
      <c r="AA881" s="53" t="n">
        <f aca="false">IF(S881=1,IF(J881="Listed / Publicado",0,1),0)</f>
        <v>0</v>
      </c>
      <c r="AB881" s="53" t="n">
        <f aca="false">IF(T881=1,IF(ISNUMBER(L881),L881-G881,0),0)</f>
        <v>0</v>
      </c>
      <c r="AC881" s="53" t="n">
        <f aca="false">IF(S881=1,IF(ISNUMBER(I881),I881-G881,0),0)</f>
        <v>0</v>
      </c>
    </row>
    <row r="882" customFormat="false" ht="15" hidden="false" customHeight="false" outlineLevel="0" collapsed="false">
      <c r="B882" s="54"/>
      <c r="C882" s="55"/>
      <c r="D882" s="55"/>
      <c r="E882" s="55"/>
      <c r="F882" s="56"/>
      <c r="G882" s="57"/>
      <c r="H882" s="55"/>
      <c r="I882" s="57"/>
      <c r="J882" s="54"/>
      <c r="K882" s="56"/>
      <c r="L882" s="57"/>
      <c r="M882" s="54"/>
      <c r="N882" s="58" t="str">
        <f aca="false">IF(S882=1,IF(U882&lt;0,"",U882),IF(Y882=1,X882,""))</f>
        <v/>
      </c>
      <c r="O882" s="59" t="str">
        <f aca="false">IF(S882=1,IF(ISNUMBER(I882),I882-G882,""),"")</f>
        <v/>
      </c>
      <c r="P882" s="59" t="str">
        <f aca="false">IF(T882=1,IF(ISNUMBER(L882),L882-G882,""),"")</f>
        <v/>
      </c>
      <c r="Q882" s="60" t="str">
        <f aca="false">IF(C882="","",IF(T882=1,"✔ SOLD / VENDIDO",IF(S882=0,"— CLOSED / CERRADO",IF(U882&lt;0,"⚠ ADD DATE / AGREGA FECHA",IF(U882&gt;=Settings!$C$8,"⚠ STALE – REPRICE / ESTANCADO",IF(U882&gt;=Settings!$C$7,"● WATCH / VIGILAR","✔ FRESH / RECIENTE"))))))</f>
        <v/>
      </c>
      <c r="S882" s="53" t="n">
        <f aca="false">IF(C882="",0,IF(OR(J882="",J882="In Stock / En Inventario",J882="Listed / Publicado"),1,0))</f>
        <v>0</v>
      </c>
      <c r="T882" s="53" t="n">
        <f aca="false">IF(C882="",0,IF(J882="Sold / Vendido",1,0))</f>
        <v>0</v>
      </c>
      <c r="U882" s="53" t="n">
        <f aca="true">IF(S882=1,IF(ISNUMBER(F882),TODAY()-F882,-1),-1)</f>
        <v>-1</v>
      </c>
      <c r="V882" s="53" t="n">
        <f aca="false">IF(U882&lt;0,IF(S882=1,5,0),IF(U882&lt;=30,1,IF(U882&lt;=60,2,IF(U882&lt;=90,3,4))))</f>
        <v>0</v>
      </c>
      <c r="W882" s="53" t="n">
        <f aca="false">IF(U882&lt;0,-1000000000000000,U882+ROW()/1000000)</f>
        <v>-1000000000000000</v>
      </c>
      <c r="X882" s="53" t="n">
        <f aca="false">IF(T882=1,IF(AND(ISNUMBER(F882),ISNUMBER(K882)),K882-F882,0),0)</f>
        <v>0</v>
      </c>
      <c r="Y882" s="53" t="n">
        <f aca="false">IF(T882=1,IF(AND(ISNUMBER(F882),ISNUMBER(K882)),1,0),0)</f>
        <v>0</v>
      </c>
      <c r="Z882" s="53" t="n">
        <f aca="false">IF(U882&gt;=Settings!$C$8,1,0)</f>
        <v>0</v>
      </c>
      <c r="AA882" s="53" t="n">
        <f aca="false">IF(S882=1,IF(J882="Listed / Publicado",0,1),0)</f>
        <v>0</v>
      </c>
      <c r="AB882" s="53" t="n">
        <f aca="false">IF(T882=1,IF(ISNUMBER(L882),L882-G882,0),0)</f>
        <v>0</v>
      </c>
      <c r="AC882" s="53" t="n">
        <f aca="false">IF(S882=1,IF(ISNUMBER(I882),I882-G882,0),0)</f>
        <v>0</v>
      </c>
    </row>
    <row r="883" customFormat="false" ht="15" hidden="false" customHeight="false" outlineLevel="0" collapsed="false">
      <c r="B883" s="54"/>
      <c r="C883" s="55"/>
      <c r="D883" s="55"/>
      <c r="E883" s="55"/>
      <c r="F883" s="56"/>
      <c r="G883" s="57"/>
      <c r="H883" s="55"/>
      <c r="I883" s="57"/>
      <c r="J883" s="54"/>
      <c r="K883" s="56"/>
      <c r="L883" s="57"/>
      <c r="M883" s="54"/>
      <c r="N883" s="58" t="str">
        <f aca="false">IF(S883=1,IF(U883&lt;0,"",U883),IF(Y883=1,X883,""))</f>
        <v/>
      </c>
      <c r="O883" s="59" t="str">
        <f aca="false">IF(S883=1,IF(ISNUMBER(I883),I883-G883,""),"")</f>
        <v/>
      </c>
      <c r="P883" s="59" t="str">
        <f aca="false">IF(T883=1,IF(ISNUMBER(L883),L883-G883,""),"")</f>
        <v/>
      </c>
      <c r="Q883" s="60" t="str">
        <f aca="false">IF(C883="","",IF(T883=1,"✔ SOLD / VENDIDO",IF(S883=0,"— CLOSED / CERRADO",IF(U883&lt;0,"⚠ ADD DATE / AGREGA FECHA",IF(U883&gt;=Settings!$C$8,"⚠ STALE – REPRICE / ESTANCADO",IF(U883&gt;=Settings!$C$7,"● WATCH / VIGILAR","✔ FRESH / RECIENTE"))))))</f>
        <v/>
      </c>
      <c r="S883" s="53" t="n">
        <f aca="false">IF(C883="",0,IF(OR(J883="",J883="In Stock / En Inventario",J883="Listed / Publicado"),1,0))</f>
        <v>0</v>
      </c>
      <c r="T883" s="53" t="n">
        <f aca="false">IF(C883="",0,IF(J883="Sold / Vendido",1,0))</f>
        <v>0</v>
      </c>
      <c r="U883" s="53" t="n">
        <f aca="true">IF(S883=1,IF(ISNUMBER(F883),TODAY()-F883,-1),-1)</f>
        <v>-1</v>
      </c>
      <c r="V883" s="53" t="n">
        <f aca="false">IF(U883&lt;0,IF(S883=1,5,0),IF(U883&lt;=30,1,IF(U883&lt;=60,2,IF(U883&lt;=90,3,4))))</f>
        <v>0</v>
      </c>
      <c r="W883" s="53" t="n">
        <f aca="false">IF(U883&lt;0,-1000000000000000,U883+ROW()/1000000)</f>
        <v>-1000000000000000</v>
      </c>
      <c r="X883" s="53" t="n">
        <f aca="false">IF(T883=1,IF(AND(ISNUMBER(F883),ISNUMBER(K883)),K883-F883,0),0)</f>
        <v>0</v>
      </c>
      <c r="Y883" s="53" t="n">
        <f aca="false">IF(T883=1,IF(AND(ISNUMBER(F883),ISNUMBER(K883)),1,0),0)</f>
        <v>0</v>
      </c>
      <c r="Z883" s="53" t="n">
        <f aca="false">IF(U883&gt;=Settings!$C$8,1,0)</f>
        <v>0</v>
      </c>
      <c r="AA883" s="53" t="n">
        <f aca="false">IF(S883=1,IF(J883="Listed / Publicado",0,1),0)</f>
        <v>0</v>
      </c>
      <c r="AB883" s="53" t="n">
        <f aca="false">IF(T883=1,IF(ISNUMBER(L883),L883-G883,0),0)</f>
        <v>0</v>
      </c>
      <c r="AC883" s="53" t="n">
        <f aca="false">IF(S883=1,IF(ISNUMBER(I883),I883-G883,0),0)</f>
        <v>0</v>
      </c>
    </row>
    <row r="884" customFormat="false" ht="15" hidden="false" customHeight="false" outlineLevel="0" collapsed="false">
      <c r="B884" s="54"/>
      <c r="C884" s="55"/>
      <c r="D884" s="55"/>
      <c r="E884" s="55"/>
      <c r="F884" s="56"/>
      <c r="G884" s="57"/>
      <c r="H884" s="55"/>
      <c r="I884" s="57"/>
      <c r="J884" s="54"/>
      <c r="K884" s="56"/>
      <c r="L884" s="57"/>
      <c r="M884" s="54"/>
      <c r="N884" s="58" t="str">
        <f aca="false">IF(S884=1,IF(U884&lt;0,"",U884),IF(Y884=1,X884,""))</f>
        <v/>
      </c>
      <c r="O884" s="59" t="str">
        <f aca="false">IF(S884=1,IF(ISNUMBER(I884),I884-G884,""),"")</f>
        <v/>
      </c>
      <c r="P884" s="59" t="str">
        <f aca="false">IF(T884=1,IF(ISNUMBER(L884),L884-G884,""),"")</f>
        <v/>
      </c>
      <c r="Q884" s="60" t="str">
        <f aca="false">IF(C884="","",IF(T884=1,"✔ SOLD / VENDIDO",IF(S884=0,"— CLOSED / CERRADO",IF(U884&lt;0,"⚠ ADD DATE / AGREGA FECHA",IF(U884&gt;=Settings!$C$8,"⚠ STALE – REPRICE / ESTANCADO",IF(U884&gt;=Settings!$C$7,"● WATCH / VIGILAR","✔ FRESH / RECIENTE"))))))</f>
        <v/>
      </c>
      <c r="S884" s="53" t="n">
        <f aca="false">IF(C884="",0,IF(OR(J884="",J884="In Stock / En Inventario",J884="Listed / Publicado"),1,0))</f>
        <v>0</v>
      </c>
      <c r="T884" s="53" t="n">
        <f aca="false">IF(C884="",0,IF(J884="Sold / Vendido",1,0))</f>
        <v>0</v>
      </c>
      <c r="U884" s="53" t="n">
        <f aca="true">IF(S884=1,IF(ISNUMBER(F884),TODAY()-F884,-1),-1)</f>
        <v>-1</v>
      </c>
      <c r="V884" s="53" t="n">
        <f aca="false">IF(U884&lt;0,IF(S884=1,5,0),IF(U884&lt;=30,1,IF(U884&lt;=60,2,IF(U884&lt;=90,3,4))))</f>
        <v>0</v>
      </c>
      <c r="W884" s="53" t="n">
        <f aca="false">IF(U884&lt;0,-1000000000000000,U884+ROW()/1000000)</f>
        <v>-1000000000000000</v>
      </c>
      <c r="X884" s="53" t="n">
        <f aca="false">IF(T884=1,IF(AND(ISNUMBER(F884),ISNUMBER(K884)),K884-F884,0),0)</f>
        <v>0</v>
      </c>
      <c r="Y884" s="53" t="n">
        <f aca="false">IF(T884=1,IF(AND(ISNUMBER(F884),ISNUMBER(K884)),1,0),0)</f>
        <v>0</v>
      </c>
      <c r="Z884" s="53" t="n">
        <f aca="false">IF(U884&gt;=Settings!$C$8,1,0)</f>
        <v>0</v>
      </c>
      <c r="AA884" s="53" t="n">
        <f aca="false">IF(S884=1,IF(J884="Listed / Publicado",0,1),0)</f>
        <v>0</v>
      </c>
      <c r="AB884" s="53" t="n">
        <f aca="false">IF(T884=1,IF(ISNUMBER(L884),L884-G884,0),0)</f>
        <v>0</v>
      </c>
      <c r="AC884" s="53" t="n">
        <f aca="false">IF(S884=1,IF(ISNUMBER(I884),I884-G884,0),0)</f>
        <v>0</v>
      </c>
    </row>
    <row r="885" customFormat="false" ht="15" hidden="false" customHeight="false" outlineLevel="0" collapsed="false">
      <c r="B885" s="54"/>
      <c r="C885" s="55"/>
      <c r="D885" s="55"/>
      <c r="E885" s="55"/>
      <c r="F885" s="56"/>
      <c r="G885" s="57"/>
      <c r="H885" s="55"/>
      <c r="I885" s="57"/>
      <c r="J885" s="54"/>
      <c r="K885" s="56"/>
      <c r="L885" s="57"/>
      <c r="M885" s="54"/>
      <c r="N885" s="58" t="str">
        <f aca="false">IF(S885=1,IF(U885&lt;0,"",U885),IF(Y885=1,X885,""))</f>
        <v/>
      </c>
      <c r="O885" s="59" t="str">
        <f aca="false">IF(S885=1,IF(ISNUMBER(I885),I885-G885,""),"")</f>
        <v/>
      </c>
      <c r="P885" s="59" t="str">
        <f aca="false">IF(T885=1,IF(ISNUMBER(L885),L885-G885,""),"")</f>
        <v/>
      </c>
      <c r="Q885" s="60" t="str">
        <f aca="false">IF(C885="","",IF(T885=1,"✔ SOLD / VENDIDO",IF(S885=0,"— CLOSED / CERRADO",IF(U885&lt;0,"⚠ ADD DATE / AGREGA FECHA",IF(U885&gt;=Settings!$C$8,"⚠ STALE – REPRICE / ESTANCADO",IF(U885&gt;=Settings!$C$7,"● WATCH / VIGILAR","✔ FRESH / RECIENTE"))))))</f>
        <v/>
      </c>
      <c r="S885" s="53" t="n">
        <f aca="false">IF(C885="",0,IF(OR(J885="",J885="In Stock / En Inventario",J885="Listed / Publicado"),1,0))</f>
        <v>0</v>
      </c>
      <c r="T885" s="53" t="n">
        <f aca="false">IF(C885="",0,IF(J885="Sold / Vendido",1,0))</f>
        <v>0</v>
      </c>
      <c r="U885" s="53" t="n">
        <f aca="true">IF(S885=1,IF(ISNUMBER(F885),TODAY()-F885,-1),-1)</f>
        <v>-1</v>
      </c>
      <c r="V885" s="53" t="n">
        <f aca="false">IF(U885&lt;0,IF(S885=1,5,0),IF(U885&lt;=30,1,IF(U885&lt;=60,2,IF(U885&lt;=90,3,4))))</f>
        <v>0</v>
      </c>
      <c r="W885" s="53" t="n">
        <f aca="false">IF(U885&lt;0,-1000000000000000,U885+ROW()/1000000)</f>
        <v>-1000000000000000</v>
      </c>
      <c r="X885" s="53" t="n">
        <f aca="false">IF(T885=1,IF(AND(ISNUMBER(F885),ISNUMBER(K885)),K885-F885,0),0)</f>
        <v>0</v>
      </c>
      <c r="Y885" s="53" t="n">
        <f aca="false">IF(T885=1,IF(AND(ISNUMBER(F885),ISNUMBER(K885)),1,0),0)</f>
        <v>0</v>
      </c>
      <c r="Z885" s="53" t="n">
        <f aca="false">IF(U885&gt;=Settings!$C$8,1,0)</f>
        <v>0</v>
      </c>
      <c r="AA885" s="53" t="n">
        <f aca="false">IF(S885=1,IF(J885="Listed / Publicado",0,1),0)</f>
        <v>0</v>
      </c>
      <c r="AB885" s="53" t="n">
        <f aca="false">IF(T885=1,IF(ISNUMBER(L885),L885-G885,0),0)</f>
        <v>0</v>
      </c>
      <c r="AC885" s="53" t="n">
        <f aca="false">IF(S885=1,IF(ISNUMBER(I885),I885-G885,0),0)</f>
        <v>0</v>
      </c>
    </row>
    <row r="886" customFormat="false" ht="15" hidden="false" customHeight="false" outlineLevel="0" collapsed="false">
      <c r="B886" s="54"/>
      <c r="C886" s="55"/>
      <c r="D886" s="55"/>
      <c r="E886" s="55"/>
      <c r="F886" s="56"/>
      <c r="G886" s="57"/>
      <c r="H886" s="55"/>
      <c r="I886" s="57"/>
      <c r="J886" s="54"/>
      <c r="K886" s="56"/>
      <c r="L886" s="57"/>
      <c r="M886" s="54"/>
      <c r="N886" s="58" t="str">
        <f aca="false">IF(S886=1,IF(U886&lt;0,"",U886),IF(Y886=1,X886,""))</f>
        <v/>
      </c>
      <c r="O886" s="59" t="str">
        <f aca="false">IF(S886=1,IF(ISNUMBER(I886),I886-G886,""),"")</f>
        <v/>
      </c>
      <c r="P886" s="59" t="str">
        <f aca="false">IF(T886=1,IF(ISNUMBER(L886),L886-G886,""),"")</f>
        <v/>
      </c>
      <c r="Q886" s="60" t="str">
        <f aca="false">IF(C886="","",IF(T886=1,"✔ SOLD / VENDIDO",IF(S886=0,"— CLOSED / CERRADO",IF(U886&lt;0,"⚠ ADD DATE / AGREGA FECHA",IF(U886&gt;=Settings!$C$8,"⚠ STALE – REPRICE / ESTANCADO",IF(U886&gt;=Settings!$C$7,"● WATCH / VIGILAR","✔ FRESH / RECIENTE"))))))</f>
        <v/>
      </c>
      <c r="S886" s="53" t="n">
        <f aca="false">IF(C886="",0,IF(OR(J886="",J886="In Stock / En Inventario",J886="Listed / Publicado"),1,0))</f>
        <v>0</v>
      </c>
      <c r="T886" s="53" t="n">
        <f aca="false">IF(C886="",0,IF(J886="Sold / Vendido",1,0))</f>
        <v>0</v>
      </c>
      <c r="U886" s="53" t="n">
        <f aca="true">IF(S886=1,IF(ISNUMBER(F886),TODAY()-F886,-1),-1)</f>
        <v>-1</v>
      </c>
      <c r="V886" s="53" t="n">
        <f aca="false">IF(U886&lt;0,IF(S886=1,5,0),IF(U886&lt;=30,1,IF(U886&lt;=60,2,IF(U886&lt;=90,3,4))))</f>
        <v>0</v>
      </c>
      <c r="W886" s="53" t="n">
        <f aca="false">IF(U886&lt;0,-1000000000000000,U886+ROW()/1000000)</f>
        <v>-1000000000000000</v>
      </c>
      <c r="X886" s="53" t="n">
        <f aca="false">IF(T886=1,IF(AND(ISNUMBER(F886),ISNUMBER(K886)),K886-F886,0),0)</f>
        <v>0</v>
      </c>
      <c r="Y886" s="53" t="n">
        <f aca="false">IF(T886=1,IF(AND(ISNUMBER(F886),ISNUMBER(K886)),1,0),0)</f>
        <v>0</v>
      </c>
      <c r="Z886" s="53" t="n">
        <f aca="false">IF(U886&gt;=Settings!$C$8,1,0)</f>
        <v>0</v>
      </c>
      <c r="AA886" s="53" t="n">
        <f aca="false">IF(S886=1,IF(J886="Listed / Publicado",0,1),0)</f>
        <v>0</v>
      </c>
      <c r="AB886" s="53" t="n">
        <f aca="false">IF(T886=1,IF(ISNUMBER(L886),L886-G886,0),0)</f>
        <v>0</v>
      </c>
      <c r="AC886" s="53" t="n">
        <f aca="false">IF(S886=1,IF(ISNUMBER(I886),I886-G886,0),0)</f>
        <v>0</v>
      </c>
    </row>
    <row r="887" customFormat="false" ht="15" hidden="false" customHeight="false" outlineLevel="0" collapsed="false">
      <c r="B887" s="54"/>
      <c r="C887" s="55"/>
      <c r="D887" s="55"/>
      <c r="E887" s="55"/>
      <c r="F887" s="56"/>
      <c r="G887" s="57"/>
      <c r="H887" s="55"/>
      <c r="I887" s="57"/>
      <c r="J887" s="54"/>
      <c r="K887" s="56"/>
      <c r="L887" s="57"/>
      <c r="M887" s="54"/>
      <c r="N887" s="58" t="str">
        <f aca="false">IF(S887=1,IF(U887&lt;0,"",U887),IF(Y887=1,X887,""))</f>
        <v/>
      </c>
      <c r="O887" s="59" t="str">
        <f aca="false">IF(S887=1,IF(ISNUMBER(I887),I887-G887,""),"")</f>
        <v/>
      </c>
      <c r="P887" s="59" t="str">
        <f aca="false">IF(T887=1,IF(ISNUMBER(L887),L887-G887,""),"")</f>
        <v/>
      </c>
      <c r="Q887" s="60" t="str">
        <f aca="false">IF(C887="","",IF(T887=1,"✔ SOLD / VENDIDO",IF(S887=0,"— CLOSED / CERRADO",IF(U887&lt;0,"⚠ ADD DATE / AGREGA FECHA",IF(U887&gt;=Settings!$C$8,"⚠ STALE – REPRICE / ESTANCADO",IF(U887&gt;=Settings!$C$7,"● WATCH / VIGILAR","✔ FRESH / RECIENTE"))))))</f>
        <v/>
      </c>
      <c r="S887" s="53" t="n">
        <f aca="false">IF(C887="",0,IF(OR(J887="",J887="In Stock / En Inventario",J887="Listed / Publicado"),1,0))</f>
        <v>0</v>
      </c>
      <c r="T887" s="53" t="n">
        <f aca="false">IF(C887="",0,IF(J887="Sold / Vendido",1,0))</f>
        <v>0</v>
      </c>
      <c r="U887" s="53" t="n">
        <f aca="true">IF(S887=1,IF(ISNUMBER(F887),TODAY()-F887,-1),-1)</f>
        <v>-1</v>
      </c>
      <c r="V887" s="53" t="n">
        <f aca="false">IF(U887&lt;0,IF(S887=1,5,0),IF(U887&lt;=30,1,IF(U887&lt;=60,2,IF(U887&lt;=90,3,4))))</f>
        <v>0</v>
      </c>
      <c r="W887" s="53" t="n">
        <f aca="false">IF(U887&lt;0,-1000000000000000,U887+ROW()/1000000)</f>
        <v>-1000000000000000</v>
      </c>
      <c r="X887" s="53" t="n">
        <f aca="false">IF(T887=1,IF(AND(ISNUMBER(F887),ISNUMBER(K887)),K887-F887,0),0)</f>
        <v>0</v>
      </c>
      <c r="Y887" s="53" t="n">
        <f aca="false">IF(T887=1,IF(AND(ISNUMBER(F887),ISNUMBER(K887)),1,0),0)</f>
        <v>0</v>
      </c>
      <c r="Z887" s="53" t="n">
        <f aca="false">IF(U887&gt;=Settings!$C$8,1,0)</f>
        <v>0</v>
      </c>
      <c r="AA887" s="53" t="n">
        <f aca="false">IF(S887=1,IF(J887="Listed / Publicado",0,1),0)</f>
        <v>0</v>
      </c>
      <c r="AB887" s="53" t="n">
        <f aca="false">IF(T887=1,IF(ISNUMBER(L887),L887-G887,0),0)</f>
        <v>0</v>
      </c>
      <c r="AC887" s="53" t="n">
        <f aca="false">IF(S887=1,IF(ISNUMBER(I887),I887-G887,0),0)</f>
        <v>0</v>
      </c>
    </row>
    <row r="888" customFormat="false" ht="15" hidden="false" customHeight="false" outlineLevel="0" collapsed="false">
      <c r="B888" s="54"/>
      <c r="C888" s="55"/>
      <c r="D888" s="55"/>
      <c r="E888" s="55"/>
      <c r="F888" s="56"/>
      <c r="G888" s="57"/>
      <c r="H888" s="55"/>
      <c r="I888" s="57"/>
      <c r="J888" s="54"/>
      <c r="K888" s="56"/>
      <c r="L888" s="57"/>
      <c r="M888" s="54"/>
      <c r="N888" s="58" t="str">
        <f aca="false">IF(S888=1,IF(U888&lt;0,"",U888),IF(Y888=1,X888,""))</f>
        <v/>
      </c>
      <c r="O888" s="59" t="str">
        <f aca="false">IF(S888=1,IF(ISNUMBER(I888),I888-G888,""),"")</f>
        <v/>
      </c>
      <c r="P888" s="59" t="str">
        <f aca="false">IF(T888=1,IF(ISNUMBER(L888),L888-G888,""),"")</f>
        <v/>
      </c>
      <c r="Q888" s="60" t="str">
        <f aca="false">IF(C888="","",IF(T888=1,"✔ SOLD / VENDIDO",IF(S888=0,"— CLOSED / CERRADO",IF(U888&lt;0,"⚠ ADD DATE / AGREGA FECHA",IF(U888&gt;=Settings!$C$8,"⚠ STALE – REPRICE / ESTANCADO",IF(U888&gt;=Settings!$C$7,"● WATCH / VIGILAR","✔ FRESH / RECIENTE"))))))</f>
        <v/>
      </c>
      <c r="S888" s="53" t="n">
        <f aca="false">IF(C888="",0,IF(OR(J888="",J888="In Stock / En Inventario",J888="Listed / Publicado"),1,0))</f>
        <v>0</v>
      </c>
      <c r="T888" s="53" t="n">
        <f aca="false">IF(C888="",0,IF(J888="Sold / Vendido",1,0))</f>
        <v>0</v>
      </c>
      <c r="U888" s="53" t="n">
        <f aca="true">IF(S888=1,IF(ISNUMBER(F888),TODAY()-F888,-1),-1)</f>
        <v>-1</v>
      </c>
      <c r="V888" s="53" t="n">
        <f aca="false">IF(U888&lt;0,IF(S888=1,5,0),IF(U888&lt;=30,1,IF(U888&lt;=60,2,IF(U888&lt;=90,3,4))))</f>
        <v>0</v>
      </c>
      <c r="W888" s="53" t="n">
        <f aca="false">IF(U888&lt;0,-1000000000000000,U888+ROW()/1000000)</f>
        <v>-1000000000000000</v>
      </c>
      <c r="X888" s="53" t="n">
        <f aca="false">IF(T888=1,IF(AND(ISNUMBER(F888),ISNUMBER(K888)),K888-F888,0),0)</f>
        <v>0</v>
      </c>
      <c r="Y888" s="53" t="n">
        <f aca="false">IF(T888=1,IF(AND(ISNUMBER(F888),ISNUMBER(K888)),1,0),0)</f>
        <v>0</v>
      </c>
      <c r="Z888" s="53" t="n">
        <f aca="false">IF(U888&gt;=Settings!$C$8,1,0)</f>
        <v>0</v>
      </c>
      <c r="AA888" s="53" t="n">
        <f aca="false">IF(S888=1,IF(J888="Listed / Publicado",0,1),0)</f>
        <v>0</v>
      </c>
      <c r="AB888" s="53" t="n">
        <f aca="false">IF(T888=1,IF(ISNUMBER(L888),L888-G888,0),0)</f>
        <v>0</v>
      </c>
      <c r="AC888" s="53" t="n">
        <f aca="false">IF(S888=1,IF(ISNUMBER(I888),I888-G888,0),0)</f>
        <v>0</v>
      </c>
    </row>
    <row r="889" customFormat="false" ht="15" hidden="false" customHeight="false" outlineLevel="0" collapsed="false">
      <c r="B889" s="54"/>
      <c r="C889" s="55"/>
      <c r="D889" s="55"/>
      <c r="E889" s="55"/>
      <c r="F889" s="56"/>
      <c r="G889" s="57"/>
      <c r="H889" s="55"/>
      <c r="I889" s="57"/>
      <c r="J889" s="54"/>
      <c r="K889" s="56"/>
      <c r="L889" s="57"/>
      <c r="M889" s="54"/>
      <c r="N889" s="58" t="str">
        <f aca="false">IF(S889=1,IF(U889&lt;0,"",U889),IF(Y889=1,X889,""))</f>
        <v/>
      </c>
      <c r="O889" s="59" t="str">
        <f aca="false">IF(S889=1,IF(ISNUMBER(I889),I889-G889,""),"")</f>
        <v/>
      </c>
      <c r="P889" s="59" t="str">
        <f aca="false">IF(T889=1,IF(ISNUMBER(L889),L889-G889,""),"")</f>
        <v/>
      </c>
      <c r="Q889" s="60" t="str">
        <f aca="false">IF(C889="","",IF(T889=1,"✔ SOLD / VENDIDO",IF(S889=0,"— CLOSED / CERRADO",IF(U889&lt;0,"⚠ ADD DATE / AGREGA FECHA",IF(U889&gt;=Settings!$C$8,"⚠ STALE – REPRICE / ESTANCADO",IF(U889&gt;=Settings!$C$7,"● WATCH / VIGILAR","✔ FRESH / RECIENTE"))))))</f>
        <v/>
      </c>
      <c r="S889" s="53" t="n">
        <f aca="false">IF(C889="",0,IF(OR(J889="",J889="In Stock / En Inventario",J889="Listed / Publicado"),1,0))</f>
        <v>0</v>
      </c>
      <c r="T889" s="53" t="n">
        <f aca="false">IF(C889="",0,IF(J889="Sold / Vendido",1,0))</f>
        <v>0</v>
      </c>
      <c r="U889" s="53" t="n">
        <f aca="true">IF(S889=1,IF(ISNUMBER(F889),TODAY()-F889,-1),-1)</f>
        <v>-1</v>
      </c>
      <c r="V889" s="53" t="n">
        <f aca="false">IF(U889&lt;0,IF(S889=1,5,0),IF(U889&lt;=30,1,IF(U889&lt;=60,2,IF(U889&lt;=90,3,4))))</f>
        <v>0</v>
      </c>
      <c r="W889" s="53" t="n">
        <f aca="false">IF(U889&lt;0,-1000000000000000,U889+ROW()/1000000)</f>
        <v>-1000000000000000</v>
      </c>
      <c r="X889" s="53" t="n">
        <f aca="false">IF(T889=1,IF(AND(ISNUMBER(F889),ISNUMBER(K889)),K889-F889,0),0)</f>
        <v>0</v>
      </c>
      <c r="Y889" s="53" t="n">
        <f aca="false">IF(T889=1,IF(AND(ISNUMBER(F889),ISNUMBER(K889)),1,0),0)</f>
        <v>0</v>
      </c>
      <c r="Z889" s="53" t="n">
        <f aca="false">IF(U889&gt;=Settings!$C$8,1,0)</f>
        <v>0</v>
      </c>
      <c r="AA889" s="53" t="n">
        <f aca="false">IF(S889=1,IF(J889="Listed / Publicado",0,1),0)</f>
        <v>0</v>
      </c>
      <c r="AB889" s="53" t="n">
        <f aca="false">IF(T889=1,IF(ISNUMBER(L889),L889-G889,0),0)</f>
        <v>0</v>
      </c>
      <c r="AC889" s="53" t="n">
        <f aca="false">IF(S889=1,IF(ISNUMBER(I889),I889-G889,0),0)</f>
        <v>0</v>
      </c>
    </row>
    <row r="890" customFormat="false" ht="15" hidden="false" customHeight="false" outlineLevel="0" collapsed="false">
      <c r="B890" s="54"/>
      <c r="C890" s="55"/>
      <c r="D890" s="55"/>
      <c r="E890" s="55"/>
      <c r="F890" s="56"/>
      <c r="G890" s="57"/>
      <c r="H890" s="55"/>
      <c r="I890" s="57"/>
      <c r="J890" s="54"/>
      <c r="K890" s="56"/>
      <c r="L890" s="57"/>
      <c r="M890" s="54"/>
      <c r="N890" s="58" t="str">
        <f aca="false">IF(S890=1,IF(U890&lt;0,"",U890),IF(Y890=1,X890,""))</f>
        <v/>
      </c>
      <c r="O890" s="59" t="str">
        <f aca="false">IF(S890=1,IF(ISNUMBER(I890),I890-G890,""),"")</f>
        <v/>
      </c>
      <c r="P890" s="59" t="str">
        <f aca="false">IF(T890=1,IF(ISNUMBER(L890),L890-G890,""),"")</f>
        <v/>
      </c>
      <c r="Q890" s="60" t="str">
        <f aca="false">IF(C890="","",IF(T890=1,"✔ SOLD / VENDIDO",IF(S890=0,"— CLOSED / CERRADO",IF(U890&lt;0,"⚠ ADD DATE / AGREGA FECHA",IF(U890&gt;=Settings!$C$8,"⚠ STALE – REPRICE / ESTANCADO",IF(U890&gt;=Settings!$C$7,"● WATCH / VIGILAR","✔ FRESH / RECIENTE"))))))</f>
        <v/>
      </c>
      <c r="S890" s="53" t="n">
        <f aca="false">IF(C890="",0,IF(OR(J890="",J890="In Stock / En Inventario",J890="Listed / Publicado"),1,0))</f>
        <v>0</v>
      </c>
      <c r="T890" s="53" t="n">
        <f aca="false">IF(C890="",0,IF(J890="Sold / Vendido",1,0))</f>
        <v>0</v>
      </c>
      <c r="U890" s="53" t="n">
        <f aca="true">IF(S890=1,IF(ISNUMBER(F890),TODAY()-F890,-1),-1)</f>
        <v>-1</v>
      </c>
      <c r="V890" s="53" t="n">
        <f aca="false">IF(U890&lt;0,IF(S890=1,5,0),IF(U890&lt;=30,1,IF(U890&lt;=60,2,IF(U890&lt;=90,3,4))))</f>
        <v>0</v>
      </c>
      <c r="W890" s="53" t="n">
        <f aca="false">IF(U890&lt;0,-1000000000000000,U890+ROW()/1000000)</f>
        <v>-1000000000000000</v>
      </c>
      <c r="X890" s="53" t="n">
        <f aca="false">IF(T890=1,IF(AND(ISNUMBER(F890),ISNUMBER(K890)),K890-F890,0),0)</f>
        <v>0</v>
      </c>
      <c r="Y890" s="53" t="n">
        <f aca="false">IF(T890=1,IF(AND(ISNUMBER(F890),ISNUMBER(K890)),1,0),0)</f>
        <v>0</v>
      </c>
      <c r="Z890" s="53" t="n">
        <f aca="false">IF(U890&gt;=Settings!$C$8,1,0)</f>
        <v>0</v>
      </c>
      <c r="AA890" s="53" t="n">
        <f aca="false">IF(S890=1,IF(J890="Listed / Publicado",0,1),0)</f>
        <v>0</v>
      </c>
      <c r="AB890" s="53" t="n">
        <f aca="false">IF(T890=1,IF(ISNUMBER(L890),L890-G890,0),0)</f>
        <v>0</v>
      </c>
      <c r="AC890" s="53" t="n">
        <f aca="false">IF(S890=1,IF(ISNUMBER(I890),I890-G890,0),0)</f>
        <v>0</v>
      </c>
    </row>
    <row r="891" customFormat="false" ht="15" hidden="false" customHeight="false" outlineLevel="0" collapsed="false">
      <c r="B891" s="54"/>
      <c r="C891" s="55"/>
      <c r="D891" s="55"/>
      <c r="E891" s="55"/>
      <c r="F891" s="56"/>
      <c r="G891" s="57"/>
      <c r="H891" s="55"/>
      <c r="I891" s="57"/>
      <c r="J891" s="54"/>
      <c r="K891" s="56"/>
      <c r="L891" s="57"/>
      <c r="M891" s="54"/>
      <c r="N891" s="58" t="str">
        <f aca="false">IF(S891=1,IF(U891&lt;0,"",U891),IF(Y891=1,X891,""))</f>
        <v/>
      </c>
      <c r="O891" s="59" t="str">
        <f aca="false">IF(S891=1,IF(ISNUMBER(I891),I891-G891,""),"")</f>
        <v/>
      </c>
      <c r="P891" s="59" t="str">
        <f aca="false">IF(T891=1,IF(ISNUMBER(L891),L891-G891,""),"")</f>
        <v/>
      </c>
      <c r="Q891" s="60" t="str">
        <f aca="false">IF(C891="","",IF(T891=1,"✔ SOLD / VENDIDO",IF(S891=0,"— CLOSED / CERRADO",IF(U891&lt;0,"⚠ ADD DATE / AGREGA FECHA",IF(U891&gt;=Settings!$C$8,"⚠ STALE – REPRICE / ESTANCADO",IF(U891&gt;=Settings!$C$7,"● WATCH / VIGILAR","✔ FRESH / RECIENTE"))))))</f>
        <v/>
      </c>
      <c r="S891" s="53" t="n">
        <f aca="false">IF(C891="",0,IF(OR(J891="",J891="In Stock / En Inventario",J891="Listed / Publicado"),1,0))</f>
        <v>0</v>
      </c>
      <c r="T891" s="53" t="n">
        <f aca="false">IF(C891="",0,IF(J891="Sold / Vendido",1,0))</f>
        <v>0</v>
      </c>
      <c r="U891" s="53" t="n">
        <f aca="true">IF(S891=1,IF(ISNUMBER(F891),TODAY()-F891,-1),-1)</f>
        <v>-1</v>
      </c>
      <c r="V891" s="53" t="n">
        <f aca="false">IF(U891&lt;0,IF(S891=1,5,0),IF(U891&lt;=30,1,IF(U891&lt;=60,2,IF(U891&lt;=90,3,4))))</f>
        <v>0</v>
      </c>
      <c r="W891" s="53" t="n">
        <f aca="false">IF(U891&lt;0,-1000000000000000,U891+ROW()/1000000)</f>
        <v>-1000000000000000</v>
      </c>
      <c r="X891" s="53" t="n">
        <f aca="false">IF(T891=1,IF(AND(ISNUMBER(F891),ISNUMBER(K891)),K891-F891,0),0)</f>
        <v>0</v>
      </c>
      <c r="Y891" s="53" t="n">
        <f aca="false">IF(T891=1,IF(AND(ISNUMBER(F891),ISNUMBER(K891)),1,0),0)</f>
        <v>0</v>
      </c>
      <c r="Z891" s="53" t="n">
        <f aca="false">IF(U891&gt;=Settings!$C$8,1,0)</f>
        <v>0</v>
      </c>
      <c r="AA891" s="53" t="n">
        <f aca="false">IF(S891=1,IF(J891="Listed / Publicado",0,1),0)</f>
        <v>0</v>
      </c>
      <c r="AB891" s="53" t="n">
        <f aca="false">IF(T891=1,IF(ISNUMBER(L891),L891-G891,0),0)</f>
        <v>0</v>
      </c>
      <c r="AC891" s="53" t="n">
        <f aca="false">IF(S891=1,IF(ISNUMBER(I891),I891-G891,0),0)</f>
        <v>0</v>
      </c>
    </row>
    <row r="892" customFormat="false" ht="15" hidden="false" customHeight="false" outlineLevel="0" collapsed="false">
      <c r="B892" s="54"/>
      <c r="C892" s="55"/>
      <c r="D892" s="55"/>
      <c r="E892" s="55"/>
      <c r="F892" s="56"/>
      <c r="G892" s="57"/>
      <c r="H892" s="55"/>
      <c r="I892" s="57"/>
      <c r="J892" s="54"/>
      <c r="K892" s="56"/>
      <c r="L892" s="57"/>
      <c r="M892" s="54"/>
      <c r="N892" s="58" t="str">
        <f aca="false">IF(S892=1,IF(U892&lt;0,"",U892),IF(Y892=1,X892,""))</f>
        <v/>
      </c>
      <c r="O892" s="59" t="str">
        <f aca="false">IF(S892=1,IF(ISNUMBER(I892),I892-G892,""),"")</f>
        <v/>
      </c>
      <c r="P892" s="59" t="str">
        <f aca="false">IF(T892=1,IF(ISNUMBER(L892),L892-G892,""),"")</f>
        <v/>
      </c>
      <c r="Q892" s="60" t="str">
        <f aca="false">IF(C892="","",IF(T892=1,"✔ SOLD / VENDIDO",IF(S892=0,"— CLOSED / CERRADO",IF(U892&lt;0,"⚠ ADD DATE / AGREGA FECHA",IF(U892&gt;=Settings!$C$8,"⚠ STALE – REPRICE / ESTANCADO",IF(U892&gt;=Settings!$C$7,"● WATCH / VIGILAR","✔ FRESH / RECIENTE"))))))</f>
        <v/>
      </c>
      <c r="S892" s="53" t="n">
        <f aca="false">IF(C892="",0,IF(OR(J892="",J892="In Stock / En Inventario",J892="Listed / Publicado"),1,0))</f>
        <v>0</v>
      </c>
      <c r="T892" s="53" t="n">
        <f aca="false">IF(C892="",0,IF(J892="Sold / Vendido",1,0))</f>
        <v>0</v>
      </c>
      <c r="U892" s="53" t="n">
        <f aca="true">IF(S892=1,IF(ISNUMBER(F892),TODAY()-F892,-1),-1)</f>
        <v>-1</v>
      </c>
      <c r="V892" s="53" t="n">
        <f aca="false">IF(U892&lt;0,IF(S892=1,5,0),IF(U892&lt;=30,1,IF(U892&lt;=60,2,IF(U892&lt;=90,3,4))))</f>
        <v>0</v>
      </c>
      <c r="W892" s="53" t="n">
        <f aca="false">IF(U892&lt;0,-1000000000000000,U892+ROW()/1000000)</f>
        <v>-1000000000000000</v>
      </c>
      <c r="X892" s="53" t="n">
        <f aca="false">IF(T892=1,IF(AND(ISNUMBER(F892),ISNUMBER(K892)),K892-F892,0),0)</f>
        <v>0</v>
      </c>
      <c r="Y892" s="53" t="n">
        <f aca="false">IF(T892=1,IF(AND(ISNUMBER(F892),ISNUMBER(K892)),1,0),0)</f>
        <v>0</v>
      </c>
      <c r="Z892" s="53" t="n">
        <f aca="false">IF(U892&gt;=Settings!$C$8,1,0)</f>
        <v>0</v>
      </c>
      <c r="AA892" s="53" t="n">
        <f aca="false">IF(S892=1,IF(J892="Listed / Publicado",0,1),0)</f>
        <v>0</v>
      </c>
      <c r="AB892" s="53" t="n">
        <f aca="false">IF(T892=1,IF(ISNUMBER(L892),L892-G892,0),0)</f>
        <v>0</v>
      </c>
      <c r="AC892" s="53" t="n">
        <f aca="false">IF(S892=1,IF(ISNUMBER(I892),I892-G892,0),0)</f>
        <v>0</v>
      </c>
    </row>
    <row r="893" customFormat="false" ht="15" hidden="false" customHeight="false" outlineLevel="0" collapsed="false">
      <c r="B893" s="54"/>
      <c r="C893" s="55"/>
      <c r="D893" s="55"/>
      <c r="E893" s="55"/>
      <c r="F893" s="56"/>
      <c r="G893" s="57"/>
      <c r="H893" s="55"/>
      <c r="I893" s="57"/>
      <c r="J893" s="54"/>
      <c r="K893" s="56"/>
      <c r="L893" s="57"/>
      <c r="M893" s="54"/>
      <c r="N893" s="58" t="str">
        <f aca="false">IF(S893=1,IF(U893&lt;0,"",U893),IF(Y893=1,X893,""))</f>
        <v/>
      </c>
      <c r="O893" s="59" t="str">
        <f aca="false">IF(S893=1,IF(ISNUMBER(I893),I893-G893,""),"")</f>
        <v/>
      </c>
      <c r="P893" s="59" t="str">
        <f aca="false">IF(T893=1,IF(ISNUMBER(L893),L893-G893,""),"")</f>
        <v/>
      </c>
      <c r="Q893" s="60" t="str">
        <f aca="false">IF(C893="","",IF(T893=1,"✔ SOLD / VENDIDO",IF(S893=0,"— CLOSED / CERRADO",IF(U893&lt;0,"⚠ ADD DATE / AGREGA FECHA",IF(U893&gt;=Settings!$C$8,"⚠ STALE – REPRICE / ESTANCADO",IF(U893&gt;=Settings!$C$7,"● WATCH / VIGILAR","✔ FRESH / RECIENTE"))))))</f>
        <v/>
      </c>
      <c r="S893" s="53" t="n">
        <f aca="false">IF(C893="",0,IF(OR(J893="",J893="In Stock / En Inventario",J893="Listed / Publicado"),1,0))</f>
        <v>0</v>
      </c>
      <c r="T893" s="53" t="n">
        <f aca="false">IF(C893="",0,IF(J893="Sold / Vendido",1,0))</f>
        <v>0</v>
      </c>
      <c r="U893" s="53" t="n">
        <f aca="true">IF(S893=1,IF(ISNUMBER(F893),TODAY()-F893,-1),-1)</f>
        <v>-1</v>
      </c>
      <c r="V893" s="53" t="n">
        <f aca="false">IF(U893&lt;0,IF(S893=1,5,0),IF(U893&lt;=30,1,IF(U893&lt;=60,2,IF(U893&lt;=90,3,4))))</f>
        <v>0</v>
      </c>
      <c r="W893" s="53" t="n">
        <f aca="false">IF(U893&lt;0,-1000000000000000,U893+ROW()/1000000)</f>
        <v>-1000000000000000</v>
      </c>
      <c r="X893" s="53" t="n">
        <f aca="false">IF(T893=1,IF(AND(ISNUMBER(F893),ISNUMBER(K893)),K893-F893,0),0)</f>
        <v>0</v>
      </c>
      <c r="Y893" s="53" t="n">
        <f aca="false">IF(T893=1,IF(AND(ISNUMBER(F893),ISNUMBER(K893)),1,0),0)</f>
        <v>0</v>
      </c>
      <c r="Z893" s="53" t="n">
        <f aca="false">IF(U893&gt;=Settings!$C$8,1,0)</f>
        <v>0</v>
      </c>
      <c r="AA893" s="53" t="n">
        <f aca="false">IF(S893=1,IF(J893="Listed / Publicado",0,1),0)</f>
        <v>0</v>
      </c>
      <c r="AB893" s="53" t="n">
        <f aca="false">IF(T893=1,IF(ISNUMBER(L893),L893-G893,0),0)</f>
        <v>0</v>
      </c>
      <c r="AC893" s="53" t="n">
        <f aca="false">IF(S893=1,IF(ISNUMBER(I893),I893-G893,0),0)</f>
        <v>0</v>
      </c>
    </row>
    <row r="894" customFormat="false" ht="15" hidden="false" customHeight="false" outlineLevel="0" collapsed="false">
      <c r="B894" s="54"/>
      <c r="C894" s="55"/>
      <c r="D894" s="55"/>
      <c r="E894" s="55"/>
      <c r="F894" s="56"/>
      <c r="G894" s="57"/>
      <c r="H894" s="55"/>
      <c r="I894" s="57"/>
      <c r="J894" s="54"/>
      <c r="K894" s="56"/>
      <c r="L894" s="57"/>
      <c r="M894" s="54"/>
      <c r="N894" s="58" t="str">
        <f aca="false">IF(S894=1,IF(U894&lt;0,"",U894),IF(Y894=1,X894,""))</f>
        <v/>
      </c>
      <c r="O894" s="59" t="str">
        <f aca="false">IF(S894=1,IF(ISNUMBER(I894),I894-G894,""),"")</f>
        <v/>
      </c>
      <c r="P894" s="59" t="str">
        <f aca="false">IF(T894=1,IF(ISNUMBER(L894),L894-G894,""),"")</f>
        <v/>
      </c>
      <c r="Q894" s="60" t="str">
        <f aca="false">IF(C894="","",IF(T894=1,"✔ SOLD / VENDIDO",IF(S894=0,"— CLOSED / CERRADO",IF(U894&lt;0,"⚠ ADD DATE / AGREGA FECHA",IF(U894&gt;=Settings!$C$8,"⚠ STALE – REPRICE / ESTANCADO",IF(U894&gt;=Settings!$C$7,"● WATCH / VIGILAR","✔ FRESH / RECIENTE"))))))</f>
        <v/>
      </c>
      <c r="S894" s="53" t="n">
        <f aca="false">IF(C894="",0,IF(OR(J894="",J894="In Stock / En Inventario",J894="Listed / Publicado"),1,0))</f>
        <v>0</v>
      </c>
      <c r="T894" s="53" t="n">
        <f aca="false">IF(C894="",0,IF(J894="Sold / Vendido",1,0))</f>
        <v>0</v>
      </c>
      <c r="U894" s="53" t="n">
        <f aca="true">IF(S894=1,IF(ISNUMBER(F894),TODAY()-F894,-1),-1)</f>
        <v>-1</v>
      </c>
      <c r="V894" s="53" t="n">
        <f aca="false">IF(U894&lt;0,IF(S894=1,5,0),IF(U894&lt;=30,1,IF(U894&lt;=60,2,IF(U894&lt;=90,3,4))))</f>
        <v>0</v>
      </c>
      <c r="W894" s="53" t="n">
        <f aca="false">IF(U894&lt;0,-1000000000000000,U894+ROW()/1000000)</f>
        <v>-1000000000000000</v>
      </c>
      <c r="X894" s="53" t="n">
        <f aca="false">IF(T894=1,IF(AND(ISNUMBER(F894),ISNUMBER(K894)),K894-F894,0),0)</f>
        <v>0</v>
      </c>
      <c r="Y894" s="53" t="n">
        <f aca="false">IF(T894=1,IF(AND(ISNUMBER(F894),ISNUMBER(K894)),1,0),0)</f>
        <v>0</v>
      </c>
      <c r="Z894" s="53" t="n">
        <f aca="false">IF(U894&gt;=Settings!$C$8,1,0)</f>
        <v>0</v>
      </c>
      <c r="AA894" s="53" t="n">
        <f aca="false">IF(S894=1,IF(J894="Listed / Publicado",0,1),0)</f>
        <v>0</v>
      </c>
      <c r="AB894" s="53" t="n">
        <f aca="false">IF(T894=1,IF(ISNUMBER(L894),L894-G894,0),0)</f>
        <v>0</v>
      </c>
      <c r="AC894" s="53" t="n">
        <f aca="false">IF(S894=1,IF(ISNUMBER(I894),I894-G894,0),0)</f>
        <v>0</v>
      </c>
    </row>
    <row r="895" customFormat="false" ht="15" hidden="false" customHeight="false" outlineLevel="0" collapsed="false">
      <c r="B895" s="54"/>
      <c r="C895" s="55"/>
      <c r="D895" s="55"/>
      <c r="E895" s="55"/>
      <c r="F895" s="56"/>
      <c r="G895" s="57"/>
      <c r="H895" s="55"/>
      <c r="I895" s="57"/>
      <c r="J895" s="54"/>
      <c r="K895" s="56"/>
      <c r="L895" s="57"/>
      <c r="M895" s="54"/>
      <c r="N895" s="58" t="str">
        <f aca="false">IF(S895=1,IF(U895&lt;0,"",U895),IF(Y895=1,X895,""))</f>
        <v/>
      </c>
      <c r="O895" s="59" t="str">
        <f aca="false">IF(S895=1,IF(ISNUMBER(I895),I895-G895,""),"")</f>
        <v/>
      </c>
      <c r="P895" s="59" t="str">
        <f aca="false">IF(T895=1,IF(ISNUMBER(L895),L895-G895,""),"")</f>
        <v/>
      </c>
      <c r="Q895" s="60" t="str">
        <f aca="false">IF(C895="","",IF(T895=1,"✔ SOLD / VENDIDO",IF(S895=0,"— CLOSED / CERRADO",IF(U895&lt;0,"⚠ ADD DATE / AGREGA FECHA",IF(U895&gt;=Settings!$C$8,"⚠ STALE – REPRICE / ESTANCADO",IF(U895&gt;=Settings!$C$7,"● WATCH / VIGILAR","✔ FRESH / RECIENTE"))))))</f>
        <v/>
      </c>
      <c r="S895" s="53" t="n">
        <f aca="false">IF(C895="",0,IF(OR(J895="",J895="In Stock / En Inventario",J895="Listed / Publicado"),1,0))</f>
        <v>0</v>
      </c>
      <c r="T895" s="53" t="n">
        <f aca="false">IF(C895="",0,IF(J895="Sold / Vendido",1,0))</f>
        <v>0</v>
      </c>
      <c r="U895" s="53" t="n">
        <f aca="true">IF(S895=1,IF(ISNUMBER(F895),TODAY()-F895,-1),-1)</f>
        <v>-1</v>
      </c>
      <c r="V895" s="53" t="n">
        <f aca="false">IF(U895&lt;0,IF(S895=1,5,0),IF(U895&lt;=30,1,IF(U895&lt;=60,2,IF(U895&lt;=90,3,4))))</f>
        <v>0</v>
      </c>
      <c r="W895" s="53" t="n">
        <f aca="false">IF(U895&lt;0,-1000000000000000,U895+ROW()/1000000)</f>
        <v>-1000000000000000</v>
      </c>
      <c r="X895" s="53" t="n">
        <f aca="false">IF(T895=1,IF(AND(ISNUMBER(F895),ISNUMBER(K895)),K895-F895,0),0)</f>
        <v>0</v>
      </c>
      <c r="Y895" s="53" t="n">
        <f aca="false">IF(T895=1,IF(AND(ISNUMBER(F895),ISNUMBER(K895)),1,0),0)</f>
        <v>0</v>
      </c>
      <c r="Z895" s="53" t="n">
        <f aca="false">IF(U895&gt;=Settings!$C$8,1,0)</f>
        <v>0</v>
      </c>
      <c r="AA895" s="53" t="n">
        <f aca="false">IF(S895=1,IF(J895="Listed / Publicado",0,1),0)</f>
        <v>0</v>
      </c>
      <c r="AB895" s="53" t="n">
        <f aca="false">IF(T895=1,IF(ISNUMBER(L895),L895-G895,0),0)</f>
        <v>0</v>
      </c>
      <c r="AC895" s="53" t="n">
        <f aca="false">IF(S895=1,IF(ISNUMBER(I895),I895-G895,0),0)</f>
        <v>0</v>
      </c>
    </row>
    <row r="896" customFormat="false" ht="15" hidden="false" customHeight="false" outlineLevel="0" collapsed="false">
      <c r="B896" s="54"/>
      <c r="C896" s="55"/>
      <c r="D896" s="55"/>
      <c r="E896" s="55"/>
      <c r="F896" s="56"/>
      <c r="G896" s="57"/>
      <c r="H896" s="55"/>
      <c r="I896" s="57"/>
      <c r="J896" s="54"/>
      <c r="K896" s="56"/>
      <c r="L896" s="57"/>
      <c r="M896" s="54"/>
      <c r="N896" s="58" t="str">
        <f aca="false">IF(S896=1,IF(U896&lt;0,"",U896),IF(Y896=1,X896,""))</f>
        <v/>
      </c>
      <c r="O896" s="59" t="str">
        <f aca="false">IF(S896=1,IF(ISNUMBER(I896),I896-G896,""),"")</f>
        <v/>
      </c>
      <c r="P896" s="59" t="str">
        <f aca="false">IF(T896=1,IF(ISNUMBER(L896),L896-G896,""),"")</f>
        <v/>
      </c>
      <c r="Q896" s="60" t="str">
        <f aca="false">IF(C896="","",IF(T896=1,"✔ SOLD / VENDIDO",IF(S896=0,"— CLOSED / CERRADO",IF(U896&lt;0,"⚠ ADD DATE / AGREGA FECHA",IF(U896&gt;=Settings!$C$8,"⚠ STALE – REPRICE / ESTANCADO",IF(U896&gt;=Settings!$C$7,"● WATCH / VIGILAR","✔ FRESH / RECIENTE"))))))</f>
        <v/>
      </c>
      <c r="S896" s="53" t="n">
        <f aca="false">IF(C896="",0,IF(OR(J896="",J896="In Stock / En Inventario",J896="Listed / Publicado"),1,0))</f>
        <v>0</v>
      </c>
      <c r="T896" s="53" t="n">
        <f aca="false">IF(C896="",0,IF(J896="Sold / Vendido",1,0))</f>
        <v>0</v>
      </c>
      <c r="U896" s="53" t="n">
        <f aca="true">IF(S896=1,IF(ISNUMBER(F896),TODAY()-F896,-1),-1)</f>
        <v>-1</v>
      </c>
      <c r="V896" s="53" t="n">
        <f aca="false">IF(U896&lt;0,IF(S896=1,5,0),IF(U896&lt;=30,1,IF(U896&lt;=60,2,IF(U896&lt;=90,3,4))))</f>
        <v>0</v>
      </c>
      <c r="W896" s="53" t="n">
        <f aca="false">IF(U896&lt;0,-1000000000000000,U896+ROW()/1000000)</f>
        <v>-1000000000000000</v>
      </c>
      <c r="X896" s="53" t="n">
        <f aca="false">IF(T896=1,IF(AND(ISNUMBER(F896),ISNUMBER(K896)),K896-F896,0),0)</f>
        <v>0</v>
      </c>
      <c r="Y896" s="53" t="n">
        <f aca="false">IF(T896=1,IF(AND(ISNUMBER(F896),ISNUMBER(K896)),1,0),0)</f>
        <v>0</v>
      </c>
      <c r="Z896" s="53" t="n">
        <f aca="false">IF(U896&gt;=Settings!$C$8,1,0)</f>
        <v>0</v>
      </c>
      <c r="AA896" s="53" t="n">
        <f aca="false">IF(S896=1,IF(J896="Listed / Publicado",0,1),0)</f>
        <v>0</v>
      </c>
      <c r="AB896" s="53" t="n">
        <f aca="false">IF(T896=1,IF(ISNUMBER(L896),L896-G896,0),0)</f>
        <v>0</v>
      </c>
      <c r="AC896" s="53" t="n">
        <f aca="false">IF(S896=1,IF(ISNUMBER(I896),I896-G896,0),0)</f>
        <v>0</v>
      </c>
    </row>
    <row r="897" customFormat="false" ht="15" hidden="false" customHeight="false" outlineLevel="0" collapsed="false">
      <c r="B897" s="54"/>
      <c r="C897" s="55"/>
      <c r="D897" s="55"/>
      <c r="E897" s="55"/>
      <c r="F897" s="56"/>
      <c r="G897" s="57"/>
      <c r="H897" s="55"/>
      <c r="I897" s="57"/>
      <c r="J897" s="54"/>
      <c r="K897" s="56"/>
      <c r="L897" s="57"/>
      <c r="M897" s="54"/>
      <c r="N897" s="58" t="str">
        <f aca="false">IF(S897=1,IF(U897&lt;0,"",U897),IF(Y897=1,X897,""))</f>
        <v/>
      </c>
      <c r="O897" s="59" t="str">
        <f aca="false">IF(S897=1,IF(ISNUMBER(I897),I897-G897,""),"")</f>
        <v/>
      </c>
      <c r="P897" s="59" t="str">
        <f aca="false">IF(T897=1,IF(ISNUMBER(L897),L897-G897,""),"")</f>
        <v/>
      </c>
      <c r="Q897" s="60" t="str">
        <f aca="false">IF(C897="","",IF(T897=1,"✔ SOLD / VENDIDO",IF(S897=0,"— CLOSED / CERRADO",IF(U897&lt;0,"⚠ ADD DATE / AGREGA FECHA",IF(U897&gt;=Settings!$C$8,"⚠ STALE – REPRICE / ESTANCADO",IF(U897&gt;=Settings!$C$7,"● WATCH / VIGILAR","✔ FRESH / RECIENTE"))))))</f>
        <v/>
      </c>
      <c r="S897" s="53" t="n">
        <f aca="false">IF(C897="",0,IF(OR(J897="",J897="In Stock / En Inventario",J897="Listed / Publicado"),1,0))</f>
        <v>0</v>
      </c>
      <c r="T897" s="53" t="n">
        <f aca="false">IF(C897="",0,IF(J897="Sold / Vendido",1,0))</f>
        <v>0</v>
      </c>
      <c r="U897" s="53" t="n">
        <f aca="true">IF(S897=1,IF(ISNUMBER(F897),TODAY()-F897,-1),-1)</f>
        <v>-1</v>
      </c>
      <c r="V897" s="53" t="n">
        <f aca="false">IF(U897&lt;0,IF(S897=1,5,0),IF(U897&lt;=30,1,IF(U897&lt;=60,2,IF(U897&lt;=90,3,4))))</f>
        <v>0</v>
      </c>
      <c r="W897" s="53" t="n">
        <f aca="false">IF(U897&lt;0,-1000000000000000,U897+ROW()/1000000)</f>
        <v>-1000000000000000</v>
      </c>
      <c r="X897" s="53" t="n">
        <f aca="false">IF(T897=1,IF(AND(ISNUMBER(F897),ISNUMBER(K897)),K897-F897,0),0)</f>
        <v>0</v>
      </c>
      <c r="Y897" s="53" t="n">
        <f aca="false">IF(T897=1,IF(AND(ISNUMBER(F897),ISNUMBER(K897)),1,0),0)</f>
        <v>0</v>
      </c>
      <c r="Z897" s="53" t="n">
        <f aca="false">IF(U897&gt;=Settings!$C$8,1,0)</f>
        <v>0</v>
      </c>
      <c r="AA897" s="53" t="n">
        <f aca="false">IF(S897=1,IF(J897="Listed / Publicado",0,1),0)</f>
        <v>0</v>
      </c>
      <c r="AB897" s="53" t="n">
        <f aca="false">IF(T897=1,IF(ISNUMBER(L897),L897-G897,0),0)</f>
        <v>0</v>
      </c>
      <c r="AC897" s="53" t="n">
        <f aca="false">IF(S897=1,IF(ISNUMBER(I897),I897-G897,0),0)</f>
        <v>0</v>
      </c>
    </row>
    <row r="898" customFormat="false" ht="15" hidden="false" customHeight="false" outlineLevel="0" collapsed="false">
      <c r="B898" s="54"/>
      <c r="C898" s="55"/>
      <c r="D898" s="55"/>
      <c r="E898" s="55"/>
      <c r="F898" s="56"/>
      <c r="G898" s="57"/>
      <c r="H898" s="55"/>
      <c r="I898" s="57"/>
      <c r="J898" s="54"/>
      <c r="K898" s="56"/>
      <c r="L898" s="57"/>
      <c r="M898" s="54"/>
      <c r="N898" s="58" t="str">
        <f aca="false">IF(S898=1,IF(U898&lt;0,"",U898),IF(Y898=1,X898,""))</f>
        <v/>
      </c>
      <c r="O898" s="59" t="str">
        <f aca="false">IF(S898=1,IF(ISNUMBER(I898),I898-G898,""),"")</f>
        <v/>
      </c>
      <c r="P898" s="59" t="str">
        <f aca="false">IF(T898=1,IF(ISNUMBER(L898),L898-G898,""),"")</f>
        <v/>
      </c>
      <c r="Q898" s="60" t="str">
        <f aca="false">IF(C898="","",IF(T898=1,"✔ SOLD / VENDIDO",IF(S898=0,"— CLOSED / CERRADO",IF(U898&lt;0,"⚠ ADD DATE / AGREGA FECHA",IF(U898&gt;=Settings!$C$8,"⚠ STALE – REPRICE / ESTANCADO",IF(U898&gt;=Settings!$C$7,"● WATCH / VIGILAR","✔ FRESH / RECIENTE"))))))</f>
        <v/>
      </c>
      <c r="S898" s="53" t="n">
        <f aca="false">IF(C898="",0,IF(OR(J898="",J898="In Stock / En Inventario",J898="Listed / Publicado"),1,0))</f>
        <v>0</v>
      </c>
      <c r="T898" s="53" t="n">
        <f aca="false">IF(C898="",0,IF(J898="Sold / Vendido",1,0))</f>
        <v>0</v>
      </c>
      <c r="U898" s="53" t="n">
        <f aca="true">IF(S898=1,IF(ISNUMBER(F898),TODAY()-F898,-1),-1)</f>
        <v>-1</v>
      </c>
      <c r="V898" s="53" t="n">
        <f aca="false">IF(U898&lt;0,IF(S898=1,5,0),IF(U898&lt;=30,1,IF(U898&lt;=60,2,IF(U898&lt;=90,3,4))))</f>
        <v>0</v>
      </c>
      <c r="W898" s="53" t="n">
        <f aca="false">IF(U898&lt;0,-1000000000000000,U898+ROW()/1000000)</f>
        <v>-1000000000000000</v>
      </c>
      <c r="X898" s="53" t="n">
        <f aca="false">IF(T898=1,IF(AND(ISNUMBER(F898),ISNUMBER(K898)),K898-F898,0),0)</f>
        <v>0</v>
      </c>
      <c r="Y898" s="53" t="n">
        <f aca="false">IF(T898=1,IF(AND(ISNUMBER(F898),ISNUMBER(K898)),1,0),0)</f>
        <v>0</v>
      </c>
      <c r="Z898" s="53" t="n">
        <f aca="false">IF(U898&gt;=Settings!$C$8,1,0)</f>
        <v>0</v>
      </c>
      <c r="AA898" s="53" t="n">
        <f aca="false">IF(S898=1,IF(J898="Listed / Publicado",0,1),0)</f>
        <v>0</v>
      </c>
      <c r="AB898" s="53" t="n">
        <f aca="false">IF(T898=1,IF(ISNUMBER(L898),L898-G898,0),0)</f>
        <v>0</v>
      </c>
      <c r="AC898" s="53" t="n">
        <f aca="false">IF(S898=1,IF(ISNUMBER(I898),I898-G898,0),0)</f>
        <v>0</v>
      </c>
    </row>
    <row r="899" customFormat="false" ht="15" hidden="false" customHeight="false" outlineLevel="0" collapsed="false">
      <c r="B899" s="54"/>
      <c r="C899" s="55"/>
      <c r="D899" s="55"/>
      <c r="E899" s="55"/>
      <c r="F899" s="56"/>
      <c r="G899" s="57"/>
      <c r="H899" s="55"/>
      <c r="I899" s="57"/>
      <c r="J899" s="54"/>
      <c r="K899" s="56"/>
      <c r="L899" s="57"/>
      <c r="M899" s="54"/>
      <c r="N899" s="58" t="str">
        <f aca="false">IF(S899=1,IF(U899&lt;0,"",U899),IF(Y899=1,X899,""))</f>
        <v/>
      </c>
      <c r="O899" s="59" t="str">
        <f aca="false">IF(S899=1,IF(ISNUMBER(I899),I899-G899,""),"")</f>
        <v/>
      </c>
      <c r="P899" s="59" t="str">
        <f aca="false">IF(T899=1,IF(ISNUMBER(L899),L899-G899,""),"")</f>
        <v/>
      </c>
      <c r="Q899" s="60" t="str">
        <f aca="false">IF(C899="","",IF(T899=1,"✔ SOLD / VENDIDO",IF(S899=0,"— CLOSED / CERRADO",IF(U899&lt;0,"⚠ ADD DATE / AGREGA FECHA",IF(U899&gt;=Settings!$C$8,"⚠ STALE – REPRICE / ESTANCADO",IF(U899&gt;=Settings!$C$7,"● WATCH / VIGILAR","✔ FRESH / RECIENTE"))))))</f>
        <v/>
      </c>
      <c r="S899" s="53" t="n">
        <f aca="false">IF(C899="",0,IF(OR(J899="",J899="In Stock / En Inventario",J899="Listed / Publicado"),1,0))</f>
        <v>0</v>
      </c>
      <c r="T899" s="53" t="n">
        <f aca="false">IF(C899="",0,IF(J899="Sold / Vendido",1,0))</f>
        <v>0</v>
      </c>
      <c r="U899" s="53" t="n">
        <f aca="true">IF(S899=1,IF(ISNUMBER(F899),TODAY()-F899,-1),-1)</f>
        <v>-1</v>
      </c>
      <c r="V899" s="53" t="n">
        <f aca="false">IF(U899&lt;0,IF(S899=1,5,0),IF(U899&lt;=30,1,IF(U899&lt;=60,2,IF(U899&lt;=90,3,4))))</f>
        <v>0</v>
      </c>
      <c r="W899" s="53" t="n">
        <f aca="false">IF(U899&lt;0,-1000000000000000,U899+ROW()/1000000)</f>
        <v>-1000000000000000</v>
      </c>
      <c r="X899" s="53" t="n">
        <f aca="false">IF(T899=1,IF(AND(ISNUMBER(F899),ISNUMBER(K899)),K899-F899,0),0)</f>
        <v>0</v>
      </c>
      <c r="Y899" s="53" t="n">
        <f aca="false">IF(T899=1,IF(AND(ISNUMBER(F899),ISNUMBER(K899)),1,0),0)</f>
        <v>0</v>
      </c>
      <c r="Z899" s="53" t="n">
        <f aca="false">IF(U899&gt;=Settings!$C$8,1,0)</f>
        <v>0</v>
      </c>
      <c r="AA899" s="53" t="n">
        <f aca="false">IF(S899=1,IF(J899="Listed / Publicado",0,1),0)</f>
        <v>0</v>
      </c>
      <c r="AB899" s="53" t="n">
        <f aca="false">IF(T899=1,IF(ISNUMBER(L899),L899-G899,0),0)</f>
        <v>0</v>
      </c>
      <c r="AC899" s="53" t="n">
        <f aca="false">IF(S899=1,IF(ISNUMBER(I899),I899-G899,0),0)</f>
        <v>0</v>
      </c>
    </row>
    <row r="900" customFormat="false" ht="15" hidden="false" customHeight="false" outlineLevel="0" collapsed="false">
      <c r="B900" s="54"/>
      <c r="C900" s="55"/>
      <c r="D900" s="55"/>
      <c r="E900" s="55"/>
      <c r="F900" s="56"/>
      <c r="G900" s="57"/>
      <c r="H900" s="55"/>
      <c r="I900" s="57"/>
      <c r="J900" s="54"/>
      <c r="K900" s="56"/>
      <c r="L900" s="57"/>
      <c r="M900" s="54"/>
      <c r="N900" s="58" t="str">
        <f aca="false">IF(S900=1,IF(U900&lt;0,"",U900),IF(Y900=1,X900,""))</f>
        <v/>
      </c>
      <c r="O900" s="59" t="str">
        <f aca="false">IF(S900=1,IF(ISNUMBER(I900),I900-G900,""),"")</f>
        <v/>
      </c>
      <c r="P900" s="59" t="str">
        <f aca="false">IF(T900=1,IF(ISNUMBER(L900),L900-G900,""),"")</f>
        <v/>
      </c>
      <c r="Q900" s="60" t="str">
        <f aca="false">IF(C900="","",IF(T900=1,"✔ SOLD / VENDIDO",IF(S900=0,"— CLOSED / CERRADO",IF(U900&lt;0,"⚠ ADD DATE / AGREGA FECHA",IF(U900&gt;=Settings!$C$8,"⚠ STALE – REPRICE / ESTANCADO",IF(U900&gt;=Settings!$C$7,"● WATCH / VIGILAR","✔ FRESH / RECIENTE"))))))</f>
        <v/>
      </c>
      <c r="S900" s="53" t="n">
        <f aca="false">IF(C900="",0,IF(OR(J900="",J900="In Stock / En Inventario",J900="Listed / Publicado"),1,0))</f>
        <v>0</v>
      </c>
      <c r="T900" s="53" t="n">
        <f aca="false">IF(C900="",0,IF(J900="Sold / Vendido",1,0))</f>
        <v>0</v>
      </c>
      <c r="U900" s="53" t="n">
        <f aca="true">IF(S900=1,IF(ISNUMBER(F900),TODAY()-F900,-1),-1)</f>
        <v>-1</v>
      </c>
      <c r="V900" s="53" t="n">
        <f aca="false">IF(U900&lt;0,IF(S900=1,5,0),IF(U900&lt;=30,1,IF(U900&lt;=60,2,IF(U900&lt;=90,3,4))))</f>
        <v>0</v>
      </c>
      <c r="W900" s="53" t="n">
        <f aca="false">IF(U900&lt;0,-1000000000000000,U900+ROW()/1000000)</f>
        <v>-1000000000000000</v>
      </c>
      <c r="X900" s="53" t="n">
        <f aca="false">IF(T900=1,IF(AND(ISNUMBER(F900),ISNUMBER(K900)),K900-F900,0),0)</f>
        <v>0</v>
      </c>
      <c r="Y900" s="53" t="n">
        <f aca="false">IF(T900=1,IF(AND(ISNUMBER(F900),ISNUMBER(K900)),1,0),0)</f>
        <v>0</v>
      </c>
      <c r="Z900" s="53" t="n">
        <f aca="false">IF(U900&gt;=Settings!$C$8,1,0)</f>
        <v>0</v>
      </c>
      <c r="AA900" s="53" t="n">
        <f aca="false">IF(S900=1,IF(J900="Listed / Publicado",0,1),0)</f>
        <v>0</v>
      </c>
      <c r="AB900" s="53" t="n">
        <f aca="false">IF(T900=1,IF(ISNUMBER(L900),L900-G900,0),0)</f>
        <v>0</v>
      </c>
      <c r="AC900" s="53" t="n">
        <f aca="false">IF(S900=1,IF(ISNUMBER(I900),I900-G900,0),0)</f>
        <v>0</v>
      </c>
    </row>
    <row r="901" customFormat="false" ht="15" hidden="false" customHeight="false" outlineLevel="0" collapsed="false">
      <c r="B901" s="54"/>
      <c r="C901" s="55"/>
      <c r="D901" s="55"/>
      <c r="E901" s="55"/>
      <c r="F901" s="56"/>
      <c r="G901" s="57"/>
      <c r="H901" s="55"/>
      <c r="I901" s="57"/>
      <c r="J901" s="54"/>
      <c r="K901" s="56"/>
      <c r="L901" s="57"/>
      <c r="M901" s="54"/>
      <c r="N901" s="58" t="str">
        <f aca="false">IF(S901=1,IF(U901&lt;0,"",U901),IF(Y901=1,X901,""))</f>
        <v/>
      </c>
      <c r="O901" s="59" t="str">
        <f aca="false">IF(S901=1,IF(ISNUMBER(I901),I901-G901,""),"")</f>
        <v/>
      </c>
      <c r="P901" s="59" t="str">
        <f aca="false">IF(T901=1,IF(ISNUMBER(L901),L901-G901,""),"")</f>
        <v/>
      </c>
      <c r="Q901" s="60" t="str">
        <f aca="false">IF(C901="","",IF(T901=1,"✔ SOLD / VENDIDO",IF(S901=0,"— CLOSED / CERRADO",IF(U901&lt;0,"⚠ ADD DATE / AGREGA FECHA",IF(U901&gt;=Settings!$C$8,"⚠ STALE – REPRICE / ESTANCADO",IF(U901&gt;=Settings!$C$7,"● WATCH / VIGILAR","✔ FRESH / RECIENTE"))))))</f>
        <v/>
      </c>
      <c r="S901" s="53" t="n">
        <f aca="false">IF(C901="",0,IF(OR(J901="",J901="In Stock / En Inventario",J901="Listed / Publicado"),1,0))</f>
        <v>0</v>
      </c>
      <c r="T901" s="53" t="n">
        <f aca="false">IF(C901="",0,IF(J901="Sold / Vendido",1,0))</f>
        <v>0</v>
      </c>
      <c r="U901" s="53" t="n">
        <f aca="true">IF(S901=1,IF(ISNUMBER(F901),TODAY()-F901,-1),-1)</f>
        <v>-1</v>
      </c>
      <c r="V901" s="53" t="n">
        <f aca="false">IF(U901&lt;0,IF(S901=1,5,0),IF(U901&lt;=30,1,IF(U901&lt;=60,2,IF(U901&lt;=90,3,4))))</f>
        <v>0</v>
      </c>
      <c r="W901" s="53" t="n">
        <f aca="false">IF(U901&lt;0,-1000000000000000,U901+ROW()/1000000)</f>
        <v>-1000000000000000</v>
      </c>
      <c r="X901" s="53" t="n">
        <f aca="false">IF(T901=1,IF(AND(ISNUMBER(F901),ISNUMBER(K901)),K901-F901,0),0)</f>
        <v>0</v>
      </c>
      <c r="Y901" s="53" t="n">
        <f aca="false">IF(T901=1,IF(AND(ISNUMBER(F901),ISNUMBER(K901)),1,0),0)</f>
        <v>0</v>
      </c>
      <c r="Z901" s="53" t="n">
        <f aca="false">IF(U901&gt;=Settings!$C$8,1,0)</f>
        <v>0</v>
      </c>
      <c r="AA901" s="53" t="n">
        <f aca="false">IF(S901=1,IF(J901="Listed / Publicado",0,1),0)</f>
        <v>0</v>
      </c>
      <c r="AB901" s="53" t="n">
        <f aca="false">IF(T901=1,IF(ISNUMBER(L901),L901-G901,0),0)</f>
        <v>0</v>
      </c>
      <c r="AC901" s="53" t="n">
        <f aca="false">IF(S901=1,IF(ISNUMBER(I901),I901-G901,0),0)</f>
        <v>0</v>
      </c>
    </row>
    <row r="902" customFormat="false" ht="15" hidden="false" customHeight="false" outlineLevel="0" collapsed="false">
      <c r="B902" s="54"/>
      <c r="C902" s="55"/>
      <c r="D902" s="55"/>
      <c r="E902" s="55"/>
      <c r="F902" s="56"/>
      <c r="G902" s="57"/>
      <c r="H902" s="55"/>
      <c r="I902" s="57"/>
      <c r="J902" s="54"/>
      <c r="K902" s="56"/>
      <c r="L902" s="57"/>
      <c r="M902" s="54"/>
      <c r="N902" s="58" t="str">
        <f aca="false">IF(S902=1,IF(U902&lt;0,"",U902),IF(Y902=1,X902,""))</f>
        <v/>
      </c>
      <c r="O902" s="59" t="str">
        <f aca="false">IF(S902=1,IF(ISNUMBER(I902),I902-G902,""),"")</f>
        <v/>
      </c>
      <c r="P902" s="59" t="str">
        <f aca="false">IF(T902=1,IF(ISNUMBER(L902),L902-G902,""),"")</f>
        <v/>
      </c>
      <c r="Q902" s="60" t="str">
        <f aca="false">IF(C902="","",IF(T902=1,"✔ SOLD / VENDIDO",IF(S902=0,"— CLOSED / CERRADO",IF(U902&lt;0,"⚠ ADD DATE / AGREGA FECHA",IF(U902&gt;=Settings!$C$8,"⚠ STALE – REPRICE / ESTANCADO",IF(U902&gt;=Settings!$C$7,"● WATCH / VIGILAR","✔ FRESH / RECIENTE"))))))</f>
        <v/>
      </c>
      <c r="S902" s="53" t="n">
        <f aca="false">IF(C902="",0,IF(OR(J902="",J902="In Stock / En Inventario",J902="Listed / Publicado"),1,0))</f>
        <v>0</v>
      </c>
      <c r="T902" s="53" t="n">
        <f aca="false">IF(C902="",0,IF(J902="Sold / Vendido",1,0))</f>
        <v>0</v>
      </c>
      <c r="U902" s="53" t="n">
        <f aca="true">IF(S902=1,IF(ISNUMBER(F902),TODAY()-F902,-1),-1)</f>
        <v>-1</v>
      </c>
      <c r="V902" s="53" t="n">
        <f aca="false">IF(U902&lt;0,IF(S902=1,5,0),IF(U902&lt;=30,1,IF(U902&lt;=60,2,IF(U902&lt;=90,3,4))))</f>
        <v>0</v>
      </c>
      <c r="W902" s="53" t="n">
        <f aca="false">IF(U902&lt;0,-1000000000000000,U902+ROW()/1000000)</f>
        <v>-1000000000000000</v>
      </c>
      <c r="X902" s="53" t="n">
        <f aca="false">IF(T902=1,IF(AND(ISNUMBER(F902),ISNUMBER(K902)),K902-F902,0),0)</f>
        <v>0</v>
      </c>
      <c r="Y902" s="53" t="n">
        <f aca="false">IF(T902=1,IF(AND(ISNUMBER(F902),ISNUMBER(K902)),1,0),0)</f>
        <v>0</v>
      </c>
      <c r="Z902" s="53" t="n">
        <f aca="false">IF(U902&gt;=Settings!$C$8,1,0)</f>
        <v>0</v>
      </c>
      <c r="AA902" s="53" t="n">
        <f aca="false">IF(S902=1,IF(J902="Listed / Publicado",0,1),0)</f>
        <v>0</v>
      </c>
      <c r="AB902" s="53" t="n">
        <f aca="false">IF(T902=1,IF(ISNUMBER(L902),L902-G902,0),0)</f>
        <v>0</v>
      </c>
      <c r="AC902" s="53" t="n">
        <f aca="false">IF(S902=1,IF(ISNUMBER(I902),I902-G902,0),0)</f>
        <v>0</v>
      </c>
    </row>
    <row r="903" customFormat="false" ht="15" hidden="false" customHeight="false" outlineLevel="0" collapsed="false">
      <c r="B903" s="54"/>
      <c r="C903" s="55"/>
      <c r="D903" s="55"/>
      <c r="E903" s="55"/>
      <c r="F903" s="56"/>
      <c r="G903" s="57"/>
      <c r="H903" s="55"/>
      <c r="I903" s="57"/>
      <c r="J903" s="54"/>
      <c r="K903" s="56"/>
      <c r="L903" s="57"/>
      <c r="M903" s="54"/>
      <c r="N903" s="58" t="str">
        <f aca="false">IF(S903=1,IF(U903&lt;0,"",U903),IF(Y903=1,X903,""))</f>
        <v/>
      </c>
      <c r="O903" s="59" t="str">
        <f aca="false">IF(S903=1,IF(ISNUMBER(I903),I903-G903,""),"")</f>
        <v/>
      </c>
      <c r="P903" s="59" t="str">
        <f aca="false">IF(T903=1,IF(ISNUMBER(L903),L903-G903,""),"")</f>
        <v/>
      </c>
      <c r="Q903" s="60" t="str">
        <f aca="false">IF(C903="","",IF(T903=1,"✔ SOLD / VENDIDO",IF(S903=0,"— CLOSED / CERRADO",IF(U903&lt;0,"⚠ ADD DATE / AGREGA FECHA",IF(U903&gt;=Settings!$C$8,"⚠ STALE – REPRICE / ESTANCADO",IF(U903&gt;=Settings!$C$7,"● WATCH / VIGILAR","✔ FRESH / RECIENTE"))))))</f>
        <v/>
      </c>
      <c r="S903" s="53" t="n">
        <f aca="false">IF(C903="",0,IF(OR(J903="",J903="In Stock / En Inventario",J903="Listed / Publicado"),1,0))</f>
        <v>0</v>
      </c>
      <c r="T903" s="53" t="n">
        <f aca="false">IF(C903="",0,IF(J903="Sold / Vendido",1,0))</f>
        <v>0</v>
      </c>
      <c r="U903" s="53" t="n">
        <f aca="true">IF(S903=1,IF(ISNUMBER(F903),TODAY()-F903,-1),-1)</f>
        <v>-1</v>
      </c>
      <c r="V903" s="53" t="n">
        <f aca="false">IF(U903&lt;0,IF(S903=1,5,0),IF(U903&lt;=30,1,IF(U903&lt;=60,2,IF(U903&lt;=90,3,4))))</f>
        <v>0</v>
      </c>
      <c r="W903" s="53" t="n">
        <f aca="false">IF(U903&lt;0,-1000000000000000,U903+ROW()/1000000)</f>
        <v>-1000000000000000</v>
      </c>
      <c r="X903" s="53" t="n">
        <f aca="false">IF(T903=1,IF(AND(ISNUMBER(F903),ISNUMBER(K903)),K903-F903,0),0)</f>
        <v>0</v>
      </c>
      <c r="Y903" s="53" t="n">
        <f aca="false">IF(T903=1,IF(AND(ISNUMBER(F903),ISNUMBER(K903)),1,0),0)</f>
        <v>0</v>
      </c>
      <c r="Z903" s="53" t="n">
        <f aca="false">IF(U903&gt;=Settings!$C$8,1,0)</f>
        <v>0</v>
      </c>
      <c r="AA903" s="53" t="n">
        <f aca="false">IF(S903=1,IF(J903="Listed / Publicado",0,1),0)</f>
        <v>0</v>
      </c>
      <c r="AB903" s="53" t="n">
        <f aca="false">IF(T903=1,IF(ISNUMBER(L903),L903-G903,0),0)</f>
        <v>0</v>
      </c>
      <c r="AC903" s="53" t="n">
        <f aca="false">IF(S903=1,IF(ISNUMBER(I903),I903-G903,0),0)</f>
        <v>0</v>
      </c>
    </row>
    <row r="904" customFormat="false" ht="15" hidden="false" customHeight="false" outlineLevel="0" collapsed="false">
      <c r="B904" s="54"/>
      <c r="C904" s="55"/>
      <c r="D904" s="55"/>
      <c r="E904" s="55"/>
      <c r="F904" s="56"/>
      <c r="G904" s="57"/>
      <c r="H904" s="55"/>
      <c r="I904" s="57"/>
      <c r="J904" s="54"/>
      <c r="K904" s="56"/>
      <c r="L904" s="57"/>
      <c r="M904" s="54"/>
      <c r="N904" s="58" t="str">
        <f aca="false">IF(S904=1,IF(U904&lt;0,"",U904),IF(Y904=1,X904,""))</f>
        <v/>
      </c>
      <c r="O904" s="59" t="str">
        <f aca="false">IF(S904=1,IF(ISNUMBER(I904),I904-G904,""),"")</f>
        <v/>
      </c>
      <c r="P904" s="59" t="str">
        <f aca="false">IF(T904=1,IF(ISNUMBER(L904),L904-G904,""),"")</f>
        <v/>
      </c>
      <c r="Q904" s="60" t="str">
        <f aca="false">IF(C904="","",IF(T904=1,"✔ SOLD / VENDIDO",IF(S904=0,"— CLOSED / CERRADO",IF(U904&lt;0,"⚠ ADD DATE / AGREGA FECHA",IF(U904&gt;=Settings!$C$8,"⚠ STALE – REPRICE / ESTANCADO",IF(U904&gt;=Settings!$C$7,"● WATCH / VIGILAR","✔ FRESH / RECIENTE"))))))</f>
        <v/>
      </c>
      <c r="S904" s="53" t="n">
        <f aca="false">IF(C904="",0,IF(OR(J904="",J904="In Stock / En Inventario",J904="Listed / Publicado"),1,0))</f>
        <v>0</v>
      </c>
      <c r="T904" s="53" t="n">
        <f aca="false">IF(C904="",0,IF(J904="Sold / Vendido",1,0))</f>
        <v>0</v>
      </c>
      <c r="U904" s="53" t="n">
        <f aca="true">IF(S904=1,IF(ISNUMBER(F904),TODAY()-F904,-1),-1)</f>
        <v>-1</v>
      </c>
      <c r="V904" s="53" t="n">
        <f aca="false">IF(U904&lt;0,IF(S904=1,5,0),IF(U904&lt;=30,1,IF(U904&lt;=60,2,IF(U904&lt;=90,3,4))))</f>
        <v>0</v>
      </c>
      <c r="W904" s="53" t="n">
        <f aca="false">IF(U904&lt;0,-1000000000000000,U904+ROW()/1000000)</f>
        <v>-1000000000000000</v>
      </c>
      <c r="X904" s="53" t="n">
        <f aca="false">IF(T904=1,IF(AND(ISNUMBER(F904),ISNUMBER(K904)),K904-F904,0),0)</f>
        <v>0</v>
      </c>
      <c r="Y904" s="53" t="n">
        <f aca="false">IF(T904=1,IF(AND(ISNUMBER(F904),ISNUMBER(K904)),1,0),0)</f>
        <v>0</v>
      </c>
      <c r="Z904" s="53" t="n">
        <f aca="false">IF(U904&gt;=Settings!$C$8,1,0)</f>
        <v>0</v>
      </c>
      <c r="AA904" s="53" t="n">
        <f aca="false">IF(S904=1,IF(J904="Listed / Publicado",0,1),0)</f>
        <v>0</v>
      </c>
      <c r="AB904" s="53" t="n">
        <f aca="false">IF(T904=1,IF(ISNUMBER(L904),L904-G904,0),0)</f>
        <v>0</v>
      </c>
      <c r="AC904" s="53" t="n">
        <f aca="false">IF(S904=1,IF(ISNUMBER(I904),I904-G904,0),0)</f>
        <v>0</v>
      </c>
    </row>
    <row r="905" customFormat="false" ht="15" hidden="false" customHeight="false" outlineLevel="0" collapsed="false">
      <c r="B905" s="54"/>
      <c r="C905" s="55"/>
      <c r="D905" s="55"/>
      <c r="E905" s="55"/>
      <c r="F905" s="56"/>
      <c r="G905" s="57"/>
      <c r="H905" s="55"/>
      <c r="I905" s="57"/>
      <c r="J905" s="54"/>
      <c r="K905" s="56"/>
      <c r="L905" s="57"/>
      <c r="M905" s="54"/>
      <c r="N905" s="58" t="str">
        <f aca="false">IF(S905=1,IF(U905&lt;0,"",U905),IF(Y905=1,X905,""))</f>
        <v/>
      </c>
      <c r="O905" s="59" t="str">
        <f aca="false">IF(S905=1,IF(ISNUMBER(I905),I905-G905,""),"")</f>
        <v/>
      </c>
      <c r="P905" s="59" t="str">
        <f aca="false">IF(T905=1,IF(ISNUMBER(L905),L905-G905,""),"")</f>
        <v/>
      </c>
      <c r="Q905" s="60" t="str">
        <f aca="false">IF(C905="","",IF(T905=1,"✔ SOLD / VENDIDO",IF(S905=0,"— CLOSED / CERRADO",IF(U905&lt;0,"⚠ ADD DATE / AGREGA FECHA",IF(U905&gt;=Settings!$C$8,"⚠ STALE – REPRICE / ESTANCADO",IF(U905&gt;=Settings!$C$7,"● WATCH / VIGILAR","✔ FRESH / RECIENTE"))))))</f>
        <v/>
      </c>
      <c r="S905" s="53" t="n">
        <f aca="false">IF(C905="",0,IF(OR(J905="",J905="In Stock / En Inventario",J905="Listed / Publicado"),1,0))</f>
        <v>0</v>
      </c>
      <c r="T905" s="53" t="n">
        <f aca="false">IF(C905="",0,IF(J905="Sold / Vendido",1,0))</f>
        <v>0</v>
      </c>
      <c r="U905" s="53" t="n">
        <f aca="true">IF(S905=1,IF(ISNUMBER(F905),TODAY()-F905,-1),-1)</f>
        <v>-1</v>
      </c>
      <c r="V905" s="53" t="n">
        <f aca="false">IF(U905&lt;0,IF(S905=1,5,0),IF(U905&lt;=30,1,IF(U905&lt;=60,2,IF(U905&lt;=90,3,4))))</f>
        <v>0</v>
      </c>
      <c r="W905" s="53" t="n">
        <f aca="false">IF(U905&lt;0,-1000000000000000,U905+ROW()/1000000)</f>
        <v>-1000000000000000</v>
      </c>
      <c r="X905" s="53" t="n">
        <f aca="false">IF(T905=1,IF(AND(ISNUMBER(F905),ISNUMBER(K905)),K905-F905,0),0)</f>
        <v>0</v>
      </c>
      <c r="Y905" s="53" t="n">
        <f aca="false">IF(T905=1,IF(AND(ISNUMBER(F905),ISNUMBER(K905)),1,0),0)</f>
        <v>0</v>
      </c>
      <c r="Z905" s="53" t="n">
        <f aca="false">IF(U905&gt;=Settings!$C$8,1,0)</f>
        <v>0</v>
      </c>
      <c r="AA905" s="53" t="n">
        <f aca="false">IF(S905=1,IF(J905="Listed / Publicado",0,1),0)</f>
        <v>0</v>
      </c>
      <c r="AB905" s="53" t="n">
        <f aca="false">IF(T905=1,IF(ISNUMBER(L905),L905-G905,0),0)</f>
        <v>0</v>
      </c>
      <c r="AC905" s="53" t="n">
        <f aca="false">IF(S905=1,IF(ISNUMBER(I905),I905-G905,0),0)</f>
        <v>0</v>
      </c>
    </row>
    <row r="906" customFormat="false" ht="15" hidden="false" customHeight="false" outlineLevel="0" collapsed="false">
      <c r="B906" s="54"/>
      <c r="C906" s="55"/>
      <c r="D906" s="55"/>
      <c r="E906" s="55"/>
      <c r="F906" s="56"/>
      <c r="G906" s="57"/>
      <c r="H906" s="55"/>
      <c r="I906" s="57"/>
      <c r="J906" s="54"/>
      <c r="K906" s="56"/>
      <c r="L906" s="57"/>
      <c r="M906" s="54"/>
      <c r="N906" s="58" t="str">
        <f aca="false">IF(S906=1,IF(U906&lt;0,"",U906),IF(Y906=1,X906,""))</f>
        <v/>
      </c>
      <c r="O906" s="59" t="str">
        <f aca="false">IF(S906=1,IF(ISNUMBER(I906),I906-G906,""),"")</f>
        <v/>
      </c>
      <c r="P906" s="59" t="str">
        <f aca="false">IF(T906=1,IF(ISNUMBER(L906),L906-G906,""),"")</f>
        <v/>
      </c>
      <c r="Q906" s="60" t="str">
        <f aca="false">IF(C906="","",IF(T906=1,"✔ SOLD / VENDIDO",IF(S906=0,"— CLOSED / CERRADO",IF(U906&lt;0,"⚠ ADD DATE / AGREGA FECHA",IF(U906&gt;=Settings!$C$8,"⚠ STALE – REPRICE / ESTANCADO",IF(U906&gt;=Settings!$C$7,"● WATCH / VIGILAR","✔ FRESH / RECIENTE"))))))</f>
        <v/>
      </c>
      <c r="S906" s="53" t="n">
        <f aca="false">IF(C906="",0,IF(OR(J906="",J906="In Stock / En Inventario",J906="Listed / Publicado"),1,0))</f>
        <v>0</v>
      </c>
      <c r="T906" s="53" t="n">
        <f aca="false">IF(C906="",0,IF(J906="Sold / Vendido",1,0))</f>
        <v>0</v>
      </c>
      <c r="U906" s="53" t="n">
        <f aca="true">IF(S906=1,IF(ISNUMBER(F906),TODAY()-F906,-1),-1)</f>
        <v>-1</v>
      </c>
      <c r="V906" s="53" t="n">
        <f aca="false">IF(U906&lt;0,IF(S906=1,5,0),IF(U906&lt;=30,1,IF(U906&lt;=60,2,IF(U906&lt;=90,3,4))))</f>
        <v>0</v>
      </c>
      <c r="W906" s="53" t="n">
        <f aca="false">IF(U906&lt;0,-1000000000000000,U906+ROW()/1000000)</f>
        <v>-1000000000000000</v>
      </c>
      <c r="X906" s="53" t="n">
        <f aca="false">IF(T906=1,IF(AND(ISNUMBER(F906),ISNUMBER(K906)),K906-F906,0),0)</f>
        <v>0</v>
      </c>
      <c r="Y906" s="53" t="n">
        <f aca="false">IF(T906=1,IF(AND(ISNUMBER(F906),ISNUMBER(K906)),1,0),0)</f>
        <v>0</v>
      </c>
      <c r="Z906" s="53" t="n">
        <f aca="false">IF(U906&gt;=Settings!$C$8,1,0)</f>
        <v>0</v>
      </c>
      <c r="AA906" s="53" t="n">
        <f aca="false">IF(S906=1,IF(J906="Listed / Publicado",0,1),0)</f>
        <v>0</v>
      </c>
      <c r="AB906" s="53" t="n">
        <f aca="false">IF(T906=1,IF(ISNUMBER(L906),L906-G906,0),0)</f>
        <v>0</v>
      </c>
      <c r="AC906" s="53" t="n">
        <f aca="false">IF(S906=1,IF(ISNUMBER(I906),I906-G906,0),0)</f>
        <v>0</v>
      </c>
    </row>
    <row r="907" customFormat="false" ht="15" hidden="false" customHeight="false" outlineLevel="0" collapsed="false">
      <c r="B907" s="54"/>
      <c r="C907" s="55"/>
      <c r="D907" s="55"/>
      <c r="E907" s="55"/>
      <c r="F907" s="56"/>
      <c r="G907" s="57"/>
      <c r="H907" s="55"/>
      <c r="I907" s="57"/>
      <c r="J907" s="54"/>
      <c r="K907" s="56"/>
      <c r="L907" s="57"/>
      <c r="M907" s="54"/>
      <c r="N907" s="58" t="str">
        <f aca="false">IF(S907=1,IF(U907&lt;0,"",U907),IF(Y907=1,X907,""))</f>
        <v/>
      </c>
      <c r="O907" s="59" t="str">
        <f aca="false">IF(S907=1,IF(ISNUMBER(I907),I907-G907,""),"")</f>
        <v/>
      </c>
      <c r="P907" s="59" t="str">
        <f aca="false">IF(T907=1,IF(ISNUMBER(L907),L907-G907,""),"")</f>
        <v/>
      </c>
      <c r="Q907" s="60" t="str">
        <f aca="false">IF(C907="","",IF(T907=1,"✔ SOLD / VENDIDO",IF(S907=0,"— CLOSED / CERRADO",IF(U907&lt;0,"⚠ ADD DATE / AGREGA FECHA",IF(U907&gt;=Settings!$C$8,"⚠ STALE – REPRICE / ESTANCADO",IF(U907&gt;=Settings!$C$7,"● WATCH / VIGILAR","✔ FRESH / RECIENTE"))))))</f>
        <v/>
      </c>
      <c r="S907" s="53" t="n">
        <f aca="false">IF(C907="",0,IF(OR(J907="",J907="In Stock / En Inventario",J907="Listed / Publicado"),1,0))</f>
        <v>0</v>
      </c>
      <c r="T907" s="53" t="n">
        <f aca="false">IF(C907="",0,IF(J907="Sold / Vendido",1,0))</f>
        <v>0</v>
      </c>
      <c r="U907" s="53" t="n">
        <f aca="true">IF(S907=1,IF(ISNUMBER(F907),TODAY()-F907,-1),-1)</f>
        <v>-1</v>
      </c>
      <c r="V907" s="53" t="n">
        <f aca="false">IF(U907&lt;0,IF(S907=1,5,0),IF(U907&lt;=30,1,IF(U907&lt;=60,2,IF(U907&lt;=90,3,4))))</f>
        <v>0</v>
      </c>
      <c r="W907" s="53" t="n">
        <f aca="false">IF(U907&lt;0,-1000000000000000,U907+ROW()/1000000)</f>
        <v>-1000000000000000</v>
      </c>
      <c r="X907" s="53" t="n">
        <f aca="false">IF(T907=1,IF(AND(ISNUMBER(F907),ISNUMBER(K907)),K907-F907,0),0)</f>
        <v>0</v>
      </c>
      <c r="Y907" s="53" t="n">
        <f aca="false">IF(T907=1,IF(AND(ISNUMBER(F907),ISNUMBER(K907)),1,0),0)</f>
        <v>0</v>
      </c>
      <c r="Z907" s="53" t="n">
        <f aca="false">IF(U907&gt;=Settings!$C$8,1,0)</f>
        <v>0</v>
      </c>
      <c r="AA907" s="53" t="n">
        <f aca="false">IF(S907=1,IF(J907="Listed / Publicado",0,1),0)</f>
        <v>0</v>
      </c>
      <c r="AB907" s="53" t="n">
        <f aca="false">IF(T907=1,IF(ISNUMBER(L907),L907-G907,0),0)</f>
        <v>0</v>
      </c>
      <c r="AC907" s="53" t="n">
        <f aca="false">IF(S907=1,IF(ISNUMBER(I907),I907-G907,0),0)</f>
        <v>0</v>
      </c>
    </row>
    <row r="908" customFormat="false" ht="15" hidden="false" customHeight="false" outlineLevel="0" collapsed="false">
      <c r="B908" s="54"/>
      <c r="C908" s="55"/>
      <c r="D908" s="55"/>
      <c r="E908" s="55"/>
      <c r="F908" s="56"/>
      <c r="G908" s="57"/>
      <c r="H908" s="55"/>
      <c r="I908" s="57"/>
      <c r="J908" s="54"/>
      <c r="K908" s="56"/>
      <c r="L908" s="57"/>
      <c r="M908" s="54"/>
      <c r="N908" s="58" t="str">
        <f aca="false">IF(S908=1,IF(U908&lt;0,"",U908),IF(Y908=1,X908,""))</f>
        <v/>
      </c>
      <c r="O908" s="59" t="str">
        <f aca="false">IF(S908=1,IF(ISNUMBER(I908),I908-G908,""),"")</f>
        <v/>
      </c>
      <c r="P908" s="59" t="str">
        <f aca="false">IF(T908=1,IF(ISNUMBER(L908),L908-G908,""),"")</f>
        <v/>
      </c>
      <c r="Q908" s="60" t="str">
        <f aca="false">IF(C908="","",IF(T908=1,"✔ SOLD / VENDIDO",IF(S908=0,"— CLOSED / CERRADO",IF(U908&lt;0,"⚠ ADD DATE / AGREGA FECHA",IF(U908&gt;=Settings!$C$8,"⚠ STALE – REPRICE / ESTANCADO",IF(U908&gt;=Settings!$C$7,"● WATCH / VIGILAR","✔ FRESH / RECIENTE"))))))</f>
        <v/>
      </c>
      <c r="S908" s="53" t="n">
        <f aca="false">IF(C908="",0,IF(OR(J908="",J908="In Stock / En Inventario",J908="Listed / Publicado"),1,0))</f>
        <v>0</v>
      </c>
      <c r="T908" s="53" t="n">
        <f aca="false">IF(C908="",0,IF(J908="Sold / Vendido",1,0))</f>
        <v>0</v>
      </c>
      <c r="U908" s="53" t="n">
        <f aca="true">IF(S908=1,IF(ISNUMBER(F908),TODAY()-F908,-1),-1)</f>
        <v>-1</v>
      </c>
      <c r="V908" s="53" t="n">
        <f aca="false">IF(U908&lt;0,IF(S908=1,5,0),IF(U908&lt;=30,1,IF(U908&lt;=60,2,IF(U908&lt;=90,3,4))))</f>
        <v>0</v>
      </c>
      <c r="W908" s="53" t="n">
        <f aca="false">IF(U908&lt;0,-1000000000000000,U908+ROW()/1000000)</f>
        <v>-1000000000000000</v>
      </c>
      <c r="X908" s="53" t="n">
        <f aca="false">IF(T908=1,IF(AND(ISNUMBER(F908),ISNUMBER(K908)),K908-F908,0),0)</f>
        <v>0</v>
      </c>
      <c r="Y908" s="53" t="n">
        <f aca="false">IF(T908=1,IF(AND(ISNUMBER(F908),ISNUMBER(K908)),1,0),0)</f>
        <v>0</v>
      </c>
      <c r="Z908" s="53" t="n">
        <f aca="false">IF(U908&gt;=Settings!$C$8,1,0)</f>
        <v>0</v>
      </c>
      <c r="AA908" s="53" t="n">
        <f aca="false">IF(S908=1,IF(J908="Listed / Publicado",0,1),0)</f>
        <v>0</v>
      </c>
      <c r="AB908" s="53" t="n">
        <f aca="false">IF(T908=1,IF(ISNUMBER(L908),L908-G908,0),0)</f>
        <v>0</v>
      </c>
      <c r="AC908" s="53" t="n">
        <f aca="false">IF(S908=1,IF(ISNUMBER(I908),I908-G908,0),0)</f>
        <v>0</v>
      </c>
    </row>
    <row r="909" customFormat="false" ht="15" hidden="false" customHeight="false" outlineLevel="0" collapsed="false">
      <c r="B909" s="54"/>
      <c r="C909" s="55"/>
      <c r="D909" s="55"/>
      <c r="E909" s="55"/>
      <c r="F909" s="56"/>
      <c r="G909" s="57"/>
      <c r="H909" s="55"/>
      <c r="I909" s="57"/>
      <c r="J909" s="54"/>
      <c r="K909" s="56"/>
      <c r="L909" s="57"/>
      <c r="M909" s="54"/>
      <c r="N909" s="58" t="str">
        <f aca="false">IF(S909=1,IF(U909&lt;0,"",U909),IF(Y909=1,X909,""))</f>
        <v/>
      </c>
      <c r="O909" s="59" t="str">
        <f aca="false">IF(S909=1,IF(ISNUMBER(I909),I909-G909,""),"")</f>
        <v/>
      </c>
      <c r="P909" s="59" t="str">
        <f aca="false">IF(T909=1,IF(ISNUMBER(L909),L909-G909,""),"")</f>
        <v/>
      </c>
      <c r="Q909" s="60" t="str">
        <f aca="false">IF(C909="","",IF(T909=1,"✔ SOLD / VENDIDO",IF(S909=0,"— CLOSED / CERRADO",IF(U909&lt;0,"⚠ ADD DATE / AGREGA FECHA",IF(U909&gt;=Settings!$C$8,"⚠ STALE – REPRICE / ESTANCADO",IF(U909&gt;=Settings!$C$7,"● WATCH / VIGILAR","✔ FRESH / RECIENTE"))))))</f>
        <v/>
      </c>
      <c r="S909" s="53" t="n">
        <f aca="false">IF(C909="",0,IF(OR(J909="",J909="In Stock / En Inventario",J909="Listed / Publicado"),1,0))</f>
        <v>0</v>
      </c>
      <c r="T909" s="53" t="n">
        <f aca="false">IF(C909="",0,IF(J909="Sold / Vendido",1,0))</f>
        <v>0</v>
      </c>
      <c r="U909" s="53" t="n">
        <f aca="true">IF(S909=1,IF(ISNUMBER(F909),TODAY()-F909,-1),-1)</f>
        <v>-1</v>
      </c>
      <c r="V909" s="53" t="n">
        <f aca="false">IF(U909&lt;0,IF(S909=1,5,0),IF(U909&lt;=30,1,IF(U909&lt;=60,2,IF(U909&lt;=90,3,4))))</f>
        <v>0</v>
      </c>
      <c r="W909" s="53" t="n">
        <f aca="false">IF(U909&lt;0,-1000000000000000,U909+ROW()/1000000)</f>
        <v>-1000000000000000</v>
      </c>
      <c r="X909" s="53" t="n">
        <f aca="false">IF(T909=1,IF(AND(ISNUMBER(F909),ISNUMBER(K909)),K909-F909,0),0)</f>
        <v>0</v>
      </c>
      <c r="Y909" s="53" t="n">
        <f aca="false">IF(T909=1,IF(AND(ISNUMBER(F909),ISNUMBER(K909)),1,0),0)</f>
        <v>0</v>
      </c>
      <c r="Z909" s="53" t="n">
        <f aca="false">IF(U909&gt;=Settings!$C$8,1,0)</f>
        <v>0</v>
      </c>
      <c r="AA909" s="53" t="n">
        <f aca="false">IF(S909=1,IF(J909="Listed / Publicado",0,1),0)</f>
        <v>0</v>
      </c>
      <c r="AB909" s="53" t="n">
        <f aca="false">IF(T909=1,IF(ISNUMBER(L909),L909-G909,0),0)</f>
        <v>0</v>
      </c>
      <c r="AC909" s="53" t="n">
        <f aca="false">IF(S909=1,IF(ISNUMBER(I909),I909-G909,0),0)</f>
        <v>0</v>
      </c>
    </row>
    <row r="910" customFormat="false" ht="15" hidden="false" customHeight="false" outlineLevel="0" collapsed="false">
      <c r="B910" s="54"/>
      <c r="C910" s="55"/>
      <c r="D910" s="55"/>
      <c r="E910" s="55"/>
      <c r="F910" s="56"/>
      <c r="G910" s="57"/>
      <c r="H910" s="55"/>
      <c r="I910" s="57"/>
      <c r="J910" s="54"/>
      <c r="K910" s="56"/>
      <c r="L910" s="57"/>
      <c r="M910" s="54"/>
      <c r="N910" s="58" t="str">
        <f aca="false">IF(S910=1,IF(U910&lt;0,"",U910),IF(Y910=1,X910,""))</f>
        <v/>
      </c>
      <c r="O910" s="59" t="str">
        <f aca="false">IF(S910=1,IF(ISNUMBER(I910),I910-G910,""),"")</f>
        <v/>
      </c>
      <c r="P910" s="59" t="str">
        <f aca="false">IF(T910=1,IF(ISNUMBER(L910),L910-G910,""),"")</f>
        <v/>
      </c>
      <c r="Q910" s="60" t="str">
        <f aca="false">IF(C910="","",IF(T910=1,"✔ SOLD / VENDIDO",IF(S910=0,"— CLOSED / CERRADO",IF(U910&lt;0,"⚠ ADD DATE / AGREGA FECHA",IF(U910&gt;=Settings!$C$8,"⚠ STALE – REPRICE / ESTANCADO",IF(U910&gt;=Settings!$C$7,"● WATCH / VIGILAR","✔ FRESH / RECIENTE"))))))</f>
        <v/>
      </c>
      <c r="S910" s="53" t="n">
        <f aca="false">IF(C910="",0,IF(OR(J910="",J910="In Stock / En Inventario",J910="Listed / Publicado"),1,0))</f>
        <v>0</v>
      </c>
      <c r="T910" s="53" t="n">
        <f aca="false">IF(C910="",0,IF(J910="Sold / Vendido",1,0))</f>
        <v>0</v>
      </c>
      <c r="U910" s="53" t="n">
        <f aca="true">IF(S910=1,IF(ISNUMBER(F910),TODAY()-F910,-1),-1)</f>
        <v>-1</v>
      </c>
      <c r="V910" s="53" t="n">
        <f aca="false">IF(U910&lt;0,IF(S910=1,5,0),IF(U910&lt;=30,1,IF(U910&lt;=60,2,IF(U910&lt;=90,3,4))))</f>
        <v>0</v>
      </c>
      <c r="W910" s="53" t="n">
        <f aca="false">IF(U910&lt;0,-1000000000000000,U910+ROW()/1000000)</f>
        <v>-1000000000000000</v>
      </c>
      <c r="X910" s="53" t="n">
        <f aca="false">IF(T910=1,IF(AND(ISNUMBER(F910),ISNUMBER(K910)),K910-F910,0),0)</f>
        <v>0</v>
      </c>
      <c r="Y910" s="53" t="n">
        <f aca="false">IF(T910=1,IF(AND(ISNUMBER(F910),ISNUMBER(K910)),1,0),0)</f>
        <v>0</v>
      </c>
      <c r="Z910" s="53" t="n">
        <f aca="false">IF(U910&gt;=Settings!$C$8,1,0)</f>
        <v>0</v>
      </c>
      <c r="AA910" s="53" t="n">
        <f aca="false">IF(S910=1,IF(J910="Listed / Publicado",0,1),0)</f>
        <v>0</v>
      </c>
      <c r="AB910" s="53" t="n">
        <f aca="false">IF(T910=1,IF(ISNUMBER(L910),L910-G910,0),0)</f>
        <v>0</v>
      </c>
      <c r="AC910" s="53" t="n">
        <f aca="false">IF(S910=1,IF(ISNUMBER(I910),I910-G910,0),0)</f>
        <v>0</v>
      </c>
    </row>
    <row r="911" customFormat="false" ht="15" hidden="false" customHeight="false" outlineLevel="0" collapsed="false">
      <c r="B911" s="54"/>
      <c r="C911" s="55"/>
      <c r="D911" s="55"/>
      <c r="E911" s="55"/>
      <c r="F911" s="56"/>
      <c r="G911" s="57"/>
      <c r="H911" s="55"/>
      <c r="I911" s="57"/>
      <c r="J911" s="54"/>
      <c r="K911" s="56"/>
      <c r="L911" s="57"/>
      <c r="M911" s="54"/>
      <c r="N911" s="58" t="str">
        <f aca="false">IF(S911=1,IF(U911&lt;0,"",U911),IF(Y911=1,X911,""))</f>
        <v/>
      </c>
      <c r="O911" s="59" t="str">
        <f aca="false">IF(S911=1,IF(ISNUMBER(I911),I911-G911,""),"")</f>
        <v/>
      </c>
      <c r="P911" s="59" t="str">
        <f aca="false">IF(T911=1,IF(ISNUMBER(L911),L911-G911,""),"")</f>
        <v/>
      </c>
      <c r="Q911" s="60" t="str">
        <f aca="false">IF(C911="","",IF(T911=1,"✔ SOLD / VENDIDO",IF(S911=0,"— CLOSED / CERRADO",IF(U911&lt;0,"⚠ ADD DATE / AGREGA FECHA",IF(U911&gt;=Settings!$C$8,"⚠ STALE – REPRICE / ESTANCADO",IF(U911&gt;=Settings!$C$7,"● WATCH / VIGILAR","✔ FRESH / RECIENTE"))))))</f>
        <v/>
      </c>
      <c r="S911" s="53" t="n">
        <f aca="false">IF(C911="",0,IF(OR(J911="",J911="In Stock / En Inventario",J911="Listed / Publicado"),1,0))</f>
        <v>0</v>
      </c>
      <c r="T911" s="53" t="n">
        <f aca="false">IF(C911="",0,IF(J911="Sold / Vendido",1,0))</f>
        <v>0</v>
      </c>
      <c r="U911" s="53" t="n">
        <f aca="true">IF(S911=1,IF(ISNUMBER(F911),TODAY()-F911,-1),-1)</f>
        <v>-1</v>
      </c>
      <c r="V911" s="53" t="n">
        <f aca="false">IF(U911&lt;0,IF(S911=1,5,0),IF(U911&lt;=30,1,IF(U911&lt;=60,2,IF(U911&lt;=90,3,4))))</f>
        <v>0</v>
      </c>
      <c r="W911" s="53" t="n">
        <f aca="false">IF(U911&lt;0,-1000000000000000,U911+ROW()/1000000)</f>
        <v>-1000000000000000</v>
      </c>
      <c r="X911" s="53" t="n">
        <f aca="false">IF(T911=1,IF(AND(ISNUMBER(F911),ISNUMBER(K911)),K911-F911,0),0)</f>
        <v>0</v>
      </c>
      <c r="Y911" s="53" t="n">
        <f aca="false">IF(T911=1,IF(AND(ISNUMBER(F911),ISNUMBER(K911)),1,0),0)</f>
        <v>0</v>
      </c>
      <c r="Z911" s="53" t="n">
        <f aca="false">IF(U911&gt;=Settings!$C$8,1,0)</f>
        <v>0</v>
      </c>
      <c r="AA911" s="53" t="n">
        <f aca="false">IF(S911=1,IF(J911="Listed / Publicado",0,1),0)</f>
        <v>0</v>
      </c>
      <c r="AB911" s="53" t="n">
        <f aca="false">IF(T911=1,IF(ISNUMBER(L911),L911-G911,0),0)</f>
        <v>0</v>
      </c>
      <c r="AC911" s="53" t="n">
        <f aca="false">IF(S911=1,IF(ISNUMBER(I911),I911-G911,0),0)</f>
        <v>0</v>
      </c>
    </row>
    <row r="912" customFormat="false" ht="15" hidden="false" customHeight="false" outlineLevel="0" collapsed="false">
      <c r="B912" s="54"/>
      <c r="C912" s="55"/>
      <c r="D912" s="55"/>
      <c r="E912" s="55"/>
      <c r="F912" s="56"/>
      <c r="G912" s="57"/>
      <c r="H912" s="55"/>
      <c r="I912" s="57"/>
      <c r="J912" s="54"/>
      <c r="K912" s="56"/>
      <c r="L912" s="57"/>
      <c r="M912" s="54"/>
      <c r="N912" s="58" t="str">
        <f aca="false">IF(S912=1,IF(U912&lt;0,"",U912),IF(Y912=1,X912,""))</f>
        <v/>
      </c>
      <c r="O912" s="59" t="str">
        <f aca="false">IF(S912=1,IF(ISNUMBER(I912),I912-G912,""),"")</f>
        <v/>
      </c>
      <c r="P912" s="59" t="str">
        <f aca="false">IF(T912=1,IF(ISNUMBER(L912),L912-G912,""),"")</f>
        <v/>
      </c>
      <c r="Q912" s="60" t="str">
        <f aca="false">IF(C912="","",IF(T912=1,"✔ SOLD / VENDIDO",IF(S912=0,"— CLOSED / CERRADO",IF(U912&lt;0,"⚠ ADD DATE / AGREGA FECHA",IF(U912&gt;=Settings!$C$8,"⚠ STALE – REPRICE / ESTANCADO",IF(U912&gt;=Settings!$C$7,"● WATCH / VIGILAR","✔ FRESH / RECIENTE"))))))</f>
        <v/>
      </c>
      <c r="S912" s="53" t="n">
        <f aca="false">IF(C912="",0,IF(OR(J912="",J912="In Stock / En Inventario",J912="Listed / Publicado"),1,0))</f>
        <v>0</v>
      </c>
      <c r="T912" s="53" t="n">
        <f aca="false">IF(C912="",0,IF(J912="Sold / Vendido",1,0))</f>
        <v>0</v>
      </c>
      <c r="U912" s="53" t="n">
        <f aca="true">IF(S912=1,IF(ISNUMBER(F912),TODAY()-F912,-1),-1)</f>
        <v>-1</v>
      </c>
      <c r="V912" s="53" t="n">
        <f aca="false">IF(U912&lt;0,IF(S912=1,5,0),IF(U912&lt;=30,1,IF(U912&lt;=60,2,IF(U912&lt;=90,3,4))))</f>
        <v>0</v>
      </c>
      <c r="W912" s="53" t="n">
        <f aca="false">IF(U912&lt;0,-1000000000000000,U912+ROW()/1000000)</f>
        <v>-1000000000000000</v>
      </c>
      <c r="X912" s="53" t="n">
        <f aca="false">IF(T912=1,IF(AND(ISNUMBER(F912),ISNUMBER(K912)),K912-F912,0),0)</f>
        <v>0</v>
      </c>
      <c r="Y912" s="53" t="n">
        <f aca="false">IF(T912=1,IF(AND(ISNUMBER(F912),ISNUMBER(K912)),1,0),0)</f>
        <v>0</v>
      </c>
      <c r="Z912" s="53" t="n">
        <f aca="false">IF(U912&gt;=Settings!$C$8,1,0)</f>
        <v>0</v>
      </c>
      <c r="AA912" s="53" t="n">
        <f aca="false">IF(S912=1,IF(J912="Listed / Publicado",0,1),0)</f>
        <v>0</v>
      </c>
      <c r="AB912" s="53" t="n">
        <f aca="false">IF(T912=1,IF(ISNUMBER(L912),L912-G912,0),0)</f>
        <v>0</v>
      </c>
      <c r="AC912" s="53" t="n">
        <f aca="false">IF(S912=1,IF(ISNUMBER(I912),I912-G912,0),0)</f>
        <v>0</v>
      </c>
    </row>
    <row r="913" customFormat="false" ht="15" hidden="false" customHeight="false" outlineLevel="0" collapsed="false">
      <c r="B913" s="54"/>
      <c r="C913" s="55"/>
      <c r="D913" s="55"/>
      <c r="E913" s="55"/>
      <c r="F913" s="56"/>
      <c r="G913" s="57"/>
      <c r="H913" s="55"/>
      <c r="I913" s="57"/>
      <c r="J913" s="54"/>
      <c r="K913" s="56"/>
      <c r="L913" s="57"/>
      <c r="M913" s="54"/>
      <c r="N913" s="58" t="str">
        <f aca="false">IF(S913=1,IF(U913&lt;0,"",U913),IF(Y913=1,X913,""))</f>
        <v/>
      </c>
      <c r="O913" s="59" t="str">
        <f aca="false">IF(S913=1,IF(ISNUMBER(I913),I913-G913,""),"")</f>
        <v/>
      </c>
      <c r="P913" s="59" t="str">
        <f aca="false">IF(T913=1,IF(ISNUMBER(L913),L913-G913,""),"")</f>
        <v/>
      </c>
      <c r="Q913" s="60" t="str">
        <f aca="false">IF(C913="","",IF(T913=1,"✔ SOLD / VENDIDO",IF(S913=0,"— CLOSED / CERRADO",IF(U913&lt;0,"⚠ ADD DATE / AGREGA FECHA",IF(U913&gt;=Settings!$C$8,"⚠ STALE – REPRICE / ESTANCADO",IF(U913&gt;=Settings!$C$7,"● WATCH / VIGILAR","✔ FRESH / RECIENTE"))))))</f>
        <v/>
      </c>
      <c r="S913" s="53" t="n">
        <f aca="false">IF(C913="",0,IF(OR(J913="",J913="In Stock / En Inventario",J913="Listed / Publicado"),1,0))</f>
        <v>0</v>
      </c>
      <c r="T913" s="53" t="n">
        <f aca="false">IF(C913="",0,IF(J913="Sold / Vendido",1,0))</f>
        <v>0</v>
      </c>
      <c r="U913" s="53" t="n">
        <f aca="true">IF(S913=1,IF(ISNUMBER(F913),TODAY()-F913,-1),-1)</f>
        <v>-1</v>
      </c>
      <c r="V913" s="53" t="n">
        <f aca="false">IF(U913&lt;0,IF(S913=1,5,0),IF(U913&lt;=30,1,IF(U913&lt;=60,2,IF(U913&lt;=90,3,4))))</f>
        <v>0</v>
      </c>
      <c r="W913" s="53" t="n">
        <f aca="false">IF(U913&lt;0,-1000000000000000,U913+ROW()/1000000)</f>
        <v>-1000000000000000</v>
      </c>
      <c r="X913" s="53" t="n">
        <f aca="false">IF(T913=1,IF(AND(ISNUMBER(F913),ISNUMBER(K913)),K913-F913,0),0)</f>
        <v>0</v>
      </c>
      <c r="Y913" s="53" t="n">
        <f aca="false">IF(T913=1,IF(AND(ISNUMBER(F913),ISNUMBER(K913)),1,0),0)</f>
        <v>0</v>
      </c>
      <c r="Z913" s="53" t="n">
        <f aca="false">IF(U913&gt;=Settings!$C$8,1,0)</f>
        <v>0</v>
      </c>
      <c r="AA913" s="53" t="n">
        <f aca="false">IF(S913=1,IF(J913="Listed / Publicado",0,1),0)</f>
        <v>0</v>
      </c>
      <c r="AB913" s="53" t="n">
        <f aca="false">IF(T913=1,IF(ISNUMBER(L913),L913-G913,0),0)</f>
        <v>0</v>
      </c>
      <c r="AC913" s="53" t="n">
        <f aca="false">IF(S913=1,IF(ISNUMBER(I913),I913-G913,0),0)</f>
        <v>0</v>
      </c>
    </row>
    <row r="914" customFormat="false" ht="15" hidden="false" customHeight="false" outlineLevel="0" collapsed="false">
      <c r="B914" s="54"/>
      <c r="C914" s="55"/>
      <c r="D914" s="55"/>
      <c r="E914" s="55"/>
      <c r="F914" s="56"/>
      <c r="G914" s="57"/>
      <c r="H914" s="55"/>
      <c r="I914" s="57"/>
      <c r="J914" s="54"/>
      <c r="K914" s="56"/>
      <c r="L914" s="57"/>
      <c r="M914" s="54"/>
      <c r="N914" s="58" t="str">
        <f aca="false">IF(S914=1,IF(U914&lt;0,"",U914),IF(Y914=1,X914,""))</f>
        <v/>
      </c>
      <c r="O914" s="59" t="str">
        <f aca="false">IF(S914=1,IF(ISNUMBER(I914),I914-G914,""),"")</f>
        <v/>
      </c>
      <c r="P914" s="59" t="str">
        <f aca="false">IF(T914=1,IF(ISNUMBER(L914),L914-G914,""),"")</f>
        <v/>
      </c>
      <c r="Q914" s="60" t="str">
        <f aca="false">IF(C914="","",IF(T914=1,"✔ SOLD / VENDIDO",IF(S914=0,"— CLOSED / CERRADO",IF(U914&lt;0,"⚠ ADD DATE / AGREGA FECHA",IF(U914&gt;=Settings!$C$8,"⚠ STALE – REPRICE / ESTANCADO",IF(U914&gt;=Settings!$C$7,"● WATCH / VIGILAR","✔ FRESH / RECIENTE"))))))</f>
        <v/>
      </c>
      <c r="S914" s="53" t="n">
        <f aca="false">IF(C914="",0,IF(OR(J914="",J914="In Stock / En Inventario",J914="Listed / Publicado"),1,0))</f>
        <v>0</v>
      </c>
      <c r="T914" s="53" t="n">
        <f aca="false">IF(C914="",0,IF(J914="Sold / Vendido",1,0))</f>
        <v>0</v>
      </c>
      <c r="U914" s="53" t="n">
        <f aca="true">IF(S914=1,IF(ISNUMBER(F914),TODAY()-F914,-1),-1)</f>
        <v>-1</v>
      </c>
      <c r="V914" s="53" t="n">
        <f aca="false">IF(U914&lt;0,IF(S914=1,5,0),IF(U914&lt;=30,1,IF(U914&lt;=60,2,IF(U914&lt;=90,3,4))))</f>
        <v>0</v>
      </c>
      <c r="W914" s="53" t="n">
        <f aca="false">IF(U914&lt;0,-1000000000000000,U914+ROW()/1000000)</f>
        <v>-1000000000000000</v>
      </c>
      <c r="X914" s="53" t="n">
        <f aca="false">IF(T914=1,IF(AND(ISNUMBER(F914),ISNUMBER(K914)),K914-F914,0),0)</f>
        <v>0</v>
      </c>
      <c r="Y914" s="53" t="n">
        <f aca="false">IF(T914=1,IF(AND(ISNUMBER(F914),ISNUMBER(K914)),1,0),0)</f>
        <v>0</v>
      </c>
      <c r="Z914" s="53" t="n">
        <f aca="false">IF(U914&gt;=Settings!$C$8,1,0)</f>
        <v>0</v>
      </c>
      <c r="AA914" s="53" t="n">
        <f aca="false">IF(S914=1,IF(J914="Listed / Publicado",0,1),0)</f>
        <v>0</v>
      </c>
      <c r="AB914" s="53" t="n">
        <f aca="false">IF(T914=1,IF(ISNUMBER(L914),L914-G914,0),0)</f>
        <v>0</v>
      </c>
      <c r="AC914" s="53" t="n">
        <f aca="false">IF(S914=1,IF(ISNUMBER(I914),I914-G914,0),0)</f>
        <v>0</v>
      </c>
    </row>
    <row r="915" customFormat="false" ht="15" hidden="false" customHeight="false" outlineLevel="0" collapsed="false">
      <c r="B915" s="54"/>
      <c r="C915" s="55"/>
      <c r="D915" s="55"/>
      <c r="E915" s="55"/>
      <c r="F915" s="56"/>
      <c r="G915" s="57"/>
      <c r="H915" s="55"/>
      <c r="I915" s="57"/>
      <c r="J915" s="54"/>
      <c r="K915" s="56"/>
      <c r="L915" s="57"/>
      <c r="M915" s="54"/>
      <c r="N915" s="58" t="str">
        <f aca="false">IF(S915=1,IF(U915&lt;0,"",U915),IF(Y915=1,X915,""))</f>
        <v/>
      </c>
      <c r="O915" s="59" t="str">
        <f aca="false">IF(S915=1,IF(ISNUMBER(I915),I915-G915,""),"")</f>
        <v/>
      </c>
      <c r="P915" s="59" t="str">
        <f aca="false">IF(T915=1,IF(ISNUMBER(L915),L915-G915,""),"")</f>
        <v/>
      </c>
      <c r="Q915" s="60" t="str">
        <f aca="false">IF(C915="","",IF(T915=1,"✔ SOLD / VENDIDO",IF(S915=0,"— CLOSED / CERRADO",IF(U915&lt;0,"⚠ ADD DATE / AGREGA FECHA",IF(U915&gt;=Settings!$C$8,"⚠ STALE – REPRICE / ESTANCADO",IF(U915&gt;=Settings!$C$7,"● WATCH / VIGILAR","✔ FRESH / RECIENTE"))))))</f>
        <v/>
      </c>
      <c r="S915" s="53" t="n">
        <f aca="false">IF(C915="",0,IF(OR(J915="",J915="In Stock / En Inventario",J915="Listed / Publicado"),1,0))</f>
        <v>0</v>
      </c>
      <c r="T915" s="53" t="n">
        <f aca="false">IF(C915="",0,IF(J915="Sold / Vendido",1,0))</f>
        <v>0</v>
      </c>
      <c r="U915" s="53" t="n">
        <f aca="true">IF(S915=1,IF(ISNUMBER(F915),TODAY()-F915,-1),-1)</f>
        <v>-1</v>
      </c>
      <c r="V915" s="53" t="n">
        <f aca="false">IF(U915&lt;0,IF(S915=1,5,0),IF(U915&lt;=30,1,IF(U915&lt;=60,2,IF(U915&lt;=90,3,4))))</f>
        <v>0</v>
      </c>
      <c r="W915" s="53" t="n">
        <f aca="false">IF(U915&lt;0,-1000000000000000,U915+ROW()/1000000)</f>
        <v>-1000000000000000</v>
      </c>
      <c r="X915" s="53" t="n">
        <f aca="false">IF(T915=1,IF(AND(ISNUMBER(F915),ISNUMBER(K915)),K915-F915,0),0)</f>
        <v>0</v>
      </c>
      <c r="Y915" s="53" t="n">
        <f aca="false">IF(T915=1,IF(AND(ISNUMBER(F915),ISNUMBER(K915)),1,0),0)</f>
        <v>0</v>
      </c>
      <c r="Z915" s="53" t="n">
        <f aca="false">IF(U915&gt;=Settings!$C$8,1,0)</f>
        <v>0</v>
      </c>
      <c r="AA915" s="53" t="n">
        <f aca="false">IF(S915=1,IF(J915="Listed / Publicado",0,1),0)</f>
        <v>0</v>
      </c>
      <c r="AB915" s="53" t="n">
        <f aca="false">IF(T915=1,IF(ISNUMBER(L915),L915-G915,0),0)</f>
        <v>0</v>
      </c>
      <c r="AC915" s="53" t="n">
        <f aca="false">IF(S915=1,IF(ISNUMBER(I915),I915-G915,0),0)</f>
        <v>0</v>
      </c>
    </row>
    <row r="916" customFormat="false" ht="15" hidden="false" customHeight="false" outlineLevel="0" collapsed="false">
      <c r="B916" s="54"/>
      <c r="C916" s="55"/>
      <c r="D916" s="55"/>
      <c r="E916" s="55"/>
      <c r="F916" s="56"/>
      <c r="G916" s="57"/>
      <c r="H916" s="55"/>
      <c r="I916" s="57"/>
      <c r="J916" s="54"/>
      <c r="K916" s="56"/>
      <c r="L916" s="57"/>
      <c r="M916" s="54"/>
      <c r="N916" s="58" t="str">
        <f aca="false">IF(S916=1,IF(U916&lt;0,"",U916),IF(Y916=1,X916,""))</f>
        <v/>
      </c>
      <c r="O916" s="59" t="str">
        <f aca="false">IF(S916=1,IF(ISNUMBER(I916),I916-G916,""),"")</f>
        <v/>
      </c>
      <c r="P916" s="59" t="str">
        <f aca="false">IF(T916=1,IF(ISNUMBER(L916),L916-G916,""),"")</f>
        <v/>
      </c>
      <c r="Q916" s="60" t="str">
        <f aca="false">IF(C916="","",IF(T916=1,"✔ SOLD / VENDIDO",IF(S916=0,"— CLOSED / CERRADO",IF(U916&lt;0,"⚠ ADD DATE / AGREGA FECHA",IF(U916&gt;=Settings!$C$8,"⚠ STALE – REPRICE / ESTANCADO",IF(U916&gt;=Settings!$C$7,"● WATCH / VIGILAR","✔ FRESH / RECIENTE"))))))</f>
        <v/>
      </c>
      <c r="S916" s="53" t="n">
        <f aca="false">IF(C916="",0,IF(OR(J916="",J916="In Stock / En Inventario",J916="Listed / Publicado"),1,0))</f>
        <v>0</v>
      </c>
      <c r="T916" s="53" t="n">
        <f aca="false">IF(C916="",0,IF(J916="Sold / Vendido",1,0))</f>
        <v>0</v>
      </c>
      <c r="U916" s="53" t="n">
        <f aca="true">IF(S916=1,IF(ISNUMBER(F916),TODAY()-F916,-1),-1)</f>
        <v>-1</v>
      </c>
      <c r="V916" s="53" t="n">
        <f aca="false">IF(U916&lt;0,IF(S916=1,5,0),IF(U916&lt;=30,1,IF(U916&lt;=60,2,IF(U916&lt;=90,3,4))))</f>
        <v>0</v>
      </c>
      <c r="W916" s="53" t="n">
        <f aca="false">IF(U916&lt;0,-1000000000000000,U916+ROW()/1000000)</f>
        <v>-1000000000000000</v>
      </c>
      <c r="X916" s="53" t="n">
        <f aca="false">IF(T916=1,IF(AND(ISNUMBER(F916),ISNUMBER(K916)),K916-F916,0),0)</f>
        <v>0</v>
      </c>
      <c r="Y916" s="53" t="n">
        <f aca="false">IF(T916=1,IF(AND(ISNUMBER(F916),ISNUMBER(K916)),1,0),0)</f>
        <v>0</v>
      </c>
      <c r="Z916" s="53" t="n">
        <f aca="false">IF(U916&gt;=Settings!$C$8,1,0)</f>
        <v>0</v>
      </c>
      <c r="AA916" s="53" t="n">
        <f aca="false">IF(S916=1,IF(J916="Listed / Publicado",0,1),0)</f>
        <v>0</v>
      </c>
      <c r="AB916" s="53" t="n">
        <f aca="false">IF(T916=1,IF(ISNUMBER(L916),L916-G916,0),0)</f>
        <v>0</v>
      </c>
      <c r="AC916" s="53" t="n">
        <f aca="false">IF(S916=1,IF(ISNUMBER(I916),I916-G916,0),0)</f>
        <v>0</v>
      </c>
    </row>
    <row r="917" customFormat="false" ht="15" hidden="false" customHeight="false" outlineLevel="0" collapsed="false">
      <c r="B917" s="54"/>
      <c r="C917" s="55"/>
      <c r="D917" s="55"/>
      <c r="E917" s="55"/>
      <c r="F917" s="56"/>
      <c r="G917" s="57"/>
      <c r="H917" s="55"/>
      <c r="I917" s="57"/>
      <c r="J917" s="54"/>
      <c r="K917" s="56"/>
      <c r="L917" s="57"/>
      <c r="M917" s="54"/>
      <c r="N917" s="58" t="str">
        <f aca="false">IF(S917=1,IF(U917&lt;0,"",U917),IF(Y917=1,X917,""))</f>
        <v/>
      </c>
      <c r="O917" s="59" t="str">
        <f aca="false">IF(S917=1,IF(ISNUMBER(I917),I917-G917,""),"")</f>
        <v/>
      </c>
      <c r="P917" s="59" t="str">
        <f aca="false">IF(T917=1,IF(ISNUMBER(L917),L917-G917,""),"")</f>
        <v/>
      </c>
      <c r="Q917" s="60" t="str">
        <f aca="false">IF(C917="","",IF(T917=1,"✔ SOLD / VENDIDO",IF(S917=0,"— CLOSED / CERRADO",IF(U917&lt;0,"⚠ ADD DATE / AGREGA FECHA",IF(U917&gt;=Settings!$C$8,"⚠ STALE – REPRICE / ESTANCADO",IF(U917&gt;=Settings!$C$7,"● WATCH / VIGILAR","✔ FRESH / RECIENTE"))))))</f>
        <v/>
      </c>
      <c r="S917" s="53" t="n">
        <f aca="false">IF(C917="",0,IF(OR(J917="",J917="In Stock / En Inventario",J917="Listed / Publicado"),1,0))</f>
        <v>0</v>
      </c>
      <c r="T917" s="53" t="n">
        <f aca="false">IF(C917="",0,IF(J917="Sold / Vendido",1,0))</f>
        <v>0</v>
      </c>
      <c r="U917" s="53" t="n">
        <f aca="true">IF(S917=1,IF(ISNUMBER(F917),TODAY()-F917,-1),-1)</f>
        <v>-1</v>
      </c>
      <c r="V917" s="53" t="n">
        <f aca="false">IF(U917&lt;0,IF(S917=1,5,0),IF(U917&lt;=30,1,IF(U917&lt;=60,2,IF(U917&lt;=90,3,4))))</f>
        <v>0</v>
      </c>
      <c r="W917" s="53" t="n">
        <f aca="false">IF(U917&lt;0,-1000000000000000,U917+ROW()/1000000)</f>
        <v>-1000000000000000</v>
      </c>
      <c r="X917" s="53" t="n">
        <f aca="false">IF(T917=1,IF(AND(ISNUMBER(F917),ISNUMBER(K917)),K917-F917,0),0)</f>
        <v>0</v>
      </c>
      <c r="Y917" s="53" t="n">
        <f aca="false">IF(T917=1,IF(AND(ISNUMBER(F917),ISNUMBER(K917)),1,0),0)</f>
        <v>0</v>
      </c>
      <c r="Z917" s="53" t="n">
        <f aca="false">IF(U917&gt;=Settings!$C$8,1,0)</f>
        <v>0</v>
      </c>
      <c r="AA917" s="53" t="n">
        <f aca="false">IF(S917=1,IF(J917="Listed / Publicado",0,1),0)</f>
        <v>0</v>
      </c>
      <c r="AB917" s="53" t="n">
        <f aca="false">IF(T917=1,IF(ISNUMBER(L917),L917-G917,0),0)</f>
        <v>0</v>
      </c>
      <c r="AC917" s="53" t="n">
        <f aca="false">IF(S917=1,IF(ISNUMBER(I917),I917-G917,0),0)</f>
        <v>0</v>
      </c>
    </row>
    <row r="918" customFormat="false" ht="15" hidden="false" customHeight="false" outlineLevel="0" collapsed="false">
      <c r="B918" s="54"/>
      <c r="C918" s="55"/>
      <c r="D918" s="55"/>
      <c r="E918" s="55"/>
      <c r="F918" s="56"/>
      <c r="G918" s="57"/>
      <c r="H918" s="55"/>
      <c r="I918" s="57"/>
      <c r="J918" s="54"/>
      <c r="K918" s="56"/>
      <c r="L918" s="57"/>
      <c r="M918" s="54"/>
      <c r="N918" s="58" t="str">
        <f aca="false">IF(S918=1,IF(U918&lt;0,"",U918),IF(Y918=1,X918,""))</f>
        <v/>
      </c>
      <c r="O918" s="59" t="str">
        <f aca="false">IF(S918=1,IF(ISNUMBER(I918),I918-G918,""),"")</f>
        <v/>
      </c>
      <c r="P918" s="59" t="str">
        <f aca="false">IF(T918=1,IF(ISNUMBER(L918),L918-G918,""),"")</f>
        <v/>
      </c>
      <c r="Q918" s="60" t="str">
        <f aca="false">IF(C918="","",IF(T918=1,"✔ SOLD / VENDIDO",IF(S918=0,"— CLOSED / CERRADO",IF(U918&lt;0,"⚠ ADD DATE / AGREGA FECHA",IF(U918&gt;=Settings!$C$8,"⚠ STALE – REPRICE / ESTANCADO",IF(U918&gt;=Settings!$C$7,"● WATCH / VIGILAR","✔ FRESH / RECIENTE"))))))</f>
        <v/>
      </c>
      <c r="S918" s="53" t="n">
        <f aca="false">IF(C918="",0,IF(OR(J918="",J918="In Stock / En Inventario",J918="Listed / Publicado"),1,0))</f>
        <v>0</v>
      </c>
      <c r="T918" s="53" t="n">
        <f aca="false">IF(C918="",0,IF(J918="Sold / Vendido",1,0))</f>
        <v>0</v>
      </c>
      <c r="U918" s="53" t="n">
        <f aca="true">IF(S918=1,IF(ISNUMBER(F918),TODAY()-F918,-1),-1)</f>
        <v>-1</v>
      </c>
      <c r="V918" s="53" t="n">
        <f aca="false">IF(U918&lt;0,IF(S918=1,5,0),IF(U918&lt;=30,1,IF(U918&lt;=60,2,IF(U918&lt;=90,3,4))))</f>
        <v>0</v>
      </c>
      <c r="W918" s="53" t="n">
        <f aca="false">IF(U918&lt;0,-1000000000000000,U918+ROW()/1000000)</f>
        <v>-1000000000000000</v>
      </c>
      <c r="X918" s="53" t="n">
        <f aca="false">IF(T918=1,IF(AND(ISNUMBER(F918),ISNUMBER(K918)),K918-F918,0),0)</f>
        <v>0</v>
      </c>
      <c r="Y918" s="53" t="n">
        <f aca="false">IF(T918=1,IF(AND(ISNUMBER(F918),ISNUMBER(K918)),1,0),0)</f>
        <v>0</v>
      </c>
      <c r="Z918" s="53" t="n">
        <f aca="false">IF(U918&gt;=Settings!$C$8,1,0)</f>
        <v>0</v>
      </c>
      <c r="AA918" s="53" t="n">
        <f aca="false">IF(S918=1,IF(J918="Listed / Publicado",0,1),0)</f>
        <v>0</v>
      </c>
      <c r="AB918" s="53" t="n">
        <f aca="false">IF(T918=1,IF(ISNUMBER(L918),L918-G918,0),0)</f>
        <v>0</v>
      </c>
      <c r="AC918" s="53" t="n">
        <f aca="false">IF(S918=1,IF(ISNUMBER(I918),I918-G918,0),0)</f>
        <v>0</v>
      </c>
    </row>
    <row r="919" customFormat="false" ht="15" hidden="false" customHeight="false" outlineLevel="0" collapsed="false">
      <c r="B919" s="54"/>
      <c r="C919" s="55"/>
      <c r="D919" s="55"/>
      <c r="E919" s="55"/>
      <c r="F919" s="56"/>
      <c r="G919" s="57"/>
      <c r="H919" s="55"/>
      <c r="I919" s="57"/>
      <c r="J919" s="54"/>
      <c r="K919" s="56"/>
      <c r="L919" s="57"/>
      <c r="M919" s="54"/>
      <c r="N919" s="58" t="str">
        <f aca="false">IF(S919=1,IF(U919&lt;0,"",U919),IF(Y919=1,X919,""))</f>
        <v/>
      </c>
      <c r="O919" s="59" t="str">
        <f aca="false">IF(S919=1,IF(ISNUMBER(I919),I919-G919,""),"")</f>
        <v/>
      </c>
      <c r="P919" s="59" t="str">
        <f aca="false">IF(T919=1,IF(ISNUMBER(L919),L919-G919,""),"")</f>
        <v/>
      </c>
      <c r="Q919" s="60" t="str">
        <f aca="false">IF(C919="","",IF(T919=1,"✔ SOLD / VENDIDO",IF(S919=0,"— CLOSED / CERRADO",IF(U919&lt;0,"⚠ ADD DATE / AGREGA FECHA",IF(U919&gt;=Settings!$C$8,"⚠ STALE – REPRICE / ESTANCADO",IF(U919&gt;=Settings!$C$7,"● WATCH / VIGILAR","✔ FRESH / RECIENTE"))))))</f>
        <v/>
      </c>
      <c r="S919" s="53" t="n">
        <f aca="false">IF(C919="",0,IF(OR(J919="",J919="In Stock / En Inventario",J919="Listed / Publicado"),1,0))</f>
        <v>0</v>
      </c>
      <c r="T919" s="53" t="n">
        <f aca="false">IF(C919="",0,IF(J919="Sold / Vendido",1,0))</f>
        <v>0</v>
      </c>
      <c r="U919" s="53" t="n">
        <f aca="true">IF(S919=1,IF(ISNUMBER(F919),TODAY()-F919,-1),-1)</f>
        <v>-1</v>
      </c>
      <c r="V919" s="53" t="n">
        <f aca="false">IF(U919&lt;0,IF(S919=1,5,0),IF(U919&lt;=30,1,IF(U919&lt;=60,2,IF(U919&lt;=90,3,4))))</f>
        <v>0</v>
      </c>
      <c r="W919" s="53" t="n">
        <f aca="false">IF(U919&lt;0,-1000000000000000,U919+ROW()/1000000)</f>
        <v>-1000000000000000</v>
      </c>
      <c r="X919" s="53" t="n">
        <f aca="false">IF(T919=1,IF(AND(ISNUMBER(F919),ISNUMBER(K919)),K919-F919,0),0)</f>
        <v>0</v>
      </c>
      <c r="Y919" s="53" t="n">
        <f aca="false">IF(T919=1,IF(AND(ISNUMBER(F919),ISNUMBER(K919)),1,0),0)</f>
        <v>0</v>
      </c>
      <c r="Z919" s="53" t="n">
        <f aca="false">IF(U919&gt;=Settings!$C$8,1,0)</f>
        <v>0</v>
      </c>
      <c r="AA919" s="53" t="n">
        <f aca="false">IF(S919=1,IF(J919="Listed / Publicado",0,1),0)</f>
        <v>0</v>
      </c>
      <c r="AB919" s="53" t="n">
        <f aca="false">IF(T919=1,IF(ISNUMBER(L919),L919-G919,0),0)</f>
        <v>0</v>
      </c>
      <c r="AC919" s="53" t="n">
        <f aca="false">IF(S919=1,IF(ISNUMBER(I919),I919-G919,0),0)</f>
        <v>0</v>
      </c>
    </row>
    <row r="920" customFormat="false" ht="15" hidden="false" customHeight="false" outlineLevel="0" collapsed="false">
      <c r="B920" s="54"/>
      <c r="C920" s="55"/>
      <c r="D920" s="55"/>
      <c r="E920" s="55"/>
      <c r="F920" s="56"/>
      <c r="G920" s="57"/>
      <c r="H920" s="55"/>
      <c r="I920" s="57"/>
      <c r="J920" s="54"/>
      <c r="K920" s="56"/>
      <c r="L920" s="57"/>
      <c r="M920" s="54"/>
      <c r="N920" s="58" t="str">
        <f aca="false">IF(S920=1,IF(U920&lt;0,"",U920),IF(Y920=1,X920,""))</f>
        <v/>
      </c>
      <c r="O920" s="59" t="str">
        <f aca="false">IF(S920=1,IF(ISNUMBER(I920),I920-G920,""),"")</f>
        <v/>
      </c>
      <c r="P920" s="59" t="str">
        <f aca="false">IF(T920=1,IF(ISNUMBER(L920),L920-G920,""),"")</f>
        <v/>
      </c>
      <c r="Q920" s="60" t="str">
        <f aca="false">IF(C920="","",IF(T920=1,"✔ SOLD / VENDIDO",IF(S920=0,"— CLOSED / CERRADO",IF(U920&lt;0,"⚠ ADD DATE / AGREGA FECHA",IF(U920&gt;=Settings!$C$8,"⚠ STALE – REPRICE / ESTANCADO",IF(U920&gt;=Settings!$C$7,"● WATCH / VIGILAR","✔ FRESH / RECIENTE"))))))</f>
        <v/>
      </c>
      <c r="S920" s="53" t="n">
        <f aca="false">IF(C920="",0,IF(OR(J920="",J920="In Stock / En Inventario",J920="Listed / Publicado"),1,0))</f>
        <v>0</v>
      </c>
      <c r="T920" s="53" t="n">
        <f aca="false">IF(C920="",0,IF(J920="Sold / Vendido",1,0))</f>
        <v>0</v>
      </c>
      <c r="U920" s="53" t="n">
        <f aca="true">IF(S920=1,IF(ISNUMBER(F920),TODAY()-F920,-1),-1)</f>
        <v>-1</v>
      </c>
      <c r="V920" s="53" t="n">
        <f aca="false">IF(U920&lt;0,IF(S920=1,5,0),IF(U920&lt;=30,1,IF(U920&lt;=60,2,IF(U920&lt;=90,3,4))))</f>
        <v>0</v>
      </c>
      <c r="W920" s="53" t="n">
        <f aca="false">IF(U920&lt;0,-1000000000000000,U920+ROW()/1000000)</f>
        <v>-1000000000000000</v>
      </c>
      <c r="X920" s="53" t="n">
        <f aca="false">IF(T920=1,IF(AND(ISNUMBER(F920),ISNUMBER(K920)),K920-F920,0),0)</f>
        <v>0</v>
      </c>
      <c r="Y920" s="53" t="n">
        <f aca="false">IF(T920=1,IF(AND(ISNUMBER(F920),ISNUMBER(K920)),1,0),0)</f>
        <v>0</v>
      </c>
      <c r="Z920" s="53" t="n">
        <f aca="false">IF(U920&gt;=Settings!$C$8,1,0)</f>
        <v>0</v>
      </c>
      <c r="AA920" s="53" t="n">
        <f aca="false">IF(S920=1,IF(J920="Listed / Publicado",0,1),0)</f>
        <v>0</v>
      </c>
      <c r="AB920" s="53" t="n">
        <f aca="false">IF(T920=1,IF(ISNUMBER(L920),L920-G920,0),0)</f>
        <v>0</v>
      </c>
      <c r="AC920" s="53" t="n">
        <f aca="false">IF(S920=1,IF(ISNUMBER(I920),I920-G920,0),0)</f>
        <v>0</v>
      </c>
    </row>
    <row r="921" customFormat="false" ht="15" hidden="false" customHeight="false" outlineLevel="0" collapsed="false">
      <c r="B921" s="54"/>
      <c r="C921" s="55"/>
      <c r="D921" s="55"/>
      <c r="E921" s="55"/>
      <c r="F921" s="56"/>
      <c r="G921" s="57"/>
      <c r="H921" s="55"/>
      <c r="I921" s="57"/>
      <c r="J921" s="54"/>
      <c r="K921" s="56"/>
      <c r="L921" s="57"/>
      <c r="M921" s="54"/>
      <c r="N921" s="58" t="str">
        <f aca="false">IF(S921=1,IF(U921&lt;0,"",U921),IF(Y921=1,X921,""))</f>
        <v/>
      </c>
      <c r="O921" s="59" t="str">
        <f aca="false">IF(S921=1,IF(ISNUMBER(I921),I921-G921,""),"")</f>
        <v/>
      </c>
      <c r="P921" s="59" t="str">
        <f aca="false">IF(T921=1,IF(ISNUMBER(L921),L921-G921,""),"")</f>
        <v/>
      </c>
      <c r="Q921" s="60" t="str">
        <f aca="false">IF(C921="","",IF(T921=1,"✔ SOLD / VENDIDO",IF(S921=0,"— CLOSED / CERRADO",IF(U921&lt;0,"⚠ ADD DATE / AGREGA FECHA",IF(U921&gt;=Settings!$C$8,"⚠ STALE – REPRICE / ESTANCADO",IF(U921&gt;=Settings!$C$7,"● WATCH / VIGILAR","✔ FRESH / RECIENTE"))))))</f>
        <v/>
      </c>
      <c r="S921" s="53" t="n">
        <f aca="false">IF(C921="",0,IF(OR(J921="",J921="In Stock / En Inventario",J921="Listed / Publicado"),1,0))</f>
        <v>0</v>
      </c>
      <c r="T921" s="53" t="n">
        <f aca="false">IF(C921="",0,IF(J921="Sold / Vendido",1,0))</f>
        <v>0</v>
      </c>
      <c r="U921" s="53" t="n">
        <f aca="true">IF(S921=1,IF(ISNUMBER(F921),TODAY()-F921,-1),-1)</f>
        <v>-1</v>
      </c>
      <c r="V921" s="53" t="n">
        <f aca="false">IF(U921&lt;0,IF(S921=1,5,0),IF(U921&lt;=30,1,IF(U921&lt;=60,2,IF(U921&lt;=90,3,4))))</f>
        <v>0</v>
      </c>
      <c r="W921" s="53" t="n">
        <f aca="false">IF(U921&lt;0,-1000000000000000,U921+ROW()/1000000)</f>
        <v>-1000000000000000</v>
      </c>
      <c r="X921" s="53" t="n">
        <f aca="false">IF(T921=1,IF(AND(ISNUMBER(F921),ISNUMBER(K921)),K921-F921,0),0)</f>
        <v>0</v>
      </c>
      <c r="Y921" s="53" t="n">
        <f aca="false">IF(T921=1,IF(AND(ISNUMBER(F921),ISNUMBER(K921)),1,0),0)</f>
        <v>0</v>
      </c>
      <c r="Z921" s="53" t="n">
        <f aca="false">IF(U921&gt;=Settings!$C$8,1,0)</f>
        <v>0</v>
      </c>
      <c r="AA921" s="53" t="n">
        <f aca="false">IF(S921=1,IF(J921="Listed / Publicado",0,1),0)</f>
        <v>0</v>
      </c>
      <c r="AB921" s="53" t="n">
        <f aca="false">IF(T921=1,IF(ISNUMBER(L921),L921-G921,0),0)</f>
        <v>0</v>
      </c>
      <c r="AC921" s="53" t="n">
        <f aca="false">IF(S921=1,IF(ISNUMBER(I921),I921-G921,0),0)</f>
        <v>0</v>
      </c>
    </row>
    <row r="922" customFormat="false" ht="15" hidden="false" customHeight="false" outlineLevel="0" collapsed="false">
      <c r="B922" s="54"/>
      <c r="C922" s="55"/>
      <c r="D922" s="55"/>
      <c r="E922" s="55"/>
      <c r="F922" s="56"/>
      <c r="G922" s="57"/>
      <c r="H922" s="55"/>
      <c r="I922" s="57"/>
      <c r="J922" s="54"/>
      <c r="K922" s="56"/>
      <c r="L922" s="57"/>
      <c r="M922" s="54"/>
      <c r="N922" s="58" t="str">
        <f aca="false">IF(S922=1,IF(U922&lt;0,"",U922),IF(Y922=1,X922,""))</f>
        <v/>
      </c>
      <c r="O922" s="59" t="str">
        <f aca="false">IF(S922=1,IF(ISNUMBER(I922),I922-G922,""),"")</f>
        <v/>
      </c>
      <c r="P922" s="59" t="str">
        <f aca="false">IF(T922=1,IF(ISNUMBER(L922),L922-G922,""),"")</f>
        <v/>
      </c>
      <c r="Q922" s="60" t="str">
        <f aca="false">IF(C922="","",IF(T922=1,"✔ SOLD / VENDIDO",IF(S922=0,"— CLOSED / CERRADO",IF(U922&lt;0,"⚠ ADD DATE / AGREGA FECHA",IF(U922&gt;=Settings!$C$8,"⚠ STALE – REPRICE / ESTANCADO",IF(U922&gt;=Settings!$C$7,"● WATCH / VIGILAR","✔ FRESH / RECIENTE"))))))</f>
        <v/>
      </c>
      <c r="S922" s="53" t="n">
        <f aca="false">IF(C922="",0,IF(OR(J922="",J922="In Stock / En Inventario",J922="Listed / Publicado"),1,0))</f>
        <v>0</v>
      </c>
      <c r="T922" s="53" t="n">
        <f aca="false">IF(C922="",0,IF(J922="Sold / Vendido",1,0))</f>
        <v>0</v>
      </c>
      <c r="U922" s="53" t="n">
        <f aca="true">IF(S922=1,IF(ISNUMBER(F922),TODAY()-F922,-1),-1)</f>
        <v>-1</v>
      </c>
      <c r="V922" s="53" t="n">
        <f aca="false">IF(U922&lt;0,IF(S922=1,5,0),IF(U922&lt;=30,1,IF(U922&lt;=60,2,IF(U922&lt;=90,3,4))))</f>
        <v>0</v>
      </c>
      <c r="W922" s="53" t="n">
        <f aca="false">IF(U922&lt;0,-1000000000000000,U922+ROW()/1000000)</f>
        <v>-1000000000000000</v>
      </c>
      <c r="X922" s="53" t="n">
        <f aca="false">IF(T922=1,IF(AND(ISNUMBER(F922),ISNUMBER(K922)),K922-F922,0),0)</f>
        <v>0</v>
      </c>
      <c r="Y922" s="53" t="n">
        <f aca="false">IF(T922=1,IF(AND(ISNUMBER(F922),ISNUMBER(K922)),1,0),0)</f>
        <v>0</v>
      </c>
      <c r="Z922" s="53" t="n">
        <f aca="false">IF(U922&gt;=Settings!$C$8,1,0)</f>
        <v>0</v>
      </c>
      <c r="AA922" s="53" t="n">
        <f aca="false">IF(S922=1,IF(J922="Listed / Publicado",0,1),0)</f>
        <v>0</v>
      </c>
      <c r="AB922" s="53" t="n">
        <f aca="false">IF(T922=1,IF(ISNUMBER(L922),L922-G922,0),0)</f>
        <v>0</v>
      </c>
      <c r="AC922" s="53" t="n">
        <f aca="false">IF(S922=1,IF(ISNUMBER(I922),I922-G922,0),0)</f>
        <v>0</v>
      </c>
    </row>
    <row r="923" customFormat="false" ht="15" hidden="false" customHeight="false" outlineLevel="0" collapsed="false">
      <c r="B923" s="54"/>
      <c r="C923" s="55"/>
      <c r="D923" s="55"/>
      <c r="E923" s="55"/>
      <c r="F923" s="56"/>
      <c r="G923" s="57"/>
      <c r="H923" s="55"/>
      <c r="I923" s="57"/>
      <c r="J923" s="54"/>
      <c r="K923" s="56"/>
      <c r="L923" s="57"/>
      <c r="M923" s="54"/>
      <c r="N923" s="58" t="str">
        <f aca="false">IF(S923=1,IF(U923&lt;0,"",U923),IF(Y923=1,X923,""))</f>
        <v/>
      </c>
      <c r="O923" s="59" t="str">
        <f aca="false">IF(S923=1,IF(ISNUMBER(I923),I923-G923,""),"")</f>
        <v/>
      </c>
      <c r="P923" s="59" t="str">
        <f aca="false">IF(T923=1,IF(ISNUMBER(L923),L923-G923,""),"")</f>
        <v/>
      </c>
      <c r="Q923" s="60" t="str">
        <f aca="false">IF(C923="","",IF(T923=1,"✔ SOLD / VENDIDO",IF(S923=0,"— CLOSED / CERRADO",IF(U923&lt;0,"⚠ ADD DATE / AGREGA FECHA",IF(U923&gt;=Settings!$C$8,"⚠ STALE – REPRICE / ESTANCADO",IF(U923&gt;=Settings!$C$7,"● WATCH / VIGILAR","✔ FRESH / RECIENTE"))))))</f>
        <v/>
      </c>
      <c r="S923" s="53" t="n">
        <f aca="false">IF(C923="",0,IF(OR(J923="",J923="In Stock / En Inventario",J923="Listed / Publicado"),1,0))</f>
        <v>0</v>
      </c>
      <c r="T923" s="53" t="n">
        <f aca="false">IF(C923="",0,IF(J923="Sold / Vendido",1,0))</f>
        <v>0</v>
      </c>
      <c r="U923" s="53" t="n">
        <f aca="true">IF(S923=1,IF(ISNUMBER(F923),TODAY()-F923,-1),-1)</f>
        <v>-1</v>
      </c>
      <c r="V923" s="53" t="n">
        <f aca="false">IF(U923&lt;0,IF(S923=1,5,0),IF(U923&lt;=30,1,IF(U923&lt;=60,2,IF(U923&lt;=90,3,4))))</f>
        <v>0</v>
      </c>
      <c r="W923" s="53" t="n">
        <f aca="false">IF(U923&lt;0,-1000000000000000,U923+ROW()/1000000)</f>
        <v>-1000000000000000</v>
      </c>
      <c r="X923" s="53" t="n">
        <f aca="false">IF(T923=1,IF(AND(ISNUMBER(F923),ISNUMBER(K923)),K923-F923,0),0)</f>
        <v>0</v>
      </c>
      <c r="Y923" s="53" t="n">
        <f aca="false">IF(T923=1,IF(AND(ISNUMBER(F923),ISNUMBER(K923)),1,0),0)</f>
        <v>0</v>
      </c>
      <c r="Z923" s="53" t="n">
        <f aca="false">IF(U923&gt;=Settings!$C$8,1,0)</f>
        <v>0</v>
      </c>
      <c r="AA923" s="53" t="n">
        <f aca="false">IF(S923=1,IF(J923="Listed / Publicado",0,1),0)</f>
        <v>0</v>
      </c>
      <c r="AB923" s="53" t="n">
        <f aca="false">IF(T923=1,IF(ISNUMBER(L923),L923-G923,0),0)</f>
        <v>0</v>
      </c>
      <c r="AC923" s="53" t="n">
        <f aca="false">IF(S923=1,IF(ISNUMBER(I923),I923-G923,0),0)</f>
        <v>0</v>
      </c>
    </row>
    <row r="924" customFormat="false" ht="15" hidden="false" customHeight="false" outlineLevel="0" collapsed="false">
      <c r="B924" s="54"/>
      <c r="C924" s="55"/>
      <c r="D924" s="55"/>
      <c r="E924" s="55"/>
      <c r="F924" s="56"/>
      <c r="G924" s="57"/>
      <c r="H924" s="55"/>
      <c r="I924" s="57"/>
      <c r="J924" s="54"/>
      <c r="K924" s="56"/>
      <c r="L924" s="57"/>
      <c r="M924" s="54"/>
      <c r="N924" s="58" t="str">
        <f aca="false">IF(S924=1,IF(U924&lt;0,"",U924),IF(Y924=1,X924,""))</f>
        <v/>
      </c>
      <c r="O924" s="59" t="str">
        <f aca="false">IF(S924=1,IF(ISNUMBER(I924),I924-G924,""),"")</f>
        <v/>
      </c>
      <c r="P924" s="59" t="str">
        <f aca="false">IF(T924=1,IF(ISNUMBER(L924),L924-G924,""),"")</f>
        <v/>
      </c>
      <c r="Q924" s="60" t="str">
        <f aca="false">IF(C924="","",IF(T924=1,"✔ SOLD / VENDIDO",IF(S924=0,"— CLOSED / CERRADO",IF(U924&lt;0,"⚠ ADD DATE / AGREGA FECHA",IF(U924&gt;=Settings!$C$8,"⚠ STALE – REPRICE / ESTANCADO",IF(U924&gt;=Settings!$C$7,"● WATCH / VIGILAR","✔ FRESH / RECIENTE"))))))</f>
        <v/>
      </c>
      <c r="S924" s="53" t="n">
        <f aca="false">IF(C924="",0,IF(OR(J924="",J924="In Stock / En Inventario",J924="Listed / Publicado"),1,0))</f>
        <v>0</v>
      </c>
      <c r="T924" s="53" t="n">
        <f aca="false">IF(C924="",0,IF(J924="Sold / Vendido",1,0))</f>
        <v>0</v>
      </c>
      <c r="U924" s="53" t="n">
        <f aca="true">IF(S924=1,IF(ISNUMBER(F924),TODAY()-F924,-1),-1)</f>
        <v>-1</v>
      </c>
      <c r="V924" s="53" t="n">
        <f aca="false">IF(U924&lt;0,IF(S924=1,5,0),IF(U924&lt;=30,1,IF(U924&lt;=60,2,IF(U924&lt;=90,3,4))))</f>
        <v>0</v>
      </c>
      <c r="W924" s="53" t="n">
        <f aca="false">IF(U924&lt;0,-1000000000000000,U924+ROW()/1000000)</f>
        <v>-1000000000000000</v>
      </c>
      <c r="X924" s="53" t="n">
        <f aca="false">IF(T924=1,IF(AND(ISNUMBER(F924),ISNUMBER(K924)),K924-F924,0),0)</f>
        <v>0</v>
      </c>
      <c r="Y924" s="53" t="n">
        <f aca="false">IF(T924=1,IF(AND(ISNUMBER(F924),ISNUMBER(K924)),1,0),0)</f>
        <v>0</v>
      </c>
      <c r="Z924" s="53" t="n">
        <f aca="false">IF(U924&gt;=Settings!$C$8,1,0)</f>
        <v>0</v>
      </c>
      <c r="AA924" s="53" t="n">
        <f aca="false">IF(S924=1,IF(J924="Listed / Publicado",0,1),0)</f>
        <v>0</v>
      </c>
      <c r="AB924" s="53" t="n">
        <f aca="false">IF(T924=1,IF(ISNUMBER(L924),L924-G924,0),0)</f>
        <v>0</v>
      </c>
      <c r="AC924" s="53" t="n">
        <f aca="false">IF(S924=1,IF(ISNUMBER(I924),I924-G924,0),0)</f>
        <v>0</v>
      </c>
    </row>
    <row r="925" customFormat="false" ht="15" hidden="false" customHeight="false" outlineLevel="0" collapsed="false">
      <c r="B925" s="54"/>
      <c r="C925" s="55"/>
      <c r="D925" s="55"/>
      <c r="E925" s="55"/>
      <c r="F925" s="56"/>
      <c r="G925" s="57"/>
      <c r="H925" s="55"/>
      <c r="I925" s="57"/>
      <c r="J925" s="54"/>
      <c r="K925" s="56"/>
      <c r="L925" s="57"/>
      <c r="M925" s="54"/>
      <c r="N925" s="58" t="str">
        <f aca="false">IF(S925=1,IF(U925&lt;0,"",U925),IF(Y925=1,X925,""))</f>
        <v/>
      </c>
      <c r="O925" s="59" t="str">
        <f aca="false">IF(S925=1,IF(ISNUMBER(I925),I925-G925,""),"")</f>
        <v/>
      </c>
      <c r="P925" s="59" t="str">
        <f aca="false">IF(T925=1,IF(ISNUMBER(L925),L925-G925,""),"")</f>
        <v/>
      </c>
      <c r="Q925" s="60" t="str">
        <f aca="false">IF(C925="","",IF(T925=1,"✔ SOLD / VENDIDO",IF(S925=0,"— CLOSED / CERRADO",IF(U925&lt;0,"⚠ ADD DATE / AGREGA FECHA",IF(U925&gt;=Settings!$C$8,"⚠ STALE – REPRICE / ESTANCADO",IF(U925&gt;=Settings!$C$7,"● WATCH / VIGILAR","✔ FRESH / RECIENTE"))))))</f>
        <v/>
      </c>
      <c r="S925" s="53" t="n">
        <f aca="false">IF(C925="",0,IF(OR(J925="",J925="In Stock / En Inventario",J925="Listed / Publicado"),1,0))</f>
        <v>0</v>
      </c>
      <c r="T925" s="53" t="n">
        <f aca="false">IF(C925="",0,IF(J925="Sold / Vendido",1,0))</f>
        <v>0</v>
      </c>
      <c r="U925" s="53" t="n">
        <f aca="true">IF(S925=1,IF(ISNUMBER(F925),TODAY()-F925,-1),-1)</f>
        <v>-1</v>
      </c>
      <c r="V925" s="53" t="n">
        <f aca="false">IF(U925&lt;0,IF(S925=1,5,0),IF(U925&lt;=30,1,IF(U925&lt;=60,2,IF(U925&lt;=90,3,4))))</f>
        <v>0</v>
      </c>
      <c r="W925" s="53" t="n">
        <f aca="false">IF(U925&lt;0,-1000000000000000,U925+ROW()/1000000)</f>
        <v>-1000000000000000</v>
      </c>
      <c r="X925" s="53" t="n">
        <f aca="false">IF(T925=1,IF(AND(ISNUMBER(F925),ISNUMBER(K925)),K925-F925,0),0)</f>
        <v>0</v>
      </c>
      <c r="Y925" s="53" t="n">
        <f aca="false">IF(T925=1,IF(AND(ISNUMBER(F925),ISNUMBER(K925)),1,0),0)</f>
        <v>0</v>
      </c>
      <c r="Z925" s="53" t="n">
        <f aca="false">IF(U925&gt;=Settings!$C$8,1,0)</f>
        <v>0</v>
      </c>
      <c r="AA925" s="53" t="n">
        <f aca="false">IF(S925=1,IF(J925="Listed / Publicado",0,1),0)</f>
        <v>0</v>
      </c>
      <c r="AB925" s="53" t="n">
        <f aca="false">IF(T925=1,IF(ISNUMBER(L925),L925-G925,0),0)</f>
        <v>0</v>
      </c>
      <c r="AC925" s="53" t="n">
        <f aca="false">IF(S925=1,IF(ISNUMBER(I925),I925-G925,0),0)</f>
        <v>0</v>
      </c>
    </row>
    <row r="926" customFormat="false" ht="15" hidden="false" customHeight="false" outlineLevel="0" collapsed="false">
      <c r="B926" s="54"/>
      <c r="C926" s="55"/>
      <c r="D926" s="55"/>
      <c r="E926" s="55"/>
      <c r="F926" s="56"/>
      <c r="G926" s="57"/>
      <c r="H926" s="55"/>
      <c r="I926" s="57"/>
      <c r="J926" s="54"/>
      <c r="K926" s="56"/>
      <c r="L926" s="57"/>
      <c r="M926" s="54"/>
      <c r="N926" s="58" t="str">
        <f aca="false">IF(S926=1,IF(U926&lt;0,"",U926),IF(Y926=1,X926,""))</f>
        <v/>
      </c>
      <c r="O926" s="59" t="str">
        <f aca="false">IF(S926=1,IF(ISNUMBER(I926),I926-G926,""),"")</f>
        <v/>
      </c>
      <c r="P926" s="59" t="str">
        <f aca="false">IF(T926=1,IF(ISNUMBER(L926),L926-G926,""),"")</f>
        <v/>
      </c>
      <c r="Q926" s="60" t="str">
        <f aca="false">IF(C926="","",IF(T926=1,"✔ SOLD / VENDIDO",IF(S926=0,"— CLOSED / CERRADO",IF(U926&lt;0,"⚠ ADD DATE / AGREGA FECHA",IF(U926&gt;=Settings!$C$8,"⚠ STALE – REPRICE / ESTANCADO",IF(U926&gt;=Settings!$C$7,"● WATCH / VIGILAR","✔ FRESH / RECIENTE"))))))</f>
        <v/>
      </c>
      <c r="S926" s="53" t="n">
        <f aca="false">IF(C926="",0,IF(OR(J926="",J926="In Stock / En Inventario",J926="Listed / Publicado"),1,0))</f>
        <v>0</v>
      </c>
      <c r="T926" s="53" t="n">
        <f aca="false">IF(C926="",0,IF(J926="Sold / Vendido",1,0))</f>
        <v>0</v>
      </c>
      <c r="U926" s="53" t="n">
        <f aca="true">IF(S926=1,IF(ISNUMBER(F926),TODAY()-F926,-1),-1)</f>
        <v>-1</v>
      </c>
      <c r="V926" s="53" t="n">
        <f aca="false">IF(U926&lt;0,IF(S926=1,5,0),IF(U926&lt;=30,1,IF(U926&lt;=60,2,IF(U926&lt;=90,3,4))))</f>
        <v>0</v>
      </c>
      <c r="W926" s="53" t="n">
        <f aca="false">IF(U926&lt;0,-1000000000000000,U926+ROW()/1000000)</f>
        <v>-1000000000000000</v>
      </c>
      <c r="X926" s="53" t="n">
        <f aca="false">IF(T926=1,IF(AND(ISNUMBER(F926),ISNUMBER(K926)),K926-F926,0),0)</f>
        <v>0</v>
      </c>
      <c r="Y926" s="53" t="n">
        <f aca="false">IF(T926=1,IF(AND(ISNUMBER(F926),ISNUMBER(K926)),1,0),0)</f>
        <v>0</v>
      </c>
      <c r="Z926" s="53" t="n">
        <f aca="false">IF(U926&gt;=Settings!$C$8,1,0)</f>
        <v>0</v>
      </c>
      <c r="AA926" s="53" t="n">
        <f aca="false">IF(S926=1,IF(J926="Listed / Publicado",0,1),0)</f>
        <v>0</v>
      </c>
      <c r="AB926" s="53" t="n">
        <f aca="false">IF(T926=1,IF(ISNUMBER(L926),L926-G926,0),0)</f>
        <v>0</v>
      </c>
      <c r="AC926" s="53" t="n">
        <f aca="false">IF(S926=1,IF(ISNUMBER(I926),I926-G926,0),0)</f>
        <v>0</v>
      </c>
    </row>
    <row r="927" customFormat="false" ht="15" hidden="false" customHeight="false" outlineLevel="0" collapsed="false">
      <c r="B927" s="54"/>
      <c r="C927" s="55"/>
      <c r="D927" s="55"/>
      <c r="E927" s="55"/>
      <c r="F927" s="56"/>
      <c r="G927" s="57"/>
      <c r="H927" s="55"/>
      <c r="I927" s="57"/>
      <c r="J927" s="54"/>
      <c r="K927" s="56"/>
      <c r="L927" s="57"/>
      <c r="M927" s="54"/>
      <c r="N927" s="58" t="str">
        <f aca="false">IF(S927=1,IF(U927&lt;0,"",U927),IF(Y927=1,X927,""))</f>
        <v/>
      </c>
      <c r="O927" s="59" t="str">
        <f aca="false">IF(S927=1,IF(ISNUMBER(I927),I927-G927,""),"")</f>
        <v/>
      </c>
      <c r="P927" s="59" t="str">
        <f aca="false">IF(T927=1,IF(ISNUMBER(L927),L927-G927,""),"")</f>
        <v/>
      </c>
      <c r="Q927" s="60" t="str">
        <f aca="false">IF(C927="","",IF(T927=1,"✔ SOLD / VENDIDO",IF(S927=0,"— CLOSED / CERRADO",IF(U927&lt;0,"⚠ ADD DATE / AGREGA FECHA",IF(U927&gt;=Settings!$C$8,"⚠ STALE – REPRICE / ESTANCADO",IF(U927&gt;=Settings!$C$7,"● WATCH / VIGILAR","✔ FRESH / RECIENTE"))))))</f>
        <v/>
      </c>
      <c r="S927" s="53" t="n">
        <f aca="false">IF(C927="",0,IF(OR(J927="",J927="In Stock / En Inventario",J927="Listed / Publicado"),1,0))</f>
        <v>0</v>
      </c>
      <c r="T927" s="53" t="n">
        <f aca="false">IF(C927="",0,IF(J927="Sold / Vendido",1,0))</f>
        <v>0</v>
      </c>
      <c r="U927" s="53" t="n">
        <f aca="true">IF(S927=1,IF(ISNUMBER(F927),TODAY()-F927,-1),-1)</f>
        <v>-1</v>
      </c>
      <c r="V927" s="53" t="n">
        <f aca="false">IF(U927&lt;0,IF(S927=1,5,0),IF(U927&lt;=30,1,IF(U927&lt;=60,2,IF(U927&lt;=90,3,4))))</f>
        <v>0</v>
      </c>
      <c r="W927" s="53" t="n">
        <f aca="false">IF(U927&lt;0,-1000000000000000,U927+ROW()/1000000)</f>
        <v>-1000000000000000</v>
      </c>
      <c r="X927" s="53" t="n">
        <f aca="false">IF(T927=1,IF(AND(ISNUMBER(F927),ISNUMBER(K927)),K927-F927,0),0)</f>
        <v>0</v>
      </c>
      <c r="Y927" s="53" t="n">
        <f aca="false">IF(T927=1,IF(AND(ISNUMBER(F927),ISNUMBER(K927)),1,0),0)</f>
        <v>0</v>
      </c>
      <c r="Z927" s="53" t="n">
        <f aca="false">IF(U927&gt;=Settings!$C$8,1,0)</f>
        <v>0</v>
      </c>
      <c r="AA927" s="53" t="n">
        <f aca="false">IF(S927=1,IF(J927="Listed / Publicado",0,1),0)</f>
        <v>0</v>
      </c>
      <c r="AB927" s="53" t="n">
        <f aca="false">IF(T927=1,IF(ISNUMBER(L927),L927-G927,0),0)</f>
        <v>0</v>
      </c>
      <c r="AC927" s="53" t="n">
        <f aca="false">IF(S927=1,IF(ISNUMBER(I927),I927-G927,0),0)</f>
        <v>0</v>
      </c>
    </row>
    <row r="928" customFormat="false" ht="15" hidden="false" customHeight="false" outlineLevel="0" collapsed="false">
      <c r="B928" s="54"/>
      <c r="C928" s="55"/>
      <c r="D928" s="55"/>
      <c r="E928" s="55"/>
      <c r="F928" s="56"/>
      <c r="G928" s="57"/>
      <c r="H928" s="55"/>
      <c r="I928" s="57"/>
      <c r="J928" s="54"/>
      <c r="K928" s="56"/>
      <c r="L928" s="57"/>
      <c r="M928" s="54"/>
      <c r="N928" s="58" t="str">
        <f aca="false">IF(S928=1,IF(U928&lt;0,"",U928),IF(Y928=1,X928,""))</f>
        <v/>
      </c>
      <c r="O928" s="59" t="str">
        <f aca="false">IF(S928=1,IF(ISNUMBER(I928),I928-G928,""),"")</f>
        <v/>
      </c>
      <c r="P928" s="59" t="str">
        <f aca="false">IF(T928=1,IF(ISNUMBER(L928),L928-G928,""),"")</f>
        <v/>
      </c>
      <c r="Q928" s="60" t="str">
        <f aca="false">IF(C928="","",IF(T928=1,"✔ SOLD / VENDIDO",IF(S928=0,"— CLOSED / CERRADO",IF(U928&lt;0,"⚠ ADD DATE / AGREGA FECHA",IF(U928&gt;=Settings!$C$8,"⚠ STALE – REPRICE / ESTANCADO",IF(U928&gt;=Settings!$C$7,"● WATCH / VIGILAR","✔ FRESH / RECIENTE"))))))</f>
        <v/>
      </c>
      <c r="S928" s="53" t="n">
        <f aca="false">IF(C928="",0,IF(OR(J928="",J928="In Stock / En Inventario",J928="Listed / Publicado"),1,0))</f>
        <v>0</v>
      </c>
      <c r="T928" s="53" t="n">
        <f aca="false">IF(C928="",0,IF(J928="Sold / Vendido",1,0))</f>
        <v>0</v>
      </c>
      <c r="U928" s="53" t="n">
        <f aca="true">IF(S928=1,IF(ISNUMBER(F928),TODAY()-F928,-1),-1)</f>
        <v>-1</v>
      </c>
      <c r="V928" s="53" t="n">
        <f aca="false">IF(U928&lt;0,IF(S928=1,5,0),IF(U928&lt;=30,1,IF(U928&lt;=60,2,IF(U928&lt;=90,3,4))))</f>
        <v>0</v>
      </c>
      <c r="W928" s="53" t="n">
        <f aca="false">IF(U928&lt;0,-1000000000000000,U928+ROW()/1000000)</f>
        <v>-1000000000000000</v>
      </c>
      <c r="X928" s="53" t="n">
        <f aca="false">IF(T928=1,IF(AND(ISNUMBER(F928),ISNUMBER(K928)),K928-F928,0),0)</f>
        <v>0</v>
      </c>
      <c r="Y928" s="53" t="n">
        <f aca="false">IF(T928=1,IF(AND(ISNUMBER(F928),ISNUMBER(K928)),1,0),0)</f>
        <v>0</v>
      </c>
      <c r="Z928" s="53" t="n">
        <f aca="false">IF(U928&gt;=Settings!$C$8,1,0)</f>
        <v>0</v>
      </c>
      <c r="AA928" s="53" t="n">
        <f aca="false">IF(S928=1,IF(J928="Listed / Publicado",0,1),0)</f>
        <v>0</v>
      </c>
      <c r="AB928" s="53" t="n">
        <f aca="false">IF(T928=1,IF(ISNUMBER(L928),L928-G928,0),0)</f>
        <v>0</v>
      </c>
      <c r="AC928" s="53" t="n">
        <f aca="false">IF(S928=1,IF(ISNUMBER(I928),I928-G928,0),0)</f>
        <v>0</v>
      </c>
    </row>
    <row r="929" customFormat="false" ht="15" hidden="false" customHeight="false" outlineLevel="0" collapsed="false">
      <c r="B929" s="54"/>
      <c r="C929" s="55"/>
      <c r="D929" s="55"/>
      <c r="E929" s="55"/>
      <c r="F929" s="56"/>
      <c r="G929" s="57"/>
      <c r="H929" s="55"/>
      <c r="I929" s="57"/>
      <c r="J929" s="54"/>
      <c r="K929" s="56"/>
      <c r="L929" s="57"/>
      <c r="M929" s="54"/>
      <c r="N929" s="58" t="str">
        <f aca="false">IF(S929=1,IF(U929&lt;0,"",U929),IF(Y929=1,X929,""))</f>
        <v/>
      </c>
      <c r="O929" s="59" t="str">
        <f aca="false">IF(S929=1,IF(ISNUMBER(I929),I929-G929,""),"")</f>
        <v/>
      </c>
      <c r="P929" s="59" t="str">
        <f aca="false">IF(T929=1,IF(ISNUMBER(L929),L929-G929,""),"")</f>
        <v/>
      </c>
      <c r="Q929" s="60" t="str">
        <f aca="false">IF(C929="","",IF(T929=1,"✔ SOLD / VENDIDO",IF(S929=0,"— CLOSED / CERRADO",IF(U929&lt;0,"⚠ ADD DATE / AGREGA FECHA",IF(U929&gt;=Settings!$C$8,"⚠ STALE – REPRICE / ESTANCADO",IF(U929&gt;=Settings!$C$7,"● WATCH / VIGILAR","✔ FRESH / RECIENTE"))))))</f>
        <v/>
      </c>
      <c r="S929" s="53" t="n">
        <f aca="false">IF(C929="",0,IF(OR(J929="",J929="In Stock / En Inventario",J929="Listed / Publicado"),1,0))</f>
        <v>0</v>
      </c>
      <c r="T929" s="53" t="n">
        <f aca="false">IF(C929="",0,IF(J929="Sold / Vendido",1,0))</f>
        <v>0</v>
      </c>
      <c r="U929" s="53" t="n">
        <f aca="true">IF(S929=1,IF(ISNUMBER(F929),TODAY()-F929,-1),-1)</f>
        <v>-1</v>
      </c>
      <c r="V929" s="53" t="n">
        <f aca="false">IF(U929&lt;0,IF(S929=1,5,0),IF(U929&lt;=30,1,IF(U929&lt;=60,2,IF(U929&lt;=90,3,4))))</f>
        <v>0</v>
      </c>
      <c r="W929" s="53" t="n">
        <f aca="false">IF(U929&lt;0,-1000000000000000,U929+ROW()/1000000)</f>
        <v>-1000000000000000</v>
      </c>
      <c r="X929" s="53" t="n">
        <f aca="false">IF(T929=1,IF(AND(ISNUMBER(F929),ISNUMBER(K929)),K929-F929,0),0)</f>
        <v>0</v>
      </c>
      <c r="Y929" s="53" t="n">
        <f aca="false">IF(T929=1,IF(AND(ISNUMBER(F929),ISNUMBER(K929)),1,0),0)</f>
        <v>0</v>
      </c>
      <c r="Z929" s="53" t="n">
        <f aca="false">IF(U929&gt;=Settings!$C$8,1,0)</f>
        <v>0</v>
      </c>
      <c r="AA929" s="53" t="n">
        <f aca="false">IF(S929=1,IF(J929="Listed / Publicado",0,1),0)</f>
        <v>0</v>
      </c>
      <c r="AB929" s="53" t="n">
        <f aca="false">IF(T929=1,IF(ISNUMBER(L929),L929-G929,0),0)</f>
        <v>0</v>
      </c>
      <c r="AC929" s="53" t="n">
        <f aca="false">IF(S929=1,IF(ISNUMBER(I929),I929-G929,0),0)</f>
        <v>0</v>
      </c>
    </row>
    <row r="930" customFormat="false" ht="15" hidden="false" customHeight="false" outlineLevel="0" collapsed="false">
      <c r="B930" s="54"/>
      <c r="C930" s="55"/>
      <c r="D930" s="55"/>
      <c r="E930" s="55"/>
      <c r="F930" s="56"/>
      <c r="G930" s="57"/>
      <c r="H930" s="55"/>
      <c r="I930" s="57"/>
      <c r="J930" s="54"/>
      <c r="K930" s="56"/>
      <c r="L930" s="57"/>
      <c r="M930" s="54"/>
      <c r="N930" s="58" t="str">
        <f aca="false">IF(S930=1,IF(U930&lt;0,"",U930),IF(Y930=1,X930,""))</f>
        <v/>
      </c>
      <c r="O930" s="59" t="str">
        <f aca="false">IF(S930=1,IF(ISNUMBER(I930),I930-G930,""),"")</f>
        <v/>
      </c>
      <c r="P930" s="59" t="str">
        <f aca="false">IF(T930=1,IF(ISNUMBER(L930),L930-G930,""),"")</f>
        <v/>
      </c>
      <c r="Q930" s="60" t="str">
        <f aca="false">IF(C930="","",IF(T930=1,"✔ SOLD / VENDIDO",IF(S930=0,"— CLOSED / CERRADO",IF(U930&lt;0,"⚠ ADD DATE / AGREGA FECHA",IF(U930&gt;=Settings!$C$8,"⚠ STALE – REPRICE / ESTANCADO",IF(U930&gt;=Settings!$C$7,"● WATCH / VIGILAR","✔ FRESH / RECIENTE"))))))</f>
        <v/>
      </c>
      <c r="S930" s="53" t="n">
        <f aca="false">IF(C930="",0,IF(OR(J930="",J930="In Stock / En Inventario",J930="Listed / Publicado"),1,0))</f>
        <v>0</v>
      </c>
      <c r="T930" s="53" t="n">
        <f aca="false">IF(C930="",0,IF(J930="Sold / Vendido",1,0))</f>
        <v>0</v>
      </c>
      <c r="U930" s="53" t="n">
        <f aca="true">IF(S930=1,IF(ISNUMBER(F930),TODAY()-F930,-1),-1)</f>
        <v>-1</v>
      </c>
      <c r="V930" s="53" t="n">
        <f aca="false">IF(U930&lt;0,IF(S930=1,5,0),IF(U930&lt;=30,1,IF(U930&lt;=60,2,IF(U930&lt;=90,3,4))))</f>
        <v>0</v>
      </c>
      <c r="W930" s="53" t="n">
        <f aca="false">IF(U930&lt;0,-1000000000000000,U930+ROW()/1000000)</f>
        <v>-1000000000000000</v>
      </c>
      <c r="X930" s="53" t="n">
        <f aca="false">IF(T930=1,IF(AND(ISNUMBER(F930),ISNUMBER(K930)),K930-F930,0),0)</f>
        <v>0</v>
      </c>
      <c r="Y930" s="53" t="n">
        <f aca="false">IF(T930=1,IF(AND(ISNUMBER(F930),ISNUMBER(K930)),1,0),0)</f>
        <v>0</v>
      </c>
      <c r="Z930" s="53" t="n">
        <f aca="false">IF(U930&gt;=Settings!$C$8,1,0)</f>
        <v>0</v>
      </c>
      <c r="AA930" s="53" t="n">
        <f aca="false">IF(S930=1,IF(J930="Listed / Publicado",0,1),0)</f>
        <v>0</v>
      </c>
      <c r="AB930" s="53" t="n">
        <f aca="false">IF(T930=1,IF(ISNUMBER(L930),L930-G930,0),0)</f>
        <v>0</v>
      </c>
      <c r="AC930" s="53" t="n">
        <f aca="false">IF(S930=1,IF(ISNUMBER(I930),I930-G930,0),0)</f>
        <v>0</v>
      </c>
    </row>
    <row r="931" customFormat="false" ht="15" hidden="false" customHeight="false" outlineLevel="0" collapsed="false">
      <c r="B931" s="54"/>
      <c r="C931" s="55"/>
      <c r="D931" s="55"/>
      <c r="E931" s="55"/>
      <c r="F931" s="56"/>
      <c r="G931" s="57"/>
      <c r="H931" s="55"/>
      <c r="I931" s="57"/>
      <c r="J931" s="54"/>
      <c r="K931" s="56"/>
      <c r="L931" s="57"/>
      <c r="M931" s="54"/>
      <c r="N931" s="58" t="str">
        <f aca="false">IF(S931=1,IF(U931&lt;0,"",U931),IF(Y931=1,X931,""))</f>
        <v/>
      </c>
      <c r="O931" s="59" t="str">
        <f aca="false">IF(S931=1,IF(ISNUMBER(I931),I931-G931,""),"")</f>
        <v/>
      </c>
      <c r="P931" s="59" t="str">
        <f aca="false">IF(T931=1,IF(ISNUMBER(L931),L931-G931,""),"")</f>
        <v/>
      </c>
      <c r="Q931" s="60" t="str">
        <f aca="false">IF(C931="","",IF(T931=1,"✔ SOLD / VENDIDO",IF(S931=0,"— CLOSED / CERRADO",IF(U931&lt;0,"⚠ ADD DATE / AGREGA FECHA",IF(U931&gt;=Settings!$C$8,"⚠ STALE – REPRICE / ESTANCADO",IF(U931&gt;=Settings!$C$7,"● WATCH / VIGILAR","✔ FRESH / RECIENTE"))))))</f>
        <v/>
      </c>
      <c r="S931" s="53" t="n">
        <f aca="false">IF(C931="",0,IF(OR(J931="",J931="In Stock / En Inventario",J931="Listed / Publicado"),1,0))</f>
        <v>0</v>
      </c>
      <c r="T931" s="53" t="n">
        <f aca="false">IF(C931="",0,IF(J931="Sold / Vendido",1,0))</f>
        <v>0</v>
      </c>
      <c r="U931" s="53" t="n">
        <f aca="true">IF(S931=1,IF(ISNUMBER(F931),TODAY()-F931,-1),-1)</f>
        <v>-1</v>
      </c>
      <c r="V931" s="53" t="n">
        <f aca="false">IF(U931&lt;0,IF(S931=1,5,0),IF(U931&lt;=30,1,IF(U931&lt;=60,2,IF(U931&lt;=90,3,4))))</f>
        <v>0</v>
      </c>
      <c r="W931" s="53" t="n">
        <f aca="false">IF(U931&lt;0,-1000000000000000,U931+ROW()/1000000)</f>
        <v>-1000000000000000</v>
      </c>
      <c r="X931" s="53" t="n">
        <f aca="false">IF(T931=1,IF(AND(ISNUMBER(F931),ISNUMBER(K931)),K931-F931,0),0)</f>
        <v>0</v>
      </c>
      <c r="Y931" s="53" t="n">
        <f aca="false">IF(T931=1,IF(AND(ISNUMBER(F931),ISNUMBER(K931)),1,0),0)</f>
        <v>0</v>
      </c>
      <c r="Z931" s="53" t="n">
        <f aca="false">IF(U931&gt;=Settings!$C$8,1,0)</f>
        <v>0</v>
      </c>
      <c r="AA931" s="53" t="n">
        <f aca="false">IF(S931=1,IF(J931="Listed / Publicado",0,1),0)</f>
        <v>0</v>
      </c>
      <c r="AB931" s="53" t="n">
        <f aca="false">IF(T931=1,IF(ISNUMBER(L931),L931-G931,0),0)</f>
        <v>0</v>
      </c>
      <c r="AC931" s="53" t="n">
        <f aca="false">IF(S931=1,IF(ISNUMBER(I931),I931-G931,0),0)</f>
        <v>0</v>
      </c>
    </row>
    <row r="932" customFormat="false" ht="15" hidden="false" customHeight="false" outlineLevel="0" collapsed="false">
      <c r="B932" s="54"/>
      <c r="C932" s="55"/>
      <c r="D932" s="55"/>
      <c r="E932" s="55"/>
      <c r="F932" s="56"/>
      <c r="G932" s="57"/>
      <c r="H932" s="55"/>
      <c r="I932" s="57"/>
      <c r="J932" s="54"/>
      <c r="K932" s="56"/>
      <c r="L932" s="57"/>
      <c r="M932" s="54"/>
      <c r="N932" s="58" t="str">
        <f aca="false">IF(S932=1,IF(U932&lt;0,"",U932),IF(Y932=1,X932,""))</f>
        <v/>
      </c>
      <c r="O932" s="59" t="str">
        <f aca="false">IF(S932=1,IF(ISNUMBER(I932),I932-G932,""),"")</f>
        <v/>
      </c>
      <c r="P932" s="59" t="str">
        <f aca="false">IF(T932=1,IF(ISNUMBER(L932),L932-G932,""),"")</f>
        <v/>
      </c>
      <c r="Q932" s="60" t="str">
        <f aca="false">IF(C932="","",IF(T932=1,"✔ SOLD / VENDIDO",IF(S932=0,"— CLOSED / CERRADO",IF(U932&lt;0,"⚠ ADD DATE / AGREGA FECHA",IF(U932&gt;=Settings!$C$8,"⚠ STALE – REPRICE / ESTANCADO",IF(U932&gt;=Settings!$C$7,"● WATCH / VIGILAR","✔ FRESH / RECIENTE"))))))</f>
        <v/>
      </c>
      <c r="S932" s="53" t="n">
        <f aca="false">IF(C932="",0,IF(OR(J932="",J932="In Stock / En Inventario",J932="Listed / Publicado"),1,0))</f>
        <v>0</v>
      </c>
      <c r="T932" s="53" t="n">
        <f aca="false">IF(C932="",0,IF(J932="Sold / Vendido",1,0))</f>
        <v>0</v>
      </c>
      <c r="U932" s="53" t="n">
        <f aca="true">IF(S932=1,IF(ISNUMBER(F932),TODAY()-F932,-1),-1)</f>
        <v>-1</v>
      </c>
      <c r="V932" s="53" t="n">
        <f aca="false">IF(U932&lt;0,IF(S932=1,5,0),IF(U932&lt;=30,1,IF(U932&lt;=60,2,IF(U932&lt;=90,3,4))))</f>
        <v>0</v>
      </c>
      <c r="W932" s="53" t="n">
        <f aca="false">IF(U932&lt;0,-1000000000000000,U932+ROW()/1000000)</f>
        <v>-1000000000000000</v>
      </c>
      <c r="X932" s="53" t="n">
        <f aca="false">IF(T932=1,IF(AND(ISNUMBER(F932),ISNUMBER(K932)),K932-F932,0),0)</f>
        <v>0</v>
      </c>
      <c r="Y932" s="53" t="n">
        <f aca="false">IF(T932=1,IF(AND(ISNUMBER(F932),ISNUMBER(K932)),1,0),0)</f>
        <v>0</v>
      </c>
      <c r="Z932" s="53" t="n">
        <f aca="false">IF(U932&gt;=Settings!$C$8,1,0)</f>
        <v>0</v>
      </c>
      <c r="AA932" s="53" t="n">
        <f aca="false">IF(S932=1,IF(J932="Listed / Publicado",0,1),0)</f>
        <v>0</v>
      </c>
      <c r="AB932" s="53" t="n">
        <f aca="false">IF(T932=1,IF(ISNUMBER(L932),L932-G932,0),0)</f>
        <v>0</v>
      </c>
      <c r="AC932" s="53" t="n">
        <f aca="false">IF(S932=1,IF(ISNUMBER(I932),I932-G932,0),0)</f>
        <v>0</v>
      </c>
    </row>
    <row r="933" customFormat="false" ht="15" hidden="false" customHeight="false" outlineLevel="0" collapsed="false">
      <c r="B933" s="54"/>
      <c r="C933" s="55"/>
      <c r="D933" s="55"/>
      <c r="E933" s="55"/>
      <c r="F933" s="56"/>
      <c r="G933" s="57"/>
      <c r="H933" s="55"/>
      <c r="I933" s="57"/>
      <c r="J933" s="54"/>
      <c r="K933" s="56"/>
      <c r="L933" s="57"/>
      <c r="M933" s="54"/>
      <c r="N933" s="58" t="str">
        <f aca="false">IF(S933=1,IF(U933&lt;0,"",U933),IF(Y933=1,X933,""))</f>
        <v/>
      </c>
      <c r="O933" s="59" t="str">
        <f aca="false">IF(S933=1,IF(ISNUMBER(I933),I933-G933,""),"")</f>
        <v/>
      </c>
      <c r="P933" s="59" t="str">
        <f aca="false">IF(T933=1,IF(ISNUMBER(L933),L933-G933,""),"")</f>
        <v/>
      </c>
      <c r="Q933" s="60" t="str">
        <f aca="false">IF(C933="","",IF(T933=1,"✔ SOLD / VENDIDO",IF(S933=0,"— CLOSED / CERRADO",IF(U933&lt;0,"⚠ ADD DATE / AGREGA FECHA",IF(U933&gt;=Settings!$C$8,"⚠ STALE – REPRICE / ESTANCADO",IF(U933&gt;=Settings!$C$7,"● WATCH / VIGILAR","✔ FRESH / RECIENTE"))))))</f>
        <v/>
      </c>
      <c r="S933" s="53" t="n">
        <f aca="false">IF(C933="",0,IF(OR(J933="",J933="In Stock / En Inventario",J933="Listed / Publicado"),1,0))</f>
        <v>0</v>
      </c>
      <c r="T933" s="53" t="n">
        <f aca="false">IF(C933="",0,IF(J933="Sold / Vendido",1,0))</f>
        <v>0</v>
      </c>
      <c r="U933" s="53" t="n">
        <f aca="true">IF(S933=1,IF(ISNUMBER(F933),TODAY()-F933,-1),-1)</f>
        <v>-1</v>
      </c>
      <c r="V933" s="53" t="n">
        <f aca="false">IF(U933&lt;0,IF(S933=1,5,0),IF(U933&lt;=30,1,IF(U933&lt;=60,2,IF(U933&lt;=90,3,4))))</f>
        <v>0</v>
      </c>
      <c r="W933" s="53" t="n">
        <f aca="false">IF(U933&lt;0,-1000000000000000,U933+ROW()/1000000)</f>
        <v>-1000000000000000</v>
      </c>
      <c r="X933" s="53" t="n">
        <f aca="false">IF(T933=1,IF(AND(ISNUMBER(F933),ISNUMBER(K933)),K933-F933,0),0)</f>
        <v>0</v>
      </c>
      <c r="Y933" s="53" t="n">
        <f aca="false">IF(T933=1,IF(AND(ISNUMBER(F933),ISNUMBER(K933)),1,0),0)</f>
        <v>0</v>
      </c>
      <c r="Z933" s="53" t="n">
        <f aca="false">IF(U933&gt;=Settings!$C$8,1,0)</f>
        <v>0</v>
      </c>
      <c r="AA933" s="53" t="n">
        <f aca="false">IF(S933=1,IF(J933="Listed / Publicado",0,1),0)</f>
        <v>0</v>
      </c>
      <c r="AB933" s="53" t="n">
        <f aca="false">IF(T933=1,IF(ISNUMBER(L933),L933-G933,0),0)</f>
        <v>0</v>
      </c>
      <c r="AC933" s="53" t="n">
        <f aca="false">IF(S933=1,IF(ISNUMBER(I933),I933-G933,0),0)</f>
        <v>0</v>
      </c>
    </row>
    <row r="934" customFormat="false" ht="15" hidden="false" customHeight="false" outlineLevel="0" collapsed="false">
      <c r="B934" s="54"/>
      <c r="C934" s="55"/>
      <c r="D934" s="55"/>
      <c r="E934" s="55"/>
      <c r="F934" s="56"/>
      <c r="G934" s="57"/>
      <c r="H934" s="55"/>
      <c r="I934" s="57"/>
      <c r="J934" s="54"/>
      <c r="K934" s="56"/>
      <c r="L934" s="57"/>
      <c r="M934" s="54"/>
      <c r="N934" s="58" t="str">
        <f aca="false">IF(S934=1,IF(U934&lt;0,"",U934),IF(Y934=1,X934,""))</f>
        <v/>
      </c>
      <c r="O934" s="59" t="str">
        <f aca="false">IF(S934=1,IF(ISNUMBER(I934),I934-G934,""),"")</f>
        <v/>
      </c>
      <c r="P934" s="59" t="str">
        <f aca="false">IF(T934=1,IF(ISNUMBER(L934),L934-G934,""),"")</f>
        <v/>
      </c>
      <c r="Q934" s="60" t="str">
        <f aca="false">IF(C934="","",IF(T934=1,"✔ SOLD / VENDIDO",IF(S934=0,"— CLOSED / CERRADO",IF(U934&lt;0,"⚠ ADD DATE / AGREGA FECHA",IF(U934&gt;=Settings!$C$8,"⚠ STALE – REPRICE / ESTANCADO",IF(U934&gt;=Settings!$C$7,"● WATCH / VIGILAR","✔ FRESH / RECIENTE"))))))</f>
        <v/>
      </c>
      <c r="S934" s="53" t="n">
        <f aca="false">IF(C934="",0,IF(OR(J934="",J934="In Stock / En Inventario",J934="Listed / Publicado"),1,0))</f>
        <v>0</v>
      </c>
      <c r="T934" s="53" t="n">
        <f aca="false">IF(C934="",0,IF(J934="Sold / Vendido",1,0))</f>
        <v>0</v>
      </c>
      <c r="U934" s="53" t="n">
        <f aca="true">IF(S934=1,IF(ISNUMBER(F934),TODAY()-F934,-1),-1)</f>
        <v>-1</v>
      </c>
      <c r="V934" s="53" t="n">
        <f aca="false">IF(U934&lt;0,IF(S934=1,5,0),IF(U934&lt;=30,1,IF(U934&lt;=60,2,IF(U934&lt;=90,3,4))))</f>
        <v>0</v>
      </c>
      <c r="W934" s="53" t="n">
        <f aca="false">IF(U934&lt;0,-1000000000000000,U934+ROW()/1000000)</f>
        <v>-1000000000000000</v>
      </c>
      <c r="X934" s="53" t="n">
        <f aca="false">IF(T934=1,IF(AND(ISNUMBER(F934),ISNUMBER(K934)),K934-F934,0),0)</f>
        <v>0</v>
      </c>
      <c r="Y934" s="53" t="n">
        <f aca="false">IF(T934=1,IF(AND(ISNUMBER(F934),ISNUMBER(K934)),1,0),0)</f>
        <v>0</v>
      </c>
      <c r="Z934" s="53" t="n">
        <f aca="false">IF(U934&gt;=Settings!$C$8,1,0)</f>
        <v>0</v>
      </c>
      <c r="AA934" s="53" t="n">
        <f aca="false">IF(S934=1,IF(J934="Listed / Publicado",0,1),0)</f>
        <v>0</v>
      </c>
      <c r="AB934" s="53" t="n">
        <f aca="false">IF(T934=1,IF(ISNUMBER(L934),L934-G934,0),0)</f>
        <v>0</v>
      </c>
      <c r="AC934" s="53" t="n">
        <f aca="false">IF(S934=1,IF(ISNUMBER(I934),I934-G934,0),0)</f>
        <v>0</v>
      </c>
    </row>
    <row r="935" customFormat="false" ht="15" hidden="false" customHeight="false" outlineLevel="0" collapsed="false">
      <c r="B935" s="54"/>
      <c r="C935" s="55"/>
      <c r="D935" s="55"/>
      <c r="E935" s="55"/>
      <c r="F935" s="56"/>
      <c r="G935" s="57"/>
      <c r="H935" s="55"/>
      <c r="I935" s="57"/>
      <c r="J935" s="54"/>
      <c r="K935" s="56"/>
      <c r="L935" s="57"/>
      <c r="M935" s="54"/>
      <c r="N935" s="58" t="str">
        <f aca="false">IF(S935=1,IF(U935&lt;0,"",U935),IF(Y935=1,X935,""))</f>
        <v/>
      </c>
      <c r="O935" s="59" t="str">
        <f aca="false">IF(S935=1,IF(ISNUMBER(I935),I935-G935,""),"")</f>
        <v/>
      </c>
      <c r="P935" s="59" t="str">
        <f aca="false">IF(T935=1,IF(ISNUMBER(L935),L935-G935,""),"")</f>
        <v/>
      </c>
      <c r="Q935" s="60" t="str">
        <f aca="false">IF(C935="","",IF(T935=1,"✔ SOLD / VENDIDO",IF(S935=0,"— CLOSED / CERRADO",IF(U935&lt;0,"⚠ ADD DATE / AGREGA FECHA",IF(U935&gt;=Settings!$C$8,"⚠ STALE – REPRICE / ESTANCADO",IF(U935&gt;=Settings!$C$7,"● WATCH / VIGILAR","✔ FRESH / RECIENTE"))))))</f>
        <v/>
      </c>
      <c r="S935" s="53" t="n">
        <f aca="false">IF(C935="",0,IF(OR(J935="",J935="In Stock / En Inventario",J935="Listed / Publicado"),1,0))</f>
        <v>0</v>
      </c>
      <c r="T935" s="53" t="n">
        <f aca="false">IF(C935="",0,IF(J935="Sold / Vendido",1,0))</f>
        <v>0</v>
      </c>
      <c r="U935" s="53" t="n">
        <f aca="true">IF(S935=1,IF(ISNUMBER(F935),TODAY()-F935,-1),-1)</f>
        <v>-1</v>
      </c>
      <c r="V935" s="53" t="n">
        <f aca="false">IF(U935&lt;0,IF(S935=1,5,0),IF(U935&lt;=30,1,IF(U935&lt;=60,2,IF(U935&lt;=90,3,4))))</f>
        <v>0</v>
      </c>
      <c r="W935" s="53" t="n">
        <f aca="false">IF(U935&lt;0,-1000000000000000,U935+ROW()/1000000)</f>
        <v>-1000000000000000</v>
      </c>
      <c r="X935" s="53" t="n">
        <f aca="false">IF(T935=1,IF(AND(ISNUMBER(F935),ISNUMBER(K935)),K935-F935,0),0)</f>
        <v>0</v>
      </c>
      <c r="Y935" s="53" t="n">
        <f aca="false">IF(T935=1,IF(AND(ISNUMBER(F935),ISNUMBER(K935)),1,0),0)</f>
        <v>0</v>
      </c>
      <c r="Z935" s="53" t="n">
        <f aca="false">IF(U935&gt;=Settings!$C$8,1,0)</f>
        <v>0</v>
      </c>
      <c r="AA935" s="53" t="n">
        <f aca="false">IF(S935=1,IF(J935="Listed / Publicado",0,1),0)</f>
        <v>0</v>
      </c>
      <c r="AB935" s="53" t="n">
        <f aca="false">IF(T935=1,IF(ISNUMBER(L935),L935-G935,0),0)</f>
        <v>0</v>
      </c>
      <c r="AC935" s="53" t="n">
        <f aca="false">IF(S935=1,IF(ISNUMBER(I935),I935-G935,0),0)</f>
        <v>0</v>
      </c>
    </row>
    <row r="936" customFormat="false" ht="15" hidden="false" customHeight="false" outlineLevel="0" collapsed="false">
      <c r="B936" s="54"/>
      <c r="C936" s="55"/>
      <c r="D936" s="55"/>
      <c r="E936" s="55"/>
      <c r="F936" s="56"/>
      <c r="G936" s="57"/>
      <c r="H936" s="55"/>
      <c r="I936" s="57"/>
      <c r="J936" s="54"/>
      <c r="K936" s="56"/>
      <c r="L936" s="57"/>
      <c r="M936" s="54"/>
      <c r="N936" s="58" t="str">
        <f aca="false">IF(S936=1,IF(U936&lt;0,"",U936),IF(Y936=1,X936,""))</f>
        <v/>
      </c>
      <c r="O936" s="59" t="str">
        <f aca="false">IF(S936=1,IF(ISNUMBER(I936),I936-G936,""),"")</f>
        <v/>
      </c>
      <c r="P936" s="59" t="str">
        <f aca="false">IF(T936=1,IF(ISNUMBER(L936),L936-G936,""),"")</f>
        <v/>
      </c>
      <c r="Q936" s="60" t="str">
        <f aca="false">IF(C936="","",IF(T936=1,"✔ SOLD / VENDIDO",IF(S936=0,"— CLOSED / CERRADO",IF(U936&lt;0,"⚠ ADD DATE / AGREGA FECHA",IF(U936&gt;=Settings!$C$8,"⚠ STALE – REPRICE / ESTANCADO",IF(U936&gt;=Settings!$C$7,"● WATCH / VIGILAR","✔ FRESH / RECIENTE"))))))</f>
        <v/>
      </c>
      <c r="S936" s="53" t="n">
        <f aca="false">IF(C936="",0,IF(OR(J936="",J936="In Stock / En Inventario",J936="Listed / Publicado"),1,0))</f>
        <v>0</v>
      </c>
      <c r="T936" s="53" t="n">
        <f aca="false">IF(C936="",0,IF(J936="Sold / Vendido",1,0))</f>
        <v>0</v>
      </c>
      <c r="U936" s="53" t="n">
        <f aca="true">IF(S936=1,IF(ISNUMBER(F936),TODAY()-F936,-1),-1)</f>
        <v>-1</v>
      </c>
      <c r="V936" s="53" t="n">
        <f aca="false">IF(U936&lt;0,IF(S936=1,5,0),IF(U936&lt;=30,1,IF(U936&lt;=60,2,IF(U936&lt;=90,3,4))))</f>
        <v>0</v>
      </c>
      <c r="W936" s="53" t="n">
        <f aca="false">IF(U936&lt;0,-1000000000000000,U936+ROW()/1000000)</f>
        <v>-1000000000000000</v>
      </c>
      <c r="X936" s="53" t="n">
        <f aca="false">IF(T936=1,IF(AND(ISNUMBER(F936),ISNUMBER(K936)),K936-F936,0),0)</f>
        <v>0</v>
      </c>
      <c r="Y936" s="53" t="n">
        <f aca="false">IF(T936=1,IF(AND(ISNUMBER(F936),ISNUMBER(K936)),1,0),0)</f>
        <v>0</v>
      </c>
      <c r="Z936" s="53" t="n">
        <f aca="false">IF(U936&gt;=Settings!$C$8,1,0)</f>
        <v>0</v>
      </c>
      <c r="AA936" s="53" t="n">
        <f aca="false">IF(S936=1,IF(J936="Listed / Publicado",0,1),0)</f>
        <v>0</v>
      </c>
      <c r="AB936" s="53" t="n">
        <f aca="false">IF(T936=1,IF(ISNUMBER(L936),L936-G936,0),0)</f>
        <v>0</v>
      </c>
      <c r="AC936" s="53" t="n">
        <f aca="false">IF(S936=1,IF(ISNUMBER(I936),I936-G936,0),0)</f>
        <v>0</v>
      </c>
    </row>
    <row r="937" customFormat="false" ht="15" hidden="false" customHeight="false" outlineLevel="0" collapsed="false">
      <c r="B937" s="54"/>
      <c r="C937" s="55"/>
      <c r="D937" s="55"/>
      <c r="E937" s="55"/>
      <c r="F937" s="56"/>
      <c r="G937" s="57"/>
      <c r="H937" s="55"/>
      <c r="I937" s="57"/>
      <c r="J937" s="54"/>
      <c r="K937" s="56"/>
      <c r="L937" s="57"/>
      <c r="M937" s="54"/>
      <c r="N937" s="58" t="str">
        <f aca="false">IF(S937=1,IF(U937&lt;0,"",U937),IF(Y937=1,X937,""))</f>
        <v/>
      </c>
      <c r="O937" s="59" t="str">
        <f aca="false">IF(S937=1,IF(ISNUMBER(I937),I937-G937,""),"")</f>
        <v/>
      </c>
      <c r="P937" s="59" t="str">
        <f aca="false">IF(T937=1,IF(ISNUMBER(L937),L937-G937,""),"")</f>
        <v/>
      </c>
      <c r="Q937" s="60" t="str">
        <f aca="false">IF(C937="","",IF(T937=1,"✔ SOLD / VENDIDO",IF(S937=0,"— CLOSED / CERRADO",IF(U937&lt;0,"⚠ ADD DATE / AGREGA FECHA",IF(U937&gt;=Settings!$C$8,"⚠ STALE – REPRICE / ESTANCADO",IF(U937&gt;=Settings!$C$7,"● WATCH / VIGILAR","✔ FRESH / RECIENTE"))))))</f>
        <v/>
      </c>
      <c r="S937" s="53" t="n">
        <f aca="false">IF(C937="",0,IF(OR(J937="",J937="In Stock / En Inventario",J937="Listed / Publicado"),1,0))</f>
        <v>0</v>
      </c>
      <c r="T937" s="53" t="n">
        <f aca="false">IF(C937="",0,IF(J937="Sold / Vendido",1,0))</f>
        <v>0</v>
      </c>
      <c r="U937" s="53" t="n">
        <f aca="true">IF(S937=1,IF(ISNUMBER(F937),TODAY()-F937,-1),-1)</f>
        <v>-1</v>
      </c>
      <c r="V937" s="53" t="n">
        <f aca="false">IF(U937&lt;0,IF(S937=1,5,0),IF(U937&lt;=30,1,IF(U937&lt;=60,2,IF(U937&lt;=90,3,4))))</f>
        <v>0</v>
      </c>
      <c r="W937" s="53" t="n">
        <f aca="false">IF(U937&lt;0,-1000000000000000,U937+ROW()/1000000)</f>
        <v>-1000000000000000</v>
      </c>
      <c r="X937" s="53" t="n">
        <f aca="false">IF(T937=1,IF(AND(ISNUMBER(F937),ISNUMBER(K937)),K937-F937,0),0)</f>
        <v>0</v>
      </c>
      <c r="Y937" s="53" t="n">
        <f aca="false">IF(T937=1,IF(AND(ISNUMBER(F937),ISNUMBER(K937)),1,0),0)</f>
        <v>0</v>
      </c>
      <c r="Z937" s="53" t="n">
        <f aca="false">IF(U937&gt;=Settings!$C$8,1,0)</f>
        <v>0</v>
      </c>
      <c r="AA937" s="53" t="n">
        <f aca="false">IF(S937=1,IF(J937="Listed / Publicado",0,1),0)</f>
        <v>0</v>
      </c>
      <c r="AB937" s="53" t="n">
        <f aca="false">IF(T937=1,IF(ISNUMBER(L937),L937-G937,0),0)</f>
        <v>0</v>
      </c>
      <c r="AC937" s="53" t="n">
        <f aca="false">IF(S937=1,IF(ISNUMBER(I937),I937-G937,0),0)</f>
        <v>0</v>
      </c>
    </row>
    <row r="938" customFormat="false" ht="15" hidden="false" customHeight="false" outlineLevel="0" collapsed="false">
      <c r="B938" s="54"/>
      <c r="C938" s="55"/>
      <c r="D938" s="55"/>
      <c r="E938" s="55"/>
      <c r="F938" s="56"/>
      <c r="G938" s="57"/>
      <c r="H938" s="55"/>
      <c r="I938" s="57"/>
      <c r="J938" s="54"/>
      <c r="K938" s="56"/>
      <c r="L938" s="57"/>
      <c r="M938" s="54"/>
      <c r="N938" s="58" t="str">
        <f aca="false">IF(S938=1,IF(U938&lt;0,"",U938),IF(Y938=1,X938,""))</f>
        <v/>
      </c>
      <c r="O938" s="59" t="str">
        <f aca="false">IF(S938=1,IF(ISNUMBER(I938),I938-G938,""),"")</f>
        <v/>
      </c>
      <c r="P938" s="59" t="str">
        <f aca="false">IF(T938=1,IF(ISNUMBER(L938),L938-G938,""),"")</f>
        <v/>
      </c>
      <c r="Q938" s="60" t="str">
        <f aca="false">IF(C938="","",IF(T938=1,"✔ SOLD / VENDIDO",IF(S938=0,"— CLOSED / CERRADO",IF(U938&lt;0,"⚠ ADD DATE / AGREGA FECHA",IF(U938&gt;=Settings!$C$8,"⚠ STALE – REPRICE / ESTANCADO",IF(U938&gt;=Settings!$C$7,"● WATCH / VIGILAR","✔ FRESH / RECIENTE"))))))</f>
        <v/>
      </c>
      <c r="S938" s="53" t="n">
        <f aca="false">IF(C938="",0,IF(OR(J938="",J938="In Stock / En Inventario",J938="Listed / Publicado"),1,0))</f>
        <v>0</v>
      </c>
      <c r="T938" s="53" t="n">
        <f aca="false">IF(C938="",0,IF(J938="Sold / Vendido",1,0))</f>
        <v>0</v>
      </c>
      <c r="U938" s="53" t="n">
        <f aca="true">IF(S938=1,IF(ISNUMBER(F938),TODAY()-F938,-1),-1)</f>
        <v>-1</v>
      </c>
      <c r="V938" s="53" t="n">
        <f aca="false">IF(U938&lt;0,IF(S938=1,5,0),IF(U938&lt;=30,1,IF(U938&lt;=60,2,IF(U938&lt;=90,3,4))))</f>
        <v>0</v>
      </c>
      <c r="W938" s="53" t="n">
        <f aca="false">IF(U938&lt;0,-1000000000000000,U938+ROW()/1000000)</f>
        <v>-1000000000000000</v>
      </c>
      <c r="X938" s="53" t="n">
        <f aca="false">IF(T938=1,IF(AND(ISNUMBER(F938),ISNUMBER(K938)),K938-F938,0),0)</f>
        <v>0</v>
      </c>
      <c r="Y938" s="53" t="n">
        <f aca="false">IF(T938=1,IF(AND(ISNUMBER(F938),ISNUMBER(K938)),1,0),0)</f>
        <v>0</v>
      </c>
      <c r="Z938" s="53" t="n">
        <f aca="false">IF(U938&gt;=Settings!$C$8,1,0)</f>
        <v>0</v>
      </c>
      <c r="AA938" s="53" t="n">
        <f aca="false">IF(S938=1,IF(J938="Listed / Publicado",0,1),0)</f>
        <v>0</v>
      </c>
      <c r="AB938" s="53" t="n">
        <f aca="false">IF(T938=1,IF(ISNUMBER(L938),L938-G938,0),0)</f>
        <v>0</v>
      </c>
      <c r="AC938" s="53" t="n">
        <f aca="false">IF(S938=1,IF(ISNUMBER(I938),I938-G938,0),0)</f>
        <v>0</v>
      </c>
    </row>
    <row r="939" customFormat="false" ht="15" hidden="false" customHeight="false" outlineLevel="0" collapsed="false">
      <c r="B939" s="54"/>
      <c r="C939" s="55"/>
      <c r="D939" s="55"/>
      <c r="E939" s="55"/>
      <c r="F939" s="56"/>
      <c r="G939" s="57"/>
      <c r="H939" s="55"/>
      <c r="I939" s="57"/>
      <c r="J939" s="54"/>
      <c r="K939" s="56"/>
      <c r="L939" s="57"/>
      <c r="M939" s="54"/>
      <c r="N939" s="58" t="str">
        <f aca="false">IF(S939=1,IF(U939&lt;0,"",U939),IF(Y939=1,X939,""))</f>
        <v/>
      </c>
      <c r="O939" s="59" t="str">
        <f aca="false">IF(S939=1,IF(ISNUMBER(I939),I939-G939,""),"")</f>
        <v/>
      </c>
      <c r="P939" s="59" t="str">
        <f aca="false">IF(T939=1,IF(ISNUMBER(L939),L939-G939,""),"")</f>
        <v/>
      </c>
      <c r="Q939" s="60" t="str">
        <f aca="false">IF(C939="","",IF(T939=1,"✔ SOLD / VENDIDO",IF(S939=0,"— CLOSED / CERRADO",IF(U939&lt;0,"⚠ ADD DATE / AGREGA FECHA",IF(U939&gt;=Settings!$C$8,"⚠ STALE – REPRICE / ESTANCADO",IF(U939&gt;=Settings!$C$7,"● WATCH / VIGILAR","✔ FRESH / RECIENTE"))))))</f>
        <v/>
      </c>
      <c r="S939" s="53" t="n">
        <f aca="false">IF(C939="",0,IF(OR(J939="",J939="In Stock / En Inventario",J939="Listed / Publicado"),1,0))</f>
        <v>0</v>
      </c>
      <c r="T939" s="53" t="n">
        <f aca="false">IF(C939="",0,IF(J939="Sold / Vendido",1,0))</f>
        <v>0</v>
      </c>
      <c r="U939" s="53" t="n">
        <f aca="true">IF(S939=1,IF(ISNUMBER(F939),TODAY()-F939,-1),-1)</f>
        <v>-1</v>
      </c>
      <c r="V939" s="53" t="n">
        <f aca="false">IF(U939&lt;0,IF(S939=1,5,0),IF(U939&lt;=30,1,IF(U939&lt;=60,2,IF(U939&lt;=90,3,4))))</f>
        <v>0</v>
      </c>
      <c r="W939" s="53" t="n">
        <f aca="false">IF(U939&lt;0,-1000000000000000,U939+ROW()/1000000)</f>
        <v>-1000000000000000</v>
      </c>
      <c r="X939" s="53" t="n">
        <f aca="false">IF(T939=1,IF(AND(ISNUMBER(F939),ISNUMBER(K939)),K939-F939,0),0)</f>
        <v>0</v>
      </c>
      <c r="Y939" s="53" t="n">
        <f aca="false">IF(T939=1,IF(AND(ISNUMBER(F939),ISNUMBER(K939)),1,0),0)</f>
        <v>0</v>
      </c>
      <c r="Z939" s="53" t="n">
        <f aca="false">IF(U939&gt;=Settings!$C$8,1,0)</f>
        <v>0</v>
      </c>
      <c r="AA939" s="53" t="n">
        <f aca="false">IF(S939=1,IF(J939="Listed / Publicado",0,1),0)</f>
        <v>0</v>
      </c>
      <c r="AB939" s="53" t="n">
        <f aca="false">IF(T939=1,IF(ISNUMBER(L939),L939-G939,0),0)</f>
        <v>0</v>
      </c>
      <c r="AC939" s="53" t="n">
        <f aca="false">IF(S939=1,IF(ISNUMBER(I939),I939-G939,0),0)</f>
        <v>0</v>
      </c>
    </row>
    <row r="940" customFormat="false" ht="15" hidden="false" customHeight="false" outlineLevel="0" collapsed="false">
      <c r="B940" s="54"/>
      <c r="C940" s="55"/>
      <c r="D940" s="55"/>
      <c r="E940" s="55"/>
      <c r="F940" s="56"/>
      <c r="G940" s="57"/>
      <c r="H940" s="55"/>
      <c r="I940" s="57"/>
      <c r="J940" s="54"/>
      <c r="K940" s="56"/>
      <c r="L940" s="57"/>
      <c r="M940" s="54"/>
      <c r="N940" s="58" t="str">
        <f aca="false">IF(S940=1,IF(U940&lt;0,"",U940),IF(Y940=1,X940,""))</f>
        <v/>
      </c>
      <c r="O940" s="59" t="str">
        <f aca="false">IF(S940=1,IF(ISNUMBER(I940),I940-G940,""),"")</f>
        <v/>
      </c>
      <c r="P940" s="59" t="str">
        <f aca="false">IF(T940=1,IF(ISNUMBER(L940),L940-G940,""),"")</f>
        <v/>
      </c>
      <c r="Q940" s="60" t="str">
        <f aca="false">IF(C940="","",IF(T940=1,"✔ SOLD / VENDIDO",IF(S940=0,"— CLOSED / CERRADO",IF(U940&lt;0,"⚠ ADD DATE / AGREGA FECHA",IF(U940&gt;=Settings!$C$8,"⚠ STALE – REPRICE / ESTANCADO",IF(U940&gt;=Settings!$C$7,"● WATCH / VIGILAR","✔ FRESH / RECIENTE"))))))</f>
        <v/>
      </c>
      <c r="S940" s="53" t="n">
        <f aca="false">IF(C940="",0,IF(OR(J940="",J940="In Stock / En Inventario",J940="Listed / Publicado"),1,0))</f>
        <v>0</v>
      </c>
      <c r="T940" s="53" t="n">
        <f aca="false">IF(C940="",0,IF(J940="Sold / Vendido",1,0))</f>
        <v>0</v>
      </c>
      <c r="U940" s="53" t="n">
        <f aca="true">IF(S940=1,IF(ISNUMBER(F940),TODAY()-F940,-1),-1)</f>
        <v>-1</v>
      </c>
      <c r="V940" s="53" t="n">
        <f aca="false">IF(U940&lt;0,IF(S940=1,5,0),IF(U940&lt;=30,1,IF(U940&lt;=60,2,IF(U940&lt;=90,3,4))))</f>
        <v>0</v>
      </c>
      <c r="W940" s="53" t="n">
        <f aca="false">IF(U940&lt;0,-1000000000000000,U940+ROW()/1000000)</f>
        <v>-1000000000000000</v>
      </c>
      <c r="X940" s="53" t="n">
        <f aca="false">IF(T940=1,IF(AND(ISNUMBER(F940),ISNUMBER(K940)),K940-F940,0),0)</f>
        <v>0</v>
      </c>
      <c r="Y940" s="53" t="n">
        <f aca="false">IF(T940=1,IF(AND(ISNUMBER(F940),ISNUMBER(K940)),1,0),0)</f>
        <v>0</v>
      </c>
      <c r="Z940" s="53" t="n">
        <f aca="false">IF(U940&gt;=Settings!$C$8,1,0)</f>
        <v>0</v>
      </c>
      <c r="AA940" s="53" t="n">
        <f aca="false">IF(S940=1,IF(J940="Listed / Publicado",0,1),0)</f>
        <v>0</v>
      </c>
      <c r="AB940" s="53" t="n">
        <f aca="false">IF(T940=1,IF(ISNUMBER(L940),L940-G940,0),0)</f>
        <v>0</v>
      </c>
      <c r="AC940" s="53" t="n">
        <f aca="false">IF(S940=1,IF(ISNUMBER(I940),I940-G940,0),0)</f>
        <v>0</v>
      </c>
    </row>
    <row r="941" customFormat="false" ht="15" hidden="false" customHeight="false" outlineLevel="0" collapsed="false">
      <c r="B941" s="54"/>
      <c r="C941" s="55"/>
      <c r="D941" s="55"/>
      <c r="E941" s="55"/>
      <c r="F941" s="56"/>
      <c r="G941" s="57"/>
      <c r="H941" s="55"/>
      <c r="I941" s="57"/>
      <c r="J941" s="54"/>
      <c r="K941" s="56"/>
      <c r="L941" s="57"/>
      <c r="M941" s="54"/>
      <c r="N941" s="58" t="str">
        <f aca="false">IF(S941=1,IF(U941&lt;0,"",U941),IF(Y941=1,X941,""))</f>
        <v/>
      </c>
      <c r="O941" s="59" t="str">
        <f aca="false">IF(S941=1,IF(ISNUMBER(I941),I941-G941,""),"")</f>
        <v/>
      </c>
      <c r="P941" s="59" t="str">
        <f aca="false">IF(T941=1,IF(ISNUMBER(L941),L941-G941,""),"")</f>
        <v/>
      </c>
      <c r="Q941" s="60" t="str">
        <f aca="false">IF(C941="","",IF(T941=1,"✔ SOLD / VENDIDO",IF(S941=0,"— CLOSED / CERRADO",IF(U941&lt;0,"⚠ ADD DATE / AGREGA FECHA",IF(U941&gt;=Settings!$C$8,"⚠ STALE – REPRICE / ESTANCADO",IF(U941&gt;=Settings!$C$7,"● WATCH / VIGILAR","✔ FRESH / RECIENTE"))))))</f>
        <v/>
      </c>
      <c r="S941" s="53" t="n">
        <f aca="false">IF(C941="",0,IF(OR(J941="",J941="In Stock / En Inventario",J941="Listed / Publicado"),1,0))</f>
        <v>0</v>
      </c>
      <c r="T941" s="53" t="n">
        <f aca="false">IF(C941="",0,IF(J941="Sold / Vendido",1,0))</f>
        <v>0</v>
      </c>
      <c r="U941" s="53" t="n">
        <f aca="true">IF(S941=1,IF(ISNUMBER(F941),TODAY()-F941,-1),-1)</f>
        <v>-1</v>
      </c>
      <c r="V941" s="53" t="n">
        <f aca="false">IF(U941&lt;0,IF(S941=1,5,0),IF(U941&lt;=30,1,IF(U941&lt;=60,2,IF(U941&lt;=90,3,4))))</f>
        <v>0</v>
      </c>
      <c r="W941" s="53" t="n">
        <f aca="false">IF(U941&lt;0,-1000000000000000,U941+ROW()/1000000)</f>
        <v>-1000000000000000</v>
      </c>
      <c r="X941" s="53" t="n">
        <f aca="false">IF(T941=1,IF(AND(ISNUMBER(F941),ISNUMBER(K941)),K941-F941,0),0)</f>
        <v>0</v>
      </c>
      <c r="Y941" s="53" t="n">
        <f aca="false">IF(T941=1,IF(AND(ISNUMBER(F941),ISNUMBER(K941)),1,0),0)</f>
        <v>0</v>
      </c>
      <c r="Z941" s="53" t="n">
        <f aca="false">IF(U941&gt;=Settings!$C$8,1,0)</f>
        <v>0</v>
      </c>
      <c r="AA941" s="53" t="n">
        <f aca="false">IF(S941=1,IF(J941="Listed / Publicado",0,1),0)</f>
        <v>0</v>
      </c>
      <c r="AB941" s="53" t="n">
        <f aca="false">IF(T941=1,IF(ISNUMBER(L941),L941-G941,0),0)</f>
        <v>0</v>
      </c>
      <c r="AC941" s="53" t="n">
        <f aca="false">IF(S941=1,IF(ISNUMBER(I941),I941-G941,0),0)</f>
        <v>0</v>
      </c>
    </row>
    <row r="942" customFormat="false" ht="15" hidden="false" customHeight="false" outlineLevel="0" collapsed="false">
      <c r="B942" s="54"/>
      <c r="C942" s="55"/>
      <c r="D942" s="55"/>
      <c r="E942" s="55"/>
      <c r="F942" s="56"/>
      <c r="G942" s="57"/>
      <c r="H942" s="55"/>
      <c r="I942" s="57"/>
      <c r="J942" s="54"/>
      <c r="K942" s="56"/>
      <c r="L942" s="57"/>
      <c r="M942" s="54"/>
      <c r="N942" s="58" t="str">
        <f aca="false">IF(S942=1,IF(U942&lt;0,"",U942),IF(Y942=1,X942,""))</f>
        <v/>
      </c>
      <c r="O942" s="59" t="str">
        <f aca="false">IF(S942=1,IF(ISNUMBER(I942),I942-G942,""),"")</f>
        <v/>
      </c>
      <c r="P942" s="59" t="str">
        <f aca="false">IF(T942=1,IF(ISNUMBER(L942),L942-G942,""),"")</f>
        <v/>
      </c>
      <c r="Q942" s="60" t="str">
        <f aca="false">IF(C942="","",IF(T942=1,"✔ SOLD / VENDIDO",IF(S942=0,"— CLOSED / CERRADO",IF(U942&lt;0,"⚠ ADD DATE / AGREGA FECHA",IF(U942&gt;=Settings!$C$8,"⚠ STALE – REPRICE / ESTANCADO",IF(U942&gt;=Settings!$C$7,"● WATCH / VIGILAR","✔ FRESH / RECIENTE"))))))</f>
        <v/>
      </c>
      <c r="S942" s="53" t="n">
        <f aca="false">IF(C942="",0,IF(OR(J942="",J942="In Stock / En Inventario",J942="Listed / Publicado"),1,0))</f>
        <v>0</v>
      </c>
      <c r="T942" s="53" t="n">
        <f aca="false">IF(C942="",0,IF(J942="Sold / Vendido",1,0))</f>
        <v>0</v>
      </c>
      <c r="U942" s="53" t="n">
        <f aca="true">IF(S942=1,IF(ISNUMBER(F942),TODAY()-F942,-1),-1)</f>
        <v>-1</v>
      </c>
      <c r="V942" s="53" t="n">
        <f aca="false">IF(U942&lt;0,IF(S942=1,5,0),IF(U942&lt;=30,1,IF(U942&lt;=60,2,IF(U942&lt;=90,3,4))))</f>
        <v>0</v>
      </c>
      <c r="W942" s="53" t="n">
        <f aca="false">IF(U942&lt;0,-1000000000000000,U942+ROW()/1000000)</f>
        <v>-1000000000000000</v>
      </c>
      <c r="X942" s="53" t="n">
        <f aca="false">IF(T942=1,IF(AND(ISNUMBER(F942),ISNUMBER(K942)),K942-F942,0),0)</f>
        <v>0</v>
      </c>
      <c r="Y942" s="53" t="n">
        <f aca="false">IF(T942=1,IF(AND(ISNUMBER(F942),ISNUMBER(K942)),1,0),0)</f>
        <v>0</v>
      </c>
      <c r="Z942" s="53" t="n">
        <f aca="false">IF(U942&gt;=Settings!$C$8,1,0)</f>
        <v>0</v>
      </c>
      <c r="AA942" s="53" t="n">
        <f aca="false">IF(S942=1,IF(J942="Listed / Publicado",0,1),0)</f>
        <v>0</v>
      </c>
      <c r="AB942" s="53" t="n">
        <f aca="false">IF(T942=1,IF(ISNUMBER(L942),L942-G942,0),0)</f>
        <v>0</v>
      </c>
      <c r="AC942" s="53" t="n">
        <f aca="false">IF(S942=1,IF(ISNUMBER(I942),I942-G942,0),0)</f>
        <v>0</v>
      </c>
    </row>
    <row r="943" customFormat="false" ht="15" hidden="false" customHeight="false" outlineLevel="0" collapsed="false">
      <c r="B943" s="54"/>
      <c r="C943" s="55"/>
      <c r="D943" s="55"/>
      <c r="E943" s="55"/>
      <c r="F943" s="56"/>
      <c r="G943" s="57"/>
      <c r="H943" s="55"/>
      <c r="I943" s="57"/>
      <c r="J943" s="54"/>
      <c r="K943" s="56"/>
      <c r="L943" s="57"/>
      <c r="M943" s="54"/>
      <c r="N943" s="58" t="str">
        <f aca="false">IF(S943=1,IF(U943&lt;0,"",U943),IF(Y943=1,X943,""))</f>
        <v/>
      </c>
      <c r="O943" s="59" t="str">
        <f aca="false">IF(S943=1,IF(ISNUMBER(I943),I943-G943,""),"")</f>
        <v/>
      </c>
      <c r="P943" s="59" t="str">
        <f aca="false">IF(T943=1,IF(ISNUMBER(L943),L943-G943,""),"")</f>
        <v/>
      </c>
      <c r="Q943" s="60" t="str">
        <f aca="false">IF(C943="","",IF(T943=1,"✔ SOLD / VENDIDO",IF(S943=0,"— CLOSED / CERRADO",IF(U943&lt;0,"⚠ ADD DATE / AGREGA FECHA",IF(U943&gt;=Settings!$C$8,"⚠ STALE – REPRICE / ESTANCADO",IF(U943&gt;=Settings!$C$7,"● WATCH / VIGILAR","✔ FRESH / RECIENTE"))))))</f>
        <v/>
      </c>
      <c r="S943" s="53" t="n">
        <f aca="false">IF(C943="",0,IF(OR(J943="",J943="In Stock / En Inventario",J943="Listed / Publicado"),1,0))</f>
        <v>0</v>
      </c>
      <c r="T943" s="53" t="n">
        <f aca="false">IF(C943="",0,IF(J943="Sold / Vendido",1,0))</f>
        <v>0</v>
      </c>
      <c r="U943" s="53" t="n">
        <f aca="true">IF(S943=1,IF(ISNUMBER(F943),TODAY()-F943,-1),-1)</f>
        <v>-1</v>
      </c>
      <c r="V943" s="53" t="n">
        <f aca="false">IF(U943&lt;0,IF(S943=1,5,0),IF(U943&lt;=30,1,IF(U943&lt;=60,2,IF(U943&lt;=90,3,4))))</f>
        <v>0</v>
      </c>
      <c r="W943" s="53" t="n">
        <f aca="false">IF(U943&lt;0,-1000000000000000,U943+ROW()/1000000)</f>
        <v>-1000000000000000</v>
      </c>
      <c r="X943" s="53" t="n">
        <f aca="false">IF(T943=1,IF(AND(ISNUMBER(F943),ISNUMBER(K943)),K943-F943,0),0)</f>
        <v>0</v>
      </c>
      <c r="Y943" s="53" t="n">
        <f aca="false">IF(T943=1,IF(AND(ISNUMBER(F943),ISNUMBER(K943)),1,0),0)</f>
        <v>0</v>
      </c>
      <c r="Z943" s="53" t="n">
        <f aca="false">IF(U943&gt;=Settings!$C$8,1,0)</f>
        <v>0</v>
      </c>
      <c r="AA943" s="53" t="n">
        <f aca="false">IF(S943=1,IF(J943="Listed / Publicado",0,1),0)</f>
        <v>0</v>
      </c>
      <c r="AB943" s="53" t="n">
        <f aca="false">IF(T943=1,IF(ISNUMBER(L943),L943-G943,0),0)</f>
        <v>0</v>
      </c>
      <c r="AC943" s="53" t="n">
        <f aca="false">IF(S943=1,IF(ISNUMBER(I943),I943-G943,0),0)</f>
        <v>0</v>
      </c>
    </row>
    <row r="944" customFormat="false" ht="15" hidden="false" customHeight="false" outlineLevel="0" collapsed="false">
      <c r="B944" s="54"/>
      <c r="C944" s="55"/>
      <c r="D944" s="55"/>
      <c r="E944" s="55"/>
      <c r="F944" s="56"/>
      <c r="G944" s="57"/>
      <c r="H944" s="55"/>
      <c r="I944" s="57"/>
      <c r="J944" s="54"/>
      <c r="K944" s="56"/>
      <c r="L944" s="57"/>
      <c r="M944" s="54"/>
      <c r="N944" s="58" t="str">
        <f aca="false">IF(S944=1,IF(U944&lt;0,"",U944),IF(Y944=1,X944,""))</f>
        <v/>
      </c>
      <c r="O944" s="59" t="str">
        <f aca="false">IF(S944=1,IF(ISNUMBER(I944),I944-G944,""),"")</f>
        <v/>
      </c>
      <c r="P944" s="59" t="str">
        <f aca="false">IF(T944=1,IF(ISNUMBER(L944),L944-G944,""),"")</f>
        <v/>
      </c>
      <c r="Q944" s="60" t="str">
        <f aca="false">IF(C944="","",IF(T944=1,"✔ SOLD / VENDIDO",IF(S944=0,"— CLOSED / CERRADO",IF(U944&lt;0,"⚠ ADD DATE / AGREGA FECHA",IF(U944&gt;=Settings!$C$8,"⚠ STALE – REPRICE / ESTANCADO",IF(U944&gt;=Settings!$C$7,"● WATCH / VIGILAR","✔ FRESH / RECIENTE"))))))</f>
        <v/>
      </c>
      <c r="S944" s="53" t="n">
        <f aca="false">IF(C944="",0,IF(OR(J944="",J944="In Stock / En Inventario",J944="Listed / Publicado"),1,0))</f>
        <v>0</v>
      </c>
      <c r="T944" s="53" t="n">
        <f aca="false">IF(C944="",0,IF(J944="Sold / Vendido",1,0))</f>
        <v>0</v>
      </c>
      <c r="U944" s="53" t="n">
        <f aca="true">IF(S944=1,IF(ISNUMBER(F944),TODAY()-F944,-1),-1)</f>
        <v>-1</v>
      </c>
      <c r="V944" s="53" t="n">
        <f aca="false">IF(U944&lt;0,IF(S944=1,5,0),IF(U944&lt;=30,1,IF(U944&lt;=60,2,IF(U944&lt;=90,3,4))))</f>
        <v>0</v>
      </c>
      <c r="W944" s="53" t="n">
        <f aca="false">IF(U944&lt;0,-1000000000000000,U944+ROW()/1000000)</f>
        <v>-1000000000000000</v>
      </c>
      <c r="X944" s="53" t="n">
        <f aca="false">IF(T944=1,IF(AND(ISNUMBER(F944),ISNUMBER(K944)),K944-F944,0),0)</f>
        <v>0</v>
      </c>
      <c r="Y944" s="53" t="n">
        <f aca="false">IF(T944=1,IF(AND(ISNUMBER(F944),ISNUMBER(K944)),1,0),0)</f>
        <v>0</v>
      </c>
      <c r="Z944" s="53" t="n">
        <f aca="false">IF(U944&gt;=Settings!$C$8,1,0)</f>
        <v>0</v>
      </c>
      <c r="AA944" s="53" t="n">
        <f aca="false">IF(S944=1,IF(J944="Listed / Publicado",0,1),0)</f>
        <v>0</v>
      </c>
      <c r="AB944" s="53" t="n">
        <f aca="false">IF(T944=1,IF(ISNUMBER(L944),L944-G944,0),0)</f>
        <v>0</v>
      </c>
      <c r="AC944" s="53" t="n">
        <f aca="false">IF(S944=1,IF(ISNUMBER(I944),I944-G944,0),0)</f>
        <v>0</v>
      </c>
    </row>
    <row r="945" customFormat="false" ht="15" hidden="false" customHeight="false" outlineLevel="0" collapsed="false">
      <c r="B945" s="54"/>
      <c r="C945" s="55"/>
      <c r="D945" s="55"/>
      <c r="E945" s="55"/>
      <c r="F945" s="56"/>
      <c r="G945" s="57"/>
      <c r="H945" s="55"/>
      <c r="I945" s="57"/>
      <c r="J945" s="54"/>
      <c r="K945" s="56"/>
      <c r="L945" s="57"/>
      <c r="M945" s="54"/>
      <c r="N945" s="58" t="str">
        <f aca="false">IF(S945=1,IF(U945&lt;0,"",U945),IF(Y945=1,X945,""))</f>
        <v/>
      </c>
      <c r="O945" s="59" t="str">
        <f aca="false">IF(S945=1,IF(ISNUMBER(I945),I945-G945,""),"")</f>
        <v/>
      </c>
      <c r="P945" s="59" t="str">
        <f aca="false">IF(T945=1,IF(ISNUMBER(L945),L945-G945,""),"")</f>
        <v/>
      </c>
      <c r="Q945" s="60" t="str">
        <f aca="false">IF(C945="","",IF(T945=1,"✔ SOLD / VENDIDO",IF(S945=0,"— CLOSED / CERRADO",IF(U945&lt;0,"⚠ ADD DATE / AGREGA FECHA",IF(U945&gt;=Settings!$C$8,"⚠ STALE – REPRICE / ESTANCADO",IF(U945&gt;=Settings!$C$7,"● WATCH / VIGILAR","✔ FRESH / RECIENTE"))))))</f>
        <v/>
      </c>
      <c r="S945" s="53" t="n">
        <f aca="false">IF(C945="",0,IF(OR(J945="",J945="In Stock / En Inventario",J945="Listed / Publicado"),1,0))</f>
        <v>0</v>
      </c>
      <c r="T945" s="53" t="n">
        <f aca="false">IF(C945="",0,IF(J945="Sold / Vendido",1,0))</f>
        <v>0</v>
      </c>
      <c r="U945" s="53" t="n">
        <f aca="true">IF(S945=1,IF(ISNUMBER(F945),TODAY()-F945,-1),-1)</f>
        <v>-1</v>
      </c>
      <c r="V945" s="53" t="n">
        <f aca="false">IF(U945&lt;0,IF(S945=1,5,0),IF(U945&lt;=30,1,IF(U945&lt;=60,2,IF(U945&lt;=90,3,4))))</f>
        <v>0</v>
      </c>
      <c r="W945" s="53" t="n">
        <f aca="false">IF(U945&lt;0,-1000000000000000,U945+ROW()/1000000)</f>
        <v>-1000000000000000</v>
      </c>
      <c r="X945" s="53" t="n">
        <f aca="false">IF(T945=1,IF(AND(ISNUMBER(F945),ISNUMBER(K945)),K945-F945,0),0)</f>
        <v>0</v>
      </c>
      <c r="Y945" s="53" t="n">
        <f aca="false">IF(T945=1,IF(AND(ISNUMBER(F945),ISNUMBER(K945)),1,0),0)</f>
        <v>0</v>
      </c>
      <c r="Z945" s="53" t="n">
        <f aca="false">IF(U945&gt;=Settings!$C$8,1,0)</f>
        <v>0</v>
      </c>
      <c r="AA945" s="53" t="n">
        <f aca="false">IF(S945=1,IF(J945="Listed / Publicado",0,1),0)</f>
        <v>0</v>
      </c>
      <c r="AB945" s="53" t="n">
        <f aca="false">IF(T945=1,IF(ISNUMBER(L945),L945-G945,0),0)</f>
        <v>0</v>
      </c>
      <c r="AC945" s="53" t="n">
        <f aca="false">IF(S945=1,IF(ISNUMBER(I945),I945-G945,0),0)</f>
        <v>0</v>
      </c>
    </row>
    <row r="946" customFormat="false" ht="15" hidden="false" customHeight="false" outlineLevel="0" collapsed="false">
      <c r="B946" s="54"/>
      <c r="C946" s="55"/>
      <c r="D946" s="55"/>
      <c r="E946" s="55"/>
      <c r="F946" s="56"/>
      <c r="G946" s="57"/>
      <c r="H946" s="55"/>
      <c r="I946" s="57"/>
      <c r="J946" s="54"/>
      <c r="K946" s="56"/>
      <c r="L946" s="57"/>
      <c r="M946" s="54"/>
      <c r="N946" s="58" t="str">
        <f aca="false">IF(S946=1,IF(U946&lt;0,"",U946),IF(Y946=1,X946,""))</f>
        <v/>
      </c>
      <c r="O946" s="59" t="str">
        <f aca="false">IF(S946=1,IF(ISNUMBER(I946),I946-G946,""),"")</f>
        <v/>
      </c>
      <c r="P946" s="59" t="str">
        <f aca="false">IF(T946=1,IF(ISNUMBER(L946),L946-G946,""),"")</f>
        <v/>
      </c>
      <c r="Q946" s="60" t="str">
        <f aca="false">IF(C946="","",IF(T946=1,"✔ SOLD / VENDIDO",IF(S946=0,"— CLOSED / CERRADO",IF(U946&lt;0,"⚠ ADD DATE / AGREGA FECHA",IF(U946&gt;=Settings!$C$8,"⚠ STALE – REPRICE / ESTANCADO",IF(U946&gt;=Settings!$C$7,"● WATCH / VIGILAR","✔ FRESH / RECIENTE"))))))</f>
        <v/>
      </c>
      <c r="S946" s="53" t="n">
        <f aca="false">IF(C946="",0,IF(OR(J946="",J946="In Stock / En Inventario",J946="Listed / Publicado"),1,0))</f>
        <v>0</v>
      </c>
      <c r="T946" s="53" t="n">
        <f aca="false">IF(C946="",0,IF(J946="Sold / Vendido",1,0))</f>
        <v>0</v>
      </c>
      <c r="U946" s="53" t="n">
        <f aca="true">IF(S946=1,IF(ISNUMBER(F946),TODAY()-F946,-1),-1)</f>
        <v>-1</v>
      </c>
      <c r="V946" s="53" t="n">
        <f aca="false">IF(U946&lt;0,IF(S946=1,5,0),IF(U946&lt;=30,1,IF(U946&lt;=60,2,IF(U946&lt;=90,3,4))))</f>
        <v>0</v>
      </c>
      <c r="W946" s="53" t="n">
        <f aca="false">IF(U946&lt;0,-1000000000000000,U946+ROW()/1000000)</f>
        <v>-1000000000000000</v>
      </c>
      <c r="X946" s="53" t="n">
        <f aca="false">IF(T946=1,IF(AND(ISNUMBER(F946),ISNUMBER(K946)),K946-F946,0),0)</f>
        <v>0</v>
      </c>
      <c r="Y946" s="53" t="n">
        <f aca="false">IF(T946=1,IF(AND(ISNUMBER(F946),ISNUMBER(K946)),1,0),0)</f>
        <v>0</v>
      </c>
      <c r="Z946" s="53" t="n">
        <f aca="false">IF(U946&gt;=Settings!$C$8,1,0)</f>
        <v>0</v>
      </c>
      <c r="AA946" s="53" t="n">
        <f aca="false">IF(S946=1,IF(J946="Listed / Publicado",0,1),0)</f>
        <v>0</v>
      </c>
      <c r="AB946" s="53" t="n">
        <f aca="false">IF(T946=1,IF(ISNUMBER(L946),L946-G946,0),0)</f>
        <v>0</v>
      </c>
      <c r="AC946" s="53" t="n">
        <f aca="false">IF(S946=1,IF(ISNUMBER(I946),I946-G946,0),0)</f>
        <v>0</v>
      </c>
    </row>
    <row r="947" customFormat="false" ht="15" hidden="false" customHeight="false" outlineLevel="0" collapsed="false">
      <c r="B947" s="54"/>
      <c r="C947" s="55"/>
      <c r="D947" s="55"/>
      <c r="E947" s="55"/>
      <c r="F947" s="56"/>
      <c r="G947" s="57"/>
      <c r="H947" s="55"/>
      <c r="I947" s="57"/>
      <c r="J947" s="54"/>
      <c r="K947" s="56"/>
      <c r="L947" s="57"/>
      <c r="M947" s="54"/>
      <c r="N947" s="58" t="str">
        <f aca="false">IF(S947=1,IF(U947&lt;0,"",U947),IF(Y947=1,X947,""))</f>
        <v/>
      </c>
      <c r="O947" s="59" t="str">
        <f aca="false">IF(S947=1,IF(ISNUMBER(I947),I947-G947,""),"")</f>
        <v/>
      </c>
      <c r="P947" s="59" t="str">
        <f aca="false">IF(T947=1,IF(ISNUMBER(L947),L947-G947,""),"")</f>
        <v/>
      </c>
      <c r="Q947" s="60" t="str">
        <f aca="false">IF(C947="","",IF(T947=1,"✔ SOLD / VENDIDO",IF(S947=0,"— CLOSED / CERRADO",IF(U947&lt;0,"⚠ ADD DATE / AGREGA FECHA",IF(U947&gt;=Settings!$C$8,"⚠ STALE – REPRICE / ESTANCADO",IF(U947&gt;=Settings!$C$7,"● WATCH / VIGILAR","✔ FRESH / RECIENTE"))))))</f>
        <v/>
      </c>
      <c r="S947" s="53" t="n">
        <f aca="false">IF(C947="",0,IF(OR(J947="",J947="In Stock / En Inventario",J947="Listed / Publicado"),1,0))</f>
        <v>0</v>
      </c>
      <c r="T947" s="53" t="n">
        <f aca="false">IF(C947="",0,IF(J947="Sold / Vendido",1,0))</f>
        <v>0</v>
      </c>
      <c r="U947" s="53" t="n">
        <f aca="true">IF(S947=1,IF(ISNUMBER(F947),TODAY()-F947,-1),-1)</f>
        <v>-1</v>
      </c>
      <c r="V947" s="53" t="n">
        <f aca="false">IF(U947&lt;0,IF(S947=1,5,0),IF(U947&lt;=30,1,IF(U947&lt;=60,2,IF(U947&lt;=90,3,4))))</f>
        <v>0</v>
      </c>
      <c r="W947" s="53" t="n">
        <f aca="false">IF(U947&lt;0,-1000000000000000,U947+ROW()/1000000)</f>
        <v>-1000000000000000</v>
      </c>
      <c r="X947" s="53" t="n">
        <f aca="false">IF(T947=1,IF(AND(ISNUMBER(F947),ISNUMBER(K947)),K947-F947,0),0)</f>
        <v>0</v>
      </c>
      <c r="Y947" s="53" t="n">
        <f aca="false">IF(T947=1,IF(AND(ISNUMBER(F947),ISNUMBER(K947)),1,0),0)</f>
        <v>0</v>
      </c>
      <c r="Z947" s="53" t="n">
        <f aca="false">IF(U947&gt;=Settings!$C$8,1,0)</f>
        <v>0</v>
      </c>
      <c r="AA947" s="53" t="n">
        <f aca="false">IF(S947=1,IF(J947="Listed / Publicado",0,1),0)</f>
        <v>0</v>
      </c>
      <c r="AB947" s="53" t="n">
        <f aca="false">IF(T947=1,IF(ISNUMBER(L947),L947-G947,0),0)</f>
        <v>0</v>
      </c>
      <c r="AC947" s="53" t="n">
        <f aca="false">IF(S947=1,IF(ISNUMBER(I947),I947-G947,0),0)</f>
        <v>0</v>
      </c>
    </row>
    <row r="948" customFormat="false" ht="15" hidden="false" customHeight="false" outlineLevel="0" collapsed="false">
      <c r="B948" s="54"/>
      <c r="C948" s="55"/>
      <c r="D948" s="55"/>
      <c r="E948" s="55"/>
      <c r="F948" s="56"/>
      <c r="G948" s="57"/>
      <c r="H948" s="55"/>
      <c r="I948" s="57"/>
      <c r="J948" s="54"/>
      <c r="K948" s="56"/>
      <c r="L948" s="57"/>
      <c r="M948" s="54"/>
      <c r="N948" s="58" t="str">
        <f aca="false">IF(S948=1,IF(U948&lt;0,"",U948),IF(Y948=1,X948,""))</f>
        <v/>
      </c>
      <c r="O948" s="59" t="str">
        <f aca="false">IF(S948=1,IF(ISNUMBER(I948),I948-G948,""),"")</f>
        <v/>
      </c>
      <c r="P948" s="59" t="str">
        <f aca="false">IF(T948=1,IF(ISNUMBER(L948),L948-G948,""),"")</f>
        <v/>
      </c>
      <c r="Q948" s="60" t="str">
        <f aca="false">IF(C948="","",IF(T948=1,"✔ SOLD / VENDIDO",IF(S948=0,"— CLOSED / CERRADO",IF(U948&lt;0,"⚠ ADD DATE / AGREGA FECHA",IF(U948&gt;=Settings!$C$8,"⚠ STALE – REPRICE / ESTANCADO",IF(U948&gt;=Settings!$C$7,"● WATCH / VIGILAR","✔ FRESH / RECIENTE"))))))</f>
        <v/>
      </c>
      <c r="S948" s="53" t="n">
        <f aca="false">IF(C948="",0,IF(OR(J948="",J948="In Stock / En Inventario",J948="Listed / Publicado"),1,0))</f>
        <v>0</v>
      </c>
      <c r="T948" s="53" t="n">
        <f aca="false">IF(C948="",0,IF(J948="Sold / Vendido",1,0))</f>
        <v>0</v>
      </c>
      <c r="U948" s="53" t="n">
        <f aca="true">IF(S948=1,IF(ISNUMBER(F948),TODAY()-F948,-1),-1)</f>
        <v>-1</v>
      </c>
      <c r="V948" s="53" t="n">
        <f aca="false">IF(U948&lt;0,IF(S948=1,5,0),IF(U948&lt;=30,1,IF(U948&lt;=60,2,IF(U948&lt;=90,3,4))))</f>
        <v>0</v>
      </c>
      <c r="W948" s="53" t="n">
        <f aca="false">IF(U948&lt;0,-1000000000000000,U948+ROW()/1000000)</f>
        <v>-1000000000000000</v>
      </c>
      <c r="X948" s="53" t="n">
        <f aca="false">IF(T948=1,IF(AND(ISNUMBER(F948),ISNUMBER(K948)),K948-F948,0),0)</f>
        <v>0</v>
      </c>
      <c r="Y948" s="53" t="n">
        <f aca="false">IF(T948=1,IF(AND(ISNUMBER(F948),ISNUMBER(K948)),1,0),0)</f>
        <v>0</v>
      </c>
      <c r="Z948" s="53" t="n">
        <f aca="false">IF(U948&gt;=Settings!$C$8,1,0)</f>
        <v>0</v>
      </c>
      <c r="AA948" s="53" t="n">
        <f aca="false">IF(S948=1,IF(J948="Listed / Publicado",0,1),0)</f>
        <v>0</v>
      </c>
      <c r="AB948" s="53" t="n">
        <f aca="false">IF(T948=1,IF(ISNUMBER(L948),L948-G948,0),0)</f>
        <v>0</v>
      </c>
      <c r="AC948" s="53" t="n">
        <f aca="false">IF(S948=1,IF(ISNUMBER(I948),I948-G948,0),0)</f>
        <v>0</v>
      </c>
    </row>
    <row r="949" customFormat="false" ht="15" hidden="false" customHeight="false" outlineLevel="0" collapsed="false">
      <c r="B949" s="54"/>
      <c r="C949" s="55"/>
      <c r="D949" s="55"/>
      <c r="E949" s="55"/>
      <c r="F949" s="56"/>
      <c r="G949" s="57"/>
      <c r="H949" s="55"/>
      <c r="I949" s="57"/>
      <c r="J949" s="54"/>
      <c r="K949" s="56"/>
      <c r="L949" s="57"/>
      <c r="M949" s="54"/>
      <c r="N949" s="58" t="str">
        <f aca="false">IF(S949=1,IF(U949&lt;0,"",U949),IF(Y949=1,X949,""))</f>
        <v/>
      </c>
      <c r="O949" s="59" t="str">
        <f aca="false">IF(S949=1,IF(ISNUMBER(I949),I949-G949,""),"")</f>
        <v/>
      </c>
      <c r="P949" s="59" t="str">
        <f aca="false">IF(T949=1,IF(ISNUMBER(L949),L949-G949,""),"")</f>
        <v/>
      </c>
      <c r="Q949" s="60" t="str">
        <f aca="false">IF(C949="","",IF(T949=1,"✔ SOLD / VENDIDO",IF(S949=0,"— CLOSED / CERRADO",IF(U949&lt;0,"⚠ ADD DATE / AGREGA FECHA",IF(U949&gt;=Settings!$C$8,"⚠ STALE – REPRICE / ESTANCADO",IF(U949&gt;=Settings!$C$7,"● WATCH / VIGILAR","✔ FRESH / RECIENTE"))))))</f>
        <v/>
      </c>
      <c r="S949" s="53" t="n">
        <f aca="false">IF(C949="",0,IF(OR(J949="",J949="In Stock / En Inventario",J949="Listed / Publicado"),1,0))</f>
        <v>0</v>
      </c>
      <c r="T949" s="53" t="n">
        <f aca="false">IF(C949="",0,IF(J949="Sold / Vendido",1,0))</f>
        <v>0</v>
      </c>
      <c r="U949" s="53" t="n">
        <f aca="true">IF(S949=1,IF(ISNUMBER(F949),TODAY()-F949,-1),-1)</f>
        <v>-1</v>
      </c>
      <c r="V949" s="53" t="n">
        <f aca="false">IF(U949&lt;0,IF(S949=1,5,0),IF(U949&lt;=30,1,IF(U949&lt;=60,2,IF(U949&lt;=90,3,4))))</f>
        <v>0</v>
      </c>
      <c r="W949" s="53" t="n">
        <f aca="false">IF(U949&lt;0,-1000000000000000,U949+ROW()/1000000)</f>
        <v>-1000000000000000</v>
      </c>
      <c r="X949" s="53" t="n">
        <f aca="false">IF(T949=1,IF(AND(ISNUMBER(F949),ISNUMBER(K949)),K949-F949,0),0)</f>
        <v>0</v>
      </c>
      <c r="Y949" s="53" t="n">
        <f aca="false">IF(T949=1,IF(AND(ISNUMBER(F949),ISNUMBER(K949)),1,0),0)</f>
        <v>0</v>
      </c>
      <c r="Z949" s="53" t="n">
        <f aca="false">IF(U949&gt;=Settings!$C$8,1,0)</f>
        <v>0</v>
      </c>
      <c r="AA949" s="53" t="n">
        <f aca="false">IF(S949=1,IF(J949="Listed / Publicado",0,1),0)</f>
        <v>0</v>
      </c>
      <c r="AB949" s="53" t="n">
        <f aca="false">IF(T949=1,IF(ISNUMBER(L949),L949-G949,0),0)</f>
        <v>0</v>
      </c>
      <c r="AC949" s="53" t="n">
        <f aca="false">IF(S949=1,IF(ISNUMBER(I949),I949-G949,0),0)</f>
        <v>0</v>
      </c>
    </row>
    <row r="950" customFormat="false" ht="15" hidden="false" customHeight="false" outlineLevel="0" collapsed="false">
      <c r="B950" s="54"/>
      <c r="C950" s="55"/>
      <c r="D950" s="55"/>
      <c r="E950" s="55"/>
      <c r="F950" s="56"/>
      <c r="G950" s="57"/>
      <c r="H950" s="55"/>
      <c r="I950" s="57"/>
      <c r="J950" s="54"/>
      <c r="K950" s="56"/>
      <c r="L950" s="57"/>
      <c r="M950" s="54"/>
      <c r="N950" s="58" t="str">
        <f aca="false">IF(S950=1,IF(U950&lt;0,"",U950),IF(Y950=1,X950,""))</f>
        <v/>
      </c>
      <c r="O950" s="59" t="str">
        <f aca="false">IF(S950=1,IF(ISNUMBER(I950),I950-G950,""),"")</f>
        <v/>
      </c>
      <c r="P950" s="59" t="str">
        <f aca="false">IF(T950=1,IF(ISNUMBER(L950),L950-G950,""),"")</f>
        <v/>
      </c>
      <c r="Q950" s="60" t="str">
        <f aca="false">IF(C950="","",IF(T950=1,"✔ SOLD / VENDIDO",IF(S950=0,"— CLOSED / CERRADO",IF(U950&lt;0,"⚠ ADD DATE / AGREGA FECHA",IF(U950&gt;=Settings!$C$8,"⚠ STALE – REPRICE / ESTANCADO",IF(U950&gt;=Settings!$C$7,"● WATCH / VIGILAR","✔ FRESH / RECIENTE"))))))</f>
        <v/>
      </c>
      <c r="S950" s="53" t="n">
        <f aca="false">IF(C950="",0,IF(OR(J950="",J950="In Stock / En Inventario",J950="Listed / Publicado"),1,0))</f>
        <v>0</v>
      </c>
      <c r="T950" s="53" t="n">
        <f aca="false">IF(C950="",0,IF(J950="Sold / Vendido",1,0))</f>
        <v>0</v>
      </c>
      <c r="U950" s="53" t="n">
        <f aca="true">IF(S950=1,IF(ISNUMBER(F950),TODAY()-F950,-1),-1)</f>
        <v>-1</v>
      </c>
      <c r="V950" s="53" t="n">
        <f aca="false">IF(U950&lt;0,IF(S950=1,5,0),IF(U950&lt;=30,1,IF(U950&lt;=60,2,IF(U950&lt;=90,3,4))))</f>
        <v>0</v>
      </c>
      <c r="W950" s="53" t="n">
        <f aca="false">IF(U950&lt;0,-1000000000000000,U950+ROW()/1000000)</f>
        <v>-1000000000000000</v>
      </c>
      <c r="X950" s="53" t="n">
        <f aca="false">IF(T950=1,IF(AND(ISNUMBER(F950),ISNUMBER(K950)),K950-F950,0),0)</f>
        <v>0</v>
      </c>
      <c r="Y950" s="53" t="n">
        <f aca="false">IF(T950=1,IF(AND(ISNUMBER(F950),ISNUMBER(K950)),1,0),0)</f>
        <v>0</v>
      </c>
      <c r="Z950" s="53" t="n">
        <f aca="false">IF(U950&gt;=Settings!$C$8,1,0)</f>
        <v>0</v>
      </c>
      <c r="AA950" s="53" t="n">
        <f aca="false">IF(S950=1,IF(J950="Listed / Publicado",0,1),0)</f>
        <v>0</v>
      </c>
      <c r="AB950" s="53" t="n">
        <f aca="false">IF(T950=1,IF(ISNUMBER(L950),L950-G950,0),0)</f>
        <v>0</v>
      </c>
      <c r="AC950" s="53" t="n">
        <f aca="false">IF(S950=1,IF(ISNUMBER(I950),I950-G950,0),0)</f>
        <v>0</v>
      </c>
    </row>
    <row r="951" customFormat="false" ht="15" hidden="false" customHeight="false" outlineLevel="0" collapsed="false">
      <c r="B951" s="54"/>
      <c r="C951" s="55"/>
      <c r="D951" s="55"/>
      <c r="E951" s="55"/>
      <c r="F951" s="56"/>
      <c r="G951" s="57"/>
      <c r="H951" s="55"/>
      <c r="I951" s="57"/>
      <c r="J951" s="54"/>
      <c r="K951" s="56"/>
      <c r="L951" s="57"/>
      <c r="M951" s="54"/>
      <c r="N951" s="58" t="str">
        <f aca="false">IF(S951=1,IF(U951&lt;0,"",U951),IF(Y951=1,X951,""))</f>
        <v/>
      </c>
      <c r="O951" s="59" t="str">
        <f aca="false">IF(S951=1,IF(ISNUMBER(I951),I951-G951,""),"")</f>
        <v/>
      </c>
      <c r="P951" s="59" t="str">
        <f aca="false">IF(T951=1,IF(ISNUMBER(L951),L951-G951,""),"")</f>
        <v/>
      </c>
      <c r="Q951" s="60" t="str">
        <f aca="false">IF(C951="","",IF(T951=1,"✔ SOLD / VENDIDO",IF(S951=0,"— CLOSED / CERRADO",IF(U951&lt;0,"⚠ ADD DATE / AGREGA FECHA",IF(U951&gt;=Settings!$C$8,"⚠ STALE – REPRICE / ESTANCADO",IF(U951&gt;=Settings!$C$7,"● WATCH / VIGILAR","✔ FRESH / RECIENTE"))))))</f>
        <v/>
      </c>
      <c r="S951" s="53" t="n">
        <f aca="false">IF(C951="",0,IF(OR(J951="",J951="In Stock / En Inventario",J951="Listed / Publicado"),1,0))</f>
        <v>0</v>
      </c>
      <c r="T951" s="53" t="n">
        <f aca="false">IF(C951="",0,IF(J951="Sold / Vendido",1,0))</f>
        <v>0</v>
      </c>
      <c r="U951" s="53" t="n">
        <f aca="true">IF(S951=1,IF(ISNUMBER(F951),TODAY()-F951,-1),-1)</f>
        <v>-1</v>
      </c>
      <c r="V951" s="53" t="n">
        <f aca="false">IF(U951&lt;0,IF(S951=1,5,0),IF(U951&lt;=30,1,IF(U951&lt;=60,2,IF(U951&lt;=90,3,4))))</f>
        <v>0</v>
      </c>
      <c r="W951" s="53" t="n">
        <f aca="false">IF(U951&lt;0,-1000000000000000,U951+ROW()/1000000)</f>
        <v>-1000000000000000</v>
      </c>
      <c r="X951" s="53" t="n">
        <f aca="false">IF(T951=1,IF(AND(ISNUMBER(F951),ISNUMBER(K951)),K951-F951,0),0)</f>
        <v>0</v>
      </c>
      <c r="Y951" s="53" t="n">
        <f aca="false">IF(T951=1,IF(AND(ISNUMBER(F951),ISNUMBER(K951)),1,0),0)</f>
        <v>0</v>
      </c>
      <c r="Z951" s="53" t="n">
        <f aca="false">IF(U951&gt;=Settings!$C$8,1,0)</f>
        <v>0</v>
      </c>
      <c r="AA951" s="53" t="n">
        <f aca="false">IF(S951=1,IF(J951="Listed / Publicado",0,1),0)</f>
        <v>0</v>
      </c>
      <c r="AB951" s="53" t="n">
        <f aca="false">IF(T951=1,IF(ISNUMBER(L951),L951-G951,0),0)</f>
        <v>0</v>
      </c>
      <c r="AC951" s="53" t="n">
        <f aca="false">IF(S951=1,IF(ISNUMBER(I951),I951-G951,0),0)</f>
        <v>0</v>
      </c>
    </row>
    <row r="952" customFormat="false" ht="15" hidden="false" customHeight="false" outlineLevel="0" collapsed="false">
      <c r="B952" s="54"/>
      <c r="C952" s="55"/>
      <c r="D952" s="55"/>
      <c r="E952" s="55"/>
      <c r="F952" s="56"/>
      <c r="G952" s="57"/>
      <c r="H952" s="55"/>
      <c r="I952" s="57"/>
      <c r="J952" s="54"/>
      <c r="K952" s="56"/>
      <c r="L952" s="57"/>
      <c r="M952" s="54"/>
      <c r="N952" s="58" t="str">
        <f aca="false">IF(S952=1,IF(U952&lt;0,"",U952),IF(Y952=1,X952,""))</f>
        <v/>
      </c>
      <c r="O952" s="59" t="str">
        <f aca="false">IF(S952=1,IF(ISNUMBER(I952),I952-G952,""),"")</f>
        <v/>
      </c>
      <c r="P952" s="59" t="str">
        <f aca="false">IF(T952=1,IF(ISNUMBER(L952),L952-G952,""),"")</f>
        <v/>
      </c>
      <c r="Q952" s="60" t="str">
        <f aca="false">IF(C952="","",IF(T952=1,"✔ SOLD / VENDIDO",IF(S952=0,"— CLOSED / CERRADO",IF(U952&lt;0,"⚠ ADD DATE / AGREGA FECHA",IF(U952&gt;=Settings!$C$8,"⚠ STALE – REPRICE / ESTANCADO",IF(U952&gt;=Settings!$C$7,"● WATCH / VIGILAR","✔ FRESH / RECIENTE"))))))</f>
        <v/>
      </c>
      <c r="S952" s="53" t="n">
        <f aca="false">IF(C952="",0,IF(OR(J952="",J952="In Stock / En Inventario",J952="Listed / Publicado"),1,0))</f>
        <v>0</v>
      </c>
      <c r="T952" s="53" t="n">
        <f aca="false">IF(C952="",0,IF(J952="Sold / Vendido",1,0))</f>
        <v>0</v>
      </c>
      <c r="U952" s="53" t="n">
        <f aca="true">IF(S952=1,IF(ISNUMBER(F952),TODAY()-F952,-1),-1)</f>
        <v>-1</v>
      </c>
      <c r="V952" s="53" t="n">
        <f aca="false">IF(U952&lt;0,IF(S952=1,5,0),IF(U952&lt;=30,1,IF(U952&lt;=60,2,IF(U952&lt;=90,3,4))))</f>
        <v>0</v>
      </c>
      <c r="W952" s="53" t="n">
        <f aca="false">IF(U952&lt;0,-1000000000000000,U952+ROW()/1000000)</f>
        <v>-1000000000000000</v>
      </c>
      <c r="X952" s="53" t="n">
        <f aca="false">IF(T952=1,IF(AND(ISNUMBER(F952),ISNUMBER(K952)),K952-F952,0),0)</f>
        <v>0</v>
      </c>
      <c r="Y952" s="53" t="n">
        <f aca="false">IF(T952=1,IF(AND(ISNUMBER(F952),ISNUMBER(K952)),1,0),0)</f>
        <v>0</v>
      </c>
      <c r="Z952" s="53" t="n">
        <f aca="false">IF(U952&gt;=Settings!$C$8,1,0)</f>
        <v>0</v>
      </c>
      <c r="AA952" s="53" t="n">
        <f aca="false">IF(S952=1,IF(J952="Listed / Publicado",0,1),0)</f>
        <v>0</v>
      </c>
      <c r="AB952" s="53" t="n">
        <f aca="false">IF(T952=1,IF(ISNUMBER(L952),L952-G952,0),0)</f>
        <v>0</v>
      </c>
      <c r="AC952" s="53" t="n">
        <f aca="false">IF(S952=1,IF(ISNUMBER(I952),I952-G952,0),0)</f>
        <v>0</v>
      </c>
    </row>
    <row r="953" customFormat="false" ht="15" hidden="false" customHeight="false" outlineLevel="0" collapsed="false">
      <c r="B953" s="54"/>
      <c r="C953" s="55"/>
      <c r="D953" s="55"/>
      <c r="E953" s="55"/>
      <c r="F953" s="56"/>
      <c r="G953" s="57"/>
      <c r="H953" s="55"/>
      <c r="I953" s="57"/>
      <c r="J953" s="54"/>
      <c r="K953" s="56"/>
      <c r="L953" s="57"/>
      <c r="M953" s="54"/>
      <c r="N953" s="58" t="str">
        <f aca="false">IF(S953=1,IF(U953&lt;0,"",U953),IF(Y953=1,X953,""))</f>
        <v/>
      </c>
      <c r="O953" s="59" t="str">
        <f aca="false">IF(S953=1,IF(ISNUMBER(I953),I953-G953,""),"")</f>
        <v/>
      </c>
      <c r="P953" s="59" t="str">
        <f aca="false">IF(T953=1,IF(ISNUMBER(L953),L953-G953,""),"")</f>
        <v/>
      </c>
      <c r="Q953" s="60" t="str">
        <f aca="false">IF(C953="","",IF(T953=1,"✔ SOLD / VENDIDO",IF(S953=0,"— CLOSED / CERRADO",IF(U953&lt;0,"⚠ ADD DATE / AGREGA FECHA",IF(U953&gt;=Settings!$C$8,"⚠ STALE – REPRICE / ESTANCADO",IF(U953&gt;=Settings!$C$7,"● WATCH / VIGILAR","✔ FRESH / RECIENTE"))))))</f>
        <v/>
      </c>
      <c r="S953" s="53" t="n">
        <f aca="false">IF(C953="",0,IF(OR(J953="",J953="In Stock / En Inventario",J953="Listed / Publicado"),1,0))</f>
        <v>0</v>
      </c>
      <c r="T953" s="53" t="n">
        <f aca="false">IF(C953="",0,IF(J953="Sold / Vendido",1,0))</f>
        <v>0</v>
      </c>
      <c r="U953" s="53" t="n">
        <f aca="true">IF(S953=1,IF(ISNUMBER(F953),TODAY()-F953,-1),-1)</f>
        <v>-1</v>
      </c>
      <c r="V953" s="53" t="n">
        <f aca="false">IF(U953&lt;0,IF(S953=1,5,0),IF(U953&lt;=30,1,IF(U953&lt;=60,2,IF(U953&lt;=90,3,4))))</f>
        <v>0</v>
      </c>
      <c r="W953" s="53" t="n">
        <f aca="false">IF(U953&lt;0,-1000000000000000,U953+ROW()/1000000)</f>
        <v>-1000000000000000</v>
      </c>
      <c r="X953" s="53" t="n">
        <f aca="false">IF(T953=1,IF(AND(ISNUMBER(F953),ISNUMBER(K953)),K953-F953,0),0)</f>
        <v>0</v>
      </c>
      <c r="Y953" s="53" t="n">
        <f aca="false">IF(T953=1,IF(AND(ISNUMBER(F953),ISNUMBER(K953)),1,0),0)</f>
        <v>0</v>
      </c>
      <c r="Z953" s="53" t="n">
        <f aca="false">IF(U953&gt;=Settings!$C$8,1,0)</f>
        <v>0</v>
      </c>
      <c r="AA953" s="53" t="n">
        <f aca="false">IF(S953=1,IF(J953="Listed / Publicado",0,1),0)</f>
        <v>0</v>
      </c>
      <c r="AB953" s="53" t="n">
        <f aca="false">IF(T953=1,IF(ISNUMBER(L953),L953-G953,0),0)</f>
        <v>0</v>
      </c>
      <c r="AC953" s="53" t="n">
        <f aca="false">IF(S953=1,IF(ISNUMBER(I953),I953-G953,0),0)</f>
        <v>0</v>
      </c>
    </row>
    <row r="954" customFormat="false" ht="15" hidden="false" customHeight="false" outlineLevel="0" collapsed="false">
      <c r="B954" s="54"/>
      <c r="C954" s="55"/>
      <c r="D954" s="55"/>
      <c r="E954" s="55"/>
      <c r="F954" s="56"/>
      <c r="G954" s="57"/>
      <c r="H954" s="55"/>
      <c r="I954" s="57"/>
      <c r="J954" s="54"/>
      <c r="K954" s="56"/>
      <c r="L954" s="57"/>
      <c r="M954" s="54"/>
      <c r="N954" s="58" t="str">
        <f aca="false">IF(S954=1,IF(U954&lt;0,"",U954),IF(Y954=1,X954,""))</f>
        <v/>
      </c>
      <c r="O954" s="59" t="str">
        <f aca="false">IF(S954=1,IF(ISNUMBER(I954),I954-G954,""),"")</f>
        <v/>
      </c>
      <c r="P954" s="59" t="str">
        <f aca="false">IF(T954=1,IF(ISNUMBER(L954),L954-G954,""),"")</f>
        <v/>
      </c>
      <c r="Q954" s="60" t="str">
        <f aca="false">IF(C954="","",IF(T954=1,"✔ SOLD / VENDIDO",IF(S954=0,"— CLOSED / CERRADO",IF(U954&lt;0,"⚠ ADD DATE / AGREGA FECHA",IF(U954&gt;=Settings!$C$8,"⚠ STALE – REPRICE / ESTANCADO",IF(U954&gt;=Settings!$C$7,"● WATCH / VIGILAR","✔ FRESH / RECIENTE"))))))</f>
        <v/>
      </c>
      <c r="S954" s="53" t="n">
        <f aca="false">IF(C954="",0,IF(OR(J954="",J954="In Stock / En Inventario",J954="Listed / Publicado"),1,0))</f>
        <v>0</v>
      </c>
      <c r="T954" s="53" t="n">
        <f aca="false">IF(C954="",0,IF(J954="Sold / Vendido",1,0))</f>
        <v>0</v>
      </c>
      <c r="U954" s="53" t="n">
        <f aca="true">IF(S954=1,IF(ISNUMBER(F954),TODAY()-F954,-1),-1)</f>
        <v>-1</v>
      </c>
      <c r="V954" s="53" t="n">
        <f aca="false">IF(U954&lt;0,IF(S954=1,5,0),IF(U954&lt;=30,1,IF(U954&lt;=60,2,IF(U954&lt;=90,3,4))))</f>
        <v>0</v>
      </c>
      <c r="W954" s="53" t="n">
        <f aca="false">IF(U954&lt;0,-1000000000000000,U954+ROW()/1000000)</f>
        <v>-1000000000000000</v>
      </c>
      <c r="X954" s="53" t="n">
        <f aca="false">IF(T954=1,IF(AND(ISNUMBER(F954),ISNUMBER(K954)),K954-F954,0),0)</f>
        <v>0</v>
      </c>
      <c r="Y954" s="53" t="n">
        <f aca="false">IF(T954=1,IF(AND(ISNUMBER(F954),ISNUMBER(K954)),1,0),0)</f>
        <v>0</v>
      </c>
      <c r="Z954" s="53" t="n">
        <f aca="false">IF(U954&gt;=Settings!$C$8,1,0)</f>
        <v>0</v>
      </c>
      <c r="AA954" s="53" t="n">
        <f aca="false">IF(S954=1,IF(J954="Listed / Publicado",0,1),0)</f>
        <v>0</v>
      </c>
      <c r="AB954" s="53" t="n">
        <f aca="false">IF(T954=1,IF(ISNUMBER(L954),L954-G954,0),0)</f>
        <v>0</v>
      </c>
      <c r="AC954" s="53" t="n">
        <f aca="false">IF(S954=1,IF(ISNUMBER(I954),I954-G954,0),0)</f>
        <v>0</v>
      </c>
    </row>
    <row r="955" customFormat="false" ht="15" hidden="false" customHeight="false" outlineLevel="0" collapsed="false">
      <c r="B955" s="54"/>
      <c r="C955" s="55"/>
      <c r="D955" s="55"/>
      <c r="E955" s="55"/>
      <c r="F955" s="56"/>
      <c r="G955" s="57"/>
      <c r="H955" s="55"/>
      <c r="I955" s="57"/>
      <c r="J955" s="54"/>
      <c r="K955" s="56"/>
      <c r="L955" s="57"/>
      <c r="M955" s="54"/>
      <c r="N955" s="58" t="str">
        <f aca="false">IF(S955=1,IF(U955&lt;0,"",U955),IF(Y955=1,X955,""))</f>
        <v/>
      </c>
      <c r="O955" s="59" t="str">
        <f aca="false">IF(S955=1,IF(ISNUMBER(I955),I955-G955,""),"")</f>
        <v/>
      </c>
      <c r="P955" s="59" t="str">
        <f aca="false">IF(T955=1,IF(ISNUMBER(L955),L955-G955,""),"")</f>
        <v/>
      </c>
      <c r="Q955" s="60" t="str">
        <f aca="false">IF(C955="","",IF(T955=1,"✔ SOLD / VENDIDO",IF(S955=0,"— CLOSED / CERRADO",IF(U955&lt;0,"⚠ ADD DATE / AGREGA FECHA",IF(U955&gt;=Settings!$C$8,"⚠ STALE – REPRICE / ESTANCADO",IF(U955&gt;=Settings!$C$7,"● WATCH / VIGILAR","✔ FRESH / RECIENTE"))))))</f>
        <v/>
      </c>
      <c r="S955" s="53" t="n">
        <f aca="false">IF(C955="",0,IF(OR(J955="",J955="In Stock / En Inventario",J955="Listed / Publicado"),1,0))</f>
        <v>0</v>
      </c>
      <c r="T955" s="53" t="n">
        <f aca="false">IF(C955="",0,IF(J955="Sold / Vendido",1,0))</f>
        <v>0</v>
      </c>
      <c r="U955" s="53" t="n">
        <f aca="true">IF(S955=1,IF(ISNUMBER(F955),TODAY()-F955,-1),-1)</f>
        <v>-1</v>
      </c>
      <c r="V955" s="53" t="n">
        <f aca="false">IF(U955&lt;0,IF(S955=1,5,0),IF(U955&lt;=30,1,IF(U955&lt;=60,2,IF(U955&lt;=90,3,4))))</f>
        <v>0</v>
      </c>
      <c r="W955" s="53" t="n">
        <f aca="false">IF(U955&lt;0,-1000000000000000,U955+ROW()/1000000)</f>
        <v>-1000000000000000</v>
      </c>
      <c r="X955" s="53" t="n">
        <f aca="false">IF(T955=1,IF(AND(ISNUMBER(F955),ISNUMBER(K955)),K955-F955,0),0)</f>
        <v>0</v>
      </c>
      <c r="Y955" s="53" t="n">
        <f aca="false">IF(T955=1,IF(AND(ISNUMBER(F955),ISNUMBER(K955)),1,0),0)</f>
        <v>0</v>
      </c>
      <c r="Z955" s="53" t="n">
        <f aca="false">IF(U955&gt;=Settings!$C$8,1,0)</f>
        <v>0</v>
      </c>
      <c r="AA955" s="53" t="n">
        <f aca="false">IF(S955=1,IF(J955="Listed / Publicado",0,1),0)</f>
        <v>0</v>
      </c>
      <c r="AB955" s="53" t="n">
        <f aca="false">IF(T955=1,IF(ISNUMBER(L955),L955-G955,0),0)</f>
        <v>0</v>
      </c>
      <c r="AC955" s="53" t="n">
        <f aca="false">IF(S955=1,IF(ISNUMBER(I955),I955-G955,0),0)</f>
        <v>0</v>
      </c>
    </row>
    <row r="956" customFormat="false" ht="15" hidden="false" customHeight="false" outlineLevel="0" collapsed="false">
      <c r="B956" s="54"/>
      <c r="C956" s="55"/>
      <c r="D956" s="55"/>
      <c r="E956" s="55"/>
      <c r="F956" s="56"/>
      <c r="G956" s="57"/>
      <c r="H956" s="55"/>
      <c r="I956" s="57"/>
      <c r="J956" s="54"/>
      <c r="K956" s="56"/>
      <c r="L956" s="57"/>
      <c r="M956" s="54"/>
      <c r="N956" s="58" t="str">
        <f aca="false">IF(S956=1,IF(U956&lt;0,"",U956),IF(Y956=1,X956,""))</f>
        <v/>
      </c>
      <c r="O956" s="59" t="str">
        <f aca="false">IF(S956=1,IF(ISNUMBER(I956),I956-G956,""),"")</f>
        <v/>
      </c>
      <c r="P956" s="59" t="str">
        <f aca="false">IF(T956=1,IF(ISNUMBER(L956),L956-G956,""),"")</f>
        <v/>
      </c>
      <c r="Q956" s="60" t="str">
        <f aca="false">IF(C956="","",IF(T956=1,"✔ SOLD / VENDIDO",IF(S956=0,"— CLOSED / CERRADO",IF(U956&lt;0,"⚠ ADD DATE / AGREGA FECHA",IF(U956&gt;=Settings!$C$8,"⚠ STALE – REPRICE / ESTANCADO",IF(U956&gt;=Settings!$C$7,"● WATCH / VIGILAR","✔ FRESH / RECIENTE"))))))</f>
        <v/>
      </c>
      <c r="S956" s="53" t="n">
        <f aca="false">IF(C956="",0,IF(OR(J956="",J956="In Stock / En Inventario",J956="Listed / Publicado"),1,0))</f>
        <v>0</v>
      </c>
      <c r="T956" s="53" t="n">
        <f aca="false">IF(C956="",0,IF(J956="Sold / Vendido",1,0))</f>
        <v>0</v>
      </c>
      <c r="U956" s="53" t="n">
        <f aca="true">IF(S956=1,IF(ISNUMBER(F956),TODAY()-F956,-1),-1)</f>
        <v>-1</v>
      </c>
      <c r="V956" s="53" t="n">
        <f aca="false">IF(U956&lt;0,IF(S956=1,5,0),IF(U956&lt;=30,1,IF(U956&lt;=60,2,IF(U956&lt;=90,3,4))))</f>
        <v>0</v>
      </c>
      <c r="W956" s="53" t="n">
        <f aca="false">IF(U956&lt;0,-1000000000000000,U956+ROW()/1000000)</f>
        <v>-1000000000000000</v>
      </c>
      <c r="X956" s="53" t="n">
        <f aca="false">IF(T956=1,IF(AND(ISNUMBER(F956),ISNUMBER(K956)),K956-F956,0),0)</f>
        <v>0</v>
      </c>
      <c r="Y956" s="53" t="n">
        <f aca="false">IF(T956=1,IF(AND(ISNUMBER(F956),ISNUMBER(K956)),1,0),0)</f>
        <v>0</v>
      </c>
      <c r="Z956" s="53" t="n">
        <f aca="false">IF(U956&gt;=Settings!$C$8,1,0)</f>
        <v>0</v>
      </c>
      <c r="AA956" s="53" t="n">
        <f aca="false">IF(S956=1,IF(J956="Listed / Publicado",0,1),0)</f>
        <v>0</v>
      </c>
      <c r="AB956" s="53" t="n">
        <f aca="false">IF(T956=1,IF(ISNUMBER(L956),L956-G956,0),0)</f>
        <v>0</v>
      </c>
      <c r="AC956" s="53" t="n">
        <f aca="false">IF(S956=1,IF(ISNUMBER(I956),I956-G956,0),0)</f>
        <v>0</v>
      </c>
    </row>
    <row r="957" customFormat="false" ht="15" hidden="false" customHeight="false" outlineLevel="0" collapsed="false">
      <c r="B957" s="54"/>
      <c r="C957" s="55"/>
      <c r="D957" s="55"/>
      <c r="E957" s="55"/>
      <c r="F957" s="56"/>
      <c r="G957" s="57"/>
      <c r="H957" s="55"/>
      <c r="I957" s="57"/>
      <c r="J957" s="54"/>
      <c r="K957" s="56"/>
      <c r="L957" s="57"/>
      <c r="M957" s="54"/>
      <c r="N957" s="58" t="str">
        <f aca="false">IF(S957=1,IF(U957&lt;0,"",U957),IF(Y957=1,X957,""))</f>
        <v/>
      </c>
      <c r="O957" s="59" t="str">
        <f aca="false">IF(S957=1,IF(ISNUMBER(I957),I957-G957,""),"")</f>
        <v/>
      </c>
      <c r="P957" s="59" t="str">
        <f aca="false">IF(T957=1,IF(ISNUMBER(L957),L957-G957,""),"")</f>
        <v/>
      </c>
      <c r="Q957" s="60" t="str">
        <f aca="false">IF(C957="","",IF(T957=1,"✔ SOLD / VENDIDO",IF(S957=0,"— CLOSED / CERRADO",IF(U957&lt;0,"⚠ ADD DATE / AGREGA FECHA",IF(U957&gt;=Settings!$C$8,"⚠ STALE – REPRICE / ESTANCADO",IF(U957&gt;=Settings!$C$7,"● WATCH / VIGILAR","✔ FRESH / RECIENTE"))))))</f>
        <v/>
      </c>
      <c r="S957" s="53" t="n">
        <f aca="false">IF(C957="",0,IF(OR(J957="",J957="In Stock / En Inventario",J957="Listed / Publicado"),1,0))</f>
        <v>0</v>
      </c>
      <c r="T957" s="53" t="n">
        <f aca="false">IF(C957="",0,IF(J957="Sold / Vendido",1,0))</f>
        <v>0</v>
      </c>
      <c r="U957" s="53" t="n">
        <f aca="true">IF(S957=1,IF(ISNUMBER(F957),TODAY()-F957,-1),-1)</f>
        <v>-1</v>
      </c>
      <c r="V957" s="53" t="n">
        <f aca="false">IF(U957&lt;0,IF(S957=1,5,0),IF(U957&lt;=30,1,IF(U957&lt;=60,2,IF(U957&lt;=90,3,4))))</f>
        <v>0</v>
      </c>
      <c r="W957" s="53" t="n">
        <f aca="false">IF(U957&lt;0,-1000000000000000,U957+ROW()/1000000)</f>
        <v>-1000000000000000</v>
      </c>
      <c r="X957" s="53" t="n">
        <f aca="false">IF(T957=1,IF(AND(ISNUMBER(F957),ISNUMBER(K957)),K957-F957,0),0)</f>
        <v>0</v>
      </c>
      <c r="Y957" s="53" t="n">
        <f aca="false">IF(T957=1,IF(AND(ISNUMBER(F957),ISNUMBER(K957)),1,0),0)</f>
        <v>0</v>
      </c>
      <c r="Z957" s="53" t="n">
        <f aca="false">IF(U957&gt;=Settings!$C$8,1,0)</f>
        <v>0</v>
      </c>
      <c r="AA957" s="53" t="n">
        <f aca="false">IF(S957=1,IF(J957="Listed / Publicado",0,1),0)</f>
        <v>0</v>
      </c>
      <c r="AB957" s="53" t="n">
        <f aca="false">IF(T957=1,IF(ISNUMBER(L957),L957-G957,0),0)</f>
        <v>0</v>
      </c>
      <c r="AC957" s="53" t="n">
        <f aca="false">IF(S957=1,IF(ISNUMBER(I957),I957-G957,0),0)</f>
        <v>0</v>
      </c>
    </row>
    <row r="958" customFormat="false" ht="15" hidden="false" customHeight="false" outlineLevel="0" collapsed="false">
      <c r="B958" s="54"/>
      <c r="C958" s="55"/>
      <c r="D958" s="55"/>
      <c r="E958" s="55"/>
      <c r="F958" s="56"/>
      <c r="G958" s="57"/>
      <c r="H958" s="55"/>
      <c r="I958" s="57"/>
      <c r="J958" s="54"/>
      <c r="K958" s="56"/>
      <c r="L958" s="57"/>
      <c r="M958" s="54"/>
      <c r="N958" s="58" t="str">
        <f aca="false">IF(S958=1,IF(U958&lt;0,"",U958),IF(Y958=1,X958,""))</f>
        <v/>
      </c>
      <c r="O958" s="59" t="str">
        <f aca="false">IF(S958=1,IF(ISNUMBER(I958),I958-G958,""),"")</f>
        <v/>
      </c>
      <c r="P958" s="59" t="str">
        <f aca="false">IF(T958=1,IF(ISNUMBER(L958),L958-G958,""),"")</f>
        <v/>
      </c>
      <c r="Q958" s="60" t="str">
        <f aca="false">IF(C958="","",IF(T958=1,"✔ SOLD / VENDIDO",IF(S958=0,"— CLOSED / CERRADO",IF(U958&lt;0,"⚠ ADD DATE / AGREGA FECHA",IF(U958&gt;=Settings!$C$8,"⚠ STALE – REPRICE / ESTANCADO",IF(U958&gt;=Settings!$C$7,"● WATCH / VIGILAR","✔ FRESH / RECIENTE"))))))</f>
        <v/>
      </c>
      <c r="S958" s="53" t="n">
        <f aca="false">IF(C958="",0,IF(OR(J958="",J958="In Stock / En Inventario",J958="Listed / Publicado"),1,0))</f>
        <v>0</v>
      </c>
      <c r="T958" s="53" t="n">
        <f aca="false">IF(C958="",0,IF(J958="Sold / Vendido",1,0))</f>
        <v>0</v>
      </c>
      <c r="U958" s="53" t="n">
        <f aca="true">IF(S958=1,IF(ISNUMBER(F958),TODAY()-F958,-1),-1)</f>
        <v>-1</v>
      </c>
      <c r="V958" s="53" t="n">
        <f aca="false">IF(U958&lt;0,IF(S958=1,5,0),IF(U958&lt;=30,1,IF(U958&lt;=60,2,IF(U958&lt;=90,3,4))))</f>
        <v>0</v>
      </c>
      <c r="W958" s="53" t="n">
        <f aca="false">IF(U958&lt;0,-1000000000000000,U958+ROW()/1000000)</f>
        <v>-1000000000000000</v>
      </c>
      <c r="X958" s="53" t="n">
        <f aca="false">IF(T958=1,IF(AND(ISNUMBER(F958),ISNUMBER(K958)),K958-F958,0),0)</f>
        <v>0</v>
      </c>
      <c r="Y958" s="53" t="n">
        <f aca="false">IF(T958=1,IF(AND(ISNUMBER(F958),ISNUMBER(K958)),1,0),0)</f>
        <v>0</v>
      </c>
      <c r="Z958" s="53" t="n">
        <f aca="false">IF(U958&gt;=Settings!$C$8,1,0)</f>
        <v>0</v>
      </c>
      <c r="AA958" s="53" t="n">
        <f aca="false">IF(S958=1,IF(J958="Listed / Publicado",0,1),0)</f>
        <v>0</v>
      </c>
      <c r="AB958" s="53" t="n">
        <f aca="false">IF(T958=1,IF(ISNUMBER(L958),L958-G958,0),0)</f>
        <v>0</v>
      </c>
      <c r="AC958" s="53" t="n">
        <f aca="false">IF(S958=1,IF(ISNUMBER(I958),I958-G958,0),0)</f>
        <v>0</v>
      </c>
    </row>
    <row r="959" customFormat="false" ht="15" hidden="false" customHeight="false" outlineLevel="0" collapsed="false">
      <c r="B959" s="54"/>
      <c r="C959" s="55"/>
      <c r="D959" s="55"/>
      <c r="E959" s="55"/>
      <c r="F959" s="56"/>
      <c r="G959" s="57"/>
      <c r="H959" s="55"/>
      <c r="I959" s="57"/>
      <c r="J959" s="54"/>
      <c r="K959" s="56"/>
      <c r="L959" s="57"/>
      <c r="M959" s="54"/>
      <c r="N959" s="58" t="str">
        <f aca="false">IF(S959=1,IF(U959&lt;0,"",U959),IF(Y959=1,X959,""))</f>
        <v/>
      </c>
      <c r="O959" s="59" t="str">
        <f aca="false">IF(S959=1,IF(ISNUMBER(I959),I959-G959,""),"")</f>
        <v/>
      </c>
      <c r="P959" s="59" t="str">
        <f aca="false">IF(T959=1,IF(ISNUMBER(L959),L959-G959,""),"")</f>
        <v/>
      </c>
      <c r="Q959" s="60" t="str">
        <f aca="false">IF(C959="","",IF(T959=1,"✔ SOLD / VENDIDO",IF(S959=0,"— CLOSED / CERRADO",IF(U959&lt;0,"⚠ ADD DATE / AGREGA FECHA",IF(U959&gt;=Settings!$C$8,"⚠ STALE – REPRICE / ESTANCADO",IF(U959&gt;=Settings!$C$7,"● WATCH / VIGILAR","✔ FRESH / RECIENTE"))))))</f>
        <v/>
      </c>
      <c r="S959" s="53" t="n">
        <f aca="false">IF(C959="",0,IF(OR(J959="",J959="In Stock / En Inventario",J959="Listed / Publicado"),1,0))</f>
        <v>0</v>
      </c>
      <c r="T959" s="53" t="n">
        <f aca="false">IF(C959="",0,IF(J959="Sold / Vendido",1,0))</f>
        <v>0</v>
      </c>
      <c r="U959" s="53" t="n">
        <f aca="true">IF(S959=1,IF(ISNUMBER(F959),TODAY()-F959,-1),-1)</f>
        <v>-1</v>
      </c>
      <c r="V959" s="53" t="n">
        <f aca="false">IF(U959&lt;0,IF(S959=1,5,0),IF(U959&lt;=30,1,IF(U959&lt;=60,2,IF(U959&lt;=90,3,4))))</f>
        <v>0</v>
      </c>
      <c r="W959" s="53" t="n">
        <f aca="false">IF(U959&lt;0,-1000000000000000,U959+ROW()/1000000)</f>
        <v>-1000000000000000</v>
      </c>
      <c r="X959" s="53" t="n">
        <f aca="false">IF(T959=1,IF(AND(ISNUMBER(F959),ISNUMBER(K959)),K959-F959,0),0)</f>
        <v>0</v>
      </c>
      <c r="Y959" s="53" t="n">
        <f aca="false">IF(T959=1,IF(AND(ISNUMBER(F959),ISNUMBER(K959)),1,0),0)</f>
        <v>0</v>
      </c>
      <c r="Z959" s="53" t="n">
        <f aca="false">IF(U959&gt;=Settings!$C$8,1,0)</f>
        <v>0</v>
      </c>
      <c r="AA959" s="53" t="n">
        <f aca="false">IF(S959=1,IF(J959="Listed / Publicado",0,1),0)</f>
        <v>0</v>
      </c>
      <c r="AB959" s="53" t="n">
        <f aca="false">IF(T959=1,IF(ISNUMBER(L959),L959-G959,0),0)</f>
        <v>0</v>
      </c>
      <c r="AC959" s="53" t="n">
        <f aca="false">IF(S959=1,IF(ISNUMBER(I959),I959-G959,0),0)</f>
        <v>0</v>
      </c>
    </row>
    <row r="960" customFormat="false" ht="15" hidden="false" customHeight="false" outlineLevel="0" collapsed="false">
      <c r="B960" s="54"/>
      <c r="C960" s="55"/>
      <c r="D960" s="55"/>
      <c r="E960" s="55"/>
      <c r="F960" s="56"/>
      <c r="G960" s="57"/>
      <c r="H960" s="55"/>
      <c r="I960" s="57"/>
      <c r="J960" s="54"/>
      <c r="K960" s="56"/>
      <c r="L960" s="57"/>
      <c r="M960" s="54"/>
      <c r="N960" s="58" t="str">
        <f aca="false">IF(S960=1,IF(U960&lt;0,"",U960),IF(Y960=1,X960,""))</f>
        <v/>
      </c>
      <c r="O960" s="59" t="str">
        <f aca="false">IF(S960=1,IF(ISNUMBER(I960),I960-G960,""),"")</f>
        <v/>
      </c>
      <c r="P960" s="59" t="str">
        <f aca="false">IF(T960=1,IF(ISNUMBER(L960),L960-G960,""),"")</f>
        <v/>
      </c>
      <c r="Q960" s="60" t="str">
        <f aca="false">IF(C960="","",IF(T960=1,"✔ SOLD / VENDIDO",IF(S960=0,"— CLOSED / CERRADO",IF(U960&lt;0,"⚠ ADD DATE / AGREGA FECHA",IF(U960&gt;=Settings!$C$8,"⚠ STALE – REPRICE / ESTANCADO",IF(U960&gt;=Settings!$C$7,"● WATCH / VIGILAR","✔ FRESH / RECIENTE"))))))</f>
        <v/>
      </c>
      <c r="S960" s="53" t="n">
        <f aca="false">IF(C960="",0,IF(OR(J960="",J960="In Stock / En Inventario",J960="Listed / Publicado"),1,0))</f>
        <v>0</v>
      </c>
      <c r="T960" s="53" t="n">
        <f aca="false">IF(C960="",0,IF(J960="Sold / Vendido",1,0))</f>
        <v>0</v>
      </c>
      <c r="U960" s="53" t="n">
        <f aca="true">IF(S960=1,IF(ISNUMBER(F960),TODAY()-F960,-1),-1)</f>
        <v>-1</v>
      </c>
      <c r="V960" s="53" t="n">
        <f aca="false">IF(U960&lt;0,IF(S960=1,5,0),IF(U960&lt;=30,1,IF(U960&lt;=60,2,IF(U960&lt;=90,3,4))))</f>
        <v>0</v>
      </c>
      <c r="W960" s="53" t="n">
        <f aca="false">IF(U960&lt;0,-1000000000000000,U960+ROW()/1000000)</f>
        <v>-1000000000000000</v>
      </c>
      <c r="X960" s="53" t="n">
        <f aca="false">IF(T960=1,IF(AND(ISNUMBER(F960),ISNUMBER(K960)),K960-F960,0),0)</f>
        <v>0</v>
      </c>
      <c r="Y960" s="53" t="n">
        <f aca="false">IF(T960=1,IF(AND(ISNUMBER(F960),ISNUMBER(K960)),1,0),0)</f>
        <v>0</v>
      </c>
      <c r="Z960" s="53" t="n">
        <f aca="false">IF(U960&gt;=Settings!$C$8,1,0)</f>
        <v>0</v>
      </c>
      <c r="AA960" s="53" t="n">
        <f aca="false">IF(S960=1,IF(J960="Listed / Publicado",0,1),0)</f>
        <v>0</v>
      </c>
      <c r="AB960" s="53" t="n">
        <f aca="false">IF(T960=1,IF(ISNUMBER(L960),L960-G960,0),0)</f>
        <v>0</v>
      </c>
      <c r="AC960" s="53" t="n">
        <f aca="false">IF(S960=1,IF(ISNUMBER(I960),I960-G960,0),0)</f>
        <v>0</v>
      </c>
    </row>
    <row r="961" customFormat="false" ht="15" hidden="false" customHeight="false" outlineLevel="0" collapsed="false">
      <c r="B961" s="54"/>
      <c r="C961" s="55"/>
      <c r="D961" s="55"/>
      <c r="E961" s="55"/>
      <c r="F961" s="56"/>
      <c r="G961" s="57"/>
      <c r="H961" s="55"/>
      <c r="I961" s="57"/>
      <c r="J961" s="54"/>
      <c r="K961" s="56"/>
      <c r="L961" s="57"/>
      <c r="M961" s="54"/>
      <c r="N961" s="58" t="str">
        <f aca="false">IF(S961=1,IF(U961&lt;0,"",U961),IF(Y961=1,X961,""))</f>
        <v/>
      </c>
      <c r="O961" s="59" t="str">
        <f aca="false">IF(S961=1,IF(ISNUMBER(I961),I961-G961,""),"")</f>
        <v/>
      </c>
      <c r="P961" s="59" t="str">
        <f aca="false">IF(T961=1,IF(ISNUMBER(L961),L961-G961,""),"")</f>
        <v/>
      </c>
      <c r="Q961" s="60" t="str">
        <f aca="false">IF(C961="","",IF(T961=1,"✔ SOLD / VENDIDO",IF(S961=0,"— CLOSED / CERRADO",IF(U961&lt;0,"⚠ ADD DATE / AGREGA FECHA",IF(U961&gt;=Settings!$C$8,"⚠ STALE – REPRICE / ESTANCADO",IF(U961&gt;=Settings!$C$7,"● WATCH / VIGILAR","✔ FRESH / RECIENTE"))))))</f>
        <v/>
      </c>
      <c r="S961" s="53" t="n">
        <f aca="false">IF(C961="",0,IF(OR(J961="",J961="In Stock / En Inventario",J961="Listed / Publicado"),1,0))</f>
        <v>0</v>
      </c>
      <c r="T961" s="53" t="n">
        <f aca="false">IF(C961="",0,IF(J961="Sold / Vendido",1,0))</f>
        <v>0</v>
      </c>
      <c r="U961" s="53" t="n">
        <f aca="true">IF(S961=1,IF(ISNUMBER(F961),TODAY()-F961,-1),-1)</f>
        <v>-1</v>
      </c>
      <c r="V961" s="53" t="n">
        <f aca="false">IF(U961&lt;0,IF(S961=1,5,0),IF(U961&lt;=30,1,IF(U961&lt;=60,2,IF(U961&lt;=90,3,4))))</f>
        <v>0</v>
      </c>
      <c r="W961" s="53" t="n">
        <f aca="false">IF(U961&lt;0,-1000000000000000,U961+ROW()/1000000)</f>
        <v>-1000000000000000</v>
      </c>
      <c r="X961" s="53" t="n">
        <f aca="false">IF(T961=1,IF(AND(ISNUMBER(F961),ISNUMBER(K961)),K961-F961,0),0)</f>
        <v>0</v>
      </c>
      <c r="Y961" s="53" t="n">
        <f aca="false">IF(T961=1,IF(AND(ISNUMBER(F961),ISNUMBER(K961)),1,0),0)</f>
        <v>0</v>
      </c>
      <c r="Z961" s="53" t="n">
        <f aca="false">IF(U961&gt;=Settings!$C$8,1,0)</f>
        <v>0</v>
      </c>
      <c r="AA961" s="53" t="n">
        <f aca="false">IF(S961=1,IF(J961="Listed / Publicado",0,1),0)</f>
        <v>0</v>
      </c>
      <c r="AB961" s="53" t="n">
        <f aca="false">IF(T961=1,IF(ISNUMBER(L961),L961-G961,0),0)</f>
        <v>0</v>
      </c>
      <c r="AC961" s="53" t="n">
        <f aca="false">IF(S961=1,IF(ISNUMBER(I961),I961-G961,0),0)</f>
        <v>0</v>
      </c>
    </row>
    <row r="962" customFormat="false" ht="15" hidden="false" customHeight="false" outlineLevel="0" collapsed="false">
      <c r="B962" s="54"/>
      <c r="C962" s="55"/>
      <c r="D962" s="55"/>
      <c r="E962" s="55"/>
      <c r="F962" s="56"/>
      <c r="G962" s="57"/>
      <c r="H962" s="55"/>
      <c r="I962" s="57"/>
      <c r="J962" s="54"/>
      <c r="K962" s="56"/>
      <c r="L962" s="57"/>
      <c r="M962" s="54"/>
      <c r="N962" s="58" t="str">
        <f aca="false">IF(S962=1,IF(U962&lt;0,"",U962),IF(Y962=1,X962,""))</f>
        <v/>
      </c>
      <c r="O962" s="59" t="str">
        <f aca="false">IF(S962=1,IF(ISNUMBER(I962),I962-G962,""),"")</f>
        <v/>
      </c>
      <c r="P962" s="59" t="str">
        <f aca="false">IF(T962=1,IF(ISNUMBER(L962),L962-G962,""),"")</f>
        <v/>
      </c>
      <c r="Q962" s="60" t="str">
        <f aca="false">IF(C962="","",IF(T962=1,"✔ SOLD / VENDIDO",IF(S962=0,"— CLOSED / CERRADO",IF(U962&lt;0,"⚠ ADD DATE / AGREGA FECHA",IF(U962&gt;=Settings!$C$8,"⚠ STALE – REPRICE / ESTANCADO",IF(U962&gt;=Settings!$C$7,"● WATCH / VIGILAR","✔ FRESH / RECIENTE"))))))</f>
        <v/>
      </c>
      <c r="S962" s="53" t="n">
        <f aca="false">IF(C962="",0,IF(OR(J962="",J962="In Stock / En Inventario",J962="Listed / Publicado"),1,0))</f>
        <v>0</v>
      </c>
      <c r="T962" s="53" t="n">
        <f aca="false">IF(C962="",0,IF(J962="Sold / Vendido",1,0))</f>
        <v>0</v>
      </c>
      <c r="U962" s="53" t="n">
        <f aca="true">IF(S962=1,IF(ISNUMBER(F962),TODAY()-F962,-1),-1)</f>
        <v>-1</v>
      </c>
      <c r="V962" s="53" t="n">
        <f aca="false">IF(U962&lt;0,IF(S962=1,5,0),IF(U962&lt;=30,1,IF(U962&lt;=60,2,IF(U962&lt;=90,3,4))))</f>
        <v>0</v>
      </c>
      <c r="W962" s="53" t="n">
        <f aca="false">IF(U962&lt;0,-1000000000000000,U962+ROW()/1000000)</f>
        <v>-1000000000000000</v>
      </c>
      <c r="X962" s="53" t="n">
        <f aca="false">IF(T962=1,IF(AND(ISNUMBER(F962),ISNUMBER(K962)),K962-F962,0),0)</f>
        <v>0</v>
      </c>
      <c r="Y962" s="53" t="n">
        <f aca="false">IF(T962=1,IF(AND(ISNUMBER(F962),ISNUMBER(K962)),1,0),0)</f>
        <v>0</v>
      </c>
      <c r="Z962" s="53" t="n">
        <f aca="false">IF(U962&gt;=Settings!$C$8,1,0)</f>
        <v>0</v>
      </c>
      <c r="AA962" s="53" t="n">
        <f aca="false">IF(S962=1,IF(J962="Listed / Publicado",0,1),0)</f>
        <v>0</v>
      </c>
      <c r="AB962" s="53" t="n">
        <f aca="false">IF(T962=1,IF(ISNUMBER(L962),L962-G962,0),0)</f>
        <v>0</v>
      </c>
      <c r="AC962" s="53" t="n">
        <f aca="false">IF(S962=1,IF(ISNUMBER(I962),I962-G962,0),0)</f>
        <v>0</v>
      </c>
    </row>
    <row r="963" customFormat="false" ht="15" hidden="false" customHeight="false" outlineLevel="0" collapsed="false">
      <c r="B963" s="54"/>
      <c r="C963" s="55"/>
      <c r="D963" s="55"/>
      <c r="E963" s="55"/>
      <c r="F963" s="56"/>
      <c r="G963" s="57"/>
      <c r="H963" s="55"/>
      <c r="I963" s="57"/>
      <c r="J963" s="54"/>
      <c r="K963" s="56"/>
      <c r="L963" s="57"/>
      <c r="M963" s="54"/>
      <c r="N963" s="58" t="str">
        <f aca="false">IF(S963=1,IF(U963&lt;0,"",U963),IF(Y963=1,X963,""))</f>
        <v/>
      </c>
      <c r="O963" s="59" t="str">
        <f aca="false">IF(S963=1,IF(ISNUMBER(I963),I963-G963,""),"")</f>
        <v/>
      </c>
      <c r="P963" s="59" t="str">
        <f aca="false">IF(T963=1,IF(ISNUMBER(L963),L963-G963,""),"")</f>
        <v/>
      </c>
      <c r="Q963" s="60" t="str">
        <f aca="false">IF(C963="","",IF(T963=1,"✔ SOLD / VENDIDO",IF(S963=0,"— CLOSED / CERRADO",IF(U963&lt;0,"⚠ ADD DATE / AGREGA FECHA",IF(U963&gt;=Settings!$C$8,"⚠ STALE – REPRICE / ESTANCADO",IF(U963&gt;=Settings!$C$7,"● WATCH / VIGILAR","✔ FRESH / RECIENTE"))))))</f>
        <v/>
      </c>
      <c r="S963" s="53" t="n">
        <f aca="false">IF(C963="",0,IF(OR(J963="",J963="In Stock / En Inventario",J963="Listed / Publicado"),1,0))</f>
        <v>0</v>
      </c>
      <c r="T963" s="53" t="n">
        <f aca="false">IF(C963="",0,IF(J963="Sold / Vendido",1,0))</f>
        <v>0</v>
      </c>
      <c r="U963" s="53" t="n">
        <f aca="true">IF(S963=1,IF(ISNUMBER(F963),TODAY()-F963,-1),-1)</f>
        <v>-1</v>
      </c>
      <c r="V963" s="53" t="n">
        <f aca="false">IF(U963&lt;0,IF(S963=1,5,0),IF(U963&lt;=30,1,IF(U963&lt;=60,2,IF(U963&lt;=90,3,4))))</f>
        <v>0</v>
      </c>
      <c r="W963" s="53" t="n">
        <f aca="false">IF(U963&lt;0,-1000000000000000,U963+ROW()/1000000)</f>
        <v>-1000000000000000</v>
      </c>
      <c r="X963" s="53" t="n">
        <f aca="false">IF(T963=1,IF(AND(ISNUMBER(F963),ISNUMBER(K963)),K963-F963,0),0)</f>
        <v>0</v>
      </c>
      <c r="Y963" s="53" t="n">
        <f aca="false">IF(T963=1,IF(AND(ISNUMBER(F963),ISNUMBER(K963)),1,0),0)</f>
        <v>0</v>
      </c>
      <c r="Z963" s="53" t="n">
        <f aca="false">IF(U963&gt;=Settings!$C$8,1,0)</f>
        <v>0</v>
      </c>
      <c r="AA963" s="53" t="n">
        <f aca="false">IF(S963=1,IF(J963="Listed / Publicado",0,1),0)</f>
        <v>0</v>
      </c>
      <c r="AB963" s="53" t="n">
        <f aca="false">IF(T963=1,IF(ISNUMBER(L963),L963-G963,0),0)</f>
        <v>0</v>
      </c>
      <c r="AC963" s="53" t="n">
        <f aca="false">IF(S963=1,IF(ISNUMBER(I963),I963-G963,0),0)</f>
        <v>0</v>
      </c>
    </row>
    <row r="964" customFormat="false" ht="15" hidden="false" customHeight="false" outlineLevel="0" collapsed="false">
      <c r="B964" s="54"/>
      <c r="C964" s="55"/>
      <c r="D964" s="55"/>
      <c r="E964" s="55"/>
      <c r="F964" s="56"/>
      <c r="G964" s="57"/>
      <c r="H964" s="55"/>
      <c r="I964" s="57"/>
      <c r="J964" s="54"/>
      <c r="K964" s="56"/>
      <c r="L964" s="57"/>
      <c r="M964" s="54"/>
      <c r="N964" s="58" t="str">
        <f aca="false">IF(S964=1,IF(U964&lt;0,"",U964),IF(Y964=1,X964,""))</f>
        <v/>
      </c>
      <c r="O964" s="59" t="str">
        <f aca="false">IF(S964=1,IF(ISNUMBER(I964),I964-G964,""),"")</f>
        <v/>
      </c>
      <c r="P964" s="59" t="str">
        <f aca="false">IF(T964=1,IF(ISNUMBER(L964),L964-G964,""),"")</f>
        <v/>
      </c>
      <c r="Q964" s="60" t="str">
        <f aca="false">IF(C964="","",IF(T964=1,"✔ SOLD / VENDIDO",IF(S964=0,"— CLOSED / CERRADO",IF(U964&lt;0,"⚠ ADD DATE / AGREGA FECHA",IF(U964&gt;=Settings!$C$8,"⚠ STALE – REPRICE / ESTANCADO",IF(U964&gt;=Settings!$C$7,"● WATCH / VIGILAR","✔ FRESH / RECIENTE"))))))</f>
        <v/>
      </c>
      <c r="S964" s="53" t="n">
        <f aca="false">IF(C964="",0,IF(OR(J964="",J964="In Stock / En Inventario",J964="Listed / Publicado"),1,0))</f>
        <v>0</v>
      </c>
      <c r="T964" s="53" t="n">
        <f aca="false">IF(C964="",0,IF(J964="Sold / Vendido",1,0))</f>
        <v>0</v>
      </c>
      <c r="U964" s="53" t="n">
        <f aca="true">IF(S964=1,IF(ISNUMBER(F964),TODAY()-F964,-1),-1)</f>
        <v>-1</v>
      </c>
      <c r="V964" s="53" t="n">
        <f aca="false">IF(U964&lt;0,IF(S964=1,5,0),IF(U964&lt;=30,1,IF(U964&lt;=60,2,IF(U964&lt;=90,3,4))))</f>
        <v>0</v>
      </c>
      <c r="W964" s="53" t="n">
        <f aca="false">IF(U964&lt;0,-1000000000000000,U964+ROW()/1000000)</f>
        <v>-1000000000000000</v>
      </c>
      <c r="X964" s="53" t="n">
        <f aca="false">IF(T964=1,IF(AND(ISNUMBER(F964),ISNUMBER(K964)),K964-F964,0),0)</f>
        <v>0</v>
      </c>
      <c r="Y964" s="53" t="n">
        <f aca="false">IF(T964=1,IF(AND(ISNUMBER(F964),ISNUMBER(K964)),1,0),0)</f>
        <v>0</v>
      </c>
      <c r="Z964" s="53" t="n">
        <f aca="false">IF(U964&gt;=Settings!$C$8,1,0)</f>
        <v>0</v>
      </c>
      <c r="AA964" s="53" t="n">
        <f aca="false">IF(S964=1,IF(J964="Listed / Publicado",0,1),0)</f>
        <v>0</v>
      </c>
      <c r="AB964" s="53" t="n">
        <f aca="false">IF(T964=1,IF(ISNUMBER(L964),L964-G964,0),0)</f>
        <v>0</v>
      </c>
      <c r="AC964" s="53" t="n">
        <f aca="false">IF(S964=1,IF(ISNUMBER(I964),I964-G964,0),0)</f>
        <v>0</v>
      </c>
    </row>
    <row r="965" customFormat="false" ht="15" hidden="false" customHeight="false" outlineLevel="0" collapsed="false">
      <c r="B965" s="54"/>
      <c r="C965" s="55"/>
      <c r="D965" s="55"/>
      <c r="E965" s="55"/>
      <c r="F965" s="56"/>
      <c r="G965" s="57"/>
      <c r="H965" s="55"/>
      <c r="I965" s="57"/>
      <c r="J965" s="54"/>
      <c r="K965" s="56"/>
      <c r="L965" s="57"/>
      <c r="M965" s="54"/>
      <c r="N965" s="58" t="str">
        <f aca="false">IF(S965=1,IF(U965&lt;0,"",U965),IF(Y965=1,X965,""))</f>
        <v/>
      </c>
      <c r="O965" s="59" t="str">
        <f aca="false">IF(S965=1,IF(ISNUMBER(I965),I965-G965,""),"")</f>
        <v/>
      </c>
      <c r="P965" s="59" t="str">
        <f aca="false">IF(T965=1,IF(ISNUMBER(L965),L965-G965,""),"")</f>
        <v/>
      </c>
      <c r="Q965" s="60" t="str">
        <f aca="false">IF(C965="","",IF(T965=1,"✔ SOLD / VENDIDO",IF(S965=0,"— CLOSED / CERRADO",IF(U965&lt;0,"⚠ ADD DATE / AGREGA FECHA",IF(U965&gt;=Settings!$C$8,"⚠ STALE – REPRICE / ESTANCADO",IF(U965&gt;=Settings!$C$7,"● WATCH / VIGILAR","✔ FRESH / RECIENTE"))))))</f>
        <v/>
      </c>
      <c r="S965" s="53" t="n">
        <f aca="false">IF(C965="",0,IF(OR(J965="",J965="In Stock / En Inventario",J965="Listed / Publicado"),1,0))</f>
        <v>0</v>
      </c>
      <c r="T965" s="53" t="n">
        <f aca="false">IF(C965="",0,IF(J965="Sold / Vendido",1,0))</f>
        <v>0</v>
      </c>
      <c r="U965" s="53" t="n">
        <f aca="true">IF(S965=1,IF(ISNUMBER(F965),TODAY()-F965,-1),-1)</f>
        <v>-1</v>
      </c>
      <c r="V965" s="53" t="n">
        <f aca="false">IF(U965&lt;0,IF(S965=1,5,0),IF(U965&lt;=30,1,IF(U965&lt;=60,2,IF(U965&lt;=90,3,4))))</f>
        <v>0</v>
      </c>
      <c r="W965" s="53" t="n">
        <f aca="false">IF(U965&lt;0,-1000000000000000,U965+ROW()/1000000)</f>
        <v>-1000000000000000</v>
      </c>
      <c r="X965" s="53" t="n">
        <f aca="false">IF(T965=1,IF(AND(ISNUMBER(F965),ISNUMBER(K965)),K965-F965,0),0)</f>
        <v>0</v>
      </c>
      <c r="Y965" s="53" t="n">
        <f aca="false">IF(T965=1,IF(AND(ISNUMBER(F965),ISNUMBER(K965)),1,0),0)</f>
        <v>0</v>
      </c>
      <c r="Z965" s="53" t="n">
        <f aca="false">IF(U965&gt;=Settings!$C$8,1,0)</f>
        <v>0</v>
      </c>
      <c r="AA965" s="53" t="n">
        <f aca="false">IF(S965=1,IF(J965="Listed / Publicado",0,1),0)</f>
        <v>0</v>
      </c>
      <c r="AB965" s="53" t="n">
        <f aca="false">IF(T965=1,IF(ISNUMBER(L965),L965-G965,0),0)</f>
        <v>0</v>
      </c>
      <c r="AC965" s="53" t="n">
        <f aca="false">IF(S965=1,IF(ISNUMBER(I965),I965-G965,0),0)</f>
        <v>0</v>
      </c>
    </row>
    <row r="966" customFormat="false" ht="15" hidden="false" customHeight="false" outlineLevel="0" collapsed="false">
      <c r="B966" s="54"/>
      <c r="C966" s="55"/>
      <c r="D966" s="55"/>
      <c r="E966" s="55"/>
      <c r="F966" s="56"/>
      <c r="G966" s="57"/>
      <c r="H966" s="55"/>
      <c r="I966" s="57"/>
      <c r="J966" s="54"/>
      <c r="K966" s="56"/>
      <c r="L966" s="57"/>
      <c r="M966" s="54"/>
      <c r="N966" s="58" t="str">
        <f aca="false">IF(S966=1,IF(U966&lt;0,"",U966),IF(Y966=1,X966,""))</f>
        <v/>
      </c>
      <c r="O966" s="59" t="str">
        <f aca="false">IF(S966=1,IF(ISNUMBER(I966),I966-G966,""),"")</f>
        <v/>
      </c>
      <c r="P966" s="59" t="str">
        <f aca="false">IF(T966=1,IF(ISNUMBER(L966),L966-G966,""),"")</f>
        <v/>
      </c>
      <c r="Q966" s="60" t="str">
        <f aca="false">IF(C966="","",IF(T966=1,"✔ SOLD / VENDIDO",IF(S966=0,"— CLOSED / CERRADO",IF(U966&lt;0,"⚠ ADD DATE / AGREGA FECHA",IF(U966&gt;=Settings!$C$8,"⚠ STALE – REPRICE / ESTANCADO",IF(U966&gt;=Settings!$C$7,"● WATCH / VIGILAR","✔ FRESH / RECIENTE"))))))</f>
        <v/>
      </c>
      <c r="S966" s="53" t="n">
        <f aca="false">IF(C966="",0,IF(OR(J966="",J966="In Stock / En Inventario",J966="Listed / Publicado"),1,0))</f>
        <v>0</v>
      </c>
      <c r="T966" s="53" t="n">
        <f aca="false">IF(C966="",0,IF(J966="Sold / Vendido",1,0))</f>
        <v>0</v>
      </c>
      <c r="U966" s="53" t="n">
        <f aca="true">IF(S966=1,IF(ISNUMBER(F966),TODAY()-F966,-1),-1)</f>
        <v>-1</v>
      </c>
      <c r="V966" s="53" t="n">
        <f aca="false">IF(U966&lt;0,IF(S966=1,5,0),IF(U966&lt;=30,1,IF(U966&lt;=60,2,IF(U966&lt;=90,3,4))))</f>
        <v>0</v>
      </c>
      <c r="W966" s="53" t="n">
        <f aca="false">IF(U966&lt;0,-1000000000000000,U966+ROW()/1000000)</f>
        <v>-1000000000000000</v>
      </c>
      <c r="X966" s="53" t="n">
        <f aca="false">IF(T966=1,IF(AND(ISNUMBER(F966),ISNUMBER(K966)),K966-F966,0),0)</f>
        <v>0</v>
      </c>
      <c r="Y966" s="53" t="n">
        <f aca="false">IF(T966=1,IF(AND(ISNUMBER(F966),ISNUMBER(K966)),1,0),0)</f>
        <v>0</v>
      </c>
      <c r="Z966" s="53" t="n">
        <f aca="false">IF(U966&gt;=Settings!$C$8,1,0)</f>
        <v>0</v>
      </c>
      <c r="AA966" s="53" t="n">
        <f aca="false">IF(S966=1,IF(J966="Listed / Publicado",0,1),0)</f>
        <v>0</v>
      </c>
      <c r="AB966" s="53" t="n">
        <f aca="false">IF(T966=1,IF(ISNUMBER(L966),L966-G966,0),0)</f>
        <v>0</v>
      </c>
      <c r="AC966" s="53" t="n">
        <f aca="false">IF(S966=1,IF(ISNUMBER(I966),I966-G966,0),0)</f>
        <v>0</v>
      </c>
    </row>
    <row r="967" customFormat="false" ht="15" hidden="false" customHeight="false" outlineLevel="0" collapsed="false">
      <c r="B967" s="54"/>
      <c r="C967" s="55"/>
      <c r="D967" s="55"/>
      <c r="E967" s="55"/>
      <c r="F967" s="56"/>
      <c r="G967" s="57"/>
      <c r="H967" s="55"/>
      <c r="I967" s="57"/>
      <c r="J967" s="54"/>
      <c r="K967" s="56"/>
      <c r="L967" s="57"/>
      <c r="M967" s="54"/>
      <c r="N967" s="58" t="str">
        <f aca="false">IF(S967=1,IF(U967&lt;0,"",U967),IF(Y967=1,X967,""))</f>
        <v/>
      </c>
      <c r="O967" s="59" t="str">
        <f aca="false">IF(S967=1,IF(ISNUMBER(I967),I967-G967,""),"")</f>
        <v/>
      </c>
      <c r="P967" s="59" t="str">
        <f aca="false">IF(T967=1,IF(ISNUMBER(L967),L967-G967,""),"")</f>
        <v/>
      </c>
      <c r="Q967" s="60" t="str">
        <f aca="false">IF(C967="","",IF(T967=1,"✔ SOLD / VENDIDO",IF(S967=0,"— CLOSED / CERRADO",IF(U967&lt;0,"⚠ ADD DATE / AGREGA FECHA",IF(U967&gt;=Settings!$C$8,"⚠ STALE – REPRICE / ESTANCADO",IF(U967&gt;=Settings!$C$7,"● WATCH / VIGILAR","✔ FRESH / RECIENTE"))))))</f>
        <v/>
      </c>
      <c r="S967" s="53" t="n">
        <f aca="false">IF(C967="",0,IF(OR(J967="",J967="In Stock / En Inventario",J967="Listed / Publicado"),1,0))</f>
        <v>0</v>
      </c>
      <c r="T967" s="53" t="n">
        <f aca="false">IF(C967="",0,IF(J967="Sold / Vendido",1,0))</f>
        <v>0</v>
      </c>
      <c r="U967" s="53" t="n">
        <f aca="true">IF(S967=1,IF(ISNUMBER(F967),TODAY()-F967,-1),-1)</f>
        <v>-1</v>
      </c>
      <c r="V967" s="53" t="n">
        <f aca="false">IF(U967&lt;0,IF(S967=1,5,0),IF(U967&lt;=30,1,IF(U967&lt;=60,2,IF(U967&lt;=90,3,4))))</f>
        <v>0</v>
      </c>
      <c r="W967" s="53" t="n">
        <f aca="false">IF(U967&lt;0,-1000000000000000,U967+ROW()/1000000)</f>
        <v>-1000000000000000</v>
      </c>
      <c r="X967" s="53" t="n">
        <f aca="false">IF(T967=1,IF(AND(ISNUMBER(F967),ISNUMBER(K967)),K967-F967,0),0)</f>
        <v>0</v>
      </c>
      <c r="Y967" s="53" t="n">
        <f aca="false">IF(T967=1,IF(AND(ISNUMBER(F967),ISNUMBER(K967)),1,0),0)</f>
        <v>0</v>
      </c>
      <c r="Z967" s="53" t="n">
        <f aca="false">IF(U967&gt;=Settings!$C$8,1,0)</f>
        <v>0</v>
      </c>
      <c r="AA967" s="53" t="n">
        <f aca="false">IF(S967=1,IF(J967="Listed / Publicado",0,1),0)</f>
        <v>0</v>
      </c>
      <c r="AB967" s="53" t="n">
        <f aca="false">IF(T967=1,IF(ISNUMBER(L967),L967-G967,0),0)</f>
        <v>0</v>
      </c>
      <c r="AC967" s="53" t="n">
        <f aca="false">IF(S967=1,IF(ISNUMBER(I967),I967-G967,0),0)</f>
        <v>0</v>
      </c>
    </row>
    <row r="968" customFormat="false" ht="15" hidden="false" customHeight="false" outlineLevel="0" collapsed="false">
      <c r="B968" s="54"/>
      <c r="C968" s="55"/>
      <c r="D968" s="55"/>
      <c r="E968" s="55"/>
      <c r="F968" s="56"/>
      <c r="G968" s="57"/>
      <c r="H968" s="55"/>
      <c r="I968" s="57"/>
      <c r="J968" s="54"/>
      <c r="K968" s="56"/>
      <c r="L968" s="57"/>
      <c r="M968" s="54"/>
      <c r="N968" s="58" t="str">
        <f aca="false">IF(S968=1,IF(U968&lt;0,"",U968),IF(Y968=1,X968,""))</f>
        <v/>
      </c>
      <c r="O968" s="59" t="str">
        <f aca="false">IF(S968=1,IF(ISNUMBER(I968),I968-G968,""),"")</f>
        <v/>
      </c>
      <c r="P968" s="59" t="str">
        <f aca="false">IF(T968=1,IF(ISNUMBER(L968),L968-G968,""),"")</f>
        <v/>
      </c>
      <c r="Q968" s="60" t="str">
        <f aca="false">IF(C968="","",IF(T968=1,"✔ SOLD / VENDIDO",IF(S968=0,"— CLOSED / CERRADO",IF(U968&lt;0,"⚠ ADD DATE / AGREGA FECHA",IF(U968&gt;=Settings!$C$8,"⚠ STALE – REPRICE / ESTANCADO",IF(U968&gt;=Settings!$C$7,"● WATCH / VIGILAR","✔ FRESH / RECIENTE"))))))</f>
        <v/>
      </c>
      <c r="S968" s="53" t="n">
        <f aca="false">IF(C968="",0,IF(OR(J968="",J968="In Stock / En Inventario",J968="Listed / Publicado"),1,0))</f>
        <v>0</v>
      </c>
      <c r="T968" s="53" t="n">
        <f aca="false">IF(C968="",0,IF(J968="Sold / Vendido",1,0))</f>
        <v>0</v>
      </c>
      <c r="U968" s="53" t="n">
        <f aca="true">IF(S968=1,IF(ISNUMBER(F968),TODAY()-F968,-1),-1)</f>
        <v>-1</v>
      </c>
      <c r="V968" s="53" t="n">
        <f aca="false">IF(U968&lt;0,IF(S968=1,5,0),IF(U968&lt;=30,1,IF(U968&lt;=60,2,IF(U968&lt;=90,3,4))))</f>
        <v>0</v>
      </c>
      <c r="W968" s="53" t="n">
        <f aca="false">IF(U968&lt;0,-1000000000000000,U968+ROW()/1000000)</f>
        <v>-1000000000000000</v>
      </c>
      <c r="X968" s="53" t="n">
        <f aca="false">IF(T968=1,IF(AND(ISNUMBER(F968),ISNUMBER(K968)),K968-F968,0),0)</f>
        <v>0</v>
      </c>
      <c r="Y968" s="53" t="n">
        <f aca="false">IF(T968=1,IF(AND(ISNUMBER(F968),ISNUMBER(K968)),1,0),0)</f>
        <v>0</v>
      </c>
      <c r="Z968" s="53" t="n">
        <f aca="false">IF(U968&gt;=Settings!$C$8,1,0)</f>
        <v>0</v>
      </c>
      <c r="AA968" s="53" t="n">
        <f aca="false">IF(S968=1,IF(J968="Listed / Publicado",0,1),0)</f>
        <v>0</v>
      </c>
      <c r="AB968" s="53" t="n">
        <f aca="false">IF(T968=1,IF(ISNUMBER(L968),L968-G968,0),0)</f>
        <v>0</v>
      </c>
      <c r="AC968" s="53" t="n">
        <f aca="false">IF(S968=1,IF(ISNUMBER(I968),I968-G968,0),0)</f>
        <v>0</v>
      </c>
    </row>
    <row r="969" customFormat="false" ht="15" hidden="false" customHeight="false" outlineLevel="0" collapsed="false">
      <c r="B969" s="54"/>
      <c r="C969" s="55"/>
      <c r="D969" s="55"/>
      <c r="E969" s="55"/>
      <c r="F969" s="56"/>
      <c r="G969" s="57"/>
      <c r="H969" s="55"/>
      <c r="I969" s="57"/>
      <c r="J969" s="54"/>
      <c r="K969" s="56"/>
      <c r="L969" s="57"/>
      <c r="M969" s="54"/>
      <c r="N969" s="58" t="str">
        <f aca="false">IF(S969=1,IF(U969&lt;0,"",U969),IF(Y969=1,X969,""))</f>
        <v/>
      </c>
      <c r="O969" s="59" t="str">
        <f aca="false">IF(S969=1,IF(ISNUMBER(I969),I969-G969,""),"")</f>
        <v/>
      </c>
      <c r="P969" s="59" t="str">
        <f aca="false">IF(T969=1,IF(ISNUMBER(L969),L969-G969,""),"")</f>
        <v/>
      </c>
      <c r="Q969" s="60" t="str">
        <f aca="false">IF(C969="","",IF(T969=1,"✔ SOLD / VENDIDO",IF(S969=0,"— CLOSED / CERRADO",IF(U969&lt;0,"⚠ ADD DATE / AGREGA FECHA",IF(U969&gt;=Settings!$C$8,"⚠ STALE – REPRICE / ESTANCADO",IF(U969&gt;=Settings!$C$7,"● WATCH / VIGILAR","✔ FRESH / RECIENTE"))))))</f>
        <v/>
      </c>
      <c r="S969" s="53" t="n">
        <f aca="false">IF(C969="",0,IF(OR(J969="",J969="In Stock / En Inventario",J969="Listed / Publicado"),1,0))</f>
        <v>0</v>
      </c>
      <c r="T969" s="53" t="n">
        <f aca="false">IF(C969="",0,IF(J969="Sold / Vendido",1,0))</f>
        <v>0</v>
      </c>
      <c r="U969" s="53" t="n">
        <f aca="true">IF(S969=1,IF(ISNUMBER(F969),TODAY()-F969,-1),-1)</f>
        <v>-1</v>
      </c>
      <c r="V969" s="53" t="n">
        <f aca="false">IF(U969&lt;0,IF(S969=1,5,0),IF(U969&lt;=30,1,IF(U969&lt;=60,2,IF(U969&lt;=90,3,4))))</f>
        <v>0</v>
      </c>
      <c r="W969" s="53" t="n">
        <f aca="false">IF(U969&lt;0,-1000000000000000,U969+ROW()/1000000)</f>
        <v>-1000000000000000</v>
      </c>
      <c r="X969" s="53" t="n">
        <f aca="false">IF(T969=1,IF(AND(ISNUMBER(F969),ISNUMBER(K969)),K969-F969,0),0)</f>
        <v>0</v>
      </c>
      <c r="Y969" s="53" t="n">
        <f aca="false">IF(T969=1,IF(AND(ISNUMBER(F969),ISNUMBER(K969)),1,0),0)</f>
        <v>0</v>
      </c>
      <c r="Z969" s="53" t="n">
        <f aca="false">IF(U969&gt;=Settings!$C$8,1,0)</f>
        <v>0</v>
      </c>
      <c r="AA969" s="53" t="n">
        <f aca="false">IF(S969=1,IF(J969="Listed / Publicado",0,1),0)</f>
        <v>0</v>
      </c>
      <c r="AB969" s="53" t="n">
        <f aca="false">IF(T969=1,IF(ISNUMBER(L969),L969-G969,0),0)</f>
        <v>0</v>
      </c>
      <c r="AC969" s="53" t="n">
        <f aca="false">IF(S969=1,IF(ISNUMBER(I969),I969-G969,0),0)</f>
        <v>0</v>
      </c>
    </row>
    <row r="970" customFormat="false" ht="15" hidden="false" customHeight="false" outlineLevel="0" collapsed="false">
      <c r="B970" s="54"/>
      <c r="C970" s="55"/>
      <c r="D970" s="55"/>
      <c r="E970" s="55"/>
      <c r="F970" s="56"/>
      <c r="G970" s="57"/>
      <c r="H970" s="55"/>
      <c r="I970" s="57"/>
      <c r="J970" s="54"/>
      <c r="K970" s="56"/>
      <c r="L970" s="57"/>
      <c r="M970" s="54"/>
      <c r="N970" s="58" t="str">
        <f aca="false">IF(S970=1,IF(U970&lt;0,"",U970),IF(Y970=1,X970,""))</f>
        <v/>
      </c>
      <c r="O970" s="59" t="str">
        <f aca="false">IF(S970=1,IF(ISNUMBER(I970),I970-G970,""),"")</f>
        <v/>
      </c>
      <c r="P970" s="59" t="str">
        <f aca="false">IF(T970=1,IF(ISNUMBER(L970),L970-G970,""),"")</f>
        <v/>
      </c>
      <c r="Q970" s="60" t="str">
        <f aca="false">IF(C970="","",IF(T970=1,"✔ SOLD / VENDIDO",IF(S970=0,"— CLOSED / CERRADO",IF(U970&lt;0,"⚠ ADD DATE / AGREGA FECHA",IF(U970&gt;=Settings!$C$8,"⚠ STALE – REPRICE / ESTANCADO",IF(U970&gt;=Settings!$C$7,"● WATCH / VIGILAR","✔ FRESH / RECIENTE"))))))</f>
        <v/>
      </c>
      <c r="S970" s="53" t="n">
        <f aca="false">IF(C970="",0,IF(OR(J970="",J970="In Stock / En Inventario",J970="Listed / Publicado"),1,0))</f>
        <v>0</v>
      </c>
      <c r="T970" s="53" t="n">
        <f aca="false">IF(C970="",0,IF(J970="Sold / Vendido",1,0))</f>
        <v>0</v>
      </c>
      <c r="U970" s="53" t="n">
        <f aca="true">IF(S970=1,IF(ISNUMBER(F970),TODAY()-F970,-1),-1)</f>
        <v>-1</v>
      </c>
      <c r="V970" s="53" t="n">
        <f aca="false">IF(U970&lt;0,IF(S970=1,5,0),IF(U970&lt;=30,1,IF(U970&lt;=60,2,IF(U970&lt;=90,3,4))))</f>
        <v>0</v>
      </c>
      <c r="W970" s="53" t="n">
        <f aca="false">IF(U970&lt;0,-1000000000000000,U970+ROW()/1000000)</f>
        <v>-1000000000000000</v>
      </c>
      <c r="X970" s="53" t="n">
        <f aca="false">IF(T970=1,IF(AND(ISNUMBER(F970),ISNUMBER(K970)),K970-F970,0),0)</f>
        <v>0</v>
      </c>
      <c r="Y970" s="53" t="n">
        <f aca="false">IF(T970=1,IF(AND(ISNUMBER(F970),ISNUMBER(K970)),1,0),0)</f>
        <v>0</v>
      </c>
      <c r="Z970" s="53" t="n">
        <f aca="false">IF(U970&gt;=Settings!$C$8,1,0)</f>
        <v>0</v>
      </c>
      <c r="AA970" s="53" t="n">
        <f aca="false">IF(S970=1,IF(J970="Listed / Publicado",0,1),0)</f>
        <v>0</v>
      </c>
      <c r="AB970" s="53" t="n">
        <f aca="false">IF(T970=1,IF(ISNUMBER(L970),L970-G970,0),0)</f>
        <v>0</v>
      </c>
      <c r="AC970" s="53" t="n">
        <f aca="false">IF(S970=1,IF(ISNUMBER(I970),I970-G970,0),0)</f>
        <v>0</v>
      </c>
    </row>
    <row r="971" customFormat="false" ht="15" hidden="false" customHeight="false" outlineLevel="0" collapsed="false">
      <c r="B971" s="54"/>
      <c r="C971" s="55"/>
      <c r="D971" s="55"/>
      <c r="E971" s="55"/>
      <c r="F971" s="56"/>
      <c r="G971" s="57"/>
      <c r="H971" s="55"/>
      <c r="I971" s="57"/>
      <c r="J971" s="54"/>
      <c r="K971" s="56"/>
      <c r="L971" s="57"/>
      <c r="M971" s="54"/>
      <c r="N971" s="58" t="str">
        <f aca="false">IF(S971=1,IF(U971&lt;0,"",U971),IF(Y971=1,X971,""))</f>
        <v/>
      </c>
      <c r="O971" s="59" t="str">
        <f aca="false">IF(S971=1,IF(ISNUMBER(I971),I971-G971,""),"")</f>
        <v/>
      </c>
      <c r="P971" s="59" t="str">
        <f aca="false">IF(T971=1,IF(ISNUMBER(L971),L971-G971,""),"")</f>
        <v/>
      </c>
      <c r="Q971" s="60" t="str">
        <f aca="false">IF(C971="","",IF(T971=1,"✔ SOLD / VENDIDO",IF(S971=0,"— CLOSED / CERRADO",IF(U971&lt;0,"⚠ ADD DATE / AGREGA FECHA",IF(U971&gt;=Settings!$C$8,"⚠ STALE – REPRICE / ESTANCADO",IF(U971&gt;=Settings!$C$7,"● WATCH / VIGILAR","✔ FRESH / RECIENTE"))))))</f>
        <v/>
      </c>
      <c r="S971" s="53" t="n">
        <f aca="false">IF(C971="",0,IF(OR(J971="",J971="In Stock / En Inventario",J971="Listed / Publicado"),1,0))</f>
        <v>0</v>
      </c>
      <c r="T971" s="53" t="n">
        <f aca="false">IF(C971="",0,IF(J971="Sold / Vendido",1,0))</f>
        <v>0</v>
      </c>
      <c r="U971" s="53" t="n">
        <f aca="true">IF(S971=1,IF(ISNUMBER(F971),TODAY()-F971,-1),-1)</f>
        <v>-1</v>
      </c>
      <c r="V971" s="53" t="n">
        <f aca="false">IF(U971&lt;0,IF(S971=1,5,0),IF(U971&lt;=30,1,IF(U971&lt;=60,2,IF(U971&lt;=90,3,4))))</f>
        <v>0</v>
      </c>
      <c r="W971" s="53" t="n">
        <f aca="false">IF(U971&lt;0,-1000000000000000,U971+ROW()/1000000)</f>
        <v>-1000000000000000</v>
      </c>
      <c r="X971" s="53" t="n">
        <f aca="false">IF(T971=1,IF(AND(ISNUMBER(F971),ISNUMBER(K971)),K971-F971,0),0)</f>
        <v>0</v>
      </c>
      <c r="Y971" s="53" t="n">
        <f aca="false">IF(T971=1,IF(AND(ISNUMBER(F971),ISNUMBER(K971)),1,0),0)</f>
        <v>0</v>
      </c>
      <c r="Z971" s="53" t="n">
        <f aca="false">IF(U971&gt;=Settings!$C$8,1,0)</f>
        <v>0</v>
      </c>
      <c r="AA971" s="53" t="n">
        <f aca="false">IF(S971=1,IF(J971="Listed / Publicado",0,1),0)</f>
        <v>0</v>
      </c>
      <c r="AB971" s="53" t="n">
        <f aca="false">IF(T971=1,IF(ISNUMBER(L971),L971-G971,0),0)</f>
        <v>0</v>
      </c>
      <c r="AC971" s="53" t="n">
        <f aca="false">IF(S971=1,IF(ISNUMBER(I971),I971-G971,0),0)</f>
        <v>0</v>
      </c>
    </row>
    <row r="972" customFormat="false" ht="15" hidden="false" customHeight="false" outlineLevel="0" collapsed="false">
      <c r="B972" s="54"/>
      <c r="C972" s="55"/>
      <c r="D972" s="55"/>
      <c r="E972" s="55"/>
      <c r="F972" s="56"/>
      <c r="G972" s="57"/>
      <c r="H972" s="55"/>
      <c r="I972" s="57"/>
      <c r="J972" s="54"/>
      <c r="K972" s="56"/>
      <c r="L972" s="57"/>
      <c r="M972" s="54"/>
      <c r="N972" s="58" t="str">
        <f aca="false">IF(S972=1,IF(U972&lt;0,"",U972),IF(Y972=1,X972,""))</f>
        <v/>
      </c>
      <c r="O972" s="59" t="str">
        <f aca="false">IF(S972=1,IF(ISNUMBER(I972),I972-G972,""),"")</f>
        <v/>
      </c>
      <c r="P972" s="59" t="str">
        <f aca="false">IF(T972=1,IF(ISNUMBER(L972),L972-G972,""),"")</f>
        <v/>
      </c>
      <c r="Q972" s="60" t="str">
        <f aca="false">IF(C972="","",IF(T972=1,"✔ SOLD / VENDIDO",IF(S972=0,"— CLOSED / CERRADO",IF(U972&lt;0,"⚠ ADD DATE / AGREGA FECHA",IF(U972&gt;=Settings!$C$8,"⚠ STALE – REPRICE / ESTANCADO",IF(U972&gt;=Settings!$C$7,"● WATCH / VIGILAR","✔ FRESH / RECIENTE"))))))</f>
        <v/>
      </c>
      <c r="S972" s="53" t="n">
        <f aca="false">IF(C972="",0,IF(OR(J972="",J972="In Stock / En Inventario",J972="Listed / Publicado"),1,0))</f>
        <v>0</v>
      </c>
      <c r="T972" s="53" t="n">
        <f aca="false">IF(C972="",0,IF(J972="Sold / Vendido",1,0))</f>
        <v>0</v>
      </c>
      <c r="U972" s="53" t="n">
        <f aca="true">IF(S972=1,IF(ISNUMBER(F972),TODAY()-F972,-1),-1)</f>
        <v>-1</v>
      </c>
      <c r="V972" s="53" t="n">
        <f aca="false">IF(U972&lt;0,IF(S972=1,5,0),IF(U972&lt;=30,1,IF(U972&lt;=60,2,IF(U972&lt;=90,3,4))))</f>
        <v>0</v>
      </c>
      <c r="W972" s="53" t="n">
        <f aca="false">IF(U972&lt;0,-1000000000000000,U972+ROW()/1000000)</f>
        <v>-1000000000000000</v>
      </c>
      <c r="X972" s="53" t="n">
        <f aca="false">IF(T972=1,IF(AND(ISNUMBER(F972),ISNUMBER(K972)),K972-F972,0),0)</f>
        <v>0</v>
      </c>
      <c r="Y972" s="53" t="n">
        <f aca="false">IF(T972=1,IF(AND(ISNUMBER(F972),ISNUMBER(K972)),1,0),0)</f>
        <v>0</v>
      </c>
      <c r="Z972" s="53" t="n">
        <f aca="false">IF(U972&gt;=Settings!$C$8,1,0)</f>
        <v>0</v>
      </c>
      <c r="AA972" s="53" t="n">
        <f aca="false">IF(S972=1,IF(J972="Listed / Publicado",0,1),0)</f>
        <v>0</v>
      </c>
      <c r="AB972" s="53" t="n">
        <f aca="false">IF(T972=1,IF(ISNUMBER(L972),L972-G972,0),0)</f>
        <v>0</v>
      </c>
      <c r="AC972" s="53" t="n">
        <f aca="false">IF(S972=1,IF(ISNUMBER(I972),I972-G972,0),0)</f>
        <v>0</v>
      </c>
    </row>
    <row r="973" customFormat="false" ht="15" hidden="false" customHeight="false" outlineLevel="0" collapsed="false">
      <c r="B973" s="54"/>
      <c r="C973" s="55"/>
      <c r="D973" s="55"/>
      <c r="E973" s="55"/>
      <c r="F973" s="56"/>
      <c r="G973" s="57"/>
      <c r="H973" s="55"/>
      <c r="I973" s="57"/>
      <c r="J973" s="54"/>
      <c r="K973" s="56"/>
      <c r="L973" s="57"/>
      <c r="M973" s="54"/>
      <c r="N973" s="58" t="str">
        <f aca="false">IF(S973=1,IF(U973&lt;0,"",U973),IF(Y973=1,X973,""))</f>
        <v/>
      </c>
      <c r="O973" s="59" t="str">
        <f aca="false">IF(S973=1,IF(ISNUMBER(I973),I973-G973,""),"")</f>
        <v/>
      </c>
      <c r="P973" s="59" t="str">
        <f aca="false">IF(T973=1,IF(ISNUMBER(L973),L973-G973,""),"")</f>
        <v/>
      </c>
      <c r="Q973" s="60" t="str">
        <f aca="false">IF(C973="","",IF(T973=1,"✔ SOLD / VENDIDO",IF(S973=0,"— CLOSED / CERRADO",IF(U973&lt;0,"⚠ ADD DATE / AGREGA FECHA",IF(U973&gt;=Settings!$C$8,"⚠ STALE – REPRICE / ESTANCADO",IF(U973&gt;=Settings!$C$7,"● WATCH / VIGILAR","✔ FRESH / RECIENTE"))))))</f>
        <v/>
      </c>
      <c r="S973" s="53" t="n">
        <f aca="false">IF(C973="",0,IF(OR(J973="",J973="In Stock / En Inventario",J973="Listed / Publicado"),1,0))</f>
        <v>0</v>
      </c>
      <c r="T973" s="53" t="n">
        <f aca="false">IF(C973="",0,IF(J973="Sold / Vendido",1,0))</f>
        <v>0</v>
      </c>
      <c r="U973" s="53" t="n">
        <f aca="true">IF(S973=1,IF(ISNUMBER(F973),TODAY()-F973,-1),-1)</f>
        <v>-1</v>
      </c>
      <c r="V973" s="53" t="n">
        <f aca="false">IF(U973&lt;0,IF(S973=1,5,0),IF(U973&lt;=30,1,IF(U973&lt;=60,2,IF(U973&lt;=90,3,4))))</f>
        <v>0</v>
      </c>
      <c r="W973" s="53" t="n">
        <f aca="false">IF(U973&lt;0,-1000000000000000,U973+ROW()/1000000)</f>
        <v>-1000000000000000</v>
      </c>
      <c r="X973" s="53" t="n">
        <f aca="false">IF(T973=1,IF(AND(ISNUMBER(F973),ISNUMBER(K973)),K973-F973,0),0)</f>
        <v>0</v>
      </c>
      <c r="Y973" s="53" t="n">
        <f aca="false">IF(T973=1,IF(AND(ISNUMBER(F973),ISNUMBER(K973)),1,0),0)</f>
        <v>0</v>
      </c>
      <c r="Z973" s="53" t="n">
        <f aca="false">IF(U973&gt;=Settings!$C$8,1,0)</f>
        <v>0</v>
      </c>
      <c r="AA973" s="53" t="n">
        <f aca="false">IF(S973=1,IF(J973="Listed / Publicado",0,1),0)</f>
        <v>0</v>
      </c>
      <c r="AB973" s="53" t="n">
        <f aca="false">IF(T973=1,IF(ISNUMBER(L973),L973-G973,0),0)</f>
        <v>0</v>
      </c>
      <c r="AC973" s="53" t="n">
        <f aca="false">IF(S973=1,IF(ISNUMBER(I973),I973-G973,0),0)</f>
        <v>0</v>
      </c>
    </row>
    <row r="974" customFormat="false" ht="15" hidden="false" customHeight="false" outlineLevel="0" collapsed="false">
      <c r="B974" s="54"/>
      <c r="C974" s="55"/>
      <c r="D974" s="55"/>
      <c r="E974" s="55"/>
      <c r="F974" s="56"/>
      <c r="G974" s="57"/>
      <c r="H974" s="55"/>
      <c r="I974" s="57"/>
      <c r="J974" s="54"/>
      <c r="K974" s="56"/>
      <c r="L974" s="57"/>
      <c r="M974" s="54"/>
      <c r="N974" s="58" t="str">
        <f aca="false">IF(S974=1,IF(U974&lt;0,"",U974),IF(Y974=1,X974,""))</f>
        <v/>
      </c>
      <c r="O974" s="59" t="str">
        <f aca="false">IF(S974=1,IF(ISNUMBER(I974),I974-G974,""),"")</f>
        <v/>
      </c>
      <c r="P974" s="59" t="str">
        <f aca="false">IF(T974=1,IF(ISNUMBER(L974),L974-G974,""),"")</f>
        <v/>
      </c>
      <c r="Q974" s="60" t="str">
        <f aca="false">IF(C974="","",IF(T974=1,"✔ SOLD / VENDIDO",IF(S974=0,"— CLOSED / CERRADO",IF(U974&lt;0,"⚠ ADD DATE / AGREGA FECHA",IF(U974&gt;=Settings!$C$8,"⚠ STALE – REPRICE / ESTANCADO",IF(U974&gt;=Settings!$C$7,"● WATCH / VIGILAR","✔ FRESH / RECIENTE"))))))</f>
        <v/>
      </c>
      <c r="S974" s="53" t="n">
        <f aca="false">IF(C974="",0,IF(OR(J974="",J974="In Stock / En Inventario",J974="Listed / Publicado"),1,0))</f>
        <v>0</v>
      </c>
      <c r="T974" s="53" t="n">
        <f aca="false">IF(C974="",0,IF(J974="Sold / Vendido",1,0))</f>
        <v>0</v>
      </c>
      <c r="U974" s="53" t="n">
        <f aca="true">IF(S974=1,IF(ISNUMBER(F974),TODAY()-F974,-1),-1)</f>
        <v>-1</v>
      </c>
      <c r="V974" s="53" t="n">
        <f aca="false">IF(U974&lt;0,IF(S974=1,5,0),IF(U974&lt;=30,1,IF(U974&lt;=60,2,IF(U974&lt;=90,3,4))))</f>
        <v>0</v>
      </c>
      <c r="W974" s="53" t="n">
        <f aca="false">IF(U974&lt;0,-1000000000000000,U974+ROW()/1000000)</f>
        <v>-1000000000000000</v>
      </c>
      <c r="X974" s="53" t="n">
        <f aca="false">IF(T974=1,IF(AND(ISNUMBER(F974),ISNUMBER(K974)),K974-F974,0),0)</f>
        <v>0</v>
      </c>
      <c r="Y974" s="53" t="n">
        <f aca="false">IF(T974=1,IF(AND(ISNUMBER(F974),ISNUMBER(K974)),1,0),0)</f>
        <v>0</v>
      </c>
      <c r="Z974" s="53" t="n">
        <f aca="false">IF(U974&gt;=Settings!$C$8,1,0)</f>
        <v>0</v>
      </c>
      <c r="AA974" s="53" t="n">
        <f aca="false">IF(S974=1,IF(J974="Listed / Publicado",0,1),0)</f>
        <v>0</v>
      </c>
      <c r="AB974" s="53" t="n">
        <f aca="false">IF(T974=1,IF(ISNUMBER(L974),L974-G974,0),0)</f>
        <v>0</v>
      </c>
      <c r="AC974" s="53" t="n">
        <f aca="false">IF(S974=1,IF(ISNUMBER(I974),I974-G974,0),0)</f>
        <v>0</v>
      </c>
    </row>
    <row r="975" customFormat="false" ht="15" hidden="false" customHeight="false" outlineLevel="0" collapsed="false">
      <c r="B975" s="54"/>
      <c r="C975" s="55"/>
      <c r="D975" s="55"/>
      <c r="E975" s="55"/>
      <c r="F975" s="56"/>
      <c r="G975" s="57"/>
      <c r="H975" s="55"/>
      <c r="I975" s="57"/>
      <c r="J975" s="54"/>
      <c r="K975" s="56"/>
      <c r="L975" s="57"/>
      <c r="M975" s="54"/>
      <c r="N975" s="58" t="str">
        <f aca="false">IF(S975=1,IF(U975&lt;0,"",U975),IF(Y975=1,X975,""))</f>
        <v/>
      </c>
      <c r="O975" s="59" t="str">
        <f aca="false">IF(S975=1,IF(ISNUMBER(I975),I975-G975,""),"")</f>
        <v/>
      </c>
      <c r="P975" s="59" t="str">
        <f aca="false">IF(T975=1,IF(ISNUMBER(L975),L975-G975,""),"")</f>
        <v/>
      </c>
      <c r="Q975" s="60" t="str">
        <f aca="false">IF(C975="","",IF(T975=1,"✔ SOLD / VENDIDO",IF(S975=0,"— CLOSED / CERRADO",IF(U975&lt;0,"⚠ ADD DATE / AGREGA FECHA",IF(U975&gt;=Settings!$C$8,"⚠ STALE – REPRICE / ESTANCADO",IF(U975&gt;=Settings!$C$7,"● WATCH / VIGILAR","✔ FRESH / RECIENTE"))))))</f>
        <v/>
      </c>
      <c r="S975" s="53" t="n">
        <f aca="false">IF(C975="",0,IF(OR(J975="",J975="In Stock / En Inventario",J975="Listed / Publicado"),1,0))</f>
        <v>0</v>
      </c>
      <c r="T975" s="53" t="n">
        <f aca="false">IF(C975="",0,IF(J975="Sold / Vendido",1,0))</f>
        <v>0</v>
      </c>
      <c r="U975" s="53" t="n">
        <f aca="true">IF(S975=1,IF(ISNUMBER(F975),TODAY()-F975,-1),-1)</f>
        <v>-1</v>
      </c>
      <c r="V975" s="53" t="n">
        <f aca="false">IF(U975&lt;0,IF(S975=1,5,0),IF(U975&lt;=30,1,IF(U975&lt;=60,2,IF(U975&lt;=90,3,4))))</f>
        <v>0</v>
      </c>
      <c r="W975" s="53" t="n">
        <f aca="false">IF(U975&lt;0,-1000000000000000,U975+ROW()/1000000)</f>
        <v>-1000000000000000</v>
      </c>
      <c r="X975" s="53" t="n">
        <f aca="false">IF(T975=1,IF(AND(ISNUMBER(F975),ISNUMBER(K975)),K975-F975,0),0)</f>
        <v>0</v>
      </c>
      <c r="Y975" s="53" t="n">
        <f aca="false">IF(T975=1,IF(AND(ISNUMBER(F975),ISNUMBER(K975)),1,0),0)</f>
        <v>0</v>
      </c>
      <c r="Z975" s="53" t="n">
        <f aca="false">IF(U975&gt;=Settings!$C$8,1,0)</f>
        <v>0</v>
      </c>
      <c r="AA975" s="53" t="n">
        <f aca="false">IF(S975=1,IF(J975="Listed / Publicado",0,1),0)</f>
        <v>0</v>
      </c>
      <c r="AB975" s="53" t="n">
        <f aca="false">IF(T975=1,IF(ISNUMBER(L975),L975-G975,0),0)</f>
        <v>0</v>
      </c>
      <c r="AC975" s="53" t="n">
        <f aca="false">IF(S975=1,IF(ISNUMBER(I975),I975-G975,0),0)</f>
        <v>0</v>
      </c>
    </row>
    <row r="976" customFormat="false" ht="15" hidden="false" customHeight="false" outlineLevel="0" collapsed="false">
      <c r="B976" s="54"/>
      <c r="C976" s="55"/>
      <c r="D976" s="55"/>
      <c r="E976" s="55"/>
      <c r="F976" s="56"/>
      <c r="G976" s="57"/>
      <c r="H976" s="55"/>
      <c r="I976" s="57"/>
      <c r="J976" s="54"/>
      <c r="K976" s="56"/>
      <c r="L976" s="57"/>
      <c r="M976" s="54"/>
      <c r="N976" s="58" t="str">
        <f aca="false">IF(S976=1,IF(U976&lt;0,"",U976),IF(Y976=1,X976,""))</f>
        <v/>
      </c>
      <c r="O976" s="59" t="str">
        <f aca="false">IF(S976=1,IF(ISNUMBER(I976),I976-G976,""),"")</f>
        <v/>
      </c>
      <c r="P976" s="59" t="str">
        <f aca="false">IF(T976=1,IF(ISNUMBER(L976),L976-G976,""),"")</f>
        <v/>
      </c>
      <c r="Q976" s="60" t="str">
        <f aca="false">IF(C976="","",IF(T976=1,"✔ SOLD / VENDIDO",IF(S976=0,"— CLOSED / CERRADO",IF(U976&lt;0,"⚠ ADD DATE / AGREGA FECHA",IF(U976&gt;=Settings!$C$8,"⚠ STALE – REPRICE / ESTANCADO",IF(U976&gt;=Settings!$C$7,"● WATCH / VIGILAR","✔ FRESH / RECIENTE"))))))</f>
        <v/>
      </c>
      <c r="S976" s="53" t="n">
        <f aca="false">IF(C976="",0,IF(OR(J976="",J976="In Stock / En Inventario",J976="Listed / Publicado"),1,0))</f>
        <v>0</v>
      </c>
      <c r="T976" s="53" t="n">
        <f aca="false">IF(C976="",0,IF(J976="Sold / Vendido",1,0))</f>
        <v>0</v>
      </c>
      <c r="U976" s="53" t="n">
        <f aca="true">IF(S976=1,IF(ISNUMBER(F976),TODAY()-F976,-1),-1)</f>
        <v>-1</v>
      </c>
      <c r="V976" s="53" t="n">
        <f aca="false">IF(U976&lt;0,IF(S976=1,5,0),IF(U976&lt;=30,1,IF(U976&lt;=60,2,IF(U976&lt;=90,3,4))))</f>
        <v>0</v>
      </c>
      <c r="W976" s="53" t="n">
        <f aca="false">IF(U976&lt;0,-1000000000000000,U976+ROW()/1000000)</f>
        <v>-1000000000000000</v>
      </c>
      <c r="X976" s="53" t="n">
        <f aca="false">IF(T976=1,IF(AND(ISNUMBER(F976),ISNUMBER(K976)),K976-F976,0),0)</f>
        <v>0</v>
      </c>
      <c r="Y976" s="53" t="n">
        <f aca="false">IF(T976=1,IF(AND(ISNUMBER(F976),ISNUMBER(K976)),1,0),0)</f>
        <v>0</v>
      </c>
      <c r="Z976" s="53" t="n">
        <f aca="false">IF(U976&gt;=Settings!$C$8,1,0)</f>
        <v>0</v>
      </c>
      <c r="AA976" s="53" t="n">
        <f aca="false">IF(S976=1,IF(J976="Listed / Publicado",0,1),0)</f>
        <v>0</v>
      </c>
      <c r="AB976" s="53" t="n">
        <f aca="false">IF(T976=1,IF(ISNUMBER(L976),L976-G976,0),0)</f>
        <v>0</v>
      </c>
      <c r="AC976" s="53" t="n">
        <f aca="false">IF(S976=1,IF(ISNUMBER(I976),I976-G976,0),0)</f>
        <v>0</v>
      </c>
    </row>
    <row r="977" customFormat="false" ht="15" hidden="false" customHeight="false" outlineLevel="0" collapsed="false">
      <c r="B977" s="54"/>
      <c r="C977" s="55"/>
      <c r="D977" s="55"/>
      <c r="E977" s="55"/>
      <c r="F977" s="56"/>
      <c r="G977" s="57"/>
      <c r="H977" s="55"/>
      <c r="I977" s="57"/>
      <c r="J977" s="54"/>
      <c r="K977" s="56"/>
      <c r="L977" s="57"/>
      <c r="M977" s="54"/>
      <c r="N977" s="58" t="str">
        <f aca="false">IF(S977=1,IF(U977&lt;0,"",U977),IF(Y977=1,X977,""))</f>
        <v/>
      </c>
      <c r="O977" s="59" t="str">
        <f aca="false">IF(S977=1,IF(ISNUMBER(I977),I977-G977,""),"")</f>
        <v/>
      </c>
      <c r="P977" s="59" t="str">
        <f aca="false">IF(T977=1,IF(ISNUMBER(L977),L977-G977,""),"")</f>
        <v/>
      </c>
      <c r="Q977" s="60" t="str">
        <f aca="false">IF(C977="","",IF(T977=1,"✔ SOLD / VENDIDO",IF(S977=0,"— CLOSED / CERRADO",IF(U977&lt;0,"⚠ ADD DATE / AGREGA FECHA",IF(U977&gt;=Settings!$C$8,"⚠ STALE – REPRICE / ESTANCADO",IF(U977&gt;=Settings!$C$7,"● WATCH / VIGILAR","✔ FRESH / RECIENTE"))))))</f>
        <v/>
      </c>
      <c r="S977" s="53" t="n">
        <f aca="false">IF(C977="",0,IF(OR(J977="",J977="In Stock / En Inventario",J977="Listed / Publicado"),1,0))</f>
        <v>0</v>
      </c>
      <c r="T977" s="53" t="n">
        <f aca="false">IF(C977="",0,IF(J977="Sold / Vendido",1,0))</f>
        <v>0</v>
      </c>
      <c r="U977" s="53" t="n">
        <f aca="true">IF(S977=1,IF(ISNUMBER(F977),TODAY()-F977,-1),-1)</f>
        <v>-1</v>
      </c>
      <c r="V977" s="53" t="n">
        <f aca="false">IF(U977&lt;0,IF(S977=1,5,0),IF(U977&lt;=30,1,IF(U977&lt;=60,2,IF(U977&lt;=90,3,4))))</f>
        <v>0</v>
      </c>
      <c r="W977" s="53" t="n">
        <f aca="false">IF(U977&lt;0,-1000000000000000,U977+ROW()/1000000)</f>
        <v>-1000000000000000</v>
      </c>
      <c r="X977" s="53" t="n">
        <f aca="false">IF(T977=1,IF(AND(ISNUMBER(F977),ISNUMBER(K977)),K977-F977,0),0)</f>
        <v>0</v>
      </c>
      <c r="Y977" s="53" t="n">
        <f aca="false">IF(T977=1,IF(AND(ISNUMBER(F977),ISNUMBER(K977)),1,0),0)</f>
        <v>0</v>
      </c>
      <c r="Z977" s="53" t="n">
        <f aca="false">IF(U977&gt;=Settings!$C$8,1,0)</f>
        <v>0</v>
      </c>
      <c r="AA977" s="53" t="n">
        <f aca="false">IF(S977=1,IF(J977="Listed / Publicado",0,1),0)</f>
        <v>0</v>
      </c>
      <c r="AB977" s="53" t="n">
        <f aca="false">IF(T977=1,IF(ISNUMBER(L977),L977-G977,0),0)</f>
        <v>0</v>
      </c>
      <c r="AC977" s="53" t="n">
        <f aca="false">IF(S977=1,IF(ISNUMBER(I977),I977-G977,0),0)</f>
        <v>0</v>
      </c>
    </row>
    <row r="978" customFormat="false" ht="15" hidden="false" customHeight="false" outlineLevel="0" collapsed="false">
      <c r="B978" s="54"/>
      <c r="C978" s="55"/>
      <c r="D978" s="55"/>
      <c r="E978" s="55"/>
      <c r="F978" s="56"/>
      <c r="G978" s="57"/>
      <c r="H978" s="55"/>
      <c r="I978" s="57"/>
      <c r="J978" s="54"/>
      <c r="K978" s="56"/>
      <c r="L978" s="57"/>
      <c r="M978" s="54"/>
      <c r="N978" s="58" t="str">
        <f aca="false">IF(S978=1,IF(U978&lt;0,"",U978),IF(Y978=1,X978,""))</f>
        <v/>
      </c>
      <c r="O978" s="59" t="str">
        <f aca="false">IF(S978=1,IF(ISNUMBER(I978),I978-G978,""),"")</f>
        <v/>
      </c>
      <c r="P978" s="59" t="str">
        <f aca="false">IF(T978=1,IF(ISNUMBER(L978),L978-G978,""),"")</f>
        <v/>
      </c>
      <c r="Q978" s="60" t="str">
        <f aca="false">IF(C978="","",IF(T978=1,"✔ SOLD / VENDIDO",IF(S978=0,"— CLOSED / CERRADO",IF(U978&lt;0,"⚠ ADD DATE / AGREGA FECHA",IF(U978&gt;=Settings!$C$8,"⚠ STALE – REPRICE / ESTANCADO",IF(U978&gt;=Settings!$C$7,"● WATCH / VIGILAR","✔ FRESH / RECIENTE"))))))</f>
        <v/>
      </c>
      <c r="S978" s="53" t="n">
        <f aca="false">IF(C978="",0,IF(OR(J978="",J978="In Stock / En Inventario",J978="Listed / Publicado"),1,0))</f>
        <v>0</v>
      </c>
      <c r="T978" s="53" t="n">
        <f aca="false">IF(C978="",0,IF(J978="Sold / Vendido",1,0))</f>
        <v>0</v>
      </c>
      <c r="U978" s="53" t="n">
        <f aca="true">IF(S978=1,IF(ISNUMBER(F978),TODAY()-F978,-1),-1)</f>
        <v>-1</v>
      </c>
      <c r="V978" s="53" t="n">
        <f aca="false">IF(U978&lt;0,IF(S978=1,5,0),IF(U978&lt;=30,1,IF(U978&lt;=60,2,IF(U978&lt;=90,3,4))))</f>
        <v>0</v>
      </c>
      <c r="W978" s="53" t="n">
        <f aca="false">IF(U978&lt;0,-1000000000000000,U978+ROW()/1000000)</f>
        <v>-1000000000000000</v>
      </c>
      <c r="X978" s="53" t="n">
        <f aca="false">IF(T978=1,IF(AND(ISNUMBER(F978),ISNUMBER(K978)),K978-F978,0),0)</f>
        <v>0</v>
      </c>
      <c r="Y978" s="53" t="n">
        <f aca="false">IF(T978=1,IF(AND(ISNUMBER(F978),ISNUMBER(K978)),1,0),0)</f>
        <v>0</v>
      </c>
      <c r="Z978" s="53" t="n">
        <f aca="false">IF(U978&gt;=Settings!$C$8,1,0)</f>
        <v>0</v>
      </c>
      <c r="AA978" s="53" t="n">
        <f aca="false">IF(S978=1,IF(J978="Listed / Publicado",0,1),0)</f>
        <v>0</v>
      </c>
      <c r="AB978" s="53" t="n">
        <f aca="false">IF(T978=1,IF(ISNUMBER(L978),L978-G978,0),0)</f>
        <v>0</v>
      </c>
      <c r="AC978" s="53" t="n">
        <f aca="false">IF(S978=1,IF(ISNUMBER(I978),I978-G978,0),0)</f>
        <v>0</v>
      </c>
    </row>
    <row r="979" customFormat="false" ht="15" hidden="false" customHeight="false" outlineLevel="0" collapsed="false">
      <c r="B979" s="54"/>
      <c r="C979" s="55"/>
      <c r="D979" s="55"/>
      <c r="E979" s="55"/>
      <c r="F979" s="56"/>
      <c r="G979" s="57"/>
      <c r="H979" s="55"/>
      <c r="I979" s="57"/>
      <c r="J979" s="54"/>
      <c r="K979" s="56"/>
      <c r="L979" s="57"/>
      <c r="M979" s="54"/>
      <c r="N979" s="58" t="str">
        <f aca="false">IF(S979=1,IF(U979&lt;0,"",U979),IF(Y979=1,X979,""))</f>
        <v/>
      </c>
      <c r="O979" s="59" t="str">
        <f aca="false">IF(S979=1,IF(ISNUMBER(I979),I979-G979,""),"")</f>
        <v/>
      </c>
      <c r="P979" s="59" t="str">
        <f aca="false">IF(T979=1,IF(ISNUMBER(L979),L979-G979,""),"")</f>
        <v/>
      </c>
      <c r="Q979" s="60" t="str">
        <f aca="false">IF(C979="","",IF(T979=1,"✔ SOLD / VENDIDO",IF(S979=0,"— CLOSED / CERRADO",IF(U979&lt;0,"⚠ ADD DATE / AGREGA FECHA",IF(U979&gt;=Settings!$C$8,"⚠ STALE – REPRICE / ESTANCADO",IF(U979&gt;=Settings!$C$7,"● WATCH / VIGILAR","✔ FRESH / RECIENTE"))))))</f>
        <v/>
      </c>
      <c r="S979" s="53" t="n">
        <f aca="false">IF(C979="",0,IF(OR(J979="",J979="In Stock / En Inventario",J979="Listed / Publicado"),1,0))</f>
        <v>0</v>
      </c>
      <c r="T979" s="53" t="n">
        <f aca="false">IF(C979="",0,IF(J979="Sold / Vendido",1,0))</f>
        <v>0</v>
      </c>
      <c r="U979" s="53" t="n">
        <f aca="true">IF(S979=1,IF(ISNUMBER(F979),TODAY()-F979,-1),-1)</f>
        <v>-1</v>
      </c>
      <c r="V979" s="53" t="n">
        <f aca="false">IF(U979&lt;0,IF(S979=1,5,0),IF(U979&lt;=30,1,IF(U979&lt;=60,2,IF(U979&lt;=90,3,4))))</f>
        <v>0</v>
      </c>
      <c r="W979" s="53" t="n">
        <f aca="false">IF(U979&lt;0,-1000000000000000,U979+ROW()/1000000)</f>
        <v>-1000000000000000</v>
      </c>
      <c r="X979" s="53" t="n">
        <f aca="false">IF(T979=1,IF(AND(ISNUMBER(F979),ISNUMBER(K979)),K979-F979,0),0)</f>
        <v>0</v>
      </c>
      <c r="Y979" s="53" t="n">
        <f aca="false">IF(T979=1,IF(AND(ISNUMBER(F979),ISNUMBER(K979)),1,0),0)</f>
        <v>0</v>
      </c>
      <c r="Z979" s="53" t="n">
        <f aca="false">IF(U979&gt;=Settings!$C$8,1,0)</f>
        <v>0</v>
      </c>
      <c r="AA979" s="53" t="n">
        <f aca="false">IF(S979=1,IF(J979="Listed / Publicado",0,1),0)</f>
        <v>0</v>
      </c>
      <c r="AB979" s="53" t="n">
        <f aca="false">IF(T979=1,IF(ISNUMBER(L979),L979-G979,0),0)</f>
        <v>0</v>
      </c>
      <c r="AC979" s="53" t="n">
        <f aca="false">IF(S979=1,IF(ISNUMBER(I979),I979-G979,0),0)</f>
        <v>0</v>
      </c>
    </row>
    <row r="980" customFormat="false" ht="15" hidden="false" customHeight="false" outlineLevel="0" collapsed="false">
      <c r="B980" s="54"/>
      <c r="C980" s="55"/>
      <c r="D980" s="55"/>
      <c r="E980" s="55"/>
      <c r="F980" s="56"/>
      <c r="G980" s="57"/>
      <c r="H980" s="55"/>
      <c r="I980" s="57"/>
      <c r="J980" s="54"/>
      <c r="K980" s="56"/>
      <c r="L980" s="57"/>
      <c r="M980" s="54"/>
      <c r="N980" s="58" t="str">
        <f aca="false">IF(S980=1,IF(U980&lt;0,"",U980),IF(Y980=1,X980,""))</f>
        <v/>
      </c>
      <c r="O980" s="59" t="str">
        <f aca="false">IF(S980=1,IF(ISNUMBER(I980),I980-G980,""),"")</f>
        <v/>
      </c>
      <c r="P980" s="59" t="str">
        <f aca="false">IF(T980=1,IF(ISNUMBER(L980),L980-G980,""),"")</f>
        <v/>
      </c>
      <c r="Q980" s="60" t="str">
        <f aca="false">IF(C980="","",IF(T980=1,"✔ SOLD / VENDIDO",IF(S980=0,"— CLOSED / CERRADO",IF(U980&lt;0,"⚠ ADD DATE / AGREGA FECHA",IF(U980&gt;=Settings!$C$8,"⚠ STALE – REPRICE / ESTANCADO",IF(U980&gt;=Settings!$C$7,"● WATCH / VIGILAR","✔ FRESH / RECIENTE"))))))</f>
        <v/>
      </c>
      <c r="S980" s="53" t="n">
        <f aca="false">IF(C980="",0,IF(OR(J980="",J980="In Stock / En Inventario",J980="Listed / Publicado"),1,0))</f>
        <v>0</v>
      </c>
      <c r="T980" s="53" t="n">
        <f aca="false">IF(C980="",0,IF(J980="Sold / Vendido",1,0))</f>
        <v>0</v>
      </c>
      <c r="U980" s="53" t="n">
        <f aca="true">IF(S980=1,IF(ISNUMBER(F980),TODAY()-F980,-1),-1)</f>
        <v>-1</v>
      </c>
      <c r="V980" s="53" t="n">
        <f aca="false">IF(U980&lt;0,IF(S980=1,5,0),IF(U980&lt;=30,1,IF(U980&lt;=60,2,IF(U980&lt;=90,3,4))))</f>
        <v>0</v>
      </c>
      <c r="W980" s="53" t="n">
        <f aca="false">IF(U980&lt;0,-1000000000000000,U980+ROW()/1000000)</f>
        <v>-1000000000000000</v>
      </c>
      <c r="X980" s="53" t="n">
        <f aca="false">IF(T980=1,IF(AND(ISNUMBER(F980),ISNUMBER(K980)),K980-F980,0),0)</f>
        <v>0</v>
      </c>
      <c r="Y980" s="53" t="n">
        <f aca="false">IF(T980=1,IF(AND(ISNUMBER(F980),ISNUMBER(K980)),1,0),0)</f>
        <v>0</v>
      </c>
      <c r="Z980" s="53" t="n">
        <f aca="false">IF(U980&gt;=Settings!$C$8,1,0)</f>
        <v>0</v>
      </c>
      <c r="AA980" s="53" t="n">
        <f aca="false">IF(S980=1,IF(J980="Listed / Publicado",0,1),0)</f>
        <v>0</v>
      </c>
      <c r="AB980" s="53" t="n">
        <f aca="false">IF(T980=1,IF(ISNUMBER(L980),L980-G980,0),0)</f>
        <v>0</v>
      </c>
      <c r="AC980" s="53" t="n">
        <f aca="false">IF(S980=1,IF(ISNUMBER(I980),I980-G980,0),0)</f>
        <v>0</v>
      </c>
    </row>
    <row r="981" customFormat="false" ht="15" hidden="false" customHeight="false" outlineLevel="0" collapsed="false">
      <c r="B981" s="54"/>
      <c r="C981" s="55"/>
      <c r="D981" s="55"/>
      <c r="E981" s="55"/>
      <c r="F981" s="56"/>
      <c r="G981" s="57"/>
      <c r="H981" s="55"/>
      <c r="I981" s="57"/>
      <c r="J981" s="54"/>
      <c r="K981" s="56"/>
      <c r="L981" s="57"/>
      <c r="M981" s="54"/>
      <c r="N981" s="58" t="str">
        <f aca="false">IF(S981=1,IF(U981&lt;0,"",U981),IF(Y981=1,X981,""))</f>
        <v/>
      </c>
      <c r="O981" s="59" t="str">
        <f aca="false">IF(S981=1,IF(ISNUMBER(I981),I981-G981,""),"")</f>
        <v/>
      </c>
      <c r="P981" s="59" t="str">
        <f aca="false">IF(T981=1,IF(ISNUMBER(L981),L981-G981,""),"")</f>
        <v/>
      </c>
      <c r="Q981" s="60" t="str">
        <f aca="false">IF(C981="","",IF(T981=1,"✔ SOLD / VENDIDO",IF(S981=0,"— CLOSED / CERRADO",IF(U981&lt;0,"⚠ ADD DATE / AGREGA FECHA",IF(U981&gt;=Settings!$C$8,"⚠ STALE – REPRICE / ESTANCADO",IF(U981&gt;=Settings!$C$7,"● WATCH / VIGILAR","✔ FRESH / RECIENTE"))))))</f>
        <v/>
      </c>
      <c r="S981" s="53" t="n">
        <f aca="false">IF(C981="",0,IF(OR(J981="",J981="In Stock / En Inventario",J981="Listed / Publicado"),1,0))</f>
        <v>0</v>
      </c>
      <c r="T981" s="53" t="n">
        <f aca="false">IF(C981="",0,IF(J981="Sold / Vendido",1,0))</f>
        <v>0</v>
      </c>
      <c r="U981" s="53" t="n">
        <f aca="true">IF(S981=1,IF(ISNUMBER(F981),TODAY()-F981,-1),-1)</f>
        <v>-1</v>
      </c>
      <c r="V981" s="53" t="n">
        <f aca="false">IF(U981&lt;0,IF(S981=1,5,0),IF(U981&lt;=30,1,IF(U981&lt;=60,2,IF(U981&lt;=90,3,4))))</f>
        <v>0</v>
      </c>
      <c r="W981" s="53" t="n">
        <f aca="false">IF(U981&lt;0,-1000000000000000,U981+ROW()/1000000)</f>
        <v>-1000000000000000</v>
      </c>
      <c r="X981" s="53" t="n">
        <f aca="false">IF(T981=1,IF(AND(ISNUMBER(F981),ISNUMBER(K981)),K981-F981,0),0)</f>
        <v>0</v>
      </c>
      <c r="Y981" s="53" t="n">
        <f aca="false">IF(T981=1,IF(AND(ISNUMBER(F981),ISNUMBER(K981)),1,0),0)</f>
        <v>0</v>
      </c>
      <c r="Z981" s="53" t="n">
        <f aca="false">IF(U981&gt;=Settings!$C$8,1,0)</f>
        <v>0</v>
      </c>
      <c r="AA981" s="53" t="n">
        <f aca="false">IF(S981=1,IF(J981="Listed / Publicado",0,1),0)</f>
        <v>0</v>
      </c>
      <c r="AB981" s="53" t="n">
        <f aca="false">IF(T981=1,IF(ISNUMBER(L981),L981-G981,0),0)</f>
        <v>0</v>
      </c>
      <c r="AC981" s="53" t="n">
        <f aca="false">IF(S981=1,IF(ISNUMBER(I981),I981-G981,0),0)</f>
        <v>0</v>
      </c>
    </row>
    <row r="982" customFormat="false" ht="15" hidden="false" customHeight="false" outlineLevel="0" collapsed="false">
      <c r="B982" s="54"/>
      <c r="C982" s="55"/>
      <c r="D982" s="55"/>
      <c r="E982" s="55"/>
      <c r="F982" s="56"/>
      <c r="G982" s="57"/>
      <c r="H982" s="55"/>
      <c r="I982" s="57"/>
      <c r="J982" s="54"/>
      <c r="K982" s="56"/>
      <c r="L982" s="57"/>
      <c r="M982" s="54"/>
      <c r="N982" s="58" t="str">
        <f aca="false">IF(S982=1,IF(U982&lt;0,"",U982),IF(Y982=1,X982,""))</f>
        <v/>
      </c>
      <c r="O982" s="59" t="str">
        <f aca="false">IF(S982=1,IF(ISNUMBER(I982),I982-G982,""),"")</f>
        <v/>
      </c>
      <c r="P982" s="59" t="str">
        <f aca="false">IF(T982=1,IF(ISNUMBER(L982),L982-G982,""),"")</f>
        <v/>
      </c>
      <c r="Q982" s="60" t="str">
        <f aca="false">IF(C982="","",IF(T982=1,"✔ SOLD / VENDIDO",IF(S982=0,"— CLOSED / CERRADO",IF(U982&lt;0,"⚠ ADD DATE / AGREGA FECHA",IF(U982&gt;=Settings!$C$8,"⚠ STALE – REPRICE / ESTANCADO",IF(U982&gt;=Settings!$C$7,"● WATCH / VIGILAR","✔ FRESH / RECIENTE"))))))</f>
        <v/>
      </c>
      <c r="S982" s="53" t="n">
        <f aca="false">IF(C982="",0,IF(OR(J982="",J982="In Stock / En Inventario",J982="Listed / Publicado"),1,0))</f>
        <v>0</v>
      </c>
      <c r="T982" s="53" t="n">
        <f aca="false">IF(C982="",0,IF(J982="Sold / Vendido",1,0))</f>
        <v>0</v>
      </c>
      <c r="U982" s="53" t="n">
        <f aca="true">IF(S982=1,IF(ISNUMBER(F982),TODAY()-F982,-1),-1)</f>
        <v>-1</v>
      </c>
      <c r="V982" s="53" t="n">
        <f aca="false">IF(U982&lt;0,IF(S982=1,5,0),IF(U982&lt;=30,1,IF(U982&lt;=60,2,IF(U982&lt;=90,3,4))))</f>
        <v>0</v>
      </c>
      <c r="W982" s="53" t="n">
        <f aca="false">IF(U982&lt;0,-1000000000000000,U982+ROW()/1000000)</f>
        <v>-1000000000000000</v>
      </c>
      <c r="X982" s="53" t="n">
        <f aca="false">IF(T982=1,IF(AND(ISNUMBER(F982),ISNUMBER(K982)),K982-F982,0),0)</f>
        <v>0</v>
      </c>
      <c r="Y982" s="53" t="n">
        <f aca="false">IF(T982=1,IF(AND(ISNUMBER(F982),ISNUMBER(K982)),1,0),0)</f>
        <v>0</v>
      </c>
      <c r="Z982" s="53" t="n">
        <f aca="false">IF(U982&gt;=Settings!$C$8,1,0)</f>
        <v>0</v>
      </c>
      <c r="AA982" s="53" t="n">
        <f aca="false">IF(S982=1,IF(J982="Listed / Publicado",0,1),0)</f>
        <v>0</v>
      </c>
      <c r="AB982" s="53" t="n">
        <f aca="false">IF(T982=1,IF(ISNUMBER(L982),L982-G982,0),0)</f>
        <v>0</v>
      </c>
      <c r="AC982" s="53" t="n">
        <f aca="false">IF(S982=1,IF(ISNUMBER(I982),I982-G982,0),0)</f>
        <v>0</v>
      </c>
    </row>
    <row r="983" customFormat="false" ht="15" hidden="false" customHeight="false" outlineLevel="0" collapsed="false">
      <c r="B983" s="54"/>
      <c r="C983" s="55"/>
      <c r="D983" s="55"/>
      <c r="E983" s="55"/>
      <c r="F983" s="56"/>
      <c r="G983" s="57"/>
      <c r="H983" s="55"/>
      <c r="I983" s="57"/>
      <c r="J983" s="54"/>
      <c r="K983" s="56"/>
      <c r="L983" s="57"/>
      <c r="M983" s="54"/>
      <c r="N983" s="58" t="str">
        <f aca="false">IF(S983=1,IF(U983&lt;0,"",U983),IF(Y983=1,X983,""))</f>
        <v/>
      </c>
      <c r="O983" s="59" t="str">
        <f aca="false">IF(S983=1,IF(ISNUMBER(I983),I983-G983,""),"")</f>
        <v/>
      </c>
      <c r="P983" s="59" t="str">
        <f aca="false">IF(T983=1,IF(ISNUMBER(L983),L983-G983,""),"")</f>
        <v/>
      </c>
      <c r="Q983" s="60" t="str">
        <f aca="false">IF(C983="","",IF(T983=1,"✔ SOLD / VENDIDO",IF(S983=0,"— CLOSED / CERRADO",IF(U983&lt;0,"⚠ ADD DATE / AGREGA FECHA",IF(U983&gt;=Settings!$C$8,"⚠ STALE – REPRICE / ESTANCADO",IF(U983&gt;=Settings!$C$7,"● WATCH / VIGILAR","✔ FRESH / RECIENTE"))))))</f>
        <v/>
      </c>
      <c r="S983" s="53" t="n">
        <f aca="false">IF(C983="",0,IF(OR(J983="",J983="In Stock / En Inventario",J983="Listed / Publicado"),1,0))</f>
        <v>0</v>
      </c>
      <c r="T983" s="53" t="n">
        <f aca="false">IF(C983="",0,IF(J983="Sold / Vendido",1,0))</f>
        <v>0</v>
      </c>
      <c r="U983" s="53" t="n">
        <f aca="true">IF(S983=1,IF(ISNUMBER(F983),TODAY()-F983,-1),-1)</f>
        <v>-1</v>
      </c>
      <c r="V983" s="53" t="n">
        <f aca="false">IF(U983&lt;0,IF(S983=1,5,0),IF(U983&lt;=30,1,IF(U983&lt;=60,2,IF(U983&lt;=90,3,4))))</f>
        <v>0</v>
      </c>
      <c r="W983" s="53" t="n">
        <f aca="false">IF(U983&lt;0,-1000000000000000,U983+ROW()/1000000)</f>
        <v>-1000000000000000</v>
      </c>
      <c r="X983" s="53" t="n">
        <f aca="false">IF(T983=1,IF(AND(ISNUMBER(F983),ISNUMBER(K983)),K983-F983,0),0)</f>
        <v>0</v>
      </c>
      <c r="Y983" s="53" t="n">
        <f aca="false">IF(T983=1,IF(AND(ISNUMBER(F983),ISNUMBER(K983)),1,0),0)</f>
        <v>0</v>
      </c>
      <c r="Z983" s="53" t="n">
        <f aca="false">IF(U983&gt;=Settings!$C$8,1,0)</f>
        <v>0</v>
      </c>
      <c r="AA983" s="53" t="n">
        <f aca="false">IF(S983=1,IF(J983="Listed / Publicado",0,1),0)</f>
        <v>0</v>
      </c>
      <c r="AB983" s="53" t="n">
        <f aca="false">IF(T983=1,IF(ISNUMBER(L983),L983-G983,0),0)</f>
        <v>0</v>
      </c>
      <c r="AC983" s="53" t="n">
        <f aca="false">IF(S983=1,IF(ISNUMBER(I983),I983-G983,0),0)</f>
        <v>0</v>
      </c>
    </row>
    <row r="984" customFormat="false" ht="15" hidden="false" customHeight="false" outlineLevel="0" collapsed="false">
      <c r="B984" s="54"/>
      <c r="C984" s="55"/>
      <c r="D984" s="55"/>
      <c r="E984" s="55"/>
      <c r="F984" s="56"/>
      <c r="G984" s="57"/>
      <c r="H984" s="55"/>
      <c r="I984" s="57"/>
      <c r="J984" s="54"/>
      <c r="K984" s="56"/>
      <c r="L984" s="57"/>
      <c r="M984" s="54"/>
      <c r="N984" s="58" t="str">
        <f aca="false">IF(S984=1,IF(U984&lt;0,"",U984),IF(Y984=1,X984,""))</f>
        <v/>
      </c>
      <c r="O984" s="59" t="str">
        <f aca="false">IF(S984=1,IF(ISNUMBER(I984),I984-G984,""),"")</f>
        <v/>
      </c>
      <c r="P984" s="59" t="str">
        <f aca="false">IF(T984=1,IF(ISNUMBER(L984),L984-G984,""),"")</f>
        <v/>
      </c>
      <c r="Q984" s="60" t="str">
        <f aca="false">IF(C984="","",IF(T984=1,"✔ SOLD / VENDIDO",IF(S984=0,"— CLOSED / CERRADO",IF(U984&lt;0,"⚠ ADD DATE / AGREGA FECHA",IF(U984&gt;=Settings!$C$8,"⚠ STALE – REPRICE / ESTANCADO",IF(U984&gt;=Settings!$C$7,"● WATCH / VIGILAR","✔ FRESH / RECIENTE"))))))</f>
        <v/>
      </c>
      <c r="S984" s="53" t="n">
        <f aca="false">IF(C984="",0,IF(OR(J984="",J984="In Stock / En Inventario",J984="Listed / Publicado"),1,0))</f>
        <v>0</v>
      </c>
      <c r="T984" s="53" t="n">
        <f aca="false">IF(C984="",0,IF(J984="Sold / Vendido",1,0))</f>
        <v>0</v>
      </c>
      <c r="U984" s="53" t="n">
        <f aca="true">IF(S984=1,IF(ISNUMBER(F984),TODAY()-F984,-1),-1)</f>
        <v>-1</v>
      </c>
      <c r="V984" s="53" t="n">
        <f aca="false">IF(U984&lt;0,IF(S984=1,5,0),IF(U984&lt;=30,1,IF(U984&lt;=60,2,IF(U984&lt;=90,3,4))))</f>
        <v>0</v>
      </c>
      <c r="W984" s="53" t="n">
        <f aca="false">IF(U984&lt;0,-1000000000000000,U984+ROW()/1000000)</f>
        <v>-1000000000000000</v>
      </c>
      <c r="X984" s="53" t="n">
        <f aca="false">IF(T984=1,IF(AND(ISNUMBER(F984),ISNUMBER(K984)),K984-F984,0),0)</f>
        <v>0</v>
      </c>
      <c r="Y984" s="53" t="n">
        <f aca="false">IF(T984=1,IF(AND(ISNUMBER(F984),ISNUMBER(K984)),1,0),0)</f>
        <v>0</v>
      </c>
      <c r="Z984" s="53" t="n">
        <f aca="false">IF(U984&gt;=Settings!$C$8,1,0)</f>
        <v>0</v>
      </c>
      <c r="AA984" s="53" t="n">
        <f aca="false">IF(S984=1,IF(J984="Listed / Publicado",0,1),0)</f>
        <v>0</v>
      </c>
      <c r="AB984" s="53" t="n">
        <f aca="false">IF(T984=1,IF(ISNUMBER(L984),L984-G984,0),0)</f>
        <v>0</v>
      </c>
      <c r="AC984" s="53" t="n">
        <f aca="false">IF(S984=1,IF(ISNUMBER(I984),I984-G984,0),0)</f>
        <v>0</v>
      </c>
    </row>
    <row r="985" customFormat="false" ht="15" hidden="false" customHeight="false" outlineLevel="0" collapsed="false">
      <c r="B985" s="54"/>
      <c r="C985" s="55"/>
      <c r="D985" s="55"/>
      <c r="E985" s="55"/>
      <c r="F985" s="56"/>
      <c r="G985" s="57"/>
      <c r="H985" s="55"/>
      <c r="I985" s="57"/>
      <c r="J985" s="54"/>
      <c r="K985" s="56"/>
      <c r="L985" s="57"/>
      <c r="M985" s="54"/>
      <c r="N985" s="58" t="str">
        <f aca="false">IF(S985=1,IF(U985&lt;0,"",U985),IF(Y985=1,X985,""))</f>
        <v/>
      </c>
      <c r="O985" s="59" t="str">
        <f aca="false">IF(S985=1,IF(ISNUMBER(I985),I985-G985,""),"")</f>
        <v/>
      </c>
      <c r="P985" s="59" t="str">
        <f aca="false">IF(T985=1,IF(ISNUMBER(L985),L985-G985,""),"")</f>
        <v/>
      </c>
      <c r="Q985" s="60" t="str">
        <f aca="false">IF(C985="","",IF(T985=1,"✔ SOLD / VENDIDO",IF(S985=0,"— CLOSED / CERRADO",IF(U985&lt;0,"⚠ ADD DATE / AGREGA FECHA",IF(U985&gt;=Settings!$C$8,"⚠ STALE – REPRICE / ESTANCADO",IF(U985&gt;=Settings!$C$7,"● WATCH / VIGILAR","✔ FRESH / RECIENTE"))))))</f>
        <v/>
      </c>
      <c r="S985" s="53" t="n">
        <f aca="false">IF(C985="",0,IF(OR(J985="",J985="In Stock / En Inventario",J985="Listed / Publicado"),1,0))</f>
        <v>0</v>
      </c>
      <c r="T985" s="53" t="n">
        <f aca="false">IF(C985="",0,IF(J985="Sold / Vendido",1,0))</f>
        <v>0</v>
      </c>
      <c r="U985" s="53" t="n">
        <f aca="true">IF(S985=1,IF(ISNUMBER(F985),TODAY()-F985,-1),-1)</f>
        <v>-1</v>
      </c>
      <c r="V985" s="53" t="n">
        <f aca="false">IF(U985&lt;0,IF(S985=1,5,0),IF(U985&lt;=30,1,IF(U985&lt;=60,2,IF(U985&lt;=90,3,4))))</f>
        <v>0</v>
      </c>
      <c r="W985" s="53" t="n">
        <f aca="false">IF(U985&lt;0,-1000000000000000,U985+ROW()/1000000)</f>
        <v>-1000000000000000</v>
      </c>
      <c r="X985" s="53" t="n">
        <f aca="false">IF(T985=1,IF(AND(ISNUMBER(F985),ISNUMBER(K985)),K985-F985,0),0)</f>
        <v>0</v>
      </c>
      <c r="Y985" s="53" t="n">
        <f aca="false">IF(T985=1,IF(AND(ISNUMBER(F985),ISNUMBER(K985)),1,0),0)</f>
        <v>0</v>
      </c>
      <c r="Z985" s="53" t="n">
        <f aca="false">IF(U985&gt;=Settings!$C$8,1,0)</f>
        <v>0</v>
      </c>
      <c r="AA985" s="53" t="n">
        <f aca="false">IF(S985=1,IF(J985="Listed / Publicado",0,1),0)</f>
        <v>0</v>
      </c>
      <c r="AB985" s="53" t="n">
        <f aca="false">IF(T985=1,IF(ISNUMBER(L985),L985-G985,0),0)</f>
        <v>0</v>
      </c>
      <c r="AC985" s="53" t="n">
        <f aca="false">IF(S985=1,IF(ISNUMBER(I985),I985-G985,0),0)</f>
        <v>0</v>
      </c>
    </row>
    <row r="986" customFormat="false" ht="15" hidden="false" customHeight="false" outlineLevel="0" collapsed="false">
      <c r="B986" s="54"/>
      <c r="C986" s="55"/>
      <c r="D986" s="55"/>
      <c r="E986" s="55"/>
      <c r="F986" s="56"/>
      <c r="G986" s="57"/>
      <c r="H986" s="55"/>
      <c r="I986" s="57"/>
      <c r="J986" s="54"/>
      <c r="K986" s="56"/>
      <c r="L986" s="57"/>
      <c r="M986" s="54"/>
      <c r="N986" s="58" t="str">
        <f aca="false">IF(S986=1,IF(U986&lt;0,"",U986),IF(Y986=1,X986,""))</f>
        <v/>
      </c>
      <c r="O986" s="59" t="str">
        <f aca="false">IF(S986=1,IF(ISNUMBER(I986),I986-G986,""),"")</f>
        <v/>
      </c>
      <c r="P986" s="59" t="str">
        <f aca="false">IF(T986=1,IF(ISNUMBER(L986),L986-G986,""),"")</f>
        <v/>
      </c>
      <c r="Q986" s="60" t="str">
        <f aca="false">IF(C986="","",IF(T986=1,"✔ SOLD / VENDIDO",IF(S986=0,"— CLOSED / CERRADO",IF(U986&lt;0,"⚠ ADD DATE / AGREGA FECHA",IF(U986&gt;=Settings!$C$8,"⚠ STALE – REPRICE / ESTANCADO",IF(U986&gt;=Settings!$C$7,"● WATCH / VIGILAR","✔ FRESH / RECIENTE"))))))</f>
        <v/>
      </c>
      <c r="S986" s="53" t="n">
        <f aca="false">IF(C986="",0,IF(OR(J986="",J986="In Stock / En Inventario",J986="Listed / Publicado"),1,0))</f>
        <v>0</v>
      </c>
      <c r="T986" s="53" t="n">
        <f aca="false">IF(C986="",0,IF(J986="Sold / Vendido",1,0))</f>
        <v>0</v>
      </c>
      <c r="U986" s="53" t="n">
        <f aca="true">IF(S986=1,IF(ISNUMBER(F986),TODAY()-F986,-1),-1)</f>
        <v>-1</v>
      </c>
      <c r="V986" s="53" t="n">
        <f aca="false">IF(U986&lt;0,IF(S986=1,5,0),IF(U986&lt;=30,1,IF(U986&lt;=60,2,IF(U986&lt;=90,3,4))))</f>
        <v>0</v>
      </c>
      <c r="W986" s="53" t="n">
        <f aca="false">IF(U986&lt;0,-1000000000000000,U986+ROW()/1000000)</f>
        <v>-1000000000000000</v>
      </c>
      <c r="X986" s="53" t="n">
        <f aca="false">IF(T986=1,IF(AND(ISNUMBER(F986),ISNUMBER(K986)),K986-F986,0),0)</f>
        <v>0</v>
      </c>
      <c r="Y986" s="53" t="n">
        <f aca="false">IF(T986=1,IF(AND(ISNUMBER(F986),ISNUMBER(K986)),1,0),0)</f>
        <v>0</v>
      </c>
      <c r="Z986" s="53" t="n">
        <f aca="false">IF(U986&gt;=Settings!$C$8,1,0)</f>
        <v>0</v>
      </c>
      <c r="AA986" s="53" t="n">
        <f aca="false">IF(S986=1,IF(J986="Listed / Publicado",0,1),0)</f>
        <v>0</v>
      </c>
      <c r="AB986" s="53" t="n">
        <f aca="false">IF(T986=1,IF(ISNUMBER(L986),L986-G986,0),0)</f>
        <v>0</v>
      </c>
      <c r="AC986" s="53" t="n">
        <f aca="false">IF(S986=1,IF(ISNUMBER(I986),I986-G986,0),0)</f>
        <v>0</v>
      </c>
    </row>
    <row r="987" customFormat="false" ht="15" hidden="false" customHeight="false" outlineLevel="0" collapsed="false">
      <c r="B987" s="54"/>
      <c r="C987" s="55"/>
      <c r="D987" s="55"/>
      <c r="E987" s="55"/>
      <c r="F987" s="56"/>
      <c r="G987" s="57"/>
      <c r="H987" s="55"/>
      <c r="I987" s="57"/>
      <c r="J987" s="54"/>
      <c r="K987" s="56"/>
      <c r="L987" s="57"/>
      <c r="M987" s="54"/>
      <c r="N987" s="58" t="str">
        <f aca="false">IF(S987=1,IF(U987&lt;0,"",U987),IF(Y987=1,X987,""))</f>
        <v/>
      </c>
      <c r="O987" s="59" t="str">
        <f aca="false">IF(S987=1,IF(ISNUMBER(I987),I987-G987,""),"")</f>
        <v/>
      </c>
      <c r="P987" s="59" t="str">
        <f aca="false">IF(T987=1,IF(ISNUMBER(L987),L987-G987,""),"")</f>
        <v/>
      </c>
      <c r="Q987" s="60" t="str">
        <f aca="false">IF(C987="","",IF(T987=1,"✔ SOLD / VENDIDO",IF(S987=0,"— CLOSED / CERRADO",IF(U987&lt;0,"⚠ ADD DATE / AGREGA FECHA",IF(U987&gt;=Settings!$C$8,"⚠ STALE – REPRICE / ESTANCADO",IF(U987&gt;=Settings!$C$7,"● WATCH / VIGILAR","✔ FRESH / RECIENTE"))))))</f>
        <v/>
      </c>
      <c r="S987" s="53" t="n">
        <f aca="false">IF(C987="",0,IF(OR(J987="",J987="In Stock / En Inventario",J987="Listed / Publicado"),1,0))</f>
        <v>0</v>
      </c>
      <c r="T987" s="53" t="n">
        <f aca="false">IF(C987="",0,IF(J987="Sold / Vendido",1,0))</f>
        <v>0</v>
      </c>
      <c r="U987" s="53" t="n">
        <f aca="true">IF(S987=1,IF(ISNUMBER(F987),TODAY()-F987,-1),-1)</f>
        <v>-1</v>
      </c>
      <c r="V987" s="53" t="n">
        <f aca="false">IF(U987&lt;0,IF(S987=1,5,0),IF(U987&lt;=30,1,IF(U987&lt;=60,2,IF(U987&lt;=90,3,4))))</f>
        <v>0</v>
      </c>
      <c r="W987" s="53" t="n">
        <f aca="false">IF(U987&lt;0,-1000000000000000,U987+ROW()/1000000)</f>
        <v>-1000000000000000</v>
      </c>
      <c r="X987" s="53" t="n">
        <f aca="false">IF(T987=1,IF(AND(ISNUMBER(F987),ISNUMBER(K987)),K987-F987,0),0)</f>
        <v>0</v>
      </c>
      <c r="Y987" s="53" t="n">
        <f aca="false">IF(T987=1,IF(AND(ISNUMBER(F987),ISNUMBER(K987)),1,0),0)</f>
        <v>0</v>
      </c>
      <c r="Z987" s="53" t="n">
        <f aca="false">IF(U987&gt;=Settings!$C$8,1,0)</f>
        <v>0</v>
      </c>
      <c r="AA987" s="53" t="n">
        <f aca="false">IF(S987=1,IF(J987="Listed / Publicado",0,1),0)</f>
        <v>0</v>
      </c>
      <c r="AB987" s="53" t="n">
        <f aca="false">IF(T987=1,IF(ISNUMBER(L987),L987-G987,0),0)</f>
        <v>0</v>
      </c>
      <c r="AC987" s="53" t="n">
        <f aca="false">IF(S987=1,IF(ISNUMBER(I987),I987-G987,0),0)</f>
        <v>0</v>
      </c>
    </row>
    <row r="988" customFormat="false" ht="15" hidden="false" customHeight="false" outlineLevel="0" collapsed="false">
      <c r="B988" s="54"/>
      <c r="C988" s="55"/>
      <c r="D988" s="55"/>
      <c r="E988" s="55"/>
      <c r="F988" s="56"/>
      <c r="G988" s="57"/>
      <c r="H988" s="55"/>
      <c r="I988" s="57"/>
      <c r="J988" s="54"/>
      <c r="K988" s="56"/>
      <c r="L988" s="57"/>
      <c r="M988" s="54"/>
      <c r="N988" s="58" t="str">
        <f aca="false">IF(S988=1,IF(U988&lt;0,"",U988),IF(Y988=1,X988,""))</f>
        <v/>
      </c>
      <c r="O988" s="59" t="str">
        <f aca="false">IF(S988=1,IF(ISNUMBER(I988),I988-G988,""),"")</f>
        <v/>
      </c>
      <c r="P988" s="59" t="str">
        <f aca="false">IF(T988=1,IF(ISNUMBER(L988),L988-G988,""),"")</f>
        <v/>
      </c>
      <c r="Q988" s="60" t="str">
        <f aca="false">IF(C988="","",IF(T988=1,"✔ SOLD / VENDIDO",IF(S988=0,"— CLOSED / CERRADO",IF(U988&lt;0,"⚠ ADD DATE / AGREGA FECHA",IF(U988&gt;=Settings!$C$8,"⚠ STALE – REPRICE / ESTANCADO",IF(U988&gt;=Settings!$C$7,"● WATCH / VIGILAR","✔ FRESH / RECIENTE"))))))</f>
        <v/>
      </c>
      <c r="S988" s="53" t="n">
        <f aca="false">IF(C988="",0,IF(OR(J988="",J988="In Stock / En Inventario",J988="Listed / Publicado"),1,0))</f>
        <v>0</v>
      </c>
      <c r="T988" s="53" t="n">
        <f aca="false">IF(C988="",0,IF(J988="Sold / Vendido",1,0))</f>
        <v>0</v>
      </c>
      <c r="U988" s="53" t="n">
        <f aca="true">IF(S988=1,IF(ISNUMBER(F988),TODAY()-F988,-1),-1)</f>
        <v>-1</v>
      </c>
      <c r="V988" s="53" t="n">
        <f aca="false">IF(U988&lt;0,IF(S988=1,5,0),IF(U988&lt;=30,1,IF(U988&lt;=60,2,IF(U988&lt;=90,3,4))))</f>
        <v>0</v>
      </c>
      <c r="W988" s="53" t="n">
        <f aca="false">IF(U988&lt;0,-1000000000000000,U988+ROW()/1000000)</f>
        <v>-1000000000000000</v>
      </c>
      <c r="X988" s="53" t="n">
        <f aca="false">IF(T988=1,IF(AND(ISNUMBER(F988),ISNUMBER(K988)),K988-F988,0),0)</f>
        <v>0</v>
      </c>
      <c r="Y988" s="53" t="n">
        <f aca="false">IF(T988=1,IF(AND(ISNUMBER(F988),ISNUMBER(K988)),1,0),0)</f>
        <v>0</v>
      </c>
      <c r="Z988" s="53" t="n">
        <f aca="false">IF(U988&gt;=Settings!$C$8,1,0)</f>
        <v>0</v>
      </c>
      <c r="AA988" s="53" t="n">
        <f aca="false">IF(S988=1,IF(J988="Listed / Publicado",0,1),0)</f>
        <v>0</v>
      </c>
      <c r="AB988" s="53" t="n">
        <f aca="false">IF(T988=1,IF(ISNUMBER(L988),L988-G988,0),0)</f>
        <v>0</v>
      </c>
      <c r="AC988" s="53" t="n">
        <f aca="false">IF(S988=1,IF(ISNUMBER(I988),I988-G988,0),0)</f>
        <v>0</v>
      </c>
    </row>
    <row r="989" customFormat="false" ht="15" hidden="false" customHeight="false" outlineLevel="0" collapsed="false">
      <c r="B989" s="54"/>
      <c r="C989" s="55"/>
      <c r="D989" s="55"/>
      <c r="E989" s="55"/>
      <c r="F989" s="56"/>
      <c r="G989" s="57"/>
      <c r="H989" s="55"/>
      <c r="I989" s="57"/>
      <c r="J989" s="54"/>
      <c r="K989" s="56"/>
      <c r="L989" s="57"/>
      <c r="M989" s="54"/>
      <c r="N989" s="58" t="str">
        <f aca="false">IF(S989=1,IF(U989&lt;0,"",U989),IF(Y989=1,X989,""))</f>
        <v/>
      </c>
      <c r="O989" s="59" t="str">
        <f aca="false">IF(S989=1,IF(ISNUMBER(I989),I989-G989,""),"")</f>
        <v/>
      </c>
      <c r="P989" s="59" t="str">
        <f aca="false">IF(T989=1,IF(ISNUMBER(L989),L989-G989,""),"")</f>
        <v/>
      </c>
      <c r="Q989" s="60" t="str">
        <f aca="false">IF(C989="","",IF(T989=1,"✔ SOLD / VENDIDO",IF(S989=0,"— CLOSED / CERRADO",IF(U989&lt;0,"⚠ ADD DATE / AGREGA FECHA",IF(U989&gt;=Settings!$C$8,"⚠ STALE – REPRICE / ESTANCADO",IF(U989&gt;=Settings!$C$7,"● WATCH / VIGILAR","✔ FRESH / RECIENTE"))))))</f>
        <v/>
      </c>
      <c r="S989" s="53" t="n">
        <f aca="false">IF(C989="",0,IF(OR(J989="",J989="In Stock / En Inventario",J989="Listed / Publicado"),1,0))</f>
        <v>0</v>
      </c>
      <c r="T989" s="53" t="n">
        <f aca="false">IF(C989="",0,IF(J989="Sold / Vendido",1,0))</f>
        <v>0</v>
      </c>
      <c r="U989" s="53" t="n">
        <f aca="true">IF(S989=1,IF(ISNUMBER(F989),TODAY()-F989,-1),-1)</f>
        <v>-1</v>
      </c>
      <c r="V989" s="53" t="n">
        <f aca="false">IF(U989&lt;0,IF(S989=1,5,0),IF(U989&lt;=30,1,IF(U989&lt;=60,2,IF(U989&lt;=90,3,4))))</f>
        <v>0</v>
      </c>
      <c r="W989" s="53" t="n">
        <f aca="false">IF(U989&lt;0,-1000000000000000,U989+ROW()/1000000)</f>
        <v>-1000000000000000</v>
      </c>
      <c r="X989" s="53" t="n">
        <f aca="false">IF(T989=1,IF(AND(ISNUMBER(F989),ISNUMBER(K989)),K989-F989,0),0)</f>
        <v>0</v>
      </c>
      <c r="Y989" s="53" t="n">
        <f aca="false">IF(T989=1,IF(AND(ISNUMBER(F989),ISNUMBER(K989)),1,0),0)</f>
        <v>0</v>
      </c>
      <c r="Z989" s="53" t="n">
        <f aca="false">IF(U989&gt;=Settings!$C$8,1,0)</f>
        <v>0</v>
      </c>
      <c r="AA989" s="53" t="n">
        <f aca="false">IF(S989=1,IF(J989="Listed / Publicado",0,1),0)</f>
        <v>0</v>
      </c>
      <c r="AB989" s="53" t="n">
        <f aca="false">IF(T989=1,IF(ISNUMBER(L989),L989-G989,0),0)</f>
        <v>0</v>
      </c>
      <c r="AC989" s="53" t="n">
        <f aca="false">IF(S989=1,IF(ISNUMBER(I989),I989-G989,0),0)</f>
        <v>0</v>
      </c>
    </row>
    <row r="990" customFormat="false" ht="15" hidden="false" customHeight="false" outlineLevel="0" collapsed="false">
      <c r="B990" s="54"/>
      <c r="C990" s="55"/>
      <c r="D990" s="55"/>
      <c r="E990" s="55"/>
      <c r="F990" s="56"/>
      <c r="G990" s="57"/>
      <c r="H990" s="55"/>
      <c r="I990" s="57"/>
      <c r="J990" s="54"/>
      <c r="K990" s="56"/>
      <c r="L990" s="57"/>
      <c r="M990" s="54"/>
      <c r="N990" s="58" t="str">
        <f aca="false">IF(S990=1,IF(U990&lt;0,"",U990),IF(Y990=1,X990,""))</f>
        <v/>
      </c>
      <c r="O990" s="59" t="str">
        <f aca="false">IF(S990=1,IF(ISNUMBER(I990),I990-G990,""),"")</f>
        <v/>
      </c>
      <c r="P990" s="59" t="str">
        <f aca="false">IF(T990=1,IF(ISNUMBER(L990),L990-G990,""),"")</f>
        <v/>
      </c>
      <c r="Q990" s="60" t="str">
        <f aca="false">IF(C990="","",IF(T990=1,"✔ SOLD / VENDIDO",IF(S990=0,"— CLOSED / CERRADO",IF(U990&lt;0,"⚠ ADD DATE / AGREGA FECHA",IF(U990&gt;=Settings!$C$8,"⚠ STALE – REPRICE / ESTANCADO",IF(U990&gt;=Settings!$C$7,"● WATCH / VIGILAR","✔ FRESH / RECIENTE"))))))</f>
        <v/>
      </c>
      <c r="S990" s="53" t="n">
        <f aca="false">IF(C990="",0,IF(OR(J990="",J990="In Stock / En Inventario",J990="Listed / Publicado"),1,0))</f>
        <v>0</v>
      </c>
      <c r="T990" s="53" t="n">
        <f aca="false">IF(C990="",0,IF(J990="Sold / Vendido",1,0))</f>
        <v>0</v>
      </c>
      <c r="U990" s="53" t="n">
        <f aca="true">IF(S990=1,IF(ISNUMBER(F990),TODAY()-F990,-1),-1)</f>
        <v>-1</v>
      </c>
      <c r="V990" s="53" t="n">
        <f aca="false">IF(U990&lt;0,IF(S990=1,5,0),IF(U990&lt;=30,1,IF(U990&lt;=60,2,IF(U990&lt;=90,3,4))))</f>
        <v>0</v>
      </c>
      <c r="W990" s="53" t="n">
        <f aca="false">IF(U990&lt;0,-1000000000000000,U990+ROW()/1000000)</f>
        <v>-1000000000000000</v>
      </c>
      <c r="X990" s="53" t="n">
        <f aca="false">IF(T990=1,IF(AND(ISNUMBER(F990),ISNUMBER(K990)),K990-F990,0),0)</f>
        <v>0</v>
      </c>
      <c r="Y990" s="53" t="n">
        <f aca="false">IF(T990=1,IF(AND(ISNUMBER(F990),ISNUMBER(K990)),1,0),0)</f>
        <v>0</v>
      </c>
      <c r="Z990" s="53" t="n">
        <f aca="false">IF(U990&gt;=Settings!$C$8,1,0)</f>
        <v>0</v>
      </c>
      <c r="AA990" s="53" t="n">
        <f aca="false">IF(S990=1,IF(J990="Listed / Publicado",0,1),0)</f>
        <v>0</v>
      </c>
      <c r="AB990" s="53" t="n">
        <f aca="false">IF(T990=1,IF(ISNUMBER(L990),L990-G990,0),0)</f>
        <v>0</v>
      </c>
      <c r="AC990" s="53" t="n">
        <f aca="false">IF(S990=1,IF(ISNUMBER(I990),I990-G990,0),0)</f>
        <v>0</v>
      </c>
    </row>
    <row r="991" customFormat="false" ht="15" hidden="false" customHeight="false" outlineLevel="0" collapsed="false">
      <c r="B991" s="54"/>
      <c r="C991" s="55"/>
      <c r="D991" s="55"/>
      <c r="E991" s="55"/>
      <c r="F991" s="56"/>
      <c r="G991" s="57"/>
      <c r="H991" s="55"/>
      <c r="I991" s="57"/>
      <c r="J991" s="54"/>
      <c r="K991" s="56"/>
      <c r="L991" s="57"/>
      <c r="M991" s="54"/>
      <c r="N991" s="58" t="str">
        <f aca="false">IF(S991=1,IF(U991&lt;0,"",U991),IF(Y991=1,X991,""))</f>
        <v/>
      </c>
      <c r="O991" s="59" t="str">
        <f aca="false">IF(S991=1,IF(ISNUMBER(I991),I991-G991,""),"")</f>
        <v/>
      </c>
      <c r="P991" s="59" t="str">
        <f aca="false">IF(T991=1,IF(ISNUMBER(L991),L991-G991,""),"")</f>
        <v/>
      </c>
      <c r="Q991" s="60" t="str">
        <f aca="false">IF(C991="","",IF(T991=1,"✔ SOLD / VENDIDO",IF(S991=0,"— CLOSED / CERRADO",IF(U991&lt;0,"⚠ ADD DATE / AGREGA FECHA",IF(U991&gt;=Settings!$C$8,"⚠ STALE – REPRICE / ESTANCADO",IF(U991&gt;=Settings!$C$7,"● WATCH / VIGILAR","✔ FRESH / RECIENTE"))))))</f>
        <v/>
      </c>
      <c r="S991" s="53" t="n">
        <f aca="false">IF(C991="",0,IF(OR(J991="",J991="In Stock / En Inventario",J991="Listed / Publicado"),1,0))</f>
        <v>0</v>
      </c>
      <c r="T991" s="53" t="n">
        <f aca="false">IF(C991="",0,IF(J991="Sold / Vendido",1,0))</f>
        <v>0</v>
      </c>
      <c r="U991" s="53" t="n">
        <f aca="true">IF(S991=1,IF(ISNUMBER(F991),TODAY()-F991,-1),-1)</f>
        <v>-1</v>
      </c>
      <c r="V991" s="53" t="n">
        <f aca="false">IF(U991&lt;0,IF(S991=1,5,0),IF(U991&lt;=30,1,IF(U991&lt;=60,2,IF(U991&lt;=90,3,4))))</f>
        <v>0</v>
      </c>
      <c r="W991" s="53" t="n">
        <f aca="false">IF(U991&lt;0,-1000000000000000,U991+ROW()/1000000)</f>
        <v>-1000000000000000</v>
      </c>
      <c r="X991" s="53" t="n">
        <f aca="false">IF(T991=1,IF(AND(ISNUMBER(F991),ISNUMBER(K991)),K991-F991,0),0)</f>
        <v>0</v>
      </c>
      <c r="Y991" s="53" t="n">
        <f aca="false">IF(T991=1,IF(AND(ISNUMBER(F991),ISNUMBER(K991)),1,0),0)</f>
        <v>0</v>
      </c>
      <c r="Z991" s="53" t="n">
        <f aca="false">IF(U991&gt;=Settings!$C$8,1,0)</f>
        <v>0</v>
      </c>
      <c r="AA991" s="53" t="n">
        <f aca="false">IF(S991=1,IF(J991="Listed / Publicado",0,1),0)</f>
        <v>0</v>
      </c>
      <c r="AB991" s="53" t="n">
        <f aca="false">IF(T991=1,IF(ISNUMBER(L991),L991-G991,0),0)</f>
        <v>0</v>
      </c>
      <c r="AC991" s="53" t="n">
        <f aca="false">IF(S991=1,IF(ISNUMBER(I991),I991-G991,0),0)</f>
        <v>0</v>
      </c>
    </row>
    <row r="992" customFormat="false" ht="15" hidden="false" customHeight="false" outlineLevel="0" collapsed="false">
      <c r="B992" s="54"/>
      <c r="C992" s="55"/>
      <c r="D992" s="55"/>
      <c r="E992" s="55"/>
      <c r="F992" s="56"/>
      <c r="G992" s="57"/>
      <c r="H992" s="55"/>
      <c r="I992" s="57"/>
      <c r="J992" s="54"/>
      <c r="K992" s="56"/>
      <c r="L992" s="57"/>
      <c r="M992" s="54"/>
      <c r="N992" s="58" t="str">
        <f aca="false">IF(S992=1,IF(U992&lt;0,"",U992),IF(Y992=1,X992,""))</f>
        <v/>
      </c>
      <c r="O992" s="59" t="str">
        <f aca="false">IF(S992=1,IF(ISNUMBER(I992),I992-G992,""),"")</f>
        <v/>
      </c>
      <c r="P992" s="59" t="str">
        <f aca="false">IF(T992=1,IF(ISNUMBER(L992),L992-G992,""),"")</f>
        <v/>
      </c>
      <c r="Q992" s="60" t="str">
        <f aca="false">IF(C992="","",IF(T992=1,"✔ SOLD / VENDIDO",IF(S992=0,"— CLOSED / CERRADO",IF(U992&lt;0,"⚠ ADD DATE / AGREGA FECHA",IF(U992&gt;=Settings!$C$8,"⚠ STALE – REPRICE / ESTANCADO",IF(U992&gt;=Settings!$C$7,"● WATCH / VIGILAR","✔ FRESH / RECIENTE"))))))</f>
        <v/>
      </c>
      <c r="S992" s="53" t="n">
        <f aca="false">IF(C992="",0,IF(OR(J992="",J992="In Stock / En Inventario",J992="Listed / Publicado"),1,0))</f>
        <v>0</v>
      </c>
      <c r="T992" s="53" t="n">
        <f aca="false">IF(C992="",0,IF(J992="Sold / Vendido",1,0))</f>
        <v>0</v>
      </c>
      <c r="U992" s="53" t="n">
        <f aca="true">IF(S992=1,IF(ISNUMBER(F992),TODAY()-F992,-1),-1)</f>
        <v>-1</v>
      </c>
      <c r="V992" s="53" t="n">
        <f aca="false">IF(U992&lt;0,IF(S992=1,5,0),IF(U992&lt;=30,1,IF(U992&lt;=60,2,IF(U992&lt;=90,3,4))))</f>
        <v>0</v>
      </c>
      <c r="W992" s="53" t="n">
        <f aca="false">IF(U992&lt;0,-1000000000000000,U992+ROW()/1000000)</f>
        <v>-1000000000000000</v>
      </c>
      <c r="X992" s="53" t="n">
        <f aca="false">IF(T992=1,IF(AND(ISNUMBER(F992),ISNUMBER(K992)),K992-F992,0),0)</f>
        <v>0</v>
      </c>
      <c r="Y992" s="53" t="n">
        <f aca="false">IF(T992=1,IF(AND(ISNUMBER(F992),ISNUMBER(K992)),1,0),0)</f>
        <v>0</v>
      </c>
      <c r="Z992" s="53" t="n">
        <f aca="false">IF(U992&gt;=Settings!$C$8,1,0)</f>
        <v>0</v>
      </c>
      <c r="AA992" s="53" t="n">
        <f aca="false">IF(S992=1,IF(J992="Listed / Publicado",0,1),0)</f>
        <v>0</v>
      </c>
      <c r="AB992" s="53" t="n">
        <f aca="false">IF(T992=1,IF(ISNUMBER(L992),L992-G992,0),0)</f>
        <v>0</v>
      </c>
      <c r="AC992" s="53" t="n">
        <f aca="false">IF(S992=1,IF(ISNUMBER(I992),I992-G992,0),0)</f>
        <v>0</v>
      </c>
    </row>
    <row r="993" customFormat="false" ht="15" hidden="false" customHeight="false" outlineLevel="0" collapsed="false">
      <c r="B993" s="54"/>
      <c r="C993" s="55"/>
      <c r="D993" s="55"/>
      <c r="E993" s="55"/>
      <c r="F993" s="56"/>
      <c r="G993" s="57"/>
      <c r="H993" s="55"/>
      <c r="I993" s="57"/>
      <c r="J993" s="54"/>
      <c r="K993" s="56"/>
      <c r="L993" s="57"/>
      <c r="M993" s="54"/>
      <c r="N993" s="58" t="str">
        <f aca="false">IF(S993=1,IF(U993&lt;0,"",U993),IF(Y993=1,X993,""))</f>
        <v/>
      </c>
      <c r="O993" s="59" t="str">
        <f aca="false">IF(S993=1,IF(ISNUMBER(I993),I993-G993,""),"")</f>
        <v/>
      </c>
      <c r="P993" s="59" t="str">
        <f aca="false">IF(T993=1,IF(ISNUMBER(L993),L993-G993,""),"")</f>
        <v/>
      </c>
      <c r="Q993" s="60" t="str">
        <f aca="false">IF(C993="","",IF(T993=1,"✔ SOLD / VENDIDO",IF(S993=0,"— CLOSED / CERRADO",IF(U993&lt;0,"⚠ ADD DATE / AGREGA FECHA",IF(U993&gt;=Settings!$C$8,"⚠ STALE – REPRICE / ESTANCADO",IF(U993&gt;=Settings!$C$7,"● WATCH / VIGILAR","✔ FRESH / RECIENTE"))))))</f>
        <v/>
      </c>
      <c r="S993" s="53" t="n">
        <f aca="false">IF(C993="",0,IF(OR(J993="",J993="In Stock / En Inventario",J993="Listed / Publicado"),1,0))</f>
        <v>0</v>
      </c>
      <c r="T993" s="53" t="n">
        <f aca="false">IF(C993="",0,IF(J993="Sold / Vendido",1,0))</f>
        <v>0</v>
      </c>
      <c r="U993" s="53" t="n">
        <f aca="true">IF(S993=1,IF(ISNUMBER(F993),TODAY()-F993,-1),-1)</f>
        <v>-1</v>
      </c>
      <c r="V993" s="53" t="n">
        <f aca="false">IF(U993&lt;0,IF(S993=1,5,0),IF(U993&lt;=30,1,IF(U993&lt;=60,2,IF(U993&lt;=90,3,4))))</f>
        <v>0</v>
      </c>
      <c r="W993" s="53" t="n">
        <f aca="false">IF(U993&lt;0,-1000000000000000,U993+ROW()/1000000)</f>
        <v>-1000000000000000</v>
      </c>
      <c r="X993" s="53" t="n">
        <f aca="false">IF(T993=1,IF(AND(ISNUMBER(F993),ISNUMBER(K993)),K993-F993,0),0)</f>
        <v>0</v>
      </c>
      <c r="Y993" s="53" t="n">
        <f aca="false">IF(T993=1,IF(AND(ISNUMBER(F993),ISNUMBER(K993)),1,0),0)</f>
        <v>0</v>
      </c>
      <c r="Z993" s="53" t="n">
        <f aca="false">IF(U993&gt;=Settings!$C$8,1,0)</f>
        <v>0</v>
      </c>
      <c r="AA993" s="53" t="n">
        <f aca="false">IF(S993=1,IF(J993="Listed / Publicado",0,1),0)</f>
        <v>0</v>
      </c>
      <c r="AB993" s="53" t="n">
        <f aca="false">IF(T993=1,IF(ISNUMBER(L993),L993-G993,0),0)</f>
        <v>0</v>
      </c>
      <c r="AC993" s="53" t="n">
        <f aca="false">IF(S993=1,IF(ISNUMBER(I993),I993-G993,0),0)</f>
        <v>0</v>
      </c>
    </row>
    <row r="994" customFormat="false" ht="15" hidden="false" customHeight="false" outlineLevel="0" collapsed="false">
      <c r="B994" s="54"/>
      <c r="C994" s="55"/>
      <c r="D994" s="55"/>
      <c r="E994" s="55"/>
      <c r="F994" s="56"/>
      <c r="G994" s="57"/>
      <c r="H994" s="55"/>
      <c r="I994" s="57"/>
      <c r="J994" s="54"/>
      <c r="K994" s="56"/>
      <c r="L994" s="57"/>
      <c r="M994" s="54"/>
      <c r="N994" s="58" t="str">
        <f aca="false">IF(S994=1,IF(U994&lt;0,"",U994),IF(Y994=1,X994,""))</f>
        <v/>
      </c>
      <c r="O994" s="59" t="str">
        <f aca="false">IF(S994=1,IF(ISNUMBER(I994),I994-G994,""),"")</f>
        <v/>
      </c>
      <c r="P994" s="59" t="str">
        <f aca="false">IF(T994=1,IF(ISNUMBER(L994),L994-G994,""),"")</f>
        <v/>
      </c>
      <c r="Q994" s="60" t="str">
        <f aca="false">IF(C994="","",IF(T994=1,"✔ SOLD / VENDIDO",IF(S994=0,"— CLOSED / CERRADO",IF(U994&lt;0,"⚠ ADD DATE / AGREGA FECHA",IF(U994&gt;=Settings!$C$8,"⚠ STALE – REPRICE / ESTANCADO",IF(U994&gt;=Settings!$C$7,"● WATCH / VIGILAR","✔ FRESH / RECIENTE"))))))</f>
        <v/>
      </c>
      <c r="S994" s="53" t="n">
        <f aca="false">IF(C994="",0,IF(OR(J994="",J994="In Stock / En Inventario",J994="Listed / Publicado"),1,0))</f>
        <v>0</v>
      </c>
      <c r="T994" s="53" t="n">
        <f aca="false">IF(C994="",0,IF(J994="Sold / Vendido",1,0))</f>
        <v>0</v>
      </c>
      <c r="U994" s="53" t="n">
        <f aca="true">IF(S994=1,IF(ISNUMBER(F994),TODAY()-F994,-1),-1)</f>
        <v>-1</v>
      </c>
      <c r="V994" s="53" t="n">
        <f aca="false">IF(U994&lt;0,IF(S994=1,5,0),IF(U994&lt;=30,1,IF(U994&lt;=60,2,IF(U994&lt;=90,3,4))))</f>
        <v>0</v>
      </c>
      <c r="W994" s="53" t="n">
        <f aca="false">IF(U994&lt;0,-1000000000000000,U994+ROW()/1000000)</f>
        <v>-1000000000000000</v>
      </c>
      <c r="X994" s="53" t="n">
        <f aca="false">IF(T994=1,IF(AND(ISNUMBER(F994),ISNUMBER(K994)),K994-F994,0),0)</f>
        <v>0</v>
      </c>
      <c r="Y994" s="53" t="n">
        <f aca="false">IF(T994=1,IF(AND(ISNUMBER(F994),ISNUMBER(K994)),1,0),0)</f>
        <v>0</v>
      </c>
      <c r="Z994" s="53" t="n">
        <f aca="false">IF(U994&gt;=Settings!$C$8,1,0)</f>
        <v>0</v>
      </c>
      <c r="AA994" s="53" t="n">
        <f aca="false">IF(S994=1,IF(J994="Listed / Publicado",0,1),0)</f>
        <v>0</v>
      </c>
      <c r="AB994" s="53" t="n">
        <f aca="false">IF(T994=1,IF(ISNUMBER(L994),L994-G994,0),0)</f>
        <v>0</v>
      </c>
      <c r="AC994" s="53" t="n">
        <f aca="false">IF(S994=1,IF(ISNUMBER(I994),I994-G994,0),0)</f>
        <v>0</v>
      </c>
    </row>
    <row r="995" customFormat="false" ht="15" hidden="false" customHeight="false" outlineLevel="0" collapsed="false">
      <c r="B995" s="54"/>
      <c r="C995" s="55"/>
      <c r="D995" s="55"/>
      <c r="E995" s="55"/>
      <c r="F995" s="56"/>
      <c r="G995" s="57"/>
      <c r="H995" s="55"/>
      <c r="I995" s="57"/>
      <c r="J995" s="54"/>
      <c r="K995" s="56"/>
      <c r="L995" s="57"/>
      <c r="M995" s="54"/>
      <c r="N995" s="58" t="str">
        <f aca="false">IF(S995=1,IF(U995&lt;0,"",U995),IF(Y995=1,X995,""))</f>
        <v/>
      </c>
      <c r="O995" s="59" t="str">
        <f aca="false">IF(S995=1,IF(ISNUMBER(I995),I995-G995,""),"")</f>
        <v/>
      </c>
      <c r="P995" s="59" t="str">
        <f aca="false">IF(T995=1,IF(ISNUMBER(L995),L995-G995,""),"")</f>
        <v/>
      </c>
      <c r="Q995" s="60" t="str">
        <f aca="false">IF(C995="","",IF(T995=1,"✔ SOLD / VENDIDO",IF(S995=0,"— CLOSED / CERRADO",IF(U995&lt;0,"⚠ ADD DATE / AGREGA FECHA",IF(U995&gt;=Settings!$C$8,"⚠ STALE – REPRICE / ESTANCADO",IF(U995&gt;=Settings!$C$7,"● WATCH / VIGILAR","✔ FRESH / RECIENTE"))))))</f>
        <v/>
      </c>
      <c r="S995" s="53" t="n">
        <f aca="false">IF(C995="",0,IF(OR(J995="",J995="In Stock / En Inventario",J995="Listed / Publicado"),1,0))</f>
        <v>0</v>
      </c>
      <c r="T995" s="53" t="n">
        <f aca="false">IF(C995="",0,IF(J995="Sold / Vendido",1,0))</f>
        <v>0</v>
      </c>
      <c r="U995" s="53" t="n">
        <f aca="true">IF(S995=1,IF(ISNUMBER(F995),TODAY()-F995,-1),-1)</f>
        <v>-1</v>
      </c>
      <c r="V995" s="53" t="n">
        <f aca="false">IF(U995&lt;0,IF(S995=1,5,0),IF(U995&lt;=30,1,IF(U995&lt;=60,2,IF(U995&lt;=90,3,4))))</f>
        <v>0</v>
      </c>
      <c r="W995" s="53" t="n">
        <f aca="false">IF(U995&lt;0,-1000000000000000,U995+ROW()/1000000)</f>
        <v>-1000000000000000</v>
      </c>
      <c r="X995" s="53" t="n">
        <f aca="false">IF(T995=1,IF(AND(ISNUMBER(F995),ISNUMBER(K995)),K995-F995,0),0)</f>
        <v>0</v>
      </c>
      <c r="Y995" s="53" t="n">
        <f aca="false">IF(T995=1,IF(AND(ISNUMBER(F995),ISNUMBER(K995)),1,0),0)</f>
        <v>0</v>
      </c>
      <c r="Z995" s="53" t="n">
        <f aca="false">IF(U995&gt;=Settings!$C$8,1,0)</f>
        <v>0</v>
      </c>
      <c r="AA995" s="53" t="n">
        <f aca="false">IF(S995=1,IF(J995="Listed / Publicado",0,1),0)</f>
        <v>0</v>
      </c>
      <c r="AB995" s="53" t="n">
        <f aca="false">IF(T995=1,IF(ISNUMBER(L995),L995-G995,0),0)</f>
        <v>0</v>
      </c>
      <c r="AC995" s="53" t="n">
        <f aca="false">IF(S995=1,IF(ISNUMBER(I995),I995-G995,0),0)</f>
        <v>0</v>
      </c>
    </row>
    <row r="996" customFormat="false" ht="15" hidden="false" customHeight="false" outlineLevel="0" collapsed="false">
      <c r="B996" s="54"/>
      <c r="C996" s="55"/>
      <c r="D996" s="55"/>
      <c r="E996" s="55"/>
      <c r="F996" s="56"/>
      <c r="G996" s="57"/>
      <c r="H996" s="55"/>
      <c r="I996" s="57"/>
      <c r="J996" s="54"/>
      <c r="K996" s="56"/>
      <c r="L996" s="57"/>
      <c r="M996" s="54"/>
      <c r="N996" s="58" t="str">
        <f aca="false">IF(S996=1,IF(U996&lt;0,"",U996),IF(Y996=1,X996,""))</f>
        <v/>
      </c>
      <c r="O996" s="59" t="str">
        <f aca="false">IF(S996=1,IF(ISNUMBER(I996),I996-G996,""),"")</f>
        <v/>
      </c>
      <c r="P996" s="59" t="str">
        <f aca="false">IF(T996=1,IF(ISNUMBER(L996),L996-G996,""),"")</f>
        <v/>
      </c>
      <c r="Q996" s="60" t="str">
        <f aca="false">IF(C996="","",IF(T996=1,"✔ SOLD / VENDIDO",IF(S996=0,"— CLOSED / CERRADO",IF(U996&lt;0,"⚠ ADD DATE / AGREGA FECHA",IF(U996&gt;=Settings!$C$8,"⚠ STALE – REPRICE / ESTANCADO",IF(U996&gt;=Settings!$C$7,"● WATCH / VIGILAR","✔ FRESH / RECIENTE"))))))</f>
        <v/>
      </c>
      <c r="S996" s="53" t="n">
        <f aca="false">IF(C996="",0,IF(OR(J996="",J996="In Stock / En Inventario",J996="Listed / Publicado"),1,0))</f>
        <v>0</v>
      </c>
      <c r="T996" s="53" t="n">
        <f aca="false">IF(C996="",0,IF(J996="Sold / Vendido",1,0))</f>
        <v>0</v>
      </c>
      <c r="U996" s="53" t="n">
        <f aca="true">IF(S996=1,IF(ISNUMBER(F996),TODAY()-F996,-1),-1)</f>
        <v>-1</v>
      </c>
      <c r="V996" s="53" t="n">
        <f aca="false">IF(U996&lt;0,IF(S996=1,5,0),IF(U996&lt;=30,1,IF(U996&lt;=60,2,IF(U996&lt;=90,3,4))))</f>
        <v>0</v>
      </c>
      <c r="W996" s="53" t="n">
        <f aca="false">IF(U996&lt;0,-1000000000000000,U996+ROW()/1000000)</f>
        <v>-1000000000000000</v>
      </c>
      <c r="X996" s="53" t="n">
        <f aca="false">IF(T996=1,IF(AND(ISNUMBER(F996),ISNUMBER(K996)),K996-F996,0),0)</f>
        <v>0</v>
      </c>
      <c r="Y996" s="53" t="n">
        <f aca="false">IF(T996=1,IF(AND(ISNUMBER(F996),ISNUMBER(K996)),1,0),0)</f>
        <v>0</v>
      </c>
      <c r="Z996" s="53" t="n">
        <f aca="false">IF(U996&gt;=Settings!$C$8,1,0)</f>
        <v>0</v>
      </c>
      <c r="AA996" s="53" t="n">
        <f aca="false">IF(S996=1,IF(J996="Listed / Publicado",0,1),0)</f>
        <v>0</v>
      </c>
      <c r="AB996" s="53" t="n">
        <f aca="false">IF(T996=1,IF(ISNUMBER(L996),L996-G996,0),0)</f>
        <v>0</v>
      </c>
      <c r="AC996" s="53" t="n">
        <f aca="false">IF(S996=1,IF(ISNUMBER(I996),I996-G996,0),0)</f>
        <v>0</v>
      </c>
    </row>
    <row r="997" customFormat="false" ht="15" hidden="false" customHeight="false" outlineLevel="0" collapsed="false">
      <c r="B997" s="54"/>
      <c r="C997" s="55"/>
      <c r="D997" s="55"/>
      <c r="E997" s="55"/>
      <c r="F997" s="56"/>
      <c r="G997" s="57"/>
      <c r="H997" s="55"/>
      <c r="I997" s="57"/>
      <c r="J997" s="54"/>
      <c r="K997" s="56"/>
      <c r="L997" s="57"/>
      <c r="M997" s="54"/>
      <c r="N997" s="58" t="str">
        <f aca="false">IF(S997=1,IF(U997&lt;0,"",U997),IF(Y997=1,X997,""))</f>
        <v/>
      </c>
      <c r="O997" s="59" t="str">
        <f aca="false">IF(S997=1,IF(ISNUMBER(I997),I997-G997,""),"")</f>
        <v/>
      </c>
      <c r="P997" s="59" t="str">
        <f aca="false">IF(T997=1,IF(ISNUMBER(L997),L997-G997,""),"")</f>
        <v/>
      </c>
      <c r="Q997" s="60" t="str">
        <f aca="false">IF(C997="","",IF(T997=1,"✔ SOLD / VENDIDO",IF(S997=0,"— CLOSED / CERRADO",IF(U997&lt;0,"⚠ ADD DATE / AGREGA FECHA",IF(U997&gt;=Settings!$C$8,"⚠ STALE – REPRICE / ESTANCADO",IF(U997&gt;=Settings!$C$7,"● WATCH / VIGILAR","✔ FRESH / RECIENTE"))))))</f>
        <v/>
      </c>
      <c r="S997" s="53" t="n">
        <f aca="false">IF(C997="",0,IF(OR(J997="",J997="In Stock / En Inventario",J997="Listed / Publicado"),1,0))</f>
        <v>0</v>
      </c>
      <c r="T997" s="53" t="n">
        <f aca="false">IF(C997="",0,IF(J997="Sold / Vendido",1,0))</f>
        <v>0</v>
      </c>
      <c r="U997" s="53" t="n">
        <f aca="true">IF(S997=1,IF(ISNUMBER(F997),TODAY()-F997,-1),-1)</f>
        <v>-1</v>
      </c>
      <c r="V997" s="53" t="n">
        <f aca="false">IF(U997&lt;0,IF(S997=1,5,0),IF(U997&lt;=30,1,IF(U997&lt;=60,2,IF(U997&lt;=90,3,4))))</f>
        <v>0</v>
      </c>
      <c r="W997" s="53" t="n">
        <f aca="false">IF(U997&lt;0,-1000000000000000,U997+ROW()/1000000)</f>
        <v>-1000000000000000</v>
      </c>
      <c r="X997" s="53" t="n">
        <f aca="false">IF(T997=1,IF(AND(ISNUMBER(F997),ISNUMBER(K997)),K997-F997,0),0)</f>
        <v>0</v>
      </c>
      <c r="Y997" s="53" t="n">
        <f aca="false">IF(T997=1,IF(AND(ISNUMBER(F997),ISNUMBER(K997)),1,0),0)</f>
        <v>0</v>
      </c>
      <c r="Z997" s="53" t="n">
        <f aca="false">IF(U997&gt;=Settings!$C$8,1,0)</f>
        <v>0</v>
      </c>
      <c r="AA997" s="53" t="n">
        <f aca="false">IF(S997=1,IF(J997="Listed / Publicado",0,1),0)</f>
        <v>0</v>
      </c>
      <c r="AB997" s="53" t="n">
        <f aca="false">IF(T997=1,IF(ISNUMBER(L997),L997-G997,0),0)</f>
        <v>0</v>
      </c>
      <c r="AC997" s="53" t="n">
        <f aca="false">IF(S997=1,IF(ISNUMBER(I997),I997-G997,0),0)</f>
        <v>0</v>
      </c>
    </row>
    <row r="998" customFormat="false" ht="15" hidden="false" customHeight="false" outlineLevel="0" collapsed="false">
      <c r="B998" s="54"/>
      <c r="C998" s="55"/>
      <c r="D998" s="55"/>
      <c r="E998" s="55"/>
      <c r="F998" s="56"/>
      <c r="G998" s="57"/>
      <c r="H998" s="55"/>
      <c r="I998" s="57"/>
      <c r="J998" s="54"/>
      <c r="K998" s="56"/>
      <c r="L998" s="57"/>
      <c r="M998" s="54"/>
      <c r="N998" s="58" t="str">
        <f aca="false">IF(S998=1,IF(U998&lt;0,"",U998),IF(Y998=1,X998,""))</f>
        <v/>
      </c>
      <c r="O998" s="59" t="str">
        <f aca="false">IF(S998=1,IF(ISNUMBER(I998),I998-G998,""),"")</f>
        <v/>
      </c>
      <c r="P998" s="59" t="str">
        <f aca="false">IF(T998=1,IF(ISNUMBER(L998),L998-G998,""),"")</f>
        <v/>
      </c>
      <c r="Q998" s="60" t="str">
        <f aca="false">IF(C998="","",IF(T998=1,"✔ SOLD / VENDIDO",IF(S998=0,"— CLOSED / CERRADO",IF(U998&lt;0,"⚠ ADD DATE / AGREGA FECHA",IF(U998&gt;=Settings!$C$8,"⚠ STALE – REPRICE / ESTANCADO",IF(U998&gt;=Settings!$C$7,"● WATCH / VIGILAR","✔ FRESH / RECIENTE"))))))</f>
        <v/>
      </c>
      <c r="S998" s="53" t="n">
        <f aca="false">IF(C998="",0,IF(OR(J998="",J998="In Stock / En Inventario",J998="Listed / Publicado"),1,0))</f>
        <v>0</v>
      </c>
      <c r="T998" s="53" t="n">
        <f aca="false">IF(C998="",0,IF(J998="Sold / Vendido",1,0))</f>
        <v>0</v>
      </c>
      <c r="U998" s="53" t="n">
        <f aca="true">IF(S998=1,IF(ISNUMBER(F998),TODAY()-F998,-1),-1)</f>
        <v>-1</v>
      </c>
      <c r="V998" s="53" t="n">
        <f aca="false">IF(U998&lt;0,IF(S998=1,5,0),IF(U998&lt;=30,1,IF(U998&lt;=60,2,IF(U998&lt;=90,3,4))))</f>
        <v>0</v>
      </c>
      <c r="W998" s="53" t="n">
        <f aca="false">IF(U998&lt;0,-1000000000000000,U998+ROW()/1000000)</f>
        <v>-1000000000000000</v>
      </c>
      <c r="X998" s="53" t="n">
        <f aca="false">IF(T998=1,IF(AND(ISNUMBER(F998),ISNUMBER(K998)),K998-F998,0),0)</f>
        <v>0</v>
      </c>
      <c r="Y998" s="53" t="n">
        <f aca="false">IF(T998=1,IF(AND(ISNUMBER(F998),ISNUMBER(K998)),1,0),0)</f>
        <v>0</v>
      </c>
      <c r="Z998" s="53" t="n">
        <f aca="false">IF(U998&gt;=Settings!$C$8,1,0)</f>
        <v>0</v>
      </c>
      <c r="AA998" s="53" t="n">
        <f aca="false">IF(S998=1,IF(J998="Listed / Publicado",0,1),0)</f>
        <v>0</v>
      </c>
      <c r="AB998" s="53" t="n">
        <f aca="false">IF(T998=1,IF(ISNUMBER(L998),L998-G998,0),0)</f>
        <v>0</v>
      </c>
      <c r="AC998" s="53" t="n">
        <f aca="false">IF(S998=1,IF(ISNUMBER(I998),I998-G998,0),0)</f>
        <v>0</v>
      </c>
    </row>
    <row r="999" customFormat="false" ht="15" hidden="false" customHeight="false" outlineLevel="0" collapsed="false">
      <c r="B999" s="54"/>
      <c r="C999" s="55"/>
      <c r="D999" s="55"/>
      <c r="E999" s="55"/>
      <c r="F999" s="56"/>
      <c r="G999" s="57"/>
      <c r="H999" s="55"/>
      <c r="I999" s="57"/>
      <c r="J999" s="54"/>
      <c r="K999" s="56"/>
      <c r="L999" s="57"/>
      <c r="M999" s="54"/>
      <c r="N999" s="58" t="str">
        <f aca="false">IF(S999=1,IF(U999&lt;0,"",U999),IF(Y999=1,X999,""))</f>
        <v/>
      </c>
      <c r="O999" s="59" t="str">
        <f aca="false">IF(S999=1,IF(ISNUMBER(I999),I999-G999,""),"")</f>
        <v/>
      </c>
      <c r="P999" s="59" t="str">
        <f aca="false">IF(T999=1,IF(ISNUMBER(L999),L999-G999,""),"")</f>
        <v/>
      </c>
      <c r="Q999" s="60" t="str">
        <f aca="false">IF(C999="","",IF(T999=1,"✔ SOLD / VENDIDO",IF(S999=0,"— CLOSED / CERRADO",IF(U999&lt;0,"⚠ ADD DATE / AGREGA FECHA",IF(U999&gt;=Settings!$C$8,"⚠ STALE – REPRICE / ESTANCADO",IF(U999&gt;=Settings!$C$7,"● WATCH / VIGILAR","✔ FRESH / RECIENTE"))))))</f>
        <v/>
      </c>
      <c r="S999" s="53" t="n">
        <f aca="false">IF(C999="",0,IF(OR(J999="",J999="In Stock / En Inventario",J999="Listed / Publicado"),1,0))</f>
        <v>0</v>
      </c>
      <c r="T999" s="53" t="n">
        <f aca="false">IF(C999="",0,IF(J999="Sold / Vendido",1,0))</f>
        <v>0</v>
      </c>
      <c r="U999" s="53" t="n">
        <f aca="true">IF(S999=1,IF(ISNUMBER(F999),TODAY()-F999,-1),-1)</f>
        <v>-1</v>
      </c>
      <c r="V999" s="53" t="n">
        <f aca="false">IF(U999&lt;0,IF(S999=1,5,0),IF(U999&lt;=30,1,IF(U999&lt;=60,2,IF(U999&lt;=90,3,4))))</f>
        <v>0</v>
      </c>
      <c r="W999" s="53" t="n">
        <f aca="false">IF(U999&lt;0,-1000000000000000,U999+ROW()/1000000)</f>
        <v>-1000000000000000</v>
      </c>
      <c r="X999" s="53" t="n">
        <f aca="false">IF(T999=1,IF(AND(ISNUMBER(F999),ISNUMBER(K999)),K999-F999,0),0)</f>
        <v>0</v>
      </c>
      <c r="Y999" s="53" t="n">
        <f aca="false">IF(T999=1,IF(AND(ISNUMBER(F999),ISNUMBER(K999)),1,0),0)</f>
        <v>0</v>
      </c>
      <c r="Z999" s="53" t="n">
        <f aca="false">IF(U999&gt;=Settings!$C$8,1,0)</f>
        <v>0</v>
      </c>
      <c r="AA999" s="53" t="n">
        <f aca="false">IF(S999=1,IF(J999="Listed / Publicado",0,1),0)</f>
        <v>0</v>
      </c>
      <c r="AB999" s="53" t="n">
        <f aca="false">IF(T999=1,IF(ISNUMBER(L999),L999-G999,0),0)</f>
        <v>0</v>
      </c>
      <c r="AC999" s="53" t="n">
        <f aca="false">IF(S999=1,IF(ISNUMBER(I999),I999-G999,0),0)</f>
        <v>0</v>
      </c>
    </row>
    <row r="1000" customFormat="false" ht="15" hidden="false" customHeight="false" outlineLevel="0" collapsed="false">
      <c r="B1000" s="54"/>
      <c r="C1000" s="55"/>
      <c r="D1000" s="55"/>
      <c r="E1000" s="55"/>
      <c r="F1000" s="56"/>
      <c r="G1000" s="57"/>
      <c r="H1000" s="55"/>
      <c r="I1000" s="57"/>
      <c r="J1000" s="54"/>
      <c r="K1000" s="56"/>
      <c r="L1000" s="57"/>
      <c r="M1000" s="54"/>
      <c r="N1000" s="58" t="str">
        <f aca="false">IF(S1000=1,IF(U1000&lt;0,"",U1000),IF(Y1000=1,X1000,""))</f>
        <v/>
      </c>
      <c r="O1000" s="59" t="str">
        <f aca="false">IF(S1000=1,IF(ISNUMBER(I1000),I1000-G1000,""),"")</f>
        <v/>
      </c>
      <c r="P1000" s="59" t="str">
        <f aca="false">IF(T1000=1,IF(ISNUMBER(L1000),L1000-G1000,""),"")</f>
        <v/>
      </c>
      <c r="Q1000" s="60" t="str">
        <f aca="false">IF(C1000="","",IF(T1000=1,"✔ SOLD / VENDIDO",IF(S1000=0,"— CLOSED / CERRADO",IF(U1000&lt;0,"⚠ ADD DATE / AGREGA FECHA",IF(U1000&gt;=Settings!$C$8,"⚠ STALE – REPRICE / ESTANCADO",IF(U1000&gt;=Settings!$C$7,"● WATCH / VIGILAR","✔ FRESH / RECIENTE"))))))</f>
        <v/>
      </c>
      <c r="S1000" s="53" t="n">
        <f aca="false">IF(C1000="",0,IF(OR(J1000="",J1000="In Stock / En Inventario",J1000="Listed / Publicado"),1,0))</f>
        <v>0</v>
      </c>
      <c r="T1000" s="53" t="n">
        <f aca="false">IF(C1000="",0,IF(J1000="Sold / Vendido",1,0))</f>
        <v>0</v>
      </c>
      <c r="U1000" s="53" t="n">
        <f aca="true">IF(S1000=1,IF(ISNUMBER(F1000),TODAY()-F1000,-1),-1)</f>
        <v>-1</v>
      </c>
      <c r="V1000" s="53" t="n">
        <f aca="false">IF(U1000&lt;0,IF(S1000=1,5,0),IF(U1000&lt;=30,1,IF(U1000&lt;=60,2,IF(U1000&lt;=90,3,4))))</f>
        <v>0</v>
      </c>
      <c r="W1000" s="53" t="n">
        <f aca="false">IF(U1000&lt;0,-1000000000000000,U1000+ROW()/1000000)</f>
        <v>-1000000000000000</v>
      </c>
      <c r="X1000" s="53" t="n">
        <f aca="false">IF(T1000=1,IF(AND(ISNUMBER(F1000),ISNUMBER(K1000)),K1000-F1000,0),0)</f>
        <v>0</v>
      </c>
      <c r="Y1000" s="53" t="n">
        <f aca="false">IF(T1000=1,IF(AND(ISNUMBER(F1000),ISNUMBER(K1000)),1,0),0)</f>
        <v>0</v>
      </c>
      <c r="Z1000" s="53" t="n">
        <f aca="false">IF(U1000&gt;=Settings!$C$8,1,0)</f>
        <v>0</v>
      </c>
      <c r="AA1000" s="53" t="n">
        <f aca="false">IF(S1000=1,IF(J1000="Listed / Publicado",0,1),0)</f>
        <v>0</v>
      </c>
      <c r="AB1000" s="53" t="n">
        <f aca="false">IF(T1000=1,IF(ISNUMBER(L1000),L1000-G1000,0),0)</f>
        <v>0</v>
      </c>
      <c r="AC1000" s="53" t="n">
        <f aca="false">IF(S1000=1,IF(ISNUMBER(I1000),I1000-G1000,0),0)</f>
        <v>0</v>
      </c>
    </row>
    <row r="1001" customFormat="false" ht="15" hidden="false" customHeight="false" outlineLevel="0" collapsed="false">
      <c r="B1001" s="54"/>
      <c r="C1001" s="55"/>
      <c r="D1001" s="55"/>
      <c r="E1001" s="55"/>
      <c r="F1001" s="56"/>
      <c r="G1001" s="57"/>
      <c r="H1001" s="55"/>
      <c r="I1001" s="57"/>
      <c r="J1001" s="54"/>
      <c r="K1001" s="56"/>
      <c r="L1001" s="57"/>
      <c r="M1001" s="54"/>
      <c r="N1001" s="58" t="str">
        <f aca="false">IF(S1001=1,IF(U1001&lt;0,"",U1001),IF(Y1001=1,X1001,""))</f>
        <v/>
      </c>
      <c r="O1001" s="59" t="str">
        <f aca="false">IF(S1001=1,IF(ISNUMBER(I1001),I1001-G1001,""),"")</f>
        <v/>
      </c>
      <c r="P1001" s="59" t="str">
        <f aca="false">IF(T1001=1,IF(ISNUMBER(L1001),L1001-G1001,""),"")</f>
        <v/>
      </c>
      <c r="Q1001" s="60" t="str">
        <f aca="false">IF(C1001="","",IF(T1001=1,"✔ SOLD / VENDIDO",IF(S1001=0,"— CLOSED / CERRADO",IF(U1001&lt;0,"⚠ ADD DATE / AGREGA FECHA",IF(U1001&gt;=Settings!$C$8,"⚠ STALE – REPRICE / ESTANCADO",IF(U1001&gt;=Settings!$C$7,"● WATCH / VIGILAR","✔ FRESH / RECIENTE"))))))</f>
        <v/>
      </c>
      <c r="S1001" s="53" t="n">
        <f aca="false">IF(C1001="",0,IF(OR(J1001="",J1001="In Stock / En Inventario",J1001="Listed / Publicado"),1,0))</f>
        <v>0</v>
      </c>
      <c r="T1001" s="53" t="n">
        <f aca="false">IF(C1001="",0,IF(J1001="Sold / Vendido",1,0))</f>
        <v>0</v>
      </c>
      <c r="U1001" s="53" t="n">
        <f aca="true">IF(S1001=1,IF(ISNUMBER(F1001),TODAY()-F1001,-1),-1)</f>
        <v>-1</v>
      </c>
      <c r="V1001" s="53" t="n">
        <f aca="false">IF(U1001&lt;0,IF(S1001=1,5,0),IF(U1001&lt;=30,1,IF(U1001&lt;=60,2,IF(U1001&lt;=90,3,4))))</f>
        <v>0</v>
      </c>
      <c r="W1001" s="53" t="n">
        <f aca="false">IF(U1001&lt;0,-1000000000000000,U1001+ROW()/1000000)</f>
        <v>-1000000000000000</v>
      </c>
      <c r="X1001" s="53" t="n">
        <f aca="false">IF(T1001=1,IF(AND(ISNUMBER(F1001),ISNUMBER(K1001)),K1001-F1001,0),0)</f>
        <v>0</v>
      </c>
      <c r="Y1001" s="53" t="n">
        <f aca="false">IF(T1001=1,IF(AND(ISNUMBER(F1001),ISNUMBER(K1001)),1,0),0)</f>
        <v>0</v>
      </c>
      <c r="Z1001" s="53" t="n">
        <f aca="false">IF(U1001&gt;=Settings!$C$8,1,0)</f>
        <v>0</v>
      </c>
      <c r="AA1001" s="53" t="n">
        <f aca="false">IF(S1001=1,IF(J1001="Listed / Publicado",0,1),0)</f>
        <v>0</v>
      </c>
      <c r="AB1001" s="53" t="n">
        <f aca="false">IF(T1001=1,IF(ISNUMBER(L1001),L1001-G1001,0),0)</f>
        <v>0</v>
      </c>
      <c r="AC1001" s="53" t="n">
        <f aca="false">IF(S1001=1,IF(ISNUMBER(I1001),I1001-G1001,0),0)</f>
        <v>0</v>
      </c>
    </row>
    <row r="1002" customFormat="false" ht="15" hidden="false" customHeight="false" outlineLevel="0" collapsed="false">
      <c r="B1002" s="54"/>
      <c r="C1002" s="55"/>
      <c r="D1002" s="55"/>
      <c r="E1002" s="55"/>
      <c r="F1002" s="56"/>
      <c r="G1002" s="57"/>
      <c r="H1002" s="55"/>
      <c r="I1002" s="57"/>
      <c r="J1002" s="54"/>
      <c r="K1002" s="56"/>
      <c r="L1002" s="57"/>
      <c r="M1002" s="54"/>
      <c r="N1002" s="58" t="str">
        <f aca="false">IF(S1002=1,IF(U1002&lt;0,"",U1002),IF(Y1002=1,X1002,""))</f>
        <v/>
      </c>
      <c r="O1002" s="59" t="str">
        <f aca="false">IF(S1002=1,IF(ISNUMBER(I1002),I1002-G1002,""),"")</f>
        <v/>
      </c>
      <c r="P1002" s="59" t="str">
        <f aca="false">IF(T1002=1,IF(ISNUMBER(L1002),L1002-G1002,""),"")</f>
        <v/>
      </c>
      <c r="Q1002" s="60" t="str">
        <f aca="false">IF(C1002="","",IF(T1002=1,"✔ SOLD / VENDIDO",IF(S1002=0,"— CLOSED / CERRADO",IF(U1002&lt;0,"⚠ ADD DATE / AGREGA FECHA",IF(U1002&gt;=Settings!$C$8,"⚠ STALE – REPRICE / ESTANCADO",IF(U1002&gt;=Settings!$C$7,"● WATCH / VIGILAR","✔ FRESH / RECIENTE"))))))</f>
        <v/>
      </c>
      <c r="S1002" s="53" t="n">
        <f aca="false">IF(C1002="",0,IF(OR(J1002="",J1002="In Stock / En Inventario",J1002="Listed / Publicado"),1,0))</f>
        <v>0</v>
      </c>
      <c r="T1002" s="53" t="n">
        <f aca="false">IF(C1002="",0,IF(J1002="Sold / Vendido",1,0))</f>
        <v>0</v>
      </c>
      <c r="U1002" s="53" t="n">
        <f aca="true">IF(S1002=1,IF(ISNUMBER(F1002),TODAY()-F1002,-1),-1)</f>
        <v>-1</v>
      </c>
      <c r="V1002" s="53" t="n">
        <f aca="false">IF(U1002&lt;0,IF(S1002=1,5,0),IF(U1002&lt;=30,1,IF(U1002&lt;=60,2,IF(U1002&lt;=90,3,4))))</f>
        <v>0</v>
      </c>
      <c r="W1002" s="53" t="n">
        <f aca="false">IF(U1002&lt;0,-1000000000000000,U1002+ROW()/1000000)</f>
        <v>-1000000000000000</v>
      </c>
      <c r="X1002" s="53" t="n">
        <f aca="false">IF(T1002=1,IF(AND(ISNUMBER(F1002),ISNUMBER(K1002)),K1002-F1002,0),0)</f>
        <v>0</v>
      </c>
      <c r="Y1002" s="53" t="n">
        <f aca="false">IF(T1002=1,IF(AND(ISNUMBER(F1002),ISNUMBER(K1002)),1,0),0)</f>
        <v>0</v>
      </c>
      <c r="Z1002" s="53" t="n">
        <f aca="false">IF(U1002&gt;=Settings!$C$8,1,0)</f>
        <v>0</v>
      </c>
      <c r="AA1002" s="53" t="n">
        <f aca="false">IF(S1002=1,IF(J1002="Listed / Publicado",0,1),0)</f>
        <v>0</v>
      </c>
      <c r="AB1002" s="53" t="n">
        <f aca="false">IF(T1002=1,IF(ISNUMBER(L1002),L1002-G1002,0),0)</f>
        <v>0</v>
      </c>
      <c r="AC1002" s="53" t="n">
        <f aca="false">IF(S1002=1,IF(ISNUMBER(I1002),I1002-G1002,0),0)</f>
        <v>0</v>
      </c>
    </row>
    <row r="1003" customFormat="false" ht="15" hidden="false" customHeight="false" outlineLevel="0" collapsed="false">
      <c r="B1003" s="54"/>
      <c r="C1003" s="55"/>
      <c r="D1003" s="55"/>
      <c r="E1003" s="55"/>
      <c r="F1003" s="56"/>
      <c r="G1003" s="57"/>
      <c r="H1003" s="55"/>
      <c r="I1003" s="57"/>
      <c r="J1003" s="54"/>
      <c r="K1003" s="56"/>
      <c r="L1003" s="57"/>
      <c r="M1003" s="54"/>
      <c r="N1003" s="58" t="str">
        <f aca="false">IF(S1003=1,IF(U1003&lt;0,"",U1003),IF(Y1003=1,X1003,""))</f>
        <v/>
      </c>
      <c r="O1003" s="59" t="str">
        <f aca="false">IF(S1003=1,IF(ISNUMBER(I1003),I1003-G1003,""),"")</f>
        <v/>
      </c>
      <c r="P1003" s="59" t="str">
        <f aca="false">IF(T1003=1,IF(ISNUMBER(L1003),L1003-G1003,""),"")</f>
        <v/>
      </c>
      <c r="Q1003" s="60" t="str">
        <f aca="false">IF(C1003="","",IF(T1003=1,"✔ SOLD / VENDIDO",IF(S1003=0,"— CLOSED / CERRADO",IF(U1003&lt;0,"⚠ ADD DATE / AGREGA FECHA",IF(U1003&gt;=Settings!$C$8,"⚠ STALE – REPRICE / ESTANCADO",IF(U1003&gt;=Settings!$C$7,"● WATCH / VIGILAR","✔ FRESH / RECIENTE"))))))</f>
        <v/>
      </c>
      <c r="S1003" s="53" t="n">
        <f aca="false">IF(C1003="",0,IF(OR(J1003="",J1003="In Stock / En Inventario",J1003="Listed / Publicado"),1,0))</f>
        <v>0</v>
      </c>
      <c r="T1003" s="53" t="n">
        <f aca="false">IF(C1003="",0,IF(J1003="Sold / Vendido",1,0))</f>
        <v>0</v>
      </c>
      <c r="U1003" s="53" t="n">
        <f aca="true">IF(S1003=1,IF(ISNUMBER(F1003),TODAY()-F1003,-1),-1)</f>
        <v>-1</v>
      </c>
      <c r="V1003" s="53" t="n">
        <f aca="false">IF(U1003&lt;0,IF(S1003=1,5,0),IF(U1003&lt;=30,1,IF(U1003&lt;=60,2,IF(U1003&lt;=90,3,4))))</f>
        <v>0</v>
      </c>
      <c r="W1003" s="53" t="n">
        <f aca="false">IF(U1003&lt;0,-1000000000000000,U1003+ROW()/1000000)</f>
        <v>-1000000000000000</v>
      </c>
      <c r="X1003" s="53" t="n">
        <f aca="false">IF(T1003=1,IF(AND(ISNUMBER(F1003),ISNUMBER(K1003)),K1003-F1003,0),0)</f>
        <v>0</v>
      </c>
      <c r="Y1003" s="53" t="n">
        <f aca="false">IF(T1003=1,IF(AND(ISNUMBER(F1003),ISNUMBER(K1003)),1,0),0)</f>
        <v>0</v>
      </c>
      <c r="Z1003" s="53" t="n">
        <f aca="false">IF(U1003&gt;=Settings!$C$8,1,0)</f>
        <v>0</v>
      </c>
      <c r="AA1003" s="53" t="n">
        <f aca="false">IF(S1003=1,IF(J1003="Listed / Publicado",0,1),0)</f>
        <v>0</v>
      </c>
      <c r="AB1003" s="53" t="n">
        <f aca="false">IF(T1003=1,IF(ISNUMBER(L1003),L1003-G1003,0),0)</f>
        <v>0</v>
      </c>
      <c r="AC1003" s="53" t="n">
        <f aca="false">IF(S1003=1,IF(ISNUMBER(I1003),I1003-G1003,0),0)</f>
        <v>0</v>
      </c>
    </row>
    <row r="1004" customFormat="false" ht="15" hidden="false" customHeight="false" outlineLevel="0" collapsed="false">
      <c r="B1004" s="54"/>
      <c r="C1004" s="55"/>
      <c r="D1004" s="55"/>
      <c r="E1004" s="55"/>
      <c r="F1004" s="56"/>
      <c r="G1004" s="57"/>
      <c r="H1004" s="55"/>
      <c r="I1004" s="57"/>
      <c r="J1004" s="54"/>
      <c r="K1004" s="56"/>
      <c r="L1004" s="57"/>
      <c r="M1004" s="54"/>
      <c r="N1004" s="58" t="str">
        <f aca="false">IF(S1004=1,IF(U1004&lt;0,"",U1004),IF(Y1004=1,X1004,""))</f>
        <v/>
      </c>
      <c r="O1004" s="59" t="str">
        <f aca="false">IF(S1004=1,IF(ISNUMBER(I1004),I1004-G1004,""),"")</f>
        <v/>
      </c>
      <c r="P1004" s="59" t="str">
        <f aca="false">IF(T1004=1,IF(ISNUMBER(L1004),L1004-G1004,""),"")</f>
        <v/>
      </c>
      <c r="Q1004" s="60" t="str">
        <f aca="false">IF(C1004="","",IF(T1004=1,"✔ SOLD / VENDIDO",IF(S1004=0,"— CLOSED / CERRADO",IF(U1004&lt;0,"⚠ ADD DATE / AGREGA FECHA",IF(U1004&gt;=Settings!$C$8,"⚠ STALE – REPRICE / ESTANCADO",IF(U1004&gt;=Settings!$C$7,"● WATCH / VIGILAR","✔ FRESH / RECIENTE"))))))</f>
        <v/>
      </c>
      <c r="S1004" s="53" t="n">
        <f aca="false">IF(C1004="",0,IF(OR(J1004="",J1004="In Stock / En Inventario",J1004="Listed / Publicado"),1,0))</f>
        <v>0</v>
      </c>
      <c r="T1004" s="53" t="n">
        <f aca="false">IF(C1004="",0,IF(J1004="Sold / Vendido",1,0))</f>
        <v>0</v>
      </c>
      <c r="U1004" s="53" t="n">
        <f aca="true">IF(S1004=1,IF(ISNUMBER(F1004),TODAY()-F1004,-1),-1)</f>
        <v>-1</v>
      </c>
      <c r="V1004" s="53" t="n">
        <f aca="false">IF(U1004&lt;0,IF(S1004=1,5,0),IF(U1004&lt;=30,1,IF(U1004&lt;=60,2,IF(U1004&lt;=90,3,4))))</f>
        <v>0</v>
      </c>
      <c r="W1004" s="53" t="n">
        <f aca="false">IF(U1004&lt;0,-1000000000000000,U1004+ROW()/1000000)</f>
        <v>-1000000000000000</v>
      </c>
      <c r="X1004" s="53" t="n">
        <f aca="false">IF(T1004=1,IF(AND(ISNUMBER(F1004),ISNUMBER(K1004)),K1004-F1004,0),0)</f>
        <v>0</v>
      </c>
      <c r="Y1004" s="53" t="n">
        <f aca="false">IF(T1004=1,IF(AND(ISNUMBER(F1004),ISNUMBER(K1004)),1,0),0)</f>
        <v>0</v>
      </c>
      <c r="Z1004" s="53" t="n">
        <f aca="false">IF(U1004&gt;=Settings!$C$8,1,0)</f>
        <v>0</v>
      </c>
      <c r="AA1004" s="53" t="n">
        <f aca="false">IF(S1004=1,IF(J1004="Listed / Publicado",0,1),0)</f>
        <v>0</v>
      </c>
      <c r="AB1004" s="53" t="n">
        <f aca="false">IF(T1004=1,IF(ISNUMBER(L1004),L1004-G1004,0),0)</f>
        <v>0</v>
      </c>
      <c r="AC1004" s="53" t="n">
        <f aca="false">IF(S1004=1,IF(ISNUMBER(I1004),I1004-G1004,0),0)</f>
        <v>0</v>
      </c>
    </row>
    <row r="1005" customFormat="false" ht="15" hidden="false" customHeight="false" outlineLevel="0" collapsed="false">
      <c r="B1005" s="54"/>
      <c r="C1005" s="55"/>
      <c r="D1005" s="55"/>
      <c r="E1005" s="55"/>
      <c r="F1005" s="56"/>
      <c r="G1005" s="57"/>
      <c r="H1005" s="55"/>
      <c r="I1005" s="57"/>
      <c r="J1005" s="54"/>
      <c r="K1005" s="56"/>
      <c r="L1005" s="57"/>
      <c r="M1005" s="54"/>
      <c r="N1005" s="58" t="str">
        <f aca="false">IF(S1005=1,IF(U1005&lt;0,"",U1005),IF(Y1005=1,X1005,""))</f>
        <v/>
      </c>
      <c r="O1005" s="59" t="str">
        <f aca="false">IF(S1005=1,IF(ISNUMBER(I1005),I1005-G1005,""),"")</f>
        <v/>
      </c>
      <c r="P1005" s="59" t="str">
        <f aca="false">IF(T1005=1,IF(ISNUMBER(L1005),L1005-G1005,""),"")</f>
        <v/>
      </c>
      <c r="Q1005" s="60" t="str">
        <f aca="false">IF(C1005="","",IF(T1005=1,"✔ SOLD / VENDIDO",IF(S1005=0,"— CLOSED / CERRADO",IF(U1005&lt;0,"⚠ ADD DATE / AGREGA FECHA",IF(U1005&gt;=Settings!$C$8,"⚠ STALE – REPRICE / ESTANCADO",IF(U1005&gt;=Settings!$C$7,"● WATCH / VIGILAR","✔ FRESH / RECIENTE"))))))</f>
        <v/>
      </c>
      <c r="S1005" s="53" t="n">
        <f aca="false">IF(C1005="",0,IF(OR(J1005="",J1005="In Stock / En Inventario",J1005="Listed / Publicado"),1,0))</f>
        <v>0</v>
      </c>
      <c r="T1005" s="53" t="n">
        <f aca="false">IF(C1005="",0,IF(J1005="Sold / Vendido",1,0))</f>
        <v>0</v>
      </c>
      <c r="U1005" s="53" t="n">
        <f aca="true">IF(S1005=1,IF(ISNUMBER(F1005),TODAY()-F1005,-1),-1)</f>
        <v>-1</v>
      </c>
      <c r="V1005" s="53" t="n">
        <f aca="false">IF(U1005&lt;0,IF(S1005=1,5,0),IF(U1005&lt;=30,1,IF(U1005&lt;=60,2,IF(U1005&lt;=90,3,4))))</f>
        <v>0</v>
      </c>
      <c r="W1005" s="53" t="n">
        <f aca="false">IF(U1005&lt;0,-1000000000000000,U1005+ROW()/1000000)</f>
        <v>-1000000000000000</v>
      </c>
      <c r="X1005" s="53" t="n">
        <f aca="false">IF(T1005=1,IF(AND(ISNUMBER(F1005),ISNUMBER(K1005)),K1005-F1005,0),0)</f>
        <v>0</v>
      </c>
      <c r="Y1005" s="53" t="n">
        <f aca="false">IF(T1005=1,IF(AND(ISNUMBER(F1005),ISNUMBER(K1005)),1,0),0)</f>
        <v>0</v>
      </c>
      <c r="Z1005" s="53" t="n">
        <f aca="false">IF(U1005&gt;=Settings!$C$8,1,0)</f>
        <v>0</v>
      </c>
      <c r="AA1005" s="53" t="n">
        <f aca="false">IF(S1005=1,IF(J1005="Listed / Publicado",0,1),0)</f>
        <v>0</v>
      </c>
      <c r="AB1005" s="53" t="n">
        <f aca="false">IF(T1005=1,IF(ISNUMBER(L1005),L1005-G1005,0),0)</f>
        <v>0</v>
      </c>
      <c r="AC1005" s="53" t="n">
        <f aca="false">IF(S1005=1,IF(ISNUMBER(I1005),I1005-G1005,0),0)</f>
        <v>0</v>
      </c>
    </row>
  </sheetData>
  <autoFilter ref="B5:Q1005"/>
  <mergeCells count="3">
    <mergeCell ref="B1:Q1"/>
    <mergeCell ref="B2:Q2"/>
    <mergeCell ref="B3:Q3"/>
  </mergeCells>
  <conditionalFormatting sqref="Q6:Q1005">
    <cfRule type="containsText" priority="2" operator="containsText" aboveAverage="0" equalAverage="0" bottom="0" percent="0" rank="0" text="⚠" dxfId="17">
      <formula>NOT(ISERROR(SEARCH("⚠",Q6)))</formula>
    </cfRule>
    <cfRule type="containsText" priority="3" operator="containsText" aboveAverage="0" equalAverage="0" bottom="0" percent="0" rank="0" text="WATCH" dxfId="18">
      <formula>NOT(ISERROR(SEARCH("WATCH",Q6)))</formula>
    </cfRule>
    <cfRule type="containsText" priority="4" operator="containsText" aboveAverage="0" equalAverage="0" bottom="0" percent="0" rank="0" text="FRESH" dxfId="19">
      <formula>NOT(ISERROR(SEARCH("FRESH",Q6)))</formula>
    </cfRule>
    <cfRule type="containsText" priority="5" operator="containsText" aboveAverage="0" equalAverage="0" bottom="0" percent="0" rank="0" text="SOLD" dxfId="20">
      <formula>NOT(ISERROR(SEARCH("SOLD",Q6)))</formula>
    </cfRule>
    <cfRule type="containsText" priority="6" operator="containsText" aboveAverage="0" equalAverage="0" bottom="0" percent="0" rank="0" text="CLOSED" dxfId="21">
      <formula>NOT(ISERROR(SEARCH("CLOSED",Q6)))</formula>
    </cfRule>
  </conditionalFormatting>
  <dataValidations count="5">
    <dataValidation allowBlank="true" error="Choose an option from the list.&#10;Elige una opción de la lista." errorStyle="stop" errorTitle="Category / Categoría" operator="between" showDropDown="false" showErrorMessage="false" showInputMessage="false" sqref="D6:D1005" type="list">
      <formula1>Settings!$F$8:$F$19</formula1>
      <formula2>0</formula2>
    </dataValidation>
    <dataValidation allowBlank="true" error="Choose an option from the list.&#10;Elige una opción de la lista." errorStyle="stop" errorTitle="Platform / Plataforma" operator="between" showDropDown="false" showErrorMessage="false" showInputMessage="false" sqref="H6:H1005" type="list">
      <formula1>"eBay,Facebook Marketplace,Etsy,Poshmark,Other"</formula1>
      <formula2>0</formula2>
    </dataValidation>
    <dataValidation allowBlank="true" error="Choose an option from the list.&#10;Elige una opción de la lista." errorStyle="stop" errorTitle="Status / Estado" operator="between" showDropDown="false" showErrorMessage="false" showInputMessage="false" sqref="J6:J1005" type="list">
      <formula1>"In Stock / En Inventario,Listed / Publicado,Sold / Vendido,Donated / Donado,Damaged / Dañado"</formula1>
      <formula2>0</formula2>
    </dataValidation>
    <dataValidation allowBlank="true" error="Enter a valid date (e.g. 2026-03-15).&#10;Escribe una fecha válida (ej. 2026-03-15)." errorStyle="stop" errorTitle="Date / Fecha" operator="greaterThan" showDropDown="false" showErrorMessage="false" showInputMessage="false" sqref="F6:F1005 K6:K1005" type="date">
      <formula1>36526</formula1>
      <formula2>0</formula2>
    </dataValidation>
    <dataValidation allowBlank="true" error="Enter a number ≥ 0.&#10;Escribe un número ≥ 0." errorStyle="stop" errorTitle="Number / Número" operator="greaterThanOrEqual" showDropDown="false" showErrorMessage="false" showInputMessage="false" sqref="G6:G1005 I6:I1005 L6:L10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3"/>
    <col collapsed="false" customWidth="true" hidden="false" outlineLevel="0" max="6" min="6" style="0" width="50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  <c r="F1" s="14"/>
    </row>
    <row r="2" customFormat="false" ht="30" hidden="false" customHeight="true" outlineLevel="0" collapsed="false">
      <c r="A2" s="1"/>
      <c r="B2" s="15" t="s">
        <v>171</v>
      </c>
      <c r="C2" s="15"/>
      <c r="D2" s="15"/>
      <c r="E2" s="15"/>
      <c r="F2" s="15"/>
    </row>
    <row r="3" customFormat="false" ht="19.5" hidden="false" customHeight="true" outlineLevel="0" collapsed="false">
      <c r="A3" s="1"/>
      <c r="B3" s="16" t="s">
        <v>172</v>
      </c>
      <c r="C3" s="16"/>
      <c r="D3" s="16"/>
      <c r="E3" s="16"/>
      <c r="F3" s="16"/>
    </row>
    <row r="4" customFormat="false" ht="3.75" hidden="false" customHeight="true" outlineLevel="0" collapsed="false">
      <c r="A4" s="7"/>
      <c r="B4" s="7"/>
      <c r="C4" s="7"/>
      <c r="D4" s="7"/>
      <c r="E4" s="7"/>
      <c r="F4" s="7"/>
    </row>
    <row r="6" customFormat="false" ht="15" hidden="false" customHeight="false" outlineLevel="0" collapsed="false">
      <c r="B6" s="33" t="s">
        <v>173</v>
      </c>
      <c r="C6" s="33"/>
      <c r="F6" s="33" t="s">
        <v>174</v>
      </c>
    </row>
    <row r="7" customFormat="false" ht="36" hidden="false" customHeight="true" outlineLevel="0" collapsed="false">
      <c r="B7" s="61" t="s">
        <v>175</v>
      </c>
      <c r="C7" s="62" t="n">
        <v>60</v>
      </c>
      <c r="F7" s="34" t="s">
        <v>176</v>
      </c>
    </row>
    <row r="8" customFormat="false" ht="15" hidden="false" customHeight="false" outlineLevel="0" collapsed="false">
      <c r="B8" s="61" t="s">
        <v>177</v>
      </c>
      <c r="C8" s="62" t="n">
        <v>90</v>
      </c>
      <c r="F8" s="63" t="s">
        <v>90</v>
      </c>
    </row>
    <row r="9" customFormat="false" ht="15" hidden="false" customHeight="true" outlineLevel="0" collapsed="false">
      <c r="B9" s="64" t="s">
        <v>178</v>
      </c>
      <c r="C9" s="64"/>
      <c r="F9" s="63" t="s">
        <v>97</v>
      </c>
    </row>
    <row r="10" customFormat="false" ht="15" hidden="false" customHeight="false" outlineLevel="0" collapsed="false">
      <c r="B10" s="64"/>
      <c r="C10" s="64"/>
      <c r="F10" s="63" t="s">
        <v>104</v>
      </c>
    </row>
    <row r="11" customFormat="false" ht="15" hidden="false" customHeight="false" outlineLevel="0" collapsed="false">
      <c r="B11" s="64"/>
      <c r="C11" s="64"/>
      <c r="F11" s="63" t="s">
        <v>141</v>
      </c>
    </row>
    <row r="12" customFormat="false" ht="15" hidden="false" customHeight="false" outlineLevel="0" collapsed="false">
      <c r="F12" s="63" t="s">
        <v>109</v>
      </c>
    </row>
    <row r="13" customFormat="false" ht="15" hidden="false" customHeight="false" outlineLevel="0" collapsed="false">
      <c r="F13" s="63" t="s">
        <v>115</v>
      </c>
    </row>
    <row r="14" customFormat="false" ht="15" hidden="false" customHeight="false" outlineLevel="0" collapsed="false">
      <c r="F14" s="63" t="s">
        <v>122</v>
      </c>
    </row>
    <row r="15" customFormat="false" ht="15" hidden="false" customHeight="false" outlineLevel="0" collapsed="false">
      <c r="F15" s="63" t="s">
        <v>127</v>
      </c>
    </row>
    <row r="16" customFormat="false" ht="15" hidden="false" customHeight="false" outlineLevel="0" collapsed="false">
      <c r="F16" s="63" t="s">
        <v>133</v>
      </c>
    </row>
    <row r="17" customFormat="false" ht="15" hidden="false" customHeight="false" outlineLevel="0" collapsed="false">
      <c r="F17" s="63" t="s">
        <v>179</v>
      </c>
    </row>
    <row r="18" customFormat="false" ht="15" hidden="false" customHeight="false" outlineLevel="0" collapsed="false">
      <c r="F18" s="63"/>
    </row>
    <row r="19" customFormat="false" ht="15" hidden="false" customHeight="false" outlineLevel="0" collapsed="false">
      <c r="F19" s="63"/>
    </row>
    <row r="20" customFormat="false" ht="15" hidden="false" customHeight="false" outlineLevel="0" collapsed="false">
      <c r="F20" s="65" t="s">
        <v>180</v>
      </c>
    </row>
  </sheetData>
  <mergeCells count="5">
    <mergeCell ref="B1:F1"/>
    <mergeCell ref="B2:F2"/>
    <mergeCell ref="B3:F3"/>
    <mergeCell ref="B6:C6"/>
    <mergeCell ref="B9:C11"/>
  </mergeCells>
  <dataValidations count="1">
    <dataValidation allowBlank="true" error="Enter a number of days (1–3650).&#10;Escribe un número de días (1–3650)." errorStyle="stop" errorTitle="Days / Días" operator="between" showDropDown="false" showErrorMessage="false" showInputMessage="false" sqref="C7:C8" type="whole">
      <formula1>1</formula1>
      <formula2>3650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"/>
    <col collapsed="false" customWidth="true" hidden="false" outlineLevel="0" max="4" min="3" style="0" width="58"/>
    <col collapsed="false" customWidth="true" hidden="false" outlineLevel="0" max="5" min="5" style="0" width="2"/>
  </cols>
  <sheetData>
    <row r="1" customFormat="false" ht="18" hidden="false" customHeight="true" outlineLevel="0" collapsed="false">
      <c r="A1" s="1"/>
      <c r="B1" s="14" t="s">
        <v>1</v>
      </c>
      <c r="C1" s="14"/>
      <c r="D1" s="14"/>
      <c r="E1" s="14"/>
    </row>
    <row r="2" customFormat="false" ht="30" hidden="false" customHeight="true" outlineLevel="0" collapsed="false">
      <c r="A2" s="1"/>
      <c r="B2" s="15" t="s">
        <v>181</v>
      </c>
      <c r="C2" s="15"/>
      <c r="D2" s="15"/>
      <c r="E2" s="15"/>
    </row>
    <row r="3" customFormat="false" ht="19.5" hidden="false" customHeight="true" outlineLevel="0" collapsed="false">
      <c r="A3" s="1"/>
      <c r="B3" s="16" t="s">
        <v>182</v>
      </c>
      <c r="C3" s="16"/>
      <c r="D3" s="16"/>
      <c r="E3" s="16"/>
    </row>
    <row r="4" customFormat="false" ht="3.75" hidden="false" customHeight="true" outlineLevel="0" collapsed="false">
      <c r="A4" s="7"/>
      <c r="B4" s="7"/>
      <c r="C4" s="7"/>
      <c r="D4" s="7"/>
      <c r="E4" s="7"/>
    </row>
    <row r="6" customFormat="false" ht="21.75" hidden="false" customHeight="true" outlineLevel="0" collapsed="false">
      <c r="B6" s="34" t="s">
        <v>183</v>
      </c>
      <c r="C6" s="34" t="s">
        <v>184</v>
      </c>
      <c r="D6" s="34" t="s">
        <v>185</v>
      </c>
    </row>
    <row r="7" customFormat="false" ht="49.5" hidden="false" customHeight="true" outlineLevel="0" collapsed="false">
      <c r="B7" s="66" t="n">
        <v>1</v>
      </c>
      <c r="C7" s="67" t="s">
        <v>186</v>
      </c>
      <c r="D7" s="67" t="s">
        <v>187</v>
      </c>
    </row>
    <row r="8" customFormat="false" ht="49.5" hidden="false" customHeight="true" outlineLevel="0" collapsed="false">
      <c r="B8" s="66" t="n">
        <v>2</v>
      </c>
      <c r="C8" s="68" t="s">
        <v>188</v>
      </c>
      <c r="D8" s="68" t="s">
        <v>189</v>
      </c>
    </row>
    <row r="9" customFormat="false" ht="49.5" hidden="false" customHeight="true" outlineLevel="0" collapsed="false">
      <c r="B9" s="66" t="n">
        <v>3</v>
      </c>
      <c r="C9" s="67" t="s">
        <v>190</v>
      </c>
      <c r="D9" s="67" t="s">
        <v>191</v>
      </c>
    </row>
    <row r="10" customFormat="false" ht="36" hidden="false" customHeight="true" outlineLevel="0" collapsed="false">
      <c r="B10" s="66" t="n">
        <v>4</v>
      </c>
      <c r="C10" s="68" t="s">
        <v>192</v>
      </c>
      <c r="D10" s="68" t="s">
        <v>193</v>
      </c>
    </row>
    <row r="11" customFormat="false" ht="49.5" hidden="false" customHeight="true" outlineLevel="0" collapsed="false">
      <c r="B11" s="66" t="n">
        <v>5</v>
      </c>
      <c r="C11" s="67" t="s">
        <v>194</v>
      </c>
      <c r="D11" s="67" t="s">
        <v>195</v>
      </c>
    </row>
    <row r="12" customFormat="false" ht="49.5" hidden="false" customHeight="true" outlineLevel="0" collapsed="false">
      <c r="B12" s="66" t="n">
        <v>6</v>
      </c>
      <c r="C12" s="68" t="s">
        <v>196</v>
      </c>
      <c r="D12" s="68" t="s">
        <v>197</v>
      </c>
    </row>
    <row r="13" customFormat="false" ht="78" hidden="false" customHeight="true" outlineLevel="0" collapsed="false">
      <c r="B13" s="66" t="n">
        <v>7</v>
      </c>
      <c r="C13" s="67" t="s">
        <v>198</v>
      </c>
      <c r="D13" s="67" t="s">
        <v>199</v>
      </c>
    </row>
    <row r="14" customFormat="false" ht="36" hidden="false" customHeight="true" outlineLevel="0" collapsed="false">
      <c r="B14" s="66" t="n">
        <v>8</v>
      </c>
      <c r="C14" s="68" t="s">
        <v>200</v>
      </c>
      <c r="D14" s="68" t="s">
        <v>201</v>
      </c>
    </row>
    <row r="15" customFormat="false" ht="49.5" hidden="false" customHeight="true" outlineLevel="0" collapsed="false">
      <c r="B15" s="66" t="n">
        <v>9</v>
      </c>
      <c r="C15" s="67" t="s">
        <v>202</v>
      </c>
      <c r="D15" s="67" t="s">
        <v>203</v>
      </c>
    </row>
    <row r="16" customFormat="false" ht="49.5" hidden="false" customHeight="true" outlineLevel="0" collapsed="false">
      <c r="B16" s="66" t="n">
        <v>10</v>
      </c>
      <c r="C16" s="68" t="s">
        <v>204</v>
      </c>
      <c r="D16" s="68" t="s">
        <v>205</v>
      </c>
    </row>
    <row r="18" customFormat="false" ht="15" hidden="false" customHeight="false" outlineLevel="0" collapsed="false">
      <c r="B18" s="69" t="s">
        <v>206</v>
      </c>
      <c r="C18" s="69"/>
      <c r="D18" s="69"/>
    </row>
    <row r="19" customFormat="false" ht="18" hidden="false" customHeight="true" outlineLevel="0" collapsed="false">
      <c r="B19" s="70"/>
      <c r="C19" s="71" t="s">
        <v>207</v>
      </c>
      <c r="D19" s="71" t="s">
        <v>208</v>
      </c>
    </row>
    <row r="20" customFormat="false" ht="18" hidden="false" customHeight="true" outlineLevel="0" collapsed="false">
      <c r="B20" s="72"/>
      <c r="C20" s="71" t="s">
        <v>209</v>
      </c>
      <c r="D20" s="71" t="s">
        <v>210</v>
      </c>
    </row>
    <row r="21" customFormat="false" ht="18" hidden="false" customHeight="true" outlineLevel="0" collapsed="false">
      <c r="B21" s="73"/>
      <c r="C21" s="71" t="s">
        <v>211</v>
      </c>
      <c r="D21" s="71" t="s">
        <v>212</v>
      </c>
    </row>
    <row r="23" customFormat="false" ht="15" hidden="false" customHeight="false" outlineLevel="0" collapsed="false">
      <c r="B23" s="69" t="s">
        <v>213</v>
      </c>
      <c r="C23" s="69"/>
      <c r="D23" s="69"/>
    </row>
    <row r="24" customFormat="false" ht="49.5" hidden="false" customHeight="true" outlineLevel="0" collapsed="false">
      <c r="B24" s="74"/>
      <c r="C24" s="71" t="s">
        <v>214</v>
      </c>
      <c r="D24" s="71" t="s">
        <v>215</v>
      </c>
    </row>
    <row r="25" customFormat="false" ht="49.5" hidden="false" customHeight="true" outlineLevel="0" collapsed="false">
      <c r="B25" s="74"/>
      <c r="C25" s="71" t="s">
        <v>216</v>
      </c>
      <c r="D25" s="71" t="s">
        <v>217</v>
      </c>
    </row>
    <row r="26" customFormat="false" ht="49.5" hidden="false" customHeight="true" outlineLevel="0" collapsed="false">
      <c r="B26" s="74"/>
      <c r="C26" s="71" t="s">
        <v>218</v>
      </c>
      <c r="D26" s="71" t="s">
        <v>219</v>
      </c>
    </row>
    <row r="28" customFormat="false" ht="15" hidden="false" customHeight="false" outlineLevel="0" collapsed="false">
      <c r="B28" s="69" t="s">
        <v>220</v>
      </c>
      <c r="C28" s="69"/>
      <c r="D28" s="69"/>
    </row>
    <row r="29" customFormat="false" ht="36" hidden="false" customHeight="true" outlineLevel="0" collapsed="false">
      <c r="B29" s="74"/>
      <c r="C29" s="71" t="s">
        <v>221</v>
      </c>
      <c r="D29" s="71" t="s">
        <v>222</v>
      </c>
    </row>
    <row r="30" customFormat="false" ht="49.5" hidden="false" customHeight="true" outlineLevel="0" collapsed="false">
      <c r="B30" s="74"/>
      <c r="C30" s="71" t="s">
        <v>223</v>
      </c>
      <c r="D30" s="71" t="s">
        <v>224</v>
      </c>
    </row>
    <row r="31" customFormat="false" ht="91.5" hidden="false" customHeight="true" outlineLevel="0" collapsed="false">
      <c r="B31" s="74"/>
      <c r="C31" s="71" t="s">
        <v>225</v>
      </c>
      <c r="D31" s="71" t="s">
        <v>226</v>
      </c>
    </row>
  </sheetData>
  <mergeCells count="6">
    <mergeCell ref="B1:E1"/>
    <mergeCell ref="B2:E2"/>
    <mergeCell ref="B3:E3"/>
    <mergeCell ref="B18:D18"/>
    <mergeCell ref="B23:D23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2026-09-30T23:50:05Z</dcterms:created>
  <dc:creator>ProfitTrack</dc:creator>
  <dc:description/>
  <dc:language>en-US</dc:language>
  <cp:lastModifiedBy/>
  <dcterms:modified xsi:type="dcterms:W3CDTF">2026-09-30T23:50:11Z</dcterms:modified>
  <cp:revision>1</cp:revision>
  <dc:subject/>
  <dc:title>ProfitTrack Inventory — Reseller Inventory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